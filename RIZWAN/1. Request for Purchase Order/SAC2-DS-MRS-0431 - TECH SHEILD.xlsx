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D0C26E4-C5F4-4898-AB8B-459133C9ED39}" xr6:coauthVersionLast="47" xr6:coauthVersionMax="47" xr10:uidLastSave="{00000000-0000-0000-0000-000000000000}"/>
  <bookViews>
    <workbookView xWindow="2868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7" i="3"/>
  <c r="C26" i="3"/>
  <c r="E6" i="4"/>
  <c r="F6" i="4"/>
  <c r="D6" i="4"/>
  <c r="J9" i="1"/>
  <c r="J10" i="1"/>
  <c r="J11" i="1"/>
  <c r="J12" i="1"/>
  <c r="J13" i="1"/>
  <c r="J14" i="1"/>
  <c r="J15" i="1"/>
  <c r="J8" i="1"/>
  <c r="J7" i="1"/>
  <c r="K67" i="3"/>
  <c r="B6" i="4" l="1"/>
  <c r="P54" i="3"/>
  <c r="J6" i="1" l="1"/>
  <c r="G6" i="4" s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H7" i="2"/>
  <c r="G7" i="2"/>
  <c r="D7" i="2"/>
  <c r="B7" i="2"/>
  <c r="K10" i="3" l="1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l="1"/>
</calcChain>
</file>

<file path=xl/sharedStrings.xml><?xml version="1.0" encoding="utf-8"?>
<sst xmlns="http://schemas.openxmlformats.org/spreadsheetml/2006/main" count="159" uniqueCount="136">
  <si>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</si>
  <si>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</si>
  <si>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</si>
  <si>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</si>
  <si>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</si>
  <si>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</si>
  <si>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</si>
  <si>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</si>
  <si>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</si>
  <si>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</si>
  <si>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</si>
  <si>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</si>
  <si>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</si>
  <si>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</si>
  <si>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</si>
  <si>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</si>
  <si>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</si>
  <si>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</si>
  <si>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</si>
  <si>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</si>
  <si>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</si>
  <si>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</si>
  <si>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</si>
  <si>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</si>
  <si>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</si>
  <si>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</si>
  <si>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</si>
  <si>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</si>
  <si>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</si>
  <si>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</si>
  <si>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</si>
  <si>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</si>
  <si>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</si>
  <si>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</si>
  <si>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</si>
  <si>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</si>
  <si>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</si>
  <si>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</si>
  <si>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</si>
  <si>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</si>
  <si>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</si>
  <si>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</si>
  <si>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</si>
  <si>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</si>
  <si>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</si>
  <si>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</si>
  <si>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</si>
  <si>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</si>
  <si>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</si>
  <si>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</si>
  <si>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</si>
  <si>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</si>
  <si>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</si>
  <si>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</si>
  <si>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</si>
  <si>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</si>
  <si>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</si>
  <si>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</si>
  <si>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</si>
  <si>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</si>
  <si>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</si>
  <si>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</si>
  <si>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</si>
  <si>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</si>
  <si>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</si>
  <si>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</si>
  <si>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</si>
  <si>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</si>
  <si>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</si>
  <si>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</si>
  <si>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</si>
  <si>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</si>
  <si>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</si>
  <si>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</si>
  <si>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</si>
  <si>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</si>
  <si>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</si>
  <si>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</si>
  <si>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</si>
  <si>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</si>
  <si>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</si>
  <si>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</si>
  <si>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</si>
  <si>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</si>
  <si>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</si>
  <si>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</si>
  <si>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</si>
  <si>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</si>
  <si>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</si>
  <si>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</si>
  <si>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</si>
  <si>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ENG. &amp; CONST. CO., LTD.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</si>
  <si>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</si>
  <si>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</si>
  <si>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</si>
  <si>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</si>
  <si>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</si>
  <si>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</si>
  <si>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</si>
  <si>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</si>
  <si>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</si>
  <si>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</si>
  <si>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</si>
  <si>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ALRAJHI BANK</t>
  </si>
  <si>
    <t>RJHISARI</t>
  </si>
  <si>
    <t>TSGE</t>
  </si>
  <si>
    <t>Monthly</t>
  </si>
  <si>
    <t>TSGE(Tech Shield Gulf Energy)</t>
  </si>
  <si>
    <t>7051115801</t>
  </si>
  <si>
    <t>314106683600003</t>
  </si>
  <si>
    <t>Farvej Alam</t>
  </si>
  <si>
    <t>Mobile No. +966 50 060 1748 / email: info@techshieldgulf.com</t>
  </si>
  <si>
    <t>Building No. 8637, Al Jubail 35816, KSA</t>
  </si>
  <si>
    <t>Mobile: +966 50 060 1748</t>
  </si>
  <si>
    <t>TECH SHIELD GULF ENERGY</t>
  </si>
  <si>
    <t>SA92 8000 0139 6080 1077 0455</t>
  </si>
  <si>
    <t>139000010006080770455</t>
  </si>
  <si>
    <t>Marketing Manager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</si>
  <si>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</si>
  <si>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</si>
  <si>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-MRS-0431</t>
    </r>
  </si>
  <si>
    <t>Plate Welder</t>
  </si>
  <si>
    <t>Hour</t>
  </si>
  <si>
    <t>15/TSGE/HY/008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</si>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</sst>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52" fillId="3" borderId="0" xfId="5" quotePrefix="1" applyFont="1" applyFill="1"/>
    <xf numFmtId="0" fontId="52" fillId="3" borderId="0" xfId="5" applyFont="1" applyFill="1" applyAlignment="1">
      <alignment horizontal="right" vertical="center" indent="1"/>
    </xf>
    <xf numFmtId="0" fontId="53" fillId="3" borderId="0" xfId="5" applyFont="1" applyFill="1"/>
    <xf numFmtId="0" fontId="5" fillId="2" borderId="21" xfId="1" applyFont="1" applyFill="1" applyBorder="1" applyAlignment="1">
      <alignment horizontal="center" vertical="center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726407</xdr:colOff>
          <xdr:row>17</xdr:row>
          <xdr:rowOff>39103</xdr:rowOff>
        </xdr:from>
        <xdr:to>
          <xdr:col>11</xdr:col>
          <xdr:colOff>1573630</xdr:colOff>
          <xdr:row>23</xdr:row>
          <xdr:rowOff>277228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474206F-586C-654E-7E7B-A256233C9C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18486" y="5022182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P14" sqref="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6" width="13.5703125" style="2" customWidth="1"/>
    <col min="27" max="16384" width="9" style="2"/>
  </cols>
  <sheetData>
    <row r="1" spans="1:18" ht="49.9" customHeight="1">
      <c r="A1" s="123" t="s">
        <v>118</v>
      </c>
      <c r="B1" s="124"/>
      <c r="C1" s="103"/>
      <c r="D1" s="103"/>
      <c r="E1" s="103"/>
      <c r="F1" s="103"/>
      <c r="G1" s="1"/>
      <c r="J1" s="156" t="s">
        <v>81</v>
      </c>
      <c r="K1" s="157"/>
      <c r="L1" s="158"/>
    </row>
    <row r="2" spans="1:18" ht="20.100000000000001" customHeight="1">
      <c r="A2" s="3" t="s">
        <v>1</v>
      </c>
      <c r="B2" s="94"/>
      <c r="C2" s="94"/>
      <c r="D2" s="3" t="s">
        <v>119</v>
      </c>
      <c r="E2" s="94"/>
      <c r="F2" s="94"/>
      <c r="G2" s="94"/>
      <c r="H2" s="94"/>
      <c r="I2" s="4"/>
      <c r="J2" s="159" t="s">
        <v>88</v>
      </c>
      <c r="K2" s="160"/>
      <c r="L2" s="161"/>
    </row>
    <row r="3" spans="1:18" ht="20.100000000000001" customHeight="1">
      <c r="A3" s="3" t="s">
        <v>120</v>
      </c>
      <c r="B3" s="94"/>
      <c r="C3" s="94"/>
      <c r="D3" s="94"/>
      <c r="E3" s="162">
        <f>+L3+3</f>
        <v>46260</v>
      </c>
      <c r="F3" s="162"/>
      <c r="G3" s="162"/>
      <c r="H3" s="162"/>
      <c r="I3" s="162"/>
      <c r="J3" s="94"/>
      <c r="K3" s="94"/>
      <c r="L3" s="125">
        <v>46257</v>
      </c>
      <c r="M3" s="4"/>
    </row>
    <row r="4" spans="1:18" ht="15.95" customHeight="1">
      <c r="A4" s="163" t="s">
        <v>2</v>
      </c>
      <c r="B4" s="164" t="s">
        <v>3</v>
      </c>
      <c r="C4" s="164"/>
      <c r="D4" s="165" t="s">
        <v>4</v>
      </c>
      <c r="E4" s="166"/>
      <c r="F4" s="167"/>
      <c r="G4" s="171" t="s">
        <v>5</v>
      </c>
      <c r="H4" s="173" t="s">
        <v>6</v>
      </c>
      <c r="I4" s="173" t="s">
        <v>85</v>
      </c>
      <c r="J4" s="163" t="s">
        <v>86</v>
      </c>
      <c r="K4" s="173" t="s">
        <v>0</v>
      </c>
      <c r="L4" s="164" t="s">
        <v>7</v>
      </c>
    </row>
    <row r="5" spans="1:18" ht="15.95" customHeight="1">
      <c r="A5" s="163"/>
      <c r="B5" s="164"/>
      <c r="C5" s="164"/>
      <c r="D5" s="168"/>
      <c r="E5" s="169"/>
      <c r="F5" s="170"/>
      <c r="G5" s="172"/>
      <c r="H5" s="174"/>
      <c r="I5" s="174"/>
      <c r="J5" s="163"/>
      <c r="K5" s="174"/>
      <c r="L5" s="164"/>
    </row>
    <row r="6" spans="1:18" ht="22.5" customHeight="1">
      <c r="A6" s="5">
        <f t="shared" ref="A6:A15" si="0">ROW(A1)</f>
        <v>1</v>
      </c>
      <c r="B6" s="147" t="s">
        <v>121</v>
      </c>
      <c r="C6" s="148"/>
      <c r="D6" s="149"/>
      <c r="E6" s="150"/>
      <c r="F6" s="151"/>
      <c r="G6" s="104" t="s">
        <v>122</v>
      </c>
      <c r="H6" s="105">
        <v>1</v>
      </c>
      <c r="I6" s="106">
        <v>24</v>
      </c>
      <c r="J6" s="106">
        <f>I6*H6</f>
        <v>24</v>
      </c>
      <c r="K6" s="107" t="s">
        <v>105</v>
      </c>
      <c r="L6" s="132" t="s">
        <v>106</v>
      </c>
      <c r="R6" s="99"/>
    </row>
    <row r="7" spans="1:18" ht="22.5" customHeight="1">
      <c r="A7" s="5">
        <f t="shared" si="0"/>
        <v>2</v>
      </c>
      <c r="B7" s="147"/>
      <c r="C7" s="148"/>
      <c r="D7" s="149"/>
      <c r="E7" s="150"/>
      <c r="F7" s="151"/>
      <c r="G7" s="104"/>
      <c r="H7" s="105"/>
      <c r="I7" s="106"/>
      <c r="J7" s="106">
        <f>I7*H7</f>
        <v>0</v>
      </c>
      <c r="K7" s="107"/>
      <c r="L7" s="108"/>
      <c r="R7" s="99"/>
    </row>
    <row r="8" spans="1:18" ht="22.5" customHeight="1">
      <c r="A8" s="5">
        <f t="shared" si="0"/>
        <v>3</v>
      </c>
      <c r="B8" s="147"/>
      <c r="C8" s="148"/>
      <c r="D8" s="149"/>
      <c r="E8" s="150"/>
      <c r="F8" s="151"/>
      <c r="G8" s="104"/>
      <c r="H8" s="105"/>
      <c r="I8" s="106"/>
      <c r="J8" s="106">
        <f>I8*H8</f>
        <v>0</v>
      </c>
      <c r="K8" s="107"/>
      <c r="L8" s="108"/>
      <c r="P8" s="2" t="s">
        <v>90</v>
      </c>
      <c r="R8" s="99"/>
    </row>
    <row r="9" spans="1:18" ht="22.5" customHeight="1">
      <c r="A9" s="5">
        <f t="shared" si="0"/>
        <v>4</v>
      </c>
      <c r="B9" s="147"/>
      <c r="C9" s="148"/>
      <c r="D9" s="149"/>
      <c r="E9" s="150"/>
      <c r="F9" s="151"/>
      <c r="G9" s="104"/>
      <c r="H9" s="105"/>
      <c r="I9" s="106"/>
      <c r="J9" s="106">
        <f t="shared" ref="J9:J15" si="1">I9*H9</f>
        <v>0</v>
      </c>
      <c r="K9" s="107"/>
      <c r="L9" s="108"/>
      <c r="R9" s="99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04"/>
      <c r="H10" s="105"/>
      <c r="I10" s="109"/>
      <c r="J10" s="106">
        <f t="shared" si="1"/>
        <v>0</v>
      </c>
      <c r="K10" s="107"/>
      <c r="L10" s="104"/>
      <c r="R10" s="99"/>
    </row>
    <row r="11" spans="1:18" ht="22.5" customHeight="1">
      <c r="A11" s="5">
        <f t="shared" si="0"/>
        <v>6</v>
      </c>
      <c r="B11" s="147"/>
      <c r="C11" s="148"/>
      <c r="D11" s="149"/>
      <c r="E11" s="150"/>
      <c r="F11" s="151"/>
      <c r="G11" s="104"/>
      <c r="H11" s="105"/>
      <c r="I11" s="106"/>
      <c r="J11" s="106">
        <f t="shared" si="1"/>
        <v>0</v>
      </c>
      <c r="K11" s="107"/>
      <c r="L11" s="108"/>
      <c r="R11" s="99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customHeight="1">
      <c r="A13" s="5">
        <f t="shared" si="0"/>
        <v>8</v>
      </c>
      <c r="B13" s="147"/>
      <c r="C13" s="148"/>
      <c r="D13" s="149"/>
      <c r="E13" s="150"/>
      <c r="F13" s="151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customHeight="1">
      <c r="A14" s="5">
        <f t="shared" si="0"/>
        <v>9</v>
      </c>
      <c r="B14" s="147"/>
      <c r="C14" s="148"/>
      <c r="D14" s="149"/>
      <c r="E14" s="150"/>
      <c r="F14" s="151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customHeight="1">
      <c r="A15" s="5">
        <f t="shared" si="0"/>
        <v>10</v>
      </c>
      <c r="B15" s="147"/>
      <c r="C15" s="148"/>
      <c r="D15" s="149"/>
      <c r="E15" s="150"/>
      <c r="F15" s="151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52" t="s">
        <v>8</v>
      </c>
      <c r="B16" s="153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24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124</v>
      </c>
      <c r="P20" s="139"/>
      <c r="Q20" s="139"/>
      <c r="R20" s="134"/>
      <c r="S20" s="122"/>
      <c r="T20" s="133" t="s">
        <v>125</v>
      </c>
      <c r="U20" s="139"/>
      <c r="V20" s="139"/>
      <c r="W20" s="139"/>
      <c r="X20" s="139"/>
      <c r="Y20" s="134"/>
    </row>
    <row r="21" spans="1:26" ht="15" customHeight="1">
      <c r="O21" s="140" t="s">
        <v>126</v>
      </c>
      <c r="P21" s="142" t="s">
        <v>127</v>
      </c>
      <c r="Q21" s="140" t="s">
        <v>128</v>
      </c>
      <c r="R21" s="142" t="s">
        <v>129</v>
      </c>
      <c r="S21" s="122"/>
      <c r="T21" s="140" t="s">
        <v>130</v>
      </c>
      <c r="U21" s="142" t="s">
        <v>131</v>
      </c>
      <c r="V21" s="133" t="s">
        <v>132</v>
      </c>
      <c r="W21" s="139"/>
      <c r="X21" s="134"/>
      <c r="Y21" s="142" t="s">
        <v>133</v>
      </c>
    </row>
    <row r="22" spans="1:26" ht="18" customHeight="1">
      <c r="O22" s="141"/>
      <c r="P22" s="143"/>
      <c r="Q22" s="141"/>
      <c r="R22" s="143"/>
      <c r="S22" s="126"/>
      <c r="T22" s="141"/>
      <c r="U22" s="143"/>
      <c r="V22" s="13" t="s">
        <v>126</v>
      </c>
      <c r="W22" s="144" t="s">
        <v>134</v>
      </c>
      <c r="X22" s="145"/>
      <c r="Y22" s="143"/>
    </row>
    <row r="23" spans="1:26" ht="50.1" customHeight="1">
      <c r="O23" s="14"/>
      <c r="P23" s="14"/>
      <c r="Q23" s="14"/>
      <c r="R23" s="14"/>
      <c r="S23" s="122"/>
      <c r="T23" s="14"/>
      <c r="U23" s="14"/>
      <c r="V23" s="14"/>
      <c r="W23" s="133"/>
      <c r="X23" s="134"/>
      <c r="Y23" s="127"/>
    </row>
    <row r="24" spans="1:26" ht="36" customHeight="1">
      <c r="W24" s="128"/>
      <c r="X24" s="135" t="s">
        <v>135</v>
      </c>
      <c r="Y24" s="12" t="s">
        <v>133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36"/>
      <c r="Y25" s="131"/>
    </row>
    <row r="26" spans="1:26" ht="19.899999999999999" customHeight="1"/>
    <row r="27" spans="1:26" ht="17.45" customHeight="1">
      <c r="O27" s="146"/>
      <c r="P27" s="146"/>
    </row>
    <row r="28" spans="1:26" ht="19.899999999999999" customHeight="1">
      <c r="O28" s="146"/>
      <c r="P28" s="146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2" t="s">
        <v>12</v>
      </c>
      <c r="P46" s="142" t="s">
        <v>12</v>
      </c>
      <c r="S46" s="142" t="s">
        <v>11</v>
      </c>
    </row>
    <row r="47" spans="15:19" ht="21" customHeight="1">
      <c r="O47" s="143"/>
      <c r="P47" s="143"/>
      <c r="S47" s="14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2" t="s">
        <v>12</v>
      </c>
      <c r="P50" s="142" t="s">
        <v>12</v>
      </c>
      <c r="S50" s="142" t="s">
        <v>13</v>
      </c>
    </row>
    <row r="51" spans="15:19" ht="21" customHeight="1">
      <c r="O51" s="143"/>
      <c r="P51" s="143"/>
      <c r="S51" s="141"/>
    </row>
    <row r="52" spans="15:19" ht="64.900000000000006" customHeight="1">
      <c r="O52" s="14"/>
      <c r="P52" s="14"/>
      <c r="S52" s="14"/>
    </row>
  </sheetData>
  <mergeCells count="5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5:C15"/>
    <mergeCell ref="D15:F15"/>
    <mergeCell ref="A16:B16"/>
    <mergeCell ref="P21:P22"/>
    <mergeCell ref="B12:C12"/>
    <mergeCell ref="D12:F12"/>
    <mergeCell ref="B13:C13"/>
    <mergeCell ref="D13:F13"/>
    <mergeCell ref="B14:C14"/>
    <mergeCell ref="D14:F14"/>
    <mergeCell ref="S46:S47"/>
    <mergeCell ref="O50:O51"/>
    <mergeCell ref="P50:P51"/>
    <mergeCell ref="S50:S51"/>
    <mergeCell ref="O27:O28"/>
    <mergeCell ref="P27:P28"/>
    <mergeCell ref="O46:O47"/>
    <mergeCell ref="P46:P47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87</v>
      </c>
      <c r="B1" s="93"/>
      <c r="C1" s="93"/>
      <c r="D1" s="93"/>
      <c r="E1" s="93"/>
      <c r="F1" s="93"/>
      <c r="G1" s="1"/>
      <c r="J1" s="156" t="str">
        <f>+MRS!J1</f>
        <v>DAESHIN PLANT</v>
      </c>
      <c r="K1" s="158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59" t="str">
        <f>+MRS!J2</f>
        <v>Subcontract name (SAC2-SC-IK-SMP-01)</v>
      </c>
      <c r="K2" s="161"/>
    </row>
    <row r="3" spans="1:18" ht="24.95" customHeight="1">
      <c r="A3" s="3" t="str">
        <f>+MRS!A3</f>
        <v xml:space="preserve">  MRS No : SAC2-DS-MRS-0431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46257</v>
      </c>
    </row>
    <row r="4" spans="1:18" ht="15.95" customHeight="1">
      <c r="A4" s="185" t="s">
        <v>2</v>
      </c>
      <c r="B4" s="186" t="s">
        <v>14</v>
      </c>
      <c r="C4" s="186"/>
      <c r="D4" s="185" t="s">
        <v>4</v>
      </c>
      <c r="E4" s="185"/>
      <c r="F4" s="185"/>
      <c r="G4" s="186" t="s">
        <v>5</v>
      </c>
      <c r="H4" s="185" t="s">
        <v>82</v>
      </c>
      <c r="I4" s="185" t="s">
        <v>15</v>
      </c>
      <c r="J4" s="185" t="s">
        <v>16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17">
        <f>+MRS!A6</f>
        <v>1</v>
      </c>
      <c r="B6" s="180" t="str">
        <f>MRS!B6</f>
        <v>Plate Welder</v>
      </c>
      <c r="C6" s="181"/>
      <c r="D6" s="182">
        <f>MRS!D6</f>
        <v>0</v>
      </c>
      <c r="E6" s="183"/>
      <c r="F6" s="184"/>
      <c r="G6" s="96" t="str">
        <f>MRS!G6</f>
        <v>Hour</v>
      </c>
      <c r="H6" s="96">
        <f>MRS!H6</f>
        <v>1</v>
      </c>
      <c r="I6" s="97">
        <f>MRS!I6</f>
        <v>24</v>
      </c>
      <c r="J6" s="97">
        <f>MRS!J6</f>
        <v>24</v>
      </c>
      <c r="K6" s="98"/>
      <c r="O6" s="99"/>
      <c r="P6" s="99"/>
      <c r="R6" s="99"/>
    </row>
    <row r="7" spans="1:18" ht="105" customHeight="1">
      <c r="A7" s="17">
        <f>+MRS!A7</f>
        <v>2</v>
      </c>
      <c r="B7" s="180">
        <f>MRS!B7</f>
        <v>0</v>
      </c>
      <c r="C7" s="181"/>
      <c r="D7" s="182">
        <f>MRS!D7</f>
        <v>0</v>
      </c>
      <c r="E7" s="183"/>
      <c r="F7" s="184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7">
        <f>+MRS!A8</f>
        <v>3</v>
      </c>
      <c r="B8" s="180">
        <f>MRS!B8</f>
        <v>0</v>
      </c>
      <c r="C8" s="181"/>
      <c r="D8" s="182">
        <f>MRS!D8</f>
        <v>0</v>
      </c>
      <c r="E8" s="183"/>
      <c r="F8" s="184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4</v>
      </c>
      <c r="B9" s="180">
        <f>MRS!B9</f>
        <v>0</v>
      </c>
      <c r="C9" s="181"/>
      <c r="D9" s="182">
        <f>MRS!D9</f>
        <v>0</v>
      </c>
      <c r="E9" s="183"/>
      <c r="F9" s="184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5</v>
      </c>
      <c r="B10" s="180">
        <f>MRS!B10</f>
        <v>0</v>
      </c>
      <c r="C10" s="181"/>
      <c r="D10" s="182">
        <f>MRS!D10</f>
        <v>0</v>
      </c>
      <c r="E10" s="183"/>
      <c r="F10" s="184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6</v>
      </c>
      <c r="B11" s="180">
        <f>MRS!B11</f>
        <v>0</v>
      </c>
      <c r="C11" s="181"/>
      <c r="D11" s="182">
        <f>MRS!D11</f>
        <v>0</v>
      </c>
      <c r="E11" s="183"/>
      <c r="F11" s="184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7</v>
      </c>
      <c r="B12" s="175"/>
      <c r="C12" s="176"/>
      <c r="D12" s="177"/>
      <c r="E12" s="178"/>
      <c r="F12" s="179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8</v>
      </c>
      <c r="B13" s="175"/>
      <c r="C13" s="176"/>
      <c r="D13" s="177"/>
      <c r="E13" s="178"/>
      <c r="F13" s="179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9</v>
      </c>
      <c r="B14" s="175"/>
      <c r="C14" s="176"/>
      <c r="D14" s="177"/>
      <c r="E14" s="178"/>
      <c r="F14" s="179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10</v>
      </c>
      <c r="B15" s="175"/>
      <c r="C15" s="176"/>
      <c r="D15" s="177"/>
      <c r="E15" s="178"/>
      <c r="F15" s="179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75"/>
      <c r="C16" s="176"/>
      <c r="D16" s="177"/>
      <c r="E16" s="178"/>
      <c r="F16" s="179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75"/>
      <c r="C17" s="176"/>
      <c r="D17" s="177"/>
      <c r="E17" s="178"/>
      <c r="F17" s="179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1" zoomScale="130" zoomScaleNormal="100" zoomScaleSheetLayoutView="130" workbookViewId="0">
      <selection activeCell="G65" sqref="G6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107</v>
      </c>
      <c r="D9" s="34"/>
      <c r="E9" s="34"/>
    </row>
    <row r="10" spans="2:13" s="34" customFormat="1">
      <c r="B10" s="67"/>
      <c r="C10" s="34" t="s">
        <v>23</v>
      </c>
      <c r="D10" s="71" t="s">
        <v>108</v>
      </c>
      <c r="J10" s="34" t="s">
        <v>24</v>
      </c>
      <c r="K10" s="188">
        <f>MRS!L3</f>
        <v>46257</v>
      </c>
      <c r="L10" s="189"/>
      <c r="M10" s="189"/>
    </row>
    <row r="11" spans="2:13" s="34" customFormat="1">
      <c r="B11" s="67"/>
      <c r="C11" s="70" t="s">
        <v>25</v>
      </c>
      <c r="D11" s="71" t="s">
        <v>109</v>
      </c>
      <c r="J11" s="34" t="s">
        <v>26</v>
      </c>
      <c r="K11" s="190" t="str">
        <f>SUBSTITUTE(SUBSTITUTE(+MRS!A3,"  MRS No : ",""),"-MRS","-PO")</f>
        <v>SAC2-DS-PO-0431</v>
      </c>
      <c r="L11" s="190"/>
      <c r="M11" s="190"/>
    </row>
    <row r="12" spans="2:13" s="34" customFormat="1">
      <c r="B12" s="67"/>
      <c r="C12" s="70" t="s">
        <v>27</v>
      </c>
      <c r="D12" s="34" t="s">
        <v>110</v>
      </c>
      <c r="J12" s="34" t="s">
        <v>28</v>
      </c>
    </row>
    <row r="13" spans="2:13" s="34" customFormat="1">
      <c r="B13" s="67"/>
      <c r="C13" s="72"/>
      <c r="D13" s="71" t="s">
        <v>111</v>
      </c>
      <c r="J13" s="34" t="s">
        <v>29</v>
      </c>
    </row>
    <row r="14" spans="2:13" s="34" customFormat="1">
      <c r="B14" s="67"/>
      <c r="C14" s="72" t="s">
        <v>112</v>
      </c>
      <c r="J14" s="34" t="s">
        <v>30</v>
      </c>
      <c r="K14" s="34" t="s">
        <v>123</v>
      </c>
    </row>
    <row r="15" spans="2:13" s="34" customFormat="1">
      <c r="B15" s="67"/>
      <c r="C15" s="72" t="s">
        <v>113</v>
      </c>
      <c r="J15" s="34" t="s">
        <v>31</v>
      </c>
      <c r="K15" s="73">
        <v>46249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91" t="s">
        <v>32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35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36</v>
      </c>
    </row>
    <row r="26" spans="2:13" s="34" customFormat="1" ht="12" customHeight="1">
      <c r="B26" s="68"/>
      <c r="C26" s="119" t="str">
        <f>_xlfn.CONCAT(MRS!B6," ",MRS!D6)</f>
        <v xml:space="preserve">Plate Welder </v>
      </c>
      <c r="M26" s="120" t="s">
        <v>37</v>
      </c>
    </row>
    <row r="27" spans="2:13" ht="11.1" customHeight="1">
      <c r="B27" s="28"/>
      <c r="C27" s="121" t="str">
        <f>_xlfn.CONCAT(MRS!B7," ",MRS!D7,", ",MRS!B8)</f>
        <v xml:space="preserve"> , </v>
      </c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116" t="s">
        <v>92</v>
      </c>
      <c r="G29" s="116"/>
      <c r="H29" s="116"/>
      <c r="M29" s="29"/>
    </row>
    <row r="30" spans="2:13" ht="12" customHeight="1">
      <c r="B30" s="28"/>
      <c r="C30" s="22" t="s">
        <v>41</v>
      </c>
      <c r="E30" s="22" t="s">
        <v>40</v>
      </c>
      <c r="F30" s="116"/>
      <c r="G30" s="116"/>
      <c r="H30" s="116"/>
    </row>
    <row r="31" spans="2:13" ht="12" customHeight="1">
      <c r="B31" s="28"/>
      <c r="C31" s="22" t="s">
        <v>42</v>
      </c>
      <c r="D31" s="30"/>
      <c r="E31" s="22" t="s">
        <v>40</v>
      </c>
      <c r="F31" s="116"/>
      <c r="G31" s="116"/>
      <c r="H31" s="116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4" t="s">
        <v>56</v>
      </c>
      <c r="C49" s="75" t="s">
        <v>89</v>
      </c>
      <c r="P49" s="76"/>
    </row>
    <row r="50" spans="2:16" s="77" customFormat="1" ht="12" customHeight="1">
      <c r="B50" s="78" t="s">
        <v>56</v>
      </c>
      <c r="C50" s="75" t="s">
        <v>84</v>
      </c>
    </row>
    <row r="51" spans="2:16" s="77" customFormat="1" ht="12" customHeight="1">
      <c r="B51" s="78" t="s">
        <v>56</v>
      </c>
      <c r="C51" s="75" t="s">
        <v>83</v>
      </c>
    </row>
    <row r="52" spans="2:16" s="77" customFormat="1" ht="6" customHeight="1">
      <c r="B52" s="78"/>
      <c r="C52" s="75"/>
    </row>
    <row r="53" spans="2:16" ht="15" customHeight="1">
      <c r="B53" s="37">
        <v>7</v>
      </c>
      <c r="C53" s="28" t="s">
        <v>94</v>
      </c>
    </row>
    <row r="54" spans="2:16" ht="12" customHeight="1">
      <c r="B54" s="78" t="s">
        <v>56</v>
      </c>
      <c r="C54" s="117" t="s">
        <v>95</v>
      </c>
      <c r="F54" s="22" t="s">
        <v>114</v>
      </c>
      <c r="P54" s="22" t="str">
        <f>UPPER(F54)</f>
        <v>TECH SHIELD GULF ENERGY</v>
      </c>
    </row>
    <row r="55" spans="2:16" ht="12" customHeight="1">
      <c r="B55" s="78" t="s">
        <v>56</v>
      </c>
      <c r="C55" s="117" t="s">
        <v>96</v>
      </c>
      <c r="F55" s="118" t="s">
        <v>116</v>
      </c>
    </row>
    <row r="56" spans="2:16" ht="12" customHeight="1">
      <c r="B56" s="78" t="s">
        <v>56</v>
      </c>
      <c r="C56" s="117" t="s">
        <v>97</v>
      </c>
      <c r="F56" s="118" t="s">
        <v>115</v>
      </c>
    </row>
    <row r="57" spans="2:16" ht="12" customHeight="1">
      <c r="B57" s="78" t="s">
        <v>56</v>
      </c>
      <c r="C57" s="117" t="s">
        <v>98</v>
      </c>
      <c r="F57" s="22" t="s">
        <v>103</v>
      </c>
    </row>
    <row r="58" spans="2:16" ht="12" customHeight="1">
      <c r="B58" s="78" t="s">
        <v>56</v>
      </c>
      <c r="C58" s="117" t="s">
        <v>99</v>
      </c>
      <c r="F58" s="22" t="s">
        <v>104</v>
      </c>
    </row>
    <row r="59" spans="2:16" ht="12" customHeight="1">
      <c r="B59" s="78" t="s">
        <v>56</v>
      </c>
      <c r="C59" s="117" t="s">
        <v>100</v>
      </c>
      <c r="F59" s="22" t="s">
        <v>101</v>
      </c>
    </row>
    <row r="60" spans="2:16" ht="12" customHeight="1">
      <c r="B60" s="78"/>
      <c r="C60" s="117" t="s">
        <v>102</v>
      </c>
    </row>
    <row r="61" spans="2:16" ht="3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Farvej Alam</v>
      </c>
    </row>
    <row r="68" spans="1:13" ht="18" customHeight="1">
      <c r="B68" s="22" t="s">
        <v>62</v>
      </c>
      <c r="J68" s="22" t="s">
        <v>63</v>
      </c>
      <c r="K68" s="18" t="s">
        <v>117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93</v>
      </c>
      <c r="J70" s="195" t="str">
        <f>C9</f>
        <v>TSGE(Tech Shield Gulf Energy)</v>
      </c>
      <c r="K70" s="195"/>
      <c r="L70" s="195"/>
      <c r="M70" s="195"/>
    </row>
    <row r="71" spans="1:13" ht="27.95" customHeight="1">
      <c r="A71" s="187" t="s">
        <v>66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5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67</v>
      </c>
      <c r="B2" s="42" t="str">
        <f>+'PO 1st page'!K11</f>
        <v>SAC2-DS-PO-0431</v>
      </c>
      <c r="C2" s="204" t="s">
        <v>68</v>
      </c>
      <c r="D2" s="204"/>
      <c r="E2" s="204"/>
      <c r="F2" s="204"/>
      <c r="G2" s="43"/>
      <c r="H2" s="43"/>
    </row>
    <row r="3" spans="1:13" s="49" customFormat="1" ht="28.5" customHeight="1" thickBot="1">
      <c r="A3" s="44" t="s">
        <v>69</v>
      </c>
      <c r="B3" s="45">
        <f>+'PO 1st page'!K10</f>
        <v>46257</v>
      </c>
      <c r="C3" s="46"/>
      <c r="D3" s="47"/>
      <c r="E3" s="205" t="s">
        <v>70</v>
      </c>
      <c r="F3" s="205"/>
      <c r="G3" s="205"/>
      <c r="H3" s="205"/>
      <c r="I3" s="48"/>
    </row>
    <row r="4" spans="1:13" s="50" customFormat="1" ht="28.5" customHeight="1" thickTop="1">
      <c r="A4" s="206" t="s">
        <v>71</v>
      </c>
      <c r="B4" s="208" t="s">
        <v>72</v>
      </c>
      <c r="C4" s="209"/>
      <c r="D4" s="212" t="s">
        <v>73</v>
      </c>
      <c r="E4" s="212" t="s">
        <v>74</v>
      </c>
      <c r="F4" s="214" t="str">
        <f>'PO 1st page'!C9</f>
        <v>TSGE(Tech Shield Gulf Energy)</v>
      </c>
      <c r="G4" s="215"/>
      <c r="H4" s="216" t="s">
        <v>75</v>
      </c>
      <c r="K4" s="51"/>
      <c r="L4" s="51"/>
      <c r="M4" s="51"/>
    </row>
    <row r="5" spans="1:13" s="50" customFormat="1" ht="21.95" customHeight="1">
      <c r="A5" s="207"/>
      <c r="B5" s="210"/>
      <c r="C5" s="211"/>
      <c r="D5" s="213"/>
      <c r="E5" s="213"/>
      <c r="F5" s="52" t="s">
        <v>76</v>
      </c>
      <c r="G5" s="52" t="s">
        <v>42</v>
      </c>
      <c r="H5" s="217"/>
      <c r="K5" s="51"/>
      <c r="L5" s="51"/>
      <c r="M5" s="51"/>
    </row>
    <row r="6" spans="1:13" s="50" customFormat="1" ht="32.1" customHeight="1">
      <c r="A6" s="79">
        <f t="shared" ref="A6:A17" si="0">ROW(A1)</f>
        <v>1</v>
      </c>
      <c r="B6" s="200" t="str">
        <f>_xlfn.CONCAT(MRS!B6," ",MRS!D6)</f>
        <v xml:space="preserve">Plate Welder </v>
      </c>
      <c r="C6" s="201"/>
      <c r="D6" s="80" t="str">
        <f>MRS!G6</f>
        <v>Hour</v>
      </c>
      <c r="E6" s="80">
        <f>MRS!H6</f>
        <v>1</v>
      </c>
      <c r="F6" s="81">
        <f>MRS!I6</f>
        <v>24</v>
      </c>
      <c r="G6" s="82">
        <f>MRS!J6</f>
        <v>24</v>
      </c>
      <c r="H6" s="83" t="str">
        <f>MRS!L6</f>
        <v>Monthly</v>
      </c>
      <c r="K6" s="84"/>
      <c r="L6" s="85"/>
      <c r="M6" s="51"/>
    </row>
    <row r="7" spans="1:13" s="50" customFormat="1" ht="32.1" customHeight="1">
      <c r="A7" s="79">
        <f t="shared" si="0"/>
        <v>2</v>
      </c>
      <c r="B7" s="200"/>
      <c r="C7" s="201"/>
      <c r="D7" s="80"/>
      <c r="E7" s="80"/>
      <c r="F7" s="81"/>
      <c r="G7" s="82"/>
      <c r="H7" s="83"/>
      <c r="K7" s="84"/>
      <c r="L7" s="85"/>
      <c r="M7" s="51"/>
    </row>
    <row r="8" spans="1:13" s="50" customFormat="1" ht="32.1" customHeight="1">
      <c r="A8" s="86">
        <f t="shared" si="0"/>
        <v>3</v>
      </c>
      <c r="B8" s="200"/>
      <c r="C8" s="201"/>
      <c r="D8" s="80"/>
      <c r="E8" s="80"/>
      <c r="F8" s="81"/>
      <c r="G8" s="82"/>
      <c r="H8" s="91"/>
      <c r="K8" s="51"/>
      <c r="L8" s="51"/>
      <c r="M8" s="51"/>
    </row>
    <row r="9" spans="1:13" s="50" customFormat="1" ht="32.1" customHeight="1">
      <c r="A9" s="86">
        <f t="shared" si="0"/>
        <v>4</v>
      </c>
      <c r="B9" s="200"/>
      <c r="C9" s="201"/>
      <c r="D9" s="80"/>
      <c r="E9" s="80"/>
      <c r="F9" s="81"/>
      <c r="G9" s="82"/>
      <c r="H9" s="91"/>
    </row>
    <row r="10" spans="1:13" s="50" customFormat="1" ht="32.1" customHeight="1">
      <c r="A10" s="86">
        <f t="shared" si="0"/>
        <v>5</v>
      </c>
      <c r="B10" s="200"/>
      <c r="C10" s="201"/>
      <c r="D10" s="80"/>
      <c r="E10" s="80"/>
      <c r="F10" s="81"/>
      <c r="G10" s="82"/>
      <c r="H10" s="91"/>
    </row>
    <row r="11" spans="1:13" s="50" customFormat="1" ht="32.1" customHeight="1">
      <c r="A11" s="86">
        <f t="shared" si="0"/>
        <v>6</v>
      </c>
      <c r="B11" s="200"/>
      <c r="C11" s="201"/>
      <c r="D11" s="80"/>
      <c r="E11" s="80"/>
      <c r="F11" s="81"/>
      <c r="G11" s="82"/>
      <c r="H11" s="91"/>
    </row>
    <row r="12" spans="1:13" s="50" customFormat="1" ht="32.1" customHeight="1">
      <c r="A12" s="86">
        <f t="shared" si="0"/>
        <v>7</v>
      </c>
      <c r="B12" s="200"/>
      <c r="C12" s="201"/>
      <c r="D12" s="80"/>
      <c r="E12" s="80"/>
      <c r="F12" s="81"/>
      <c r="G12" s="82"/>
      <c r="H12" s="91"/>
    </row>
    <row r="13" spans="1:13" s="50" customFormat="1" ht="32.1" customHeight="1">
      <c r="A13" s="86">
        <f t="shared" si="0"/>
        <v>8</v>
      </c>
      <c r="B13" s="202"/>
      <c r="C13" s="203"/>
      <c r="D13" s="87"/>
      <c r="E13" s="88"/>
      <c r="F13" s="89"/>
      <c r="G13" s="90"/>
      <c r="H13" s="91"/>
    </row>
    <row r="14" spans="1:13" s="50" customFormat="1" ht="32.1" customHeight="1">
      <c r="A14" s="86">
        <f t="shared" si="0"/>
        <v>9</v>
      </c>
      <c r="B14" s="202"/>
      <c r="C14" s="203"/>
      <c r="D14" s="87"/>
      <c r="E14" s="88"/>
      <c r="F14" s="92"/>
      <c r="G14" s="90"/>
      <c r="H14" s="91"/>
    </row>
    <row r="15" spans="1:13" s="50" customFormat="1" ht="32.1" customHeight="1">
      <c r="A15" s="86">
        <f t="shared" si="0"/>
        <v>10</v>
      </c>
      <c r="B15" s="202"/>
      <c r="C15" s="203"/>
      <c r="D15" s="87"/>
      <c r="E15" s="88"/>
      <c r="F15" s="92"/>
      <c r="G15" s="90"/>
      <c r="H15" s="91"/>
    </row>
    <row r="16" spans="1:13" s="50" customFormat="1" ht="32.1" customHeight="1">
      <c r="A16" s="86">
        <f t="shared" si="0"/>
        <v>11</v>
      </c>
      <c r="B16" s="202"/>
      <c r="C16" s="203"/>
      <c r="D16" s="87"/>
      <c r="E16" s="88"/>
      <c r="F16" s="89"/>
      <c r="G16" s="90"/>
      <c r="H16" s="91"/>
      <c r="J16" s="50" t="s">
        <v>90</v>
      </c>
    </row>
    <row r="17" spans="1:13" s="50" customFormat="1" ht="32.1" customHeight="1">
      <c r="A17" s="86">
        <f t="shared" si="0"/>
        <v>12</v>
      </c>
      <c r="B17" s="202"/>
      <c r="C17" s="203"/>
      <c r="D17" s="87"/>
      <c r="E17" s="88"/>
      <c r="F17" s="89"/>
      <c r="G17" s="90"/>
      <c r="H17" s="91"/>
    </row>
    <row r="18" spans="1:13" s="50" customFormat="1" ht="23.1" customHeight="1">
      <c r="A18" s="196" t="s">
        <v>77</v>
      </c>
      <c r="B18" s="197"/>
      <c r="C18" s="197"/>
      <c r="D18" s="197"/>
      <c r="E18" s="197"/>
      <c r="F18" s="197"/>
      <c r="G18" s="53">
        <f>SUM(G6:G17)</f>
        <v>24</v>
      </c>
      <c r="H18" s="54"/>
    </row>
    <row r="19" spans="1:13" s="50" customFormat="1" ht="23.1" customHeight="1">
      <c r="A19" s="196" t="s">
        <v>41</v>
      </c>
      <c r="B19" s="197"/>
      <c r="C19" s="197"/>
      <c r="D19" s="197"/>
      <c r="E19" s="197"/>
      <c r="F19" s="197"/>
      <c r="G19" s="53">
        <f>+G18*0.15</f>
        <v>3.5999999999999996</v>
      </c>
      <c r="H19" s="54"/>
    </row>
    <row r="20" spans="1:13" s="50" customFormat="1" ht="24.95" customHeight="1" thickBot="1">
      <c r="A20" s="198" t="s">
        <v>78</v>
      </c>
      <c r="B20" s="199"/>
      <c r="C20" s="199"/>
      <c r="D20" s="199"/>
      <c r="E20" s="199"/>
      <c r="F20" s="199"/>
      <c r="G20" s="55">
        <f>G19+G18</f>
        <v>27.6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15/TSGE/HY/008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79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87" t="s">
        <v>80</v>
      </c>
      <c r="B24" s="187"/>
      <c r="C24" s="187"/>
      <c r="D24" s="187"/>
      <c r="E24" s="187"/>
      <c r="F24" s="187"/>
      <c r="G24" s="187"/>
      <c r="H24" s="187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2026-08-24T02:58:45Z</cp:lastPrinted>
  <dcterms:created xsi:type="dcterms:W3CDTF">2024-10-20T11:50:19Z</dcterms:created>
  <dcterms:modified xsi:type="dcterms:W3CDTF">2026-08-24T03:37:20Z</dcterms:modified>
</cp:coreProperties>
</file>