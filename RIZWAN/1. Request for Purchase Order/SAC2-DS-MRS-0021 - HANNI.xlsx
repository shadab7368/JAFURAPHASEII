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A91A8C42-38F5-4CD3-9FDE-46ACF1EA67D5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9" i="3" l="1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<sst xmlns="http://schemas.openxmlformats.org/spreadsheetml/2006/main" count="157" uniqueCount="119">
  <si>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</si>
  <si>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</si>
  <si>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</si>
  <si>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</si>
  <si>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</si>
  <si>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</si>
  <si>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</si>
  <si>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</si>
  <si>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</si>
  <si>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</si>
  <si>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</si>
  <si>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</si>
  <si>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</si>
  <si>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</si>
  <si>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</si>
  <si>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</si>
  <si>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</si>
  <si>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</si>
  <si>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</si>
  <si>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</si>
  <si>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</si>
  <si>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</si>
  <si>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</si>
  <si>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</si>
  <si>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</si>
  <si>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</si>
  <si>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</si>
  <si>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</si>
  <si>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</si>
  <si>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</si>
  <si>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</si>
  <si>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</si>
  <si>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</si>
  <si>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</si>
  <si>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</si>
  <si>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</si>
  <si>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</si>
  <si>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</si>
  <si>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</si>
  <si>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</si>
  <si>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</si>
  <si>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</si>
  <si>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</si>
  <si>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</si>
  <si>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</si>
  <si>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</si>
  <si>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</si>
  <si>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</si>
  <si>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</si>
  <si>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</si>
  <si>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</si>
  <si>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</si>
  <si>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</si>
  <si>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</si>
  <si>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</si>
  <si>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</si>
  <si>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</si>
  <si>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</si>
  <si>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</si>
  <si>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</si>
  <si>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</si>
  <si>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</si>
  <si>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</si>
  <si>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</si>
  <si>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</si>
  <si>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</si>
  <si>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</si>
  <si>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</si>
  <si>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</si>
  <si>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</si>
  <si>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</si>
  <si>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</si>
  <si>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</si>
  <si>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</si>
  <si>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</si>
  <si>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</si>
  <si>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</si>
  <si>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</si>
  <si>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</si>
  <si>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</si>
  <si>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</si>
  <si>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</si>
  <si>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</si>
  <si>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</si>
  <si>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</si>
  <si>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</si>
  <si>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</si>
  <si>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</si>
  <si>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</si>
  <si>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</si>
  <si>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</si>
  <si>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</si>
  <si>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</si>
  <si>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</si>
  <si>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</si>
  <si>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</si>
  <si>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</si>
  <si>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</si>
  <si>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</si>
  <si>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</si>
  <si>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</si>
  <si>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</si>
  <si>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Operation Manager</t>
  </si>
  <si>
    <t>Diesel</t>
  </si>
  <si>
    <t>HANNI</t>
  </si>
  <si>
    <t>LTR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</si>
  <si>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-MRS-0021</t>
    </r>
  </si>
  <si>
    <t>HANI(Hanni Ahmad Said Al-Othman Menhali Est.)</t>
  </si>
  <si>
    <t>2251058555</t>
  </si>
  <si>
    <t>300776977800003</t>
  </si>
  <si>
    <t>Arvind Kumar</t>
  </si>
  <si>
    <t>+966 55 4222473 / Email:arvindkumar.almenhaliest@gmail.com</t>
  </si>
  <si>
    <t>Mobile : +966 554222473</t>
  </si>
  <si>
    <t>HM-094-25</t>
  </si>
  <si>
    <t>P.O. Box 3374 Al Hasa Hofuf-RiyadhSt. KSA</t>
  </si>
  <si>
    <t>this price start Jan 2025</t>
  </si>
  <si>
    <t>until Dec 2024 price is</t>
  </si>
  <si>
    <t>SAR 1.24 / ltr</t>
  </si>
  <si>
    <t>SAR 1.75 /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</si>
</sst>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2" xfId="6" applyNumberFormat="1" applyFont="1" applyBorder="1" applyAlignment="1">
      <alignment horizontal="center" vertical="center" wrapText="1"/>
    </xf>
    <xf numFmtId="0" fontId="6" fillId="0" borderId="43" xfId="6" applyFont="1" applyBorder="1"/>
    <xf numFmtId="0" fontId="8" fillId="0" borderId="0" xfId="6" applyFont="1" applyAlignment="1">
      <alignment vertical="center"/>
    </xf>
    <xf numFmtId="0" fontId="26" fillId="0" borderId="44" xfId="6" applyFont="1" applyBorder="1" applyAlignment="1">
      <alignment vertical="center"/>
    </xf>
    <xf numFmtId="0" fontId="26" fillId="0" borderId="44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1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320845</xdr:colOff>
          <xdr:row>17</xdr:row>
          <xdr:rowOff>10022</xdr:rowOff>
        </xdr:from>
        <xdr:to>
          <xdr:col>11</xdr:col>
          <xdr:colOff>1624767</xdr:colOff>
          <xdr:row>24</xdr:row>
          <xdr:rowOff>10023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49845" y="4993101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L6" sqref="L6:L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2" t="s">
        <v>100</v>
      </c>
      <c r="B1" s="109"/>
      <c r="C1" s="109"/>
      <c r="D1" s="109"/>
      <c r="E1" s="109"/>
      <c r="F1" s="109"/>
      <c r="G1" s="1"/>
      <c r="J1" s="140" t="s">
        <v>92</v>
      </c>
      <c r="K1" s="141"/>
      <c r="L1" s="142"/>
    </row>
    <row r="2" spans="1:19" ht="20.100000000000001" customHeight="1">
      <c r="A2" s="3" t="s">
        <v>1</v>
      </c>
      <c r="B2" s="100"/>
      <c r="C2" s="100"/>
      <c r="D2" s="3" t="s">
        <v>99</v>
      </c>
      <c r="E2" s="100"/>
      <c r="F2" s="100"/>
      <c r="G2" s="100"/>
      <c r="H2" s="100"/>
      <c r="I2" s="4"/>
      <c r="J2" s="143" t="s">
        <v>101</v>
      </c>
      <c r="K2" s="144"/>
      <c r="L2" s="145"/>
    </row>
    <row r="3" spans="1:19" ht="20.100000000000001" customHeight="1">
      <c r="A3" s="3" t="s">
        <v>106</v>
      </c>
      <c r="B3" s="100"/>
      <c r="C3" s="100"/>
      <c r="D3" s="100"/>
      <c r="E3" s="146">
        <f>+L3</f>
        <v>45670</v>
      </c>
      <c r="F3" s="146"/>
      <c r="G3" s="146"/>
      <c r="H3" s="146"/>
      <c r="I3" s="146"/>
      <c r="J3" s="100"/>
      <c r="K3" s="100"/>
      <c r="L3" s="121">
        <v>45670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97</v>
      </c>
      <c r="J4" s="147" t="s">
        <v>98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103</v>
      </c>
      <c r="C6" s="129"/>
      <c r="D6" s="130"/>
      <c r="E6" s="131"/>
      <c r="F6" s="132"/>
      <c r="G6" s="110" t="s">
        <v>105</v>
      </c>
      <c r="H6" s="111">
        <v>1</v>
      </c>
      <c r="I6" s="112">
        <v>1.75</v>
      </c>
      <c r="J6" s="112">
        <f>H6*I6</f>
        <v>1.75</v>
      </c>
      <c r="K6" s="113" t="s">
        <v>104</v>
      </c>
      <c r="L6" s="114" t="s">
        <v>115</v>
      </c>
      <c r="S6" s="105"/>
    </row>
    <row r="7" spans="1:19" ht="22.5" customHeight="1">
      <c r="A7" s="5">
        <f t="shared" si="0"/>
        <v>2</v>
      </c>
      <c r="B7" s="128"/>
      <c r="C7" s="129"/>
      <c r="D7" s="139"/>
      <c r="E7" s="131"/>
      <c r="F7" s="132"/>
      <c r="G7" s="110"/>
      <c r="H7" s="111"/>
      <c r="I7" s="112"/>
      <c r="J7" s="112"/>
      <c r="K7" s="113"/>
      <c r="L7" s="114" t="s">
        <v>116</v>
      </c>
      <c r="S7" s="105"/>
    </row>
    <row r="8" spans="1:19" ht="22.5" customHeight="1">
      <c r="A8" s="5">
        <f t="shared" si="0"/>
        <v>3</v>
      </c>
      <c r="B8" s="128"/>
      <c r="C8" s="129"/>
      <c r="D8" s="130"/>
      <c r="E8" s="131"/>
      <c r="F8" s="132"/>
      <c r="G8" s="110"/>
      <c r="H8" s="111"/>
      <c r="I8" s="112"/>
      <c r="J8" s="112"/>
      <c r="K8" s="113"/>
      <c r="L8" s="114" t="s">
        <v>117</v>
      </c>
      <c r="S8" s="105"/>
    </row>
    <row r="9" spans="1:19" ht="22.5" customHeight="1">
      <c r="A9" s="5">
        <f t="shared" si="0"/>
        <v>4</v>
      </c>
      <c r="B9" s="128"/>
      <c r="C9" s="129"/>
      <c r="D9" s="130"/>
      <c r="E9" s="131"/>
      <c r="F9" s="132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7"/>
      <c r="C10" s="137"/>
      <c r="D10" s="138"/>
      <c r="E10" s="138"/>
      <c r="F10" s="138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8"/>
      <c r="C11" s="129"/>
      <c r="D11" s="130"/>
      <c r="E11" s="131"/>
      <c r="F11" s="132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3" t="s">
        <v>8</v>
      </c>
      <c r="B16" s="134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1.75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4" t="s">
        <v>17</v>
      </c>
      <c r="Q21" s="124" t="s">
        <v>18</v>
      </c>
    </row>
    <row r="22" spans="1:22" ht="18" customHeight="1">
      <c r="O22" s="18" t="s">
        <v>19</v>
      </c>
      <c r="P22" s="126"/>
      <c r="Q22" s="126"/>
      <c r="S22" s="13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21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21</v>
      </c>
      <c r="P46" s="124" t="s">
        <v>21</v>
      </c>
      <c r="Q46" s="124" t="s">
        <v>21</v>
      </c>
      <c r="T46" s="124" t="s">
        <v>22</v>
      </c>
      <c r="U46" s="124" t="s">
        <v>13</v>
      </c>
      <c r="V46" s="124" t="s">
        <v>21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13</v>
      </c>
      <c r="U50" s="124" t="s">
        <v>22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100</v>
      </c>
      <c r="B1" s="99"/>
      <c r="C1" s="99"/>
      <c r="D1" s="99"/>
      <c r="E1" s="99"/>
      <c r="F1" s="99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(Sang Yeun Cho)</v>
      </c>
      <c r="E2" s="100"/>
      <c r="F2" s="100"/>
      <c r="G2" s="20"/>
      <c r="H2" s="20"/>
      <c r="I2" s="20"/>
      <c r="J2" s="143" t="str">
        <f>+MRS!J2</f>
        <v>Subcontract name ()</v>
      </c>
      <c r="K2" s="145"/>
    </row>
    <row r="3" spans="1:18" ht="24.95" customHeight="1">
      <c r="A3" s="3" t="str">
        <f>+MRS!A3</f>
        <v xml:space="preserve">  MRS No : SAC2-DS-MRS-0021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45670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93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Diesel</v>
      </c>
      <c r="C6" s="165"/>
      <c r="D6" s="166">
        <f>MRS!D6</f>
        <v>0</v>
      </c>
      <c r="E6" s="167"/>
      <c r="F6" s="168"/>
      <c r="G6" s="102" t="str">
        <f>MRS!G6</f>
        <v>LTR</v>
      </c>
      <c r="H6" s="102">
        <f>MRS!H6</f>
        <v>1</v>
      </c>
      <c r="I6" s="103">
        <f>MRS!I6</f>
        <v>1.75</v>
      </c>
      <c r="J6" s="103">
        <f>MRS!J6</f>
        <v>1.75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59"/>
      <c r="C8" s="160"/>
      <c r="D8" s="161"/>
      <c r="E8" s="162"/>
      <c r="F8" s="163"/>
      <c r="G8" s="106"/>
      <c r="H8" s="107"/>
      <c r="I8" s="108"/>
      <c r="J8" s="108"/>
      <c r="K8" s="104"/>
      <c r="O8" s="105"/>
      <c r="P8" s="105"/>
      <c r="R8" s="105"/>
    </row>
    <row r="9" spans="1:18" ht="105" customHeight="1">
      <c r="A9" s="21">
        <f>+MRS!A9</f>
        <v>4</v>
      </c>
      <c r="B9" s="159"/>
      <c r="C9" s="160"/>
      <c r="D9" s="161"/>
      <c r="E9" s="162"/>
      <c r="F9" s="163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59"/>
      <c r="C10" s="160"/>
      <c r="D10" s="161"/>
      <c r="E10" s="162"/>
      <c r="F10" s="163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59"/>
      <c r="C11" s="160"/>
      <c r="D11" s="161"/>
      <c r="E11" s="162"/>
      <c r="F11" s="163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41" zoomScale="130" zoomScaleNormal="100" zoomScaleSheetLayoutView="130" workbookViewId="0">
      <selection activeCell="Q62" sqref="Q6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107</v>
      </c>
      <c r="D9" s="39"/>
      <c r="E9" s="39"/>
    </row>
    <row r="10" spans="2:13" s="39" customFormat="1">
      <c r="B10" s="72"/>
      <c r="C10" s="39" t="s">
        <v>33</v>
      </c>
      <c r="D10" s="76" t="s">
        <v>108</v>
      </c>
      <c r="J10" s="39" t="s">
        <v>34</v>
      </c>
      <c r="K10" s="172">
        <f>MRS!L3</f>
        <v>45670</v>
      </c>
      <c r="L10" s="173"/>
      <c r="M10" s="173"/>
    </row>
    <row r="11" spans="2:13" s="39" customFormat="1">
      <c r="B11" s="72"/>
      <c r="C11" s="75" t="s">
        <v>35</v>
      </c>
      <c r="D11" s="76" t="s">
        <v>109</v>
      </c>
      <c r="J11" s="39" t="s">
        <v>36</v>
      </c>
      <c r="K11" s="174" t="str">
        <f>SUBSTITUTE(SUBSTITUTE(+MRS!A3,"  MRS No : ",""),"-MRS","-PO")</f>
        <v>SAC2-DS-PO-0021</v>
      </c>
      <c r="L11" s="174"/>
      <c r="M11" s="174"/>
    </row>
    <row r="12" spans="2:13" s="39" customFormat="1">
      <c r="B12" s="72"/>
      <c r="C12" s="75" t="s">
        <v>37</v>
      </c>
      <c r="D12" s="39" t="s">
        <v>110</v>
      </c>
      <c r="J12" s="39" t="s">
        <v>38</v>
      </c>
    </row>
    <row r="13" spans="2:13" s="39" customFormat="1">
      <c r="B13" s="72"/>
      <c r="C13" s="77"/>
      <c r="D13" s="76" t="s">
        <v>111</v>
      </c>
      <c r="J13" s="39" t="s">
        <v>39</v>
      </c>
    </row>
    <row r="14" spans="2:13" s="39" customFormat="1">
      <c r="B14" s="72"/>
      <c r="C14" s="77" t="s">
        <v>114</v>
      </c>
      <c r="J14" s="39" t="s">
        <v>40</v>
      </c>
      <c r="K14" s="39" t="s">
        <v>113</v>
      </c>
    </row>
    <row r="15" spans="2:13" s="39" customFormat="1">
      <c r="B15" s="72"/>
      <c r="C15" s="77" t="s">
        <v>112</v>
      </c>
      <c r="J15" s="39" t="s">
        <v>41</v>
      </c>
      <c r="K15" s="78">
        <v>45669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103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23" t="s">
        <v>118</v>
      </c>
      <c r="G29" s="123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/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Arvind Kumar</v>
      </c>
    </row>
    <row r="60" spans="1:16" ht="18" customHeight="1">
      <c r="B60" s="26" t="s">
        <v>72</v>
      </c>
      <c r="J60" s="26" t="s">
        <v>73</v>
      </c>
      <c r="K60" s="22" t="s">
        <v>102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HANI(Hanni Ahmad Said Al-Othman Menhali Est.)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G14" sqref="G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1.5703125" style="45" customWidth="1"/>
    <col min="6" max="6" width="15.5703125" style="45" customWidth="1"/>
    <col min="7" max="7" width="17.140625" style="45" customWidth="1"/>
    <col min="8" max="8" width="21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SAC2-DS-PO-0021</v>
      </c>
      <c r="C2" s="187" t="s">
        <v>79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45670</v>
      </c>
      <c r="C3" s="51"/>
      <c r="D3" s="52"/>
      <c r="E3" s="188" t="s">
        <v>81</v>
      </c>
      <c r="F3" s="188"/>
      <c r="G3" s="188"/>
      <c r="H3" s="188"/>
      <c r="I3" s="53"/>
    </row>
    <row r="4" spans="1:13" s="55" customFormat="1" ht="28.5" customHeight="1" thickTop="1">
      <c r="A4" s="189" t="s">
        <v>82</v>
      </c>
      <c r="B4" s="191" t="s">
        <v>83</v>
      </c>
      <c r="C4" s="192"/>
      <c r="D4" s="195" t="s">
        <v>84</v>
      </c>
      <c r="E4" s="195" t="s">
        <v>85</v>
      </c>
      <c r="F4" s="197" t="str">
        <f>'PO 1st page'!C9</f>
        <v>HANI(Hanni Ahmad Said Al-Othman Menhali Est.)</v>
      </c>
      <c r="G4" s="198"/>
      <c r="H4" s="199" t="s">
        <v>86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87</v>
      </c>
      <c r="G5" s="57" t="s">
        <v>52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+'MRS LIST'!B6</f>
        <v>Diesel</v>
      </c>
      <c r="C6" s="202"/>
      <c r="D6" s="86" t="str">
        <f>+'MRS LIST'!G6</f>
        <v>LTR</v>
      </c>
      <c r="E6" s="87">
        <f>+'MRS LIST'!H6</f>
        <v>1</v>
      </c>
      <c r="F6" s="88">
        <f>+'MRS LIST'!I6</f>
        <v>1.75</v>
      </c>
      <c r="G6" s="89">
        <f>+'MRS LIST'!J6</f>
        <v>1.75</v>
      </c>
      <c r="H6" s="114" t="s">
        <v>115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1"/>
      <c r="C7" s="202"/>
      <c r="D7" s="86"/>
      <c r="E7" s="87"/>
      <c r="F7" s="88"/>
      <c r="G7" s="89"/>
      <c r="H7" s="114" t="s">
        <v>116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185"/>
      <c r="C8" s="186"/>
      <c r="D8" s="93"/>
      <c r="E8" s="94"/>
      <c r="F8" s="95"/>
      <c r="G8" s="96"/>
      <c r="H8" s="114" t="s">
        <v>117</v>
      </c>
      <c r="K8" s="56"/>
      <c r="L8" s="56"/>
      <c r="M8" s="56"/>
    </row>
    <row r="9" spans="1:13" s="55" customFormat="1" ht="32.1" customHeight="1">
      <c r="A9" s="92">
        <f t="shared" si="0"/>
        <v>4</v>
      </c>
      <c r="B9" s="185"/>
      <c r="C9" s="186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85"/>
      <c r="C10" s="186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5"/>
      <c r="C11" s="186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5"/>
      <c r="C12" s="186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5"/>
      <c r="C13" s="186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5"/>
      <c r="C14" s="186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5"/>
      <c r="C15" s="186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5"/>
      <c r="C16" s="186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5"/>
      <c r="C17" s="186"/>
      <c r="D17" s="93"/>
      <c r="E17" s="94"/>
      <c r="F17" s="95"/>
      <c r="G17" s="96"/>
      <c r="H17" s="97"/>
    </row>
    <row r="18" spans="1:13" s="55" customFormat="1" ht="23.1" customHeight="1">
      <c r="A18" s="181" t="s">
        <v>88</v>
      </c>
      <c r="B18" s="182"/>
      <c r="C18" s="182"/>
      <c r="D18" s="182"/>
      <c r="E18" s="182"/>
      <c r="F18" s="182"/>
      <c r="G18" s="58">
        <f>SUM(G6:G17)</f>
        <v>1.75</v>
      </c>
      <c r="H18" s="59"/>
    </row>
    <row r="19" spans="1:13" s="55" customFormat="1" ht="23.1" customHeight="1">
      <c r="A19" s="181" t="s">
        <v>51</v>
      </c>
      <c r="B19" s="182"/>
      <c r="C19" s="182"/>
      <c r="D19" s="182"/>
      <c r="E19" s="182"/>
      <c r="F19" s="182"/>
      <c r="G19" s="58">
        <f>+G18*0.15</f>
        <v>0.26250000000000001</v>
      </c>
      <c r="H19" s="59"/>
    </row>
    <row r="20" spans="1:13" s="55" customFormat="1" ht="24.95" customHeight="1" thickBot="1">
      <c r="A20" s="183" t="s">
        <v>89</v>
      </c>
      <c r="B20" s="184"/>
      <c r="C20" s="184"/>
      <c r="D20" s="184"/>
      <c r="E20" s="184"/>
      <c r="F20" s="184"/>
      <c r="G20" s="60">
        <f>G19+G18</f>
        <v>2.0125000000000002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HM-094-25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2025-01-13T13:26:22Z</cp:lastPrinted>
  <dcterms:created xsi:type="dcterms:W3CDTF">2024-10-20T11:50:19Z</dcterms:created>
  <dcterms:modified xsi:type="dcterms:W3CDTF">2025-01-13T13:28:08Z</dcterms:modified>
</cp:coreProperties>
</file>