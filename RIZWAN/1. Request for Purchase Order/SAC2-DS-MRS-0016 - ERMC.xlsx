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9575C9D4-EB9B-4980-84DE-7C3014B4FCC8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" l="1"/>
  <c r="A13" i="1"/>
  <c r="A12" i="1"/>
  <c r="A13" i="2" s="1"/>
  <c r="A11" i="1"/>
  <c r="A12" i="2" s="1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1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5" i="2"/>
  <c r="A14" i="2"/>
  <c r="A10" i="1"/>
  <c r="A11" i="2" s="1"/>
  <c r="A9" i="1"/>
  <c r="A10" i="2" s="1"/>
  <c r="A8" i="1"/>
  <c r="A9" i="2" s="1"/>
  <c r="A7" i="1"/>
  <c r="A8" i="2" s="1"/>
  <c r="A7" i="2"/>
  <c r="A6" i="1"/>
  <c r="A6" i="2" s="1"/>
  <c r="J15" i="1" l="1"/>
  <c r="G18" i="4"/>
  <c r="F28" i="3" s="1"/>
  <c r="F29" i="3" s="1"/>
  <c r="G19" i="4" l="1"/>
  <c r="G20" i="4" s="1"/>
  <c r="F30" i="3"/>
</calcChain>
</file>

<file path=xl/sharedStrings.xml><?xml version="1.0" encoding="utf-8"?>
<sst xmlns="http://schemas.openxmlformats.org/spreadsheetml/2006/main" count="150" uniqueCount="116">
  <si>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</si>
  <si>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</si>
  <si>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</si>
  <si>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</si>
  <si>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</si>
  <si>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</si>
  <si>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</si>
  <si>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</si>
  <si>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</si>
  <si>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</si>
  <si>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</si>
  <si>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</si>
  <si>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</si>
  <si>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</si>
  <si>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</si>
  <si>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</si>
  <si>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</si>
  <si>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</si>
  <si>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</si>
  <si>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</si>
  <si>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</si>
  <si>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</si>
  <si>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</si>
  <si>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</si>
  <si>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</si>
  <si>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</si>
  <si>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</si>
  <si>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</si>
  <si>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</si>
  <si>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</si>
  <si>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</si>
  <si>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</si>
  <si>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</si>
  <si>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</si>
  <si>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</si>
  <si>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</si>
  <si>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</si>
  <si>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</si>
  <si>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</si>
  <si>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</si>
  <si>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</si>
  <si>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</si>
  <si>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</si>
  <si>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</si>
  <si>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</si>
  <si>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</si>
  <si>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</si>
  <si>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</si>
  <si>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</si>
  <si>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</si>
  <si>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</si>
  <si>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</si>
  <si>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</si>
  <si>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</si>
  <si>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</si>
  <si>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</si>
  <si>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</si>
  <si>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</si>
  <si>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</si>
  <si>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</si>
  <si>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</si>
  <si>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</si>
  <si>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</si>
  <si>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</si>
  <si>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</si>
  <si>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</si>
  <si>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</si>
  <si>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</si>
  <si>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</si>
  <si>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</si>
  <si>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</si>
  <si>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</si>
  <si>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</si>
  <si>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</si>
  <si>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</si>
  <si>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</si>
  <si>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</si>
  <si>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</si>
  <si>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</si>
  <si>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</si>
  <si>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</si>
  <si>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</si>
  <si>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</si>
  <si>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</si>
  <si>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</si>
  <si>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</si>
  <si>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</si>
  <si>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</si>
  <si>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</si>
  <si>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</si>
  <si>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</si>
  <si>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</si>
  <si>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</si>
  <si>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</si>
  <si>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</si>
  <si>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</si>
  <si>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</si>
  <si>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</si>
  <si>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</si>
  <si>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</si>
  <si>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</si>
  <si>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</si>
  <si>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t>ERMC(Eastern Ready Mix Concrete Company)</t>
  </si>
  <si>
    <t>310495012200003</t>
  </si>
  <si>
    <t>Emrah Ozturk</t>
  </si>
  <si>
    <t xml:space="preserve">+966 54 343 3179 </t>
  </si>
  <si>
    <t>P.O. Box 56006 Riyadh 11554</t>
  </si>
  <si>
    <t> Landline : +966 112899999  /  Mobile : +966 543433179</t>
  </si>
  <si>
    <t>m3</t>
  </si>
  <si>
    <t>ERMC</t>
  </si>
  <si>
    <t>Portland Cement</t>
  </si>
  <si>
    <t>Poretland Cement Type 1 as pe ASTM C150 
Cement content min 360 grms per 09 SAMSS-097 35Mpa</t>
  </si>
  <si>
    <t>Portland Cement Type 1 as pe ASTM C150 
Cement content min 360 grms per 09 SAMSS-097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</si>
  <si>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</si>
  <si>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-MRS-0016</t>
    </r>
  </si>
  <si>
    <t>Subcontract name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</si>
</sst>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12</xdr:col>
          <xdr:colOff>502</xdr:colOff>
          <xdr:row>23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V$23" spid="_x0000_s10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1"/>
  <sheetViews>
    <sheetView showGridLines="0" view="pageBreakPreview" zoomScale="95" zoomScaleNormal="95" zoomScaleSheetLayoutView="95" workbookViewId="0">
      <selection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113</v>
      </c>
      <c r="B1" s="124"/>
      <c r="C1" s="111"/>
      <c r="D1" s="111"/>
      <c r="E1" s="111"/>
      <c r="F1" s="111"/>
      <c r="G1" s="1"/>
      <c r="J1" s="141" t="s">
        <v>93</v>
      </c>
      <c r="K1" s="142"/>
      <c r="L1" s="143"/>
    </row>
    <row r="2" spans="1:19" ht="20.100000000000001" customHeight="1">
      <c r="A2" s="3" t="s">
        <v>1</v>
      </c>
      <c r="B2" s="102"/>
      <c r="C2" s="102"/>
      <c r="D2" s="3" t="s">
        <v>101</v>
      </c>
      <c r="E2" s="102"/>
      <c r="F2" s="102"/>
      <c r="G2" s="102"/>
      <c r="H2" s="102"/>
      <c r="I2" s="4"/>
      <c r="J2" s="144" t="s">
        <v>115</v>
      </c>
      <c r="K2" s="145"/>
      <c r="L2" s="146"/>
    </row>
    <row r="3" spans="1:19" ht="20.100000000000001" customHeight="1">
      <c r="A3" s="3" t="s">
        <v>114</v>
      </c>
      <c r="B3" s="102"/>
      <c r="C3" s="102"/>
      <c r="D3" s="102"/>
      <c r="E3" s="147">
        <f>+L3</f>
        <v>45648</v>
      </c>
      <c r="F3" s="147"/>
      <c r="G3" s="147"/>
      <c r="H3" s="147"/>
      <c r="I3" s="147"/>
      <c r="J3" s="102"/>
      <c r="K3" s="102"/>
      <c r="L3" s="123">
        <v>45648</v>
      </c>
      <c r="M3" s="4"/>
    </row>
    <row r="4" spans="1:19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48" t="s">
        <v>6</v>
      </c>
      <c r="I4" s="148" t="s">
        <v>99</v>
      </c>
      <c r="J4" s="150" t="s">
        <v>100</v>
      </c>
      <c r="K4" s="148" t="s">
        <v>0</v>
      </c>
      <c r="L4" s="151" t="s">
        <v>7</v>
      </c>
    </row>
    <row r="5" spans="1:19" ht="15.95" customHeight="1">
      <c r="A5" s="150"/>
      <c r="B5" s="151"/>
      <c r="C5" s="151"/>
      <c r="D5" s="155"/>
      <c r="E5" s="156"/>
      <c r="F5" s="157"/>
      <c r="G5" s="159"/>
      <c r="H5" s="149"/>
      <c r="I5" s="149"/>
      <c r="J5" s="150"/>
      <c r="K5" s="149"/>
      <c r="L5" s="151"/>
    </row>
    <row r="6" spans="1:19" ht="60" customHeight="1">
      <c r="A6" s="5">
        <f t="shared" ref="A6" si="0">ROW(A1)</f>
        <v>1</v>
      </c>
      <c r="B6" s="130" t="s">
        <v>110</v>
      </c>
      <c r="C6" s="131"/>
      <c r="D6" s="132" t="s">
        <v>112</v>
      </c>
      <c r="E6" s="133"/>
      <c r="F6" s="134"/>
      <c r="G6" s="112" t="s">
        <v>108</v>
      </c>
      <c r="H6" s="113">
        <v>24</v>
      </c>
      <c r="I6" s="114">
        <v>354</v>
      </c>
      <c r="J6" s="114">
        <f>H6*I6</f>
        <v>8496</v>
      </c>
      <c r="K6" s="115" t="s">
        <v>109</v>
      </c>
      <c r="L6" s="116"/>
      <c r="S6" s="107"/>
    </row>
    <row r="7" spans="1:19" ht="22.5" customHeight="1">
      <c r="A7" s="5">
        <f>ROW(A3)</f>
        <v>3</v>
      </c>
      <c r="B7" s="130"/>
      <c r="C7" s="131"/>
      <c r="D7" s="132"/>
      <c r="E7" s="133"/>
      <c r="F7" s="134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>ROW(A4)</f>
        <v>4</v>
      </c>
      <c r="B8" s="130"/>
      <c r="C8" s="131"/>
      <c r="D8" s="132"/>
      <c r="E8" s="133"/>
      <c r="F8" s="134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>ROW(A5)</f>
        <v>5</v>
      </c>
      <c r="B9" s="130"/>
      <c r="C9" s="131"/>
      <c r="D9" s="140"/>
      <c r="E9" s="140"/>
      <c r="F9" s="140"/>
      <c r="G9" s="112"/>
      <c r="H9" s="113"/>
      <c r="I9" s="117"/>
      <c r="J9" s="114"/>
      <c r="K9" s="115"/>
      <c r="L9" s="112"/>
      <c r="S9" s="107"/>
    </row>
    <row r="10" spans="1:19" ht="22.5" customHeight="1">
      <c r="A10" s="5">
        <f>ROW(A6)</f>
        <v>6</v>
      </c>
      <c r="B10" s="130"/>
      <c r="C10" s="131"/>
      <c r="D10" s="132"/>
      <c r="E10" s="133"/>
      <c r="F10" s="134"/>
      <c r="G10" s="112"/>
      <c r="H10" s="113"/>
      <c r="I10" s="114"/>
      <c r="J10" s="114"/>
      <c r="K10" s="115"/>
      <c r="L10" s="116"/>
      <c r="S10" s="107"/>
    </row>
    <row r="11" spans="1:19" ht="22.5" customHeight="1">
      <c r="A11" s="5">
        <f t="shared" ref="A11:A14" si="1">ROW(A7)</f>
        <v>7</v>
      </c>
      <c r="B11" s="139"/>
      <c r="C11" s="139"/>
      <c r="D11" s="140"/>
      <c r="E11" s="140"/>
      <c r="F11" s="140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1"/>
        <v>8</v>
      </c>
      <c r="B12" s="130"/>
      <c r="C12" s="131"/>
      <c r="D12" s="132"/>
      <c r="E12" s="133"/>
      <c r="F12" s="134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f t="shared" si="1"/>
        <v>9</v>
      </c>
      <c r="B13" s="130"/>
      <c r="C13" s="131"/>
      <c r="D13" s="132"/>
      <c r="E13" s="133"/>
      <c r="F13" s="134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1"/>
        <v>10</v>
      </c>
      <c r="B14" s="130"/>
      <c r="C14" s="131"/>
      <c r="D14" s="132"/>
      <c r="E14" s="133"/>
      <c r="F14" s="134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135" t="s">
        <v>8</v>
      </c>
      <c r="B15" s="136"/>
      <c r="C15" s="118"/>
      <c r="D15" s="119"/>
      <c r="E15" s="119"/>
      <c r="F15" s="119"/>
      <c r="G15" s="120"/>
      <c r="H15" s="120"/>
      <c r="I15" s="121" t="s">
        <v>9</v>
      </c>
      <c r="J15" s="114">
        <f>SUM(J6:J14)</f>
        <v>8496</v>
      </c>
      <c r="K15" s="114"/>
      <c r="L15" s="122"/>
    </row>
    <row r="16" spans="1:19" ht="20.100000000000001" customHeight="1">
      <c r="A16" s="6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8"/>
      <c r="L16" s="9"/>
    </row>
    <row r="17" spans="1:22" ht="18" customHeight="1">
      <c r="A17" s="10"/>
      <c r="J17" s="1"/>
      <c r="K17" s="1"/>
      <c r="O17" s="11"/>
      <c r="P17" s="11"/>
      <c r="Q17" s="11"/>
      <c r="S17" s="137" t="s">
        <v>11</v>
      </c>
      <c r="T17" s="12" t="s">
        <v>12</v>
      </c>
      <c r="U17" s="13" t="s">
        <v>13</v>
      </c>
      <c r="V17" s="12" t="s">
        <v>14</v>
      </c>
    </row>
    <row r="18" spans="1:22" ht="50.1" customHeight="1">
      <c r="S18" s="138"/>
      <c r="T18" s="14"/>
      <c r="U18" s="15"/>
      <c r="V18" s="14"/>
    </row>
    <row r="19" spans="1:22" ht="17.100000000000001" customHeight="1">
      <c r="O19" s="11"/>
      <c r="P19" s="11"/>
      <c r="Q19" s="11"/>
      <c r="S19" s="127"/>
      <c r="T19" s="15" t="s">
        <v>15</v>
      </c>
      <c r="U19" s="15" t="s">
        <v>15</v>
      </c>
      <c r="V19" s="16" t="s">
        <v>15</v>
      </c>
    </row>
    <row r="20" spans="1:22" ht="15" customHeight="1">
      <c r="O20" s="17" t="s">
        <v>16</v>
      </c>
      <c r="P20" s="126" t="s">
        <v>17</v>
      </c>
      <c r="Q20" s="126" t="s">
        <v>18</v>
      </c>
    </row>
    <row r="21" spans="1:22" ht="18" customHeight="1">
      <c r="O21" s="18" t="s">
        <v>19</v>
      </c>
      <c r="P21" s="128"/>
      <c r="Q21" s="128"/>
      <c r="S21" s="137" t="s">
        <v>20</v>
      </c>
      <c r="T21" s="12" t="s">
        <v>12</v>
      </c>
      <c r="U21" s="12" t="s">
        <v>13</v>
      </c>
      <c r="V21" s="12" t="s">
        <v>14</v>
      </c>
    </row>
    <row r="22" spans="1:22" ht="50.1" customHeight="1">
      <c r="O22" s="14"/>
      <c r="P22" s="14"/>
      <c r="Q22" s="14"/>
      <c r="S22" s="138"/>
      <c r="T22" s="19"/>
      <c r="U22" s="19"/>
      <c r="V22" s="14"/>
    </row>
    <row r="23" spans="1:22" ht="17.100000000000001" customHeight="1">
      <c r="O23" s="16" t="s">
        <v>15</v>
      </c>
      <c r="P23" s="16" t="s">
        <v>15</v>
      </c>
      <c r="Q23" s="16" t="s">
        <v>15</v>
      </c>
      <c r="S23" s="127"/>
      <c r="T23" s="15" t="s">
        <v>15</v>
      </c>
      <c r="U23" s="15" t="s">
        <v>15</v>
      </c>
      <c r="V23" s="16" t="s">
        <v>15</v>
      </c>
    </row>
    <row r="24" spans="1:22" ht="9.9499999999999993" customHeight="1"/>
    <row r="25" spans="1:22" ht="19.899999999999999" customHeight="1"/>
    <row r="26" spans="1:22" ht="17.45" customHeight="1">
      <c r="O26" s="129"/>
      <c r="P26" s="129"/>
      <c r="Q26" s="129"/>
    </row>
    <row r="27" spans="1:22" ht="19.899999999999999" customHeight="1">
      <c r="O27" s="129"/>
      <c r="P27" s="129"/>
      <c r="Q27" s="129"/>
    </row>
    <row r="28" spans="1:22" ht="14.25">
      <c r="O28" s="11"/>
      <c r="P28" s="11"/>
      <c r="Q28" s="11"/>
    </row>
    <row r="29" spans="1:22" ht="65.099999999999994" customHeight="1"/>
    <row r="30" spans="1:22" ht="14.25">
      <c r="O30" s="11"/>
      <c r="P30" s="11"/>
      <c r="Q30" s="11"/>
    </row>
    <row r="31" spans="1:22" ht="19.899999999999999" customHeight="1"/>
    <row r="32" spans="1:22" ht="14.25"/>
    <row r="33" spans="15:22" ht="19.899999999999999" customHeight="1"/>
    <row r="34" spans="15:22" ht="14.25"/>
    <row r="35" spans="15:22" ht="19.899999999999999" customHeight="1"/>
    <row r="36" spans="15:22" ht="19.899999999999999" customHeight="1"/>
    <row r="37" spans="15:22" ht="64.900000000000006" customHeight="1"/>
    <row r="39" spans="15:22" ht="19.899999999999999" customHeight="1">
      <c r="T39" s="126" t="s">
        <v>21</v>
      </c>
    </row>
    <row r="40" spans="15:22" ht="19.899999999999999" customHeight="1">
      <c r="T40" s="128"/>
    </row>
    <row r="41" spans="15:22" ht="64.900000000000006" customHeight="1">
      <c r="T41" s="14"/>
    </row>
    <row r="45" spans="15:22" ht="21" customHeight="1">
      <c r="O45" s="126" t="s">
        <v>21</v>
      </c>
      <c r="P45" s="126" t="s">
        <v>21</v>
      </c>
      <c r="Q45" s="126" t="s">
        <v>21</v>
      </c>
      <c r="T45" s="126" t="s">
        <v>22</v>
      </c>
      <c r="U45" s="126" t="s">
        <v>13</v>
      </c>
      <c r="V45" s="126" t="s">
        <v>21</v>
      </c>
    </row>
    <row r="46" spans="15:22" ht="21" customHeight="1">
      <c r="O46" s="128"/>
      <c r="P46" s="128"/>
      <c r="Q46" s="128"/>
      <c r="T46" s="127"/>
      <c r="U46" s="127"/>
      <c r="V46" s="128"/>
    </row>
    <row r="47" spans="15:22" ht="64.900000000000006" customHeight="1">
      <c r="O47" s="14"/>
      <c r="P47" s="14"/>
      <c r="Q47" s="14"/>
      <c r="T47" s="14"/>
      <c r="U47" s="15"/>
      <c r="V47" s="14"/>
    </row>
    <row r="48" spans="15:22" ht="7.15" customHeight="1"/>
    <row r="49" spans="15:22" ht="21" customHeight="1">
      <c r="O49" s="126" t="s">
        <v>21</v>
      </c>
      <c r="P49" s="126" t="s">
        <v>21</v>
      </c>
      <c r="Q49" s="126" t="s">
        <v>21</v>
      </c>
      <c r="T49" s="126" t="s">
        <v>13</v>
      </c>
      <c r="U49" s="126" t="s">
        <v>22</v>
      </c>
      <c r="V49" s="126" t="s">
        <v>21</v>
      </c>
    </row>
    <row r="50" spans="15:22" ht="21" customHeight="1">
      <c r="O50" s="128"/>
      <c r="P50" s="128"/>
      <c r="Q50" s="128"/>
      <c r="T50" s="127"/>
      <c r="U50" s="127"/>
      <c r="V50" s="128"/>
    </row>
    <row r="51" spans="15:22" ht="64.900000000000006" customHeight="1">
      <c r="O51" s="14"/>
      <c r="P51" s="14"/>
      <c r="Q51" s="14"/>
      <c r="T51" s="15"/>
      <c r="U51" s="14"/>
      <c r="V51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A15:B15"/>
    <mergeCell ref="S17:S19"/>
    <mergeCell ref="P20:P21"/>
    <mergeCell ref="Q20:Q21"/>
    <mergeCell ref="S21:S23"/>
    <mergeCell ref="O26:O27"/>
    <mergeCell ref="P26:P27"/>
    <mergeCell ref="Q26:Q27"/>
    <mergeCell ref="T39:T40"/>
    <mergeCell ref="O45:O46"/>
    <mergeCell ref="P45:P46"/>
    <mergeCell ref="Q45:Q46"/>
    <mergeCell ref="T45:T46"/>
    <mergeCell ref="U45:U46"/>
    <mergeCell ref="V45:V46"/>
    <mergeCell ref="O49:O50"/>
    <mergeCell ref="P49:P50"/>
    <mergeCell ref="Q49:Q50"/>
    <mergeCell ref="T49:T50"/>
    <mergeCell ref="U49:U50"/>
    <mergeCell ref="V49:V50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9" sqref="D9:F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98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72" t="str">
        <f>+MRS!J2</f>
        <v>Subcontract name ()</v>
      </c>
      <c r="K2" s="173"/>
    </row>
    <row r="3" spans="1:18" ht="24.95" customHeight="1">
      <c r="A3" s="3" t="str">
        <f>+MRS!A3</f>
        <v xml:space="preserve">  MRS No : SAC2-DS-MRS-0016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45648</v>
      </c>
    </row>
    <row r="4" spans="1:18" ht="15.95" customHeight="1">
      <c r="A4" s="174" t="s">
        <v>2</v>
      </c>
      <c r="B4" s="175" t="s">
        <v>23</v>
      </c>
      <c r="C4" s="175"/>
      <c r="D4" s="174" t="s">
        <v>4</v>
      </c>
      <c r="E4" s="174"/>
      <c r="F4" s="174"/>
      <c r="G4" s="175" t="s">
        <v>5</v>
      </c>
      <c r="H4" s="174" t="s">
        <v>94</v>
      </c>
      <c r="I4" s="174" t="s">
        <v>24</v>
      </c>
      <c r="J4" s="174" t="s">
        <v>25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Portland Cement</v>
      </c>
      <c r="C6" s="166"/>
      <c r="D6" s="167" t="str">
        <f>MRS!D6</f>
        <v>Portland Cement Type 1 as pe ASTM C150 
Cement content min 360 grms per 09 SAMSS-097</v>
      </c>
      <c r="E6" s="168"/>
      <c r="F6" s="169"/>
      <c r="G6" s="104" t="str">
        <f>MRS!G6</f>
        <v>m3</v>
      </c>
      <c r="H6" s="104">
        <f>MRS!H6</f>
        <v>24</v>
      </c>
      <c r="I6" s="105">
        <f>MRS!I6</f>
        <v>354</v>
      </c>
      <c r="J6" s="105">
        <f>MRS!J6</f>
        <v>8496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65"/>
      <c r="C7" s="166"/>
      <c r="D7" s="167"/>
      <c r="E7" s="168"/>
      <c r="F7" s="169"/>
      <c r="G7" s="104"/>
      <c r="H7" s="104"/>
      <c r="I7" s="105"/>
      <c r="J7" s="105"/>
      <c r="K7" s="106"/>
      <c r="O7" s="107"/>
      <c r="P7" s="107"/>
      <c r="R7" s="107"/>
    </row>
    <row r="8" spans="1:18" ht="105" customHeight="1">
      <c r="A8" s="21">
        <f>+MRS!A7</f>
        <v>3</v>
      </c>
      <c r="B8" s="160"/>
      <c r="C8" s="161"/>
      <c r="D8" s="162"/>
      <c r="E8" s="163"/>
      <c r="F8" s="164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+MRS!A8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+MRS!A9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+MRS!A10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+MRS!A14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topLeftCell="A9" zoomScale="130" zoomScaleSheetLayoutView="130" workbookViewId="0">
      <selection activeCell="F28" sqref="F28:G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33</v>
      </c>
      <c r="D10" s="39">
        <v>2066002155</v>
      </c>
      <c r="J10" s="39" t="s">
        <v>34</v>
      </c>
      <c r="K10" s="177">
        <f>MRS!L3</f>
        <v>45648</v>
      </c>
      <c r="L10" s="178"/>
      <c r="M10" s="178"/>
    </row>
    <row r="11" spans="2:13" s="39" customFormat="1">
      <c r="B11" s="72"/>
      <c r="C11" s="75" t="s">
        <v>35</v>
      </c>
      <c r="D11" s="76" t="s">
        <v>103</v>
      </c>
      <c r="J11" s="39" t="s">
        <v>36</v>
      </c>
      <c r="K11" s="179" t="str">
        <f>SUBSTITUTE(SUBSTITUTE(+MRS!A3,"  MRS No : ",""),"-MRS","-PO")</f>
        <v>SAC2-DS-PO-0016</v>
      </c>
      <c r="L11" s="179"/>
      <c r="M11" s="179"/>
    </row>
    <row r="12" spans="2:13" s="39" customFormat="1">
      <c r="B12" s="72"/>
      <c r="C12" s="75" t="s">
        <v>37</v>
      </c>
      <c r="D12" s="39" t="s">
        <v>104</v>
      </c>
      <c r="J12" s="39" t="s">
        <v>38</v>
      </c>
    </row>
    <row r="13" spans="2:13" s="39" customFormat="1">
      <c r="B13" s="72"/>
      <c r="C13" s="77"/>
      <c r="D13" s="76" t="s">
        <v>105</v>
      </c>
      <c r="J13" s="39" t="s">
        <v>39</v>
      </c>
    </row>
    <row r="14" spans="2:13" s="39" customFormat="1">
      <c r="B14" s="72"/>
      <c r="C14" s="77" t="s">
        <v>106</v>
      </c>
      <c r="J14" s="39" t="s">
        <v>40</v>
      </c>
    </row>
    <row r="15" spans="2:13" s="39" customFormat="1">
      <c r="C15" s="77" t="s">
        <v>107</v>
      </c>
      <c r="J15" s="39" t="s">
        <v>41</v>
      </c>
      <c r="K15" s="78"/>
    </row>
    <row r="16" spans="2:13" ht="12" customHeight="1">
      <c r="C16" s="29"/>
      <c r="K16" s="30"/>
    </row>
    <row r="17" spans="2:13" ht="20.25">
      <c r="B17" s="180" t="s">
        <v>42</v>
      </c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</row>
    <row r="18" spans="2:13" ht="12" customHeight="1"/>
    <row r="19" spans="2:13" s="31" customFormat="1" ht="12" customHeight="1">
      <c r="B19" s="181" t="s">
        <v>43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</row>
    <row r="20" spans="2:13" s="31" customFormat="1" ht="12" customHeight="1">
      <c r="B20" s="181" t="s">
        <v>44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45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ht="6.95" customHeight="1"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</row>
    <row r="23" spans="2:13" ht="6.95" customHeight="1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</row>
    <row r="24" spans="2:13" s="32" customFormat="1" ht="20.100000000000001" customHeight="1">
      <c r="B24" s="32">
        <v>1</v>
      </c>
      <c r="C24" s="32" t="s">
        <v>46</v>
      </c>
    </row>
    <row r="25" spans="2:13" s="39" customFormat="1" ht="15" customHeight="1">
      <c r="B25" s="73"/>
      <c r="C25" s="76" t="s">
        <v>110</v>
      </c>
      <c r="M25" s="79" t="s">
        <v>47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48</v>
      </c>
    </row>
    <row r="28" spans="2:13" ht="15" customHeight="1">
      <c r="B28" s="32"/>
      <c r="C28" s="26" t="s">
        <v>49</v>
      </c>
      <c r="E28" s="26" t="s">
        <v>50</v>
      </c>
      <c r="F28" s="184">
        <f>+'PO 2nd page'!G18</f>
        <v>8496</v>
      </c>
      <c r="G28" s="184"/>
      <c r="H28" s="33" t="s">
        <v>51</v>
      </c>
      <c r="M28" s="34"/>
    </row>
    <row r="29" spans="2:13" ht="15" customHeight="1">
      <c r="B29" s="32"/>
      <c r="C29" s="26" t="s">
        <v>52</v>
      </c>
      <c r="E29" s="26" t="s">
        <v>50</v>
      </c>
      <c r="F29" s="184">
        <f>+F28*0.15</f>
        <v>1274.3999999999999</v>
      </c>
      <c r="G29" s="184"/>
    </row>
    <row r="30" spans="2:13" ht="15" customHeight="1">
      <c r="B30" s="32"/>
      <c r="C30" s="26" t="s">
        <v>53</v>
      </c>
      <c r="D30" s="35"/>
      <c r="E30" s="26" t="s">
        <v>50</v>
      </c>
      <c r="F30" s="184">
        <f>F28+F29</f>
        <v>9770.4</v>
      </c>
      <c r="G30" s="184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54</v>
      </c>
    </row>
    <row r="33" spans="2:16" ht="15" customHeight="1">
      <c r="B33" s="32"/>
      <c r="C33" s="22" t="s">
        <v>55</v>
      </c>
    </row>
    <row r="34" spans="2:16" ht="15" customHeight="1">
      <c r="B34" s="32"/>
      <c r="C34" s="22" t="s">
        <v>56</v>
      </c>
    </row>
    <row r="35" spans="2:16" ht="15" customHeight="1">
      <c r="B35" s="32"/>
      <c r="C35" s="22" t="s">
        <v>57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58</v>
      </c>
    </row>
    <row r="38" spans="2:16" ht="15" customHeight="1">
      <c r="B38" s="32"/>
      <c r="C38" s="26" t="s">
        <v>59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60</v>
      </c>
    </row>
    <row r="41" spans="2:16" ht="15" customHeight="1">
      <c r="B41" s="32"/>
      <c r="C41" s="36" t="s">
        <v>61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62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63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65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66</v>
      </c>
    </row>
    <row r="48" spans="2:16" s="39" customFormat="1" ht="15" customHeight="1">
      <c r="B48" s="80" t="s">
        <v>67</v>
      </c>
      <c r="C48" s="81" t="s">
        <v>96</v>
      </c>
      <c r="P48" s="82"/>
    </row>
    <row r="49" spans="1:13" s="83" customFormat="1" ht="15" customHeight="1">
      <c r="B49" s="84" t="s">
        <v>67</v>
      </c>
      <c r="C49" s="81" t="s">
        <v>97</v>
      </c>
    </row>
    <row r="50" spans="1:13" s="83" customFormat="1" ht="15" customHeight="1">
      <c r="B50" s="84" t="s">
        <v>67</v>
      </c>
      <c r="C50" s="81" t="s">
        <v>95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68</v>
      </c>
      <c r="J55" s="32" t="s">
        <v>69</v>
      </c>
    </row>
    <row r="56" spans="1:13" ht="50.1" customHeight="1"/>
    <row r="57" spans="1:13" ht="18" customHeight="1">
      <c r="B57" s="26" t="s">
        <v>70</v>
      </c>
      <c r="J57" s="26" t="s">
        <v>70</v>
      </c>
    </row>
    <row r="58" spans="1:13" ht="18" customHeight="1">
      <c r="B58" s="26" t="s">
        <v>71</v>
      </c>
      <c r="J58" s="26" t="s">
        <v>72</v>
      </c>
      <c r="K58" s="22" t="str">
        <f>UPPER(D12)</f>
        <v>EMRAH OZTURK</v>
      </c>
    </row>
    <row r="59" spans="1:13" ht="18" customHeight="1">
      <c r="B59" s="26" t="s">
        <v>73</v>
      </c>
      <c r="J59" s="26" t="s">
        <v>74</v>
      </c>
      <c r="K59" s="22"/>
    </row>
    <row r="60" spans="1:13" ht="15" customHeight="1">
      <c r="B60" s="26" t="s">
        <v>75</v>
      </c>
      <c r="J60" s="26" t="s">
        <v>76</v>
      </c>
    </row>
    <row r="61" spans="1:13" s="28" customFormat="1" ht="15" customHeight="1">
      <c r="B61" s="25" t="s">
        <v>77</v>
      </c>
      <c r="J61" s="32" t="str">
        <f>C9</f>
        <v>ERMC(Eastern Ready Mix Concrete Company)</v>
      </c>
    </row>
    <row r="62" spans="1:13" ht="27.95" customHeight="1">
      <c r="A62" s="176" t="s">
        <v>78</v>
      </c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O6" sqref="O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SAC2-DS-PO-0016</v>
      </c>
      <c r="C2" s="191" t="s">
        <v>80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45648</v>
      </c>
      <c r="C3" s="51"/>
      <c r="D3" s="52"/>
      <c r="E3" s="192" t="s">
        <v>82</v>
      </c>
      <c r="F3" s="192"/>
      <c r="G3" s="192"/>
      <c r="H3" s="192"/>
      <c r="I3" s="53"/>
    </row>
    <row r="4" spans="1:13" s="55" customFormat="1" ht="28.5" customHeight="1" thickTop="1">
      <c r="A4" s="193" t="s">
        <v>83</v>
      </c>
      <c r="B4" s="195" t="s">
        <v>84</v>
      </c>
      <c r="C4" s="196"/>
      <c r="D4" s="199" t="s">
        <v>85</v>
      </c>
      <c r="E4" s="199" t="s">
        <v>86</v>
      </c>
      <c r="F4" s="201" t="str">
        <f>'PO 1st page'!C9</f>
        <v>ERMC(Eastern Ready Mix Concrete Company)</v>
      </c>
      <c r="G4" s="202"/>
      <c r="H4" s="203" t="s">
        <v>87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88</v>
      </c>
      <c r="G5" s="57" t="s">
        <v>53</v>
      </c>
      <c r="H5" s="204"/>
      <c r="K5" s="56"/>
      <c r="L5" s="56"/>
      <c r="M5" s="56"/>
    </row>
    <row r="6" spans="1:13" s="55" customFormat="1" ht="73.5" customHeight="1">
      <c r="A6" s="85">
        <f t="shared" ref="A6:A17" si="0">ROW(A1)</f>
        <v>1</v>
      </c>
      <c r="B6" s="205" t="s">
        <v>111</v>
      </c>
      <c r="C6" s="206"/>
      <c r="D6" s="86" t="str">
        <f>+'MRS LIST'!G6</f>
        <v>m3</v>
      </c>
      <c r="E6" s="87">
        <f>+'MRS LIST'!H6</f>
        <v>24</v>
      </c>
      <c r="F6" s="88">
        <f>+'MRS LIST'!I6</f>
        <v>354</v>
      </c>
      <c r="G6" s="89">
        <f>+'MRS LIST'!J6</f>
        <v>8496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205"/>
      <c r="C7" s="206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89</v>
      </c>
      <c r="B18" s="186"/>
      <c r="C18" s="186"/>
      <c r="D18" s="186"/>
      <c r="E18" s="186"/>
      <c r="F18" s="186"/>
      <c r="G18" s="58">
        <f>SUM(G6:G17)</f>
        <v>8496</v>
      </c>
      <c r="H18" s="59"/>
    </row>
    <row r="19" spans="1:13" s="55" customFormat="1" ht="23.1" customHeight="1">
      <c r="A19" s="185" t="s">
        <v>52</v>
      </c>
      <c r="B19" s="186"/>
      <c r="C19" s="186"/>
      <c r="D19" s="186"/>
      <c r="E19" s="186"/>
      <c r="F19" s="186"/>
      <c r="G19" s="58">
        <f>+G18*0.15</f>
        <v>1274.3999999999999</v>
      </c>
      <c r="H19" s="59"/>
    </row>
    <row r="20" spans="1:13" s="55" customFormat="1" ht="24.95" customHeight="1" thickBot="1">
      <c r="A20" s="187" t="s">
        <v>90</v>
      </c>
      <c r="B20" s="188"/>
      <c r="C20" s="188"/>
      <c r="D20" s="188"/>
      <c r="E20" s="188"/>
      <c r="F20" s="188"/>
      <c r="G20" s="60">
        <f>G19+G18</f>
        <v>9770.4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91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92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2024-12-23T03:49:32Z</cp:lastPrinted>
  <dcterms:created xsi:type="dcterms:W3CDTF">2024-10-20T11:50:19Z</dcterms:created>
  <dcterms:modified xsi:type="dcterms:W3CDTF">2025-04-07T11:49:38Z</dcterms:modified>
</cp:coreProperties>
</file>