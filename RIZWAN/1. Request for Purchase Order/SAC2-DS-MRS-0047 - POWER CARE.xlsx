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9341827D-08CC-4BE7-9BC9-9E0C1C412088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1"/>
  <c r="D7" i="4"/>
  <c r="K59" i="3" l="1"/>
  <c r="H6" i="4"/>
  <c r="E3" i="1"/>
  <c r="H7" i="2"/>
  <c r="E7" i="4" s="1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<sst xmlns="http://schemas.openxmlformats.org/spreadsheetml/2006/main" count="157" uniqueCount="123">
  <si>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</si>
  <si>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</si>
  <si>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</si>
  <si>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</si>
  <si>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</si>
  <si>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</si>
  <si>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</si>
  <si>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</si>
  <si>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</si>
  <si>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</si>
  <si>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</si>
  <si>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</si>
  <si>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</si>
  <si>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</si>
  <si>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</si>
  <si>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</si>
  <si>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</si>
  <si>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</si>
  <si>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</si>
  <si>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</si>
  <si>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</si>
  <si>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</si>
  <si>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</si>
  <si>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</si>
  <si>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</si>
  <si>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</si>
  <si>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</si>
  <si>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</si>
  <si>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</si>
  <si>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</si>
  <si>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</si>
  <si>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</si>
  <si>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</si>
  <si>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</si>
  <si>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</si>
  <si>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</si>
  <si>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</si>
  <si>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</si>
  <si>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</si>
  <si>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</si>
  <si>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</si>
  <si>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</si>
  <si>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</si>
  <si>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</si>
  <si>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</si>
  <si>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</si>
  <si>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</si>
  <si>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</si>
  <si>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</si>
  <si>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</si>
  <si>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</si>
  <si>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</si>
  <si>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</si>
  <si>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</si>
  <si>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</si>
  <si>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</si>
  <si>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</si>
  <si>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</si>
  <si>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</si>
  <si>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</si>
  <si>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</si>
  <si>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</si>
  <si>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</si>
  <si>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</si>
  <si>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</si>
  <si>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</si>
  <si>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</si>
  <si>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</si>
  <si>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</si>
  <si>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</si>
  <si>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</si>
  <si>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</si>
  <si>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</si>
  <si>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</si>
  <si>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</si>
  <si>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</si>
  <si>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</si>
  <si>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</si>
  <si>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</si>
  <si>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</si>
  <si>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</si>
  <si>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</si>
  <si>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</si>
  <si>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</si>
  <si>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</si>
  <si>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</si>
  <si>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</si>
  <si>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</si>
  <si>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</si>
  <si>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</si>
  <si>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</si>
  <si>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</si>
  <si>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</si>
  <si>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Month</t>
    <phoneticPr fontId="11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</si>
  <si>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</si>
  <si>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</si>
  <si>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</si>
  <si>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</si>
  <si>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</si>
  <si>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</si>
  <si>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</si>
  <si>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</si>
  <si>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</si>
  <si>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</si>
  <si>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</si>
  <si>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</si>
  <si>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</si>
  <si>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</si>
  <si>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</si>
  <si>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4" type="noConversion"/>
  </si>
  <si>
    <t>L/S</t>
  </si>
  <si>
    <t>310793666100003</t>
  </si>
  <si>
    <t>Generator</t>
  </si>
  <si>
    <t>250 KVA</t>
  </si>
  <si>
    <t>Generator Mob &amp; De-Mob. Charge</t>
  </si>
  <si>
    <t>One Time</t>
  </si>
  <si>
    <t>PC-EQTN2025-1557</t>
  </si>
  <si>
    <t xml:space="preserve">250 KVA Generator 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</si>
  <si>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</si>
  <si>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</si>
  <si>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-MRS-0047</t>
    </r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</si>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</sst>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9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18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51" fillId="2" borderId="0" xfId="1" applyFont="1" applyFill="1" applyAlignment="1">
      <alignment vertical="center"/>
    </xf>
  </cellXfs>
  <cellStyles count="39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2 2" xfId="36" xr:uid="{AAAE5600-170C-4B27-A437-9572256D657E}"/>
    <cellStyle name="쉼표 [0] 2 2 2 3" xfId="28" xr:uid="{1E7D79BB-C198-4842-889A-E17EA0A962BB}"/>
    <cellStyle name="쉼표 [0] 2 2 3" xfId="16" xr:uid="{5DB1ECBA-768E-457B-8347-5602F27078D7}"/>
    <cellStyle name="쉼표 [0] 2 2 3 2" xfId="32" xr:uid="{65B1C1D1-E3CA-4209-B90C-89EA2D67B02F}"/>
    <cellStyle name="쉼표 [0] 2 2 4" xfId="12" xr:uid="{6B1AD85A-25EC-4CE8-8E46-8D6670B2B375}"/>
    <cellStyle name="쉼표 [0] 2 2 5" xfId="24" xr:uid="{2FCAB974-2185-4A25-B909-0F1B89DD9BD9}"/>
    <cellStyle name="쉼표 2" xfId="9" xr:uid="{F2A3A689-A30F-4FCA-9C51-F28F11796A46}"/>
    <cellStyle name="쉼표 2 2" xfId="22" xr:uid="{D69AF00D-8DAE-4D2B-B5E0-E5DB2E7D9021}"/>
    <cellStyle name="쉼표 2 2 2" xfId="38" xr:uid="{12EEF49F-F3EC-4D28-9E87-983FFB71F17F}"/>
    <cellStyle name="쉼표 2 2 3" xfId="30" xr:uid="{C30C07CC-935F-4D81-9BCA-54F8D4EC9981}"/>
    <cellStyle name="쉼표 2 3" xfId="18" xr:uid="{AB7B30F1-B2B6-4CF3-A711-1A93C2551658}"/>
    <cellStyle name="쉼표 2 3 2" xfId="34" xr:uid="{AC0712CB-695C-46C3-AF96-F0685762E487}"/>
    <cellStyle name="쉼표 2 4" xfId="14" xr:uid="{7C6C239E-9E34-4BA7-A987-D55178EFEDFD}"/>
    <cellStyle name="쉼표 2 5" xfId="26" xr:uid="{899CFBC1-BB5D-40CA-98CD-A7F46A4B72B2}"/>
    <cellStyle name="표준 2 2" xfId="2" xr:uid="{12B761D3-4229-4E14-8168-D5975293A996}"/>
    <cellStyle name="표준 2 2 2" xfId="19" xr:uid="{48F0C246-0A9A-45D2-83D9-AF05892F0DF7}"/>
    <cellStyle name="표준 2 2 2 2" xfId="35" xr:uid="{29D2D4D7-858A-4B8A-A82D-C4CD496B374F}"/>
    <cellStyle name="표준 2 2 2 3" xfId="27" xr:uid="{A526583A-5819-4C54-AAD7-EC42324D0A5E}"/>
    <cellStyle name="표준 2 2 3" xfId="15" xr:uid="{BBA1A03B-0057-4B17-8096-BFB3A5A64A18}"/>
    <cellStyle name="표준 2 2 3 2" xfId="31" xr:uid="{BB306918-E0F0-4402-ADE3-615FA6582BEF}"/>
    <cellStyle name="표준 2 2 4" xfId="11" xr:uid="{320059B6-BE36-4040-A47E-6DEB231F448A}"/>
    <cellStyle name="표준 2 2 5" xfId="23" xr:uid="{B95651B5-078F-42A7-BB08-C517F1179EE6}"/>
    <cellStyle name="표준 2 3 2 2" xfId="5" xr:uid="{BD51BFCC-3D36-446B-BE80-7856DF8371E9}"/>
    <cellStyle name="표준 2 3 2 2 2" xfId="21" xr:uid="{89E61A53-6F19-44FA-A97A-73D08137A834}"/>
    <cellStyle name="표준 2 3 2 2 2 2" xfId="37" xr:uid="{8C82DC0A-34AA-491D-9B24-0C115876D3D6}"/>
    <cellStyle name="표준 2 3 2 2 2 3" xfId="29" xr:uid="{86F61ED3-CB98-4FC7-90ED-583B637F46A4}"/>
    <cellStyle name="표준 2 3 2 2 3" xfId="17" xr:uid="{56A54916-9EC5-4241-BFCE-E28B549DFC7A}"/>
    <cellStyle name="표준 2 3 2 2 3 2" xfId="33" xr:uid="{8FB5AE8E-8F13-4FCB-9275-B3CE0A9AF9B5}"/>
    <cellStyle name="표준 2 3 2 2 4" xfId="13" xr:uid="{270D41D4-5BD0-4940-8CE0-5206F3AF6C78}"/>
    <cellStyle name="표준 2 3 2 2 5" xfId="25" xr:uid="{AD92F5AD-859B-453E-8C51-4BCF3088BC95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2" sqref="J2:L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203" t="s">
        <v>122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118</v>
      </c>
      <c r="E2" s="101"/>
      <c r="F2" s="101"/>
      <c r="G2" s="101"/>
      <c r="H2" s="101"/>
      <c r="I2" s="4"/>
      <c r="J2" s="143" t="s">
        <v>121</v>
      </c>
      <c r="K2" s="144"/>
      <c r="L2" s="145"/>
    </row>
    <row r="3" spans="1:19" ht="20.100000000000001" customHeight="1">
      <c r="A3" s="3" t="s">
        <v>120</v>
      </c>
      <c r="B3" s="101"/>
      <c r="C3" s="101"/>
      <c r="D3" s="101"/>
      <c r="E3" s="146">
        <f>+L3</f>
        <v>45761</v>
      </c>
      <c r="F3" s="146"/>
      <c r="G3" s="146"/>
      <c r="H3" s="146"/>
      <c r="I3" s="146"/>
      <c r="J3" s="101"/>
      <c r="K3" s="101"/>
      <c r="L3" s="122">
        <v>45761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97</v>
      </c>
      <c r="J4" s="147" t="s">
        <v>98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112</v>
      </c>
      <c r="C6" s="129"/>
      <c r="D6" s="130" t="s">
        <v>113</v>
      </c>
      <c r="E6" s="131"/>
      <c r="F6" s="132"/>
      <c r="G6" s="111" t="s">
        <v>93</v>
      </c>
      <c r="H6" s="112">
        <v>2</v>
      </c>
      <c r="I6" s="113">
        <v>8000</v>
      </c>
      <c r="J6" s="113">
        <f>H6*I6</f>
        <v>16000</v>
      </c>
      <c r="K6" s="114" t="s">
        <v>102</v>
      </c>
      <c r="L6" s="115" t="s">
        <v>101</v>
      </c>
      <c r="S6" s="106"/>
    </row>
    <row r="7" spans="1:19" ht="22.5" customHeight="1">
      <c r="A7" s="5">
        <f t="shared" si="0"/>
        <v>2</v>
      </c>
      <c r="B7" s="128" t="s">
        <v>114</v>
      </c>
      <c r="C7" s="129"/>
      <c r="D7" s="139" t="s">
        <v>109</v>
      </c>
      <c r="E7" s="131"/>
      <c r="F7" s="132"/>
      <c r="G7" s="111" t="s">
        <v>110</v>
      </c>
      <c r="H7" s="112">
        <v>4</v>
      </c>
      <c r="I7" s="113">
        <v>1000</v>
      </c>
      <c r="J7" s="113">
        <f>H7*I7</f>
        <v>4000</v>
      </c>
      <c r="K7" s="114" t="s">
        <v>102</v>
      </c>
      <c r="L7" s="115" t="s">
        <v>115</v>
      </c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20000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SAC2-DS-MRS-0047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45761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94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Generator</v>
      </c>
      <c r="C6" s="165"/>
      <c r="D6" s="166" t="str">
        <f>MRS!D6</f>
        <v>250 KVA</v>
      </c>
      <c r="E6" s="167"/>
      <c r="F6" s="168"/>
      <c r="G6" s="103" t="str">
        <f>MRS!G6</f>
        <v>Month</v>
      </c>
      <c r="H6" s="103">
        <f>MRS!H6</f>
        <v>2</v>
      </c>
      <c r="I6" s="104">
        <f>MRS!I6</f>
        <v>8000</v>
      </c>
      <c r="J6" s="104">
        <f>MRS!J6</f>
        <v>16000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 t="str">
        <f>MRS!B7</f>
        <v>Generator Mob &amp; De-Mob. Charge</v>
      </c>
      <c r="C7" s="165"/>
      <c r="D7" s="166" t="str">
        <f>MRS!D7</f>
        <v>Mob. &amp; De-Mob. / per unit - lump sum</v>
      </c>
      <c r="E7" s="167"/>
      <c r="F7" s="168"/>
      <c r="G7" s="103" t="str">
        <f>MRS!G7</f>
        <v>L/S</v>
      </c>
      <c r="H7" s="103">
        <f>MRS!H7</f>
        <v>4</v>
      </c>
      <c r="I7" s="104">
        <f>MRS!I7</f>
        <v>1000</v>
      </c>
      <c r="J7" s="104">
        <f>MRS!J7</f>
        <v>4000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60" zoomScaleNormal="100" zoomScaleSheetLayoutView="160" workbookViewId="0">
      <selection activeCell="B24" sqref="B24:M2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103</v>
      </c>
      <c r="D9" s="39"/>
      <c r="E9" s="39"/>
    </row>
    <row r="10" spans="2:13" s="39" customFormat="1">
      <c r="B10" s="72"/>
      <c r="C10" s="39" t="s">
        <v>33</v>
      </c>
      <c r="D10" s="76">
        <v>2055132011</v>
      </c>
      <c r="J10" s="39" t="s">
        <v>34</v>
      </c>
      <c r="K10" s="172">
        <f>MRS!L3</f>
        <v>45761</v>
      </c>
      <c r="L10" s="173"/>
      <c r="M10" s="173"/>
    </row>
    <row r="11" spans="2:13" s="39" customFormat="1">
      <c r="B11" s="72"/>
      <c r="C11" s="75" t="s">
        <v>35</v>
      </c>
      <c r="D11" s="76" t="s">
        <v>111</v>
      </c>
      <c r="J11" s="39" t="s">
        <v>36</v>
      </c>
      <c r="K11" s="174" t="str">
        <f>SUBSTITUTE(SUBSTITUTE(+MRS!A3,"  MRS No : ",""),"-MRS","-PO")</f>
        <v>SAC2-DS-PO-0047</v>
      </c>
      <c r="L11" s="174"/>
      <c r="M11" s="174"/>
    </row>
    <row r="12" spans="2:13" s="39" customFormat="1">
      <c r="B12" s="72"/>
      <c r="C12" s="75" t="s">
        <v>37</v>
      </c>
      <c r="D12" s="39" t="s">
        <v>104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116</v>
      </c>
    </row>
    <row r="15" spans="2:13" s="39" customFormat="1">
      <c r="B15" s="72"/>
      <c r="C15" s="77" t="s">
        <v>106</v>
      </c>
      <c r="J15" s="39" t="s">
        <v>41</v>
      </c>
      <c r="K15" s="78">
        <v>45757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117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100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119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Aarzoo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PCCL(Power Care Co. Ltd.)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17" sqref="E1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SAC2-DS-PO-0047</v>
      </c>
      <c r="C2" s="187" t="s">
        <v>79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45761</v>
      </c>
      <c r="C3" s="51"/>
      <c r="D3" s="52"/>
      <c r="E3" s="188" t="s">
        <v>81</v>
      </c>
      <c r="F3" s="188"/>
      <c r="G3" s="188"/>
      <c r="H3" s="188"/>
      <c r="I3" s="53"/>
    </row>
    <row r="4" spans="1:13" s="55" customFormat="1" ht="28.5" customHeight="1" thickTop="1">
      <c r="A4" s="189" t="s">
        <v>82</v>
      </c>
      <c r="B4" s="191" t="s">
        <v>83</v>
      </c>
      <c r="C4" s="192"/>
      <c r="D4" s="195" t="s">
        <v>84</v>
      </c>
      <c r="E4" s="195" t="s">
        <v>85</v>
      </c>
      <c r="F4" s="197" t="str">
        <f>'PO 1st page'!C9</f>
        <v>PCCL(Power Care Co. Ltd.)</v>
      </c>
      <c r="G4" s="198"/>
      <c r="H4" s="199" t="s">
        <v>86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87</v>
      </c>
      <c r="G5" s="57" t="s">
        <v>52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Generator</v>
      </c>
      <c r="C6" s="202"/>
      <c r="D6" s="86" t="str">
        <f>+'MRS LIST'!G6</f>
        <v>Month</v>
      </c>
      <c r="E6" s="87">
        <f>+'MRS LIST'!H6</f>
        <v>2</v>
      </c>
      <c r="F6" s="88">
        <f>+'MRS LIST'!I6</f>
        <v>8000</v>
      </c>
      <c r="G6" s="89">
        <f>+'MRS LIST'!J6</f>
        <v>16000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Generator Mob &amp; De-Mob. Charge</v>
      </c>
      <c r="C7" s="202"/>
      <c r="D7" s="86" t="str">
        <f>+'MRS LIST'!G7</f>
        <v>L/S</v>
      </c>
      <c r="E7" s="87">
        <f>+'MRS LIST'!H7</f>
        <v>4</v>
      </c>
      <c r="F7" s="88">
        <f>+'MRS LIST'!I7</f>
        <v>1000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20000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3000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23000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PC-EQTN2025-1557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2025-04-14T04:07:15Z</cp:lastPrinted>
  <dcterms:created xsi:type="dcterms:W3CDTF">2024-10-20T11:50:19Z</dcterms:created>
  <dcterms:modified xsi:type="dcterms:W3CDTF">2025-04-14T04:17:23Z</dcterms:modified>
</cp:coreProperties>
</file>