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6470470-AA47-4337-B1A9-D7F94C355CE4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<sst xmlns="http://schemas.openxmlformats.org/spreadsheetml/2006/main" count="156" uniqueCount="129">
  <si>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</si>
  <si>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</si>
  <si>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</si>
  <si>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</si>
  <si>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</si>
  <si>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</si>
  <si>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</si>
  <si>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</si>
  <si>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</si>
  <si>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</si>
  <si>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</si>
  <si>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</si>
  <si>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</si>
  <si>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</si>
  <si>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</si>
  <si>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</si>
  <si>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</si>
  <si>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</si>
  <si>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</si>
  <si>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</si>
  <si>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</si>
  <si>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</si>
  <si>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</si>
  <si>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</si>
  <si>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</si>
  <si>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</si>
  <si>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</si>
  <si>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</si>
  <si>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</si>
  <si>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</si>
  <si>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</si>
  <si>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</si>
  <si>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</si>
  <si>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</si>
  <si>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</si>
  <si>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</si>
  <si>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</si>
  <si>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</si>
  <si>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</si>
  <si>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</si>
  <si>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</si>
  <si>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</si>
  <si>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</si>
  <si>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</si>
  <si>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</si>
  <si>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</si>
  <si>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</si>
  <si>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</si>
  <si>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</si>
  <si>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</si>
  <si>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</si>
  <si>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</si>
  <si>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</si>
  <si>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</si>
  <si>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</si>
  <si>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</si>
  <si>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</si>
  <si>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</si>
  <si>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</si>
  <si>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</si>
  <si>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</si>
  <si>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</si>
  <si>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</si>
  <si>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</si>
  <si>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</si>
  <si>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</si>
  <si>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</si>
  <si>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</si>
  <si>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</si>
  <si>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</si>
  <si>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</si>
  <si>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</si>
  <si>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</si>
  <si>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</si>
  <si>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</si>
  <si>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</si>
  <si>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</si>
  <si>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</si>
  <si>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</si>
  <si>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</si>
  <si>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</si>
  <si>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</si>
  <si>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</si>
  <si>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</si>
  <si>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</si>
  <si>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</si>
  <si>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</si>
  <si>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</si>
  <si>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</si>
  <si>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</si>
  <si>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</si>
  <si>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</si>
  <si>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</si>
  <si>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</si>
  <si>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</si>
  <si>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</si>
  <si>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</si>
  <si>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</si>
  <si>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</si>
  <si>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</si>
  <si>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</si>
  <si>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EA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</si>
  <si>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</si>
  <si>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</si>
  <si>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</si>
  <si>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</si>
  <si>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</si>
  <si>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</si>
  <si>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</si>
  <si>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</si>
  <si>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</si>
  <si>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</si>
  <si>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</si>
  <si>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-MRS-0169</t>
    </r>
  </si>
  <si>
    <t>Monthly</t>
  </si>
  <si>
    <t>TCR</t>
  </si>
  <si>
    <t>Chemical Test</t>
  </si>
  <si>
    <t>QTC-2428-25-TCR</t>
  </si>
  <si>
    <t>300490251400003</t>
  </si>
  <si>
    <t>Azzam Bakheet</t>
  </si>
  <si>
    <t>+966 56 708 7055 / Email: azzam.bakheet@tcr-arabia.com</t>
  </si>
  <si>
    <t>Mobile : +966 56 708 7055</t>
  </si>
  <si>
    <t>Monthly Based</t>
  </si>
  <si>
    <t>TCR ARABIA CO LTD</t>
  </si>
  <si>
    <t>96900000927410</t>
  </si>
  <si>
    <t>SA6910000096900000927410</t>
  </si>
  <si>
    <t>TCR(TCR Arabia Company Limited)</t>
  </si>
  <si>
    <t>P.O. Box 3422, Dammam 32211, KSA</t>
  </si>
  <si>
    <t>2050059845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</si>
</sst>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56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97</v>
      </c>
      <c r="B1" s="110"/>
      <c r="C1" s="110"/>
      <c r="D1" s="110"/>
      <c r="E1" s="110"/>
      <c r="F1" s="110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43" t="s">
        <v>99</v>
      </c>
      <c r="K2" s="144"/>
      <c r="L2" s="145"/>
    </row>
    <row r="3" spans="1:18" ht="20.100000000000001" customHeight="1">
      <c r="A3" s="3" t="s">
        <v>113</v>
      </c>
      <c r="B3" s="101"/>
      <c r="C3" s="101"/>
      <c r="D3" s="101"/>
      <c r="E3" s="130">
        <f>+L3</f>
        <v>45991</v>
      </c>
      <c r="F3" s="130"/>
      <c r="G3" s="130"/>
      <c r="H3" s="130"/>
      <c r="I3" s="130"/>
      <c r="J3" s="101"/>
      <c r="K3" s="101"/>
      <c r="L3" s="122">
        <v>45991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116</v>
      </c>
      <c r="C6" s="147"/>
      <c r="D6" s="148"/>
      <c r="E6" s="149"/>
      <c r="F6" s="150"/>
      <c r="G6" s="111" t="s">
        <v>101</v>
      </c>
      <c r="H6" s="112">
        <v>6</v>
      </c>
      <c r="I6" s="113">
        <v>400</v>
      </c>
      <c r="J6" s="113">
        <f>H6*I6</f>
        <v>2400</v>
      </c>
      <c r="K6" s="114" t="s">
        <v>115</v>
      </c>
      <c r="L6" s="115" t="s">
        <v>114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>
        <f t="shared" ref="J9" si="1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2400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SAC2-DS-MRS-0169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45991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Chemical Test</v>
      </c>
      <c r="C6" s="165"/>
      <c r="D6" s="166">
        <f>MRS!D6</f>
        <v>0</v>
      </c>
      <c r="E6" s="167"/>
      <c r="F6" s="168"/>
      <c r="G6" s="103" t="str">
        <f>MRS!G6</f>
        <v>EA</v>
      </c>
      <c r="H6" s="103">
        <f>MRS!H6</f>
        <v>6</v>
      </c>
      <c r="I6" s="104">
        <f>MRS!I6</f>
        <v>400</v>
      </c>
      <c r="J6" s="104">
        <f>MRS!J6</f>
        <v>2400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D10" sqref="D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126</v>
      </c>
      <c r="D9" s="39"/>
      <c r="E9" s="39"/>
    </row>
    <row r="10" spans="2:13" s="39" customFormat="1">
      <c r="B10" s="72"/>
      <c r="C10" s="39" t="s">
        <v>30</v>
      </c>
      <c r="D10" s="76" t="s">
        <v>128</v>
      </c>
      <c r="J10" s="39" t="s">
        <v>31</v>
      </c>
      <c r="K10" s="175">
        <f>MRS!L3</f>
        <v>45991</v>
      </c>
      <c r="L10" s="176"/>
      <c r="M10" s="176"/>
    </row>
    <row r="11" spans="2:13" s="39" customFormat="1">
      <c r="B11" s="72"/>
      <c r="C11" s="75" t="s">
        <v>32</v>
      </c>
      <c r="D11" s="76" t="s">
        <v>118</v>
      </c>
      <c r="J11" s="39" t="s">
        <v>33</v>
      </c>
      <c r="K11" s="177" t="str">
        <f>SUBSTITUTE(SUBSTITUTE(+MRS!A3,"  MRS No : ",""),"-MRS","-PO")</f>
        <v>SAC2-DS-PO-0169</v>
      </c>
      <c r="L11" s="177"/>
      <c r="M11" s="177"/>
    </row>
    <row r="12" spans="2:13" s="39" customFormat="1">
      <c r="B12" s="72"/>
      <c r="C12" s="75" t="s">
        <v>34</v>
      </c>
      <c r="D12" s="39" t="s">
        <v>119</v>
      </c>
      <c r="J12" s="39" t="s">
        <v>35</v>
      </c>
    </row>
    <row r="13" spans="2:13" s="39" customFormat="1">
      <c r="B13" s="72"/>
      <c r="C13" s="77"/>
      <c r="D13" s="76" t="s">
        <v>120</v>
      </c>
      <c r="J13" s="39" t="s">
        <v>36</v>
      </c>
    </row>
    <row r="14" spans="2:13" s="39" customFormat="1">
      <c r="B14" s="72"/>
      <c r="C14" s="77" t="s">
        <v>127</v>
      </c>
      <c r="J14" s="39" t="s">
        <v>37</v>
      </c>
      <c r="K14" s="39" t="s">
        <v>117</v>
      </c>
    </row>
    <row r="15" spans="2:13" s="39" customFormat="1">
      <c r="B15" s="72"/>
      <c r="C15" s="77" t="s">
        <v>121</v>
      </c>
      <c r="J15" s="39" t="s">
        <v>38</v>
      </c>
      <c r="K15" s="78">
        <v>45991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116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 t="s">
        <v>122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/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100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63</v>
      </c>
      <c r="C54" s="125" t="s">
        <v>103</v>
      </c>
      <c r="F54" s="26" t="s">
        <v>123</v>
      </c>
    </row>
    <row r="55" spans="2:16" ht="12" customHeight="1">
      <c r="B55" s="84" t="s">
        <v>63</v>
      </c>
      <c r="C55" s="125" t="s">
        <v>104</v>
      </c>
      <c r="F55" s="126" t="s">
        <v>124</v>
      </c>
    </row>
    <row r="56" spans="2:16" ht="12" customHeight="1">
      <c r="B56" s="84" t="s">
        <v>63</v>
      </c>
      <c r="C56" s="125" t="s">
        <v>105</v>
      </c>
      <c r="F56" s="26" t="s">
        <v>125</v>
      </c>
    </row>
    <row r="57" spans="2:16" ht="12" customHeight="1">
      <c r="B57" s="84" t="s">
        <v>63</v>
      </c>
      <c r="C57" s="125" t="s">
        <v>106</v>
      </c>
      <c r="F57" s="26" t="s">
        <v>111</v>
      </c>
    </row>
    <row r="58" spans="2:16" ht="12" customHeight="1">
      <c r="B58" s="84" t="s">
        <v>63</v>
      </c>
      <c r="C58" s="125" t="s">
        <v>107</v>
      </c>
      <c r="F58" s="26" t="s">
        <v>112</v>
      </c>
    </row>
    <row r="59" spans="2:16" ht="12" customHeight="1">
      <c r="B59" s="84" t="s">
        <v>63</v>
      </c>
      <c r="C59" s="125" t="s">
        <v>108</v>
      </c>
      <c r="F59" s="26" t="s">
        <v>109</v>
      </c>
    </row>
    <row r="60" spans="2:16" ht="12" customHeight="1">
      <c r="B60" s="84"/>
      <c r="C60" s="125" t="s">
        <v>110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Azzam Bakheet</v>
      </c>
    </row>
    <row r="69" spans="1:13" ht="18" customHeight="1">
      <c r="B69" s="26" t="s">
        <v>69</v>
      </c>
      <c r="J69" s="26" t="s">
        <v>70</v>
      </c>
      <c r="K69" s="22" t="s">
        <v>96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3" t="str">
        <f>C9</f>
        <v>TCR(TCR Arabia Company Limited)</v>
      </c>
      <c r="K71" s="183"/>
      <c r="L71" s="183"/>
      <c r="M71" s="183"/>
    </row>
    <row r="72" spans="1:13" ht="27.95" customHeight="1">
      <c r="A72" s="174" t="s">
        <v>74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SAC2-DS-PO-0169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45991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TCR(TCR Arabia Company Limited)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CONCATENATE(MRS!B6," ",MRS!D6)</f>
        <v xml:space="preserve">Chemical Test </v>
      </c>
      <c r="C6" s="185"/>
      <c r="D6" s="86" t="str">
        <f>+'MRS LIST'!G6</f>
        <v>EA</v>
      </c>
      <c r="E6" s="87">
        <f>+'MRS LIST'!H6</f>
        <v>6</v>
      </c>
      <c r="F6" s="88">
        <f>+'MRS LIST'!I6</f>
        <v>400</v>
      </c>
      <c r="G6" s="89">
        <f>+'MRS LIST'!J6</f>
        <v>2400</v>
      </c>
      <c r="H6" s="90" t="s">
        <v>114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4"/>
      <c r="C7" s="185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85</v>
      </c>
      <c r="B18" s="201"/>
      <c r="C18" s="201"/>
      <c r="D18" s="201"/>
      <c r="E18" s="201"/>
      <c r="F18" s="201"/>
      <c r="G18" s="58">
        <f>SUM(G6:G17)</f>
        <v>2400</v>
      </c>
      <c r="H18" s="59"/>
    </row>
    <row r="19" spans="1:13" s="55" customFormat="1" ht="23.1" customHeight="1">
      <c r="A19" s="200" t="s">
        <v>48</v>
      </c>
      <c r="B19" s="201"/>
      <c r="C19" s="201"/>
      <c r="D19" s="201"/>
      <c r="E19" s="201"/>
      <c r="F19" s="201"/>
      <c r="G19" s="58">
        <f>+G18*0.15</f>
        <v>360</v>
      </c>
      <c r="H19" s="59"/>
    </row>
    <row r="20" spans="1:13" s="55" customFormat="1" ht="24.95" customHeight="1" thickBot="1">
      <c r="A20" s="202" t="s">
        <v>86</v>
      </c>
      <c r="B20" s="203"/>
      <c r="C20" s="203"/>
      <c r="D20" s="203"/>
      <c r="E20" s="203"/>
      <c r="F20" s="203"/>
      <c r="G20" s="60">
        <f>G19+G18</f>
        <v>2760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QTC-2428-25-TCR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2025-11-30T11:59:22Z</cp:lastPrinted>
  <dcterms:created xsi:type="dcterms:W3CDTF">2024-10-20T11:50:19Z</dcterms:created>
  <dcterms:modified xsi:type="dcterms:W3CDTF">2025-11-30T12:59:51Z</dcterms:modified>
</cp:coreProperties>
</file>