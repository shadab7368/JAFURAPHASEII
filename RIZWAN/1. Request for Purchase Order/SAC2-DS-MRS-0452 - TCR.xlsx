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BD667587-8B5A-47B8-8893-29E1A67AEED4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MRS!$A$1:$L$59</definedName>
    <definedName name="_xlnm.Print_Area" localSheetId="1">'MRS LIST'!$A$1:$K$59</definedName>
    <definedName name="_xlnm.Print_Area" localSheetId="2">'PO 1st page'!$A$1:$N$71</definedName>
    <definedName name="_xlnm.Print_Area" localSheetId="3">'PO 2nd page'!$A$1:$H$57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4" l="1"/>
  <c r="F50" i="4"/>
  <c r="E50" i="4"/>
  <c r="D50" i="4"/>
  <c r="G49" i="4"/>
  <c r="F49" i="4"/>
  <c r="E49" i="4"/>
  <c r="D49" i="4"/>
  <c r="G48" i="4"/>
  <c r="F48" i="4"/>
  <c r="E48" i="4"/>
  <c r="D48" i="4"/>
  <c r="G47" i="4"/>
  <c r="F47" i="4"/>
  <c r="E47" i="4"/>
  <c r="D47" i="4"/>
  <c r="G46" i="4"/>
  <c r="F46" i="4"/>
  <c r="E46" i="4"/>
  <c r="D46" i="4"/>
  <c r="G45" i="4"/>
  <c r="F45" i="4"/>
  <c r="E45" i="4"/>
  <c r="D45" i="4"/>
  <c r="G43" i="4"/>
  <c r="F43" i="4"/>
  <c r="E43" i="4"/>
  <c r="D43" i="4"/>
  <c r="G42" i="4"/>
  <c r="F42" i="4"/>
  <c r="E42" i="4"/>
  <c r="D42" i="4"/>
  <c r="G41" i="4"/>
  <c r="F41" i="4"/>
  <c r="E41" i="4"/>
  <c r="D41" i="4"/>
  <c r="G40" i="4"/>
  <c r="F40" i="4"/>
  <c r="E40" i="4"/>
  <c r="D40" i="4"/>
  <c r="G39" i="4"/>
  <c r="F39" i="4"/>
  <c r="E39" i="4"/>
  <c r="D39" i="4"/>
  <c r="G38" i="4"/>
  <c r="F38" i="4"/>
  <c r="E38" i="4"/>
  <c r="D38" i="4"/>
  <c r="G37" i="4"/>
  <c r="F37" i="4"/>
  <c r="E37" i="4"/>
  <c r="D37" i="4"/>
  <c r="G36" i="4"/>
  <c r="F36" i="4"/>
  <c r="E36" i="4"/>
  <c r="D36" i="4"/>
  <c r="G35" i="4"/>
  <c r="F35" i="4"/>
  <c r="E35" i="4"/>
  <c r="D35" i="4"/>
  <c r="G34" i="4"/>
  <c r="F34" i="4"/>
  <c r="E34" i="4"/>
  <c r="D34" i="4"/>
  <c r="G33" i="4"/>
  <c r="F33" i="4"/>
  <c r="E33" i="4"/>
  <c r="D33" i="4"/>
  <c r="G32" i="4"/>
  <c r="F32" i="4"/>
  <c r="E32" i="4"/>
  <c r="D32" i="4"/>
  <c r="G31" i="4"/>
  <c r="F31" i="4"/>
  <c r="E31" i="4"/>
  <c r="D31" i="4"/>
  <c r="G30" i="4"/>
  <c r="F30" i="4"/>
  <c r="E30" i="4"/>
  <c r="D30" i="4"/>
  <c r="G29" i="4"/>
  <c r="F29" i="4"/>
  <c r="E29" i="4"/>
  <c r="D29" i="4"/>
  <c r="G28" i="4"/>
  <c r="F28" i="4"/>
  <c r="E28" i="4"/>
  <c r="D28" i="4"/>
  <c r="G27" i="4"/>
  <c r="F27" i="4"/>
  <c r="E27" i="4"/>
  <c r="D27" i="4"/>
  <c r="G26" i="4"/>
  <c r="F26" i="4"/>
  <c r="E26" i="4"/>
  <c r="D26" i="4"/>
  <c r="G25" i="4"/>
  <c r="F25" i="4"/>
  <c r="E25" i="4"/>
  <c r="D25" i="4"/>
  <c r="G24" i="4"/>
  <c r="F24" i="4"/>
  <c r="E24" i="4"/>
  <c r="D24" i="4"/>
  <c r="G23" i="4"/>
  <c r="F23" i="4"/>
  <c r="E23" i="4"/>
  <c r="D23" i="4"/>
  <c r="G22" i="4"/>
  <c r="F22" i="4"/>
  <c r="E22" i="4"/>
  <c r="D22" i="4"/>
  <c r="G21" i="4"/>
  <c r="F21" i="4"/>
  <c r="E21" i="4"/>
  <c r="D21" i="4"/>
  <c r="G20" i="4"/>
  <c r="F20" i="4"/>
  <c r="E20" i="4"/>
  <c r="D20" i="4"/>
  <c r="G19" i="4"/>
  <c r="F19" i="4"/>
  <c r="E19" i="4"/>
  <c r="D19" i="4"/>
  <c r="G18" i="4"/>
  <c r="F18" i="4"/>
  <c r="E18" i="4"/>
  <c r="D18" i="4"/>
  <c r="G17" i="4"/>
  <c r="F17" i="4"/>
  <c r="E17" i="4"/>
  <c r="D17" i="4"/>
  <c r="G16" i="4"/>
  <c r="F16" i="4"/>
  <c r="E16" i="4"/>
  <c r="D16" i="4"/>
  <c r="G15" i="4"/>
  <c r="F15" i="4"/>
  <c r="E15" i="4"/>
  <c r="D15" i="4"/>
  <c r="G14" i="4"/>
  <c r="F14" i="4"/>
  <c r="E14" i="4"/>
  <c r="D14" i="4"/>
  <c r="G13" i="4"/>
  <c r="F13" i="4"/>
  <c r="E13" i="4"/>
  <c r="D13" i="4"/>
  <c r="G12" i="4"/>
  <c r="F12" i="4"/>
  <c r="E12" i="4"/>
  <c r="D12" i="4"/>
  <c r="G11" i="4"/>
  <c r="F11" i="4"/>
  <c r="E11" i="4"/>
  <c r="D11" i="4"/>
  <c r="G9" i="4"/>
  <c r="F9" i="4"/>
  <c r="E9" i="4"/>
  <c r="D9" i="4"/>
  <c r="J60" i="2"/>
  <c r="I60" i="2"/>
  <c r="H60" i="2"/>
  <c r="G60" i="2"/>
  <c r="D60" i="2"/>
  <c r="B60" i="2"/>
  <c r="A60" i="2"/>
  <c r="J59" i="2"/>
  <c r="I59" i="2"/>
  <c r="H59" i="2"/>
  <c r="G59" i="2"/>
  <c r="D59" i="2"/>
  <c r="B59" i="2"/>
  <c r="A59" i="2"/>
  <c r="J58" i="2"/>
  <c r="I58" i="2"/>
  <c r="H58" i="2"/>
  <c r="G58" i="2"/>
  <c r="D58" i="2"/>
  <c r="B58" i="2"/>
  <c r="A58" i="2"/>
  <c r="J57" i="2"/>
  <c r="I57" i="2"/>
  <c r="H57" i="2"/>
  <c r="G57" i="2"/>
  <c r="D57" i="2"/>
  <c r="B57" i="2"/>
  <c r="A57" i="2"/>
  <c r="J56" i="2"/>
  <c r="I56" i="2"/>
  <c r="H56" i="2"/>
  <c r="G56" i="2"/>
  <c r="D56" i="2"/>
  <c r="B56" i="2"/>
  <c r="A56" i="2"/>
  <c r="J55" i="2"/>
  <c r="I55" i="2"/>
  <c r="H55" i="2"/>
  <c r="G55" i="2"/>
  <c r="D55" i="2"/>
  <c r="B55" i="2"/>
  <c r="A55" i="2"/>
  <c r="J54" i="2"/>
  <c r="I54" i="2"/>
  <c r="H54" i="2"/>
  <c r="G54" i="2"/>
  <c r="D54" i="2"/>
  <c r="B54" i="2"/>
  <c r="A54" i="2"/>
  <c r="J53" i="2"/>
  <c r="I53" i="2"/>
  <c r="H53" i="2"/>
  <c r="G53" i="2"/>
  <c r="D53" i="2"/>
  <c r="B53" i="2"/>
  <c r="A53" i="2"/>
  <c r="J52" i="2"/>
  <c r="I52" i="2"/>
  <c r="H52" i="2"/>
  <c r="G52" i="2"/>
  <c r="D52" i="2"/>
  <c r="B52" i="2"/>
  <c r="A52" i="2"/>
  <c r="J51" i="2"/>
  <c r="I51" i="2"/>
  <c r="H51" i="2"/>
  <c r="G51" i="2"/>
  <c r="D51" i="2"/>
  <c r="B51" i="2"/>
  <c r="A51" i="2"/>
  <c r="J50" i="2"/>
  <c r="I50" i="2"/>
  <c r="H50" i="2"/>
  <c r="G50" i="2"/>
  <c r="D50" i="2"/>
  <c r="B50" i="2"/>
  <c r="A50" i="2"/>
  <c r="J49" i="2"/>
  <c r="I49" i="2"/>
  <c r="H49" i="2"/>
  <c r="G49" i="2"/>
  <c r="D49" i="2"/>
  <c r="B49" i="2"/>
  <c r="A49" i="2"/>
  <c r="J48" i="2"/>
  <c r="I48" i="2"/>
  <c r="H48" i="2"/>
  <c r="G48" i="2"/>
  <c r="D48" i="2"/>
  <c r="B48" i="2"/>
  <c r="A48" i="2"/>
  <c r="J47" i="2"/>
  <c r="I47" i="2"/>
  <c r="H47" i="2"/>
  <c r="G47" i="2"/>
  <c r="D47" i="2"/>
  <c r="B47" i="2"/>
  <c r="A47" i="2"/>
  <c r="J46" i="2"/>
  <c r="I46" i="2"/>
  <c r="H46" i="2"/>
  <c r="G46" i="2"/>
  <c r="D46" i="2"/>
  <c r="B46" i="2"/>
  <c r="A46" i="2"/>
  <c r="J45" i="2"/>
  <c r="I45" i="2"/>
  <c r="H45" i="2"/>
  <c r="G45" i="2"/>
  <c r="D45" i="2"/>
  <c r="B45" i="2"/>
  <c r="A45" i="2"/>
  <c r="J44" i="2"/>
  <c r="I44" i="2"/>
  <c r="H44" i="2"/>
  <c r="G44" i="2"/>
  <c r="D44" i="2"/>
  <c r="B44" i="2"/>
  <c r="A44" i="2"/>
  <c r="J43" i="2"/>
  <c r="I43" i="2"/>
  <c r="H43" i="2"/>
  <c r="G43" i="2"/>
  <c r="D43" i="2"/>
  <c r="B43" i="2"/>
  <c r="A43" i="2"/>
  <c r="J42" i="2"/>
  <c r="I42" i="2"/>
  <c r="H42" i="2"/>
  <c r="G42" i="2"/>
  <c r="D42" i="2"/>
  <c r="B42" i="2"/>
  <c r="A42" i="2"/>
  <c r="J41" i="2"/>
  <c r="I41" i="2"/>
  <c r="H41" i="2"/>
  <c r="G41" i="2"/>
  <c r="D41" i="2"/>
  <c r="B41" i="2"/>
  <c r="A41" i="2"/>
  <c r="J40" i="2"/>
  <c r="I40" i="2"/>
  <c r="H40" i="2"/>
  <c r="G40" i="2"/>
  <c r="D40" i="2"/>
  <c r="B40" i="2"/>
  <c r="A40" i="2"/>
  <c r="J39" i="2"/>
  <c r="I39" i="2"/>
  <c r="H39" i="2"/>
  <c r="G39" i="2"/>
  <c r="D39" i="2"/>
  <c r="B39" i="2"/>
  <c r="A39" i="2"/>
  <c r="J38" i="2"/>
  <c r="I38" i="2"/>
  <c r="H38" i="2"/>
  <c r="G38" i="2"/>
  <c r="D38" i="2"/>
  <c r="B38" i="2"/>
  <c r="A38" i="2"/>
  <c r="J37" i="2"/>
  <c r="I37" i="2"/>
  <c r="H37" i="2"/>
  <c r="G37" i="2"/>
  <c r="D37" i="2"/>
  <c r="B37" i="2"/>
  <c r="A37" i="2"/>
  <c r="J36" i="2"/>
  <c r="I36" i="2"/>
  <c r="H36" i="2"/>
  <c r="G36" i="2"/>
  <c r="D36" i="2"/>
  <c r="B36" i="2"/>
  <c r="A36" i="2"/>
  <c r="J35" i="2"/>
  <c r="I35" i="2"/>
  <c r="H35" i="2"/>
  <c r="G35" i="2"/>
  <c r="D35" i="2"/>
  <c r="B35" i="2"/>
  <c r="A35" i="2"/>
  <c r="J34" i="2"/>
  <c r="I34" i="2"/>
  <c r="H34" i="2"/>
  <c r="G34" i="2"/>
  <c r="D34" i="2"/>
  <c r="B34" i="2"/>
  <c r="A34" i="2"/>
  <c r="J33" i="2"/>
  <c r="I33" i="2"/>
  <c r="H33" i="2"/>
  <c r="G33" i="2"/>
  <c r="D33" i="2"/>
  <c r="B33" i="2"/>
  <c r="A33" i="2"/>
  <c r="J32" i="2"/>
  <c r="I32" i="2"/>
  <c r="H32" i="2"/>
  <c r="G32" i="2"/>
  <c r="D32" i="2"/>
  <c r="B32" i="2"/>
  <c r="A32" i="2"/>
  <c r="J31" i="2"/>
  <c r="I31" i="2"/>
  <c r="H31" i="2"/>
  <c r="G31" i="2"/>
  <c r="D31" i="2"/>
  <c r="B31" i="2"/>
  <c r="A31" i="2"/>
  <c r="J30" i="2"/>
  <c r="I30" i="2"/>
  <c r="H30" i="2"/>
  <c r="G30" i="2"/>
  <c r="D30" i="2"/>
  <c r="B30" i="2"/>
  <c r="A30" i="2"/>
  <c r="J29" i="2"/>
  <c r="I29" i="2"/>
  <c r="H29" i="2"/>
  <c r="G29" i="2"/>
  <c r="D29" i="2"/>
  <c r="B29" i="2"/>
  <c r="A29" i="2"/>
  <c r="J28" i="2"/>
  <c r="I28" i="2"/>
  <c r="H28" i="2"/>
  <c r="G28" i="2"/>
  <c r="D28" i="2"/>
  <c r="B28" i="2"/>
  <c r="A28" i="2"/>
  <c r="J27" i="2"/>
  <c r="I27" i="2"/>
  <c r="H27" i="2"/>
  <c r="G27" i="2"/>
  <c r="D27" i="2"/>
  <c r="B27" i="2"/>
  <c r="A27" i="2"/>
  <c r="J26" i="2"/>
  <c r="I26" i="2"/>
  <c r="H26" i="2"/>
  <c r="G26" i="2"/>
  <c r="D26" i="2"/>
  <c r="B26" i="2"/>
  <c r="A26" i="2"/>
  <c r="J25" i="2"/>
  <c r="I25" i="2"/>
  <c r="H25" i="2"/>
  <c r="G25" i="2"/>
  <c r="D25" i="2"/>
  <c r="B25" i="2"/>
  <c r="A25" i="2"/>
  <c r="J24" i="2"/>
  <c r="I24" i="2"/>
  <c r="H24" i="2"/>
  <c r="G24" i="2"/>
  <c r="D24" i="2"/>
  <c r="B24" i="2"/>
  <c r="A24" i="2"/>
  <c r="J23" i="2"/>
  <c r="I23" i="2"/>
  <c r="H23" i="2"/>
  <c r="G23" i="2"/>
  <c r="D23" i="2"/>
  <c r="B23" i="2"/>
  <c r="A23" i="2"/>
  <c r="J22" i="2"/>
  <c r="I22" i="2"/>
  <c r="H22" i="2"/>
  <c r="G22" i="2"/>
  <c r="D22" i="2"/>
  <c r="B22" i="2"/>
  <c r="A22" i="2"/>
  <c r="J21" i="2"/>
  <c r="I21" i="2"/>
  <c r="H21" i="2"/>
  <c r="G21" i="2"/>
  <c r="D21" i="2"/>
  <c r="B21" i="2"/>
  <c r="A21" i="2"/>
  <c r="J20" i="2"/>
  <c r="I20" i="2"/>
  <c r="H20" i="2"/>
  <c r="G20" i="2"/>
  <c r="D20" i="2"/>
  <c r="B20" i="2"/>
  <c r="A20" i="2"/>
  <c r="J19" i="2"/>
  <c r="I19" i="2"/>
  <c r="H19" i="2"/>
  <c r="G19" i="2"/>
  <c r="D19" i="2"/>
  <c r="B19" i="2"/>
  <c r="A19" i="2"/>
  <c r="J18" i="2"/>
  <c r="I18" i="2"/>
  <c r="H18" i="2"/>
  <c r="G18" i="2"/>
  <c r="D18" i="2"/>
  <c r="B18" i="2"/>
  <c r="A18" i="2"/>
  <c r="A17" i="2"/>
  <c r="A16" i="2"/>
  <c r="A15" i="2"/>
  <c r="A14" i="2"/>
  <c r="A13" i="2"/>
  <c r="A12" i="2"/>
  <c r="A11" i="2"/>
  <c r="D17" i="2"/>
  <c r="D16" i="2"/>
  <c r="D15" i="2"/>
  <c r="D14" i="2"/>
  <c r="D13" i="2"/>
  <c r="D12" i="2"/>
  <c r="D11" i="2"/>
  <c r="D10" i="2"/>
  <c r="D9" i="2"/>
  <c r="D8" i="2"/>
  <c r="J17" i="2"/>
  <c r="I17" i="2"/>
  <c r="H17" i="2"/>
  <c r="G17" i="2"/>
  <c r="J16" i="2"/>
  <c r="I16" i="2"/>
  <c r="H16" i="2"/>
  <c r="G16" i="2"/>
  <c r="J15" i="2"/>
  <c r="I15" i="2"/>
  <c r="H15" i="2"/>
  <c r="G15" i="2"/>
  <c r="J14" i="2"/>
  <c r="I14" i="2"/>
  <c r="H14" i="2"/>
  <c r="G14" i="2"/>
  <c r="J13" i="2"/>
  <c r="I13" i="2"/>
  <c r="H13" i="2"/>
  <c r="G13" i="2"/>
  <c r="J12" i="2"/>
  <c r="I12" i="2"/>
  <c r="H12" i="2"/>
  <c r="G12" i="2"/>
  <c r="J11" i="2"/>
  <c r="I11" i="2"/>
  <c r="H11" i="2"/>
  <c r="G11" i="2"/>
  <c r="J10" i="2"/>
  <c r="I10" i="2"/>
  <c r="H10" i="2"/>
  <c r="G10" i="2"/>
  <c r="J9" i="2"/>
  <c r="I9" i="2"/>
  <c r="H9" i="2"/>
  <c r="G9" i="2"/>
  <c r="J8" i="2"/>
  <c r="I8" i="2"/>
  <c r="H8" i="2"/>
  <c r="G8" i="2"/>
  <c r="B17" i="2"/>
  <c r="B16" i="2"/>
  <c r="B15" i="2"/>
  <c r="B14" i="2"/>
  <c r="B13" i="2"/>
  <c r="B12" i="2"/>
  <c r="B11" i="2"/>
  <c r="B10" i="2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B32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B11" i="4"/>
  <c r="B10" i="4"/>
  <c r="B9" i="4"/>
  <c r="B8" i="4"/>
  <c r="B7" i="4"/>
  <c r="J11" i="1"/>
  <c r="J10" i="1"/>
  <c r="J8" i="1"/>
  <c r="J7" i="1"/>
  <c r="E3" i="1"/>
  <c r="B6" i="4" l="1"/>
  <c r="J9" i="1"/>
  <c r="G8" i="4"/>
  <c r="A7" i="4"/>
  <c r="A8" i="4"/>
  <c r="A9" i="4"/>
  <c r="A10" i="4"/>
  <c r="A11" i="4"/>
  <c r="A12" i="4"/>
  <c r="A13" i="4"/>
  <c r="A14" i="4"/>
  <c r="A15" i="4"/>
  <c r="B9" i="2"/>
  <c r="F8" i="4"/>
  <c r="E8" i="4"/>
  <c r="D8" i="4"/>
  <c r="B8" i="2"/>
  <c r="K68" i="3"/>
  <c r="H7" i="2"/>
  <c r="E7" i="4" s="1"/>
  <c r="G7" i="2"/>
  <c r="D7" i="4" s="1"/>
  <c r="D7" i="2"/>
  <c r="B7" i="2"/>
  <c r="J6" i="1" l="1"/>
  <c r="K10" i="3"/>
  <c r="A54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6" i="4"/>
  <c r="F4" i="4"/>
  <c r="B3" i="4"/>
  <c r="J71" i="3"/>
  <c r="K11" i="3"/>
  <c r="B2" i="4" s="1"/>
  <c r="K3" i="2"/>
  <c r="A3" i="2"/>
  <c r="J2" i="2"/>
  <c r="D2" i="2"/>
  <c r="A2" i="2"/>
  <c r="J1" i="2"/>
  <c r="A10" i="2"/>
  <c r="A9" i="2"/>
  <c r="A8" i="2"/>
  <c r="A7" i="2"/>
  <c r="A6" i="2"/>
  <c r="J6" i="2" l="1"/>
  <c r="G6" i="4" s="1"/>
  <c r="G51" i="4" s="1"/>
  <c r="G52" i="4" l="1"/>
  <c r="G53" i="4" s="1"/>
</calcChain>
</file>

<file path=xl/sharedStrings.xml><?xml version="1.0" encoding="utf-8"?>
<sst xmlns="http://schemas.openxmlformats.org/spreadsheetml/2006/main" count="245" uniqueCount="192">
  <si>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</si>
  <si>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</si>
  <si>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</si>
  <si>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</si>
  <si>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</si>
  <si>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</si>
  <si>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</si>
  <si>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</si>
  <si>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</si>
  <si>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</si>
  <si>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</si>
  <si>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</si>
  <si>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</si>
  <si>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</si>
  <si>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</si>
  <si>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</si>
  <si>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</si>
  <si>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</si>
  <si>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</si>
  <si>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</si>
  <si>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</si>
  <si>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</si>
  <si>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</si>
  <si>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</si>
  <si>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</si>
  <si>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</si>
  <si>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</si>
  <si>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</si>
  <si>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</si>
  <si>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</si>
  <si>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</si>
  <si>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</si>
  <si>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</si>
  <si>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</si>
  <si>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</si>
  <si>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</si>
  <si>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</si>
  <si>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</si>
  <si>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</si>
  <si>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</si>
  <si>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</si>
  <si>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</si>
  <si>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</si>
  <si>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</si>
  <si>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</si>
  <si>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</si>
  <si>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</si>
  <si>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</si>
  <si>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</si>
  <si>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</si>
  <si>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</si>
  <si>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</si>
  <si>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</si>
  <si>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</si>
  <si>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</si>
  <si>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</si>
  <si>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</si>
  <si>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</si>
  <si>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</si>
  <si>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</si>
  <si>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</si>
  <si>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</si>
  <si>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</si>
  <si>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</si>
  <si>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</si>
  <si>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</si>
  <si>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</si>
  <si>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</si>
  <si>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</si>
  <si>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</si>
  <si>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</si>
  <si>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</si>
  <si>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</si>
  <si>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</si>
  <si>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</si>
  <si>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</si>
  <si>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</si>
  <si>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</si>
  <si>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</si>
  <si>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</si>
  <si>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</si>
  <si>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</si>
  <si>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</si>
  <si>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</si>
  <si>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</si>
  <si>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</si>
  <si>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</si>
  <si>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</si>
  <si>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</si>
  <si>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</si>
  <si>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Operation Manager</t>
  </si>
  <si>
    <t>Subcontract name (SAC2-SC-IK-SMP-01)</t>
  </si>
  <si>
    <t xml:space="preserve">  Delivery &amp; Payment : Dong Chang Kim / Daeshin Admin. [ Mobile No. : +966 53 748 5762 / Email : kdchjs@daeshinplant.com ]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</si>
  <si>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</si>
  <si>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</si>
  <si>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</si>
  <si>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</si>
  <si>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</si>
  <si>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</si>
  <si>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</si>
  <si>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</si>
  <si>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</si>
  <si>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SAUDI NATIONAL BANK</t>
  </si>
  <si>
    <t>NCBKSAJE</t>
  </si>
  <si>
    <t>Monthly</t>
  </si>
  <si>
    <t>TCR</t>
  </si>
  <si>
    <t>300490251400003</t>
  </si>
  <si>
    <t>Azzam Bakheet</t>
  </si>
  <si>
    <t>+966 56 708 7055 / Email: azzam.bakheet@tcr-arabia.com</t>
  </si>
  <si>
    <t>Mobile : +966 56 708 7055</t>
  </si>
  <si>
    <t>Monthly Based</t>
  </si>
  <si>
    <t>TCR ARABIA CO LTD</t>
  </si>
  <si>
    <t>96900000927410</t>
  </si>
  <si>
    <t>SA6910000096900000927410</t>
  </si>
  <si>
    <t>TCR(TCR Arabia Company Limited)</t>
  </si>
  <si>
    <t>P.O. Box 3422, Dammam 32211, KSA</t>
  </si>
  <si>
    <t>2050059845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</si>
  <si>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</si>
  <si>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</si>
  <si>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</si>
  <si>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</si>
  <si>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</si>
  <si>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</si>
  <si>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</si>
  <si>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</si>
  <si>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</si>
  <si>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</si>
  <si>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</si>
  <si>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</si>
  <si>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</si>
  <si>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</si>
  <si>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Minimun charges of Witnessing Welder Qualification / PQR by certified welding inspector</t>
  </si>
  <si>
    <t>Per Sample</t>
  </si>
  <si>
    <t>Per Day</t>
  </si>
  <si>
    <t>Face Bend Test</t>
  </si>
  <si>
    <t>Per Set</t>
  </si>
  <si>
    <t>Chemical Analysis</t>
  </si>
  <si>
    <t>Per Coupon</t>
  </si>
  <si>
    <t>QTN-2051-26-TCR</t>
  </si>
  <si>
    <t>PQR / WQT Test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</si>
  <si>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-MRS-0452</t>
    </r>
  </si>
  <si>
    <t>Preparation of WPS by Certified Welding Inspector</t>
  </si>
  <si>
    <t>Renewal Of IDs</t>
  </si>
  <si>
    <t>Preparation of Certificate &amp; ID’s</t>
  </si>
  <si>
    <t>Mechanical Test for PQR/WQT</t>
  </si>
  <si>
    <t>Tensile Test</t>
  </si>
  <si>
    <t>Impact test ( 1 Set of 3 specimen)</t>
  </si>
  <si>
    <t>Impact test ( 1 Set of 5 specimen)</t>
  </si>
  <si>
    <t>Macro Structure Examination</t>
  </si>
  <si>
    <t>Hardness test</t>
  </si>
  <si>
    <t>UT testing on welding coupons</t>
  </si>
  <si>
    <t>PT On Welded Coupon</t>
  </si>
  <si>
    <t>Fillet Fracture</t>
  </si>
  <si>
    <t>PWHT (up to 8”)</t>
  </si>
  <si>
    <t>Section Test</t>
  </si>
  <si>
    <t>Peel Test</t>
  </si>
  <si>
    <t>Nick Break Test</t>
  </si>
  <si>
    <t>Ferrite Test AWS A4.2</t>
  </si>
  <si>
    <t>Ferrite Test As Per ASTM E562</t>
  </si>
  <si>
    <t>Inter-Granular Corrosion test as per ASTM A-262 practice A
with photograph also called as Oxalic Acid Etch test (Microstructure based corrosion check).</t>
  </si>
  <si>
    <t>Inter-Granular Corrosion test as per ASTM A-262 practice B (120 hrs. test cycle).</t>
  </si>
  <si>
    <t>Inter-Granular Corrosion test ASTM A-262 practice C
(Huey Test) (if 5 times cycle then 48 hrs. each x 5 cycle required total 10 days).</t>
  </si>
  <si>
    <t>Inter-Granular  Corrosion test ASTM A-262 practice E
(Strauss Test) (15hrs or 24 hrs. test cycle).</t>
  </si>
  <si>
    <t>Inter-Granular Corrosion test ASTM A-262 practice E
(15hrs or 24 hrs.).</t>
  </si>
  <si>
    <t>Pitting Corrosion test as per ASTM G28 method A
(120 hrs. test cycle).</t>
  </si>
  <si>
    <t>Pitting Corrosion test ASTM G48 method A
(24 or 72 hrs. test cycle).</t>
  </si>
  <si>
    <t>Corrosion test ASTM A923 method A
(Microstructure based corrosion check).</t>
  </si>
  <si>
    <t>Corrosion test ASTM A923 method C (24 hrs. test cycle).</t>
  </si>
  <si>
    <t>Microstructure Examination (Routine)
(One location per sample is considered).</t>
  </si>
  <si>
    <t>Per card</t>
  </si>
  <si>
    <t>Per Certificate</t>
  </si>
  <si>
    <t>Per sample</t>
  </si>
  <si>
    <t>Per Location</t>
  </si>
  <si>
    <t>Per Specimen</t>
  </si>
  <si>
    <t>Per Procedure</t>
  </si>
  <si>
    <t>Pipe up to 8’’ Dia</t>
  </si>
  <si>
    <t>Pipe from  10’’-16’’Inch Dia</t>
  </si>
  <si>
    <t>Pipe from 18’’-24’’Inch Dia</t>
  </si>
  <si>
    <t>Pipe from 26’’ Inch- 36’’ Dia</t>
  </si>
  <si>
    <t>Pipe Up to 36’’ Dia</t>
  </si>
  <si>
    <t>Plate Up to 200 mm thickness</t>
  </si>
  <si>
    <t>Preparation of samples for Testing
If the base metal is Alloy, Stainless Steel or if the Wall thickness of plate or pipe greater than 13mm irrespective of the material</t>
  </si>
  <si>
    <t>Machining Charges for Removal of Flange Collar (If required)</t>
  </si>
  <si>
    <t>Collar Removal Up to 8”</t>
  </si>
  <si>
    <t>Collar Removal Up to 12”</t>
  </si>
  <si>
    <t>Collar Removal Up to 18”</t>
  </si>
  <si>
    <t>Collar Removal Up to 24”</t>
  </si>
  <si>
    <t>Collar Removal Up to 36”</t>
  </si>
  <si>
    <t>Mob/Demob Charges to Jafurah</t>
  </si>
  <si>
    <t>Per Test</t>
  </si>
  <si>
    <t>Per Pipe</t>
  </si>
  <si>
    <t>Per Visit/Inspt.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</si>
</sst>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4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</cellStyleXfs>
  <cellXfs count="200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0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69" fontId="8" fillId="0" borderId="0" xfId="6" quotePrefix="1" applyNumberFormat="1" applyFont="1" applyAlignment="1">
      <alignment horizontal="left" vertical="top"/>
    </xf>
    <xf numFmtId="172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1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0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3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4" fillId="2" borderId="0" xfId="1" applyFont="1" applyFill="1" applyAlignment="1">
      <alignment vertical="center"/>
    </xf>
    <xf numFmtId="0" fontId="53" fillId="3" borderId="0" xfId="5" applyFont="1" applyFill="1"/>
    <xf numFmtId="0" fontId="18" fillId="3" borderId="0" xfId="5" quotePrefix="1" applyFont="1" applyFill="1"/>
    <xf numFmtId="0" fontId="6" fillId="2" borderId="21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6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54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169" fontId="58" fillId="0" borderId="7" xfId="3" applyNumberFormat="1" applyFont="1" applyBorder="1" applyAlignment="1">
      <alignment horizontal="right"/>
    </xf>
    <xf numFmtId="4" fontId="3" fillId="0" borderId="16" xfId="0" applyNumberFormat="1" applyFont="1" applyBorder="1" applyAlignment="1">
      <alignment horizontal="right" vertical="center" wrapText="1"/>
    </xf>
    <xf numFmtId="0" fontId="3" fillId="0" borderId="18" xfId="0" applyFont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69" fontId="33" fillId="3" borderId="0" xfId="5" quotePrefix="1" applyNumberFormat="1" applyFont="1" applyFill="1" applyAlignment="1">
      <alignment horizontal="left" vertical="center"/>
    </xf>
    <xf numFmtId="169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1" fontId="18" fillId="3" borderId="0" xfId="5" applyNumberFormat="1" applyFont="1" applyFill="1" applyAlignment="1">
      <alignment horizontal="center"/>
    </xf>
    <xf numFmtId="0" fontId="49" fillId="3" borderId="0" xfId="5" applyFont="1" applyFill="1" applyAlignment="1">
      <alignment horizontal="left" wrapText="1"/>
    </xf>
    <xf numFmtId="0" fontId="3" fillId="0" borderId="16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50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43" fontId="3" fillId="0" borderId="16" xfId="23" applyFont="1" applyBorder="1" applyAlignment="1">
      <alignment horizontal="right" vertical="center" wrapText="1"/>
    </xf>
  </cellXfs>
  <cellStyles count="24">
    <cellStyle name="Comma" xfId="23" builtinId="3"/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1440782</xdr:colOff>
          <xdr:row>52</xdr:row>
          <xdr:rowOff>56648</xdr:rowOff>
        </xdr:from>
        <xdr:to>
          <xdr:col>11</xdr:col>
          <xdr:colOff>1626771</xdr:colOff>
          <xdr:row>58</xdr:row>
          <xdr:rowOff>294772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5B57E2CD-8B63-6BA5-2428-9638AE4B10D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55:$Y$60" spid="_x0000_s125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232861" y="14865516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67B35FE6-503C-4BF9-AC34-2381F1FEED5B}"/>
            </a:ext>
          </a:extLst>
        </xdr:cNvPr>
        <xdr:cNvSpPr>
          <a:spLocks noChangeAspect="1" noChangeArrowheads="1"/>
        </xdr:cNvSpPr>
      </xdr:nvSpPr>
      <xdr:spPr bwMode="auto">
        <a:xfrm>
          <a:off x="13226143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CDA00F0A-686A-46B0-A7BA-3ECCA13EEDEF}"/>
            </a:ext>
          </a:extLst>
        </xdr:cNvPr>
        <xdr:cNvSpPr>
          <a:spLocks noChangeAspect="1" noChangeArrowheads="1"/>
        </xdr:cNvSpPr>
      </xdr:nvSpPr>
      <xdr:spPr bwMode="auto">
        <a:xfrm>
          <a:off x="13226143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87"/>
  <sheetViews>
    <sheetView showGridLines="0" tabSelected="1" view="pageBreakPreview" zoomScale="95" zoomScaleNormal="95" zoomScaleSheetLayoutView="95" workbookViewId="0">
      <selection activeCell="Q14" sqref="Q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1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19" t="s">
        <v>129</v>
      </c>
      <c r="B1" s="120"/>
      <c r="C1" s="98"/>
      <c r="D1" s="98"/>
      <c r="E1" s="98"/>
      <c r="F1" s="98"/>
      <c r="G1" s="1"/>
      <c r="J1" s="150" t="s">
        <v>83</v>
      </c>
      <c r="K1" s="151"/>
      <c r="L1" s="152"/>
    </row>
    <row r="2" spans="1:18" ht="20.100000000000001" customHeight="1">
      <c r="A2" s="3" t="s">
        <v>1</v>
      </c>
      <c r="B2" s="92"/>
      <c r="C2" s="92"/>
      <c r="D2" s="3" t="s">
        <v>130</v>
      </c>
      <c r="E2" s="92"/>
      <c r="F2" s="92"/>
      <c r="G2" s="92"/>
      <c r="H2" s="92"/>
      <c r="I2" s="4"/>
      <c r="J2" s="166" t="s">
        <v>91</v>
      </c>
      <c r="K2" s="167"/>
      <c r="L2" s="168"/>
    </row>
    <row r="3" spans="1:18" ht="20.100000000000001" customHeight="1">
      <c r="A3" s="3" t="s">
        <v>140</v>
      </c>
      <c r="B3" s="92"/>
      <c r="C3" s="92"/>
      <c r="D3" s="92"/>
      <c r="E3" s="153">
        <f>+L3+3</f>
        <v>46273</v>
      </c>
      <c r="F3" s="153"/>
      <c r="G3" s="153"/>
      <c r="H3" s="153"/>
      <c r="I3" s="153"/>
      <c r="J3" s="92"/>
      <c r="K3" s="92"/>
      <c r="L3" s="121">
        <v>46270</v>
      </c>
      <c r="M3" s="4"/>
    </row>
    <row r="4" spans="1:18" ht="15.95" customHeight="1">
      <c r="A4" s="154" t="s">
        <v>2</v>
      </c>
      <c r="B4" s="155" t="s">
        <v>3</v>
      </c>
      <c r="C4" s="155"/>
      <c r="D4" s="156" t="s">
        <v>4</v>
      </c>
      <c r="E4" s="157"/>
      <c r="F4" s="158"/>
      <c r="G4" s="162" t="s">
        <v>5</v>
      </c>
      <c r="H4" s="164" t="s">
        <v>6</v>
      </c>
      <c r="I4" s="164" t="s">
        <v>87</v>
      </c>
      <c r="J4" s="154" t="s">
        <v>88</v>
      </c>
      <c r="K4" s="164" t="s">
        <v>0</v>
      </c>
      <c r="L4" s="155" t="s">
        <v>7</v>
      </c>
    </row>
    <row r="5" spans="1:18" ht="15.95" customHeight="1">
      <c r="A5" s="154"/>
      <c r="B5" s="155"/>
      <c r="C5" s="155"/>
      <c r="D5" s="159"/>
      <c r="E5" s="160"/>
      <c r="F5" s="161"/>
      <c r="G5" s="163"/>
      <c r="H5" s="165"/>
      <c r="I5" s="165"/>
      <c r="J5" s="154"/>
      <c r="K5" s="165"/>
      <c r="L5" s="155"/>
    </row>
    <row r="6" spans="1:18" ht="27.75" customHeight="1">
      <c r="A6" s="5">
        <v>1</v>
      </c>
      <c r="B6" s="134" t="s">
        <v>141</v>
      </c>
      <c r="C6" s="135"/>
      <c r="D6" s="135"/>
      <c r="E6" s="135"/>
      <c r="F6" s="136"/>
      <c r="G6" s="99" t="s">
        <v>174</v>
      </c>
      <c r="H6" s="100">
        <v>1</v>
      </c>
      <c r="I6" s="199">
        <v>850</v>
      </c>
      <c r="J6" s="101">
        <f>H6*I6</f>
        <v>850</v>
      </c>
      <c r="K6" s="102" t="s">
        <v>105</v>
      </c>
      <c r="L6" s="103" t="s">
        <v>104</v>
      </c>
      <c r="R6" s="97"/>
    </row>
    <row r="7" spans="1:18" ht="42" customHeight="1">
      <c r="A7" s="5">
        <v>2</v>
      </c>
      <c r="B7" s="134" t="s">
        <v>131</v>
      </c>
      <c r="C7" s="135"/>
      <c r="D7" s="135"/>
      <c r="E7" s="135"/>
      <c r="F7" s="136"/>
      <c r="G7" s="99" t="s">
        <v>133</v>
      </c>
      <c r="H7" s="100">
        <v>1</v>
      </c>
      <c r="I7" s="199">
        <v>840</v>
      </c>
      <c r="J7" s="101">
        <f t="shared" ref="J7:J50" si="0">H7*I7</f>
        <v>840</v>
      </c>
      <c r="K7" s="102"/>
      <c r="L7" s="103"/>
      <c r="R7" s="97"/>
    </row>
    <row r="8" spans="1:18" ht="27" customHeight="1">
      <c r="A8" s="5">
        <v>3</v>
      </c>
      <c r="B8" s="134" t="s">
        <v>142</v>
      </c>
      <c r="C8" s="135"/>
      <c r="D8" s="135"/>
      <c r="E8" s="135"/>
      <c r="F8" s="136"/>
      <c r="G8" s="99" t="s">
        <v>169</v>
      </c>
      <c r="H8" s="100">
        <v>1</v>
      </c>
      <c r="I8" s="199">
        <v>150</v>
      </c>
      <c r="J8" s="101">
        <f t="shared" si="0"/>
        <v>150</v>
      </c>
      <c r="K8" s="102"/>
      <c r="L8" s="103"/>
      <c r="R8" s="97"/>
    </row>
    <row r="9" spans="1:18" ht="27" customHeight="1">
      <c r="A9" s="5">
        <v>4</v>
      </c>
      <c r="B9" s="134" t="s">
        <v>143</v>
      </c>
      <c r="C9" s="135"/>
      <c r="D9" s="135"/>
      <c r="E9" s="135"/>
      <c r="F9" s="136"/>
      <c r="G9" s="99" t="s">
        <v>170</v>
      </c>
      <c r="H9" s="100">
        <v>1</v>
      </c>
      <c r="I9" s="199">
        <v>150</v>
      </c>
      <c r="J9" s="101">
        <f t="shared" si="0"/>
        <v>150</v>
      </c>
      <c r="K9" s="102"/>
      <c r="L9" s="103"/>
      <c r="R9" s="97"/>
    </row>
    <row r="10" spans="1:18" ht="27" customHeight="1">
      <c r="A10" s="5">
        <v>5</v>
      </c>
      <c r="B10" s="134" t="s">
        <v>144</v>
      </c>
      <c r="C10" s="135"/>
      <c r="D10" s="135"/>
      <c r="E10" s="135"/>
      <c r="F10" s="136"/>
      <c r="G10" s="99"/>
      <c r="H10" s="100"/>
      <c r="I10" s="199"/>
      <c r="J10" s="101">
        <f t="shared" si="0"/>
        <v>0</v>
      </c>
      <c r="K10" s="102"/>
      <c r="L10" s="99"/>
      <c r="R10" s="97"/>
    </row>
    <row r="11" spans="1:18" ht="27" customHeight="1">
      <c r="A11" s="5">
        <v>6</v>
      </c>
      <c r="B11" s="134" t="s">
        <v>145</v>
      </c>
      <c r="C11" s="135"/>
      <c r="D11" s="135"/>
      <c r="E11" s="135"/>
      <c r="F11" s="136"/>
      <c r="G11" s="99" t="s">
        <v>132</v>
      </c>
      <c r="H11" s="100">
        <v>1</v>
      </c>
      <c r="I11" s="199">
        <v>450</v>
      </c>
      <c r="J11" s="101">
        <f t="shared" si="0"/>
        <v>450</v>
      </c>
      <c r="K11" s="102"/>
      <c r="L11" s="103"/>
      <c r="R11" s="97"/>
    </row>
    <row r="12" spans="1:18" ht="27" customHeight="1">
      <c r="A12" s="5">
        <v>7</v>
      </c>
      <c r="B12" s="134" t="s">
        <v>134</v>
      </c>
      <c r="C12" s="135"/>
      <c r="D12" s="135"/>
      <c r="E12" s="135"/>
      <c r="F12" s="136"/>
      <c r="G12" s="99" t="s">
        <v>132</v>
      </c>
      <c r="H12" s="100">
        <v>1</v>
      </c>
      <c r="I12" s="199">
        <v>180</v>
      </c>
      <c r="J12" s="101">
        <f t="shared" si="0"/>
        <v>180</v>
      </c>
      <c r="K12" s="102"/>
      <c r="L12" s="99"/>
      <c r="R12" s="97"/>
    </row>
    <row r="13" spans="1:18" ht="27" customHeight="1">
      <c r="A13" s="5">
        <v>8</v>
      </c>
      <c r="B13" s="134" t="s">
        <v>146</v>
      </c>
      <c r="C13" s="135"/>
      <c r="D13" s="135"/>
      <c r="E13" s="135"/>
      <c r="F13" s="136"/>
      <c r="G13" s="99" t="s">
        <v>135</v>
      </c>
      <c r="H13" s="100">
        <v>1</v>
      </c>
      <c r="I13" s="199">
        <v>800</v>
      </c>
      <c r="J13" s="101">
        <f t="shared" si="0"/>
        <v>800</v>
      </c>
      <c r="K13" s="102"/>
      <c r="L13" s="99"/>
      <c r="R13" s="97"/>
    </row>
    <row r="14" spans="1:18" ht="27" customHeight="1">
      <c r="A14" s="5">
        <v>9</v>
      </c>
      <c r="B14" s="134" t="s">
        <v>147</v>
      </c>
      <c r="C14" s="135"/>
      <c r="D14" s="135"/>
      <c r="E14" s="135"/>
      <c r="F14" s="136"/>
      <c r="G14" s="99" t="s">
        <v>135</v>
      </c>
      <c r="H14" s="100">
        <v>1</v>
      </c>
      <c r="I14" s="199">
        <v>1000</v>
      </c>
      <c r="J14" s="101">
        <f t="shared" si="0"/>
        <v>1000</v>
      </c>
      <c r="K14" s="102"/>
      <c r="L14" s="99"/>
      <c r="R14" s="97"/>
    </row>
    <row r="15" spans="1:18" ht="27" customHeight="1">
      <c r="A15" s="5">
        <v>10</v>
      </c>
      <c r="B15" s="134" t="s">
        <v>148</v>
      </c>
      <c r="C15" s="135"/>
      <c r="D15" s="135"/>
      <c r="E15" s="135"/>
      <c r="F15" s="136"/>
      <c r="G15" s="99" t="s">
        <v>132</v>
      </c>
      <c r="H15" s="100">
        <v>1</v>
      </c>
      <c r="I15" s="199">
        <v>350</v>
      </c>
      <c r="J15" s="101">
        <f t="shared" si="0"/>
        <v>350</v>
      </c>
      <c r="K15" s="102"/>
      <c r="L15" s="99"/>
      <c r="R15" s="97"/>
    </row>
    <row r="16" spans="1:18" ht="27" customHeight="1">
      <c r="A16" s="5">
        <v>11</v>
      </c>
      <c r="B16" s="134" t="s">
        <v>149</v>
      </c>
      <c r="C16" s="135"/>
      <c r="D16" s="135"/>
      <c r="E16" s="135"/>
      <c r="F16" s="136"/>
      <c r="G16" s="99" t="s">
        <v>132</v>
      </c>
      <c r="H16" s="100">
        <v>1</v>
      </c>
      <c r="I16" s="199">
        <v>250</v>
      </c>
      <c r="J16" s="101">
        <f t="shared" si="0"/>
        <v>250</v>
      </c>
      <c r="K16" s="102"/>
      <c r="L16" s="99"/>
      <c r="R16" s="97"/>
    </row>
    <row r="17" spans="1:18" ht="27" customHeight="1">
      <c r="A17" s="5">
        <v>12</v>
      </c>
      <c r="B17" s="134" t="s">
        <v>150</v>
      </c>
      <c r="C17" s="135"/>
      <c r="D17" s="135"/>
      <c r="E17" s="135"/>
      <c r="F17" s="136"/>
      <c r="G17" s="99" t="s">
        <v>171</v>
      </c>
      <c r="H17" s="100">
        <v>1</v>
      </c>
      <c r="I17" s="199">
        <v>150</v>
      </c>
      <c r="J17" s="101">
        <f t="shared" si="0"/>
        <v>150</v>
      </c>
      <c r="K17" s="102"/>
      <c r="L17" s="99"/>
      <c r="R17" s="97"/>
    </row>
    <row r="18" spans="1:18" ht="27" customHeight="1">
      <c r="A18" s="5">
        <v>13</v>
      </c>
      <c r="B18" s="134" t="s">
        <v>151</v>
      </c>
      <c r="C18" s="135"/>
      <c r="D18" s="135"/>
      <c r="E18" s="135"/>
      <c r="F18" s="136"/>
      <c r="G18" s="99" t="s">
        <v>132</v>
      </c>
      <c r="H18" s="100">
        <v>1</v>
      </c>
      <c r="I18" s="199">
        <v>150</v>
      </c>
      <c r="J18" s="101">
        <f t="shared" si="0"/>
        <v>150</v>
      </c>
      <c r="K18" s="102"/>
      <c r="L18" s="99"/>
      <c r="R18" s="97"/>
    </row>
    <row r="19" spans="1:18" ht="27" customHeight="1">
      <c r="A19" s="5">
        <v>14</v>
      </c>
      <c r="B19" s="134" t="s">
        <v>152</v>
      </c>
      <c r="C19" s="135"/>
      <c r="D19" s="135"/>
      <c r="E19" s="135"/>
      <c r="F19" s="136"/>
      <c r="G19" s="99" t="s">
        <v>132</v>
      </c>
      <c r="H19" s="100">
        <v>1</v>
      </c>
      <c r="I19" s="199">
        <v>200</v>
      </c>
      <c r="J19" s="101">
        <f t="shared" si="0"/>
        <v>200</v>
      </c>
      <c r="K19" s="102"/>
      <c r="L19" s="99"/>
      <c r="R19" s="97"/>
    </row>
    <row r="20" spans="1:18" ht="27" customHeight="1">
      <c r="A20" s="5">
        <v>15</v>
      </c>
      <c r="B20" s="134" t="s">
        <v>153</v>
      </c>
      <c r="C20" s="135"/>
      <c r="D20" s="135"/>
      <c r="E20" s="135"/>
      <c r="F20" s="136"/>
      <c r="G20" s="99" t="s">
        <v>137</v>
      </c>
      <c r="H20" s="100">
        <v>1</v>
      </c>
      <c r="I20" s="199">
        <v>750</v>
      </c>
      <c r="J20" s="101">
        <f t="shared" si="0"/>
        <v>750</v>
      </c>
      <c r="K20" s="102"/>
      <c r="L20" s="99"/>
      <c r="R20" s="97"/>
    </row>
    <row r="21" spans="1:18" ht="27" customHeight="1">
      <c r="A21" s="5">
        <v>16</v>
      </c>
      <c r="B21" s="134" t="s">
        <v>154</v>
      </c>
      <c r="C21" s="135"/>
      <c r="D21" s="135"/>
      <c r="E21" s="135"/>
      <c r="F21" s="136"/>
      <c r="G21" s="99" t="s">
        <v>132</v>
      </c>
      <c r="H21" s="100">
        <v>1</v>
      </c>
      <c r="I21" s="199">
        <v>190</v>
      </c>
      <c r="J21" s="101">
        <f t="shared" si="0"/>
        <v>190</v>
      </c>
      <c r="K21" s="102"/>
      <c r="L21" s="99"/>
      <c r="R21" s="97"/>
    </row>
    <row r="22" spans="1:18" ht="27" customHeight="1">
      <c r="A22" s="5">
        <v>17</v>
      </c>
      <c r="B22" s="134" t="s">
        <v>155</v>
      </c>
      <c r="C22" s="135"/>
      <c r="D22" s="135"/>
      <c r="E22" s="135"/>
      <c r="F22" s="136"/>
      <c r="G22" s="99" t="s">
        <v>132</v>
      </c>
      <c r="H22" s="100">
        <v>1</v>
      </c>
      <c r="I22" s="199">
        <v>190</v>
      </c>
      <c r="J22" s="101">
        <f t="shared" si="0"/>
        <v>190</v>
      </c>
      <c r="K22" s="102"/>
      <c r="L22" s="99"/>
      <c r="R22" s="97"/>
    </row>
    <row r="23" spans="1:18" ht="27" customHeight="1">
      <c r="A23" s="5">
        <v>18</v>
      </c>
      <c r="B23" s="134" t="s">
        <v>136</v>
      </c>
      <c r="C23" s="135"/>
      <c r="D23" s="135"/>
      <c r="E23" s="135"/>
      <c r="F23" s="136"/>
      <c r="G23" s="99" t="s">
        <v>132</v>
      </c>
      <c r="H23" s="100">
        <v>1</v>
      </c>
      <c r="I23" s="199">
        <v>400</v>
      </c>
      <c r="J23" s="101">
        <f t="shared" si="0"/>
        <v>400</v>
      </c>
      <c r="K23" s="102"/>
      <c r="L23" s="99"/>
      <c r="R23" s="97"/>
    </row>
    <row r="24" spans="1:18" ht="27" customHeight="1">
      <c r="A24" s="5">
        <v>19</v>
      </c>
      <c r="B24" s="134" t="s">
        <v>156</v>
      </c>
      <c r="C24" s="135"/>
      <c r="D24" s="135"/>
      <c r="E24" s="135"/>
      <c r="F24" s="136"/>
      <c r="G24" s="99" t="s">
        <v>132</v>
      </c>
      <c r="H24" s="100">
        <v>1</v>
      </c>
      <c r="I24" s="199">
        <v>190</v>
      </c>
      <c r="J24" s="101">
        <f t="shared" si="0"/>
        <v>190</v>
      </c>
      <c r="K24" s="102"/>
      <c r="L24" s="99"/>
      <c r="R24" s="97"/>
    </row>
    <row r="25" spans="1:18" ht="27" customHeight="1">
      <c r="A25" s="5">
        <v>20</v>
      </c>
      <c r="B25" s="134" t="s">
        <v>157</v>
      </c>
      <c r="C25" s="135"/>
      <c r="D25" s="135"/>
      <c r="E25" s="135"/>
      <c r="F25" s="136"/>
      <c r="G25" s="99" t="s">
        <v>132</v>
      </c>
      <c r="H25" s="100">
        <v>1</v>
      </c>
      <c r="I25" s="199">
        <v>250</v>
      </c>
      <c r="J25" s="101">
        <f t="shared" si="0"/>
        <v>250</v>
      </c>
      <c r="K25" s="102"/>
      <c r="L25" s="99"/>
      <c r="R25" s="97"/>
    </row>
    <row r="26" spans="1:18" ht="27" customHeight="1">
      <c r="A26" s="5">
        <v>21</v>
      </c>
      <c r="B26" s="134" t="s">
        <v>158</v>
      </c>
      <c r="C26" s="135"/>
      <c r="D26" s="135"/>
      <c r="E26" s="135"/>
      <c r="F26" s="136"/>
      <c r="G26" s="99" t="s">
        <v>172</v>
      </c>
      <c r="H26" s="100">
        <v>1</v>
      </c>
      <c r="I26" s="199">
        <v>1400</v>
      </c>
      <c r="J26" s="101">
        <f t="shared" si="0"/>
        <v>1400</v>
      </c>
      <c r="K26" s="102"/>
      <c r="L26" s="99"/>
      <c r="R26" s="97"/>
    </row>
    <row r="27" spans="1:18" ht="43.5" customHeight="1">
      <c r="A27" s="5">
        <v>22</v>
      </c>
      <c r="B27" s="134" t="s">
        <v>159</v>
      </c>
      <c r="C27" s="135"/>
      <c r="D27" s="135"/>
      <c r="E27" s="135"/>
      <c r="F27" s="136"/>
      <c r="G27" s="99" t="s">
        <v>173</v>
      </c>
      <c r="H27" s="100">
        <v>1</v>
      </c>
      <c r="I27" s="199">
        <v>1700</v>
      </c>
      <c r="J27" s="101">
        <f t="shared" si="0"/>
        <v>1700</v>
      </c>
      <c r="K27" s="102"/>
      <c r="L27" s="99"/>
      <c r="R27" s="97"/>
    </row>
    <row r="28" spans="1:18" ht="43.5" customHeight="1">
      <c r="A28" s="5">
        <v>23</v>
      </c>
      <c r="B28" s="134" t="s">
        <v>160</v>
      </c>
      <c r="C28" s="135"/>
      <c r="D28" s="135"/>
      <c r="E28" s="135"/>
      <c r="F28" s="136"/>
      <c r="G28" s="99" t="s">
        <v>173</v>
      </c>
      <c r="H28" s="100">
        <v>1</v>
      </c>
      <c r="I28" s="122">
        <v>7500</v>
      </c>
      <c r="J28" s="101">
        <f t="shared" si="0"/>
        <v>7500</v>
      </c>
      <c r="K28" s="102"/>
      <c r="L28" s="99"/>
      <c r="R28" s="97"/>
    </row>
    <row r="29" spans="1:18" ht="43.5" customHeight="1">
      <c r="A29" s="5">
        <v>24</v>
      </c>
      <c r="B29" s="134" t="s">
        <v>161</v>
      </c>
      <c r="C29" s="135"/>
      <c r="D29" s="135"/>
      <c r="E29" s="135"/>
      <c r="F29" s="136"/>
      <c r="G29" s="99" t="s">
        <v>173</v>
      </c>
      <c r="H29" s="100">
        <v>1</v>
      </c>
      <c r="I29" s="122">
        <v>2400</v>
      </c>
      <c r="J29" s="101">
        <f t="shared" si="0"/>
        <v>2400</v>
      </c>
      <c r="K29" s="102"/>
      <c r="L29" s="99"/>
      <c r="R29" s="97"/>
    </row>
    <row r="30" spans="1:18" ht="43.5" customHeight="1">
      <c r="A30" s="5">
        <v>25</v>
      </c>
      <c r="B30" s="134" t="s">
        <v>162</v>
      </c>
      <c r="C30" s="135"/>
      <c r="D30" s="135"/>
      <c r="E30" s="135"/>
      <c r="F30" s="136"/>
      <c r="G30" s="99" t="s">
        <v>173</v>
      </c>
      <c r="H30" s="100">
        <v>1</v>
      </c>
      <c r="I30" s="122">
        <v>2400</v>
      </c>
      <c r="J30" s="101">
        <f t="shared" si="0"/>
        <v>2400</v>
      </c>
      <c r="K30" s="102"/>
      <c r="L30" s="99"/>
      <c r="R30" s="97"/>
    </row>
    <row r="31" spans="1:18" ht="43.5" customHeight="1">
      <c r="A31" s="5">
        <v>26</v>
      </c>
      <c r="B31" s="134" t="s">
        <v>163</v>
      </c>
      <c r="C31" s="135"/>
      <c r="D31" s="135"/>
      <c r="E31" s="135"/>
      <c r="F31" s="136"/>
      <c r="G31" s="99" t="s">
        <v>173</v>
      </c>
      <c r="H31" s="100">
        <v>1</v>
      </c>
      <c r="I31" s="122">
        <v>2200</v>
      </c>
      <c r="J31" s="101">
        <f t="shared" si="0"/>
        <v>2200</v>
      </c>
      <c r="K31" s="102"/>
      <c r="L31" s="99"/>
      <c r="R31" s="97"/>
    </row>
    <row r="32" spans="1:18" ht="43.5" customHeight="1">
      <c r="A32" s="5">
        <v>27</v>
      </c>
      <c r="B32" s="134" t="s">
        <v>164</v>
      </c>
      <c r="C32" s="135"/>
      <c r="D32" s="135"/>
      <c r="E32" s="135"/>
      <c r="F32" s="136"/>
      <c r="G32" s="99" t="s">
        <v>173</v>
      </c>
      <c r="H32" s="100">
        <v>1</v>
      </c>
      <c r="I32" s="122">
        <v>6500</v>
      </c>
      <c r="J32" s="101">
        <f t="shared" si="0"/>
        <v>6500</v>
      </c>
      <c r="K32" s="102"/>
      <c r="L32" s="99"/>
      <c r="R32" s="97"/>
    </row>
    <row r="33" spans="1:18" ht="43.5" customHeight="1">
      <c r="A33" s="5">
        <v>28</v>
      </c>
      <c r="B33" s="134" t="s">
        <v>165</v>
      </c>
      <c r="C33" s="135"/>
      <c r="D33" s="135"/>
      <c r="E33" s="135"/>
      <c r="F33" s="136"/>
      <c r="G33" s="99" t="s">
        <v>173</v>
      </c>
      <c r="H33" s="100">
        <v>1</v>
      </c>
      <c r="I33" s="122">
        <v>4300</v>
      </c>
      <c r="J33" s="101">
        <f t="shared" si="0"/>
        <v>4300</v>
      </c>
      <c r="K33" s="102"/>
      <c r="L33" s="99"/>
      <c r="R33" s="97"/>
    </row>
    <row r="34" spans="1:18" ht="43.5" customHeight="1">
      <c r="A34" s="5">
        <v>29</v>
      </c>
      <c r="B34" s="134" t="s">
        <v>166</v>
      </c>
      <c r="C34" s="135"/>
      <c r="D34" s="135"/>
      <c r="E34" s="135"/>
      <c r="F34" s="136"/>
      <c r="G34" s="99" t="s">
        <v>173</v>
      </c>
      <c r="H34" s="100">
        <v>1</v>
      </c>
      <c r="I34" s="122">
        <v>1600</v>
      </c>
      <c r="J34" s="101">
        <f t="shared" si="0"/>
        <v>1600</v>
      </c>
      <c r="K34" s="102"/>
      <c r="L34" s="99"/>
      <c r="R34" s="97"/>
    </row>
    <row r="35" spans="1:18" ht="32.25" customHeight="1">
      <c r="A35" s="5">
        <v>30</v>
      </c>
      <c r="B35" s="134" t="s">
        <v>167</v>
      </c>
      <c r="C35" s="135"/>
      <c r="D35" s="135"/>
      <c r="E35" s="135"/>
      <c r="F35" s="136"/>
      <c r="G35" s="99" t="s">
        <v>173</v>
      </c>
      <c r="H35" s="100">
        <v>1</v>
      </c>
      <c r="I35" s="122">
        <v>2500</v>
      </c>
      <c r="J35" s="101">
        <f t="shared" si="0"/>
        <v>2500</v>
      </c>
      <c r="K35" s="102"/>
      <c r="L35" s="99"/>
      <c r="R35" s="97"/>
    </row>
    <row r="36" spans="1:18" ht="43.5" customHeight="1">
      <c r="A36" s="5">
        <v>31</v>
      </c>
      <c r="B36" s="134" t="s">
        <v>168</v>
      </c>
      <c r="C36" s="135"/>
      <c r="D36" s="135"/>
      <c r="E36" s="135"/>
      <c r="F36" s="136"/>
      <c r="G36" s="99" t="s">
        <v>132</v>
      </c>
      <c r="H36" s="100">
        <v>1</v>
      </c>
      <c r="I36" s="122">
        <v>1200</v>
      </c>
      <c r="J36" s="101">
        <f t="shared" si="0"/>
        <v>1200</v>
      </c>
      <c r="K36" s="102"/>
      <c r="L36" s="99"/>
      <c r="R36" s="97"/>
    </row>
    <row r="37" spans="1:18" ht="28.5" customHeight="1">
      <c r="A37" s="5">
        <v>32</v>
      </c>
      <c r="B37" s="134" t="s">
        <v>175</v>
      </c>
      <c r="C37" s="135"/>
      <c r="D37" s="135"/>
      <c r="E37" s="135"/>
      <c r="F37" s="136"/>
      <c r="G37" s="123" t="s">
        <v>137</v>
      </c>
      <c r="H37" s="100">
        <v>1</v>
      </c>
      <c r="I37" s="122">
        <v>200</v>
      </c>
      <c r="J37" s="101">
        <f t="shared" si="0"/>
        <v>200</v>
      </c>
      <c r="K37" s="102"/>
      <c r="L37" s="99"/>
      <c r="R37" s="97"/>
    </row>
    <row r="38" spans="1:18" ht="28.5" customHeight="1">
      <c r="A38" s="5">
        <v>33</v>
      </c>
      <c r="B38" s="134" t="s">
        <v>176</v>
      </c>
      <c r="C38" s="135"/>
      <c r="D38" s="135"/>
      <c r="E38" s="135"/>
      <c r="F38" s="136"/>
      <c r="G38" s="123" t="s">
        <v>137</v>
      </c>
      <c r="H38" s="100">
        <v>1</v>
      </c>
      <c r="I38" s="122">
        <v>260</v>
      </c>
      <c r="J38" s="101">
        <f t="shared" si="0"/>
        <v>260</v>
      </c>
      <c r="K38" s="102"/>
      <c r="L38" s="99"/>
      <c r="R38" s="97"/>
    </row>
    <row r="39" spans="1:18" ht="28.5" customHeight="1">
      <c r="A39" s="5">
        <v>34</v>
      </c>
      <c r="B39" s="134" t="s">
        <v>177</v>
      </c>
      <c r="C39" s="135"/>
      <c r="D39" s="135"/>
      <c r="E39" s="135"/>
      <c r="F39" s="136"/>
      <c r="G39" s="123" t="s">
        <v>137</v>
      </c>
      <c r="H39" s="100">
        <v>1</v>
      </c>
      <c r="I39" s="122">
        <v>320</v>
      </c>
      <c r="J39" s="101">
        <f t="shared" si="0"/>
        <v>320</v>
      </c>
      <c r="K39" s="102"/>
      <c r="L39" s="99"/>
      <c r="R39" s="97"/>
    </row>
    <row r="40" spans="1:18" ht="28.5" customHeight="1">
      <c r="A40" s="5">
        <v>35</v>
      </c>
      <c r="B40" s="134" t="s">
        <v>178</v>
      </c>
      <c r="C40" s="135"/>
      <c r="D40" s="135"/>
      <c r="E40" s="135"/>
      <c r="F40" s="136"/>
      <c r="G40" s="123" t="s">
        <v>137</v>
      </c>
      <c r="H40" s="100">
        <v>1</v>
      </c>
      <c r="I40" s="122">
        <v>410</v>
      </c>
      <c r="J40" s="101">
        <f t="shared" si="0"/>
        <v>410</v>
      </c>
      <c r="K40" s="102"/>
      <c r="L40" s="99"/>
      <c r="R40" s="97"/>
    </row>
    <row r="41" spans="1:18" ht="28.5" customHeight="1">
      <c r="A41" s="5">
        <v>36</v>
      </c>
      <c r="B41" s="134" t="s">
        <v>179</v>
      </c>
      <c r="C41" s="135"/>
      <c r="D41" s="135"/>
      <c r="E41" s="135"/>
      <c r="F41" s="136"/>
      <c r="G41" s="123" t="s">
        <v>137</v>
      </c>
      <c r="H41" s="100">
        <v>1</v>
      </c>
      <c r="I41" s="122">
        <v>470</v>
      </c>
      <c r="J41" s="101">
        <f t="shared" si="0"/>
        <v>470</v>
      </c>
      <c r="K41" s="102"/>
      <c r="L41" s="99"/>
      <c r="R41" s="97"/>
    </row>
    <row r="42" spans="1:18" ht="28.5" customHeight="1">
      <c r="A42" s="5">
        <v>37</v>
      </c>
      <c r="B42" s="134" t="s">
        <v>180</v>
      </c>
      <c r="C42" s="135"/>
      <c r="D42" s="135"/>
      <c r="E42" s="135"/>
      <c r="F42" s="136"/>
      <c r="G42" s="123" t="s">
        <v>137</v>
      </c>
      <c r="H42" s="100">
        <v>1</v>
      </c>
      <c r="I42" s="122">
        <v>150</v>
      </c>
      <c r="J42" s="101">
        <f t="shared" si="0"/>
        <v>150</v>
      </c>
      <c r="K42" s="102"/>
      <c r="L42" s="99"/>
      <c r="R42" s="97"/>
    </row>
    <row r="43" spans="1:18" ht="43.5" customHeight="1">
      <c r="A43" s="5">
        <v>38</v>
      </c>
      <c r="B43" s="134" t="s">
        <v>181</v>
      </c>
      <c r="C43" s="135"/>
      <c r="D43" s="135"/>
      <c r="E43" s="135"/>
      <c r="F43" s="136"/>
      <c r="G43" s="123" t="s">
        <v>189</v>
      </c>
      <c r="H43" s="100">
        <v>1</v>
      </c>
      <c r="I43" s="122">
        <v>120</v>
      </c>
      <c r="J43" s="101">
        <f t="shared" si="0"/>
        <v>120</v>
      </c>
      <c r="K43" s="102"/>
      <c r="L43" s="99"/>
      <c r="R43" s="97"/>
    </row>
    <row r="44" spans="1:18" ht="30.75" customHeight="1">
      <c r="A44" s="5">
        <v>39</v>
      </c>
      <c r="B44" s="134" t="s">
        <v>182</v>
      </c>
      <c r="C44" s="135"/>
      <c r="D44" s="135"/>
      <c r="E44" s="135"/>
      <c r="F44" s="136"/>
      <c r="G44" s="123"/>
      <c r="H44" s="100"/>
      <c r="I44" s="122"/>
      <c r="J44" s="101">
        <f t="shared" si="0"/>
        <v>0</v>
      </c>
      <c r="K44" s="102"/>
      <c r="L44" s="99"/>
      <c r="R44" s="97"/>
    </row>
    <row r="45" spans="1:18" ht="30.75" customHeight="1">
      <c r="A45" s="5">
        <v>40</v>
      </c>
      <c r="B45" s="134" t="s">
        <v>183</v>
      </c>
      <c r="C45" s="135"/>
      <c r="D45" s="135"/>
      <c r="E45" s="135"/>
      <c r="F45" s="136"/>
      <c r="G45" s="123" t="s">
        <v>190</v>
      </c>
      <c r="H45" s="100">
        <v>1</v>
      </c>
      <c r="I45" s="122">
        <v>1000</v>
      </c>
      <c r="J45" s="101">
        <f t="shared" si="0"/>
        <v>1000</v>
      </c>
      <c r="K45" s="102"/>
      <c r="L45" s="99"/>
      <c r="R45" s="97"/>
    </row>
    <row r="46" spans="1:18" ht="30.75" customHeight="1">
      <c r="A46" s="5">
        <v>41</v>
      </c>
      <c r="B46" s="134" t="s">
        <v>184</v>
      </c>
      <c r="C46" s="135"/>
      <c r="D46" s="135"/>
      <c r="E46" s="135"/>
      <c r="F46" s="136"/>
      <c r="G46" s="123" t="s">
        <v>190</v>
      </c>
      <c r="H46" s="100">
        <v>1</v>
      </c>
      <c r="I46" s="122">
        <v>1800</v>
      </c>
      <c r="J46" s="101">
        <f t="shared" si="0"/>
        <v>1800</v>
      </c>
      <c r="K46" s="102"/>
      <c r="L46" s="99"/>
      <c r="R46" s="97"/>
    </row>
    <row r="47" spans="1:18" ht="30.75" customHeight="1">
      <c r="A47" s="5">
        <v>42</v>
      </c>
      <c r="B47" s="134" t="s">
        <v>185</v>
      </c>
      <c r="C47" s="135"/>
      <c r="D47" s="135"/>
      <c r="E47" s="135"/>
      <c r="F47" s="136"/>
      <c r="G47" s="123" t="s">
        <v>190</v>
      </c>
      <c r="H47" s="100">
        <v>1</v>
      </c>
      <c r="I47" s="122">
        <v>2400</v>
      </c>
      <c r="J47" s="101">
        <f t="shared" si="0"/>
        <v>2400</v>
      </c>
      <c r="K47" s="102"/>
      <c r="L47" s="99"/>
      <c r="R47" s="97"/>
    </row>
    <row r="48" spans="1:18" ht="30.75" customHeight="1">
      <c r="A48" s="5">
        <v>43</v>
      </c>
      <c r="B48" s="134" t="s">
        <v>186</v>
      </c>
      <c r="C48" s="135"/>
      <c r="D48" s="135"/>
      <c r="E48" s="135"/>
      <c r="F48" s="136"/>
      <c r="G48" s="123" t="s">
        <v>190</v>
      </c>
      <c r="H48" s="100">
        <v>1</v>
      </c>
      <c r="I48" s="122">
        <v>3200</v>
      </c>
      <c r="J48" s="101">
        <f t="shared" si="0"/>
        <v>3200</v>
      </c>
      <c r="K48" s="102"/>
      <c r="L48" s="99"/>
      <c r="R48" s="97"/>
    </row>
    <row r="49" spans="1:26" ht="30.75" customHeight="1">
      <c r="A49" s="5">
        <v>44</v>
      </c>
      <c r="B49" s="134" t="s">
        <v>187</v>
      </c>
      <c r="C49" s="135"/>
      <c r="D49" s="135"/>
      <c r="E49" s="135"/>
      <c r="F49" s="136"/>
      <c r="G49" s="123" t="s">
        <v>190</v>
      </c>
      <c r="H49" s="100">
        <v>1</v>
      </c>
      <c r="I49" s="122">
        <v>4500</v>
      </c>
      <c r="J49" s="101">
        <f t="shared" si="0"/>
        <v>4500</v>
      </c>
      <c r="K49" s="102"/>
      <c r="L49" s="99"/>
      <c r="R49" s="97"/>
    </row>
    <row r="50" spans="1:26" ht="30.75" customHeight="1">
      <c r="A50" s="5">
        <v>45</v>
      </c>
      <c r="B50" s="134" t="s">
        <v>188</v>
      </c>
      <c r="C50" s="135"/>
      <c r="D50" s="135"/>
      <c r="E50" s="135"/>
      <c r="F50" s="136"/>
      <c r="G50" s="123" t="s">
        <v>191</v>
      </c>
      <c r="H50" s="100">
        <v>1</v>
      </c>
      <c r="I50" s="122">
        <v>350</v>
      </c>
      <c r="J50" s="101">
        <f t="shared" si="0"/>
        <v>350</v>
      </c>
      <c r="K50" s="102"/>
      <c r="L50" s="99"/>
      <c r="R50" s="97"/>
    </row>
    <row r="51" spans="1:26" ht="22.5" customHeight="1">
      <c r="A51" s="169" t="s">
        <v>8</v>
      </c>
      <c r="B51" s="170"/>
      <c r="C51" s="104"/>
      <c r="D51" s="105"/>
      <c r="E51" s="105"/>
      <c r="F51" s="105"/>
      <c r="G51" s="106"/>
      <c r="H51" s="106"/>
      <c r="I51" s="107" t="s">
        <v>9</v>
      </c>
      <c r="J51" s="101">
        <f>SUM(J4:J50)</f>
        <v>56370</v>
      </c>
      <c r="K51" s="101"/>
      <c r="L51" s="108"/>
    </row>
    <row r="52" spans="1:26" ht="20.100000000000001" customHeight="1">
      <c r="A52" s="6" t="s">
        <v>10</v>
      </c>
      <c r="B52" s="7"/>
      <c r="C52" s="7"/>
      <c r="D52" s="7"/>
      <c r="E52" s="7"/>
      <c r="F52" s="7"/>
      <c r="G52" s="7"/>
      <c r="H52" s="7"/>
      <c r="I52" s="7"/>
      <c r="J52" s="7"/>
      <c r="K52" s="8"/>
      <c r="L52" s="9"/>
    </row>
    <row r="53" spans="1:26" ht="18" customHeight="1">
      <c r="A53" s="10"/>
      <c r="J53" s="1"/>
      <c r="K53" s="1"/>
      <c r="O53" s="11"/>
      <c r="P53" s="11"/>
      <c r="Q53" s="11"/>
      <c r="R53" s="11"/>
      <c r="S53" s="11"/>
      <c r="T53" s="11"/>
      <c r="U53" s="11"/>
      <c r="V53" s="11"/>
      <c r="W53" s="11"/>
      <c r="Y53" s="141"/>
      <c r="Z53" s="11"/>
    </row>
    <row r="54" spans="1:26" ht="50.1" customHeight="1">
      <c r="Y54" s="142"/>
    </row>
    <row r="55" spans="1:26" ht="15" customHeight="1">
      <c r="O55" s="137" t="s">
        <v>117</v>
      </c>
      <c r="P55" s="143"/>
      <c r="Q55" s="143"/>
      <c r="R55" s="138"/>
      <c r="S55" s="112"/>
      <c r="T55" s="137" t="s">
        <v>118</v>
      </c>
      <c r="U55" s="143"/>
      <c r="V55" s="143"/>
      <c r="W55" s="143"/>
      <c r="X55" s="143"/>
      <c r="Y55" s="138"/>
    </row>
    <row r="56" spans="1:26" ht="15" customHeight="1">
      <c r="O56" s="144" t="s">
        <v>119</v>
      </c>
      <c r="P56" s="146" t="s">
        <v>120</v>
      </c>
      <c r="Q56" s="144" t="s">
        <v>121</v>
      </c>
      <c r="R56" s="146" t="s">
        <v>122</v>
      </c>
      <c r="S56" s="112"/>
      <c r="T56" s="144" t="s">
        <v>123</v>
      </c>
      <c r="U56" s="146" t="s">
        <v>124</v>
      </c>
      <c r="V56" s="137" t="s">
        <v>125</v>
      </c>
      <c r="W56" s="143"/>
      <c r="X56" s="138"/>
      <c r="Y56" s="146" t="s">
        <v>126</v>
      </c>
    </row>
    <row r="57" spans="1:26" ht="18" customHeight="1">
      <c r="O57" s="145"/>
      <c r="P57" s="147"/>
      <c r="Q57" s="145"/>
      <c r="R57" s="147"/>
      <c r="S57" s="113"/>
      <c r="T57" s="145"/>
      <c r="U57" s="147"/>
      <c r="V57" s="13" t="s">
        <v>119</v>
      </c>
      <c r="W57" s="148" t="s">
        <v>127</v>
      </c>
      <c r="X57" s="149"/>
      <c r="Y57" s="147"/>
    </row>
    <row r="58" spans="1:26" ht="50.1" customHeight="1">
      <c r="O58" s="14"/>
      <c r="P58" s="14"/>
      <c r="Q58" s="14"/>
      <c r="R58" s="14"/>
      <c r="S58" s="112"/>
      <c r="T58" s="14"/>
      <c r="U58" s="14"/>
      <c r="V58" s="14"/>
      <c r="W58" s="137"/>
      <c r="X58" s="138"/>
      <c r="Y58" s="114"/>
    </row>
    <row r="59" spans="1:26" ht="36" customHeight="1">
      <c r="W59" s="115"/>
      <c r="X59" s="139" t="s">
        <v>128</v>
      </c>
      <c r="Y59" s="12" t="s">
        <v>126</v>
      </c>
    </row>
    <row r="60" spans="1:26" ht="50.1" customHeight="1">
      <c r="O60" s="116"/>
      <c r="P60" s="116"/>
      <c r="Q60" s="116"/>
      <c r="R60" s="116"/>
      <c r="S60" s="116"/>
      <c r="T60" s="116"/>
      <c r="U60" s="116"/>
      <c r="V60" s="116"/>
      <c r="W60" s="117"/>
      <c r="X60" s="140"/>
      <c r="Y60" s="118"/>
    </row>
    <row r="61" spans="1:26" ht="19.899999999999999" customHeight="1"/>
    <row r="62" spans="1:26" ht="17.45" customHeight="1">
      <c r="O62" s="171"/>
      <c r="P62" s="171"/>
    </row>
    <row r="63" spans="1:26" ht="19.899999999999999" customHeight="1">
      <c r="O63" s="171"/>
      <c r="P63" s="171"/>
    </row>
    <row r="64" spans="1:26" ht="14.25">
      <c r="O64" s="11"/>
      <c r="P64" s="11"/>
    </row>
    <row r="65" spans="15:16" ht="65.099999999999994" customHeight="1"/>
    <row r="66" spans="15:16" ht="14.25">
      <c r="O66" s="11"/>
      <c r="P66" s="11"/>
    </row>
    <row r="67" spans="15:16" ht="19.899999999999999" customHeight="1"/>
    <row r="68" spans="15:16" ht="14.25"/>
    <row r="69" spans="15:16" ht="19.899999999999999" customHeight="1"/>
    <row r="70" spans="15:16" ht="14.25"/>
    <row r="71" spans="15:16" ht="19.899999999999999" customHeight="1"/>
    <row r="72" spans="15:16" ht="19.899999999999999" customHeight="1"/>
    <row r="73" spans="15:16" ht="64.900000000000006" customHeight="1"/>
    <row r="75" spans="15:16" ht="19.899999999999999" customHeight="1"/>
    <row r="76" spans="15:16" ht="19.899999999999999" customHeight="1"/>
    <row r="77" spans="15:16" ht="64.900000000000006" customHeight="1"/>
    <row r="81" spans="15:19" ht="21" customHeight="1">
      <c r="O81" s="146" t="s">
        <v>12</v>
      </c>
      <c r="P81" s="146" t="s">
        <v>12</v>
      </c>
      <c r="S81" s="146" t="s">
        <v>11</v>
      </c>
    </row>
    <row r="82" spans="15:19" ht="21" customHeight="1">
      <c r="O82" s="147"/>
      <c r="P82" s="147"/>
      <c r="S82" s="145"/>
    </row>
    <row r="83" spans="15:19" ht="64.900000000000006" customHeight="1">
      <c r="O83" s="14"/>
      <c r="P83" s="14"/>
      <c r="S83" s="15"/>
    </row>
    <row r="84" spans="15:19" ht="7.15" customHeight="1"/>
    <row r="85" spans="15:19" ht="21" customHeight="1">
      <c r="O85" s="146" t="s">
        <v>12</v>
      </c>
      <c r="P85" s="146" t="s">
        <v>12</v>
      </c>
      <c r="S85" s="146" t="s">
        <v>13</v>
      </c>
    </row>
    <row r="86" spans="15:19" ht="21" customHeight="1">
      <c r="O86" s="147"/>
      <c r="P86" s="147"/>
      <c r="S86" s="145"/>
    </row>
    <row r="87" spans="15:19" ht="64.900000000000006" customHeight="1">
      <c r="O87" s="14"/>
      <c r="P87" s="14"/>
      <c r="S87" s="14"/>
    </row>
  </sheetData>
  <mergeCells count="80">
    <mergeCell ref="O85:O86"/>
    <mergeCell ref="P85:P86"/>
    <mergeCell ref="S85:S86"/>
    <mergeCell ref="O62:O63"/>
    <mergeCell ref="P62:P63"/>
    <mergeCell ref="O81:O82"/>
    <mergeCell ref="P81:P82"/>
    <mergeCell ref="S81:S82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W58:X58"/>
    <mergeCell ref="X59:X60"/>
    <mergeCell ref="B6:F6"/>
    <mergeCell ref="Y53:Y54"/>
    <mergeCell ref="O55:R55"/>
    <mergeCell ref="T55:Y55"/>
    <mergeCell ref="O56:O57"/>
    <mergeCell ref="Q56:Q57"/>
    <mergeCell ref="R56:R57"/>
    <mergeCell ref="T56:T57"/>
    <mergeCell ref="U56:U57"/>
    <mergeCell ref="V56:X56"/>
    <mergeCell ref="Y56:Y57"/>
    <mergeCell ref="W57:X57"/>
    <mergeCell ref="A51:B51"/>
    <mergeCell ref="P56:P57"/>
    <mergeCell ref="B12:F12"/>
    <mergeCell ref="B13:F13"/>
    <mergeCell ref="B14:F14"/>
    <mergeCell ref="B15:F15"/>
    <mergeCell ref="B16:F16"/>
    <mergeCell ref="B7:F7"/>
    <mergeCell ref="B8:F8"/>
    <mergeCell ref="B9:F9"/>
    <mergeCell ref="B10:F10"/>
    <mergeCell ref="B11:F11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48:F48"/>
    <mergeCell ref="B49:F49"/>
    <mergeCell ref="B50:F50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</mergeCells>
  <phoneticPr fontId="4" type="noConversion"/>
  <printOptions horizontalCentered="1"/>
  <pageMargins left="0.39370078740157499" right="0.39370078740157499" top="0.39370078740157499" bottom="0.39370078740157499" header="0" footer="0"/>
  <pageSetup paperSize="9" scale="8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60"/>
  <sheetViews>
    <sheetView showGridLines="0" view="pageBreakPreview" zoomScale="70" zoomScaleNormal="95" zoomScaleSheetLayoutView="70" workbookViewId="0">
      <pane ySplit="5" topLeftCell="A32" activePane="bottomLeft" state="frozen"/>
      <selection activeCell="D30" sqref="D30"/>
      <selection pane="bottomLeft" activeCell="D42" sqref="D42:F42"/>
    </sheetView>
  </sheetViews>
  <sheetFormatPr defaultColWidth="9" defaultRowHeight="21" customHeight="1"/>
  <cols>
    <col min="1" max="1" width="7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9" t="s">
        <v>89</v>
      </c>
      <c r="B1" s="91"/>
      <c r="C1" s="91"/>
      <c r="D1" s="91"/>
      <c r="E1" s="91"/>
      <c r="F1" s="91"/>
      <c r="G1" s="1"/>
      <c r="J1" s="150" t="str">
        <f>+MRS!J1</f>
        <v>DAESHIN PLANT</v>
      </c>
      <c r="K1" s="152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16"/>
      <c r="H2" s="16"/>
      <c r="I2" s="16"/>
      <c r="J2" s="166" t="str">
        <f>+MRS!J2</f>
        <v>Subcontract name (SAC2-SC-IK-SMP-01)</v>
      </c>
      <c r="K2" s="168"/>
    </row>
    <row r="3" spans="1:18" ht="24.95" customHeight="1">
      <c r="A3" s="3" t="str">
        <f>+MRS!A3</f>
        <v xml:space="preserve">  MRS No : SAC2-DS-MRS-0452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46270</v>
      </c>
    </row>
    <row r="4" spans="1:18" ht="15.95" customHeight="1">
      <c r="A4" s="177" t="s">
        <v>2</v>
      </c>
      <c r="B4" s="178" t="s">
        <v>14</v>
      </c>
      <c r="C4" s="178"/>
      <c r="D4" s="177" t="s">
        <v>4</v>
      </c>
      <c r="E4" s="177"/>
      <c r="F4" s="177"/>
      <c r="G4" s="178" t="s">
        <v>5</v>
      </c>
      <c r="H4" s="177" t="s">
        <v>84</v>
      </c>
      <c r="I4" s="177" t="s">
        <v>15</v>
      </c>
      <c r="J4" s="177" t="s">
        <v>16</v>
      </c>
      <c r="K4" s="178" t="s">
        <v>7</v>
      </c>
    </row>
    <row r="5" spans="1:18" ht="15.95" customHeight="1">
      <c r="A5" s="177"/>
      <c r="B5" s="178"/>
      <c r="C5" s="178"/>
      <c r="D5" s="177"/>
      <c r="E5" s="177"/>
      <c r="F5" s="177"/>
      <c r="G5" s="178"/>
      <c r="H5" s="177"/>
      <c r="I5" s="177"/>
      <c r="J5" s="177"/>
      <c r="K5" s="178"/>
    </row>
    <row r="6" spans="1:18" ht="105" customHeight="1">
      <c r="A6" s="17">
        <f>+MRS!A6</f>
        <v>1</v>
      </c>
      <c r="B6" s="172" t="str">
        <f>MRS!B6</f>
        <v>Preparation of WPS by Certified Welding Inspector</v>
      </c>
      <c r="C6" s="173"/>
      <c r="D6" s="174">
        <f>MRS!D6</f>
        <v>0</v>
      </c>
      <c r="E6" s="175"/>
      <c r="F6" s="176"/>
      <c r="G6" s="94" t="str">
        <f>MRS!G6</f>
        <v>Per Procedure</v>
      </c>
      <c r="H6" s="94">
        <f>MRS!H6</f>
        <v>1</v>
      </c>
      <c r="I6" s="95">
        <f>MRS!I6</f>
        <v>850</v>
      </c>
      <c r="J6" s="95">
        <f>MRS!J6</f>
        <v>850</v>
      </c>
      <c r="K6" s="96"/>
      <c r="O6" s="97"/>
      <c r="P6" s="97"/>
      <c r="R6" s="97"/>
    </row>
    <row r="7" spans="1:18" ht="105" customHeight="1">
      <c r="A7" s="17">
        <f>+MRS!A7</f>
        <v>2</v>
      </c>
      <c r="B7" s="172" t="str">
        <f>MRS!B7</f>
        <v>Minimun charges of Witnessing Welder Qualification / PQR by certified welding inspector</v>
      </c>
      <c r="C7" s="173"/>
      <c r="D7" s="174">
        <f>MRS!D7</f>
        <v>0</v>
      </c>
      <c r="E7" s="175"/>
      <c r="F7" s="176"/>
      <c r="G7" s="94" t="str">
        <f>MRS!G7</f>
        <v>Per Day</v>
      </c>
      <c r="H7" s="94">
        <f>MRS!H7</f>
        <v>1</v>
      </c>
      <c r="I7" s="95">
        <f>MRS!I7</f>
        <v>840</v>
      </c>
      <c r="J7" s="95">
        <f>MRS!J7</f>
        <v>840</v>
      </c>
      <c r="K7" s="96"/>
      <c r="O7" s="97"/>
      <c r="P7" s="97"/>
      <c r="R7" s="97"/>
    </row>
    <row r="8" spans="1:18" ht="105" customHeight="1">
      <c r="A8" s="17">
        <f>+MRS!A8</f>
        <v>3</v>
      </c>
      <c r="B8" s="172" t="str">
        <f>MRS!B8</f>
        <v>Renewal Of IDs</v>
      </c>
      <c r="C8" s="173"/>
      <c r="D8" s="174">
        <f>MRS!D8</f>
        <v>0</v>
      </c>
      <c r="E8" s="175"/>
      <c r="F8" s="176"/>
      <c r="G8" s="94" t="str">
        <f>MRS!G8</f>
        <v>Per card</v>
      </c>
      <c r="H8" s="94">
        <f>MRS!H8</f>
        <v>1</v>
      </c>
      <c r="I8" s="95">
        <f>MRS!I8</f>
        <v>150</v>
      </c>
      <c r="J8" s="95">
        <f>MRS!J8</f>
        <v>150</v>
      </c>
      <c r="K8" s="96"/>
      <c r="O8" s="97"/>
      <c r="P8" s="97"/>
      <c r="R8" s="97"/>
    </row>
    <row r="9" spans="1:18" ht="105" customHeight="1">
      <c r="A9" s="17">
        <f>+MRS!A9</f>
        <v>4</v>
      </c>
      <c r="B9" s="172" t="str">
        <f>MRS!B9</f>
        <v>Preparation of Certificate &amp; ID’s</v>
      </c>
      <c r="C9" s="173"/>
      <c r="D9" s="174">
        <f>MRS!D9</f>
        <v>0</v>
      </c>
      <c r="E9" s="175"/>
      <c r="F9" s="176"/>
      <c r="G9" s="94" t="str">
        <f>MRS!G9</f>
        <v>Per Certificate</v>
      </c>
      <c r="H9" s="94">
        <f>MRS!H9</f>
        <v>1</v>
      </c>
      <c r="I9" s="95">
        <f>MRS!I9</f>
        <v>150</v>
      </c>
      <c r="J9" s="95">
        <f>MRS!J9</f>
        <v>150</v>
      </c>
      <c r="K9" s="96"/>
      <c r="O9" s="97"/>
      <c r="P9" s="97"/>
      <c r="R9" s="97"/>
    </row>
    <row r="10" spans="1:18" ht="105" customHeight="1">
      <c r="A10" s="17">
        <f>+MRS!A10</f>
        <v>5</v>
      </c>
      <c r="B10" s="172" t="str">
        <f>MRS!B10</f>
        <v>Mechanical Test for PQR/WQT</v>
      </c>
      <c r="C10" s="173"/>
      <c r="D10" s="174">
        <f>MRS!D10</f>
        <v>0</v>
      </c>
      <c r="E10" s="175"/>
      <c r="F10" s="176"/>
      <c r="G10" s="94">
        <f>MRS!G10</f>
        <v>0</v>
      </c>
      <c r="H10" s="94">
        <f>MRS!H10</f>
        <v>0</v>
      </c>
      <c r="I10" s="95">
        <f>MRS!I10</f>
        <v>0</v>
      </c>
      <c r="J10" s="95">
        <f>MRS!J10</f>
        <v>0</v>
      </c>
      <c r="K10" s="96"/>
      <c r="O10" s="97"/>
      <c r="P10" s="97"/>
      <c r="R10" s="97"/>
    </row>
    <row r="11" spans="1:18" ht="105" customHeight="1">
      <c r="A11" s="17">
        <f>+MRS!A11</f>
        <v>6</v>
      </c>
      <c r="B11" s="172" t="str">
        <f>MRS!B11</f>
        <v>Tensile Test</v>
      </c>
      <c r="C11" s="173"/>
      <c r="D11" s="174">
        <f>MRS!D11</f>
        <v>0</v>
      </c>
      <c r="E11" s="175"/>
      <c r="F11" s="176"/>
      <c r="G11" s="94" t="str">
        <f>MRS!G11</f>
        <v>Per Sample</v>
      </c>
      <c r="H11" s="94">
        <f>MRS!H11</f>
        <v>1</v>
      </c>
      <c r="I11" s="95">
        <f>MRS!I11</f>
        <v>450</v>
      </c>
      <c r="J11" s="95">
        <f>MRS!J11</f>
        <v>450</v>
      </c>
      <c r="K11" s="96"/>
      <c r="O11" s="97"/>
      <c r="P11" s="97"/>
      <c r="R11" s="97"/>
    </row>
    <row r="12" spans="1:18" ht="105" customHeight="1">
      <c r="A12" s="17">
        <f>+MRS!A12</f>
        <v>7</v>
      </c>
      <c r="B12" s="172" t="str">
        <f>MRS!B12</f>
        <v>Face Bend Test</v>
      </c>
      <c r="C12" s="173"/>
      <c r="D12" s="174">
        <f>MRS!D12</f>
        <v>0</v>
      </c>
      <c r="E12" s="175"/>
      <c r="F12" s="176"/>
      <c r="G12" s="94" t="str">
        <f>MRS!G12</f>
        <v>Per Sample</v>
      </c>
      <c r="H12" s="94">
        <f>MRS!H12</f>
        <v>1</v>
      </c>
      <c r="I12" s="95">
        <f>MRS!I12</f>
        <v>180</v>
      </c>
      <c r="J12" s="95">
        <f>MRS!J12</f>
        <v>180</v>
      </c>
      <c r="K12" s="96"/>
      <c r="O12" s="97"/>
      <c r="P12" s="97"/>
      <c r="R12" s="97"/>
    </row>
    <row r="13" spans="1:18" ht="105" customHeight="1">
      <c r="A13" s="17">
        <f>+MRS!A13</f>
        <v>8</v>
      </c>
      <c r="B13" s="172" t="str">
        <f>MRS!B13</f>
        <v>Impact test ( 1 Set of 3 specimen)</v>
      </c>
      <c r="C13" s="173"/>
      <c r="D13" s="174">
        <f>MRS!D13</f>
        <v>0</v>
      </c>
      <c r="E13" s="175"/>
      <c r="F13" s="176"/>
      <c r="G13" s="94" t="str">
        <f>MRS!G13</f>
        <v>Per Set</v>
      </c>
      <c r="H13" s="94">
        <f>MRS!H13</f>
        <v>1</v>
      </c>
      <c r="I13" s="95">
        <f>MRS!I13</f>
        <v>800</v>
      </c>
      <c r="J13" s="95">
        <f>MRS!J13</f>
        <v>800</v>
      </c>
      <c r="K13" s="96"/>
      <c r="O13" s="97"/>
      <c r="P13" s="97"/>
      <c r="R13" s="97"/>
    </row>
    <row r="14" spans="1:18" ht="105" customHeight="1">
      <c r="A14" s="17">
        <f>+MRS!A14</f>
        <v>9</v>
      </c>
      <c r="B14" s="172" t="str">
        <f>MRS!B14</f>
        <v>Impact test ( 1 Set of 5 specimen)</v>
      </c>
      <c r="C14" s="173"/>
      <c r="D14" s="174">
        <f>MRS!D14</f>
        <v>0</v>
      </c>
      <c r="E14" s="175"/>
      <c r="F14" s="176"/>
      <c r="G14" s="94" t="str">
        <f>MRS!G14</f>
        <v>Per Set</v>
      </c>
      <c r="H14" s="94">
        <f>MRS!H14</f>
        <v>1</v>
      </c>
      <c r="I14" s="95">
        <f>MRS!I14</f>
        <v>1000</v>
      </c>
      <c r="J14" s="95">
        <f>MRS!J14</f>
        <v>1000</v>
      </c>
      <c r="K14" s="96"/>
      <c r="O14" s="97"/>
      <c r="P14" s="97"/>
      <c r="R14" s="97"/>
    </row>
    <row r="15" spans="1:18" ht="105" customHeight="1">
      <c r="A15" s="17">
        <f>+MRS!A15</f>
        <v>10</v>
      </c>
      <c r="B15" s="172" t="str">
        <f>MRS!B15</f>
        <v>Macro Structure Examination</v>
      </c>
      <c r="C15" s="173"/>
      <c r="D15" s="174">
        <f>MRS!D15</f>
        <v>0</v>
      </c>
      <c r="E15" s="175"/>
      <c r="F15" s="176"/>
      <c r="G15" s="94" t="str">
        <f>MRS!G15</f>
        <v>Per Sample</v>
      </c>
      <c r="H15" s="94">
        <f>MRS!H15</f>
        <v>1</v>
      </c>
      <c r="I15" s="95">
        <f>MRS!I15</f>
        <v>350</v>
      </c>
      <c r="J15" s="95">
        <f>MRS!J15</f>
        <v>350</v>
      </c>
      <c r="K15" s="96"/>
      <c r="O15" s="97"/>
      <c r="P15" s="97"/>
      <c r="R15" s="97"/>
    </row>
    <row r="16" spans="1:18" ht="105" customHeight="1">
      <c r="A16" s="17">
        <f>+MRS!A16</f>
        <v>11</v>
      </c>
      <c r="B16" s="172" t="str">
        <f>MRS!B16</f>
        <v>Hardness test</v>
      </c>
      <c r="C16" s="173"/>
      <c r="D16" s="174">
        <f>MRS!D16</f>
        <v>0</v>
      </c>
      <c r="E16" s="175"/>
      <c r="F16" s="176"/>
      <c r="G16" s="94" t="str">
        <f>MRS!G16</f>
        <v>Per Sample</v>
      </c>
      <c r="H16" s="94">
        <f>MRS!H16</f>
        <v>1</v>
      </c>
      <c r="I16" s="95">
        <f>MRS!I16</f>
        <v>250</v>
      </c>
      <c r="J16" s="95">
        <f>MRS!J16</f>
        <v>250</v>
      </c>
      <c r="K16" s="96"/>
      <c r="O16" s="97"/>
      <c r="P16" s="97"/>
      <c r="R16" s="97"/>
    </row>
    <row r="17" spans="1:18" ht="105" customHeight="1">
      <c r="A17" s="17">
        <f>+MRS!A17</f>
        <v>12</v>
      </c>
      <c r="B17" s="172" t="str">
        <f>MRS!B17</f>
        <v>UT testing on welding coupons</v>
      </c>
      <c r="C17" s="173"/>
      <c r="D17" s="174">
        <f>MRS!D17</f>
        <v>0</v>
      </c>
      <c r="E17" s="175"/>
      <c r="F17" s="176"/>
      <c r="G17" s="94" t="str">
        <f>MRS!G17</f>
        <v>Per sample</v>
      </c>
      <c r="H17" s="94">
        <f>MRS!H17</f>
        <v>1</v>
      </c>
      <c r="I17" s="95">
        <f>MRS!I17</f>
        <v>150</v>
      </c>
      <c r="J17" s="95">
        <f>MRS!J17</f>
        <v>150</v>
      </c>
      <c r="K17" s="96"/>
      <c r="O17" s="97"/>
      <c r="P17" s="97"/>
      <c r="R17" s="97"/>
    </row>
    <row r="18" spans="1:18" ht="105" customHeight="1">
      <c r="A18" s="17">
        <f>+MRS!A18</f>
        <v>13</v>
      </c>
      <c r="B18" s="172" t="str">
        <f>MRS!B18</f>
        <v>PT On Welded Coupon</v>
      </c>
      <c r="C18" s="173"/>
      <c r="D18" s="174">
        <f>MRS!D18</f>
        <v>0</v>
      </c>
      <c r="E18" s="175"/>
      <c r="F18" s="176"/>
      <c r="G18" s="94" t="str">
        <f>MRS!G18</f>
        <v>Per Sample</v>
      </c>
      <c r="H18" s="94">
        <f>MRS!H18</f>
        <v>1</v>
      </c>
      <c r="I18" s="95">
        <f>MRS!I18</f>
        <v>150</v>
      </c>
      <c r="J18" s="95">
        <f>MRS!J18</f>
        <v>150</v>
      </c>
      <c r="K18" s="96"/>
      <c r="O18" s="97"/>
      <c r="P18" s="97"/>
      <c r="R18" s="97"/>
    </row>
    <row r="19" spans="1:18" ht="105" customHeight="1">
      <c r="A19" s="17">
        <f>+MRS!A19</f>
        <v>14</v>
      </c>
      <c r="B19" s="172" t="str">
        <f>MRS!B19</f>
        <v>Fillet Fracture</v>
      </c>
      <c r="C19" s="173"/>
      <c r="D19" s="174">
        <f>MRS!D19</f>
        <v>0</v>
      </c>
      <c r="E19" s="175"/>
      <c r="F19" s="176"/>
      <c r="G19" s="94" t="str">
        <f>MRS!G19</f>
        <v>Per Sample</v>
      </c>
      <c r="H19" s="94">
        <f>MRS!H19</f>
        <v>1</v>
      </c>
      <c r="I19" s="95">
        <f>MRS!I19</f>
        <v>200</v>
      </c>
      <c r="J19" s="95">
        <f>MRS!J19</f>
        <v>200</v>
      </c>
      <c r="K19" s="96"/>
      <c r="O19" s="97"/>
      <c r="P19" s="97"/>
      <c r="R19" s="97"/>
    </row>
    <row r="20" spans="1:18" ht="105" customHeight="1">
      <c r="A20" s="17">
        <f>+MRS!A20</f>
        <v>15</v>
      </c>
      <c r="B20" s="172" t="str">
        <f>MRS!B20</f>
        <v>PWHT (up to 8”)</v>
      </c>
      <c r="C20" s="173"/>
      <c r="D20" s="174">
        <f>MRS!D20</f>
        <v>0</v>
      </c>
      <c r="E20" s="175"/>
      <c r="F20" s="176"/>
      <c r="G20" s="94" t="str">
        <f>MRS!G20</f>
        <v>Per Coupon</v>
      </c>
      <c r="H20" s="94">
        <f>MRS!H20</f>
        <v>1</v>
      </c>
      <c r="I20" s="95">
        <f>MRS!I20</f>
        <v>750</v>
      </c>
      <c r="J20" s="95">
        <f>MRS!J20</f>
        <v>750</v>
      </c>
      <c r="K20" s="96"/>
      <c r="O20" s="97"/>
      <c r="P20" s="97"/>
      <c r="R20" s="97"/>
    </row>
    <row r="21" spans="1:18" ht="105" customHeight="1">
      <c r="A21" s="17">
        <f>+MRS!A21</f>
        <v>16</v>
      </c>
      <c r="B21" s="172" t="str">
        <f>MRS!B21</f>
        <v>Section Test</v>
      </c>
      <c r="C21" s="173"/>
      <c r="D21" s="174">
        <f>MRS!D21</f>
        <v>0</v>
      </c>
      <c r="E21" s="175"/>
      <c r="F21" s="176"/>
      <c r="G21" s="94" t="str">
        <f>MRS!G21</f>
        <v>Per Sample</v>
      </c>
      <c r="H21" s="94">
        <f>MRS!H21</f>
        <v>1</v>
      </c>
      <c r="I21" s="95">
        <f>MRS!I21</f>
        <v>190</v>
      </c>
      <c r="J21" s="95">
        <f>MRS!J21</f>
        <v>190</v>
      </c>
      <c r="K21" s="96"/>
      <c r="O21" s="97"/>
      <c r="P21" s="97"/>
      <c r="R21" s="97"/>
    </row>
    <row r="22" spans="1:18" ht="105" customHeight="1">
      <c r="A22" s="17">
        <f>+MRS!A22</f>
        <v>17</v>
      </c>
      <c r="B22" s="172" t="str">
        <f>MRS!B22</f>
        <v>Peel Test</v>
      </c>
      <c r="C22" s="173"/>
      <c r="D22" s="174">
        <f>MRS!D22</f>
        <v>0</v>
      </c>
      <c r="E22" s="175"/>
      <c r="F22" s="176"/>
      <c r="G22" s="94" t="str">
        <f>MRS!G22</f>
        <v>Per Sample</v>
      </c>
      <c r="H22" s="94">
        <f>MRS!H22</f>
        <v>1</v>
      </c>
      <c r="I22" s="95">
        <f>MRS!I22</f>
        <v>190</v>
      </c>
      <c r="J22" s="95">
        <f>MRS!J22</f>
        <v>190</v>
      </c>
      <c r="K22" s="96"/>
      <c r="O22" s="97"/>
      <c r="P22" s="97"/>
      <c r="R22" s="97"/>
    </row>
    <row r="23" spans="1:18" ht="105" customHeight="1">
      <c r="A23" s="17">
        <f>+MRS!A23</f>
        <v>18</v>
      </c>
      <c r="B23" s="172" t="str">
        <f>MRS!B23</f>
        <v>Chemical Analysis</v>
      </c>
      <c r="C23" s="173"/>
      <c r="D23" s="174">
        <f>MRS!D23</f>
        <v>0</v>
      </c>
      <c r="E23" s="175"/>
      <c r="F23" s="176"/>
      <c r="G23" s="94" t="str">
        <f>MRS!G23</f>
        <v>Per Sample</v>
      </c>
      <c r="H23" s="94">
        <f>MRS!H23</f>
        <v>1</v>
      </c>
      <c r="I23" s="95">
        <f>MRS!I23</f>
        <v>400</v>
      </c>
      <c r="J23" s="95">
        <f>MRS!J23</f>
        <v>400</v>
      </c>
      <c r="K23" s="96"/>
      <c r="O23" s="97"/>
      <c r="P23" s="97"/>
      <c r="R23" s="97"/>
    </row>
    <row r="24" spans="1:18" ht="105" customHeight="1">
      <c r="A24" s="17">
        <f>+MRS!A24</f>
        <v>19</v>
      </c>
      <c r="B24" s="172" t="str">
        <f>MRS!B24</f>
        <v>Nick Break Test</v>
      </c>
      <c r="C24" s="173"/>
      <c r="D24" s="174">
        <f>MRS!D24</f>
        <v>0</v>
      </c>
      <c r="E24" s="175"/>
      <c r="F24" s="176"/>
      <c r="G24" s="94" t="str">
        <f>MRS!G24</f>
        <v>Per Sample</v>
      </c>
      <c r="H24" s="94">
        <f>MRS!H24</f>
        <v>1</v>
      </c>
      <c r="I24" s="95">
        <f>MRS!I24</f>
        <v>190</v>
      </c>
      <c r="J24" s="95">
        <f>MRS!J24</f>
        <v>190</v>
      </c>
      <c r="K24" s="96"/>
      <c r="O24" s="97"/>
      <c r="P24" s="97"/>
      <c r="R24" s="97"/>
    </row>
    <row r="25" spans="1:18" ht="105" customHeight="1">
      <c r="A25" s="17">
        <f>+MRS!A25</f>
        <v>20</v>
      </c>
      <c r="B25" s="172" t="str">
        <f>MRS!B25</f>
        <v>Ferrite Test AWS A4.2</v>
      </c>
      <c r="C25" s="173"/>
      <c r="D25" s="174">
        <f>MRS!D25</f>
        <v>0</v>
      </c>
      <c r="E25" s="175"/>
      <c r="F25" s="176"/>
      <c r="G25" s="94" t="str">
        <f>MRS!G25</f>
        <v>Per Sample</v>
      </c>
      <c r="H25" s="94">
        <f>MRS!H25</f>
        <v>1</v>
      </c>
      <c r="I25" s="95">
        <f>MRS!I25</f>
        <v>250</v>
      </c>
      <c r="J25" s="95">
        <f>MRS!J25</f>
        <v>250</v>
      </c>
      <c r="K25" s="96"/>
      <c r="O25" s="97"/>
      <c r="P25" s="97"/>
      <c r="R25" s="97"/>
    </row>
    <row r="26" spans="1:18" ht="105" customHeight="1">
      <c r="A26" s="17">
        <f>+MRS!A26</f>
        <v>21</v>
      </c>
      <c r="B26" s="172" t="str">
        <f>MRS!B26</f>
        <v>Ferrite Test As Per ASTM E562</v>
      </c>
      <c r="C26" s="173"/>
      <c r="D26" s="174">
        <f>MRS!D26</f>
        <v>0</v>
      </c>
      <c r="E26" s="175"/>
      <c r="F26" s="176"/>
      <c r="G26" s="94" t="str">
        <f>MRS!G26</f>
        <v>Per Location</v>
      </c>
      <c r="H26" s="94">
        <f>MRS!H26</f>
        <v>1</v>
      </c>
      <c r="I26" s="95">
        <f>MRS!I26</f>
        <v>1400</v>
      </c>
      <c r="J26" s="95">
        <f>MRS!J26</f>
        <v>1400</v>
      </c>
      <c r="K26" s="96"/>
      <c r="O26" s="97"/>
      <c r="P26" s="97"/>
      <c r="R26" s="97"/>
    </row>
    <row r="27" spans="1:18" ht="105" customHeight="1">
      <c r="A27" s="17">
        <f>+MRS!A27</f>
        <v>22</v>
      </c>
      <c r="B27" s="172" t="str">
        <f>MRS!B27</f>
        <v>Inter-Granular Corrosion test as per ASTM A-262 practice A
with photograph also called as Oxalic Acid Etch test (Microstructure based corrosion check).</v>
      </c>
      <c r="C27" s="173"/>
      <c r="D27" s="174">
        <f>MRS!D27</f>
        <v>0</v>
      </c>
      <c r="E27" s="175"/>
      <c r="F27" s="176"/>
      <c r="G27" s="94" t="str">
        <f>MRS!G27</f>
        <v>Per Specimen</v>
      </c>
      <c r="H27" s="94">
        <f>MRS!H27</f>
        <v>1</v>
      </c>
      <c r="I27" s="95">
        <f>MRS!I27</f>
        <v>1700</v>
      </c>
      <c r="J27" s="95">
        <f>MRS!J27</f>
        <v>1700</v>
      </c>
      <c r="K27" s="96"/>
      <c r="O27" s="97"/>
      <c r="P27" s="97"/>
      <c r="R27" s="97"/>
    </row>
    <row r="28" spans="1:18" ht="105" customHeight="1">
      <c r="A28" s="17">
        <f>+MRS!A28</f>
        <v>23</v>
      </c>
      <c r="B28" s="172" t="str">
        <f>MRS!B28</f>
        <v>Inter-Granular Corrosion test as per ASTM A-262 practice B (120 hrs. test cycle).</v>
      </c>
      <c r="C28" s="173"/>
      <c r="D28" s="174">
        <f>MRS!D28</f>
        <v>0</v>
      </c>
      <c r="E28" s="175"/>
      <c r="F28" s="176"/>
      <c r="G28" s="94" t="str">
        <f>MRS!G28</f>
        <v>Per Specimen</v>
      </c>
      <c r="H28" s="94">
        <f>MRS!H28</f>
        <v>1</v>
      </c>
      <c r="I28" s="95">
        <f>MRS!I28</f>
        <v>7500</v>
      </c>
      <c r="J28" s="95">
        <f>MRS!J28</f>
        <v>7500</v>
      </c>
      <c r="K28" s="96"/>
      <c r="O28" s="97"/>
      <c r="P28" s="97"/>
      <c r="R28" s="97"/>
    </row>
    <row r="29" spans="1:18" ht="105" customHeight="1">
      <c r="A29" s="17">
        <f>+MRS!A29</f>
        <v>24</v>
      </c>
      <c r="B29" s="172" t="str">
        <f>MRS!B29</f>
        <v>Inter-Granular Corrosion test ASTM A-262 practice C
(Huey Test) (if 5 times cycle then 48 hrs. each x 5 cycle required total 10 days).</v>
      </c>
      <c r="C29" s="173"/>
      <c r="D29" s="174">
        <f>MRS!D29</f>
        <v>0</v>
      </c>
      <c r="E29" s="175"/>
      <c r="F29" s="176"/>
      <c r="G29" s="94" t="str">
        <f>MRS!G29</f>
        <v>Per Specimen</v>
      </c>
      <c r="H29" s="94">
        <f>MRS!H29</f>
        <v>1</v>
      </c>
      <c r="I29" s="95">
        <f>MRS!I29</f>
        <v>2400</v>
      </c>
      <c r="J29" s="95">
        <f>MRS!J29</f>
        <v>2400</v>
      </c>
      <c r="K29" s="96"/>
      <c r="O29" s="97"/>
      <c r="P29" s="97"/>
      <c r="R29" s="97"/>
    </row>
    <row r="30" spans="1:18" ht="105" customHeight="1">
      <c r="A30" s="17">
        <f>+MRS!A30</f>
        <v>25</v>
      </c>
      <c r="B30" s="172" t="str">
        <f>MRS!B30</f>
        <v>Inter-Granular  Corrosion test ASTM A-262 practice E
(Strauss Test) (15hrs or 24 hrs. test cycle).</v>
      </c>
      <c r="C30" s="173"/>
      <c r="D30" s="174">
        <f>MRS!D30</f>
        <v>0</v>
      </c>
      <c r="E30" s="175"/>
      <c r="F30" s="176"/>
      <c r="G30" s="94" t="str">
        <f>MRS!G30</f>
        <v>Per Specimen</v>
      </c>
      <c r="H30" s="94">
        <f>MRS!H30</f>
        <v>1</v>
      </c>
      <c r="I30" s="95">
        <f>MRS!I30</f>
        <v>2400</v>
      </c>
      <c r="J30" s="95">
        <f>MRS!J30</f>
        <v>2400</v>
      </c>
      <c r="K30" s="96"/>
      <c r="O30" s="97"/>
      <c r="P30" s="97"/>
      <c r="R30" s="97"/>
    </row>
    <row r="31" spans="1:18" ht="105" customHeight="1">
      <c r="A31" s="17">
        <f>+MRS!A31</f>
        <v>26</v>
      </c>
      <c r="B31" s="172" t="str">
        <f>MRS!B31</f>
        <v>Inter-Granular Corrosion test ASTM A-262 practice E
(15hrs or 24 hrs.).</v>
      </c>
      <c r="C31" s="173"/>
      <c r="D31" s="174">
        <f>MRS!D31</f>
        <v>0</v>
      </c>
      <c r="E31" s="175"/>
      <c r="F31" s="176"/>
      <c r="G31" s="94" t="str">
        <f>MRS!G31</f>
        <v>Per Specimen</v>
      </c>
      <c r="H31" s="94">
        <f>MRS!H31</f>
        <v>1</v>
      </c>
      <c r="I31" s="95">
        <f>MRS!I31</f>
        <v>2200</v>
      </c>
      <c r="J31" s="95">
        <f>MRS!J31</f>
        <v>2200</v>
      </c>
      <c r="K31" s="96"/>
      <c r="O31" s="97"/>
      <c r="P31" s="97"/>
      <c r="R31" s="97"/>
    </row>
    <row r="32" spans="1:18" ht="105" customHeight="1">
      <c r="A32" s="17">
        <f>+MRS!A32</f>
        <v>27</v>
      </c>
      <c r="B32" s="172" t="str">
        <f>MRS!B32</f>
        <v>Pitting Corrosion test as per ASTM G28 method A
(120 hrs. test cycle).</v>
      </c>
      <c r="C32" s="173"/>
      <c r="D32" s="174">
        <f>MRS!D32</f>
        <v>0</v>
      </c>
      <c r="E32" s="175"/>
      <c r="F32" s="176"/>
      <c r="G32" s="94" t="str">
        <f>MRS!G32</f>
        <v>Per Specimen</v>
      </c>
      <c r="H32" s="94">
        <f>MRS!H32</f>
        <v>1</v>
      </c>
      <c r="I32" s="95">
        <f>MRS!I32</f>
        <v>6500</v>
      </c>
      <c r="J32" s="95">
        <f>MRS!J32</f>
        <v>6500</v>
      </c>
      <c r="K32" s="96"/>
      <c r="O32" s="97"/>
      <c r="P32" s="97"/>
      <c r="R32" s="97"/>
    </row>
    <row r="33" spans="1:18" ht="105" customHeight="1">
      <c r="A33" s="17">
        <f>+MRS!A33</f>
        <v>28</v>
      </c>
      <c r="B33" s="172" t="str">
        <f>MRS!B33</f>
        <v>Pitting Corrosion test ASTM G48 method A
(24 or 72 hrs. test cycle).</v>
      </c>
      <c r="C33" s="173"/>
      <c r="D33" s="174">
        <f>MRS!D33</f>
        <v>0</v>
      </c>
      <c r="E33" s="175"/>
      <c r="F33" s="176"/>
      <c r="G33" s="94" t="str">
        <f>MRS!G33</f>
        <v>Per Specimen</v>
      </c>
      <c r="H33" s="94">
        <f>MRS!H33</f>
        <v>1</v>
      </c>
      <c r="I33" s="95">
        <f>MRS!I33</f>
        <v>4300</v>
      </c>
      <c r="J33" s="95">
        <f>MRS!J33</f>
        <v>4300</v>
      </c>
      <c r="K33" s="96"/>
      <c r="O33" s="97"/>
      <c r="P33" s="97"/>
      <c r="R33" s="97"/>
    </row>
    <row r="34" spans="1:18" ht="105" customHeight="1">
      <c r="A34" s="17">
        <f>+MRS!A34</f>
        <v>29</v>
      </c>
      <c r="B34" s="172" t="str">
        <f>MRS!B34</f>
        <v>Corrosion test ASTM A923 method A
(Microstructure based corrosion check).</v>
      </c>
      <c r="C34" s="173"/>
      <c r="D34" s="174">
        <f>MRS!D34</f>
        <v>0</v>
      </c>
      <c r="E34" s="175"/>
      <c r="F34" s="176"/>
      <c r="G34" s="94" t="str">
        <f>MRS!G34</f>
        <v>Per Specimen</v>
      </c>
      <c r="H34" s="94">
        <f>MRS!H34</f>
        <v>1</v>
      </c>
      <c r="I34" s="95">
        <f>MRS!I34</f>
        <v>1600</v>
      </c>
      <c r="J34" s="95">
        <f>MRS!J34</f>
        <v>1600</v>
      </c>
      <c r="K34" s="96"/>
      <c r="O34" s="97"/>
      <c r="P34" s="97"/>
      <c r="R34" s="97"/>
    </row>
    <row r="35" spans="1:18" ht="105" customHeight="1">
      <c r="A35" s="17">
        <f>+MRS!A35</f>
        <v>30</v>
      </c>
      <c r="B35" s="172" t="str">
        <f>MRS!B35</f>
        <v>Corrosion test ASTM A923 method C (24 hrs. test cycle).</v>
      </c>
      <c r="C35" s="173"/>
      <c r="D35" s="174">
        <f>MRS!D35</f>
        <v>0</v>
      </c>
      <c r="E35" s="175"/>
      <c r="F35" s="176"/>
      <c r="G35" s="94" t="str">
        <f>MRS!G35</f>
        <v>Per Specimen</v>
      </c>
      <c r="H35" s="94">
        <f>MRS!H35</f>
        <v>1</v>
      </c>
      <c r="I35" s="95">
        <f>MRS!I35</f>
        <v>2500</v>
      </c>
      <c r="J35" s="95">
        <f>MRS!J35</f>
        <v>2500</v>
      </c>
      <c r="K35" s="96"/>
      <c r="O35" s="97"/>
      <c r="P35" s="97"/>
      <c r="R35" s="97"/>
    </row>
    <row r="36" spans="1:18" ht="105" customHeight="1">
      <c r="A36" s="17">
        <f>+MRS!A36</f>
        <v>31</v>
      </c>
      <c r="B36" s="172" t="str">
        <f>MRS!B36</f>
        <v>Microstructure Examination (Routine)
(One location per sample is considered).</v>
      </c>
      <c r="C36" s="173"/>
      <c r="D36" s="174">
        <f>MRS!D36</f>
        <v>0</v>
      </c>
      <c r="E36" s="175"/>
      <c r="F36" s="176"/>
      <c r="G36" s="94" t="str">
        <f>MRS!G36</f>
        <v>Per Sample</v>
      </c>
      <c r="H36" s="94">
        <f>MRS!H36</f>
        <v>1</v>
      </c>
      <c r="I36" s="95">
        <f>MRS!I36</f>
        <v>1200</v>
      </c>
      <c r="J36" s="95">
        <f>MRS!J36</f>
        <v>1200</v>
      </c>
      <c r="K36" s="96"/>
      <c r="O36" s="97"/>
      <c r="P36" s="97"/>
      <c r="R36" s="97"/>
    </row>
    <row r="37" spans="1:18" ht="105" customHeight="1">
      <c r="A37" s="17">
        <f>+MRS!A37</f>
        <v>32</v>
      </c>
      <c r="B37" s="172" t="str">
        <f>MRS!B37</f>
        <v>Pipe up to 8’’ Dia</v>
      </c>
      <c r="C37" s="173"/>
      <c r="D37" s="174">
        <f>MRS!D37</f>
        <v>0</v>
      </c>
      <c r="E37" s="175"/>
      <c r="F37" s="176"/>
      <c r="G37" s="94" t="str">
        <f>MRS!G37</f>
        <v>Per Coupon</v>
      </c>
      <c r="H37" s="94">
        <f>MRS!H37</f>
        <v>1</v>
      </c>
      <c r="I37" s="95">
        <f>MRS!I37</f>
        <v>200</v>
      </c>
      <c r="J37" s="95">
        <f>MRS!J37</f>
        <v>200</v>
      </c>
      <c r="K37" s="96"/>
      <c r="O37" s="97"/>
      <c r="P37" s="97"/>
      <c r="R37" s="97"/>
    </row>
    <row r="38" spans="1:18" ht="105" customHeight="1">
      <c r="A38" s="17">
        <f>+MRS!A38</f>
        <v>33</v>
      </c>
      <c r="B38" s="172" t="str">
        <f>MRS!B38</f>
        <v>Pipe from  10’’-16’’Inch Dia</v>
      </c>
      <c r="C38" s="173"/>
      <c r="D38" s="174">
        <f>MRS!D38</f>
        <v>0</v>
      </c>
      <c r="E38" s="175"/>
      <c r="F38" s="176"/>
      <c r="G38" s="94" t="str">
        <f>MRS!G38</f>
        <v>Per Coupon</v>
      </c>
      <c r="H38" s="94">
        <f>MRS!H38</f>
        <v>1</v>
      </c>
      <c r="I38" s="95">
        <f>MRS!I38</f>
        <v>260</v>
      </c>
      <c r="J38" s="95">
        <f>MRS!J38</f>
        <v>260</v>
      </c>
      <c r="K38" s="96"/>
      <c r="O38" s="97"/>
      <c r="P38" s="97"/>
      <c r="R38" s="97"/>
    </row>
    <row r="39" spans="1:18" ht="105" customHeight="1">
      <c r="A39" s="17">
        <f>+MRS!A39</f>
        <v>34</v>
      </c>
      <c r="B39" s="172" t="str">
        <f>MRS!B39</f>
        <v>Pipe from 18’’-24’’Inch Dia</v>
      </c>
      <c r="C39" s="173"/>
      <c r="D39" s="174">
        <f>MRS!D39</f>
        <v>0</v>
      </c>
      <c r="E39" s="175"/>
      <c r="F39" s="176"/>
      <c r="G39" s="94" t="str">
        <f>MRS!G39</f>
        <v>Per Coupon</v>
      </c>
      <c r="H39" s="94">
        <f>MRS!H39</f>
        <v>1</v>
      </c>
      <c r="I39" s="95">
        <f>MRS!I39</f>
        <v>320</v>
      </c>
      <c r="J39" s="95">
        <f>MRS!J39</f>
        <v>320</v>
      </c>
      <c r="K39" s="96"/>
      <c r="O39" s="97"/>
      <c r="P39" s="97"/>
      <c r="R39" s="97"/>
    </row>
    <row r="40" spans="1:18" ht="105" customHeight="1">
      <c r="A40" s="17">
        <f>+MRS!A40</f>
        <v>35</v>
      </c>
      <c r="B40" s="172" t="str">
        <f>MRS!B40</f>
        <v>Pipe from 26’’ Inch- 36’’ Dia</v>
      </c>
      <c r="C40" s="173"/>
      <c r="D40" s="174">
        <f>MRS!D40</f>
        <v>0</v>
      </c>
      <c r="E40" s="175"/>
      <c r="F40" s="176"/>
      <c r="G40" s="94" t="str">
        <f>MRS!G40</f>
        <v>Per Coupon</v>
      </c>
      <c r="H40" s="94">
        <f>MRS!H40</f>
        <v>1</v>
      </c>
      <c r="I40" s="95">
        <f>MRS!I40</f>
        <v>410</v>
      </c>
      <c r="J40" s="95">
        <f>MRS!J40</f>
        <v>410</v>
      </c>
      <c r="K40" s="96"/>
      <c r="O40" s="97"/>
      <c r="P40" s="97"/>
      <c r="R40" s="97"/>
    </row>
    <row r="41" spans="1:18" ht="105" customHeight="1">
      <c r="A41" s="17">
        <f>+MRS!A41</f>
        <v>36</v>
      </c>
      <c r="B41" s="172" t="str">
        <f>MRS!B41</f>
        <v>Pipe Up to 36’’ Dia</v>
      </c>
      <c r="C41" s="173"/>
      <c r="D41" s="174">
        <f>MRS!D41</f>
        <v>0</v>
      </c>
      <c r="E41" s="175"/>
      <c r="F41" s="176"/>
      <c r="G41" s="94" t="str">
        <f>MRS!G41</f>
        <v>Per Coupon</v>
      </c>
      <c r="H41" s="94">
        <f>MRS!H41</f>
        <v>1</v>
      </c>
      <c r="I41" s="95">
        <f>MRS!I41</f>
        <v>470</v>
      </c>
      <c r="J41" s="95">
        <f>MRS!J41</f>
        <v>470</v>
      </c>
      <c r="K41" s="96"/>
      <c r="O41" s="97"/>
      <c r="P41" s="97"/>
      <c r="R41" s="97"/>
    </row>
    <row r="42" spans="1:18" ht="105" customHeight="1">
      <c r="A42" s="17">
        <f>+MRS!A42</f>
        <v>37</v>
      </c>
      <c r="B42" s="172" t="str">
        <f>MRS!B42</f>
        <v>Plate Up to 200 mm thickness</v>
      </c>
      <c r="C42" s="173"/>
      <c r="D42" s="174">
        <f>MRS!D42</f>
        <v>0</v>
      </c>
      <c r="E42" s="175"/>
      <c r="F42" s="176"/>
      <c r="G42" s="94" t="str">
        <f>MRS!G42</f>
        <v>Per Coupon</v>
      </c>
      <c r="H42" s="94">
        <f>MRS!H42</f>
        <v>1</v>
      </c>
      <c r="I42" s="95">
        <f>MRS!I42</f>
        <v>150</v>
      </c>
      <c r="J42" s="95">
        <f>MRS!J42</f>
        <v>150</v>
      </c>
      <c r="K42" s="96"/>
      <c r="O42" s="97"/>
      <c r="P42" s="97"/>
      <c r="R42" s="97"/>
    </row>
    <row r="43" spans="1:18" ht="105" customHeight="1">
      <c r="A43" s="17">
        <f>+MRS!A43</f>
        <v>38</v>
      </c>
      <c r="B43" s="172" t="str">
        <f>MRS!B43</f>
        <v>Preparation of samples for Testing
If the base metal is Alloy, Stainless Steel or if the Wall thickness of plate or pipe greater than 13mm irrespective of the material</v>
      </c>
      <c r="C43" s="173"/>
      <c r="D43" s="174">
        <f>MRS!D43</f>
        <v>0</v>
      </c>
      <c r="E43" s="175"/>
      <c r="F43" s="176"/>
      <c r="G43" s="94" t="str">
        <f>MRS!G43</f>
        <v>Per Test</v>
      </c>
      <c r="H43" s="94">
        <f>MRS!H43</f>
        <v>1</v>
      </c>
      <c r="I43" s="95">
        <f>MRS!I43</f>
        <v>120</v>
      </c>
      <c r="J43" s="95">
        <f>MRS!J43</f>
        <v>120</v>
      </c>
      <c r="K43" s="96"/>
      <c r="O43" s="97"/>
      <c r="P43" s="97"/>
      <c r="R43" s="97"/>
    </row>
    <row r="44" spans="1:18" ht="105" customHeight="1">
      <c r="A44" s="17">
        <f>+MRS!A44</f>
        <v>39</v>
      </c>
      <c r="B44" s="172" t="str">
        <f>MRS!B44</f>
        <v>Machining Charges for Removal of Flange Collar (If required)</v>
      </c>
      <c r="C44" s="173"/>
      <c r="D44" s="174">
        <f>MRS!D44</f>
        <v>0</v>
      </c>
      <c r="E44" s="175"/>
      <c r="F44" s="176"/>
      <c r="G44" s="94">
        <f>MRS!G44</f>
        <v>0</v>
      </c>
      <c r="H44" s="94">
        <f>MRS!H44</f>
        <v>0</v>
      </c>
      <c r="I44" s="95">
        <f>MRS!I44</f>
        <v>0</v>
      </c>
      <c r="J44" s="95">
        <f>MRS!J44</f>
        <v>0</v>
      </c>
      <c r="K44" s="96"/>
      <c r="O44" s="97"/>
      <c r="P44" s="97"/>
      <c r="R44" s="97"/>
    </row>
    <row r="45" spans="1:18" ht="105" customHeight="1">
      <c r="A45" s="17">
        <f>+MRS!A45</f>
        <v>40</v>
      </c>
      <c r="B45" s="172" t="str">
        <f>MRS!B45</f>
        <v>Collar Removal Up to 8”</v>
      </c>
      <c r="C45" s="173"/>
      <c r="D45" s="174">
        <f>MRS!D45</f>
        <v>0</v>
      </c>
      <c r="E45" s="175"/>
      <c r="F45" s="176"/>
      <c r="G45" s="94" t="str">
        <f>MRS!G45</f>
        <v>Per Pipe</v>
      </c>
      <c r="H45" s="94">
        <f>MRS!H45</f>
        <v>1</v>
      </c>
      <c r="I45" s="95">
        <f>MRS!I45</f>
        <v>1000</v>
      </c>
      <c r="J45" s="95">
        <f>MRS!J45</f>
        <v>1000</v>
      </c>
      <c r="K45" s="96"/>
      <c r="O45" s="97"/>
      <c r="P45" s="97"/>
      <c r="R45" s="97"/>
    </row>
    <row r="46" spans="1:18" ht="105" customHeight="1">
      <c r="A46" s="17">
        <f>+MRS!A46</f>
        <v>41</v>
      </c>
      <c r="B46" s="172" t="str">
        <f>MRS!B46</f>
        <v>Collar Removal Up to 12”</v>
      </c>
      <c r="C46" s="173"/>
      <c r="D46" s="174">
        <f>MRS!D46</f>
        <v>0</v>
      </c>
      <c r="E46" s="175"/>
      <c r="F46" s="176"/>
      <c r="G46" s="94" t="str">
        <f>MRS!G46</f>
        <v>Per Pipe</v>
      </c>
      <c r="H46" s="94">
        <f>MRS!H46</f>
        <v>1</v>
      </c>
      <c r="I46" s="95">
        <f>MRS!I46</f>
        <v>1800</v>
      </c>
      <c r="J46" s="95">
        <f>MRS!J46</f>
        <v>1800</v>
      </c>
      <c r="K46" s="96"/>
      <c r="O46" s="97"/>
      <c r="P46" s="97"/>
      <c r="R46" s="97"/>
    </row>
    <row r="47" spans="1:18" ht="105" customHeight="1">
      <c r="A47" s="17">
        <f>+MRS!A47</f>
        <v>42</v>
      </c>
      <c r="B47" s="172" t="str">
        <f>MRS!B47</f>
        <v>Collar Removal Up to 18”</v>
      </c>
      <c r="C47" s="173"/>
      <c r="D47" s="174">
        <f>MRS!D47</f>
        <v>0</v>
      </c>
      <c r="E47" s="175"/>
      <c r="F47" s="176"/>
      <c r="G47" s="94" t="str">
        <f>MRS!G47</f>
        <v>Per Pipe</v>
      </c>
      <c r="H47" s="94">
        <f>MRS!H47</f>
        <v>1</v>
      </c>
      <c r="I47" s="95">
        <f>MRS!I47</f>
        <v>2400</v>
      </c>
      <c r="J47" s="95">
        <f>MRS!J47</f>
        <v>2400</v>
      </c>
      <c r="K47" s="96"/>
      <c r="O47" s="97"/>
      <c r="P47" s="97"/>
      <c r="R47" s="97"/>
    </row>
    <row r="48" spans="1:18" ht="105" customHeight="1">
      <c r="A48" s="17">
        <f>+MRS!A48</f>
        <v>43</v>
      </c>
      <c r="B48" s="172" t="str">
        <f>MRS!B48</f>
        <v>Collar Removal Up to 24”</v>
      </c>
      <c r="C48" s="173"/>
      <c r="D48" s="174">
        <f>MRS!D48</f>
        <v>0</v>
      </c>
      <c r="E48" s="175"/>
      <c r="F48" s="176"/>
      <c r="G48" s="94" t="str">
        <f>MRS!G48</f>
        <v>Per Pipe</v>
      </c>
      <c r="H48" s="94">
        <f>MRS!H48</f>
        <v>1</v>
      </c>
      <c r="I48" s="95">
        <f>MRS!I48</f>
        <v>3200</v>
      </c>
      <c r="J48" s="95">
        <f>MRS!J48</f>
        <v>3200</v>
      </c>
      <c r="K48" s="96"/>
      <c r="O48" s="97"/>
      <c r="P48" s="97"/>
      <c r="R48" s="97"/>
    </row>
    <row r="49" spans="1:18" ht="105" customHeight="1">
      <c r="A49" s="17">
        <f>+MRS!A49</f>
        <v>44</v>
      </c>
      <c r="B49" s="172" t="str">
        <f>MRS!B49</f>
        <v>Collar Removal Up to 36”</v>
      </c>
      <c r="C49" s="173"/>
      <c r="D49" s="174">
        <f>MRS!D49</f>
        <v>0</v>
      </c>
      <c r="E49" s="175"/>
      <c r="F49" s="176"/>
      <c r="G49" s="94" t="str">
        <f>MRS!G49</f>
        <v>Per Pipe</v>
      </c>
      <c r="H49" s="94">
        <f>MRS!H49</f>
        <v>1</v>
      </c>
      <c r="I49" s="95">
        <f>MRS!I49</f>
        <v>4500</v>
      </c>
      <c r="J49" s="95">
        <f>MRS!J49</f>
        <v>4500</v>
      </c>
      <c r="K49" s="96"/>
      <c r="O49" s="97"/>
      <c r="P49" s="97"/>
      <c r="R49" s="97"/>
    </row>
    <row r="50" spans="1:18" ht="105" customHeight="1">
      <c r="A50" s="17">
        <f>+MRS!A50</f>
        <v>45</v>
      </c>
      <c r="B50" s="172" t="str">
        <f>MRS!B50</f>
        <v>Mob/Demob Charges to Jafurah</v>
      </c>
      <c r="C50" s="173"/>
      <c r="D50" s="174">
        <f>MRS!D50</f>
        <v>0</v>
      </c>
      <c r="E50" s="175"/>
      <c r="F50" s="176"/>
      <c r="G50" s="94" t="str">
        <f>MRS!G50</f>
        <v>Per Visit/Inspt.</v>
      </c>
      <c r="H50" s="94">
        <f>MRS!H50</f>
        <v>1</v>
      </c>
      <c r="I50" s="95">
        <f>MRS!I50</f>
        <v>350</v>
      </c>
      <c r="J50" s="95">
        <f>MRS!J50</f>
        <v>350</v>
      </c>
      <c r="K50" s="96"/>
      <c r="O50" s="97"/>
      <c r="P50" s="97"/>
      <c r="R50" s="97"/>
    </row>
    <row r="51" spans="1:18" ht="105" customHeight="1">
      <c r="A51" s="17" t="str">
        <f>+MRS!A51</f>
        <v>Purpose</v>
      </c>
      <c r="B51" s="172">
        <f>MRS!B51</f>
        <v>0</v>
      </c>
      <c r="C51" s="173"/>
      <c r="D51" s="174">
        <f>MRS!D51</f>
        <v>0</v>
      </c>
      <c r="E51" s="175"/>
      <c r="F51" s="176"/>
      <c r="G51" s="94">
        <f>MRS!G51</f>
        <v>0</v>
      </c>
      <c r="H51" s="94">
        <f>MRS!H51</f>
        <v>0</v>
      </c>
      <c r="I51" s="95" t="str">
        <f>MRS!I51</f>
        <v>Sum</v>
      </c>
      <c r="J51" s="95">
        <f>MRS!J51</f>
        <v>56370</v>
      </c>
      <c r="K51" s="96"/>
      <c r="O51" s="97"/>
      <c r="P51" s="97"/>
      <c r="R51" s="97"/>
    </row>
    <row r="52" spans="1:18" ht="105" customHeight="1">
      <c r="A52" s="17" t="str">
        <f>+MRS!A52</f>
        <v xml:space="preserve">  * There will be an additional administration expense and financial expense (Depend on contract) deduction of total provision cost price.</v>
      </c>
      <c r="B52" s="172">
        <f>MRS!B52</f>
        <v>0</v>
      </c>
      <c r="C52" s="173"/>
      <c r="D52" s="174">
        <f>MRS!D52</f>
        <v>0</v>
      </c>
      <c r="E52" s="175"/>
      <c r="F52" s="176"/>
      <c r="G52" s="94">
        <f>MRS!G52</f>
        <v>0</v>
      </c>
      <c r="H52" s="94">
        <f>MRS!H52</f>
        <v>0</v>
      </c>
      <c r="I52" s="95">
        <f>MRS!I52</f>
        <v>0</v>
      </c>
      <c r="J52" s="95">
        <f>MRS!J52</f>
        <v>0</v>
      </c>
      <c r="K52" s="96"/>
      <c r="O52" s="97"/>
      <c r="P52" s="97"/>
      <c r="R52" s="97"/>
    </row>
    <row r="53" spans="1:18" ht="105" customHeight="1">
      <c r="A53" s="17">
        <f>+MRS!A53</f>
        <v>0</v>
      </c>
      <c r="B53" s="172">
        <f>MRS!B53</f>
        <v>0</v>
      </c>
      <c r="C53" s="173"/>
      <c r="D53" s="174">
        <f>MRS!D53</f>
        <v>0</v>
      </c>
      <c r="E53" s="175"/>
      <c r="F53" s="176"/>
      <c r="G53" s="94">
        <f>MRS!G53</f>
        <v>0</v>
      </c>
      <c r="H53" s="94">
        <f>MRS!H53</f>
        <v>0</v>
      </c>
      <c r="I53" s="95">
        <f>MRS!I53</f>
        <v>0</v>
      </c>
      <c r="J53" s="95">
        <f>MRS!J53</f>
        <v>0</v>
      </c>
      <c r="K53" s="96"/>
      <c r="O53" s="97"/>
      <c r="P53" s="97"/>
      <c r="R53" s="97"/>
    </row>
    <row r="54" spans="1:18" ht="105" customHeight="1">
      <c r="A54" s="17">
        <f>+MRS!A54</f>
        <v>0</v>
      </c>
      <c r="B54" s="172">
        <f>MRS!B54</f>
        <v>0</v>
      </c>
      <c r="C54" s="173"/>
      <c r="D54" s="174">
        <f>MRS!D54</f>
        <v>0</v>
      </c>
      <c r="E54" s="175"/>
      <c r="F54" s="176"/>
      <c r="G54" s="94">
        <f>MRS!G54</f>
        <v>0</v>
      </c>
      <c r="H54" s="94">
        <f>MRS!H54</f>
        <v>0</v>
      </c>
      <c r="I54" s="95">
        <f>MRS!I54</f>
        <v>0</v>
      </c>
      <c r="J54" s="95">
        <f>MRS!J54</f>
        <v>0</v>
      </c>
      <c r="K54" s="96"/>
      <c r="O54" s="97"/>
      <c r="P54" s="97"/>
      <c r="R54" s="97"/>
    </row>
    <row r="55" spans="1:18" ht="105" customHeight="1">
      <c r="A55" s="17">
        <f>+MRS!A55</f>
        <v>0</v>
      </c>
      <c r="B55" s="172">
        <f>MRS!B55</f>
        <v>0</v>
      </c>
      <c r="C55" s="173"/>
      <c r="D55" s="174">
        <f>MRS!D55</f>
        <v>0</v>
      </c>
      <c r="E55" s="175"/>
      <c r="F55" s="176"/>
      <c r="G55" s="94">
        <f>MRS!G55</f>
        <v>0</v>
      </c>
      <c r="H55" s="94">
        <f>MRS!H55</f>
        <v>0</v>
      </c>
      <c r="I55" s="95">
        <f>MRS!I55</f>
        <v>0</v>
      </c>
      <c r="J55" s="95">
        <f>MRS!J55</f>
        <v>0</v>
      </c>
      <c r="K55" s="96"/>
      <c r="O55" s="97"/>
      <c r="P55" s="97"/>
      <c r="R55" s="97"/>
    </row>
    <row r="56" spans="1:18" ht="105" customHeight="1">
      <c r="A56" s="17">
        <f>+MRS!A56</f>
        <v>0</v>
      </c>
      <c r="B56" s="172">
        <f>MRS!B56</f>
        <v>0</v>
      </c>
      <c r="C56" s="173"/>
      <c r="D56" s="174">
        <f>MRS!D56</f>
        <v>0</v>
      </c>
      <c r="E56" s="175"/>
      <c r="F56" s="176"/>
      <c r="G56" s="94">
        <f>MRS!G56</f>
        <v>0</v>
      </c>
      <c r="H56" s="94">
        <f>MRS!H56</f>
        <v>0</v>
      </c>
      <c r="I56" s="95">
        <f>MRS!I56</f>
        <v>0</v>
      </c>
      <c r="J56" s="95">
        <f>MRS!J56</f>
        <v>0</v>
      </c>
      <c r="K56" s="96"/>
      <c r="O56" s="97"/>
      <c r="P56" s="97"/>
      <c r="R56" s="97"/>
    </row>
    <row r="57" spans="1:18" ht="105" customHeight="1">
      <c r="A57" s="17">
        <f>+MRS!A57</f>
        <v>0</v>
      </c>
      <c r="B57" s="172">
        <f>MRS!B57</f>
        <v>0</v>
      </c>
      <c r="C57" s="173"/>
      <c r="D57" s="174">
        <f>MRS!D57</f>
        <v>0</v>
      </c>
      <c r="E57" s="175"/>
      <c r="F57" s="176"/>
      <c r="G57" s="94">
        <f>MRS!G57</f>
        <v>0</v>
      </c>
      <c r="H57" s="94">
        <f>MRS!H57</f>
        <v>0</v>
      </c>
      <c r="I57" s="95">
        <f>MRS!I57</f>
        <v>0</v>
      </c>
      <c r="J57" s="95">
        <f>MRS!J57</f>
        <v>0</v>
      </c>
      <c r="K57" s="96"/>
      <c r="O57" s="97"/>
      <c r="P57" s="97"/>
      <c r="R57" s="97"/>
    </row>
    <row r="58" spans="1:18" ht="105" customHeight="1">
      <c r="A58" s="17">
        <f>+MRS!A58</f>
        <v>0</v>
      </c>
      <c r="B58" s="172">
        <f>MRS!B58</f>
        <v>0</v>
      </c>
      <c r="C58" s="173"/>
      <c r="D58" s="174">
        <f>MRS!D58</f>
        <v>0</v>
      </c>
      <c r="E58" s="175"/>
      <c r="F58" s="176"/>
      <c r="G58" s="94">
        <f>MRS!G58</f>
        <v>0</v>
      </c>
      <c r="H58" s="94">
        <f>MRS!H58</f>
        <v>0</v>
      </c>
      <c r="I58" s="95">
        <f>MRS!I58</f>
        <v>0</v>
      </c>
      <c r="J58" s="95">
        <f>MRS!J58</f>
        <v>0</v>
      </c>
      <c r="K58" s="96"/>
      <c r="O58" s="97"/>
      <c r="P58" s="97"/>
      <c r="R58" s="97"/>
    </row>
    <row r="59" spans="1:18" ht="105" customHeight="1">
      <c r="A59" s="17">
        <f>+MRS!A59</f>
        <v>0</v>
      </c>
      <c r="B59" s="172">
        <f>MRS!B59</f>
        <v>0</v>
      </c>
      <c r="C59" s="173"/>
      <c r="D59" s="174">
        <f>MRS!D59</f>
        <v>0</v>
      </c>
      <c r="E59" s="175"/>
      <c r="F59" s="176"/>
      <c r="G59" s="94">
        <f>MRS!G59</f>
        <v>0</v>
      </c>
      <c r="H59" s="94">
        <f>MRS!H59</f>
        <v>0</v>
      </c>
      <c r="I59" s="95">
        <f>MRS!I59</f>
        <v>0</v>
      </c>
      <c r="J59" s="95">
        <f>MRS!J59</f>
        <v>0</v>
      </c>
      <c r="K59" s="96"/>
      <c r="O59" s="97"/>
      <c r="P59" s="97"/>
      <c r="R59" s="97"/>
    </row>
    <row r="60" spans="1:18" ht="105" customHeight="1">
      <c r="A60" s="17">
        <f>+MRS!A60</f>
        <v>0</v>
      </c>
      <c r="B60" s="172">
        <f>MRS!B60</f>
        <v>0</v>
      </c>
      <c r="C60" s="173"/>
      <c r="D60" s="174">
        <f>MRS!D60</f>
        <v>0</v>
      </c>
      <c r="E60" s="175"/>
      <c r="F60" s="176"/>
      <c r="G60" s="94">
        <f>MRS!G60</f>
        <v>0</v>
      </c>
      <c r="H60" s="94">
        <f>MRS!H60</f>
        <v>0</v>
      </c>
      <c r="I60" s="95">
        <f>MRS!I60</f>
        <v>0</v>
      </c>
      <c r="J60" s="95">
        <f>MRS!J60</f>
        <v>0</v>
      </c>
      <c r="K60" s="96"/>
      <c r="O60" s="97"/>
      <c r="P60" s="97"/>
      <c r="R60" s="97"/>
    </row>
  </sheetData>
  <mergeCells count="120">
    <mergeCell ref="B16:C16"/>
    <mergeCell ref="D16:F16"/>
    <mergeCell ref="B17:C17"/>
    <mergeCell ref="D17:F17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22:C22"/>
    <mergeCell ref="D22:F22"/>
    <mergeCell ref="B23:C23"/>
    <mergeCell ref="D23:F23"/>
    <mergeCell ref="B18:C18"/>
    <mergeCell ref="D18:F18"/>
    <mergeCell ref="B19:C19"/>
    <mergeCell ref="D19:F19"/>
    <mergeCell ref="B20:C20"/>
    <mergeCell ref="D20:F20"/>
    <mergeCell ref="B27:C27"/>
    <mergeCell ref="D27:F27"/>
    <mergeCell ref="B28:C28"/>
    <mergeCell ref="D28:F28"/>
    <mergeCell ref="B29:C29"/>
    <mergeCell ref="D29:F29"/>
    <mergeCell ref="B24:C24"/>
    <mergeCell ref="D24:F24"/>
    <mergeCell ref="B25:C25"/>
    <mergeCell ref="D25:F25"/>
    <mergeCell ref="B26:C26"/>
    <mergeCell ref="D26:F26"/>
    <mergeCell ref="B33:C33"/>
    <mergeCell ref="D33:F33"/>
    <mergeCell ref="B34:C34"/>
    <mergeCell ref="D34:F34"/>
    <mergeCell ref="B35:C35"/>
    <mergeCell ref="D35:F35"/>
    <mergeCell ref="B30:C30"/>
    <mergeCell ref="D30:F30"/>
    <mergeCell ref="B31:C31"/>
    <mergeCell ref="D31:F31"/>
    <mergeCell ref="B32:C32"/>
    <mergeCell ref="D32:F32"/>
    <mergeCell ref="B39:C39"/>
    <mergeCell ref="D39:F39"/>
    <mergeCell ref="B40:C40"/>
    <mergeCell ref="D40:F40"/>
    <mergeCell ref="B41:C41"/>
    <mergeCell ref="D41:F41"/>
    <mergeCell ref="B36:C36"/>
    <mergeCell ref="D36:F36"/>
    <mergeCell ref="B37:C37"/>
    <mergeCell ref="D37:F37"/>
    <mergeCell ref="B38:C38"/>
    <mergeCell ref="D38:F38"/>
    <mergeCell ref="B45:C45"/>
    <mergeCell ref="D45:F45"/>
    <mergeCell ref="B46:C46"/>
    <mergeCell ref="D46:F46"/>
    <mergeCell ref="B47:C47"/>
    <mergeCell ref="D47:F47"/>
    <mergeCell ref="B42:C42"/>
    <mergeCell ref="D42:F42"/>
    <mergeCell ref="B43:C43"/>
    <mergeCell ref="D43:F43"/>
    <mergeCell ref="B44:C44"/>
    <mergeCell ref="D44:F44"/>
    <mergeCell ref="B51:C51"/>
    <mergeCell ref="D51:F51"/>
    <mergeCell ref="B52:C52"/>
    <mergeCell ref="D52:F52"/>
    <mergeCell ref="B53:C53"/>
    <mergeCell ref="D53:F53"/>
    <mergeCell ref="B48:C48"/>
    <mergeCell ref="D48:F48"/>
    <mergeCell ref="B49:C49"/>
    <mergeCell ref="D49:F49"/>
    <mergeCell ref="B50:C50"/>
    <mergeCell ref="D50:F50"/>
    <mergeCell ref="B60:C60"/>
    <mergeCell ref="D60:F60"/>
    <mergeCell ref="B57:C57"/>
    <mergeCell ref="D57:F57"/>
    <mergeCell ref="B58:C58"/>
    <mergeCell ref="D58:F58"/>
    <mergeCell ref="B59:C59"/>
    <mergeCell ref="D59:F59"/>
    <mergeCell ref="B54:C54"/>
    <mergeCell ref="D54:F54"/>
    <mergeCell ref="B55:C55"/>
    <mergeCell ref="D55:F55"/>
    <mergeCell ref="B56:C56"/>
    <mergeCell ref="D56:F56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59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topLeftCell="A12" zoomScale="130" zoomScaleNormal="100" zoomScaleSheetLayoutView="130" workbookViewId="0">
      <selection activeCell="T28" sqref="T28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114</v>
      </c>
      <c r="D9" s="35"/>
      <c r="E9" s="35"/>
    </row>
    <row r="10" spans="2:13" s="35" customFormat="1">
      <c r="B10" s="68"/>
      <c r="C10" s="35" t="s">
        <v>24</v>
      </c>
      <c r="D10" s="72" t="s">
        <v>116</v>
      </c>
      <c r="J10" s="35" t="s">
        <v>25</v>
      </c>
      <c r="K10" s="125">
        <f>MRS!L3</f>
        <v>46270</v>
      </c>
      <c r="L10" s="126"/>
      <c r="M10" s="126"/>
    </row>
    <row r="11" spans="2:13" s="35" customFormat="1">
      <c r="B11" s="68"/>
      <c r="C11" s="71" t="s">
        <v>26</v>
      </c>
      <c r="D11" s="72" t="s">
        <v>106</v>
      </c>
      <c r="J11" s="35" t="s">
        <v>27</v>
      </c>
      <c r="K11" s="127" t="str">
        <f>SUBSTITUTE(SUBSTITUTE(+MRS!A3,"  MRS No : ",""),"-MRS","-PO")</f>
        <v>SAC2-DS-PO-0452</v>
      </c>
      <c r="L11" s="127"/>
      <c r="M11" s="127"/>
    </row>
    <row r="12" spans="2:13" s="35" customFormat="1">
      <c r="B12" s="68"/>
      <c r="C12" s="71" t="s">
        <v>28</v>
      </c>
      <c r="D12" s="35" t="s">
        <v>107</v>
      </c>
      <c r="J12" s="35" t="s">
        <v>29</v>
      </c>
    </row>
    <row r="13" spans="2:13" s="35" customFormat="1">
      <c r="B13" s="68"/>
      <c r="C13" s="73"/>
      <c r="D13" s="72" t="s">
        <v>108</v>
      </c>
      <c r="J13" s="35" t="s">
        <v>30</v>
      </c>
    </row>
    <row r="14" spans="2:13" s="35" customFormat="1">
      <c r="B14" s="68"/>
      <c r="C14" s="73" t="s">
        <v>115</v>
      </c>
      <c r="J14" s="35" t="s">
        <v>31</v>
      </c>
      <c r="K14" s="35" t="s">
        <v>138</v>
      </c>
    </row>
    <row r="15" spans="2:13" s="35" customFormat="1">
      <c r="B15" s="68"/>
      <c r="C15" s="73" t="s">
        <v>109</v>
      </c>
      <c r="J15" s="35" t="s">
        <v>32</v>
      </c>
      <c r="K15" s="74">
        <v>46268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28" t="s">
        <v>33</v>
      </c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</row>
    <row r="19" spans="2:13" ht="12" customHeight="1"/>
    <row r="20" spans="2:13" s="27" customFormat="1" ht="12" customHeight="1">
      <c r="B20" s="129" t="s">
        <v>34</v>
      </c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</row>
    <row r="21" spans="2:13" s="27" customFormat="1" ht="12" customHeight="1">
      <c r="B21" s="129" t="s">
        <v>35</v>
      </c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</row>
    <row r="22" spans="2:13" s="27" customFormat="1" ht="12" customHeight="1">
      <c r="B22" s="129" t="s">
        <v>36</v>
      </c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</row>
    <row r="23" spans="2:13" ht="6.95" customHeight="1"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</row>
    <row r="24" spans="2:13" ht="6.95" customHeight="1"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</row>
    <row r="25" spans="2:13" s="28" customFormat="1" ht="15" customHeight="1">
      <c r="B25" s="28">
        <v>1</v>
      </c>
      <c r="C25" s="28" t="s">
        <v>37</v>
      </c>
    </row>
    <row r="26" spans="2:13" s="35" customFormat="1" ht="12" customHeight="1">
      <c r="B26" s="69"/>
      <c r="C26" s="72" t="s">
        <v>139</v>
      </c>
      <c r="M26" s="75" t="s">
        <v>38</v>
      </c>
    </row>
    <row r="27" spans="2:13" ht="11.1" customHeight="1">
      <c r="B27" s="28"/>
    </row>
    <row r="28" spans="2:13" ht="15" customHeight="1">
      <c r="B28" s="28">
        <v>2</v>
      </c>
      <c r="C28" s="28" t="s">
        <v>39</v>
      </c>
    </row>
    <row r="29" spans="2:13" ht="12" customHeight="1">
      <c r="B29" s="28"/>
      <c r="C29" s="22" t="s">
        <v>40</v>
      </c>
      <c r="E29" s="22" t="s">
        <v>41</v>
      </c>
      <c r="F29" s="132" t="s">
        <v>110</v>
      </c>
      <c r="G29" s="132"/>
      <c r="H29" s="29"/>
      <c r="M29" s="30"/>
    </row>
    <row r="30" spans="2:13" ht="12" customHeight="1">
      <c r="B30" s="28"/>
      <c r="C30" s="22" t="s">
        <v>42</v>
      </c>
      <c r="E30" s="22" t="s">
        <v>41</v>
      </c>
      <c r="F30" s="132"/>
      <c r="G30" s="132"/>
    </row>
    <row r="31" spans="2:13" ht="12" customHeight="1">
      <c r="B31" s="28"/>
      <c r="C31" s="22" t="s">
        <v>43</v>
      </c>
      <c r="D31" s="31"/>
      <c r="E31" s="22" t="s">
        <v>41</v>
      </c>
      <c r="F31" s="132"/>
      <c r="G31" s="132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44</v>
      </c>
    </row>
    <row r="34" spans="2:13" ht="12" customHeight="1">
      <c r="B34" s="28"/>
      <c r="C34" s="18" t="s">
        <v>45</v>
      </c>
    </row>
    <row r="35" spans="2:13" ht="12" customHeight="1">
      <c r="B35" s="28"/>
      <c r="C35" s="18" t="s">
        <v>46</v>
      </c>
    </row>
    <row r="36" spans="2:13" ht="12" customHeight="1">
      <c r="B36" s="28"/>
      <c r="C36" s="18" t="s">
        <v>47</v>
      </c>
    </row>
    <row r="37" spans="2:13" ht="6" customHeight="1">
      <c r="B37" s="28"/>
    </row>
    <row r="38" spans="2:13" ht="15" customHeight="1">
      <c r="B38" s="28">
        <v>4</v>
      </c>
      <c r="C38" s="28" t="s">
        <v>48</v>
      </c>
    </row>
    <row r="39" spans="2:13" ht="12" customHeight="1">
      <c r="B39" s="28"/>
      <c r="C39" s="22" t="s">
        <v>49</v>
      </c>
    </row>
    <row r="40" spans="2:13" ht="6" customHeight="1">
      <c r="B40" s="28"/>
    </row>
    <row r="41" spans="2:13" ht="15" customHeight="1">
      <c r="B41" s="28">
        <v>5</v>
      </c>
      <c r="C41" s="28" t="s">
        <v>50</v>
      </c>
    </row>
    <row r="42" spans="2:13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54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55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56</v>
      </c>
    </row>
    <row r="49" spans="2:16" s="35" customFormat="1" ht="12" customHeight="1">
      <c r="B49" s="76" t="s">
        <v>57</v>
      </c>
      <c r="C49" s="77" t="s">
        <v>92</v>
      </c>
      <c r="P49" s="78"/>
    </row>
    <row r="50" spans="2:16" s="79" customFormat="1" ht="12" customHeight="1">
      <c r="B50" s="80" t="s">
        <v>57</v>
      </c>
      <c r="C50" s="77" t="s">
        <v>86</v>
      </c>
    </row>
    <row r="51" spans="2:16" s="79" customFormat="1" ht="12" customHeight="1">
      <c r="B51" s="80" t="s">
        <v>57</v>
      </c>
      <c r="C51" s="77" t="s">
        <v>85</v>
      </c>
    </row>
    <row r="52" spans="2:16" s="79" customFormat="1" ht="4.5" customHeight="1">
      <c r="B52" s="80"/>
      <c r="C52" s="77"/>
    </row>
    <row r="53" spans="2:16" ht="15" customHeight="1">
      <c r="B53" s="38">
        <v>7</v>
      </c>
      <c r="C53" s="28" t="s">
        <v>93</v>
      </c>
    </row>
    <row r="54" spans="2:16" ht="12" customHeight="1">
      <c r="B54" s="80" t="s">
        <v>57</v>
      </c>
      <c r="C54" s="110" t="s">
        <v>94</v>
      </c>
      <c r="F54" s="22" t="s">
        <v>111</v>
      </c>
    </row>
    <row r="55" spans="2:16" ht="12" customHeight="1">
      <c r="B55" s="80" t="s">
        <v>57</v>
      </c>
      <c r="C55" s="110" t="s">
        <v>95</v>
      </c>
      <c r="F55" s="111" t="s">
        <v>112</v>
      </c>
    </row>
    <row r="56" spans="2:16" ht="12" customHeight="1">
      <c r="B56" s="80" t="s">
        <v>57</v>
      </c>
      <c r="C56" s="110" t="s">
        <v>96</v>
      </c>
      <c r="F56" s="22" t="s">
        <v>113</v>
      </c>
    </row>
    <row r="57" spans="2:16" ht="12" customHeight="1">
      <c r="B57" s="80" t="s">
        <v>57</v>
      </c>
      <c r="C57" s="110" t="s">
        <v>97</v>
      </c>
      <c r="F57" s="22" t="s">
        <v>102</v>
      </c>
    </row>
    <row r="58" spans="2:16" ht="12" customHeight="1">
      <c r="B58" s="80" t="s">
        <v>57</v>
      </c>
      <c r="C58" s="110" t="s">
        <v>98</v>
      </c>
      <c r="F58" s="22" t="s">
        <v>103</v>
      </c>
    </row>
    <row r="59" spans="2:16" ht="12" customHeight="1">
      <c r="B59" s="80" t="s">
        <v>57</v>
      </c>
      <c r="C59" s="110" t="s">
        <v>99</v>
      </c>
      <c r="F59" s="22" t="s">
        <v>100</v>
      </c>
    </row>
    <row r="60" spans="2:16" ht="12" customHeight="1">
      <c r="B60" s="80"/>
      <c r="C60" s="110" t="s">
        <v>101</v>
      </c>
    </row>
    <row r="61" spans="2:16" ht="7.5" customHeight="1">
      <c r="B61" s="38"/>
    </row>
    <row r="62" spans="2:16" ht="3" customHeight="1"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  <row r="63" spans="2:16" ht="3" customHeight="1">
      <c r="B63" s="28"/>
    </row>
    <row r="64" spans="2:16" ht="7.5" customHeight="1">
      <c r="B64" s="38"/>
    </row>
    <row r="65" spans="1:13">
      <c r="B65" s="28" t="s">
        <v>58</v>
      </c>
      <c r="J65" s="28" t="s">
        <v>59</v>
      </c>
    </row>
    <row r="66" spans="1:13" ht="47.25" customHeight="1"/>
    <row r="67" spans="1:13" ht="18" customHeight="1">
      <c r="B67" s="22" t="s">
        <v>60</v>
      </c>
      <c r="J67" s="22" t="s">
        <v>60</v>
      </c>
    </row>
    <row r="68" spans="1:13" ht="18" customHeight="1">
      <c r="B68" s="22" t="s">
        <v>61</v>
      </c>
      <c r="J68" s="22" t="s">
        <v>62</v>
      </c>
      <c r="K68" s="18" t="str">
        <f>D12</f>
        <v>Azzam Bakheet</v>
      </c>
    </row>
    <row r="69" spans="1:13" ht="18" customHeight="1">
      <c r="B69" s="22" t="s">
        <v>63</v>
      </c>
      <c r="J69" s="22" t="s">
        <v>64</v>
      </c>
      <c r="K69" s="18" t="s">
        <v>90</v>
      </c>
    </row>
    <row r="70" spans="1:13" ht="15" customHeight="1">
      <c r="B70" s="22" t="s">
        <v>65</v>
      </c>
      <c r="J70" s="22" t="s">
        <v>66</v>
      </c>
    </row>
    <row r="71" spans="1:13" s="24" customFormat="1" ht="24.75" customHeight="1">
      <c r="B71" s="21" t="s">
        <v>67</v>
      </c>
      <c r="J71" s="133" t="str">
        <f>C9</f>
        <v>TCR(TCR Arabia Company Limited)</v>
      </c>
      <c r="K71" s="133"/>
      <c r="L71" s="133"/>
      <c r="M71" s="133"/>
    </row>
    <row r="72" spans="1:13" ht="27.95" customHeight="1">
      <c r="A72" s="124" t="s">
        <v>68</v>
      </c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  <row r="95" spans="2:2">
      <c r="B95" s="28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61"/>
  <sheetViews>
    <sheetView showGridLines="0" view="pageBreakPreview" zoomScaleSheetLayoutView="100" zoomScalePageLayoutView="55" workbookViewId="0">
      <selection activeCell="B8" sqref="B8:C8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5" style="42" customWidth="1"/>
    <col min="4" max="4" width="12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69</v>
      </c>
      <c r="B2" s="43" t="str">
        <f>+'PO 1st page'!K11</f>
        <v>SAC2-DS-PO-0452</v>
      </c>
      <c r="C2" s="181" t="s">
        <v>70</v>
      </c>
      <c r="D2" s="181"/>
      <c r="E2" s="181"/>
      <c r="F2" s="181"/>
      <c r="G2" s="44"/>
      <c r="H2" s="44"/>
    </row>
    <row r="3" spans="1:13" s="50" customFormat="1" ht="28.5" customHeight="1" thickBot="1">
      <c r="A3" s="45" t="s">
        <v>71</v>
      </c>
      <c r="B3" s="46">
        <f>+'PO 1st page'!K10</f>
        <v>46270</v>
      </c>
      <c r="C3" s="47"/>
      <c r="D3" s="48"/>
      <c r="E3" s="182" t="s">
        <v>72</v>
      </c>
      <c r="F3" s="182"/>
      <c r="G3" s="182"/>
      <c r="H3" s="182"/>
      <c r="I3" s="49"/>
    </row>
    <row r="4" spans="1:13" s="51" customFormat="1" ht="28.5" customHeight="1" thickTop="1">
      <c r="A4" s="183" t="s">
        <v>73</v>
      </c>
      <c r="B4" s="185" t="s">
        <v>74</v>
      </c>
      <c r="C4" s="186"/>
      <c r="D4" s="189" t="s">
        <v>75</v>
      </c>
      <c r="E4" s="189" t="s">
        <v>76</v>
      </c>
      <c r="F4" s="191" t="str">
        <f>'PO 1st page'!C9</f>
        <v>TCR(TCR Arabia Company Limited)</v>
      </c>
      <c r="G4" s="192"/>
      <c r="H4" s="193" t="s">
        <v>77</v>
      </c>
      <c r="K4" s="52"/>
      <c r="L4" s="52"/>
      <c r="M4" s="52"/>
    </row>
    <row r="5" spans="1:13" s="51" customFormat="1" ht="21.95" customHeight="1">
      <c r="A5" s="184"/>
      <c r="B5" s="187"/>
      <c r="C5" s="188"/>
      <c r="D5" s="190"/>
      <c r="E5" s="190"/>
      <c r="F5" s="53" t="s">
        <v>78</v>
      </c>
      <c r="G5" s="53" t="s">
        <v>43</v>
      </c>
      <c r="H5" s="194"/>
      <c r="K5" s="52"/>
      <c r="L5" s="52"/>
      <c r="M5" s="52"/>
    </row>
    <row r="6" spans="1:13" s="51" customFormat="1" ht="36" customHeight="1">
      <c r="A6" s="81">
        <f t="shared" ref="A6:A50" si="0">ROW(A1)</f>
        <v>1</v>
      </c>
      <c r="B6" s="179" t="str">
        <f>CONCATENATE(MRS!B6," ",MRS!D6)</f>
        <v xml:space="preserve">Preparation of WPS by Certified Welding Inspector </v>
      </c>
      <c r="C6" s="180"/>
      <c r="D6" s="82" t="str">
        <f>+'MRS LIST'!G6</f>
        <v>Per Procedure</v>
      </c>
      <c r="E6" s="83">
        <f>+'MRS LIST'!H6</f>
        <v>1</v>
      </c>
      <c r="F6" s="84">
        <f>+'MRS LIST'!I6</f>
        <v>850</v>
      </c>
      <c r="G6" s="85">
        <f>+'MRS LIST'!J6</f>
        <v>850</v>
      </c>
      <c r="H6" s="86" t="s">
        <v>104</v>
      </c>
      <c r="K6" s="87"/>
      <c r="L6" s="88"/>
      <c r="M6" s="52"/>
    </row>
    <row r="7" spans="1:13" s="51" customFormat="1" ht="36" customHeight="1">
      <c r="A7" s="81">
        <f t="shared" si="0"/>
        <v>2</v>
      </c>
      <c r="B7" s="179" t="str">
        <f>CONCATENATE(MRS!B7," ",MRS!D7)</f>
        <v xml:space="preserve">Minimun charges of Witnessing Welder Qualification / PQR by certified welding inspector </v>
      </c>
      <c r="C7" s="180"/>
      <c r="D7" s="82" t="str">
        <f>+'MRS LIST'!G7</f>
        <v>Per Day</v>
      </c>
      <c r="E7" s="83">
        <f>+'MRS LIST'!H7</f>
        <v>1</v>
      </c>
      <c r="F7" s="84">
        <f>+'MRS LIST'!I7</f>
        <v>840</v>
      </c>
      <c r="G7" s="85">
        <f>+'MRS LIST'!J7</f>
        <v>840</v>
      </c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79" t="str">
        <f>CONCATENATE(MRS!B8," ",MRS!D8)</f>
        <v xml:space="preserve">Renewal Of IDs </v>
      </c>
      <c r="C8" s="180"/>
      <c r="D8" s="82" t="str">
        <f>+'MRS LIST'!G8</f>
        <v>Per card</v>
      </c>
      <c r="E8" s="83">
        <f>+'MRS LIST'!H8</f>
        <v>1</v>
      </c>
      <c r="F8" s="84">
        <f>+'MRS LIST'!I8</f>
        <v>150</v>
      </c>
      <c r="G8" s="85">
        <f>+'MRS LIST'!J8</f>
        <v>150</v>
      </c>
      <c r="H8" s="86"/>
      <c r="K8" s="52"/>
      <c r="L8" s="52"/>
      <c r="M8" s="52"/>
    </row>
    <row r="9" spans="1:13" s="51" customFormat="1" ht="32.1" customHeight="1">
      <c r="A9" s="89">
        <f t="shared" si="0"/>
        <v>4</v>
      </c>
      <c r="B9" s="179" t="str">
        <f>CONCATENATE(MRS!B9," ",MRS!D9)</f>
        <v xml:space="preserve">Preparation of Certificate &amp; ID’s </v>
      </c>
      <c r="C9" s="180"/>
      <c r="D9" s="82" t="str">
        <f>+'MRS LIST'!G9</f>
        <v>Per Certificate</v>
      </c>
      <c r="E9" s="83">
        <f>+'MRS LIST'!H9</f>
        <v>1</v>
      </c>
      <c r="F9" s="84">
        <f>+'MRS LIST'!I9</f>
        <v>150</v>
      </c>
      <c r="G9" s="85">
        <f>+'MRS LIST'!J9</f>
        <v>150</v>
      </c>
      <c r="H9" s="86"/>
    </row>
    <row r="10" spans="1:13" s="51" customFormat="1" ht="32.1" customHeight="1">
      <c r="A10" s="89">
        <f t="shared" si="0"/>
        <v>5</v>
      </c>
      <c r="B10" s="179" t="str">
        <f>CONCATENATE(MRS!B10," ",MRS!D10)</f>
        <v xml:space="preserve">Mechanical Test for PQR/WQT </v>
      </c>
      <c r="C10" s="180"/>
      <c r="D10" s="82"/>
      <c r="E10" s="83"/>
      <c r="F10" s="84"/>
      <c r="G10" s="85"/>
      <c r="H10" s="90"/>
    </row>
    <row r="11" spans="1:13" s="51" customFormat="1" ht="32.1" customHeight="1">
      <c r="A11" s="89">
        <f t="shared" si="0"/>
        <v>6</v>
      </c>
      <c r="B11" s="179" t="str">
        <f>CONCATENATE(MRS!B11," ",MRS!D11)</f>
        <v xml:space="preserve">Tensile Test </v>
      </c>
      <c r="C11" s="180"/>
      <c r="D11" s="82" t="str">
        <f>+'MRS LIST'!G11</f>
        <v>Per Sample</v>
      </c>
      <c r="E11" s="83">
        <f>+'MRS LIST'!H11</f>
        <v>1</v>
      </c>
      <c r="F11" s="84">
        <f>+'MRS LIST'!I11</f>
        <v>450</v>
      </c>
      <c r="G11" s="85">
        <f>+'MRS LIST'!J11</f>
        <v>450</v>
      </c>
      <c r="H11" s="90"/>
    </row>
    <row r="12" spans="1:13" s="51" customFormat="1" ht="32.1" customHeight="1">
      <c r="A12" s="89">
        <f t="shared" si="0"/>
        <v>7</v>
      </c>
      <c r="B12" s="179" t="str">
        <f>CONCATENATE(MRS!B12," ",MRS!D12)</f>
        <v xml:space="preserve">Face Bend Test </v>
      </c>
      <c r="C12" s="180"/>
      <c r="D12" s="82" t="str">
        <f>+'MRS LIST'!G12</f>
        <v>Per Sample</v>
      </c>
      <c r="E12" s="83">
        <f>+'MRS LIST'!H12</f>
        <v>1</v>
      </c>
      <c r="F12" s="84">
        <f>+'MRS LIST'!I12</f>
        <v>180</v>
      </c>
      <c r="G12" s="85">
        <f>+'MRS LIST'!J12</f>
        <v>180</v>
      </c>
      <c r="H12" s="90"/>
    </row>
    <row r="13" spans="1:13" s="51" customFormat="1" ht="32.1" customHeight="1">
      <c r="A13" s="89">
        <f t="shared" si="0"/>
        <v>8</v>
      </c>
      <c r="B13" s="179" t="str">
        <f>CONCATENATE(MRS!B13," ",MRS!D13)</f>
        <v xml:space="preserve">Impact test ( 1 Set of 3 specimen) </v>
      </c>
      <c r="C13" s="180"/>
      <c r="D13" s="82" t="str">
        <f>+'MRS LIST'!G13</f>
        <v>Per Set</v>
      </c>
      <c r="E13" s="83">
        <f>+'MRS LIST'!H13</f>
        <v>1</v>
      </c>
      <c r="F13" s="84">
        <f>+'MRS LIST'!I13</f>
        <v>800</v>
      </c>
      <c r="G13" s="85">
        <f>+'MRS LIST'!J13</f>
        <v>800</v>
      </c>
      <c r="H13" s="90"/>
    </row>
    <row r="14" spans="1:13" s="51" customFormat="1" ht="32.1" customHeight="1">
      <c r="A14" s="89">
        <f t="shared" si="0"/>
        <v>9</v>
      </c>
      <c r="B14" s="179" t="str">
        <f>CONCATENATE(MRS!B14," ",MRS!D14)</f>
        <v xml:space="preserve">Impact test ( 1 Set of 5 specimen) </v>
      </c>
      <c r="C14" s="180"/>
      <c r="D14" s="82" t="str">
        <f>+'MRS LIST'!G14</f>
        <v>Per Set</v>
      </c>
      <c r="E14" s="83">
        <f>+'MRS LIST'!H14</f>
        <v>1</v>
      </c>
      <c r="F14" s="84">
        <f>+'MRS LIST'!I14</f>
        <v>1000</v>
      </c>
      <c r="G14" s="85">
        <f>+'MRS LIST'!J14</f>
        <v>1000</v>
      </c>
      <c r="H14" s="90"/>
    </row>
    <row r="15" spans="1:13" s="51" customFormat="1" ht="32.1" customHeight="1">
      <c r="A15" s="89">
        <f t="shared" si="0"/>
        <v>10</v>
      </c>
      <c r="B15" s="179" t="str">
        <f>CONCATENATE(MRS!B15," ",MRS!D15)</f>
        <v xml:space="preserve">Macro Structure Examination </v>
      </c>
      <c r="C15" s="180"/>
      <c r="D15" s="82" t="str">
        <f>+'MRS LIST'!G15</f>
        <v>Per Sample</v>
      </c>
      <c r="E15" s="83">
        <f>+'MRS LIST'!H15</f>
        <v>1</v>
      </c>
      <c r="F15" s="84">
        <f>+'MRS LIST'!I15</f>
        <v>350</v>
      </c>
      <c r="G15" s="85">
        <f>+'MRS LIST'!J15</f>
        <v>350</v>
      </c>
      <c r="H15" s="90"/>
    </row>
    <row r="16" spans="1:13" s="51" customFormat="1" ht="32.1" customHeight="1">
      <c r="A16" s="89">
        <f t="shared" si="0"/>
        <v>11</v>
      </c>
      <c r="B16" s="179" t="str">
        <f>CONCATENATE(MRS!B16," ",MRS!D16)</f>
        <v xml:space="preserve">Hardness test </v>
      </c>
      <c r="C16" s="180"/>
      <c r="D16" s="82" t="str">
        <f>+'MRS LIST'!G16</f>
        <v>Per Sample</v>
      </c>
      <c r="E16" s="83">
        <f>+'MRS LIST'!H16</f>
        <v>1</v>
      </c>
      <c r="F16" s="84">
        <f>+'MRS LIST'!I16</f>
        <v>250</v>
      </c>
      <c r="G16" s="85">
        <f>+'MRS LIST'!J16</f>
        <v>250</v>
      </c>
      <c r="H16" s="90"/>
    </row>
    <row r="17" spans="1:8" s="51" customFormat="1" ht="32.1" customHeight="1">
      <c r="A17" s="89">
        <f t="shared" si="0"/>
        <v>12</v>
      </c>
      <c r="B17" s="179" t="str">
        <f>CONCATENATE(MRS!B17," ",MRS!D17)</f>
        <v xml:space="preserve">UT testing on welding coupons </v>
      </c>
      <c r="C17" s="180"/>
      <c r="D17" s="82" t="str">
        <f>+'MRS LIST'!G17</f>
        <v>Per sample</v>
      </c>
      <c r="E17" s="83">
        <f>+'MRS LIST'!H17</f>
        <v>1</v>
      </c>
      <c r="F17" s="84">
        <f>+'MRS LIST'!I17</f>
        <v>150</v>
      </c>
      <c r="G17" s="85">
        <f>+'MRS LIST'!J17</f>
        <v>150</v>
      </c>
      <c r="H17" s="90"/>
    </row>
    <row r="18" spans="1:8" s="51" customFormat="1" ht="32.1" customHeight="1">
      <c r="A18" s="89">
        <f t="shared" si="0"/>
        <v>13</v>
      </c>
      <c r="B18" s="179" t="str">
        <f>CONCATENATE(MRS!B18," ",MRS!D18)</f>
        <v xml:space="preserve">PT On Welded Coupon </v>
      </c>
      <c r="C18" s="180"/>
      <c r="D18" s="82" t="str">
        <f>+'MRS LIST'!G18</f>
        <v>Per Sample</v>
      </c>
      <c r="E18" s="83">
        <f>+'MRS LIST'!H18</f>
        <v>1</v>
      </c>
      <c r="F18" s="84">
        <f>+'MRS LIST'!I18</f>
        <v>150</v>
      </c>
      <c r="G18" s="85">
        <f>+'MRS LIST'!J18</f>
        <v>150</v>
      </c>
      <c r="H18" s="90"/>
    </row>
    <row r="19" spans="1:8" s="51" customFormat="1" ht="32.1" customHeight="1">
      <c r="A19" s="89">
        <f t="shared" si="0"/>
        <v>14</v>
      </c>
      <c r="B19" s="179" t="str">
        <f>CONCATENATE(MRS!B19," ",MRS!D19)</f>
        <v xml:space="preserve">Fillet Fracture </v>
      </c>
      <c r="C19" s="180"/>
      <c r="D19" s="82" t="str">
        <f>+'MRS LIST'!G19</f>
        <v>Per Sample</v>
      </c>
      <c r="E19" s="83">
        <f>+'MRS LIST'!H19</f>
        <v>1</v>
      </c>
      <c r="F19" s="84">
        <f>+'MRS LIST'!I19</f>
        <v>200</v>
      </c>
      <c r="G19" s="85">
        <f>+'MRS LIST'!J19</f>
        <v>200</v>
      </c>
      <c r="H19" s="90"/>
    </row>
    <row r="20" spans="1:8" s="51" customFormat="1" ht="32.1" customHeight="1">
      <c r="A20" s="89">
        <f t="shared" si="0"/>
        <v>15</v>
      </c>
      <c r="B20" s="179" t="str">
        <f>CONCATENATE(MRS!B20," ",MRS!D20)</f>
        <v xml:space="preserve">PWHT (up to 8”) </v>
      </c>
      <c r="C20" s="180"/>
      <c r="D20" s="82" t="str">
        <f>+'MRS LIST'!G20</f>
        <v>Per Coupon</v>
      </c>
      <c r="E20" s="83">
        <f>+'MRS LIST'!H20</f>
        <v>1</v>
      </c>
      <c r="F20" s="84">
        <f>+'MRS LIST'!I20</f>
        <v>750</v>
      </c>
      <c r="G20" s="85">
        <f>+'MRS LIST'!J20</f>
        <v>750</v>
      </c>
      <c r="H20" s="90"/>
    </row>
    <row r="21" spans="1:8" s="51" customFormat="1" ht="32.1" customHeight="1">
      <c r="A21" s="89">
        <f t="shared" si="0"/>
        <v>16</v>
      </c>
      <c r="B21" s="179" t="str">
        <f>CONCATENATE(MRS!B21," ",MRS!D21)</f>
        <v xml:space="preserve">Section Test </v>
      </c>
      <c r="C21" s="180"/>
      <c r="D21" s="82" t="str">
        <f>+'MRS LIST'!G21</f>
        <v>Per Sample</v>
      </c>
      <c r="E21" s="83">
        <f>+'MRS LIST'!H21</f>
        <v>1</v>
      </c>
      <c r="F21" s="84">
        <f>+'MRS LIST'!I21</f>
        <v>190</v>
      </c>
      <c r="G21" s="85">
        <f>+'MRS LIST'!J21</f>
        <v>190</v>
      </c>
      <c r="H21" s="90"/>
    </row>
    <row r="22" spans="1:8" s="51" customFormat="1" ht="32.1" customHeight="1">
      <c r="A22" s="89">
        <f t="shared" si="0"/>
        <v>17</v>
      </c>
      <c r="B22" s="179" t="str">
        <f>CONCATENATE(MRS!B22," ",MRS!D22)</f>
        <v xml:space="preserve">Peel Test </v>
      </c>
      <c r="C22" s="180"/>
      <c r="D22" s="82" t="str">
        <f>+'MRS LIST'!G22</f>
        <v>Per Sample</v>
      </c>
      <c r="E22" s="83">
        <f>+'MRS LIST'!H22</f>
        <v>1</v>
      </c>
      <c r="F22" s="84">
        <f>+'MRS LIST'!I22</f>
        <v>190</v>
      </c>
      <c r="G22" s="85">
        <f>+'MRS LIST'!J22</f>
        <v>190</v>
      </c>
      <c r="H22" s="90"/>
    </row>
    <row r="23" spans="1:8" s="51" customFormat="1" ht="32.1" customHeight="1">
      <c r="A23" s="89">
        <f t="shared" si="0"/>
        <v>18</v>
      </c>
      <c r="B23" s="179" t="str">
        <f>CONCATENATE(MRS!B23," ",MRS!D23)</f>
        <v xml:space="preserve">Chemical Analysis </v>
      </c>
      <c r="C23" s="180"/>
      <c r="D23" s="82" t="str">
        <f>+'MRS LIST'!G23</f>
        <v>Per Sample</v>
      </c>
      <c r="E23" s="83">
        <f>+'MRS LIST'!H23</f>
        <v>1</v>
      </c>
      <c r="F23" s="84">
        <f>+'MRS LIST'!I23</f>
        <v>400</v>
      </c>
      <c r="G23" s="85">
        <f>+'MRS LIST'!J23</f>
        <v>400</v>
      </c>
      <c r="H23" s="90"/>
    </row>
    <row r="24" spans="1:8" s="51" customFormat="1" ht="32.1" customHeight="1">
      <c r="A24" s="89">
        <f t="shared" si="0"/>
        <v>19</v>
      </c>
      <c r="B24" s="179" t="str">
        <f>CONCATENATE(MRS!B24," ",MRS!D24)</f>
        <v xml:space="preserve">Nick Break Test </v>
      </c>
      <c r="C24" s="180"/>
      <c r="D24" s="82" t="str">
        <f>+'MRS LIST'!G24</f>
        <v>Per Sample</v>
      </c>
      <c r="E24" s="83">
        <f>+'MRS LIST'!H24</f>
        <v>1</v>
      </c>
      <c r="F24" s="84">
        <f>+'MRS LIST'!I24</f>
        <v>190</v>
      </c>
      <c r="G24" s="85">
        <f>+'MRS LIST'!J24</f>
        <v>190</v>
      </c>
      <c r="H24" s="90"/>
    </row>
    <row r="25" spans="1:8" s="51" customFormat="1" ht="32.1" customHeight="1">
      <c r="A25" s="89">
        <f t="shared" si="0"/>
        <v>20</v>
      </c>
      <c r="B25" s="179" t="str">
        <f>CONCATENATE(MRS!B25," ",MRS!D25)</f>
        <v xml:space="preserve">Ferrite Test AWS A4.2 </v>
      </c>
      <c r="C25" s="180"/>
      <c r="D25" s="82" t="str">
        <f>+'MRS LIST'!G25</f>
        <v>Per Sample</v>
      </c>
      <c r="E25" s="83">
        <f>+'MRS LIST'!H25</f>
        <v>1</v>
      </c>
      <c r="F25" s="84">
        <f>+'MRS LIST'!I25</f>
        <v>250</v>
      </c>
      <c r="G25" s="85">
        <f>+'MRS LIST'!J25</f>
        <v>250</v>
      </c>
      <c r="H25" s="90"/>
    </row>
    <row r="26" spans="1:8" s="51" customFormat="1" ht="32.1" customHeight="1">
      <c r="A26" s="89">
        <f t="shared" si="0"/>
        <v>21</v>
      </c>
      <c r="B26" s="179" t="str">
        <f>CONCATENATE(MRS!B26," ",MRS!D26)</f>
        <v xml:space="preserve">Ferrite Test As Per ASTM E562 </v>
      </c>
      <c r="C26" s="180"/>
      <c r="D26" s="82" t="str">
        <f>+'MRS LIST'!G26</f>
        <v>Per Location</v>
      </c>
      <c r="E26" s="83">
        <f>+'MRS LIST'!H26</f>
        <v>1</v>
      </c>
      <c r="F26" s="84">
        <f>+'MRS LIST'!I26</f>
        <v>1400</v>
      </c>
      <c r="G26" s="85">
        <f>+'MRS LIST'!J26</f>
        <v>1400</v>
      </c>
      <c r="H26" s="90"/>
    </row>
    <row r="27" spans="1:8" s="51" customFormat="1" ht="68.25" customHeight="1">
      <c r="A27" s="89">
        <f t="shared" si="0"/>
        <v>22</v>
      </c>
      <c r="B27" s="179" t="str">
        <f>CONCATENATE(MRS!B27," ",MRS!D27)</f>
        <v xml:space="preserve">Inter-Granular Corrosion test as per ASTM A-262 practice A
with photograph also called as Oxalic Acid Etch test (Microstructure based corrosion check). </v>
      </c>
      <c r="C27" s="180"/>
      <c r="D27" s="82" t="str">
        <f>+'MRS LIST'!G27</f>
        <v>Per Specimen</v>
      </c>
      <c r="E27" s="83">
        <f>+'MRS LIST'!H27</f>
        <v>1</v>
      </c>
      <c r="F27" s="84">
        <f>+'MRS LIST'!I27</f>
        <v>1700</v>
      </c>
      <c r="G27" s="85">
        <f>+'MRS LIST'!J27</f>
        <v>1700</v>
      </c>
      <c r="H27" s="90"/>
    </row>
    <row r="28" spans="1:8" s="51" customFormat="1" ht="44.25" customHeight="1">
      <c r="A28" s="89">
        <f t="shared" si="0"/>
        <v>23</v>
      </c>
      <c r="B28" s="179" t="str">
        <f>CONCATENATE(MRS!B28," ",MRS!D28)</f>
        <v xml:space="preserve">Inter-Granular Corrosion test as per ASTM A-262 practice B (120 hrs. test cycle). </v>
      </c>
      <c r="C28" s="180"/>
      <c r="D28" s="82" t="str">
        <f>+'MRS LIST'!G28</f>
        <v>Per Specimen</v>
      </c>
      <c r="E28" s="83">
        <f>+'MRS LIST'!H28</f>
        <v>1</v>
      </c>
      <c r="F28" s="84">
        <f>+'MRS LIST'!I28</f>
        <v>7500</v>
      </c>
      <c r="G28" s="85">
        <f>+'MRS LIST'!J28</f>
        <v>7500</v>
      </c>
      <c r="H28" s="90"/>
    </row>
    <row r="29" spans="1:8" s="51" customFormat="1" ht="71.25" customHeight="1">
      <c r="A29" s="89">
        <f t="shared" si="0"/>
        <v>24</v>
      </c>
      <c r="B29" s="179" t="str">
        <f>CONCATENATE(MRS!B29," ",MRS!D29)</f>
        <v xml:space="preserve">Inter-Granular Corrosion test ASTM A-262 practice C
(Huey Test) (if 5 times cycle then 48 hrs. each x 5 cycle required total 10 days). </v>
      </c>
      <c r="C29" s="180"/>
      <c r="D29" s="82" t="str">
        <f>+'MRS LIST'!G29</f>
        <v>Per Specimen</v>
      </c>
      <c r="E29" s="83">
        <f>+'MRS LIST'!H29</f>
        <v>1</v>
      </c>
      <c r="F29" s="84">
        <f>+'MRS LIST'!I29</f>
        <v>2400</v>
      </c>
      <c r="G29" s="85">
        <f>+'MRS LIST'!J29</f>
        <v>2400</v>
      </c>
      <c r="H29" s="90"/>
    </row>
    <row r="30" spans="1:8" s="51" customFormat="1" ht="49.5" customHeight="1">
      <c r="A30" s="89">
        <f t="shared" si="0"/>
        <v>25</v>
      </c>
      <c r="B30" s="179" t="str">
        <f>CONCATENATE(MRS!B30," ",MRS!D30)</f>
        <v xml:space="preserve">Inter-Granular  Corrosion test ASTM A-262 practice E
(Strauss Test) (15hrs or 24 hrs. test cycle). </v>
      </c>
      <c r="C30" s="180"/>
      <c r="D30" s="82" t="str">
        <f>+'MRS LIST'!G30</f>
        <v>Per Specimen</v>
      </c>
      <c r="E30" s="83">
        <f>+'MRS LIST'!H30</f>
        <v>1</v>
      </c>
      <c r="F30" s="84">
        <f>+'MRS LIST'!I30</f>
        <v>2400</v>
      </c>
      <c r="G30" s="85">
        <f>+'MRS LIST'!J30</f>
        <v>2400</v>
      </c>
      <c r="H30" s="90"/>
    </row>
    <row r="31" spans="1:8" s="51" customFormat="1" ht="49.5" customHeight="1">
      <c r="A31" s="89">
        <f t="shared" si="0"/>
        <v>26</v>
      </c>
      <c r="B31" s="179" t="str">
        <f>CONCATENATE(MRS!B31," ",MRS!D31)</f>
        <v xml:space="preserve">Inter-Granular Corrosion test ASTM A-262 practice E
(15hrs or 24 hrs.). </v>
      </c>
      <c r="C31" s="180"/>
      <c r="D31" s="82" t="str">
        <f>+'MRS LIST'!G31</f>
        <v>Per Specimen</v>
      </c>
      <c r="E31" s="83">
        <f>+'MRS LIST'!H31</f>
        <v>1</v>
      </c>
      <c r="F31" s="84">
        <f>+'MRS LIST'!I31</f>
        <v>2200</v>
      </c>
      <c r="G31" s="85">
        <f>+'MRS LIST'!J31</f>
        <v>2200</v>
      </c>
      <c r="H31" s="90"/>
    </row>
    <row r="32" spans="1:8" s="51" customFormat="1" ht="49.5" customHeight="1">
      <c r="A32" s="89">
        <f t="shared" si="0"/>
        <v>27</v>
      </c>
      <c r="B32" s="179" t="str">
        <f>CONCATENATE(MRS!B32," ",MRS!D32)</f>
        <v xml:space="preserve">Pitting Corrosion test as per ASTM G28 method A
(120 hrs. test cycle). </v>
      </c>
      <c r="C32" s="180"/>
      <c r="D32" s="82" t="str">
        <f>+'MRS LIST'!G32</f>
        <v>Per Specimen</v>
      </c>
      <c r="E32" s="83">
        <f>+'MRS LIST'!H32</f>
        <v>1</v>
      </c>
      <c r="F32" s="84">
        <f>+'MRS LIST'!I32</f>
        <v>6500</v>
      </c>
      <c r="G32" s="85">
        <f>+'MRS LIST'!J32</f>
        <v>6500</v>
      </c>
      <c r="H32" s="90"/>
    </row>
    <row r="33" spans="1:8" s="51" customFormat="1" ht="49.5" customHeight="1">
      <c r="A33" s="89">
        <f t="shared" si="0"/>
        <v>28</v>
      </c>
      <c r="B33" s="179" t="str">
        <f>CONCATENATE(MRS!B33," ",MRS!D33)</f>
        <v xml:space="preserve">Pitting Corrosion test ASTM G48 method A
(24 or 72 hrs. test cycle). </v>
      </c>
      <c r="C33" s="180"/>
      <c r="D33" s="82" t="str">
        <f>+'MRS LIST'!G33</f>
        <v>Per Specimen</v>
      </c>
      <c r="E33" s="83">
        <f>+'MRS LIST'!H33</f>
        <v>1</v>
      </c>
      <c r="F33" s="84">
        <f>+'MRS LIST'!I33</f>
        <v>4300</v>
      </c>
      <c r="G33" s="85">
        <f>+'MRS LIST'!J33</f>
        <v>4300</v>
      </c>
      <c r="H33" s="90"/>
    </row>
    <row r="34" spans="1:8" s="51" customFormat="1" ht="49.5" customHeight="1">
      <c r="A34" s="89">
        <f t="shared" si="0"/>
        <v>29</v>
      </c>
      <c r="B34" s="179" t="str">
        <f>CONCATENATE(MRS!B34," ",MRS!D34)</f>
        <v xml:space="preserve">Corrosion test ASTM A923 method A
(Microstructure based corrosion check). </v>
      </c>
      <c r="C34" s="180"/>
      <c r="D34" s="82" t="str">
        <f>+'MRS LIST'!G34</f>
        <v>Per Specimen</v>
      </c>
      <c r="E34" s="83">
        <f>+'MRS LIST'!H34</f>
        <v>1</v>
      </c>
      <c r="F34" s="84">
        <f>+'MRS LIST'!I34</f>
        <v>1600</v>
      </c>
      <c r="G34" s="85">
        <f>+'MRS LIST'!J34</f>
        <v>1600</v>
      </c>
      <c r="H34" s="90"/>
    </row>
    <row r="35" spans="1:8" s="51" customFormat="1" ht="49.5" customHeight="1">
      <c r="A35" s="89">
        <f t="shared" si="0"/>
        <v>30</v>
      </c>
      <c r="B35" s="179" t="str">
        <f>CONCATENATE(MRS!B35," ",MRS!D35)</f>
        <v xml:space="preserve">Corrosion test ASTM A923 method C (24 hrs. test cycle). </v>
      </c>
      <c r="C35" s="180"/>
      <c r="D35" s="82" t="str">
        <f>+'MRS LIST'!G35</f>
        <v>Per Specimen</v>
      </c>
      <c r="E35" s="83">
        <f>+'MRS LIST'!H35</f>
        <v>1</v>
      </c>
      <c r="F35" s="84">
        <f>+'MRS LIST'!I35</f>
        <v>2500</v>
      </c>
      <c r="G35" s="85">
        <f>+'MRS LIST'!J35</f>
        <v>2500</v>
      </c>
      <c r="H35" s="90"/>
    </row>
    <row r="36" spans="1:8" s="51" customFormat="1" ht="49.5" customHeight="1">
      <c r="A36" s="89">
        <f t="shared" si="0"/>
        <v>31</v>
      </c>
      <c r="B36" s="179" t="str">
        <f>CONCATENATE(MRS!B36," ",MRS!D36)</f>
        <v xml:space="preserve">Microstructure Examination (Routine)
(One location per sample is considered). </v>
      </c>
      <c r="C36" s="180"/>
      <c r="D36" s="82" t="str">
        <f>+'MRS LIST'!G36</f>
        <v>Per Sample</v>
      </c>
      <c r="E36" s="83">
        <f>+'MRS LIST'!H36</f>
        <v>1</v>
      </c>
      <c r="F36" s="84">
        <f>+'MRS LIST'!I36</f>
        <v>1200</v>
      </c>
      <c r="G36" s="85">
        <f>+'MRS LIST'!J36</f>
        <v>1200</v>
      </c>
      <c r="H36" s="90"/>
    </row>
    <row r="37" spans="1:8" s="51" customFormat="1" ht="32.1" customHeight="1">
      <c r="A37" s="89">
        <f t="shared" si="0"/>
        <v>32</v>
      </c>
      <c r="B37" s="179" t="str">
        <f>CONCATENATE(MRS!B37," ",MRS!D37)</f>
        <v xml:space="preserve">Pipe up to 8’’ Dia </v>
      </c>
      <c r="C37" s="180"/>
      <c r="D37" s="82" t="str">
        <f>+'MRS LIST'!G37</f>
        <v>Per Coupon</v>
      </c>
      <c r="E37" s="83">
        <f>+'MRS LIST'!H37</f>
        <v>1</v>
      </c>
      <c r="F37" s="84">
        <f>+'MRS LIST'!I37</f>
        <v>200</v>
      </c>
      <c r="G37" s="85">
        <f>+'MRS LIST'!J37</f>
        <v>200</v>
      </c>
      <c r="H37" s="90"/>
    </row>
    <row r="38" spans="1:8" s="51" customFormat="1" ht="32.1" customHeight="1">
      <c r="A38" s="89">
        <f t="shared" si="0"/>
        <v>33</v>
      </c>
      <c r="B38" s="179" t="str">
        <f>CONCATENATE(MRS!B38," ",MRS!D38)</f>
        <v xml:space="preserve">Pipe from  10’’-16’’Inch Dia </v>
      </c>
      <c r="C38" s="180"/>
      <c r="D38" s="82" t="str">
        <f>+'MRS LIST'!G38</f>
        <v>Per Coupon</v>
      </c>
      <c r="E38" s="83">
        <f>+'MRS LIST'!H38</f>
        <v>1</v>
      </c>
      <c r="F38" s="84">
        <f>+'MRS LIST'!I38</f>
        <v>260</v>
      </c>
      <c r="G38" s="85">
        <f>+'MRS LIST'!J38</f>
        <v>260</v>
      </c>
      <c r="H38" s="90"/>
    </row>
    <row r="39" spans="1:8" s="51" customFormat="1" ht="32.1" customHeight="1">
      <c r="A39" s="89">
        <f t="shared" si="0"/>
        <v>34</v>
      </c>
      <c r="B39" s="179" t="str">
        <f>CONCATENATE(MRS!B39," ",MRS!D39)</f>
        <v xml:space="preserve">Pipe from 18’’-24’’Inch Dia </v>
      </c>
      <c r="C39" s="180"/>
      <c r="D39" s="82" t="str">
        <f>+'MRS LIST'!G39</f>
        <v>Per Coupon</v>
      </c>
      <c r="E39" s="83">
        <f>+'MRS LIST'!H39</f>
        <v>1</v>
      </c>
      <c r="F39" s="84">
        <f>+'MRS LIST'!I39</f>
        <v>320</v>
      </c>
      <c r="G39" s="85">
        <f>+'MRS LIST'!J39</f>
        <v>320</v>
      </c>
      <c r="H39" s="90"/>
    </row>
    <row r="40" spans="1:8" s="51" customFormat="1" ht="32.1" customHeight="1">
      <c r="A40" s="89">
        <f t="shared" si="0"/>
        <v>35</v>
      </c>
      <c r="B40" s="179" t="str">
        <f>CONCATENATE(MRS!B40," ",MRS!D40)</f>
        <v xml:space="preserve">Pipe from 26’’ Inch- 36’’ Dia </v>
      </c>
      <c r="C40" s="180"/>
      <c r="D40" s="82" t="str">
        <f>+'MRS LIST'!G40</f>
        <v>Per Coupon</v>
      </c>
      <c r="E40" s="83">
        <f>+'MRS LIST'!H40</f>
        <v>1</v>
      </c>
      <c r="F40" s="84">
        <f>+'MRS LIST'!I40</f>
        <v>410</v>
      </c>
      <c r="G40" s="85">
        <f>+'MRS LIST'!J40</f>
        <v>410</v>
      </c>
      <c r="H40" s="90"/>
    </row>
    <row r="41" spans="1:8" s="51" customFormat="1" ht="32.1" customHeight="1">
      <c r="A41" s="89">
        <f t="shared" si="0"/>
        <v>36</v>
      </c>
      <c r="B41" s="179" t="str">
        <f>CONCATENATE(MRS!B41," ",MRS!D41)</f>
        <v xml:space="preserve">Pipe Up to 36’’ Dia </v>
      </c>
      <c r="C41" s="180"/>
      <c r="D41" s="82" t="str">
        <f>+'MRS LIST'!G41</f>
        <v>Per Coupon</v>
      </c>
      <c r="E41" s="83">
        <f>+'MRS LIST'!H41</f>
        <v>1</v>
      </c>
      <c r="F41" s="84">
        <f>+'MRS LIST'!I41</f>
        <v>470</v>
      </c>
      <c r="G41" s="85">
        <f>+'MRS LIST'!J41</f>
        <v>470</v>
      </c>
      <c r="H41" s="90"/>
    </row>
    <row r="42" spans="1:8" s="51" customFormat="1" ht="32.1" customHeight="1">
      <c r="A42" s="89">
        <f t="shared" si="0"/>
        <v>37</v>
      </c>
      <c r="B42" s="179" t="str">
        <f>CONCATENATE(MRS!B42," ",MRS!D42)</f>
        <v xml:space="preserve">Plate Up to 200 mm thickness </v>
      </c>
      <c r="C42" s="180"/>
      <c r="D42" s="82" t="str">
        <f>+'MRS LIST'!G42</f>
        <v>Per Coupon</v>
      </c>
      <c r="E42" s="83">
        <f>+'MRS LIST'!H42</f>
        <v>1</v>
      </c>
      <c r="F42" s="84">
        <f>+'MRS LIST'!I42</f>
        <v>150</v>
      </c>
      <c r="G42" s="85">
        <f>+'MRS LIST'!J42</f>
        <v>150</v>
      </c>
      <c r="H42" s="90"/>
    </row>
    <row r="43" spans="1:8" s="51" customFormat="1" ht="66" customHeight="1">
      <c r="A43" s="89">
        <f t="shared" si="0"/>
        <v>38</v>
      </c>
      <c r="B43" s="179" t="str">
        <f>CONCATENATE(MRS!B43," ",MRS!D43)</f>
        <v xml:space="preserve">Preparation of samples for Testing
If the base metal is Alloy, Stainless Steel or if the Wall thickness of plate or pipe greater than 13mm irrespective of the material </v>
      </c>
      <c r="C43" s="180"/>
      <c r="D43" s="82" t="str">
        <f>+'MRS LIST'!G43</f>
        <v>Per Test</v>
      </c>
      <c r="E43" s="83">
        <f>+'MRS LIST'!H43</f>
        <v>1</v>
      </c>
      <c r="F43" s="84">
        <f>+'MRS LIST'!I43</f>
        <v>120</v>
      </c>
      <c r="G43" s="85">
        <f>+'MRS LIST'!J43</f>
        <v>120</v>
      </c>
      <c r="H43" s="90"/>
    </row>
    <row r="44" spans="1:8" s="51" customFormat="1" ht="36" customHeight="1">
      <c r="A44" s="89">
        <f t="shared" si="0"/>
        <v>39</v>
      </c>
      <c r="B44" s="179" t="str">
        <f>CONCATENATE(MRS!B44," ",MRS!D44)</f>
        <v xml:space="preserve">Machining Charges for Removal of Flange Collar (If required) </v>
      </c>
      <c r="C44" s="180"/>
      <c r="D44" s="82"/>
      <c r="E44" s="83"/>
      <c r="F44" s="84"/>
      <c r="G44" s="85"/>
      <c r="H44" s="90"/>
    </row>
    <row r="45" spans="1:8" s="51" customFormat="1" ht="32.1" customHeight="1">
      <c r="A45" s="89">
        <f t="shared" si="0"/>
        <v>40</v>
      </c>
      <c r="B45" s="179" t="str">
        <f>CONCATENATE(MRS!B45," ",MRS!D45)</f>
        <v xml:space="preserve">Collar Removal Up to 8” </v>
      </c>
      <c r="C45" s="180"/>
      <c r="D45" s="82" t="str">
        <f>+'MRS LIST'!G45</f>
        <v>Per Pipe</v>
      </c>
      <c r="E45" s="83">
        <f>+'MRS LIST'!H45</f>
        <v>1</v>
      </c>
      <c r="F45" s="84">
        <f>+'MRS LIST'!I45</f>
        <v>1000</v>
      </c>
      <c r="G45" s="85">
        <f>+'MRS LIST'!J45</f>
        <v>1000</v>
      </c>
      <c r="H45" s="90"/>
    </row>
    <row r="46" spans="1:8" s="51" customFormat="1" ht="32.1" customHeight="1">
      <c r="A46" s="89">
        <f t="shared" si="0"/>
        <v>41</v>
      </c>
      <c r="B46" s="179" t="str">
        <f>CONCATENATE(MRS!B46," ",MRS!D46)</f>
        <v xml:space="preserve">Collar Removal Up to 12” </v>
      </c>
      <c r="C46" s="180"/>
      <c r="D46" s="82" t="str">
        <f>+'MRS LIST'!G46</f>
        <v>Per Pipe</v>
      </c>
      <c r="E46" s="83">
        <f>+'MRS LIST'!H46</f>
        <v>1</v>
      </c>
      <c r="F46" s="84">
        <f>+'MRS LIST'!I46</f>
        <v>1800</v>
      </c>
      <c r="G46" s="85">
        <f>+'MRS LIST'!J46</f>
        <v>1800</v>
      </c>
      <c r="H46" s="90"/>
    </row>
    <row r="47" spans="1:8" s="51" customFormat="1" ht="32.1" customHeight="1">
      <c r="A47" s="89">
        <f t="shared" si="0"/>
        <v>42</v>
      </c>
      <c r="B47" s="179" t="str">
        <f>CONCATENATE(MRS!B47," ",MRS!D47)</f>
        <v xml:space="preserve">Collar Removal Up to 18” </v>
      </c>
      <c r="C47" s="180"/>
      <c r="D47" s="82" t="str">
        <f>+'MRS LIST'!G47</f>
        <v>Per Pipe</v>
      </c>
      <c r="E47" s="83">
        <f>+'MRS LIST'!H47</f>
        <v>1</v>
      </c>
      <c r="F47" s="84">
        <f>+'MRS LIST'!I47</f>
        <v>2400</v>
      </c>
      <c r="G47" s="85">
        <f>+'MRS LIST'!J47</f>
        <v>2400</v>
      </c>
      <c r="H47" s="90"/>
    </row>
    <row r="48" spans="1:8" s="51" customFormat="1" ht="32.1" customHeight="1">
      <c r="A48" s="89">
        <f t="shared" si="0"/>
        <v>43</v>
      </c>
      <c r="B48" s="179" t="str">
        <f>CONCATENATE(MRS!B48," ",MRS!D48)</f>
        <v xml:space="preserve">Collar Removal Up to 24” </v>
      </c>
      <c r="C48" s="180"/>
      <c r="D48" s="82" t="str">
        <f>+'MRS LIST'!G48</f>
        <v>Per Pipe</v>
      </c>
      <c r="E48" s="83">
        <f>+'MRS LIST'!H48</f>
        <v>1</v>
      </c>
      <c r="F48" s="84">
        <f>+'MRS LIST'!I48</f>
        <v>3200</v>
      </c>
      <c r="G48" s="85">
        <f>+'MRS LIST'!J48</f>
        <v>3200</v>
      </c>
      <c r="H48" s="90"/>
    </row>
    <row r="49" spans="1:13" s="51" customFormat="1" ht="32.1" customHeight="1">
      <c r="A49" s="89">
        <f t="shared" si="0"/>
        <v>44</v>
      </c>
      <c r="B49" s="179" t="str">
        <f>CONCATENATE(MRS!B49," ",MRS!D49)</f>
        <v xml:space="preserve">Collar Removal Up to 36” </v>
      </c>
      <c r="C49" s="180"/>
      <c r="D49" s="82" t="str">
        <f>+'MRS LIST'!G49</f>
        <v>Per Pipe</v>
      </c>
      <c r="E49" s="83">
        <f>+'MRS LIST'!H49</f>
        <v>1</v>
      </c>
      <c r="F49" s="84">
        <f>+'MRS LIST'!I49</f>
        <v>4500</v>
      </c>
      <c r="G49" s="85">
        <f>+'MRS LIST'!J49</f>
        <v>4500</v>
      </c>
      <c r="H49" s="90"/>
    </row>
    <row r="50" spans="1:13" s="51" customFormat="1" ht="32.1" customHeight="1">
      <c r="A50" s="89">
        <f t="shared" si="0"/>
        <v>45</v>
      </c>
      <c r="B50" s="179" t="str">
        <f>CONCATENATE(MRS!B50," ",MRS!D50)</f>
        <v xml:space="preserve">Mob/Demob Charges to Jafurah </v>
      </c>
      <c r="C50" s="180"/>
      <c r="D50" s="82" t="str">
        <f>+'MRS LIST'!G50</f>
        <v>Per Visit/Inspt.</v>
      </c>
      <c r="E50" s="83">
        <f>+'MRS LIST'!H50</f>
        <v>1</v>
      </c>
      <c r="F50" s="84">
        <f>+'MRS LIST'!I50</f>
        <v>350</v>
      </c>
      <c r="G50" s="85">
        <f>+'MRS LIST'!J50</f>
        <v>350</v>
      </c>
      <c r="H50" s="90"/>
    </row>
    <row r="51" spans="1:13" s="51" customFormat="1" ht="23.1" customHeight="1">
      <c r="A51" s="195" t="s">
        <v>79</v>
      </c>
      <c r="B51" s="196"/>
      <c r="C51" s="196"/>
      <c r="D51" s="196"/>
      <c r="E51" s="196"/>
      <c r="F51" s="196"/>
      <c r="G51" s="54">
        <f>SUM(G6:G50)</f>
        <v>56370</v>
      </c>
      <c r="H51" s="55"/>
    </row>
    <row r="52" spans="1:13" s="51" customFormat="1" ht="23.1" customHeight="1">
      <c r="A52" s="195" t="s">
        <v>42</v>
      </c>
      <c r="B52" s="196"/>
      <c r="C52" s="196"/>
      <c r="D52" s="196"/>
      <c r="E52" s="196"/>
      <c r="F52" s="196"/>
      <c r="G52" s="54">
        <f>+G51*0.15</f>
        <v>8455.5</v>
      </c>
      <c r="H52" s="55"/>
    </row>
    <row r="53" spans="1:13" s="51" customFormat="1" ht="24.95" customHeight="1" thickBot="1">
      <c r="A53" s="197" t="s">
        <v>80</v>
      </c>
      <c r="B53" s="198"/>
      <c r="C53" s="198"/>
      <c r="D53" s="198"/>
      <c r="E53" s="198"/>
      <c r="F53" s="198"/>
      <c r="G53" s="56">
        <f>G52+G51</f>
        <v>64825.5</v>
      </c>
      <c r="H53" s="57"/>
    </row>
    <row r="54" spans="1:13" ht="15.75" thickTop="1">
      <c r="A54" s="58" t="str">
        <f>" 1) Above Price are as per your quotation with ref "&amp;'PO 1st page'!K14</f>
        <v xml:space="preserve"> 1) Above Price are as per your quotation with ref QTN-2051-26-TCR</v>
      </c>
      <c r="B54" s="59"/>
      <c r="C54" s="59"/>
      <c r="D54" s="60"/>
      <c r="E54" s="60"/>
      <c r="F54" s="60"/>
      <c r="G54" s="60"/>
      <c r="H54" s="60"/>
    </row>
    <row r="55" spans="1:13" ht="15">
      <c r="A55" s="61" t="s">
        <v>81</v>
      </c>
      <c r="B55" s="62"/>
      <c r="C55" s="62"/>
      <c r="D55" s="63"/>
      <c r="E55" s="63"/>
      <c r="F55" s="63"/>
      <c r="G55" s="63"/>
      <c r="H55" s="63"/>
      <c r="I55" s="64"/>
    </row>
    <row r="56" spans="1:13" ht="15.75">
      <c r="A56" s="65"/>
    </row>
    <row r="57" spans="1:13">
      <c r="A57" s="124" t="s">
        <v>82</v>
      </c>
      <c r="B57" s="124"/>
      <c r="C57" s="124"/>
      <c r="D57" s="124"/>
      <c r="E57" s="124"/>
      <c r="F57" s="124"/>
      <c r="G57" s="124"/>
      <c r="H57" s="124"/>
      <c r="I57" s="66"/>
      <c r="J57" s="66"/>
      <c r="K57" s="66"/>
      <c r="L57" s="66"/>
      <c r="M57" s="66"/>
    </row>
    <row r="58" spans="1:13" ht="15.75">
      <c r="A58" s="65"/>
      <c r="C58" s="67"/>
    </row>
    <row r="59" spans="1:13" ht="15.75">
      <c r="A59" s="65"/>
      <c r="C59" s="67"/>
    </row>
    <row r="61" spans="1:13" ht="12" customHeight="1"/>
  </sheetData>
  <mergeCells count="57">
    <mergeCell ref="A51:F51"/>
    <mergeCell ref="A52:F52"/>
    <mergeCell ref="A53:F53"/>
    <mergeCell ref="A57:H57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8:C48"/>
    <mergeCell ref="B49:C49"/>
    <mergeCell ref="B50:C50"/>
    <mergeCell ref="B43:C43"/>
    <mergeCell ref="B44:C44"/>
    <mergeCell ref="B45:C45"/>
    <mergeCell ref="B46:C46"/>
    <mergeCell ref="B47:C47"/>
  </mergeCells>
  <phoneticPr fontId="7" type="noConversion"/>
  <printOptions horizontalCentered="1"/>
  <pageMargins left="0.39370078740157499" right="0.39370078740157499" top="0.39370078740157499" bottom="0.39370078740157499" header="0" footer="0"/>
  <pageSetup paperSize="9" scale="70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2026-09-10T13:21:05Z</cp:lastPrinted>
  <dcterms:created xsi:type="dcterms:W3CDTF">2024-10-20T11:50:19Z</dcterms:created>
  <dcterms:modified xsi:type="dcterms:W3CDTF">2026-09-10T13:22:15Z</dcterms:modified>
</cp:coreProperties>
</file>