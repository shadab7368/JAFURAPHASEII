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5F0CEA96-FB02-44E8-82D6-C161C35686C5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B7" i="4"/>
  <c r="J10" i="1"/>
  <c r="J9" i="1"/>
  <c r="J8" i="1"/>
  <c r="J7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<sst xmlns="http://schemas.openxmlformats.org/spreadsheetml/2006/main" count="165" uniqueCount="124">
  <si>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</si>
  <si>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</si>
  <si>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</si>
  <si>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</si>
  <si>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</si>
  <si>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</si>
  <si>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</si>
  <si>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</si>
  <si>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</si>
  <si>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</si>
  <si>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</si>
  <si>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</si>
  <si>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</si>
  <si>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</si>
  <si>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</si>
  <si>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</si>
  <si>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</si>
  <si>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</si>
  <si>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</si>
  <si>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</si>
  <si>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</si>
  <si>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</si>
  <si>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</si>
  <si>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</si>
  <si>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</si>
  <si>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</si>
  <si>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</si>
  <si>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</si>
  <si>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</si>
  <si>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</si>
  <si>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</si>
  <si>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</si>
  <si>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</si>
  <si>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</si>
  <si>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</si>
  <si>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</si>
  <si>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</si>
  <si>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</si>
  <si>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</si>
  <si>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</si>
  <si>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</si>
  <si>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</si>
  <si>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</si>
  <si>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</si>
  <si>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</si>
  <si>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</si>
  <si>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</si>
  <si>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</si>
  <si>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</si>
  <si>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</si>
  <si>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</si>
  <si>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</si>
  <si>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</si>
  <si>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</si>
  <si>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</si>
  <si>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</si>
  <si>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</si>
  <si>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</si>
  <si>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</si>
  <si>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</si>
  <si>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</si>
  <si>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</si>
  <si>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</si>
  <si>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</si>
  <si>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</si>
  <si>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</si>
  <si>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</si>
  <si>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</si>
  <si>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</si>
  <si>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</si>
  <si>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</si>
  <si>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</si>
  <si>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</si>
  <si>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</si>
  <si>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</si>
  <si>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</si>
  <si>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</si>
  <si>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</si>
  <si>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</si>
  <si>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</si>
  <si>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</si>
  <si>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</si>
  <si>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</si>
  <si>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</si>
  <si>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</si>
  <si>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</si>
  <si>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</si>
  <si>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</si>
  <si>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</si>
  <si>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</si>
  <si>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</si>
  <si>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</si>
  <si>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</si>
  <si>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</si>
  <si>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</si>
  <si>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</si>
  <si>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</si>
  <si>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</si>
  <si>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Manager</t>
  </si>
  <si>
    <t>ATGC</t>
  </si>
  <si>
    <t>300900558400003</t>
  </si>
  <si>
    <t>Abdulla Muhaf</t>
  </si>
  <si>
    <t>+966 59 5245015 / Email:info@alrmoozsa.com</t>
  </si>
  <si>
    <t>P.O. Box 2746, Al-Jubail 31951</t>
  </si>
  <si>
    <t>Landline : +99 13 8022775. : Mobile : +966 595245015</t>
  </si>
  <si>
    <t>ATGC(Alrmooz Technical for General Contracting Est.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</si>
  <si>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</si>
  <si>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</si>
  <si>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</si>
  <si>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</si>
  <si>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-MRS-0071</t>
    </r>
  </si>
  <si>
    <t>Trash Bin</t>
  </si>
  <si>
    <t>Ice Box Keep Cold</t>
  </si>
  <si>
    <t>Flag 1Mtr</t>
  </si>
  <si>
    <t>120 ltr</t>
  </si>
  <si>
    <t>127 ltr</t>
  </si>
  <si>
    <t>Green Color</t>
  </si>
  <si>
    <t>Yellow Color</t>
  </si>
  <si>
    <t>Orange Color</t>
  </si>
  <si>
    <t>Red Color</t>
  </si>
  <si>
    <t>QUO-MAT-25051103</t>
  </si>
  <si>
    <t>Trash Bin, Ice Box &amp; Flag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</si>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</sst>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topLeftCell="A2" zoomScale="95" zoomScaleNormal="95" zoomScaleSheetLayoutView="95" workbookViewId="0">
      <selection activeCell="P19" activeCellId="1" sqref="P10 P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108</v>
      </c>
      <c r="B1" s="109"/>
      <c r="C1" s="109"/>
      <c r="D1" s="109"/>
      <c r="E1" s="109"/>
      <c r="F1" s="109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0"/>
      <c r="C2" s="100"/>
      <c r="D2" s="3" t="s">
        <v>107</v>
      </c>
      <c r="E2" s="100"/>
      <c r="F2" s="100"/>
      <c r="G2" s="100"/>
      <c r="H2" s="100"/>
      <c r="I2" s="4"/>
      <c r="J2" s="144" t="s">
        <v>106</v>
      </c>
      <c r="K2" s="145"/>
      <c r="L2" s="146"/>
    </row>
    <row r="3" spans="1:19" ht="20.100000000000001" customHeight="1">
      <c r="A3" s="3" t="s">
        <v>110</v>
      </c>
      <c r="B3" s="100"/>
      <c r="C3" s="100"/>
      <c r="D3" s="100"/>
      <c r="E3" s="147">
        <f>+L3</f>
        <v>45789</v>
      </c>
      <c r="F3" s="147"/>
      <c r="G3" s="147"/>
      <c r="H3" s="147"/>
      <c r="I3" s="147"/>
      <c r="J3" s="100"/>
      <c r="K3" s="100"/>
      <c r="L3" s="121">
        <v>45789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111</v>
      </c>
      <c r="C6" s="130"/>
      <c r="D6" s="131" t="s">
        <v>114</v>
      </c>
      <c r="E6" s="132"/>
      <c r="F6" s="133"/>
      <c r="G6" s="110" t="s">
        <v>97</v>
      </c>
      <c r="H6" s="111">
        <v>2</v>
      </c>
      <c r="I6" s="112">
        <v>135</v>
      </c>
      <c r="J6" s="112">
        <f>H6*I6</f>
        <v>270</v>
      </c>
      <c r="K6" s="113" t="s">
        <v>99</v>
      </c>
      <c r="L6" s="114"/>
      <c r="S6" s="105"/>
    </row>
    <row r="7" spans="1:19" ht="22.5" customHeight="1">
      <c r="A7" s="5">
        <f t="shared" si="0"/>
        <v>2</v>
      </c>
      <c r="B7" s="129" t="s">
        <v>112</v>
      </c>
      <c r="C7" s="130"/>
      <c r="D7" s="140" t="s">
        <v>115</v>
      </c>
      <c r="E7" s="132"/>
      <c r="F7" s="133"/>
      <c r="G7" s="110" t="s">
        <v>97</v>
      </c>
      <c r="H7" s="111">
        <v>1</v>
      </c>
      <c r="I7" s="112">
        <v>390</v>
      </c>
      <c r="J7" s="112">
        <f t="shared" ref="J7:J10" si="1">H7*I7</f>
        <v>390</v>
      </c>
      <c r="K7" s="113"/>
      <c r="L7" s="114"/>
      <c r="S7" s="105"/>
    </row>
    <row r="8" spans="1:19" ht="22.5" customHeight="1">
      <c r="A8" s="5">
        <f t="shared" si="0"/>
        <v>3</v>
      </c>
      <c r="B8" s="129" t="s">
        <v>113</v>
      </c>
      <c r="C8" s="130"/>
      <c r="D8" s="131" t="s">
        <v>116</v>
      </c>
      <c r="E8" s="132"/>
      <c r="F8" s="133"/>
      <c r="G8" s="110" t="s">
        <v>97</v>
      </c>
      <c r="H8" s="111">
        <v>10</v>
      </c>
      <c r="I8" s="112">
        <v>18</v>
      </c>
      <c r="J8" s="112">
        <f t="shared" si="1"/>
        <v>180</v>
      </c>
      <c r="K8" s="113"/>
      <c r="L8" s="114"/>
      <c r="S8" s="105"/>
    </row>
    <row r="9" spans="1:19" ht="22.5" customHeight="1">
      <c r="A9" s="5">
        <f t="shared" si="0"/>
        <v>4</v>
      </c>
      <c r="B9" s="129" t="s">
        <v>113</v>
      </c>
      <c r="C9" s="130"/>
      <c r="D9" s="131" t="s">
        <v>117</v>
      </c>
      <c r="E9" s="132"/>
      <c r="F9" s="133"/>
      <c r="G9" s="110" t="s">
        <v>97</v>
      </c>
      <c r="H9" s="111">
        <v>10</v>
      </c>
      <c r="I9" s="112">
        <v>18</v>
      </c>
      <c r="J9" s="112">
        <f t="shared" si="1"/>
        <v>180</v>
      </c>
      <c r="K9" s="113"/>
      <c r="L9" s="114"/>
      <c r="S9" s="105"/>
    </row>
    <row r="10" spans="1:19" ht="22.5" customHeight="1">
      <c r="A10" s="5">
        <f t="shared" si="0"/>
        <v>5</v>
      </c>
      <c r="B10" s="129" t="s">
        <v>113</v>
      </c>
      <c r="C10" s="130"/>
      <c r="D10" s="139" t="s">
        <v>118</v>
      </c>
      <c r="E10" s="139"/>
      <c r="F10" s="139"/>
      <c r="G10" s="110" t="s">
        <v>97</v>
      </c>
      <c r="H10" s="111">
        <v>10</v>
      </c>
      <c r="I10" s="112">
        <v>18</v>
      </c>
      <c r="J10" s="112">
        <f t="shared" si="1"/>
        <v>180</v>
      </c>
      <c r="K10" s="113"/>
      <c r="L10" s="110"/>
      <c r="S10" s="105"/>
    </row>
    <row r="11" spans="1:19" ht="22.5" customHeight="1">
      <c r="A11" s="5">
        <f t="shared" si="0"/>
        <v>6</v>
      </c>
      <c r="B11" s="129" t="s">
        <v>113</v>
      </c>
      <c r="C11" s="130"/>
      <c r="D11" s="131" t="s">
        <v>119</v>
      </c>
      <c r="E11" s="132"/>
      <c r="F11" s="133"/>
      <c r="G11" s="110" t="s">
        <v>97</v>
      </c>
      <c r="H11" s="111">
        <v>10</v>
      </c>
      <c r="I11" s="112">
        <v>18</v>
      </c>
      <c r="J11" s="112">
        <f t="shared" ref="J11" si="2">H11*I11</f>
        <v>180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1380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SAC2-DS-MRS-0071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45789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Trash Bin</v>
      </c>
      <c r="C6" s="166"/>
      <c r="D6" s="167" t="str">
        <f>MRS!D6</f>
        <v>120 ltr</v>
      </c>
      <c r="E6" s="168"/>
      <c r="F6" s="169"/>
      <c r="G6" s="102" t="str">
        <f>MRS!G6</f>
        <v>EA</v>
      </c>
      <c r="H6" s="102">
        <f>MRS!H6</f>
        <v>2</v>
      </c>
      <c r="I6" s="103">
        <f>MRS!I6</f>
        <v>135</v>
      </c>
      <c r="J6" s="103">
        <f>MRS!J6</f>
        <v>270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 t="str">
        <f>MRS!B7</f>
        <v>Ice Box Keep Cold</v>
      </c>
      <c r="C7" s="166"/>
      <c r="D7" s="167" t="str">
        <f>MRS!D7</f>
        <v>127 ltr</v>
      </c>
      <c r="E7" s="168"/>
      <c r="F7" s="169"/>
      <c r="G7" s="102" t="str">
        <f>MRS!G7</f>
        <v>EA</v>
      </c>
      <c r="H7" s="102">
        <f>MRS!H7</f>
        <v>1</v>
      </c>
      <c r="I7" s="103">
        <f>MRS!I7</f>
        <v>390</v>
      </c>
      <c r="J7" s="103">
        <f>MRS!J7</f>
        <v>390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 t="str">
        <f>MRS!B8</f>
        <v>Flag 1Mtr</v>
      </c>
      <c r="C8" s="166"/>
      <c r="D8" s="167" t="str">
        <f>MRS!D8</f>
        <v>Green Color</v>
      </c>
      <c r="E8" s="168"/>
      <c r="F8" s="169"/>
      <c r="G8" s="102" t="str">
        <f>MRS!G8</f>
        <v>EA</v>
      </c>
      <c r="H8" s="102">
        <f>MRS!H8</f>
        <v>10</v>
      </c>
      <c r="I8" s="103">
        <f>MRS!I8</f>
        <v>18</v>
      </c>
      <c r="J8" s="103">
        <f>MRS!J8</f>
        <v>180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 t="str">
        <f>MRS!B9</f>
        <v>Flag 1Mtr</v>
      </c>
      <c r="C9" s="166"/>
      <c r="D9" s="167" t="str">
        <f>MRS!D9</f>
        <v>Yellow Color</v>
      </c>
      <c r="E9" s="168"/>
      <c r="F9" s="169"/>
      <c r="G9" s="102" t="str">
        <f>MRS!G9</f>
        <v>EA</v>
      </c>
      <c r="H9" s="102">
        <f>MRS!H9</f>
        <v>10</v>
      </c>
      <c r="I9" s="103">
        <f>MRS!I9</f>
        <v>18</v>
      </c>
      <c r="J9" s="103">
        <f>MRS!J9</f>
        <v>180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 t="str">
        <f>MRS!B10</f>
        <v>Flag 1Mtr</v>
      </c>
      <c r="C10" s="166"/>
      <c r="D10" s="167" t="str">
        <f>MRS!D10</f>
        <v>Orange Color</v>
      </c>
      <c r="E10" s="168"/>
      <c r="F10" s="169"/>
      <c r="G10" s="102" t="str">
        <f>MRS!G10</f>
        <v>EA</v>
      </c>
      <c r="H10" s="102">
        <f>MRS!H10</f>
        <v>10</v>
      </c>
      <c r="I10" s="103">
        <f>MRS!I10</f>
        <v>18</v>
      </c>
      <c r="J10" s="103">
        <f>MRS!J10</f>
        <v>180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 t="str">
        <f>MRS!B11</f>
        <v>Flag 1Mtr</v>
      </c>
      <c r="C11" s="166"/>
      <c r="D11" s="167" t="str">
        <f>MRS!D11</f>
        <v>Red Color</v>
      </c>
      <c r="E11" s="168"/>
      <c r="F11" s="169"/>
      <c r="G11" s="102" t="str">
        <f>MRS!G11</f>
        <v>EA</v>
      </c>
      <c r="H11" s="102">
        <f>MRS!H11</f>
        <v>10</v>
      </c>
      <c r="I11" s="103">
        <f>MRS!I11</f>
        <v>18</v>
      </c>
      <c r="J11" s="103">
        <f>MRS!J11</f>
        <v>180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6" zoomScale="130" zoomScaleNormal="100" zoomScaleSheetLayoutView="130" workbookViewId="0">
      <selection activeCell="F68" sqref="F6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105</v>
      </c>
      <c r="D9" s="38"/>
      <c r="E9" s="38"/>
    </row>
    <row r="10" spans="2:13" s="38" customFormat="1">
      <c r="B10" s="71"/>
      <c r="C10" s="38" t="s">
        <v>32</v>
      </c>
      <c r="D10" s="75">
        <v>2053026325</v>
      </c>
      <c r="J10" s="38" t="s">
        <v>33</v>
      </c>
      <c r="K10" s="173">
        <f>MRS!L3</f>
        <v>45789</v>
      </c>
      <c r="L10" s="174"/>
      <c r="M10" s="174"/>
    </row>
    <row r="11" spans="2:13" s="38" customFormat="1">
      <c r="B11" s="71"/>
      <c r="C11" s="74" t="s">
        <v>34</v>
      </c>
      <c r="D11" s="75" t="s">
        <v>100</v>
      </c>
      <c r="J11" s="38" t="s">
        <v>35</v>
      </c>
      <c r="K11" s="175" t="str">
        <f>SUBSTITUTE(SUBSTITUTE(+MRS!A3,"  MRS No : ",""),"-MRS","-PO")</f>
        <v>SAC2-DS-PO-0071</v>
      </c>
      <c r="L11" s="175"/>
      <c r="M11" s="175"/>
    </row>
    <row r="12" spans="2:13" s="38" customFormat="1">
      <c r="B12" s="71"/>
      <c r="C12" s="74" t="s">
        <v>36</v>
      </c>
      <c r="D12" s="38" t="s">
        <v>101</v>
      </c>
      <c r="J12" s="38" t="s">
        <v>37</v>
      </c>
    </row>
    <row r="13" spans="2:13" s="38" customFormat="1">
      <c r="B13" s="71"/>
      <c r="C13" s="76"/>
      <c r="D13" s="75" t="s">
        <v>102</v>
      </c>
      <c r="J13" s="38" t="s">
        <v>38</v>
      </c>
    </row>
    <row r="14" spans="2:13" s="38" customFormat="1">
      <c r="B14" s="71"/>
      <c r="C14" s="76" t="s">
        <v>103</v>
      </c>
      <c r="J14" s="38" t="s">
        <v>39</v>
      </c>
      <c r="K14" s="38" t="s">
        <v>120</v>
      </c>
    </row>
    <row r="15" spans="2:13" s="38" customFormat="1">
      <c r="B15" s="71"/>
      <c r="C15" s="76" t="s">
        <v>104</v>
      </c>
      <c r="J15" s="38" t="s">
        <v>40</v>
      </c>
      <c r="K15" s="77">
        <v>45788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121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>
        <f>'PO 2nd page'!G18</f>
        <v>1380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>
        <f>'PO 2nd page'!G19</f>
        <v>207</v>
      </c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>
        <f>'PO 2nd page'!G20</f>
        <v>1587</v>
      </c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109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Abdulla Muhaf</v>
      </c>
    </row>
    <row r="60" spans="1:16" ht="18" customHeight="1">
      <c r="B60" s="26" t="s">
        <v>71</v>
      </c>
      <c r="J60" s="26" t="s">
        <v>72</v>
      </c>
      <c r="K60" s="22" t="s">
        <v>98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123</v>
      </c>
      <c r="J62" s="180" t="str">
        <f>C9</f>
        <v>ATGC(Alrmooz Technical for General Contracting Est.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4" sqref="B14:C14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SAC2-DS-PO-0071</v>
      </c>
      <c r="C2" s="189" t="s">
        <v>77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45789</v>
      </c>
      <c r="C3" s="50"/>
      <c r="D3" s="51"/>
      <c r="E3" s="190" t="s">
        <v>79</v>
      </c>
      <c r="F3" s="190"/>
      <c r="G3" s="190"/>
      <c r="H3" s="190"/>
      <c r="I3" s="52"/>
    </row>
    <row r="4" spans="1:13" s="54" customFormat="1" ht="28.5" customHeight="1" thickTop="1">
      <c r="A4" s="191" t="s">
        <v>80</v>
      </c>
      <c r="B4" s="193" t="s">
        <v>81</v>
      </c>
      <c r="C4" s="194"/>
      <c r="D4" s="197" t="s">
        <v>82</v>
      </c>
      <c r="E4" s="197" t="s">
        <v>83</v>
      </c>
      <c r="F4" s="199" t="str">
        <f>'PO 1st page'!C9</f>
        <v>ATGC(Alrmooz Technical for General Contracting Est.</v>
      </c>
      <c r="G4" s="200"/>
      <c r="H4" s="201" t="s">
        <v>84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85</v>
      </c>
      <c r="G5" s="56" t="s">
        <v>51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+'MRS LIST'!B6</f>
        <v>Trash Bin</v>
      </c>
      <c r="C6" s="188"/>
      <c r="D6" s="85" t="str">
        <f>+'MRS LIST'!G6</f>
        <v>EA</v>
      </c>
      <c r="E6" s="86">
        <f>+'MRS LIST'!H6</f>
        <v>2</v>
      </c>
      <c r="F6" s="87">
        <f>+'MRS LIST'!I6</f>
        <v>135</v>
      </c>
      <c r="G6" s="88">
        <f>+'MRS LIST'!J6</f>
        <v>270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7" t="str">
        <f>+'MRS LIST'!B7</f>
        <v>Ice Box Keep Cold</v>
      </c>
      <c r="C7" s="188"/>
      <c r="D7" s="85" t="str">
        <f>+'MRS LIST'!G7</f>
        <v>EA</v>
      </c>
      <c r="E7" s="86">
        <f>+'MRS LIST'!H7</f>
        <v>1</v>
      </c>
      <c r="F7" s="87">
        <f>+'MRS LIST'!I7</f>
        <v>390</v>
      </c>
      <c r="G7" s="88">
        <f>+'MRS LIST'!J7</f>
        <v>390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 t="str">
        <f>+'MRS LIST'!B8&amp;" "&amp;MRS!D8</f>
        <v>Flag 1Mtr Green Color</v>
      </c>
      <c r="C8" s="188"/>
      <c r="D8" s="85" t="str">
        <f>+'MRS LIST'!G8</f>
        <v>EA</v>
      </c>
      <c r="E8" s="86">
        <f>+'MRS LIST'!H8</f>
        <v>10</v>
      </c>
      <c r="F8" s="87">
        <f>+'MRS LIST'!I8</f>
        <v>18</v>
      </c>
      <c r="G8" s="88">
        <f>+'MRS LIST'!J8</f>
        <v>180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 t="str">
        <f>+'MRS LIST'!B9&amp;" "&amp;MRS!D9</f>
        <v>Flag 1Mtr Yellow Color</v>
      </c>
      <c r="C9" s="188"/>
      <c r="D9" s="85" t="str">
        <f>+'MRS LIST'!G9</f>
        <v>EA</v>
      </c>
      <c r="E9" s="86">
        <f>+'MRS LIST'!H9</f>
        <v>10</v>
      </c>
      <c r="F9" s="87">
        <f>+'MRS LIST'!I9</f>
        <v>18</v>
      </c>
      <c r="G9" s="88">
        <f>+'MRS LIST'!J9</f>
        <v>180</v>
      </c>
      <c r="H9" s="97"/>
    </row>
    <row r="10" spans="1:13" s="54" customFormat="1" ht="32.1" customHeight="1">
      <c r="A10" s="92">
        <f t="shared" si="0"/>
        <v>5</v>
      </c>
      <c r="B10" s="187" t="str">
        <f>+'MRS LIST'!B10&amp;" "&amp;MRS!D10</f>
        <v>Flag 1Mtr Orange Color</v>
      </c>
      <c r="C10" s="188"/>
      <c r="D10" s="85" t="str">
        <f>+'MRS LIST'!G10</f>
        <v>EA</v>
      </c>
      <c r="E10" s="86">
        <f>+'MRS LIST'!H10</f>
        <v>10</v>
      </c>
      <c r="F10" s="87">
        <f>+'MRS LIST'!I10</f>
        <v>18</v>
      </c>
      <c r="G10" s="88">
        <f>+'MRS LIST'!J10</f>
        <v>180</v>
      </c>
      <c r="H10" s="97"/>
    </row>
    <row r="11" spans="1:13" s="54" customFormat="1" ht="32.1" customHeight="1">
      <c r="A11" s="92">
        <f t="shared" si="0"/>
        <v>6</v>
      </c>
      <c r="B11" s="187" t="str">
        <f>+'MRS LIST'!B11&amp;" "&amp;MRS!D11</f>
        <v>Flag 1Mtr Red Color</v>
      </c>
      <c r="C11" s="188"/>
      <c r="D11" s="85" t="str">
        <f>+'MRS LIST'!G11</f>
        <v>EA</v>
      </c>
      <c r="E11" s="86">
        <f>+'MRS LIST'!H11</f>
        <v>10</v>
      </c>
      <c r="F11" s="87">
        <f>+'MRS LIST'!I11</f>
        <v>18</v>
      </c>
      <c r="G11" s="88">
        <f>+'MRS LIST'!J11</f>
        <v>180</v>
      </c>
      <c r="H11" s="97"/>
    </row>
    <row r="12" spans="1:13" s="54" customFormat="1" ht="32.1" customHeight="1">
      <c r="A12" s="92">
        <f t="shared" si="0"/>
        <v>7</v>
      </c>
      <c r="B12" s="187"/>
      <c r="C12" s="188"/>
      <c r="D12" s="85"/>
      <c r="E12" s="86"/>
      <c r="F12" s="87"/>
      <c r="G12" s="88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86</v>
      </c>
      <c r="B18" s="182"/>
      <c r="C18" s="182"/>
      <c r="D18" s="182"/>
      <c r="E18" s="182"/>
      <c r="F18" s="182"/>
      <c r="G18" s="57">
        <f>SUM(G6:G17)</f>
        <v>1380</v>
      </c>
      <c r="H18" s="58"/>
    </row>
    <row r="19" spans="1:13" s="54" customFormat="1" ht="23.1" customHeight="1">
      <c r="A19" s="181" t="s">
        <v>50</v>
      </c>
      <c r="B19" s="182"/>
      <c r="C19" s="182"/>
      <c r="D19" s="182"/>
      <c r="E19" s="182"/>
      <c r="F19" s="182"/>
      <c r="G19" s="57">
        <f>+G18*0.15</f>
        <v>207</v>
      </c>
      <c r="H19" s="58"/>
    </row>
    <row r="20" spans="1:13" s="54" customFormat="1" ht="24.95" customHeight="1" thickBot="1">
      <c r="A20" s="183" t="s">
        <v>87</v>
      </c>
      <c r="B20" s="184"/>
      <c r="C20" s="184"/>
      <c r="D20" s="184"/>
      <c r="E20" s="184"/>
      <c r="F20" s="184"/>
      <c r="G20" s="59">
        <f>G19+G18</f>
        <v>1587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QUO-MAT-25051103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2025-05-12T05:21:02Z</cp:lastPrinted>
  <dcterms:created xsi:type="dcterms:W3CDTF">2024-10-20T11:50:19Z</dcterms:created>
  <dcterms:modified xsi:type="dcterms:W3CDTF">2025-05-12T05:23:17Z</dcterms:modified>
</cp:coreProperties>
</file>