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E7CA65F-B0A8-443C-BAAB-A41311D9D1EB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4" l="1"/>
  <c r="E7" i="4"/>
  <c r="F7" i="4"/>
  <c r="G7" i="4"/>
  <c r="D8" i="4"/>
  <c r="E8" i="4"/>
  <c r="F8" i="4"/>
  <c r="G8" i="4"/>
  <c r="B7" i="4"/>
  <c r="B8" i="4"/>
  <c r="J8" i="1"/>
  <c r="J7" i="1"/>
  <c r="B6" i="4"/>
  <c r="K59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<sst xmlns="http://schemas.openxmlformats.org/spreadsheetml/2006/main" count="162" uniqueCount="123">
  <si>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</si>
  <si>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</si>
  <si>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</si>
  <si>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</si>
  <si>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</si>
  <si>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</si>
  <si>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</si>
  <si>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</si>
  <si>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</si>
  <si>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</si>
  <si>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</si>
  <si>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</si>
  <si>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</si>
  <si>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</si>
  <si>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</si>
  <si>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</si>
  <si>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</si>
  <si>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</si>
  <si>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</si>
  <si>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</si>
  <si>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</si>
  <si>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</si>
  <si>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</si>
  <si>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</si>
  <si>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</si>
  <si>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</si>
  <si>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</si>
  <si>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</si>
  <si>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</si>
  <si>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</si>
  <si>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</si>
  <si>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</si>
  <si>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</si>
  <si>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</si>
  <si>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</si>
  <si>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</si>
  <si>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</si>
  <si>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</si>
  <si>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</si>
  <si>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</si>
  <si>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</si>
  <si>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</si>
  <si>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</si>
  <si>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</si>
  <si>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</si>
  <si>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</si>
  <si>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</si>
  <si>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</si>
  <si>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</si>
  <si>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</si>
  <si>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</si>
  <si>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</si>
  <si>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</si>
  <si>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</si>
  <si>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</si>
  <si>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</si>
  <si>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</si>
  <si>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</si>
  <si>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</si>
  <si>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</si>
  <si>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</si>
  <si>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</si>
  <si>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</si>
  <si>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</si>
  <si>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</si>
  <si>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</si>
  <si>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</si>
  <si>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</si>
  <si>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</si>
  <si>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</si>
  <si>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</si>
  <si>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</si>
  <si>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</si>
  <si>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</si>
  <si>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</si>
  <si>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</si>
  <si>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</si>
  <si>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</si>
  <si>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</si>
  <si>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</si>
  <si>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</si>
  <si>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</si>
  <si>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</si>
  <si>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</si>
  <si>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</si>
  <si>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</si>
  <si>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</si>
  <si>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</si>
  <si>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</si>
  <si>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</si>
  <si>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</si>
  <si>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</si>
  <si>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</si>
  <si>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</si>
  <si>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</si>
  <si>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</si>
  <si>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</si>
  <si>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</si>
  <si>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</si>
  <si>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</si>
  <si>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</si>
  <si>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Aramco Approved &amp; CBT Passed</t>
  </si>
  <si>
    <t>■ Purchase Requisition of Material / Manpower / Equipment Rental / ETC.</t>
  </si>
  <si>
    <t>Monthly Based</t>
  </si>
  <si>
    <t>Branch of Hyundai Engineering and Const. Co., Ltd. (HDEC)</t>
  </si>
  <si>
    <t>BRANCH OF HYUNDAI ENG. &amp; CONST. CO., LTD.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</si>
  <si>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-MRS-0148</t>
    </r>
  </si>
  <si>
    <t>QC Supervisor Welding</t>
  </si>
  <si>
    <t>Aramco Approved with CBT</t>
  </si>
  <si>
    <t>ALRWAD</t>
  </si>
  <si>
    <t>QC Inspector Welding</t>
  </si>
  <si>
    <t>"</t>
  </si>
  <si>
    <t>QC Inspector Piping</t>
  </si>
  <si>
    <t>HEC/QT/923775/Rev-03</t>
  </si>
  <si>
    <t>ALRWAD(Al Rwad Al Mohtarifeen Gen. Cont.Co.)</t>
  </si>
  <si>
    <t>2051058983</t>
  </si>
  <si>
    <t>310013749500003</t>
  </si>
  <si>
    <t>Murali Krishnan</t>
  </si>
  <si>
    <t>+966 (13) 8994996 / Email: info@rwad.org</t>
  </si>
  <si>
    <t>Building No. 6329, Al Shamaliyah Dist. 34429 Al Khobar, KSA</t>
  </si>
  <si>
    <t>Mobile :</t>
  </si>
  <si>
    <t>QCS &amp; QCI Welding, QCI Piping</t>
  </si>
  <si>
    <t>General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</si>
</sst>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1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B8" sqref="B8:C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102</v>
      </c>
      <c r="B1" s="110"/>
      <c r="C1" s="110"/>
      <c r="D1" s="110"/>
      <c r="E1" s="110"/>
      <c r="F1" s="110"/>
      <c r="G1" s="1"/>
      <c r="J1" s="126" t="s">
        <v>90</v>
      </c>
      <c r="K1" s="127"/>
      <c r="L1" s="128"/>
    </row>
    <row r="2" spans="1:19" ht="20.100000000000001" customHeight="1">
      <c r="A2" s="3" t="s">
        <v>1</v>
      </c>
      <c r="B2" s="101"/>
      <c r="C2" s="101"/>
      <c r="D2" s="3" t="s">
        <v>98</v>
      </c>
      <c r="E2" s="101"/>
      <c r="F2" s="101"/>
      <c r="G2" s="101"/>
      <c r="H2" s="101"/>
      <c r="I2" s="4"/>
      <c r="J2" s="129" t="s">
        <v>100</v>
      </c>
      <c r="K2" s="130"/>
      <c r="L2" s="131"/>
    </row>
    <row r="3" spans="1:19" ht="20.100000000000001" customHeight="1">
      <c r="A3" s="3" t="s">
        <v>106</v>
      </c>
      <c r="B3" s="101"/>
      <c r="C3" s="101"/>
      <c r="D3" s="101"/>
      <c r="E3" s="132">
        <f>+L3</f>
        <v>45956</v>
      </c>
      <c r="F3" s="132"/>
      <c r="G3" s="132"/>
      <c r="H3" s="132"/>
      <c r="I3" s="132"/>
      <c r="J3" s="101"/>
      <c r="K3" s="101"/>
      <c r="L3" s="122">
        <v>45956</v>
      </c>
      <c r="M3" s="4"/>
    </row>
    <row r="4" spans="1:19" ht="15.95" customHeight="1">
      <c r="A4" s="133" t="s">
        <v>2</v>
      </c>
      <c r="B4" s="134" t="s">
        <v>3</v>
      </c>
      <c r="C4" s="134"/>
      <c r="D4" s="135" t="s">
        <v>4</v>
      </c>
      <c r="E4" s="136"/>
      <c r="F4" s="137"/>
      <c r="G4" s="141" t="s">
        <v>5</v>
      </c>
      <c r="H4" s="143" t="s">
        <v>6</v>
      </c>
      <c r="I4" s="143" t="s">
        <v>95</v>
      </c>
      <c r="J4" s="133" t="s">
        <v>96</v>
      </c>
      <c r="K4" s="143" t="s">
        <v>0</v>
      </c>
      <c r="L4" s="134" t="s">
        <v>7</v>
      </c>
    </row>
    <row r="5" spans="1:19" ht="15.95" customHeight="1">
      <c r="A5" s="133"/>
      <c r="B5" s="134"/>
      <c r="C5" s="134"/>
      <c r="D5" s="138"/>
      <c r="E5" s="139"/>
      <c r="F5" s="140"/>
      <c r="G5" s="142"/>
      <c r="H5" s="144"/>
      <c r="I5" s="144"/>
      <c r="J5" s="133"/>
      <c r="K5" s="144"/>
      <c r="L5" s="134"/>
    </row>
    <row r="6" spans="1:19" ht="22.5" customHeight="1">
      <c r="A6" s="5">
        <f t="shared" ref="A6:A15" si="0">ROW(A1)</f>
        <v>1</v>
      </c>
      <c r="B6" s="145" t="s">
        <v>107</v>
      </c>
      <c r="C6" s="146"/>
      <c r="D6" s="147" t="s">
        <v>108</v>
      </c>
      <c r="E6" s="148"/>
      <c r="F6" s="149"/>
      <c r="G6" s="111" t="s">
        <v>99</v>
      </c>
      <c r="H6" s="112">
        <v>1</v>
      </c>
      <c r="I6" s="113">
        <v>115</v>
      </c>
      <c r="J6" s="113">
        <f>H6*I6</f>
        <v>115</v>
      </c>
      <c r="K6" s="114" t="s">
        <v>109</v>
      </c>
      <c r="L6" s="115" t="s">
        <v>103</v>
      </c>
      <c r="S6" s="106"/>
    </row>
    <row r="7" spans="1:19" ht="22.5" customHeight="1">
      <c r="A7" s="5">
        <f t="shared" si="0"/>
        <v>2</v>
      </c>
      <c r="B7" s="145" t="s">
        <v>110</v>
      </c>
      <c r="C7" s="146"/>
      <c r="D7" s="147" t="s">
        <v>108</v>
      </c>
      <c r="E7" s="148"/>
      <c r="F7" s="149"/>
      <c r="G7" s="111" t="s">
        <v>99</v>
      </c>
      <c r="H7" s="112">
        <v>1</v>
      </c>
      <c r="I7" s="113">
        <v>90</v>
      </c>
      <c r="J7" s="113">
        <f>H7*I7</f>
        <v>90</v>
      </c>
      <c r="K7" s="114" t="s">
        <v>111</v>
      </c>
      <c r="L7" s="115"/>
      <c r="S7" s="106"/>
    </row>
    <row r="8" spans="1:19" ht="22.5" customHeight="1">
      <c r="A8" s="5">
        <f t="shared" si="0"/>
        <v>3</v>
      </c>
      <c r="B8" s="145" t="s">
        <v>112</v>
      </c>
      <c r="C8" s="146"/>
      <c r="D8" s="147" t="s">
        <v>108</v>
      </c>
      <c r="E8" s="148"/>
      <c r="F8" s="149"/>
      <c r="G8" s="111" t="s">
        <v>99</v>
      </c>
      <c r="H8" s="112">
        <v>1</v>
      </c>
      <c r="I8" s="113">
        <v>85</v>
      </c>
      <c r="J8" s="113">
        <f>H8*I8</f>
        <v>85</v>
      </c>
      <c r="K8" s="114" t="s">
        <v>111</v>
      </c>
      <c r="L8" s="115"/>
      <c r="S8" s="106"/>
    </row>
    <row r="9" spans="1:19" ht="22.5" customHeight="1">
      <c r="A9" s="5">
        <f t="shared" si="0"/>
        <v>4</v>
      </c>
      <c r="B9" s="145"/>
      <c r="C9" s="146"/>
      <c r="D9" s="147"/>
      <c r="E9" s="148"/>
      <c r="F9" s="149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5"/>
      <c r="C11" s="146"/>
      <c r="D11" s="147"/>
      <c r="E11" s="148"/>
      <c r="F11" s="149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5"/>
      <c r="C13" s="146"/>
      <c r="D13" s="147"/>
      <c r="E13" s="148"/>
      <c r="F13" s="149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5"/>
      <c r="C14" s="146"/>
      <c r="D14" s="147"/>
      <c r="E14" s="148"/>
      <c r="F14" s="149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5"/>
      <c r="C15" s="146"/>
      <c r="D15" s="147"/>
      <c r="E15" s="148"/>
      <c r="F15" s="149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2" t="s">
        <v>8</v>
      </c>
      <c r="B16" s="153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290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7" t="s">
        <v>17</v>
      </c>
      <c r="Q21" s="157" t="s">
        <v>18</v>
      </c>
    </row>
    <row r="22" spans="1:22" ht="18" customHeight="1">
      <c r="O22" s="18" t="s">
        <v>19</v>
      </c>
      <c r="P22" s="158"/>
      <c r="Q22" s="158"/>
      <c r="S22" s="154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21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21</v>
      </c>
      <c r="P46" s="157" t="s">
        <v>21</v>
      </c>
      <c r="Q46" s="157" t="s">
        <v>21</v>
      </c>
      <c r="T46" s="157" t="s">
        <v>22</v>
      </c>
      <c r="U46" s="157" t="s">
        <v>13</v>
      </c>
      <c r="V46" s="157" t="s">
        <v>21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21</v>
      </c>
      <c r="P50" s="157" t="s">
        <v>21</v>
      </c>
      <c r="Q50" s="157" t="s">
        <v>21</v>
      </c>
      <c r="T50" s="157" t="s">
        <v>13</v>
      </c>
      <c r="U50" s="157" t="s">
        <v>22</v>
      </c>
      <c r="V50" s="157" t="s">
        <v>21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3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29" t="str">
        <f>+MRS!J2</f>
        <v>Subcontract name (SAC2-SC-IK-SMP-01)</v>
      </c>
      <c r="K2" s="131"/>
    </row>
    <row r="3" spans="1:18" ht="24.95" customHeight="1">
      <c r="A3" s="3" t="str">
        <f>+MRS!A3</f>
        <v xml:space="preserve">  MRS No : SAC2-DS-MRS-0148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45956</v>
      </c>
    </row>
    <row r="4" spans="1:18" ht="15.95" customHeight="1">
      <c r="A4" s="160" t="s">
        <v>2</v>
      </c>
      <c r="B4" s="161" t="s">
        <v>23</v>
      </c>
      <c r="C4" s="161"/>
      <c r="D4" s="160" t="s">
        <v>4</v>
      </c>
      <c r="E4" s="160"/>
      <c r="F4" s="160"/>
      <c r="G4" s="161" t="s">
        <v>5</v>
      </c>
      <c r="H4" s="160" t="s">
        <v>91</v>
      </c>
      <c r="I4" s="160" t="s">
        <v>24</v>
      </c>
      <c r="J4" s="160" t="s">
        <v>25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QC Supervisor Welding</v>
      </c>
      <c r="C6" s="163"/>
      <c r="D6" s="164" t="str">
        <f>MRS!D6</f>
        <v>Aramco Approved with CBT</v>
      </c>
      <c r="E6" s="165"/>
      <c r="F6" s="166"/>
      <c r="G6" s="103" t="str">
        <f>MRS!G6</f>
        <v>Hour</v>
      </c>
      <c r="H6" s="103">
        <f>MRS!H6</f>
        <v>1</v>
      </c>
      <c r="I6" s="104">
        <f>MRS!I6</f>
        <v>115</v>
      </c>
      <c r="J6" s="104">
        <f>MRS!J6</f>
        <v>115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2" t="str">
        <f>MRS!B7</f>
        <v>QC Inspector Welding</v>
      </c>
      <c r="C7" s="163"/>
      <c r="D7" s="164" t="str">
        <f>MRS!D7</f>
        <v>Aramco Approved with CBT</v>
      </c>
      <c r="E7" s="165"/>
      <c r="F7" s="166"/>
      <c r="G7" s="103" t="str">
        <f>MRS!G7</f>
        <v>Hour</v>
      </c>
      <c r="H7" s="103">
        <f>MRS!H7</f>
        <v>1</v>
      </c>
      <c r="I7" s="104">
        <f>MRS!I7</f>
        <v>90</v>
      </c>
      <c r="J7" s="104">
        <f>MRS!J7</f>
        <v>90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2" t="str">
        <f>MRS!B8</f>
        <v>QC Inspector Piping</v>
      </c>
      <c r="C8" s="163"/>
      <c r="D8" s="164" t="str">
        <f>MRS!D8</f>
        <v>Aramco Approved with CBT</v>
      </c>
      <c r="E8" s="165"/>
      <c r="F8" s="166"/>
      <c r="G8" s="103" t="str">
        <f>MRS!G8</f>
        <v>Hour</v>
      </c>
      <c r="H8" s="103">
        <f>MRS!H8</f>
        <v>1</v>
      </c>
      <c r="I8" s="104">
        <f>MRS!I8</f>
        <v>85</v>
      </c>
      <c r="J8" s="104">
        <f>MRS!J8</f>
        <v>85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2">
        <f>MRS!B9</f>
        <v>0</v>
      </c>
      <c r="C9" s="163"/>
      <c r="D9" s="164">
        <f>MRS!D9</f>
        <v>0</v>
      </c>
      <c r="E9" s="165"/>
      <c r="F9" s="166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2">
        <f>MRS!B10</f>
        <v>0</v>
      </c>
      <c r="C10" s="163"/>
      <c r="D10" s="164">
        <f>MRS!D10</f>
        <v>0</v>
      </c>
      <c r="E10" s="165"/>
      <c r="F10" s="166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2">
        <f>MRS!B11</f>
        <v>0</v>
      </c>
      <c r="C11" s="163"/>
      <c r="D11" s="164">
        <f>MRS!D11</f>
        <v>0</v>
      </c>
      <c r="E11" s="165"/>
      <c r="F11" s="166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2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B6" sqref="B6:C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105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114</v>
      </c>
      <c r="D9" s="39"/>
      <c r="E9" s="39"/>
    </row>
    <row r="10" spans="2:13" s="39" customFormat="1">
      <c r="B10" s="72"/>
      <c r="C10" s="39" t="s">
        <v>32</v>
      </c>
      <c r="D10" s="76" t="s">
        <v>115</v>
      </c>
      <c r="J10" s="39" t="s">
        <v>33</v>
      </c>
      <c r="K10" s="173">
        <f>MRS!L3</f>
        <v>45956</v>
      </c>
      <c r="L10" s="174"/>
      <c r="M10" s="174"/>
    </row>
    <row r="11" spans="2:13" s="39" customFormat="1">
      <c r="B11" s="72"/>
      <c r="C11" s="75" t="s">
        <v>34</v>
      </c>
      <c r="D11" s="76" t="s">
        <v>116</v>
      </c>
      <c r="J11" s="39" t="s">
        <v>35</v>
      </c>
      <c r="K11" s="175" t="str">
        <f>SUBSTITUTE(SUBSTITUTE(+MRS!A3,"  MRS No : ",""),"-MRS","-PO")</f>
        <v>SAC2-DS-PO-0148</v>
      </c>
      <c r="L11" s="175"/>
      <c r="M11" s="175"/>
    </row>
    <row r="12" spans="2:13" s="39" customFormat="1">
      <c r="B12" s="72"/>
      <c r="C12" s="75" t="s">
        <v>36</v>
      </c>
      <c r="D12" s="39" t="s">
        <v>117</v>
      </c>
      <c r="J12" s="39" t="s">
        <v>37</v>
      </c>
    </row>
    <row r="13" spans="2:13" s="39" customFormat="1">
      <c r="B13" s="72"/>
      <c r="C13" s="77"/>
      <c r="D13" s="76" t="s">
        <v>118</v>
      </c>
      <c r="J13" s="39" t="s">
        <v>38</v>
      </c>
    </row>
    <row r="14" spans="2:13" s="39" customFormat="1">
      <c r="B14" s="72"/>
      <c r="C14" s="77" t="s">
        <v>119</v>
      </c>
      <c r="J14" s="39" t="s">
        <v>39</v>
      </c>
      <c r="K14" s="39" t="s">
        <v>113</v>
      </c>
    </row>
    <row r="15" spans="2:13" s="39" customFormat="1">
      <c r="B15" s="72"/>
      <c r="C15" s="77" t="s">
        <v>120</v>
      </c>
      <c r="J15" s="39" t="s">
        <v>40</v>
      </c>
      <c r="K15" s="78">
        <v>45928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41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43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44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45</v>
      </c>
    </row>
    <row r="26" spans="2:13" s="39" customFormat="1" ht="15" customHeight="1">
      <c r="B26" s="73"/>
      <c r="C26" s="76" t="s">
        <v>121</v>
      </c>
      <c r="M26" s="79" t="s">
        <v>46</v>
      </c>
    </row>
    <row r="27" spans="2:13" ht="12" customHeight="1">
      <c r="B27" s="32"/>
      <c r="C27" s="125" t="s">
        <v>101</v>
      </c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80" t="s">
        <v>103</v>
      </c>
      <c r="G29" s="180"/>
      <c r="H29" s="33"/>
      <c r="M29" s="34"/>
    </row>
    <row r="30" spans="2:13" ht="15" customHeight="1">
      <c r="B30" s="32"/>
      <c r="C30" s="26" t="s">
        <v>50</v>
      </c>
      <c r="E30" s="26" t="s">
        <v>49</v>
      </c>
      <c r="F30" s="180"/>
      <c r="G30" s="180"/>
    </row>
    <row r="31" spans="2:13" ht="15" customHeight="1">
      <c r="B31" s="32"/>
      <c r="C31" s="26" t="s">
        <v>51</v>
      </c>
      <c r="D31" s="35"/>
      <c r="E31" s="26" t="s">
        <v>49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9" customFormat="1" ht="15" customHeight="1">
      <c r="B49" s="80" t="s">
        <v>65</v>
      </c>
      <c r="C49" s="81" t="s">
        <v>93</v>
      </c>
      <c r="P49" s="82"/>
    </row>
    <row r="50" spans="1:16" s="83" customFormat="1" ht="15" customHeight="1">
      <c r="B50" s="84" t="s">
        <v>65</v>
      </c>
      <c r="C50" s="81" t="s">
        <v>94</v>
      </c>
    </row>
    <row r="51" spans="1:16" s="83" customFormat="1" ht="15" customHeight="1">
      <c r="B51" s="84" t="s">
        <v>65</v>
      </c>
      <c r="C51" s="81" t="s">
        <v>92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Murali Krishnan</v>
      </c>
    </row>
    <row r="60" spans="1:16" ht="18" customHeight="1">
      <c r="B60" s="26" t="s">
        <v>71</v>
      </c>
      <c r="J60" s="26" t="s">
        <v>72</v>
      </c>
      <c r="K60" s="22" t="s">
        <v>122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104</v>
      </c>
      <c r="J62" s="181" t="str">
        <f>C9</f>
        <v>ALRWAD(Al Rwad Al Mohtarifeen Gen. Cont.Co.)</v>
      </c>
      <c r="K62" s="181"/>
      <c r="L62" s="181"/>
      <c r="M62" s="181"/>
    </row>
    <row r="63" spans="1:16" ht="27.95" customHeight="1">
      <c r="A63" s="172" t="s">
        <v>75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3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SAC2-DS-PO-0148</v>
      </c>
      <c r="C2" s="184" t="s">
        <v>77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45956</v>
      </c>
      <c r="C3" s="51"/>
      <c r="D3" s="52"/>
      <c r="E3" s="185" t="s">
        <v>79</v>
      </c>
      <c r="F3" s="185"/>
      <c r="G3" s="185"/>
      <c r="H3" s="185"/>
      <c r="I3" s="53"/>
    </row>
    <row r="4" spans="1:13" s="55" customFormat="1" ht="28.5" customHeight="1" thickTop="1">
      <c r="A4" s="186" t="s">
        <v>80</v>
      </c>
      <c r="B4" s="188" t="s">
        <v>81</v>
      </c>
      <c r="C4" s="189"/>
      <c r="D4" s="192" t="s">
        <v>82</v>
      </c>
      <c r="E4" s="192" t="s">
        <v>83</v>
      </c>
      <c r="F4" s="194" t="str">
        <f>'PO 1st page'!C9</f>
        <v>ALRWAD(Al Rwad Al Mohtarifeen Gen. Cont.Co.)</v>
      </c>
      <c r="G4" s="195"/>
      <c r="H4" s="196" t="s">
        <v>84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85</v>
      </c>
      <c r="G5" s="57" t="s">
        <v>51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2" t="str">
        <f>CONCATENATE(MRS!B6," ",MRS!D6)</f>
        <v>QC Supervisor Welding Aramco Approved with CBT</v>
      </c>
      <c r="C6" s="183"/>
      <c r="D6" s="86" t="str">
        <f>+'MRS LIST'!G6</f>
        <v>Hour</v>
      </c>
      <c r="E6" s="87">
        <f>+'MRS LIST'!H6</f>
        <v>1</v>
      </c>
      <c r="F6" s="88">
        <f>+'MRS LIST'!I6</f>
        <v>115</v>
      </c>
      <c r="G6" s="89">
        <f>+'MRS LIST'!J6</f>
        <v>115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2" t="str">
        <f>CONCATENATE(MRS!B7," ",MRS!D7)</f>
        <v>QC Inspector Welding Aramco Approved with CBT</v>
      </c>
      <c r="C7" s="183"/>
      <c r="D7" s="86" t="str">
        <f>+'MRS LIST'!G7</f>
        <v>Hour</v>
      </c>
      <c r="E7" s="87">
        <f>+'MRS LIST'!H7</f>
        <v>1</v>
      </c>
      <c r="F7" s="88">
        <f>+'MRS LIST'!I7</f>
        <v>90</v>
      </c>
      <c r="G7" s="89">
        <f>+'MRS LIST'!J7</f>
        <v>90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2" t="str">
        <f>CONCATENATE(MRS!B8," ",MRS!D8)</f>
        <v>QC Inspector Piping Aramco Approved with CBT</v>
      </c>
      <c r="C8" s="183"/>
      <c r="D8" s="86" t="str">
        <f>+'MRS LIST'!G8</f>
        <v>Hour</v>
      </c>
      <c r="E8" s="87">
        <f>+'MRS LIST'!H8</f>
        <v>1</v>
      </c>
      <c r="F8" s="88">
        <f>+'MRS LIST'!I8</f>
        <v>85</v>
      </c>
      <c r="G8" s="89">
        <f>+'MRS LIST'!J8</f>
        <v>85</v>
      </c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2"/>
      <c r="C9" s="183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2"/>
      <c r="C10" s="183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2"/>
      <c r="C11" s="183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2"/>
      <c r="C12" s="20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2"/>
      <c r="C13" s="20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2"/>
      <c r="C14" s="20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2"/>
      <c r="C15" s="20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2"/>
      <c r="C16" s="20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2"/>
      <c r="C17" s="203"/>
      <c r="D17" s="94"/>
      <c r="E17" s="95"/>
      <c r="F17" s="96"/>
      <c r="G17" s="97"/>
      <c r="H17" s="98"/>
    </row>
    <row r="18" spans="1:13" s="55" customFormat="1" ht="23.1" customHeight="1">
      <c r="A18" s="198" t="s">
        <v>86</v>
      </c>
      <c r="B18" s="199"/>
      <c r="C18" s="199"/>
      <c r="D18" s="199"/>
      <c r="E18" s="199"/>
      <c r="F18" s="199"/>
      <c r="G18" s="58">
        <f>SUM(G6:G17)</f>
        <v>290</v>
      </c>
      <c r="H18" s="59"/>
    </row>
    <row r="19" spans="1:13" s="55" customFormat="1" ht="23.1" customHeight="1">
      <c r="A19" s="198" t="s">
        <v>50</v>
      </c>
      <c r="B19" s="199"/>
      <c r="C19" s="199"/>
      <c r="D19" s="199"/>
      <c r="E19" s="199"/>
      <c r="F19" s="199"/>
      <c r="G19" s="58">
        <f>+G18*0.15</f>
        <v>43.5</v>
      </c>
      <c r="H19" s="59"/>
    </row>
    <row r="20" spans="1:13" s="55" customFormat="1" ht="24.95" customHeight="1" thickBot="1">
      <c r="A20" s="200" t="s">
        <v>87</v>
      </c>
      <c r="B20" s="201"/>
      <c r="C20" s="201"/>
      <c r="D20" s="201"/>
      <c r="E20" s="201"/>
      <c r="F20" s="201"/>
      <c r="G20" s="60">
        <f>G19+G18</f>
        <v>333.5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HEC/QT/923775/Rev-03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89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5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2025-10-26T05:07:23Z</cp:lastPrinted>
  <dcterms:created xsi:type="dcterms:W3CDTF">2024-10-20T11:50:19Z</dcterms:created>
  <dcterms:modified xsi:type="dcterms:W3CDTF">2025-10-26T05:07:30Z</dcterms:modified>
</cp:coreProperties>
</file>