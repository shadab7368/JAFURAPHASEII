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FADB3EB3-3F91-4476-BACB-B5CD84BE5874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C27" i="3"/>
  <c r="E6" i="4"/>
  <c r="F6" i="4"/>
  <c r="D6" i="4"/>
  <c r="B9" i="4"/>
  <c r="B8" i="4"/>
  <c r="J9" i="1"/>
  <c r="J8" i="1"/>
  <c r="B7" i="4"/>
  <c r="P54" i="3" l="1"/>
  <c r="B6" i="4" l="1"/>
  <c r="J7" i="1"/>
  <c r="H6" i="4"/>
  <c r="J8" i="2"/>
  <c r="I8" i="2"/>
  <c r="H8" i="2"/>
  <c r="G8" i="2"/>
  <c r="I7" i="2"/>
  <c r="H7" i="2"/>
  <c r="G7" i="2"/>
  <c r="D8" i="2"/>
  <c r="B8" i="2"/>
  <c r="D7" i="2"/>
  <c r="B7" i="2"/>
  <c r="E3" i="1"/>
  <c r="J7" i="2" l="1"/>
  <c r="J6" i="1"/>
  <c r="G6" i="4" s="1"/>
  <c r="K10" i="3"/>
  <c r="A21" i="4" l="1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<sst xmlns="http://schemas.openxmlformats.org/spreadsheetml/2006/main" count="171" uniqueCount="131">
  <si>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</si>
  <si>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</si>
  <si>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</si>
  <si>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</si>
  <si>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</si>
  <si>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</si>
  <si>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</si>
  <si>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</si>
  <si>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</si>
  <si>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</si>
  <si>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</si>
  <si>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</si>
  <si>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</si>
  <si>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</si>
  <si>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</si>
  <si>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</si>
  <si>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</si>
  <si>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</si>
  <si>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</si>
  <si>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</si>
  <si>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</si>
  <si>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</si>
  <si>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</si>
  <si>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</si>
  <si>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</si>
  <si>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</si>
  <si>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</si>
  <si>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</si>
  <si>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</si>
  <si>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</si>
  <si>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</si>
  <si>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</si>
  <si>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</si>
  <si>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</si>
  <si>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</si>
  <si>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</si>
  <si>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</si>
  <si>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</si>
  <si>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</si>
  <si>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</si>
  <si>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</si>
  <si>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</si>
  <si>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</si>
  <si>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</si>
  <si>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</si>
  <si>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</si>
  <si>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</si>
  <si>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</si>
  <si>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</si>
  <si>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</si>
  <si>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</si>
  <si>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</si>
  <si>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</si>
  <si>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</si>
  <si>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</si>
  <si>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</si>
  <si>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</si>
  <si>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</si>
  <si>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</si>
  <si>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</si>
  <si>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</si>
  <si>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</si>
  <si>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</si>
  <si>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</si>
  <si>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</si>
  <si>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</si>
  <si>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</si>
  <si>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</si>
  <si>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</si>
  <si>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</si>
  <si>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</si>
  <si>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</si>
  <si>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</si>
  <si>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</si>
  <si>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</si>
  <si>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</si>
  <si>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</si>
  <si>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</si>
  <si>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</si>
  <si>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</si>
  <si>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</si>
  <si>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</si>
  <si>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</si>
  <si>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</si>
  <si>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</si>
  <si>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</si>
  <si>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</si>
  <si>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</si>
  <si>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</si>
  <si>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</si>
  <si>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</si>
  <si>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</si>
  <si>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</si>
  <si>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</si>
  <si>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</si>
  <si>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FZCE</t>
  </si>
  <si>
    <t>310790022700003</t>
  </si>
  <si>
    <t>Bldg No . 7766 Al Dana, Al Jubail 35514, Kingdom of Saudi Arabia</t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</si>
  <si>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</si>
  <si>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</si>
  <si>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</si>
  <si>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</si>
  <si>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</si>
  <si>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</si>
  <si>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>FZCE(Four Zone Contracting Est.)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</si>
  <si>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</si>
  <si>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</si>
  <si>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</si>
  <si>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Shahid</t>
  </si>
  <si>
    <t xml:space="preserve">+966 57 022 0960 / info@fourzonecontracting.com </t>
  </si>
  <si>
    <t>Mobile : +966 57 022 0960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</si>
  <si>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</si>
  <si>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</si>
  <si>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</si>
  <si>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</si>
  <si>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</si>
  <si>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</si>
  <si>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</si>
  <si>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</si>
  <si>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</si>
  <si>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FOUR ZONE CONTRACTING EST.</t>
  </si>
  <si>
    <t>THE SAUDI NATIONAL BANK</t>
  </si>
  <si>
    <t>NCBKSAJE</t>
  </si>
  <si>
    <t>Sales Executive</t>
  </si>
  <si>
    <t>01400013788710</t>
  </si>
  <si>
    <t>SA34 1000 0001 4000 1378 8710</t>
  </si>
  <si>
    <t>Manlift</t>
  </si>
  <si>
    <t>Month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</si>
  <si>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-MRS-0295</t>
    </r>
  </si>
  <si>
    <t>43 Mtr Telescopic with IPAF Certified Operator (2024)</t>
  </si>
  <si>
    <t>FZ-OFFR-2026-1814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</si>
</sst>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55" fillId="3" borderId="0" xfId="5" applyFont="1" applyFill="1"/>
    <xf numFmtId="0" fontId="18" fillId="3" borderId="0" xfId="5" quotePrefix="1" applyFont="1" applyFill="1"/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26" fillId="3" borderId="0" xfId="5" quotePrefix="1" applyFont="1" applyFill="1"/>
    <xf numFmtId="0" fontId="14" fillId="3" borderId="0" xfId="5" applyFont="1" applyFill="1" applyAlignment="1">
      <alignment horizontal="right" vertical="center" inden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70184</xdr:rowOff>
        </xdr:from>
        <xdr:to>
          <xdr:col>12</xdr:col>
          <xdr:colOff>501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5053263"/>
              <a:ext cx="393081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2" t="s">
        <v>99</v>
      </c>
      <c r="B1" s="109"/>
      <c r="C1" s="109"/>
      <c r="D1" s="109"/>
      <c r="E1" s="109"/>
      <c r="F1" s="109"/>
      <c r="G1" s="1"/>
      <c r="J1" s="125" t="s">
        <v>100</v>
      </c>
      <c r="K1" s="126"/>
      <c r="L1" s="127"/>
    </row>
    <row r="2" spans="1:19" ht="20.100000000000001" customHeight="1">
      <c r="A2" s="3" t="s">
        <v>101</v>
      </c>
      <c r="B2" s="100"/>
      <c r="C2" s="100"/>
      <c r="D2" s="3" t="s">
        <v>102</v>
      </c>
      <c r="E2" s="100"/>
      <c r="F2" s="100"/>
      <c r="G2" s="100"/>
      <c r="H2" s="100"/>
      <c r="I2" s="4"/>
      <c r="J2" s="128" t="s">
        <v>103</v>
      </c>
      <c r="K2" s="129"/>
      <c r="L2" s="130"/>
    </row>
    <row r="3" spans="1:19" ht="20.100000000000001" customHeight="1">
      <c r="A3" s="3" t="s">
        <v>128</v>
      </c>
      <c r="B3" s="100"/>
      <c r="C3" s="100"/>
      <c r="D3" s="100"/>
      <c r="E3" s="131">
        <f>+L3</f>
        <v>46139</v>
      </c>
      <c r="F3" s="131"/>
      <c r="G3" s="131"/>
      <c r="H3" s="131"/>
      <c r="I3" s="131"/>
      <c r="J3" s="100"/>
      <c r="K3" s="100"/>
      <c r="L3" s="121">
        <v>46139</v>
      </c>
      <c r="M3" s="4"/>
    </row>
    <row r="4" spans="1:19" ht="15.95" customHeight="1">
      <c r="A4" s="132" t="s">
        <v>1</v>
      </c>
      <c r="B4" s="133" t="s">
        <v>2</v>
      </c>
      <c r="C4" s="133"/>
      <c r="D4" s="134" t="s">
        <v>3</v>
      </c>
      <c r="E4" s="135"/>
      <c r="F4" s="136"/>
      <c r="G4" s="140" t="s">
        <v>4</v>
      </c>
      <c r="H4" s="142" t="s">
        <v>5</v>
      </c>
      <c r="I4" s="142" t="s">
        <v>93</v>
      </c>
      <c r="J4" s="132" t="s">
        <v>94</v>
      </c>
      <c r="K4" s="142" t="s">
        <v>0</v>
      </c>
      <c r="L4" s="133" t="s">
        <v>6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126</v>
      </c>
      <c r="C6" s="145"/>
      <c r="D6" s="149" t="s">
        <v>129</v>
      </c>
      <c r="E6" s="147"/>
      <c r="F6" s="148"/>
      <c r="G6" s="110" t="s">
        <v>127</v>
      </c>
      <c r="H6" s="111">
        <v>1</v>
      </c>
      <c r="I6" s="112">
        <v>32000</v>
      </c>
      <c r="J6" s="112">
        <f>H6*I6</f>
        <v>32000</v>
      </c>
      <c r="K6" s="113" t="s">
        <v>95</v>
      </c>
      <c r="L6" s="114" t="s">
        <v>98</v>
      </c>
      <c r="S6" s="105"/>
    </row>
    <row r="7" spans="1:19" ht="22.5" customHeight="1">
      <c r="A7" s="5">
        <f t="shared" si="0"/>
        <v>2</v>
      </c>
      <c r="B7" s="144"/>
      <c r="C7" s="145"/>
      <c r="D7" s="149"/>
      <c r="E7" s="147"/>
      <c r="F7" s="148"/>
      <c r="G7" s="110"/>
      <c r="H7" s="111"/>
      <c r="I7" s="112"/>
      <c r="J7" s="112">
        <f>H7*I7</f>
        <v>0</v>
      </c>
      <c r="K7" s="113"/>
      <c r="L7" s="114"/>
      <c r="S7" s="105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0"/>
      <c r="H8" s="111"/>
      <c r="I8" s="112"/>
      <c r="J8" s="112">
        <f>H8*I8</f>
        <v>0</v>
      </c>
      <c r="K8" s="113"/>
      <c r="L8" s="114"/>
      <c r="S8" s="105"/>
    </row>
    <row r="9" spans="1:19" ht="22.5" customHeight="1">
      <c r="A9" s="5">
        <f t="shared" si="0"/>
        <v>4</v>
      </c>
      <c r="B9" s="144"/>
      <c r="C9" s="145"/>
      <c r="D9" s="149"/>
      <c r="E9" s="147"/>
      <c r="F9" s="148"/>
      <c r="G9" s="110"/>
      <c r="H9" s="111"/>
      <c r="I9" s="112"/>
      <c r="J9" s="112">
        <f>H9*I9</f>
        <v>0</v>
      </c>
      <c r="K9" s="113"/>
      <c r="L9" s="114"/>
      <c r="S9" s="105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0"/>
      <c r="H11" s="111"/>
      <c r="I11" s="112"/>
      <c r="J11" s="112"/>
      <c r="K11" s="113"/>
      <c r="L11" s="114"/>
      <c r="S11" s="105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2" t="s">
        <v>7</v>
      </c>
      <c r="B16" s="153"/>
      <c r="C16" s="116"/>
      <c r="D16" s="117"/>
      <c r="E16" s="117"/>
      <c r="F16" s="117"/>
      <c r="G16" s="118"/>
      <c r="H16" s="118"/>
      <c r="I16" s="119" t="s">
        <v>8</v>
      </c>
      <c r="J16" s="112">
        <f>SUM(J6:J15)</f>
        <v>32000</v>
      </c>
      <c r="K16" s="112"/>
      <c r="L16" s="120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57" t="s">
        <v>16</v>
      </c>
      <c r="Q21" s="157" t="s">
        <v>17</v>
      </c>
    </row>
    <row r="22" spans="1:22" ht="18" customHeight="1">
      <c r="O22" s="18" t="s">
        <v>18</v>
      </c>
      <c r="P22" s="158"/>
      <c r="Q22" s="158"/>
      <c r="S22" s="154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56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20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20</v>
      </c>
      <c r="P46" s="157" t="s">
        <v>20</v>
      </c>
      <c r="Q46" s="157" t="s">
        <v>20</v>
      </c>
      <c r="T46" s="157" t="s">
        <v>21</v>
      </c>
      <c r="U46" s="157" t="s">
        <v>12</v>
      </c>
      <c r="V46" s="157" t="s">
        <v>20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20</v>
      </c>
      <c r="P50" s="157" t="s">
        <v>20</v>
      </c>
      <c r="Q50" s="157" t="s">
        <v>20</v>
      </c>
      <c r="T50" s="157" t="s">
        <v>12</v>
      </c>
      <c r="U50" s="157" t="s">
        <v>21</v>
      </c>
      <c r="V50" s="157" t="s">
        <v>20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8" t="s">
        <v>92</v>
      </c>
      <c r="B1" s="99"/>
      <c r="C1" s="99"/>
      <c r="D1" s="99"/>
      <c r="E1" s="99"/>
      <c r="F1" s="99"/>
      <c r="G1" s="1"/>
      <c r="J1" s="160" t="str">
        <f>+MRS!J1</f>
        <v>DAESHIN PLANT</v>
      </c>
      <c r="K1" s="161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62" t="str">
        <f>+MRS!J2</f>
        <v>Subcontract name (SAC2-SC-IK-SMP-01)</v>
      </c>
      <c r="K2" s="163"/>
    </row>
    <row r="3" spans="1:18" ht="24.95" customHeight="1">
      <c r="A3" s="3" t="str">
        <f>+MRS!A3</f>
        <v xml:space="preserve">  MRS No : SAC2-DS-MRS-0295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46139</v>
      </c>
    </row>
    <row r="4" spans="1:18" ht="15.95" customHeight="1">
      <c r="A4" s="164" t="s">
        <v>1</v>
      </c>
      <c r="B4" s="165" t="s">
        <v>22</v>
      </c>
      <c r="C4" s="165"/>
      <c r="D4" s="164" t="s">
        <v>3</v>
      </c>
      <c r="E4" s="164"/>
      <c r="F4" s="164"/>
      <c r="G4" s="165" t="s">
        <v>4</v>
      </c>
      <c r="H4" s="164" t="s">
        <v>89</v>
      </c>
      <c r="I4" s="164" t="s">
        <v>23</v>
      </c>
      <c r="J4" s="164" t="s">
        <v>24</v>
      </c>
      <c r="K4" s="165" t="s">
        <v>6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105" customHeight="1">
      <c r="A6" s="21">
        <f>+MRS!A6</f>
        <v>1</v>
      </c>
      <c r="B6" s="166" t="str">
        <f>MRS!B6</f>
        <v>Manlift</v>
      </c>
      <c r="C6" s="167"/>
      <c r="D6" s="168" t="str">
        <f>MRS!D6</f>
        <v>43 Mtr Telescopic with IPAF Certified Operator (2024)</v>
      </c>
      <c r="E6" s="169"/>
      <c r="F6" s="170"/>
      <c r="G6" s="102" t="str">
        <f>MRS!G6</f>
        <v>Month</v>
      </c>
      <c r="H6" s="102">
        <f>MRS!H6</f>
        <v>1</v>
      </c>
      <c r="I6" s="103">
        <f>MRS!I6</f>
        <v>32000</v>
      </c>
      <c r="J6" s="103">
        <f>MRS!J6</f>
        <v>32000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6">
        <f>MRS!B7</f>
        <v>0</v>
      </c>
      <c r="C7" s="167"/>
      <c r="D7" s="168">
        <f>MRS!D7</f>
        <v>0</v>
      </c>
      <c r="E7" s="169"/>
      <c r="F7" s="170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71"/>
      <c r="C9" s="172"/>
      <c r="D9" s="173"/>
      <c r="E9" s="174"/>
      <c r="F9" s="175"/>
      <c r="G9" s="106"/>
      <c r="H9" s="107"/>
      <c r="I9" s="108"/>
      <c r="J9" s="108"/>
      <c r="K9" s="104"/>
      <c r="O9" s="105"/>
      <c r="P9" s="105"/>
      <c r="R9" s="105"/>
    </row>
    <row r="10" spans="1:18" ht="105" customHeight="1">
      <c r="A10" s="21">
        <f>+MRS!A10</f>
        <v>5</v>
      </c>
      <c r="B10" s="171"/>
      <c r="C10" s="172"/>
      <c r="D10" s="173"/>
      <c r="E10" s="174"/>
      <c r="F10" s="175"/>
      <c r="G10" s="106"/>
      <c r="H10" s="107"/>
      <c r="I10" s="108"/>
      <c r="J10" s="108"/>
      <c r="K10" s="104"/>
      <c r="O10" s="105"/>
      <c r="P10" s="105"/>
      <c r="R10" s="105"/>
    </row>
    <row r="11" spans="1:18" ht="105" customHeight="1">
      <c r="A11" s="21">
        <f>+MRS!A11</f>
        <v>6</v>
      </c>
      <c r="B11" s="171"/>
      <c r="C11" s="172"/>
      <c r="D11" s="173"/>
      <c r="E11" s="174"/>
      <c r="F11" s="175"/>
      <c r="G11" s="106"/>
      <c r="H11" s="107"/>
      <c r="I11" s="108"/>
      <c r="J11" s="108"/>
      <c r="K11" s="104"/>
      <c r="O11" s="105"/>
      <c r="P11" s="105"/>
      <c r="R11" s="105"/>
    </row>
    <row r="12" spans="1:18" ht="105" customHeight="1">
      <c r="A12" s="21">
        <f>+MRS!A12</f>
        <v>7</v>
      </c>
      <c r="B12" s="171"/>
      <c r="C12" s="172"/>
      <c r="D12" s="173"/>
      <c r="E12" s="174"/>
      <c r="F12" s="175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71"/>
      <c r="C13" s="172"/>
      <c r="D13" s="173"/>
      <c r="E13" s="174"/>
      <c r="F13" s="175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71"/>
      <c r="C14" s="172"/>
      <c r="D14" s="173"/>
      <c r="E14" s="174"/>
      <c r="F14" s="175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71"/>
      <c r="C15" s="172"/>
      <c r="D15" s="173"/>
      <c r="E15" s="174"/>
      <c r="F15" s="175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J30" sqref="J3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107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104</v>
      </c>
      <c r="D9" s="39"/>
      <c r="E9" s="39"/>
    </row>
    <row r="10" spans="2:13" s="39" customFormat="1">
      <c r="B10" s="72"/>
      <c r="C10" s="39" t="s">
        <v>31</v>
      </c>
      <c r="D10" s="36">
        <v>2055133627</v>
      </c>
      <c r="J10" s="39" t="s">
        <v>32</v>
      </c>
      <c r="K10" s="177">
        <f>MRS!L3</f>
        <v>46139</v>
      </c>
      <c r="L10" s="178"/>
      <c r="M10" s="178"/>
    </row>
    <row r="11" spans="2:13" s="39" customFormat="1">
      <c r="B11" s="72"/>
      <c r="C11" s="75" t="s">
        <v>33</v>
      </c>
      <c r="D11" s="76" t="s">
        <v>96</v>
      </c>
      <c r="J11" s="39" t="s">
        <v>34</v>
      </c>
      <c r="K11" s="179" t="str">
        <f>SUBSTITUTE(SUBSTITUTE(+MRS!A3,"  MRS No : ",""),"-MRS","-PO")</f>
        <v>SAC2-DS-PO-0295</v>
      </c>
      <c r="L11" s="179"/>
      <c r="M11" s="179"/>
    </row>
    <row r="12" spans="2:13" s="39" customFormat="1">
      <c r="B12" s="72"/>
      <c r="C12" s="75" t="s">
        <v>35</v>
      </c>
      <c r="D12" s="39" t="s">
        <v>108</v>
      </c>
      <c r="J12" s="39" t="s">
        <v>36</v>
      </c>
    </row>
    <row r="13" spans="2:13" s="39" customFormat="1">
      <c r="B13" s="72"/>
      <c r="C13" s="77"/>
      <c r="D13" s="76" t="s">
        <v>109</v>
      </c>
      <c r="J13" s="39" t="s">
        <v>37</v>
      </c>
    </row>
    <row r="14" spans="2:13" s="39" customFormat="1">
      <c r="B14" s="72"/>
      <c r="C14" s="77" t="s">
        <v>97</v>
      </c>
      <c r="J14" s="39" t="s">
        <v>38</v>
      </c>
      <c r="K14" s="39" t="s">
        <v>130</v>
      </c>
    </row>
    <row r="15" spans="2:13" s="39" customFormat="1">
      <c r="B15" s="72"/>
      <c r="C15" s="77" t="s">
        <v>110</v>
      </c>
      <c r="J15" s="39" t="s">
        <v>39</v>
      </c>
      <c r="K15" s="78">
        <v>46135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0" t="s">
        <v>40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41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42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43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44</v>
      </c>
    </row>
    <row r="26" spans="2:13" s="39" customFormat="1" ht="12" customHeight="1">
      <c r="B26" s="73"/>
      <c r="C26" s="207" t="str">
        <f>_xlfn.CONCAT(MRS!B6," ",MRS!D6)</f>
        <v>Manlift 43 Mtr Telescopic with IPAF Certified Operator (2024)</v>
      </c>
      <c r="M26" s="208" t="s">
        <v>45</v>
      </c>
    </row>
    <row r="27" spans="2:13" ht="11.1" customHeight="1">
      <c r="B27" s="32"/>
      <c r="C27" s="124" t="str">
        <f>_xlfn.CONCAT(MRS!B9," ",MRS!D9)</f>
        <v xml:space="preserve"> </v>
      </c>
    </row>
    <row r="28" spans="2:13" ht="15" customHeight="1">
      <c r="B28" s="32">
        <v>2</v>
      </c>
      <c r="C28" s="32" t="s">
        <v>46</v>
      </c>
    </row>
    <row r="29" spans="2:13" ht="12" customHeight="1">
      <c r="B29" s="32"/>
      <c r="C29" s="26" t="s">
        <v>47</v>
      </c>
      <c r="E29" s="26" t="s">
        <v>48</v>
      </c>
      <c r="F29" s="184" t="s">
        <v>98</v>
      </c>
      <c r="G29" s="184"/>
      <c r="H29" s="33"/>
      <c r="M29" s="34"/>
    </row>
    <row r="30" spans="2:13" ht="12" customHeight="1">
      <c r="B30" s="32"/>
      <c r="C30" s="26" t="s">
        <v>49</v>
      </c>
      <c r="E30" s="26" t="s">
        <v>48</v>
      </c>
      <c r="F30" s="184"/>
      <c r="G30" s="184"/>
    </row>
    <row r="31" spans="2:13" ht="12" customHeight="1">
      <c r="B31" s="32"/>
      <c r="C31" s="26" t="s">
        <v>50</v>
      </c>
      <c r="D31" s="35"/>
      <c r="E31" s="26" t="s">
        <v>48</v>
      </c>
      <c r="F31" s="184"/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51</v>
      </c>
    </row>
    <row r="34" spans="2:13" ht="12" customHeight="1">
      <c r="B34" s="32"/>
      <c r="C34" s="22" t="s">
        <v>52</v>
      </c>
    </row>
    <row r="35" spans="2:13" ht="12" customHeight="1">
      <c r="B35" s="32"/>
      <c r="C35" s="22" t="s">
        <v>53</v>
      </c>
    </row>
    <row r="36" spans="2:13" ht="12" customHeight="1">
      <c r="B36" s="32"/>
      <c r="C36" s="22" t="s">
        <v>54</v>
      </c>
    </row>
    <row r="37" spans="2:13" ht="11.1" customHeight="1">
      <c r="B37" s="32"/>
    </row>
    <row r="38" spans="2:13" ht="15" customHeight="1">
      <c r="B38" s="32">
        <v>4</v>
      </c>
      <c r="C38" s="32" t="s">
        <v>55</v>
      </c>
    </row>
    <row r="39" spans="2:13" ht="12" customHeight="1">
      <c r="B39" s="32"/>
      <c r="C39" s="26" t="s">
        <v>56</v>
      </c>
    </row>
    <row r="40" spans="2:13" ht="11.1" customHeight="1">
      <c r="B40" s="32"/>
    </row>
    <row r="41" spans="2:13" ht="15" customHeight="1">
      <c r="B41" s="32">
        <v>5</v>
      </c>
      <c r="C41" s="32" t="s">
        <v>57</v>
      </c>
    </row>
    <row r="42" spans="2:13" ht="12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63</v>
      </c>
    </row>
    <row r="49" spans="2:16" s="39" customFormat="1" ht="12" customHeight="1">
      <c r="B49" s="79" t="s">
        <v>64</v>
      </c>
      <c r="C49" s="80" t="s">
        <v>105</v>
      </c>
      <c r="P49" s="81"/>
    </row>
    <row r="50" spans="2:16" s="82" customFormat="1" ht="12" customHeight="1">
      <c r="B50" s="83" t="s">
        <v>64</v>
      </c>
      <c r="C50" s="80" t="s">
        <v>91</v>
      </c>
    </row>
    <row r="51" spans="2:16" s="82" customFormat="1" ht="12" customHeight="1">
      <c r="B51" s="83" t="s">
        <v>64</v>
      </c>
      <c r="C51" s="80" t="s">
        <v>90</v>
      </c>
    </row>
    <row r="52" spans="2:16" s="82" customFormat="1" ht="6" customHeight="1">
      <c r="B52" s="83"/>
      <c r="C52" s="80"/>
    </row>
    <row r="53" spans="2:16" ht="15" customHeight="1">
      <c r="B53" s="42">
        <v>7</v>
      </c>
      <c r="C53" s="32" t="s">
        <v>111</v>
      </c>
    </row>
    <row r="54" spans="2:16" ht="12" customHeight="1">
      <c r="B54" s="83" t="s">
        <v>64</v>
      </c>
      <c r="C54" s="123" t="s">
        <v>112</v>
      </c>
      <c r="F54" s="26" t="s">
        <v>120</v>
      </c>
      <c r="P54" s="26" t="str">
        <f>UPPER(F54)</f>
        <v>FOUR ZONE CONTRACTING EST.</v>
      </c>
    </row>
    <row r="55" spans="2:16" ht="12" customHeight="1">
      <c r="B55" s="83" t="s">
        <v>64</v>
      </c>
      <c r="C55" s="123" t="s">
        <v>113</v>
      </c>
      <c r="F55" s="124" t="s">
        <v>124</v>
      </c>
    </row>
    <row r="56" spans="2:16" ht="12" customHeight="1">
      <c r="B56" s="83" t="s">
        <v>64</v>
      </c>
      <c r="C56" s="123" t="s">
        <v>114</v>
      </c>
      <c r="F56" s="124" t="s">
        <v>125</v>
      </c>
    </row>
    <row r="57" spans="2:16" ht="12" customHeight="1">
      <c r="B57" s="83" t="s">
        <v>64</v>
      </c>
      <c r="C57" s="123" t="s">
        <v>115</v>
      </c>
      <c r="F57" s="26" t="s">
        <v>121</v>
      </c>
    </row>
    <row r="58" spans="2:16" ht="12" customHeight="1">
      <c r="B58" s="83" t="s">
        <v>64</v>
      </c>
      <c r="C58" s="123" t="s">
        <v>116</v>
      </c>
      <c r="F58" s="26" t="s">
        <v>122</v>
      </c>
    </row>
    <row r="59" spans="2:16" ht="12" customHeight="1">
      <c r="B59" s="83" t="s">
        <v>64</v>
      </c>
      <c r="C59" s="123" t="s">
        <v>117</v>
      </c>
      <c r="F59" s="26" t="s">
        <v>118</v>
      </c>
    </row>
    <row r="60" spans="2:16" ht="12" customHeight="1">
      <c r="B60" s="83"/>
      <c r="C60" s="123" t="s">
        <v>119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7.5" customHeight="1">
      <c r="B63" s="42"/>
    </row>
    <row r="64" spans="2:16">
      <c r="B64" s="32" t="s">
        <v>65</v>
      </c>
      <c r="J64" s="32" t="s">
        <v>66</v>
      </c>
    </row>
    <row r="65" spans="1:13" ht="42.75" customHeight="1"/>
    <row r="66" spans="1:13" ht="18" customHeight="1">
      <c r="B66" s="26" t="s">
        <v>67</v>
      </c>
      <c r="J66" s="26" t="s">
        <v>67</v>
      </c>
    </row>
    <row r="67" spans="1:13" ht="18" customHeight="1">
      <c r="B67" s="26" t="s">
        <v>68</v>
      </c>
      <c r="J67" s="26" t="s">
        <v>69</v>
      </c>
      <c r="K67" s="22" t="str">
        <f>UPPER(D12)</f>
        <v>SHAHID</v>
      </c>
    </row>
    <row r="68" spans="1:13" ht="18" customHeight="1">
      <c r="B68" s="26" t="s">
        <v>70</v>
      </c>
      <c r="J68" s="26" t="s">
        <v>71</v>
      </c>
      <c r="K68" s="22" t="s">
        <v>123</v>
      </c>
    </row>
    <row r="69" spans="1:13" ht="15" customHeight="1">
      <c r="B69" s="26" t="s">
        <v>72</v>
      </c>
      <c r="J69" s="26" t="s">
        <v>73</v>
      </c>
    </row>
    <row r="70" spans="1:13" s="28" customFormat="1" ht="15" customHeight="1">
      <c r="B70" s="25" t="s">
        <v>106</v>
      </c>
      <c r="J70" s="25" t="str">
        <f>C9</f>
        <v>FZCE(Four Zone Contracting Est.)</v>
      </c>
    </row>
    <row r="71" spans="1:13" ht="27.95" customHeight="1">
      <c r="A71" s="176" t="s">
        <v>74</v>
      </c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SAC2-DS-PO-0295</v>
      </c>
      <c r="C2" s="187" t="s">
        <v>76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46139</v>
      </c>
      <c r="C3" s="51"/>
      <c r="D3" s="52"/>
      <c r="E3" s="188" t="s">
        <v>78</v>
      </c>
      <c r="F3" s="188"/>
      <c r="G3" s="188"/>
      <c r="H3" s="188"/>
      <c r="I3" s="53"/>
    </row>
    <row r="4" spans="1:13" s="55" customFormat="1" ht="28.5" customHeight="1" thickTop="1">
      <c r="A4" s="189" t="s">
        <v>79</v>
      </c>
      <c r="B4" s="191" t="s">
        <v>80</v>
      </c>
      <c r="C4" s="192"/>
      <c r="D4" s="195" t="s">
        <v>81</v>
      </c>
      <c r="E4" s="195" t="s">
        <v>82</v>
      </c>
      <c r="F4" s="197" t="str">
        <f>'PO 1st page'!C9</f>
        <v>FZCE(Four Zone Contracting Est.)</v>
      </c>
      <c r="G4" s="198"/>
      <c r="H4" s="199" t="s">
        <v>83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84</v>
      </c>
      <c r="G5" s="57" t="s">
        <v>50</v>
      </c>
      <c r="H5" s="200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201" t="str">
        <f>CONCATENATE(MRS!B6," ",MRS!D6)</f>
        <v>Manlift 43 Mtr Telescopic with IPAF Certified Operator (2024)</v>
      </c>
      <c r="C6" s="202"/>
      <c r="D6" s="85" t="str">
        <f>MRS!G6</f>
        <v>Month</v>
      </c>
      <c r="E6" s="85">
        <f>MRS!H6</f>
        <v>1</v>
      </c>
      <c r="F6" s="86">
        <f>MRS!I6</f>
        <v>32000</v>
      </c>
      <c r="G6" s="87">
        <f>MRS!J6</f>
        <v>32000</v>
      </c>
      <c r="H6" s="88" t="str">
        <f>MRS!L6</f>
        <v>Monthly Based</v>
      </c>
      <c r="K6" s="89"/>
      <c r="L6" s="90"/>
      <c r="M6" s="56"/>
    </row>
    <row r="7" spans="1:13" s="55" customFormat="1" ht="32.1" customHeight="1">
      <c r="A7" s="84">
        <f t="shared" si="0"/>
        <v>2</v>
      </c>
      <c r="B7" s="201" t="str">
        <f>CONCATENATE(MRS!B7," ",MRS!D7)</f>
        <v xml:space="preserve"> </v>
      </c>
      <c r="C7" s="202"/>
      <c r="D7" s="85"/>
      <c r="E7" s="85"/>
      <c r="F7" s="86"/>
      <c r="G7" s="87"/>
      <c r="H7" s="88"/>
      <c r="K7" s="89"/>
      <c r="L7" s="90"/>
      <c r="M7" s="56"/>
    </row>
    <row r="8" spans="1:13" s="55" customFormat="1" ht="32.1" customHeight="1">
      <c r="A8" s="91">
        <f t="shared" si="0"/>
        <v>3</v>
      </c>
      <c r="B8" s="201" t="str">
        <f>CONCATENATE(MRS!B8," ",MRS!D8)</f>
        <v xml:space="preserve"> </v>
      </c>
      <c r="C8" s="202"/>
      <c r="D8" s="85"/>
      <c r="E8" s="85"/>
      <c r="F8" s="86"/>
      <c r="G8" s="87"/>
      <c r="H8" s="88"/>
      <c r="K8" s="56"/>
      <c r="L8" s="56"/>
      <c r="M8" s="56"/>
    </row>
    <row r="9" spans="1:13" s="55" customFormat="1" ht="32.1" customHeight="1">
      <c r="A9" s="91">
        <f t="shared" si="0"/>
        <v>4</v>
      </c>
      <c r="B9" s="201" t="str">
        <f>CONCATENATE(MRS!B9," ",MRS!D9)</f>
        <v xml:space="preserve"> </v>
      </c>
      <c r="C9" s="202"/>
      <c r="D9" s="85"/>
      <c r="E9" s="85"/>
      <c r="F9" s="86"/>
      <c r="G9" s="87"/>
      <c r="H9" s="88"/>
    </row>
    <row r="10" spans="1:13" s="55" customFormat="1" ht="32.1" customHeight="1">
      <c r="A10" s="91">
        <f t="shared" si="0"/>
        <v>5</v>
      </c>
      <c r="B10" s="185"/>
      <c r="C10" s="186"/>
      <c r="D10" s="92"/>
      <c r="E10" s="93"/>
      <c r="F10" s="94"/>
      <c r="G10" s="95"/>
      <c r="H10" s="96"/>
    </row>
    <row r="11" spans="1:13" s="55" customFormat="1" ht="32.1" customHeight="1">
      <c r="A11" s="91">
        <f t="shared" si="0"/>
        <v>6</v>
      </c>
      <c r="B11" s="185"/>
      <c r="C11" s="186"/>
      <c r="D11" s="92"/>
      <c r="E11" s="93"/>
      <c r="F11" s="94"/>
      <c r="G11" s="95"/>
      <c r="H11" s="96"/>
    </row>
    <row r="12" spans="1:13" s="55" customFormat="1" ht="32.1" customHeight="1">
      <c r="A12" s="91">
        <f t="shared" si="0"/>
        <v>7</v>
      </c>
      <c r="B12" s="185"/>
      <c r="C12" s="186"/>
      <c r="D12" s="92"/>
      <c r="E12" s="93"/>
      <c r="F12" s="94"/>
      <c r="G12" s="95"/>
      <c r="H12" s="96"/>
    </row>
    <row r="13" spans="1:13" s="55" customFormat="1" ht="32.1" customHeight="1">
      <c r="A13" s="91">
        <f t="shared" si="0"/>
        <v>8</v>
      </c>
      <c r="B13" s="185"/>
      <c r="C13" s="186"/>
      <c r="D13" s="92"/>
      <c r="E13" s="93"/>
      <c r="F13" s="94"/>
      <c r="G13" s="95"/>
      <c r="H13" s="96"/>
    </row>
    <row r="14" spans="1:13" s="55" customFormat="1" ht="32.1" customHeight="1">
      <c r="A14" s="91">
        <f t="shared" si="0"/>
        <v>9</v>
      </c>
      <c r="B14" s="185"/>
      <c r="C14" s="186"/>
      <c r="D14" s="92"/>
      <c r="E14" s="93"/>
      <c r="F14" s="97"/>
      <c r="G14" s="95"/>
      <c r="H14" s="96"/>
    </row>
    <row r="15" spans="1:13" s="55" customFormat="1" ht="32.1" customHeight="1">
      <c r="A15" s="91">
        <f t="shared" si="0"/>
        <v>10</v>
      </c>
      <c r="B15" s="185"/>
      <c r="C15" s="186"/>
      <c r="D15" s="92"/>
      <c r="E15" s="93"/>
      <c r="F15" s="97"/>
      <c r="G15" s="95"/>
      <c r="H15" s="96"/>
    </row>
    <row r="16" spans="1:13" s="55" customFormat="1" ht="32.1" customHeight="1">
      <c r="A16" s="91">
        <f t="shared" si="0"/>
        <v>11</v>
      </c>
      <c r="B16" s="185"/>
      <c r="C16" s="186"/>
      <c r="D16" s="92"/>
      <c r="E16" s="93"/>
      <c r="F16" s="94"/>
      <c r="G16" s="95"/>
      <c r="H16" s="96"/>
    </row>
    <row r="17" spans="1:13" s="55" customFormat="1" ht="32.1" customHeight="1">
      <c r="A17" s="91">
        <f t="shared" si="0"/>
        <v>12</v>
      </c>
      <c r="B17" s="185"/>
      <c r="C17" s="186"/>
      <c r="D17" s="92"/>
      <c r="E17" s="93"/>
      <c r="F17" s="94"/>
      <c r="G17" s="95"/>
      <c r="H17" s="96"/>
    </row>
    <row r="18" spans="1:13" s="55" customFormat="1" ht="23.1" customHeight="1">
      <c r="A18" s="203" t="s">
        <v>85</v>
      </c>
      <c r="B18" s="204"/>
      <c r="C18" s="204"/>
      <c r="D18" s="204"/>
      <c r="E18" s="204"/>
      <c r="F18" s="204"/>
      <c r="G18" s="58">
        <f>SUM(G6:G17)</f>
        <v>32000</v>
      </c>
      <c r="H18" s="59"/>
    </row>
    <row r="19" spans="1:13" s="55" customFormat="1" ht="23.1" customHeight="1">
      <c r="A19" s="203" t="s">
        <v>49</v>
      </c>
      <c r="B19" s="204"/>
      <c r="C19" s="204"/>
      <c r="D19" s="204"/>
      <c r="E19" s="204"/>
      <c r="F19" s="204"/>
      <c r="G19" s="58">
        <f>+G18*0.15</f>
        <v>4800</v>
      </c>
      <c r="H19" s="59"/>
    </row>
    <row r="20" spans="1:13" s="55" customFormat="1" ht="24.95" customHeight="1" thickBot="1">
      <c r="A20" s="205" t="s">
        <v>86</v>
      </c>
      <c r="B20" s="206"/>
      <c r="C20" s="206"/>
      <c r="D20" s="206"/>
      <c r="E20" s="206"/>
      <c r="F20" s="206"/>
      <c r="G20" s="60">
        <f>G19+G18</f>
        <v>36800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FZ-OFFR-2026-1814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2026-04-27T04:07:51Z</cp:lastPrinted>
  <dcterms:created xsi:type="dcterms:W3CDTF">2024-10-20T11:50:19Z</dcterms:created>
  <dcterms:modified xsi:type="dcterms:W3CDTF">2026-04-27T04:09:14Z</dcterms:modified>
</cp:coreProperties>
</file>