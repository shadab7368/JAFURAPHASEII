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77A3F80-FEC9-471B-91B8-26B390CE29D1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31" i="3" s="1"/>
  <c r="B6" i="4"/>
  <c r="J9" i="1"/>
  <c r="J9" i="2" s="1"/>
  <c r="J8" i="1"/>
  <c r="J8" i="2" s="1"/>
  <c r="J7" i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<sst xmlns="http://schemas.openxmlformats.org/spreadsheetml/2006/main" count="154" uniqueCount="128">
  <si>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</si>
  <si>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</si>
  <si>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</si>
  <si>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</si>
  <si>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</si>
  <si>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</si>
  <si>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</si>
  <si>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</si>
  <si>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</si>
  <si>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</si>
  <si>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</si>
  <si>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</si>
  <si>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</si>
  <si>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</si>
  <si>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</si>
  <si>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</si>
  <si>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</si>
  <si>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</si>
  <si>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</si>
  <si>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</si>
  <si>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</si>
  <si>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</si>
  <si>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</si>
  <si>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</si>
  <si>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</si>
  <si>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</si>
  <si>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</si>
  <si>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</si>
  <si>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</si>
  <si>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</si>
  <si>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</si>
  <si>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</si>
  <si>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</si>
  <si>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</si>
  <si>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</si>
  <si>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</si>
  <si>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</si>
  <si>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</si>
  <si>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</si>
  <si>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</si>
  <si>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</si>
  <si>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</si>
  <si>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</si>
  <si>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</si>
  <si>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</si>
  <si>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</si>
  <si>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</si>
  <si>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</si>
  <si>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</si>
  <si>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</si>
  <si>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</si>
  <si>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</si>
  <si>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</si>
  <si>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</si>
  <si>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</si>
  <si>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</si>
  <si>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</si>
  <si>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</si>
  <si>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</si>
  <si>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</si>
  <si>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</si>
  <si>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</si>
  <si>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</si>
  <si>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</si>
  <si>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</si>
  <si>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</si>
  <si>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</si>
  <si>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</si>
  <si>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</si>
  <si>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</si>
  <si>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</si>
  <si>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</si>
  <si>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</si>
  <si>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</si>
  <si>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</si>
  <si>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</si>
  <si>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</si>
  <si>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</si>
  <si>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</si>
  <si>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</si>
  <si>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</si>
  <si>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</si>
  <si>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</si>
  <si>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</si>
  <si>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</si>
  <si>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</si>
  <si>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</si>
  <si>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</si>
  <si>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</si>
  <si>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</si>
  <si>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</si>
  <si>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</si>
  <si>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</si>
  <si>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</si>
  <si>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</si>
  <si>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</si>
  <si>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</si>
  <si>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</si>
  <si>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</si>
  <si>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</si>
  <si>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</si>
  <si>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</si>
  <si>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</si>
  <si>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</si>
  <si>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</si>
  <si>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</si>
  <si>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</si>
  <si>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</si>
  <si>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</si>
  <si>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</si>
  <si>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</si>
  <si>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</si>
  <si>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</si>
  <si>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</si>
  <si>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</si>
  <si>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</si>
  <si>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</si>
  <si>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</si>
  <si>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</si>
  <si>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</si>
  <si>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</si>
  <si>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</si>
  <si>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</si>
  <si>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</si>
  <si>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-MRS-0170</t>
    </r>
  </si>
  <si>
    <t>Bow Shackle</t>
  </si>
  <si>
    <t>Pcs</t>
  </si>
  <si>
    <t>SAMOO-DAESHIN-18-2025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</si>
</sst>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56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3" t="s">
        <v>101</v>
      </c>
      <c r="K2" s="144"/>
      <c r="L2" s="145"/>
    </row>
    <row r="3" spans="1:18" ht="20.100000000000001" customHeight="1">
      <c r="A3" s="3" t="s">
        <v>124</v>
      </c>
      <c r="B3" s="101"/>
      <c r="C3" s="101"/>
      <c r="D3" s="101"/>
      <c r="E3" s="130">
        <f>+L3</f>
        <v>45992</v>
      </c>
      <c r="F3" s="130"/>
      <c r="G3" s="130"/>
      <c r="H3" s="130"/>
      <c r="I3" s="130"/>
      <c r="J3" s="101"/>
      <c r="K3" s="101"/>
      <c r="L3" s="122">
        <v>45992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125</v>
      </c>
      <c r="C6" s="147"/>
      <c r="D6" s="148"/>
      <c r="E6" s="149"/>
      <c r="F6" s="150"/>
      <c r="G6" s="111" t="s">
        <v>126</v>
      </c>
      <c r="H6" s="112">
        <v>10</v>
      </c>
      <c r="I6" s="113">
        <v>38</v>
      </c>
      <c r="J6" s="113">
        <f>H6*I6</f>
        <v>380</v>
      </c>
      <c r="K6" s="114" t="s">
        <v>103</v>
      </c>
      <c r="L6" s="115" t="s">
        <v>109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>
        <f t="shared" ref="J7:J8" si="1">H7*I7</f>
        <v>0</v>
      </c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>
        <f t="shared" si="1"/>
        <v>0</v>
      </c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>
        <f t="shared" ref="J9" si="2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380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SAC2-DS-MRS-0170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45992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Bow Shackle</v>
      </c>
      <c r="C6" s="165"/>
      <c r="D6" s="166">
        <f>MRS!D6</f>
        <v>0</v>
      </c>
      <c r="E6" s="167"/>
      <c r="F6" s="168"/>
      <c r="G6" s="103" t="str">
        <f>MRS!G6</f>
        <v>Pcs</v>
      </c>
      <c r="H6" s="103">
        <f>MRS!H6</f>
        <v>10</v>
      </c>
      <c r="I6" s="104">
        <f>MRS!I6</f>
        <v>38</v>
      </c>
      <c r="J6" s="104">
        <f>MRS!J6</f>
        <v>380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zoomScale="130" zoomScaleNormal="100" zoomScaleSheetLayoutView="130" workbookViewId="0">
      <selection activeCell="C15" sqref="C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5">
        <f>MRS!L3</f>
        <v>45992</v>
      </c>
      <c r="L10" s="176"/>
      <c r="M10" s="176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7" t="str">
        <f>SUBSTITUTE(SUBSTITUTE(+MRS!A3,"  MRS No : ",""),"-MRS","-PO")</f>
        <v>SAC2-DS-PO-0170</v>
      </c>
      <c r="L11" s="177"/>
      <c r="M11" s="177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45988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125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>
        <v>380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>
        <f>F29*15%</f>
        <v>57</v>
      </c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>
        <f>SUM(F29:G30)</f>
        <v>437</v>
      </c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102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110</v>
      </c>
    </row>
    <row r="54" spans="2:16" ht="12" customHeight="1">
      <c r="B54" s="84" t="s">
        <v>63</v>
      </c>
      <c r="C54" s="125" t="s">
        <v>111</v>
      </c>
      <c r="F54" s="26" t="s">
        <v>119</v>
      </c>
    </row>
    <row r="55" spans="2:16" ht="12" customHeight="1">
      <c r="B55" s="84" t="s">
        <v>63</v>
      </c>
      <c r="C55" s="125" t="s">
        <v>112</v>
      </c>
      <c r="F55" s="126" t="s">
        <v>120</v>
      </c>
    </row>
    <row r="56" spans="2:16" ht="12" customHeight="1">
      <c r="B56" s="84" t="s">
        <v>63</v>
      </c>
      <c r="C56" s="125" t="s">
        <v>113</v>
      </c>
      <c r="F56" s="26" t="s">
        <v>121</v>
      </c>
    </row>
    <row r="57" spans="2:16" ht="12" customHeight="1">
      <c r="B57" s="84" t="s">
        <v>63</v>
      </c>
      <c r="C57" s="125" t="s">
        <v>114</v>
      </c>
      <c r="F57" s="26" t="s">
        <v>122</v>
      </c>
    </row>
    <row r="58" spans="2:16" ht="12" customHeight="1">
      <c r="B58" s="84" t="s">
        <v>63</v>
      </c>
      <c r="C58" s="125" t="s">
        <v>115</v>
      </c>
      <c r="F58" s="26" t="s">
        <v>123</v>
      </c>
    </row>
    <row r="59" spans="2:16" ht="12" customHeight="1">
      <c r="B59" s="84" t="s">
        <v>63</v>
      </c>
      <c r="C59" s="125" t="s">
        <v>116</v>
      </c>
      <c r="F59" s="26" t="s">
        <v>117</v>
      </c>
    </row>
    <row r="60" spans="2:16" ht="12" customHeight="1">
      <c r="B60" s="84"/>
      <c r="C60" s="125" t="s">
        <v>118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3" t="str">
        <f>C9</f>
        <v>SAMOO(Samoo Al Bahr Contracting Est.)</v>
      </c>
      <c r="K71" s="183"/>
      <c r="L71" s="183"/>
      <c r="M71" s="183"/>
    </row>
    <row r="72" spans="1:13" ht="27.95" customHeight="1">
      <c r="A72" s="174" t="s">
        <v>74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SAC2-DS-PO-0170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45992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SAMOO(Samoo Al Bahr Contracting Est.)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CONCATENATE(MRS!B6," ",MRS!D6)</f>
        <v xml:space="preserve">Bow Shackle </v>
      </c>
      <c r="C6" s="185"/>
      <c r="D6" s="86" t="str">
        <f>+'MRS LIST'!G6</f>
        <v>Pcs</v>
      </c>
      <c r="E6" s="87">
        <f>+'MRS LIST'!H6</f>
        <v>10</v>
      </c>
      <c r="F6" s="88">
        <f>+'MRS LIST'!I6</f>
        <v>38</v>
      </c>
      <c r="G6" s="89">
        <f>+'MRS LIST'!J6</f>
        <v>380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4"/>
      <c r="C7" s="185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85</v>
      </c>
      <c r="B18" s="201"/>
      <c r="C18" s="201"/>
      <c r="D18" s="201"/>
      <c r="E18" s="201"/>
      <c r="F18" s="201"/>
      <c r="G18" s="58">
        <f>SUM(G6:G17)</f>
        <v>380</v>
      </c>
      <c r="H18" s="59"/>
    </row>
    <row r="19" spans="1:13" s="55" customFormat="1" ht="23.1" customHeight="1">
      <c r="A19" s="200" t="s">
        <v>48</v>
      </c>
      <c r="B19" s="201"/>
      <c r="C19" s="201"/>
      <c r="D19" s="201"/>
      <c r="E19" s="201"/>
      <c r="F19" s="201"/>
      <c r="G19" s="58">
        <f>+G18*0.15</f>
        <v>57</v>
      </c>
      <c r="H19" s="59"/>
    </row>
    <row r="20" spans="1:13" s="55" customFormat="1" ht="24.95" customHeight="1" thickBot="1">
      <c r="A20" s="202" t="s">
        <v>86</v>
      </c>
      <c r="B20" s="203"/>
      <c r="C20" s="203"/>
      <c r="D20" s="203"/>
      <c r="E20" s="203"/>
      <c r="F20" s="203"/>
      <c r="G20" s="60">
        <f>G19+G18</f>
        <v>437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SAMOO-DAESHIN-18-2025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2025-12-01T03:35:12Z</cp:lastPrinted>
  <dcterms:created xsi:type="dcterms:W3CDTF">2024-10-20T11:50:19Z</dcterms:created>
  <dcterms:modified xsi:type="dcterms:W3CDTF">2025-12-01T03:35:19Z</dcterms:modified>
</cp:coreProperties>
</file>