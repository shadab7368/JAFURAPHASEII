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ABA5A04-00BA-49DA-BF29-C945071AFC2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/>
  <c r="G20" i="4" s="1"/>
</calcChain>
</file>

<file path=xl/sharedStrings.xml><?xml version="1.0" encoding="utf-8"?>
<sst xmlns="http://schemas.openxmlformats.org/spreadsheetml/2006/main" count="156" uniqueCount="129">
  <si>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</si>
  <si>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</si>
  <si>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</si>
  <si>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</si>
  <si>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</si>
  <si>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</si>
  <si>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</si>
  <si>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</si>
  <si>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</si>
  <si>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</si>
  <si>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</si>
  <si>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</si>
  <si>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</si>
  <si>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</si>
  <si>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</si>
  <si>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</si>
  <si>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</si>
  <si>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</si>
  <si>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</si>
  <si>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</si>
  <si>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</si>
  <si>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</si>
  <si>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</si>
  <si>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</si>
  <si>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</si>
  <si>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</si>
  <si>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</si>
  <si>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</si>
  <si>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</si>
  <si>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</si>
  <si>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</si>
  <si>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</si>
  <si>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</si>
  <si>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</si>
  <si>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</si>
  <si>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</si>
  <si>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</si>
  <si>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</si>
  <si>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</si>
  <si>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</si>
  <si>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</si>
  <si>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</si>
  <si>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</si>
  <si>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</si>
  <si>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</si>
  <si>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</si>
  <si>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</si>
  <si>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</si>
  <si>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</si>
  <si>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</si>
  <si>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</si>
  <si>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</si>
  <si>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</si>
  <si>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</si>
  <si>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</si>
  <si>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</si>
  <si>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</si>
  <si>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</si>
  <si>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</si>
  <si>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</si>
  <si>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</si>
  <si>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</si>
  <si>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</si>
  <si>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</si>
  <si>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</si>
  <si>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</si>
  <si>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</si>
  <si>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</si>
  <si>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</si>
  <si>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</si>
  <si>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</si>
  <si>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</si>
  <si>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</si>
  <si>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</si>
  <si>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</si>
  <si>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</si>
  <si>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</si>
  <si>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</si>
  <si>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</si>
  <si>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</si>
  <si>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</si>
  <si>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</si>
  <si>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</si>
  <si>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</si>
  <si>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</si>
  <si>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</si>
  <si>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</si>
  <si>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</si>
  <si>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</si>
  <si>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</si>
  <si>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</si>
  <si>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</si>
  <si>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</si>
  <si>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</si>
  <si>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</si>
  <si>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</si>
  <si>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</si>
  <si>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</si>
  <si>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</si>
  <si>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Hourly Based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</si>
  <si>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</si>
  <si>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</si>
  <si>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</si>
  <si>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</si>
  <si>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</si>
  <si>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</si>
  <si>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</si>
  <si>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</si>
  <si>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</si>
  <si>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</si>
  <si>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</si>
  <si>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MBC</t>
  </si>
  <si>
    <t>MBC(Muhammad Ali Bin Makki Al Harfan General Contracting Est.)</t>
  </si>
  <si>
    <t>2050059872</t>
  </si>
  <si>
    <t>310209560600003</t>
  </si>
  <si>
    <t>Abdur Rahman</t>
  </si>
  <si>
    <t>+966 57 039 9794 / Email:info@mbcindus.com</t>
  </si>
  <si>
    <t>Al Jabal - Alsafa Dist - Hael Street, KSA</t>
  </si>
  <si>
    <t>Mobile : +966 57 039 9794</t>
  </si>
  <si>
    <t>Marketing Manager</t>
  </si>
  <si>
    <t>MUHAMMAD ALI BIN MAKKI AL HARFAN GENERAL CONTRACTING EST.</t>
  </si>
  <si>
    <t>172000010006086184691</t>
  </si>
  <si>
    <t>SA2880000172608016184691</t>
  </si>
  <si>
    <t>ALRAJHI BANK</t>
  </si>
  <si>
    <t>RJHISARI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</si>
  <si>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-MRS-0216</t>
    </r>
  </si>
  <si>
    <t>SS Welder</t>
  </si>
  <si>
    <t>MBC11-2025</t>
  </si>
  <si>
    <t>Monthly 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</si>
</sst>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521369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95211" y="4983079"/>
              <a:ext cx="4311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L7" sqref="L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94</v>
      </c>
      <c r="B1" s="110"/>
      <c r="C1" s="110"/>
      <c r="D1" s="110"/>
      <c r="E1" s="110"/>
      <c r="F1" s="110"/>
      <c r="G1" s="1"/>
      <c r="J1" s="127" t="s">
        <v>87</v>
      </c>
      <c r="K1" s="128"/>
      <c r="L1" s="129"/>
    </row>
    <row r="2" spans="1:18" ht="20.100000000000001" customHeight="1">
      <c r="A2" s="3" t="s">
        <v>1</v>
      </c>
      <c r="B2" s="101"/>
      <c r="C2" s="101"/>
      <c r="D2" s="3" t="s">
        <v>95</v>
      </c>
      <c r="E2" s="101"/>
      <c r="F2" s="101"/>
      <c r="G2" s="101"/>
      <c r="H2" s="101"/>
      <c r="I2" s="4"/>
      <c r="J2" s="143" t="s">
        <v>96</v>
      </c>
      <c r="K2" s="144"/>
      <c r="L2" s="145"/>
    </row>
    <row r="3" spans="1:18" ht="20.100000000000001" customHeight="1">
      <c r="A3" s="3" t="s">
        <v>125</v>
      </c>
      <c r="B3" s="101"/>
      <c r="C3" s="101"/>
      <c r="D3" s="101"/>
      <c r="E3" s="130">
        <f>+L3</f>
        <v>46060</v>
      </c>
      <c r="F3" s="130"/>
      <c r="G3" s="130"/>
      <c r="H3" s="130"/>
      <c r="I3" s="130"/>
      <c r="J3" s="101"/>
      <c r="K3" s="101"/>
      <c r="L3" s="122">
        <v>46060</v>
      </c>
      <c r="M3" s="4"/>
    </row>
    <row r="4" spans="1:18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91</v>
      </c>
      <c r="J4" s="131" t="s">
        <v>92</v>
      </c>
      <c r="K4" s="141" t="s">
        <v>0</v>
      </c>
      <c r="L4" s="132" t="s">
        <v>7</v>
      </c>
    </row>
    <row r="5" spans="1:18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8" ht="22.5" customHeight="1">
      <c r="A6" s="5">
        <f t="shared" ref="A6:A15" si="0">ROW(A1)</f>
        <v>1</v>
      </c>
      <c r="B6" s="146" t="s">
        <v>126</v>
      </c>
      <c r="C6" s="147"/>
      <c r="D6" s="148"/>
      <c r="E6" s="149"/>
      <c r="F6" s="150"/>
      <c r="G6" s="111" t="s">
        <v>98</v>
      </c>
      <c r="H6" s="112">
        <v>1</v>
      </c>
      <c r="I6" s="113">
        <v>54</v>
      </c>
      <c r="J6" s="113">
        <f>H6*I6</f>
        <v>54</v>
      </c>
      <c r="K6" s="114" t="s">
        <v>111</v>
      </c>
      <c r="L6" s="115" t="s">
        <v>128</v>
      </c>
      <c r="R6" s="106"/>
    </row>
    <row r="7" spans="1:18" ht="22.5" customHeight="1">
      <c r="A7" s="5">
        <f t="shared" si="0"/>
        <v>2</v>
      </c>
      <c r="B7" s="146"/>
      <c r="C7" s="147"/>
      <c r="D7" s="151"/>
      <c r="E7" s="149"/>
      <c r="F7" s="150"/>
      <c r="G7" s="111"/>
      <c r="H7" s="112"/>
      <c r="I7" s="113"/>
      <c r="J7" s="113"/>
      <c r="K7" s="114"/>
      <c r="L7" s="115"/>
      <c r="R7" s="106"/>
    </row>
    <row r="8" spans="1:18" ht="22.5" customHeight="1">
      <c r="A8" s="5">
        <f t="shared" si="0"/>
        <v>3</v>
      </c>
      <c r="B8" s="146"/>
      <c r="C8" s="147"/>
      <c r="D8" s="148"/>
      <c r="E8" s="149"/>
      <c r="F8" s="150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46"/>
      <c r="C9" s="147"/>
      <c r="D9" s="148"/>
      <c r="E9" s="149"/>
      <c r="F9" s="150"/>
      <c r="G9" s="111"/>
      <c r="H9" s="112"/>
      <c r="I9" s="113"/>
      <c r="J9" s="113"/>
      <c r="K9" s="114"/>
      <c r="L9" s="115"/>
      <c r="R9" s="106"/>
    </row>
    <row r="10" spans="1:18" ht="22.5" customHeight="1">
      <c r="A10" s="5">
        <f t="shared" si="0"/>
        <v>5</v>
      </c>
      <c r="B10" s="152"/>
      <c r="C10" s="152"/>
      <c r="D10" s="153"/>
      <c r="E10" s="153"/>
      <c r="F10" s="153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46"/>
      <c r="C11" s="147"/>
      <c r="D11" s="148"/>
      <c r="E11" s="149"/>
      <c r="F11" s="150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52"/>
      <c r="C12" s="152"/>
      <c r="D12" s="153"/>
      <c r="E12" s="153"/>
      <c r="F12" s="153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46"/>
      <c r="C13" s="147"/>
      <c r="D13" s="148"/>
      <c r="E13" s="149"/>
      <c r="F13" s="150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46"/>
      <c r="C14" s="147"/>
      <c r="D14" s="148"/>
      <c r="E14" s="149"/>
      <c r="F14" s="150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46"/>
      <c r="C15" s="147"/>
      <c r="D15" s="148"/>
      <c r="E15" s="149"/>
      <c r="F15" s="150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54" t="s">
        <v>8</v>
      </c>
      <c r="B16" s="15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54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50.1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1"/>
      <c r="P27" s="161"/>
    </row>
    <row r="28" spans="1:19" ht="19.899999999999999" customHeight="1">
      <c r="O28" s="161"/>
      <c r="P28" s="16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93</v>
      </c>
      <c r="B1" s="100"/>
      <c r="C1" s="100"/>
      <c r="D1" s="100"/>
      <c r="E1" s="100"/>
      <c r="F1" s="100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SAC2-DS-MRS-0216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46060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88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SS Welder</v>
      </c>
      <c r="C6" s="165"/>
      <c r="D6" s="166">
        <f>MRS!D6</f>
        <v>0</v>
      </c>
      <c r="E6" s="167"/>
      <c r="F6" s="168"/>
      <c r="G6" s="103" t="str">
        <f>MRS!G6</f>
        <v>Hour</v>
      </c>
      <c r="H6" s="103">
        <f>MRS!H6</f>
        <v>1</v>
      </c>
      <c r="I6" s="104">
        <f>MRS!I6</f>
        <v>54</v>
      </c>
      <c r="J6" s="104">
        <f>MRS!J6</f>
        <v>54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2" zoomScale="130" zoomScaleNormal="100" zoomScaleSheetLayoutView="130" workbookViewId="0">
      <selection activeCell="F30" sqref="F30:G3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9.42578125" style="26" bestFit="1" customWidth="1"/>
    <col min="7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110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4" customFormat="1" ht="13.5">
      <c r="B9" s="72" t="s">
        <v>28</v>
      </c>
      <c r="C9" s="73" t="s">
        <v>112</v>
      </c>
      <c r="D9" s="39"/>
      <c r="E9" s="39"/>
    </row>
    <row r="10" spans="2:13" s="39" customFormat="1">
      <c r="B10" s="72"/>
      <c r="C10" s="39" t="s">
        <v>29</v>
      </c>
      <c r="D10" s="76" t="s">
        <v>113</v>
      </c>
      <c r="J10" s="39" t="s">
        <v>30</v>
      </c>
      <c r="K10" s="175">
        <f>MRS!L3</f>
        <v>46060</v>
      </c>
      <c r="L10" s="176"/>
      <c r="M10" s="176"/>
    </row>
    <row r="11" spans="2:13" s="39" customFormat="1">
      <c r="B11" s="72"/>
      <c r="C11" s="75" t="s">
        <v>31</v>
      </c>
      <c r="D11" s="76" t="s">
        <v>114</v>
      </c>
      <c r="J11" s="39" t="s">
        <v>32</v>
      </c>
      <c r="K11" s="177" t="str">
        <f>SUBSTITUTE(SUBSTITUTE(+MRS!A3,"  MRS No : ",""),"-MRS","-PO")</f>
        <v>SAC2-DS-PO-0216</v>
      </c>
      <c r="L11" s="177"/>
      <c r="M11" s="177"/>
    </row>
    <row r="12" spans="2:13" s="39" customFormat="1">
      <c r="B12" s="72"/>
      <c r="C12" s="75" t="s">
        <v>33</v>
      </c>
      <c r="D12" s="39" t="s">
        <v>115</v>
      </c>
      <c r="J12" s="39" t="s">
        <v>34</v>
      </c>
    </row>
    <row r="13" spans="2:13" s="39" customFormat="1">
      <c r="B13" s="72"/>
      <c r="C13" s="77"/>
      <c r="D13" s="76" t="s">
        <v>116</v>
      </c>
      <c r="J13" s="39" t="s">
        <v>35</v>
      </c>
    </row>
    <row r="14" spans="2:13" s="39" customFormat="1">
      <c r="B14" s="72"/>
      <c r="C14" s="77" t="s">
        <v>117</v>
      </c>
      <c r="J14" s="39" t="s">
        <v>36</v>
      </c>
      <c r="K14" s="39" t="s">
        <v>127</v>
      </c>
    </row>
    <row r="15" spans="2:13" s="39" customFormat="1">
      <c r="B15" s="72"/>
      <c r="C15" s="77" t="s">
        <v>118</v>
      </c>
      <c r="J15" s="39" t="s">
        <v>37</v>
      </c>
      <c r="K15" s="78">
        <v>46007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38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39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40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41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42</v>
      </c>
    </row>
    <row r="26" spans="2:13" s="39" customFormat="1" ht="12" customHeight="1">
      <c r="B26" s="73"/>
      <c r="C26" s="76" t="s">
        <v>126</v>
      </c>
      <c r="M26" s="79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82" t="s">
        <v>128</v>
      </c>
      <c r="G29" s="182"/>
      <c r="H29" s="33"/>
      <c r="M29" s="34"/>
    </row>
    <row r="30" spans="2:13" ht="12" customHeight="1">
      <c r="B30" s="32"/>
      <c r="C30" s="26" t="s">
        <v>47</v>
      </c>
      <c r="E30" s="26" t="s">
        <v>46</v>
      </c>
      <c r="F30" s="182"/>
      <c r="G30" s="182"/>
    </row>
    <row r="31" spans="2:13" ht="12" customHeight="1">
      <c r="B31" s="32"/>
      <c r="C31" s="26" t="s">
        <v>48</v>
      </c>
      <c r="D31" s="35"/>
      <c r="E31" s="26" t="s">
        <v>46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9" customFormat="1" ht="12" customHeight="1">
      <c r="B49" s="80" t="s">
        <v>62</v>
      </c>
      <c r="C49" s="81" t="s">
        <v>97</v>
      </c>
      <c r="P49" s="82"/>
    </row>
    <row r="50" spans="2:16" s="83" customFormat="1" ht="12" customHeight="1">
      <c r="B50" s="84" t="s">
        <v>62</v>
      </c>
      <c r="C50" s="81" t="s">
        <v>90</v>
      </c>
    </row>
    <row r="51" spans="2:16" s="83" customFormat="1" ht="12" customHeight="1">
      <c r="B51" s="84" t="s">
        <v>62</v>
      </c>
      <c r="C51" s="81" t="s">
        <v>89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100</v>
      </c>
    </row>
    <row r="54" spans="2:16" ht="12" customHeight="1">
      <c r="B54" s="84" t="s">
        <v>62</v>
      </c>
      <c r="C54" s="125" t="s">
        <v>101</v>
      </c>
      <c r="F54" s="126" t="s">
        <v>120</v>
      </c>
      <c r="P54" s="26" t="str">
        <f>UPPER(F54)</f>
        <v>MUHAMMAD ALI BIN MAKKI AL HARFAN GENERAL CONTRACTING EST.</v>
      </c>
    </row>
    <row r="55" spans="2:16" ht="12" customHeight="1">
      <c r="B55" s="84" t="s">
        <v>62</v>
      </c>
      <c r="C55" s="125" t="s">
        <v>102</v>
      </c>
      <c r="F55" s="126" t="s">
        <v>121</v>
      </c>
    </row>
    <row r="56" spans="2:16" ht="12" customHeight="1">
      <c r="B56" s="84" t="s">
        <v>62</v>
      </c>
      <c r="C56" s="125" t="s">
        <v>103</v>
      </c>
      <c r="F56" s="126" t="s">
        <v>122</v>
      </c>
    </row>
    <row r="57" spans="2:16" ht="12" customHeight="1">
      <c r="B57" s="84" t="s">
        <v>62</v>
      </c>
      <c r="C57" s="125" t="s">
        <v>104</v>
      </c>
      <c r="F57" s="26" t="s">
        <v>123</v>
      </c>
    </row>
    <row r="58" spans="2:16" ht="12" customHeight="1">
      <c r="B58" s="84" t="s">
        <v>62</v>
      </c>
      <c r="C58" s="125" t="s">
        <v>105</v>
      </c>
      <c r="F58" s="26" t="s">
        <v>124</v>
      </c>
    </row>
    <row r="59" spans="2:16" ht="12" customHeight="1">
      <c r="B59" s="84" t="s">
        <v>62</v>
      </c>
      <c r="C59" s="125" t="s">
        <v>106</v>
      </c>
      <c r="F59" s="26" t="s">
        <v>107</v>
      </c>
    </row>
    <row r="60" spans="2:16" ht="12" customHeight="1">
      <c r="B60" s="84"/>
      <c r="C60" s="125" t="s">
        <v>108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Abdur Rahman</v>
      </c>
    </row>
    <row r="68" spans="1:13" ht="18" customHeight="1">
      <c r="B68" s="26" t="s">
        <v>68</v>
      </c>
      <c r="J68" s="26" t="s">
        <v>69</v>
      </c>
      <c r="K68" s="22" t="s">
        <v>119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109</v>
      </c>
      <c r="J70" s="183" t="str">
        <f>C9</f>
        <v>MBC(Muhammad Ali Bin Makki Al Harfan General Contracting Est.)</v>
      </c>
      <c r="K70" s="183"/>
      <c r="L70" s="183"/>
      <c r="M70" s="183"/>
    </row>
    <row r="71" spans="1:13" ht="27.95" customHeight="1">
      <c r="A71" s="174" t="s">
        <v>72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SAC2-DS-PO-0216</v>
      </c>
      <c r="C2" s="186" t="s">
        <v>74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46060</v>
      </c>
      <c r="C3" s="51"/>
      <c r="D3" s="52"/>
      <c r="E3" s="187" t="s">
        <v>76</v>
      </c>
      <c r="F3" s="187"/>
      <c r="G3" s="187"/>
      <c r="H3" s="187"/>
      <c r="I3" s="53"/>
    </row>
    <row r="4" spans="1:13" s="55" customFormat="1" ht="28.5" customHeight="1" thickTop="1">
      <c r="A4" s="188" t="s">
        <v>77</v>
      </c>
      <c r="B4" s="190" t="s">
        <v>78</v>
      </c>
      <c r="C4" s="191"/>
      <c r="D4" s="194" t="s">
        <v>79</v>
      </c>
      <c r="E4" s="194" t="s">
        <v>80</v>
      </c>
      <c r="F4" s="196" t="str">
        <f>'PO 1st page'!C9</f>
        <v>MBC(Muhammad Ali Bin Makki Al Harfan General Contracting Est.)</v>
      </c>
      <c r="G4" s="197"/>
      <c r="H4" s="198" t="s">
        <v>81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82</v>
      </c>
      <c r="G5" s="57" t="s">
        <v>48</v>
      </c>
      <c r="H5" s="19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4" t="str">
        <f>'PO 1st page'!C26</f>
        <v>SS Welder</v>
      </c>
      <c r="C6" s="185"/>
      <c r="D6" s="86" t="str">
        <f>+'MRS LIST'!G6</f>
        <v>Hour</v>
      </c>
      <c r="E6" s="87">
        <f>+'MRS LIST'!H6</f>
        <v>1</v>
      </c>
      <c r="F6" s="88">
        <f>+'MRS LIST'!I6</f>
        <v>54</v>
      </c>
      <c r="G6" s="89">
        <f>+'MRS LIST'!J6</f>
        <v>54</v>
      </c>
      <c r="H6" s="90" t="s">
        <v>99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4"/>
      <c r="C7" s="185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4"/>
      <c r="C8" s="185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4"/>
      <c r="C9" s="185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4"/>
      <c r="C10" s="185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4"/>
      <c r="C11" s="185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4"/>
      <c r="C12" s="205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4"/>
      <c r="C13" s="205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4"/>
      <c r="C14" s="205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4"/>
      <c r="C15" s="205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4"/>
      <c r="C16" s="205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4"/>
      <c r="C17" s="205"/>
      <c r="D17" s="94"/>
      <c r="E17" s="95"/>
      <c r="F17" s="96"/>
      <c r="G17" s="97"/>
      <c r="H17" s="98"/>
    </row>
    <row r="18" spans="1:13" s="55" customFormat="1" ht="23.1" customHeight="1">
      <c r="A18" s="200" t="s">
        <v>83</v>
      </c>
      <c r="B18" s="201"/>
      <c r="C18" s="201"/>
      <c r="D18" s="201"/>
      <c r="E18" s="201"/>
      <c r="F18" s="201"/>
      <c r="G18" s="58">
        <f>SUM(G6:G17)</f>
        <v>54</v>
      </c>
      <c r="H18" s="59"/>
    </row>
    <row r="19" spans="1:13" s="55" customFormat="1" ht="23.1" customHeight="1">
      <c r="A19" s="200" t="s">
        <v>47</v>
      </c>
      <c r="B19" s="201"/>
      <c r="C19" s="201"/>
      <c r="D19" s="201"/>
      <c r="E19" s="201"/>
      <c r="F19" s="201"/>
      <c r="G19" s="58">
        <f>+G18*0.15</f>
        <v>8.1</v>
      </c>
      <c r="H19" s="59"/>
    </row>
    <row r="20" spans="1:13" s="55" customFormat="1" ht="24.95" customHeight="1" thickBot="1">
      <c r="A20" s="202" t="s">
        <v>84</v>
      </c>
      <c r="B20" s="203"/>
      <c r="C20" s="203"/>
      <c r="D20" s="203"/>
      <c r="E20" s="203"/>
      <c r="F20" s="203"/>
      <c r="G20" s="60">
        <f>G19+G18</f>
        <v>62.1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MBC11-2025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85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86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2026-02-07T12:09:08Z</cp:lastPrinted>
  <dcterms:created xsi:type="dcterms:W3CDTF">2024-10-20T11:50:19Z</dcterms:created>
  <dcterms:modified xsi:type="dcterms:W3CDTF">2026-02-07T12:09:10Z</dcterms:modified>
</cp:coreProperties>
</file>