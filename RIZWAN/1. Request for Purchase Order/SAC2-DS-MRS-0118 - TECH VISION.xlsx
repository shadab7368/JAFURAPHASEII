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69F4A30A-CAB4-4EAA-B918-E82E145590A5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  <externalReference r:id="rId6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B7" i="4" l="1"/>
  <c r="B6" i="4"/>
  <c r="E7" i="4"/>
  <c r="D7" i="4"/>
  <c r="K7" i="1" l="1"/>
  <c r="J7" i="1" l="1"/>
  <c r="J6" i="1" l="1"/>
  <c r="B7" i="2"/>
  <c r="D7" i="2"/>
  <c r="G7" i="2"/>
  <c r="H7" i="2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<sst xmlns="http://schemas.openxmlformats.org/spreadsheetml/2006/main" count="157" uniqueCount="124">
  <si>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</si>
  <si>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</si>
  <si>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</si>
  <si>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</si>
  <si>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</si>
  <si>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</si>
  <si>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</si>
  <si>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</si>
  <si>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</si>
  <si>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</si>
  <si>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</si>
  <si>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</si>
  <si>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</si>
  <si>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</si>
  <si>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</si>
  <si>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</si>
  <si>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</si>
  <si>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</si>
  <si>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</si>
  <si>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</si>
  <si>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</si>
  <si>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</si>
  <si>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</si>
  <si>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</si>
  <si>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</si>
  <si>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</si>
  <si>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</si>
  <si>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</si>
  <si>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</si>
  <si>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</si>
  <si>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</si>
  <si>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</si>
  <si>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</si>
  <si>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</si>
  <si>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</si>
  <si>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</si>
  <si>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</si>
  <si>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</si>
  <si>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</si>
  <si>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</si>
  <si>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</si>
  <si>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</si>
  <si>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</si>
  <si>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</si>
  <si>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</si>
  <si>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</si>
  <si>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</si>
  <si>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</si>
  <si>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</si>
  <si>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</si>
  <si>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</si>
  <si>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</si>
  <si>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</si>
  <si>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</si>
  <si>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</si>
  <si>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</si>
  <si>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</si>
  <si>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</si>
  <si>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</si>
  <si>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</si>
  <si>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</si>
  <si>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</si>
  <si>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</si>
  <si>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</si>
  <si>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</si>
  <si>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</si>
  <si>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</si>
  <si>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</si>
  <si>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</si>
  <si>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</si>
  <si>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</si>
  <si>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</si>
  <si>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</si>
  <si>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</si>
  <si>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</si>
  <si>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</si>
  <si>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</si>
  <si>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</si>
  <si>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</si>
  <si>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</si>
  <si>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</si>
  <si>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</si>
  <si>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</si>
  <si>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</si>
  <si>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</si>
  <si>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</si>
  <si>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</si>
  <si>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</si>
  <si>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</si>
  <si>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</si>
  <si>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</si>
  <si>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</si>
  <si>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</si>
  <si>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</si>
  <si>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</si>
  <si>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</si>
  <si>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</si>
  <si>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</si>
  <si>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</si>
  <si>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Mobile : +966 55 87602885</t>
  </si>
  <si>
    <t>RT Crane</t>
  </si>
  <si>
    <t>Mob. &amp; De-Mob. / per unit - lump sum</t>
    <phoneticPr fontId="2" type="noConversion"/>
  </si>
  <si>
    <t>RT Crane Mob &amp; De-Mob. Charge</t>
  </si>
  <si>
    <t>L/S</t>
  </si>
  <si>
    <t>TVIS</t>
  </si>
  <si>
    <t>06 Ground Floor, Al Dana Bldng. King Faisal St. 
Opp. Kims Hospital,</t>
  </si>
  <si>
    <t>ALJubail 35819, Kingdom of Saudi Arabia</t>
  </si>
  <si>
    <t>TVIS(Faisal Mutlaq Mathkar Al-Othaibi Gen. Cont. Est.)</t>
  </si>
  <si>
    <t>310424405600003</t>
  </si>
  <si>
    <t>Division (In charge Name) : ADMIN MANAGER (Dong Chang Kim)</t>
  </si>
  <si>
    <t>100 Ton with Aramco Certified Operator</t>
  </si>
  <si>
    <t>100 Ton RT Crane with Aramco Certified Operator</t>
  </si>
  <si>
    <t>Kalandar Kausar</t>
  </si>
  <si>
    <t>Business Development Manager</t>
  </si>
  <si>
    <t>DAESHIN PLANT</t>
    <phoneticPr fontId="5" type="noConversion"/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</si>
  <si>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</si>
  <si>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</si>
  <si>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Month</t>
  </si>
  <si>
    <t>Mothly</t>
  </si>
  <si>
    <t>One time</t>
  </si>
  <si>
    <t>Monthly Based</t>
  </si>
  <si>
    <t xml:space="preserve">  MRS No : SAC2-DS-MRS-0118</t>
  </si>
  <si>
    <t>QT-381</t>
  </si>
  <si>
    <t>+966 569120745 / info@techvisionindus.com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</si>
</sst>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16" fillId="3" borderId="0" xfId="5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10026</xdr:colOff>
          <xdr:row>17</xdr:row>
          <xdr:rowOff>110286</xdr:rowOff>
        </xdr:from>
        <xdr:to>
          <xdr:col>12</xdr:col>
          <xdr:colOff>20554</xdr:colOff>
          <xdr:row>24</xdr:row>
          <xdr:rowOff>110287</xdr:rowOff>
        </xdr:to>
        <xdr:pic>
          <xdr:nvPicPr>
            <xdr:cNvPr id="3" name="그림 1">
              <a:extLst>
                <a:ext uri="{FF2B5EF4-FFF2-40B4-BE49-F238E27FC236}">
                  <a16:creationId xmlns:a16="http://schemas.microsoft.com/office/drawing/2014/main" id="{D235884B-B78F-427A-9117-CF2BD67B2B1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0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26605" y="5093365"/>
              <a:ext cx="38004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ESHIN%20FILES%20PHASE%20II\SAC2-DS-MRS-0002%20-%20AQ.xlsx" TargetMode="External"/><Relationship Id="rId1" Type="http://schemas.openxmlformats.org/officeDocument/2006/relationships/externalLinkPath" Target="SAC2-DS-MRS-0002%20-%20A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RS"/>
      <sheetName val="MRS LIST"/>
      <sheetName val="PO 1st page"/>
      <sheetName val="PO 2nd page"/>
    </sheetNames>
    <sheetDataSet>
      <sheetData sheetId="0"/>
      <sheetData sheetId="1">
        <row r="7">
          <cell r="G7" t="str">
            <v>L / S</v>
          </cell>
          <cell r="H7">
            <v>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5" t="s">
        <v>116</v>
      </c>
      <c r="B1" s="111"/>
      <c r="C1" s="111"/>
      <c r="D1" s="111"/>
      <c r="E1" s="111"/>
      <c r="F1" s="111"/>
      <c r="G1" s="1"/>
      <c r="J1" s="126" t="s">
        <v>114</v>
      </c>
      <c r="K1" s="127"/>
      <c r="L1" s="128"/>
    </row>
    <row r="2" spans="1:19" ht="20.100000000000001" customHeight="1">
      <c r="A2" s="3" t="s">
        <v>1</v>
      </c>
      <c r="B2" s="102"/>
      <c r="C2" s="102"/>
      <c r="D2" s="3" t="s">
        <v>109</v>
      </c>
      <c r="E2" s="102"/>
      <c r="F2" s="102"/>
      <c r="G2" s="102"/>
      <c r="H2" s="102"/>
      <c r="I2" s="4"/>
      <c r="J2" s="129" t="s">
        <v>115</v>
      </c>
      <c r="K2" s="130"/>
      <c r="L2" s="131"/>
    </row>
    <row r="3" spans="1:19" ht="20.100000000000001" customHeight="1">
      <c r="A3" s="3" t="s">
        <v>121</v>
      </c>
      <c r="B3" s="102"/>
      <c r="C3" s="102"/>
      <c r="D3" s="102"/>
      <c r="E3" s="132">
        <f>+L3</f>
        <v>45901</v>
      </c>
      <c r="F3" s="132"/>
      <c r="G3" s="132"/>
      <c r="H3" s="132"/>
      <c r="I3" s="132"/>
      <c r="J3" s="102"/>
      <c r="K3" s="102"/>
      <c r="L3" s="123">
        <v>45901</v>
      </c>
      <c r="M3" s="4"/>
    </row>
    <row r="4" spans="1:19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97</v>
      </c>
      <c r="J4" s="133" t="s">
        <v>98</v>
      </c>
      <c r="K4" s="143" t="s">
        <v>0</v>
      </c>
      <c r="L4" s="134" t="s">
        <v>7</v>
      </c>
    </row>
    <row r="5" spans="1:19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9" ht="22.5" customHeight="1">
      <c r="A6" s="5">
        <f t="shared" ref="A6:A15" si="0">ROW(A1)</f>
        <v>1</v>
      </c>
      <c r="B6" s="145" t="s">
        <v>100</v>
      </c>
      <c r="C6" s="146"/>
      <c r="D6" s="147" t="s">
        <v>110</v>
      </c>
      <c r="E6" s="148"/>
      <c r="F6" s="149"/>
      <c r="G6" s="112" t="s">
        <v>117</v>
      </c>
      <c r="H6" s="113">
        <v>1</v>
      </c>
      <c r="I6" s="114">
        <v>95000</v>
      </c>
      <c r="J6" s="114">
        <f>H6*I6</f>
        <v>95000</v>
      </c>
      <c r="K6" s="115" t="s">
        <v>104</v>
      </c>
      <c r="L6" s="116" t="s">
        <v>118</v>
      </c>
      <c r="S6" s="107"/>
    </row>
    <row r="7" spans="1:19" ht="22.5" customHeight="1">
      <c r="A7" s="5">
        <f t="shared" si="0"/>
        <v>2</v>
      </c>
      <c r="B7" s="145" t="s">
        <v>102</v>
      </c>
      <c r="C7" s="146"/>
      <c r="D7" s="150" t="s">
        <v>101</v>
      </c>
      <c r="E7" s="148"/>
      <c r="F7" s="149"/>
      <c r="G7" s="112" t="s">
        <v>103</v>
      </c>
      <c r="H7" s="113">
        <v>1</v>
      </c>
      <c r="I7" s="114">
        <v>5000</v>
      </c>
      <c r="J7" s="114">
        <f>H7*I7</f>
        <v>5000</v>
      </c>
      <c r="K7" s="115" t="str">
        <f>K6</f>
        <v>TVIS</v>
      </c>
      <c r="L7" s="116" t="s">
        <v>119</v>
      </c>
      <c r="S7" s="107"/>
    </row>
    <row r="8" spans="1:19" ht="22.5" customHeight="1">
      <c r="A8" s="5">
        <f t="shared" si="0"/>
        <v>3</v>
      </c>
      <c r="B8" s="145"/>
      <c r="C8" s="146"/>
      <c r="D8" s="147"/>
      <c r="E8" s="148"/>
      <c r="F8" s="149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45"/>
      <c r="C9" s="146"/>
      <c r="D9" s="147"/>
      <c r="E9" s="148"/>
      <c r="F9" s="149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51"/>
      <c r="C10" s="151"/>
      <c r="D10" s="152"/>
      <c r="E10" s="152"/>
      <c r="F10" s="152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5"/>
      <c r="C11" s="146"/>
      <c r="D11" s="147"/>
      <c r="E11" s="148"/>
      <c r="F11" s="149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51"/>
      <c r="C12" s="151"/>
      <c r="D12" s="152"/>
      <c r="E12" s="152"/>
      <c r="F12" s="152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5"/>
      <c r="C13" s="146"/>
      <c r="D13" s="147"/>
      <c r="E13" s="148"/>
      <c r="F13" s="149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5"/>
      <c r="C14" s="146"/>
      <c r="D14" s="147"/>
      <c r="E14" s="148"/>
      <c r="F14" s="149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5"/>
      <c r="C15" s="146"/>
      <c r="D15" s="147"/>
      <c r="E15" s="148"/>
      <c r="F15" s="149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3" t="s">
        <v>8</v>
      </c>
      <c r="B16" s="154"/>
      <c r="C16" s="118"/>
      <c r="D16" s="119"/>
      <c r="E16" s="119"/>
      <c r="F16" s="119"/>
      <c r="G16" s="120"/>
      <c r="H16" s="120"/>
      <c r="I16" s="121" t="s">
        <v>9</v>
      </c>
      <c r="J16" s="114">
        <f>SUM(J6:J15)</f>
        <v>100000</v>
      </c>
      <c r="K16" s="114"/>
      <c r="L16" s="122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6"/>
      <c r="T19" s="14"/>
      <c r="U19" s="15"/>
      <c r="V19" s="14"/>
    </row>
    <row r="20" spans="1:22" ht="17.100000000000001" customHeight="1">
      <c r="O20" s="11"/>
      <c r="P20" s="11"/>
      <c r="Q20" s="11"/>
      <c r="S20" s="15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8" t="s">
        <v>17</v>
      </c>
      <c r="Q21" s="158" t="s">
        <v>18</v>
      </c>
    </row>
    <row r="22" spans="1:22" ht="18" customHeight="1">
      <c r="O22" s="18" t="s">
        <v>19</v>
      </c>
      <c r="P22" s="159"/>
      <c r="Q22" s="159"/>
      <c r="S22" s="15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0"/>
      <c r="P27" s="160"/>
      <c r="Q27" s="160"/>
    </row>
    <row r="28" spans="1:22" ht="19.899999999999999" customHeight="1">
      <c r="O28" s="160"/>
      <c r="P28" s="160"/>
      <c r="Q28" s="16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8" t="s">
        <v>21</v>
      </c>
    </row>
    <row r="41" spans="15:22" ht="19.899999999999999" customHeight="1">
      <c r="T41" s="159"/>
    </row>
    <row r="42" spans="15:22" ht="64.900000000000006" customHeight="1">
      <c r="T42" s="14"/>
    </row>
    <row r="46" spans="15:22" ht="21" customHeight="1">
      <c r="O46" s="158" t="s">
        <v>21</v>
      </c>
      <c r="P46" s="158" t="s">
        <v>21</v>
      </c>
      <c r="Q46" s="158" t="s">
        <v>21</v>
      </c>
      <c r="T46" s="158" t="s">
        <v>22</v>
      </c>
      <c r="U46" s="158" t="s">
        <v>13</v>
      </c>
      <c r="V46" s="158" t="s">
        <v>21</v>
      </c>
    </row>
    <row r="47" spans="15:22" ht="21" customHeight="1">
      <c r="O47" s="159"/>
      <c r="P47" s="159"/>
      <c r="Q47" s="159"/>
      <c r="T47" s="157"/>
      <c r="U47" s="157"/>
      <c r="V47" s="15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8" t="s">
        <v>21</v>
      </c>
      <c r="P50" s="158" t="s">
        <v>21</v>
      </c>
      <c r="Q50" s="158" t="s">
        <v>21</v>
      </c>
      <c r="T50" s="158" t="s">
        <v>13</v>
      </c>
      <c r="U50" s="158" t="s">
        <v>22</v>
      </c>
      <c r="V50" s="158" t="s">
        <v>21</v>
      </c>
    </row>
    <row r="51" spans="15:22" ht="21" customHeight="1">
      <c r="O51" s="159"/>
      <c r="P51" s="159"/>
      <c r="Q51" s="159"/>
      <c r="T51" s="157"/>
      <c r="U51" s="157"/>
      <c r="V51" s="15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R10" sqref="R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96</v>
      </c>
      <c r="B1" s="101"/>
      <c r="C1" s="101"/>
      <c r="D1" s="101"/>
      <c r="E1" s="101"/>
      <c r="F1" s="101"/>
      <c r="G1" s="1"/>
      <c r="J1" s="161" t="str">
        <f>+MRS!J1</f>
        <v>DAESHIN PLANT</v>
      </c>
      <c r="K1" s="162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63" t="str">
        <f>+MRS!J2</f>
        <v>Subcontract name (SAC2-SC-IK-SMP-01)</v>
      </c>
      <c r="K2" s="164"/>
    </row>
    <row r="3" spans="1:18" ht="24.95" customHeight="1">
      <c r="A3" s="3" t="str">
        <f>+MRS!A3</f>
        <v xml:space="preserve">  MRS No : SAC2-DS-MRS-0118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45901</v>
      </c>
    </row>
    <row r="4" spans="1:18" ht="15.95" customHeight="1">
      <c r="A4" s="165" t="s">
        <v>2</v>
      </c>
      <c r="B4" s="166" t="s">
        <v>23</v>
      </c>
      <c r="C4" s="166"/>
      <c r="D4" s="165" t="s">
        <v>4</v>
      </c>
      <c r="E4" s="165"/>
      <c r="F4" s="165"/>
      <c r="G4" s="166" t="s">
        <v>5</v>
      </c>
      <c r="H4" s="165" t="s">
        <v>92</v>
      </c>
      <c r="I4" s="165" t="s">
        <v>24</v>
      </c>
      <c r="J4" s="165" t="s">
        <v>25</v>
      </c>
      <c r="K4" s="166" t="s">
        <v>7</v>
      </c>
    </row>
    <row r="5" spans="1:18" ht="15.95" customHeight="1">
      <c r="A5" s="165"/>
      <c r="B5" s="166"/>
      <c r="C5" s="166"/>
      <c r="D5" s="165"/>
      <c r="E5" s="165"/>
      <c r="F5" s="165"/>
      <c r="G5" s="166"/>
      <c r="H5" s="165"/>
      <c r="I5" s="165"/>
      <c r="J5" s="165"/>
      <c r="K5" s="166"/>
    </row>
    <row r="6" spans="1:18" ht="105" customHeight="1">
      <c r="A6" s="21">
        <f>+MRS!A6</f>
        <v>1</v>
      </c>
      <c r="B6" s="167" t="str">
        <f>MRS!B6</f>
        <v>RT Crane</v>
      </c>
      <c r="C6" s="168"/>
      <c r="D6" s="169" t="str">
        <f>MRS!D6</f>
        <v>100 Ton with Aramco Certified Operator</v>
      </c>
      <c r="E6" s="170"/>
      <c r="F6" s="171"/>
      <c r="G6" s="104" t="str">
        <f>MRS!G6</f>
        <v>Month</v>
      </c>
      <c r="H6" s="104">
        <f>MRS!H6</f>
        <v>1</v>
      </c>
      <c r="I6" s="105">
        <f>MRS!I6</f>
        <v>95000</v>
      </c>
      <c r="J6" s="105">
        <f>MRS!J6</f>
        <v>95000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7" t="str">
        <f>MRS!B7</f>
        <v>RT Crane Mob &amp; De-Mob. Charge</v>
      </c>
      <c r="C7" s="168"/>
      <c r="D7" s="169" t="str">
        <f>MRS!D7</f>
        <v>Mob. &amp; De-Mob. / per unit - lump sum</v>
      </c>
      <c r="E7" s="170"/>
      <c r="F7" s="171"/>
      <c r="G7" s="104" t="str">
        <f>MRS!G7</f>
        <v>L/S</v>
      </c>
      <c r="H7" s="104">
        <f>MRS!H7</f>
        <v>1</v>
      </c>
      <c r="I7" s="105">
        <f>MRS!I7</f>
        <v>5000</v>
      </c>
      <c r="J7" s="105">
        <f>MRS!J7</f>
        <v>5000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72"/>
      <c r="C8" s="173"/>
      <c r="D8" s="174"/>
      <c r="E8" s="175"/>
      <c r="F8" s="176"/>
      <c r="G8" s="108"/>
      <c r="H8" s="109"/>
      <c r="I8" s="110"/>
      <c r="J8" s="110"/>
      <c r="K8" s="106"/>
      <c r="O8" s="107"/>
      <c r="P8" s="107"/>
      <c r="R8" s="107"/>
    </row>
    <row r="9" spans="1:18" ht="105" customHeight="1">
      <c r="A9" s="21">
        <f>+MRS!A9</f>
        <v>4</v>
      </c>
      <c r="B9" s="172"/>
      <c r="C9" s="173"/>
      <c r="D9" s="174"/>
      <c r="E9" s="175"/>
      <c r="F9" s="176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72"/>
      <c r="C10" s="173"/>
      <c r="D10" s="174"/>
      <c r="E10" s="175"/>
      <c r="F10" s="176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72"/>
      <c r="C11" s="173"/>
      <c r="D11" s="174"/>
      <c r="E11" s="175"/>
      <c r="F11" s="176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72"/>
      <c r="C12" s="173"/>
      <c r="D12" s="174"/>
      <c r="E12" s="175"/>
      <c r="F12" s="176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72"/>
      <c r="C13" s="173"/>
      <c r="D13" s="174"/>
      <c r="E13" s="175"/>
      <c r="F13" s="176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72"/>
      <c r="C14" s="173"/>
      <c r="D14" s="174"/>
      <c r="E14" s="175"/>
      <c r="F14" s="176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72"/>
      <c r="C15" s="173"/>
      <c r="D15" s="174"/>
      <c r="E15" s="175"/>
      <c r="F15" s="176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2"/>
      <c r="C16" s="173"/>
      <c r="D16" s="174"/>
      <c r="E16" s="175"/>
      <c r="F16" s="176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2"/>
      <c r="C17" s="173"/>
      <c r="D17" s="174"/>
      <c r="E17" s="175"/>
      <c r="F17" s="176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SheetLayoutView="130" workbookViewId="0">
      <selection activeCell="C26" sqref="C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107</v>
      </c>
      <c r="D9" s="39"/>
      <c r="E9" s="39"/>
    </row>
    <row r="10" spans="2:13" s="39" customFormat="1">
      <c r="B10" s="72"/>
      <c r="C10" s="39" t="s">
        <v>33</v>
      </c>
      <c r="D10" s="39">
        <v>2055126441</v>
      </c>
      <c r="J10" s="39" t="s">
        <v>34</v>
      </c>
      <c r="K10" s="178">
        <f>MRS!L3</f>
        <v>45901</v>
      </c>
      <c r="L10" s="179"/>
      <c r="M10" s="179"/>
    </row>
    <row r="11" spans="2:13" s="39" customFormat="1">
      <c r="B11" s="72"/>
      <c r="C11" s="75" t="s">
        <v>35</v>
      </c>
      <c r="D11" s="76" t="s">
        <v>108</v>
      </c>
      <c r="J11" s="39" t="s">
        <v>36</v>
      </c>
      <c r="K11" s="180" t="str">
        <f>SUBSTITUTE(SUBSTITUTE(+MRS!A3,"  MRS No : ",""),"-MRS","-PO")</f>
        <v>SAC2-DS-PO-0118</v>
      </c>
      <c r="L11" s="180"/>
      <c r="M11" s="180"/>
    </row>
    <row r="12" spans="2:13" s="39" customFormat="1">
      <c r="B12" s="72"/>
      <c r="C12" s="75" t="s">
        <v>37</v>
      </c>
      <c r="D12" s="39" t="s">
        <v>112</v>
      </c>
      <c r="J12" s="39" t="s">
        <v>38</v>
      </c>
    </row>
    <row r="13" spans="2:13" s="39" customFormat="1">
      <c r="B13" s="72"/>
      <c r="C13" s="77"/>
      <c r="D13" s="76" t="s">
        <v>123</v>
      </c>
      <c r="J13" s="39" t="s">
        <v>39</v>
      </c>
    </row>
    <row r="14" spans="2:13" s="39" customFormat="1">
      <c r="B14" s="72"/>
      <c r="C14" s="77" t="s">
        <v>105</v>
      </c>
      <c r="J14" s="39" t="s">
        <v>40</v>
      </c>
      <c r="K14" s="39" t="s">
        <v>122</v>
      </c>
    </row>
    <row r="15" spans="2:13" s="39" customFormat="1">
      <c r="B15" s="72"/>
      <c r="C15" s="77" t="s">
        <v>106</v>
      </c>
      <c r="J15" s="39" t="s">
        <v>41</v>
      </c>
      <c r="K15" s="78">
        <v>45901</v>
      </c>
    </row>
    <row r="16" spans="2:13" s="39" customFormat="1">
      <c r="C16" s="77" t="s">
        <v>99</v>
      </c>
      <c r="K16" s="78"/>
    </row>
    <row r="17" spans="2:13" ht="6.75" customHeight="1">
      <c r="C17" s="29"/>
      <c r="K17" s="30"/>
    </row>
    <row r="18" spans="2:13" ht="20.25">
      <c r="B18" s="181" t="s">
        <v>42</v>
      </c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</row>
    <row r="19" spans="2:13" ht="12" customHeight="1"/>
    <row r="20" spans="2:13" s="31" customFormat="1" ht="12" customHeight="1">
      <c r="B20" s="182" t="s">
        <v>43</v>
      </c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</row>
    <row r="21" spans="2:13" s="31" customFormat="1" ht="12" customHeight="1">
      <c r="B21" s="182" t="s">
        <v>44</v>
      </c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</row>
    <row r="22" spans="2:13" s="31" customFormat="1" ht="12" customHeight="1">
      <c r="B22" s="182" t="s">
        <v>45</v>
      </c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</row>
    <row r="23" spans="2:13" ht="6.95" customHeight="1"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</row>
    <row r="24" spans="2:13" ht="6.95" customHeight="1"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111</v>
      </c>
      <c r="M26" s="79" t="s">
        <v>47</v>
      </c>
    </row>
    <row r="27" spans="2:13" ht="6.75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5" t="s">
        <v>120</v>
      </c>
      <c r="G29" s="185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5"/>
      <c r="G30" s="185"/>
    </row>
    <row r="31" spans="2:13" ht="15" customHeight="1">
      <c r="B31" s="32"/>
      <c r="C31" s="26" t="s">
        <v>52</v>
      </c>
      <c r="D31" s="35"/>
      <c r="E31" s="26" t="s">
        <v>50</v>
      </c>
      <c r="F31" s="185"/>
      <c r="G31" s="185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94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93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37.5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UPPER(D12)</f>
        <v>KALANDAR KAUSAR</v>
      </c>
    </row>
    <row r="60" spans="1:16" ht="18" customHeight="1">
      <c r="B60" s="26" t="s">
        <v>72</v>
      </c>
      <c r="J60" s="26" t="s">
        <v>73</v>
      </c>
      <c r="K60" s="22" t="s">
        <v>113</v>
      </c>
    </row>
    <row r="61" spans="1:16" ht="15" customHeight="1">
      <c r="B61" s="26" t="s">
        <v>74</v>
      </c>
      <c r="J61" s="26" t="s">
        <v>75</v>
      </c>
    </row>
    <row r="62" spans="1:16" s="28" customFormat="1" ht="33.75" customHeight="1">
      <c r="B62" s="124" t="s">
        <v>76</v>
      </c>
      <c r="J62" s="186" t="str">
        <f>C9</f>
        <v>TVIS(Faisal Mutlaq Mathkar Al-Othaibi Gen. Cont. Est.)</v>
      </c>
      <c r="K62" s="186"/>
      <c r="L62" s="186"/>
      <c r="M62" s="186"/>
    </row>
    <row r="63" spans="1:16" ht="27.95" customHeight="1">
      <c r="A63" s="177" t="s">
        <v>77</v>
      </c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99" right="0.39370078740157499" top="0.39370078740157499" bottom="0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A21" sqref="A21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SAC2-DS-PO-0118</v>
      </c>
      <c r="C2" s="189" t="s">
        <v>79</v>
      </c>
      <c r="D2" s="189"/>
      <c r="E2" s="189"/>
      <c r="F2" s="189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45901</v>
      </c>
      <c r="C3" s="51"/>
      <c r="D3" s="52"/>
      <c r="E3" s="190" t="s">
        <v>81</v>
      </c>
      <c r="F3" s="190"/>
      <c r="G3" s="190"/>
      <c r="H3" s="190"/>
      <c r="I3" s="53"/>
    </row>
    <row r="4" spans="1:13" s="55" customFormat="1" ht="28.5" customHeight="1" thickTop="1">
      <c r="A4" s="191" t="s">
        <v>82</v>
      </c>
      <c r="B4" s="193" t="s">
        <v>83</v>
      </c>
      <c r="C4" s="194"/>
      <c r="D4" s="197" t="s">
        <v>84</v>
      </c>
      <c r="E4" s="197" t="s">
        <v>85</v>
      </c>
      <c r="F4" s="199" t="str">
        <f>'PO 1st page'!C9</f>
        <v>TVIS(Faisal Mutlaq Mathkar Al-Othaibi Gen. Cont. Est.)</v>
      </c>
      <c r="G4" s="200"/>
      <c r="H4" s="201" t="s">
        <v>86</v>
      </c>
      <c r="K4" s="56"/>
      <c r="L4" s="56"/>
      <c r="M4" s="56"/>
    </row>
    <row r="5" spans="1:13" s="55" customFormat="1" ht="21.95" customHeight="1">
      <c r="A5" s="192"/>
      <c r="B5" s="195"/>
      <c r="C5" s="196"/>
      <c r="D5" s="198"/>
      <c r="E5" s="198"/>
      <c r="F5" s="57" t="s">
        <v>87</v>
      </c>
      <c r="G5" s="57" t="s">
        <v>52</v>
      </c>
      <c r="H5" s="202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3" t="str">
        <f>CONCATENATE(MRS!B6," ",MRS!D6)</f>
        <v>RT Crane 100 Ton with Aramco Certified Operator</v>
      </c>
      <c r="C6" s="204"/>
      <c r="D6" s="86" t="str">
        <f>+'MRS LIST'!G6</f>
        <v>Month</v>
      </c>
      <c r="E6" s="87">
        <f>+'MRS LIST'!H6</f>
        <v>1</v>
      </c>
      <c r="F6" s="88">
        <f>+'MRS LIST'!I6</f>
        <v>95000</v>
      </c>
      <c r="G6" s="89">
        <f>+'MRS LIST'!J6</f>
        <v>95000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203" t="str">
        <f>CONCATENATE(MRS!B7," ",MRS!D7)</f>
        <v>RT Crane Mob &amp; De-Mob. Charge Mob. &amp; De-Mob. / per unit - lump sum</v>
      </c>
      <c r="C7" s="204"/>
      <c r="D7" s="86" t="str">
        <f>+'[2]MRS LIST'!G7</f>
        <v>L / S</v>
      </c>
      <c r="E7" s="87">
        <f>+'[2]MRS LIST'!H7</f>
        <v>1</v>
      </c>
      <c r="F7" s="88">
        <f>+'MRS LIST'!I7</f>
        <v>5000</v>
      </c>
      <c r="G7" s="89">
        <f>+'MRS LIST'!J7</f>
        <v>5000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7"/>
      <c r="C8" s="188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7"/>
      <c r="C9" s="188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7"/>
      <c r="C10" s="188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7"/>
      <c r="C11" s="188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7"/>
      <c r="C12" s="188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7"/>
      <c r="C13" s="188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7"/>
      <c r="C14" s="188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7"/>
      <c r="C15" s="188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7"/>
      <c r="C16" s="188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7"/>
      <c r="C17" s="188"/>
      <c r="D17" s="94"/>
      <c r="E17" s="95"/>
      <c r="F17" s="96"/>
      <c r="G17" s="97"/>
      <c r="H17" s="98"/>
    </row>
    <row r="18" spans="1:13" s="55" customFormat="1" ht="23.1" customHeight="1">
      <c r="A18" s="205" t="s">
        <v>88</v>
      </c>
      <c r="B18" s="206"/>
      <c r="C18" s="206"/>
      <c r="D18" s="206"/>
      <c r="E18" s="206"/>
      <c r="F18" s="206"/>
      <c r="G18" s="58">
        <f>SUM(G6:G17)</f>
        <v>100000</v>
      </c>
      <c r="H18" s="59"/>
    </row>
    <row r="19" spans="1:13" s="55" customFormat="1" ht="23.1" customHeight="1">
      <c r="A19" s="205" t="s">
        <v>51</v>
      </c>
      <c r="B19" s="206"/>
      <c r="C19" s="206"/>
      <c r="D19" s="206"/>
      <c r="E19" s="206"/>
      <c r="F19" s="206"/>
      <c r="G19" s="58">
        <f>+G18*0.15</f>
        <v>15000</v>
      </c>
      <c r="H19" s="59"/>
    </row>
    <row r="20" spans="1:13" s="55" customFormat="1" ht="24.95" customHeight="1" thickBot="1">
      <c r="A20" s="207" t="s">
        <v>89</v>
      </c>
      <c r="B20" s="208"/>
      <c r="C20" s="208"/>
      <c r="D20" s="208"/>
      <c r="E20" s="208"/>
      <c r="F20" s="208"/>
      <c r="G20" s="60">
        <f>G19+G18</f>
        <v>115000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QT-381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7" t="s">
        <v>91</v>
      </c>
      <c r="B24" s="177"/>
      <c r="C24" s="177"/>
      <c r="D24" s="177"/>
      <c r="E24" s="177"/>
      <c r="F24" s="177"/>
      <c r="G24" s="177"/>
      <c r="H24" s="177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2025-09-01T13:51:13Z</cp:lastPrinted>
  <dcterms:created xsi:type="dcterms:W3CDTF">2024-10-20T11:50:19Z</dcterms:created>
  <dcterms:modified xsi:type="dcterms:W3CDTF">2025-09-01T13:51:17Z</dcterms:modified>
</cp:coreProperties>
</file>