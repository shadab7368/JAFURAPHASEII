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4DAB87CB-AF54-4739-808D-0D2380E5E4AA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H7" i="4"/>
  <c r="E7" i="4"/>
  <c r="D7" i="4"/>
  <c r="J7" i="1"/>
  <c r="J7" i="2" s="1"/>
  <c r="G7" i="4" s="1"/>
  <c r="H6" i="4"/>
  <c r="J8" i="2"/>
  <c r="I8" i="2"/>
  <c r="H8" i="2"/>
  <c r="G8" i="2"/>
  <c r="I7" i="2"/>
  <c r="F7" i="4" s="1"/>
  <c r="H7" i="2"/>
  <c r="G7" i="2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<sst xmlns="http://schemas.openxmlformats.org/spreadsheetml/2006/main" count="157" uniqueCount="123">
  <si>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</si>
  <si>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</si>
  <si>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</si>
  <si>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</si>
  <si>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</si>
  <si>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</si>
  <si>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</si>
  <si>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</si>
  <si>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</si>
  <si>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</si>
  <si>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</si>
  <si>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</si>
  <si>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</si>
  <si>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</si>
  <si>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</si>
  <si>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</si>
  <si>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</si>
  <si>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</si>
  <si>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</si>
  <si>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</si>
  <si>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</si>
  <si>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</si>
  <si>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</si>
  <si>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</si>
  <si>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</si>
  <si>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</si>
  <si>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</si>
  <si>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</si>
  <si>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</si>
  <si>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</si>
  <si>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</si>
  <si>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</si>
  <si>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</si>
  <si>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</si>
  <si>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</si>
  <si>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</si>
  <si>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</si>
  <si>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</si>
  <si>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</si>
  <si>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</si>
  <si>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</si>
  <si>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</si>
  <si>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</si>
  <si>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</si>
  <si>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</si>
  <si>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</si>
  <si>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</si>
  <si>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</si>
  <si>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</si>
  <si>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</si>
  <si>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</si>
  <si>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</si>
  <si>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</si>
  <si>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</si>
  <si>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</si>
  <si>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</si>
  <si>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</si>
  <si>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</si>
  <si>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</si>
  <si>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</si>
  <si>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</si>
  <si>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</si>
  <si>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</si>
  <si>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</si>
  <si>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</si>
  <si>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</si>
  <si>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</si>
  <si>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</si>
  <si>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</si>
  <si>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</si>
  <si>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</si>
  <si>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</si>
  <si>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</si>
  <si>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</si>
  <si>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</si>
  <si>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</si>
  <si>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</si>
  <si>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</si>
  <si>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</si>
  <si>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</si>
  <si>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</si>
  <si>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</si>
  <si>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</si>
  <si>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</si>
  <si>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</si>
  <si>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</si>
  <si>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</si>
  <si>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</si>
  <si>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</si>
  <si>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</si>
  <si>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</si>
  <si>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</si>
  <si>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</si>
  <si>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</si>
  <si>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</si>
  <si>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</si>
  <si>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</si>
  <si>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</si>
  <si>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</si>
  <si>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</si>
  <si>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</si>
  <si>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</si>
  <si>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</si>
  <si>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Mob. &amp; De-Mob. / per unit - lump sum</t>
  </si>
  <si>
    <t>L / S</t>
  </si>
  <si>
    <t>One time</t>
  </si>
  <si>
    <t>TCO</t>
  </si>
  <si>
    <t>TCO(Toekoms Contracting Company)</t>
  </si>
  <si>
    <t>Sales Manager</t>
  </si>
  <si>
    <t>2055104793</t>
  </si>
  <si>
    <t>Nazar Ahmed</t>
  </si>
  <si>
    <t>+966 54 3677555 / email:nazar@toekomsksa.com</t>
  </si>
  <si>
    <t>Al Dakhal Al Mahdud Subdivision, Al Jubail, KSA 35513</t>
  </si>
  <si>
    <t>Mobile : +966 54 3677555</t>
  </si>
  <si>
    <t>Forklift</t>
  </si>
  <si>
    <t>10 Ton with SPSP Certified Operator</t>
  </si>
  <si>
    <t>Forklift Mob &amp; De-Mob. Charge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</si>
  <si>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</si>
  <si>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-MRS-0110</t>
    </r>
  </si>
  <si>
    <t>TKMS/EQTN-2025-1287</t>
  </si>
  <si>
    <t>10 ton Forklift with SPSP Certified Operator</t>
  </si>
  <si>
    <t>Branch of Hyundai Engineering and Const. Co., Ltd. (HDEC)</t>
  </si>
  <si>
    <t>311236456300003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</si>
</sst>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350921</xdr:colOff>
          <xdr:row>17</xdr:row>
          <xdr:rowOff>70185</xdr:rowOff>
        </xdr:from>
        <xdr:to>
          <xdr:col>12</xdr:col>
          <xdr:colOff>10529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24763" y="5053264"/>
              <a:ext cx="449229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97</v>
      </c>
      <c r="B1" s="111"/>
      <c r="C1" s="111"/>
      <c r="D1" s="111"/>
      <c r="E1" s="111"/>
      <c r="F1" s="111"/>
      <c r="G1" s="1"/>
      <c r="J1" s="141" t="s">
        <v>98</v>
      </c>
      <c r="K1" s="142"/>
      <c r="L1" s="143"/>
    </row>
    <row r="2" spans="1:19" ht="20.100000000000001" customHeight="1">
      <c r="A2" s="3" t="s">
        <v>99</v>
      </c>
      <c r="B2" s="102"/>
      <c r="C2" s="102"/>
      <c r="D2" s="3" t="s">
        <v>100</v>
      </c>
      <c r="E2" s="102"/>
      <c r="F2" s="102"/>
      <c r="G2" s="102"/>
      <c r="H2" s="102"/>
      <c r="I2" s="4"/>
      <c r="J2" s="144" t="s">
        <v>101</v>
      </c>
      <c r="K2" s="145"/>
      <c r="L2" s="146"/>
    </row>
    <row r="3" spans="1:19" ht="20.100000000000001" customHeight="1">
      <c r="A3" s="3" t="s">
        <v>118</v>
      </c>
      <c r="B3" s="102"/>
      <c r="C3" s="102"/>
      <c r="D3" s="102"/>
      <c r="E3" s="147">
        <f>+L3</f>
        <v>45890</v>
      </c>
      <c r="F3" s="147"/>
      <c r="G3" s="147"/>
      <c r="H3" s="147"/>
      <c r="I3" s="147"/>
      <c r="J3" s="102"/>
      <c r="K3" s="102"/>
      <c r="L3" s="123">
        <v>45890</v>
      </c>
      <c r="M3" s="4"/>
    </row>
    <row r="4" spans="1:19" ht="15.95" customHeight="1">
      <c r="A4" s="148" t="s">
        <v>1</v>
      </c>
      <c r="B4" s="149" t="s">
        <v>2</v>
      </c>
      <c r="C4" s="149"/>
      <c r="D4" s="150" t="s">
        <v>3</v>
      </c>
      <c r="E4" s="151"/>
      <c r="F4" s="152"/>
      <c r="G4" s="156" t="s">
        <v>4</v>
      </c>
      <c r="H4" s="158" t="s">
        <v>5</v>
      </c>
      <c r="I4" s="158" t="s">
        <v>94</v>
      </c>
      <c r="J4" s="148" t="s">
        <v>95</v>
      </c>
      <c r="K4" s="158" t="s">
        <v>0</v>
      </c>
      <c r="L4" s="149" t="s">
        <v>6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114</v>
      </c>
      <c r="C6" s="130"/>
      <c r="D6" s="131" t="s">
        <v>115</v>
      </c>
      <c r="E6" s="132"/>
      <c r="F6" s="133"/>
      <c r="G6" s="112" t="s">
        <v>89</v>
      </c>
      <c r="H6" s="113">
        <v>1</v>
      </c>
      <c r="I6" s="114">
        <v>18000</v>
      </c>
      <c r="J6" s="114">
        <f>H6*I6</f>
        <v>18000</v>
      </c>
      <c r="K6" s="115" t="s">
        <v>106</v>
      </c>
      <c r="L6" s="116" t="s">
        <v>96</v>
      </c>
      <c r="S6" s="107"/>
    </row>
    <row r="7" spans="1:19" ht="22.5" customHeight="1">
      <c r="A7" s="5">
        <f t="shared" si="0"/>
        <v>2</v>
      </c>
      <c r="B7" s="129" t="s">
        <v>116</v>
      </c>
      <c r="C7" s="130"/>
      <c r="D7" s="140" t="s">
        <v>103</v>
      </c>
      <c r="E7" s="132"/>
      <c r="F7" s="133"/>
      <c r="G7" s="112" t="s">
        <v>104</v>
      </c>
      <c r="H7" s="113">
        <v>1</v>
      </c>
      <c r="I7" s="114">
        <v>4000</v>
      </c>
      <c r="J7" s="114">
        <f>H7*I7</f>
        <v>4000</v>
      </c>
      <c r="K7" s="115"/>
      <c r="L7" s="116" t="s">
        <v>105</v>
      </c>
      <c r="S7" s="107"/>
    </row>
    <row r="8" spans="1:19" ht="22.5" customHeight="1">
      <c r="A8" s="5">
        <f t="shared" si="0"/>
        <v>3</v>
      </c>
      <c r="B8" s="129"/>
      <c r="C8" s="130"/>
      <c r="D8" s="140"/>
      <c r="E8" s="132"/>
      <c r="F8" s="13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4" t="s">
        <v>7</v>
      </c>
      <c r="B16" s="135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22000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5" t="s">
        <v>16</v>
      </c>
      <c r="Q21" s="125" t="s">
        <v>17</v>
      </c>
    </row>
    <row r="22" spans="1:22" ht="18" customHeight="1">
      <c r="O22" s="18" t="s">
        <v>18</v>
      </c>
      <c r="P22" s="127"/>
      <c r="Q22" s="127"/>
      <c r="S22" s="13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20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20</v>
      </c>
      <c r="P46" s="125" t="s">
        <v>20</v>
      </c>
      <c r="Q46" s="125" t="s">
        <v>20</v>
      </c>
      <c r="T46" s="125" t="s">
        <v>21</v>
      </c>
      <c r="U46" s="125" t="s">
        <v>12</v>
      </c>
      <c r="V46" s="125" t="s">
        <v>20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20</v>
      </c>
      <c r="P50" s="125" t="s">
        <v>20</v>
      </c>
      <c r="Q50" s="125" t="s">
        <v>20</v>
      </c>
      <c r="T50" s="125" t="s">
        <v>12</v>
      </c>
      <c r="U50" s="125" t="s">
        <v>21</v>
      </c>
      <c r="V50" s="125" t="s">
        <v>20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70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2" t="str">
        <f>+MRS!J2</f>
        <v>Subcontract name (SAC2-SC-IK-SMP-01)</v>
      </c>
      <c r="K2" s="173"/>
    </row>
    <row r="3" spans="1:18" ht="24.95" customHeight="1">
      <c r="A3" s="3" t="str">
        <f>+MRS!A3</f>
        <v xml:space="preserve">  MRS No : SAC2-DS-MRS-0110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45890</v>
      </c>
    </row>
    <row r="4" spans="1:18" ht="15.95" customHeight="1">
      <c r="A4" s="174" t="s">
        <v>1</v>
      </c>
      <c r="B4" s="175" t="s">
        <v>22</v>
      </c>
      <c r="C4" s="175"/>
      <c r="D4" s="174" t="s">
        <v>3</v>
      </c>
      <c r="E4" s="174"/>
      <c r="F4" s="174"/>
      <c r="G4" s="175" t="s">
        <v>4</v>
      </c>
      <c r="H4" s="174" t="s">
        <v>90</v>
      </c>
      <c r="I4" s="174" t="s">
        <v>23</v>
      </c>
      <c r="J4" s="174" t="s">
        <v>24</v>
      </c>
      <c r="K4" s="175" t="s">
        <v>6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5" t="str">
        <f>MRS!B6</f>
        <v>Forklift</v>
      </c>
      <c r="C6" s="166"/>
      <c r="D6" s="167" t="str">
        <f>MRS!D6</f>
        <v>10 Ton with SPSP Certified Operator</v>
      </c>
      <c r="E6" s="168"/>
      <c r="F6" s="169"/>
      <c r="G6" s="104" t="str">
        <f>MRS!G6</f>
        <v>Month</v>
      </c>
      <c r="H6" s="104">
        <f>MRS!H6</f>
        <v>1</v>
      </c>
      <c r="I6" s="105">
        <f>MRS!I6</f>
        <v>18000</v>
      </c>
      <c r="J6" s="105">
        <f>MRS!J6</f>
        <v>18000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5" t="str">
        <f>MRS!B7</f>
        <v>Forklift Mob &amp; De-Mob. Charge</v>
      </c>
      <c r="C7" s="166"/>
      <c r="D7" s="167" t="str">
        <f>MRS!D7</f>
        <v>Mob. &amp; De-Mob. / per unit - lump sum</v>
      </c>
      <c r="E7" s="168"/>
      <c r="F7" s="169"/>
      <c r="G7" s="104" t="str">
        <f>MRS!G7</f>
        <v>L / S</v>
      </c>
      <c r="H7" s="104">
        <f>MRS!H7</f>
        <v>1</v>
      </c>
      <c r="I7" s="105">
        <f>MRS!I7</f>
        <v>4000</v>
      </c>
      <c r="J7" s="105">
        <f>MRS!J7</f>
        <v>4000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SheetLayoutView="130" workbookViewId="0">
      <selection activeCell="D12" sqref="D1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117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107</v>
      </c>
      <c r="D9" s="39"/>
      <c r="E9" s="39"/>
    </row>
    <row r="10" spans="2:13" s="39" customFormat="1">
      <c r="B10" s="72"/>
      <c r="C10" s="39" t="s">
        <v>31</v>
      </c>
      <c r="D10" s="76" t="s">
        <v>109</v>
      </c>
      <c r="J10" s="39" t="s">
        <v>32</v>
      </c>
      <c r="K10" s="177">
        <f>MRS!L3</f>
        <v>45890</v>
      </c>
      <c r="L10" s="178"/>
      <c r="M10" s="178"/>
    </row>
    <row r="11" spans="2:13" s="39" customFormat="1">
      <c r="B11" s="72"/>
      <c r="C11" s="75" t="s">
        <v>33</v>
      </c>
      <c r="D11" s="76" t="s">
        <v>122</v>
      </c>
      <c r="J11" s="39" t="s">
        <v>34</v>
      </c>
      <c r="K11" s="179" t="str">
        <f>SUBSTITUTE(SUBSTITUTE(+MRS!A3,"  MRS No : ",""),"-MRS","-PO")</f>
        <v>SAC2-DS-PO-0110</v>
      </c>
      <c r="L11" s="179"/>
      <c r="M11" s="179"/>
    </row>
    <row r="12" spans="2:13" s="39" customFormat="1">
      <c r="B12" s="72"/>
      <c r="C12" s="75" t="s">
        <v>35</v>
      </c>
      <c r="D12" s="39" t="s">
        <v>110</v>
      </c>
      <c r="J12" s="39" t="s">
        <v>36</v>
      </c>
    </row>
    <row r="13" spans="2:13" s="39" customFormat="1">
      <c r="B13" s="72"/>
      <c r="C13" s="77"/>
      <c r="D13" s="76" t="s">
        <v>111</v>
      </c>
      <c r="J13" s="39" t="s">
        <v>37</v>
      </c>
    </row>
    <row r="14" spans="2:13" s="39" customFormat="1">
      <c r="B14" s="72"/>
      <c r="C14" s="77" t="s">
        <v>112</v>
      </c>
      <c r="J14" s="39" t="s">
        <v>38</v>
      </c>
      <c r="K14" s="39" t="s">
        <v>119</v>
      </c>
    </row>
    <row r="15" spans="2:13" s="39" customFormat="1">
      <c r="B15" s="72"/>
      <c r="C15" s="77" t="s">
        <v>113</v>
      </c>
      <c r="J15" s="39" t="s">
        <v>39</v>
      </c>
      <c r="K15" s="78">
        <v>45890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120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96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102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NAZAR AHMED</v>
      </c>
    </row>
    <row r="60" spans="1:16" ht="18" customHeight="1">
      <c r="B60" s="26" t="s">
        <v>70</v>
      </c>
      <c r="J60" s="26" t="s">
        <v>71</v>
      </c>
      <c r="K60" s="22" t="s">
        <v>108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121</v>
      </c>
      <c r="J62" s="25" t="str">
        <f>C9</f>
        <v>TCO(Toekoms Contracting Company)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SAC2-DS-PO-0110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45890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TCO(Toekoms Contracting Company)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50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CONCATENATE(MRS!B6," ",MRS!D6)</f>
        <v>Forklift 10 Ton with SPSP Certified Operator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18000</v>
      </c>
      <c r="G6" s="89">
        <f>+'MRS LIST'!J6</f>
        <v>18000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 t="str">
        <f>+'MRS LIST'!B7</f>
        <v>Forklift Mob &amp; De-Mob. Charge</v>
      </c>
      <c r="C7" s="206"/>
      <c r="D7" s="86" t="str">
        <f>+'MRS LIST'!G7</f>
        <v>L / S</v>
      </c>
      <c r="E7" s="87">
        <f>+'MRS LIST'!H7</f>
        <v>1</v>
      </c>
      <c r="F7" s="88">
        <f>+'MRS LIST'!I7</f>
        <v>4000</v>
      </c>
      <c r="G7" s="89">
        <f>+'MRS LIST'!J7</f>
        <v>4000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5"/>
      <c r="C8" s="206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22000</v>
      </c>
      <c r="H18" s="59"/>
    </row>
    <row r="19" spans="1:13" s="55" customFormat="1" ht="23.1" customHeight="1">
      <c r="A19" s="185" t="s">
        <v>49</v>
      </c>
      <c r="B19" s="186"/>
      <c r="C19" s="186"/>
      <c r="D19" s="186"/>
      <c r="E19" s="186"/>
      <c r="F19" s="186"/>
      <c r="G19" s="58">
        <f>+G18*0.15</f>
        <v>3300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25300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TKMS/EQTN-2025-1287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2025-08-24T12:18:44Z</cp:lastPrinted>
  <dcterms:created xsi:type="dcterms:W3CDTF">2024-10-20T11:50:19Z</dcterms:created>
  <dcterms:modified xsi:type="dcterms:W3CDTF">2025-08-24T12:31:43Z</dcterms:modified>
</cp:coreProperties>
</file>