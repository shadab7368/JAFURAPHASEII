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29EEB7B-A654-467E-B7D0-7E2D764B35D7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A8" i="1"/>
  <c r="A9" i="1"/>
  <c r="A10" i="1"/>
  <c r="A11" i="1"/>
  <c r="A12" i="1"/>
  <c r="A13" i="1"/>
  <c r="A14" i="1"/>
  <c r="A15" i="1"/>
  <c r="J11" i="1"/>
  <c r="J10" i="1"/>
  <c r="F6" i="4"/>
  <c r="E6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G6" i="4" l="1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<sst xmlns="http://schemas.openxmlformats.org/spreadsheetml/2006/main" count="171" uniqueCount="132">
  <si>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</si>
  <si>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</si>
  <si>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</si>
  <si>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</si>
  <si>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</si>
  <si>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</si>
  <si>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</si>
  <si>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</si>
  <si>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</si>
  <si>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</si>
  <si>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</si>
  <si>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</si>
  <si>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</si>
  <si>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</si>
  <si>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</si>
  <si>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</si>
  <si>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</si>
  <si>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</si>
  <si>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</si>
  <si>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</si>
  <si>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</si>
  <si>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</si>
  <si>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</si>
  <si>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</si>
  <si>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</si>
  <si>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</si>
  <si>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</si>
  <si>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</si>
  <si>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</si>
  <si>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</si>
  <si>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</si>
  <si>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</si>
  <si>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</si>
  <si>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</si>
  <si>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</si>
  <si>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</si>
  <si>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</si>
  <si>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</si>
  <si>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</si>
  <si>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</si>
  <si>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</si>
  <si>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</si>
  <si>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</si>
  <si>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</si>
  <si>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</si>
  <si>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</si>
  <si>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</si>
  <si>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</si>
  <si>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</si>
  <si>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</si>
  <si>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</si>
  <si>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</si>
  <si>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</si>
  <si>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</si>
  <si>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</si>
  <si>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</si>
  <si>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</si>
  <si>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</si>
  <si>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</si>
  <si>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</si>
  <si>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</si>
  <si>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</si>
  <si>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</si>
  <si>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</si>
  <si>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</si>
  <si>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</si>
  <si>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</si>
  <si>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</si>
  <si>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</si>
  <si>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</si>
  <si>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</si>
  <si>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</si>
  <si>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</si>
  <si>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</si>
  <si>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</si>
  <si>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</si>
  <si>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</si>
  <si>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</si>
  <si>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</si>
  <si>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</si>
  <si>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</si>
  <si>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</si>
  <si>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</si>
  <si>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</si>
  <si>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</si>
  <si>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</si>
  <si>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</si>
  <si>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</si>
  <si>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</si>
  <si>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</si>
  <si>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</si>
  <si>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</si>
  <si>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</si>
  <si>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</si>
  <si>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</si>
  <si>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</si>
  <si>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</si>
  <si>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</si>
  <si>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</si>
  <si>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</si>
  <si>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</si>
  <si>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</si>
  <si>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</si>
  <si>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</si>
  <si>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</si>
  <si>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</si>
  <si>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</si>
  <si>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</si>
  <si>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</si>
  <si>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</si>
  <si>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</si>
  <si>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</si>
  <si>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</si>
  <si>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</si>
  <si>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</si>
  <si>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</si>
  <si>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</si>
  <si>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</si>
  <si>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</si>
  <si>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</si>
  <si>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</si>
  <si>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</si>
  <si>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</si>
  <si>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</si>
  <si>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</si>
  <si>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</si>
  <si>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</si>
  <si>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SA74 1000 0001 4000 2058 0706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</si>
  <si>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-MRS-0356</t>
    </r>
  </si>
  <si>
    <t>FRC Coverall</t>
  </si>
  <si>
    <t>MRA/SQ000156</t>
  </si>
  <si>
    <t>FRC Caverall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</si>
</sst>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3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9" t="s">
        <v>99</v>
      </c>
      <c r="B1" s="105"/>
      <c r="C1" s="105"/>
      <c r="D1" s="105"/>
      <c r="E1" s="105"/>
      <c r="F1" s="105"/>
      <c r="G1" s="1"/>
      <c r="J1" s="138" t="s">
        <v>88</v>
      </c>
      <c r="K1" s="139"/>
      <c r="L1" s="140"/>
    </row>
    <row r="2" spans="1:19" ht="20.100000000000001" customHeight="1">
      <c r="A2" s="3" t="s">
        <v>1</v>
      </c>
      <c r="B2" s="96"/>
      <c r="C2" s="96"/>
      <c r="D2" s="3" t="s">
        <v>97</v>
      </c>
      <c r="E2" s="96"/>
      <c r="F2" s="96"/>
      <c r="G2" s="96"/>
      <c r="H2" s="96"/>
      <c r="I2" s="4"/>
      <c r="J2" s="141" t="s">
        <v>98</v>
      </c>
      <c r="K2" s="142"/>
      <c r="L2" s="143"/>
    </row>
    <row r="3" spans="1:19" ht="20.100000000000001" customHeight="1">
      <c r="A3" s="3" t="s">
        <v>128</v>
      </c>
      <c r="B3" s="96"/>
      <c r="C3" s="96"/>
      <c r="D3" s="96"/>
      <c r="E3" s="144">
        <f>+L3</f>
        <v>46210</v>
      </c>
      <c r="F3" s="144"/>
      <c r="G3" s="144"/>
      <c r="H3" s="144"/>
      <c r="I3" s="144"/>
      <c r="J3" s="96"/>
      <c r="K3" s="96"/>
      <c r="L3" s="117">
        <v>46210</v>
      </c>
      <c r="M3" s="4"/>
    </row>
    <row r="4" spans="1:19" ht="15.95" customHeight="1">
      <c r="A4" s="145" t="s">
        <v>2</v>
      </c>
      <c r="B4" s="146" t="s">
        <v>3</v>
      </c>
      <c r="C4" s="146"/>
      <c r="D4" s="147" t="s">
        <v>4</v>
      </c>
      <c r="E4" s="148"/>
      <c r="F4" s="149"/>
      <c r="G4" s="153" t="s">
        <v>5</v>
      </c>
      <c r="H4" s="155" t="s">
        <v>6</v>
      </c>
      <c r="I4" s="155" t="s">
        <v>92</v>
      </c>
      <c r="J4" s="145" t="s">
        <v>93</v>
      </c>
      <c r="K4" s="155" t="s">
        <v>0</v>
      </c>
      <c r="L4" s="146" t="s">
        <v>7</v>
      </c>
    </row>
    <row r="5" spans="1:19" ht="15.95" customHeight="1">
      <c r="A5" s="145"/>
      <c r="B5" s="146"/>
      <c r="C5" s="146"/>
      <c r="D5" s="150"/>
      <c r="E5" s="151"/>
      <c r="F5" s="152"/>
      <c r="G5" s="154"/>
      <c r="H5" s="156"/>
      <c r="I5" s="156"/>
      <c r="J5" s="145"/>
      <c r="K5" s="156"/>
      <c r="L5" s="146"/>
    </row>
    <row r="6" spans="1:19" ht="22.5" customHeight="1">
      <c r="A6" s="5">
        <f t="shared" ref="A6:A15" si="0">ROW(A1)</f>
        <v>1</v>
      </c>
      <c r="B6" s="132" t="s">
        <v>129</v>
      </c>
      <c r="C6" s="133"/>
      <c r="D6" s="134"/>
      <c r="E6" s="134"/>
      <c r="F6" s="134"/>
      <c r="G6" s="106" t="s">
        <v>95</v>
      </c>
      <c r="H6" s="107">
        <v>300</v>
      </c>
      <c r="I6" s="108">
        <v>168</v>
      </c>
      <c r="J6" s="108">
        <f>H6*I6</f>
        <v>50400</v>
      </c>
      <c r="K6" s="109" t="s">
        <v>111</v>
      </c>
      <c r="L6" s="121" t="s">
        <v>112</v>
      </c>
      <c r="S6" s="101"/>
    </row>
    <row r="7" spans="1:19" ht="22.5" customHeight="1">
      <c r="A7" s="5">
        <f t="shared" si="0"/>
        <v>2</v>
      </c>
      <c r="B7" s="132"/>
      <c r="C7" s="133"/>
      <c r="D7" s="134"/>
      <c r="E7" s="134"/>
      <c r="F7" s="134"/>
      <c r="G7" s="106"/>
      <c r="H7" s="107"/>
      <c r="I7" s="108"/>
      <c r="J7" s="108"/>
      <c r="K7" s="109"/>
      <c r="L7" s="110"/>
      <c r="S7" s="101"/>
    </row>
    <row r="8" spans="1:19" ht="22.5" customHeight="1">
      <c r="A8" s="5">
        <f t="shared" si="0"/>
        <v>3</v>
      </c>
      <c r="B8" s="132"/>
      <c r="C8" s="133"/>
      <c r="D8" s="134"/>
      <c r="E8" s="134"/>
      <c r="F8" s="134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32"/>
      <c r="C9" s="133"/>
      <c r="D9" s="135"/>
      <c r="E9" s="136"/>
      <c r="F9" s="137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32"/>
      <c r="C10" s="133"/>
      <c r="D10" s="135"/>
      <c r="E10" s="136"/>
      <c r="F10" s="137"/>
      <c r="G10" s="106"/>
      <c r="H10" s="107"/>
      <c r="I10" s="111"/>
      <c r="J10" s="108">
        <f t="shared" ref="J7:J15" si="1">H10*I10</f>
        <v>0</v>
      </c>
      <c r="K10" s="109"/>
      <c r="L10" s="106"/>
      <c r="S10" s="101"/>
    </row>
    <row r="11" spans="1:19" ht="22.5" customHeight="1">
      <c r="A11" s="5">
        <f t="shared" si="0"/>
        <v>6</v>
      </c>
      <c r="B11" s="132"/>
      <c r="C11" s="133"/>
      <c r="D11" s="135"/>
      <c r="E11" s="136"/>
      <c r="F11" s="137"/>
      <c r="G11" s="106"/>
      <c r="H11" s="107"/>
      <c r="I11" s="108"/>
      <c r="J11" s="108">
        <f t="shared" si="1"/>
        <v>0</v>
      </c>
      <c r="K11" s="109"/>
      <c r="L11" s="110"/>
      <c r="S11" s="101"/>
    </row>
    <row r="12" spans="1:19" ht="22.5" customHeight="1">
      <c r="A12" s="5">
        <f t="shared" si="0"/>
        <v>7</v>
      </c>
      <c r="B12" s="132"/>
      <c r="C12" s="133"/>
      <c r="D12" s="134"/>
      <c r="E12" s="134"/>
      <c r="F12" s="134"/>
      <c r="G12" s="106"/>
      <c r="H12" s="107"/>
      <c r="I12" s="111"/>
      <c r="J12" s="108">
        <f t="shared" si="1"/>
        <v>0</v>
      </c>
      <c r="K12" s="109"/>
      <c r="L12" s="106"/>
      <c r="S12" s="101"/>
    </row>
    <row r="13" spans="1:19" ht="22.5" customHeight="1">
      <c r="A13" s="5">
        <f t="shared" si="0"/>
        <v>8</v>
      </c>
      <c r="B13" s="132"/>
      <c r="C13" s="133"/>
      <c r="D13" s="135"/>
      <c r="E13" s="136"/>
      <c r="F13" s="137"/>
      <c r="G13" s="106"/>
      <c r="H13" s="107"/>
      <c r="I13" s="108"/>
      <c r="J13" s="108">
        <f t="shared" si="1"/>
        <v>0</v>
      </c>
      <c r="K13" s="109"/>
      <c r="L13" s="110"/>
      <c r="S13" s="101"/>
    </row>
    <row r="14" spans="1:19" ht="22.5" customHeight="1">
      <c r="A14" s="5">
        <f t="shared" si="0"/>
        <v>9</v>
      </c>
      <c r="B14" s="132"/>
      <c r="C14" s="133"/>
      <c r="D14" s="135"/>
      <c r="E14" s="136"/>
      <c r="F14" s="137"/>
      <c r="G14" s="106"/>
      <c r="H14" s="107"/>
      <c r="I14" s="108"/>
      <c r="J14" s="108">
        <f t="shared" si="1"/>
        <v>0</v>
      </c>
      <c r="K14" s="109"/>
      <c r="L14" s="110"/>
      <c r="S14" s="101"/>
    </row>
    <row r="15" spans="1:19" ht="22.5" customHeight="1">
      <c r="A15" s="5">
        <f t="shared" si="0"/>
        <v>10</v>
      </c>
      <c r="B15" s="132"/>
      <c r="C15" s="133"/>
      <c r="D15" s="135"/>
      <c r="E15" s="136"/>
      <c r="F15" s="137"/>
      <c r="G15" s="106"/>
      <c r="H15" s="107"/>
      <c r="I15" s="108"/>
      <c r="J15" s="108">
        <f t="shared" si="1"/>
        <v>0</v>
      </c>
      <c r="K15" s="109"/>
      <c r="L15" s="110"/>
      <c r="S15" s="101"/>
    </row>
    <row r="16" spans="1:19" ht="22.5" customHeight="1">
      <c r="A16" s="128" t="s">
        <v>8</v>
      </c>
      <c r="B16" s="129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50400</v>
      </c>
      <c r="K16" s="108"/>
      <c r="L16" s="116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0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1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0" t="s">
        <v>20</v>
      </c>
      <c r="T22" s="12" t="s">
        <v>12</v>
      </c>
      <c r="U22" s="12" t="s">
        <v>13</v>
      </c>
      <c r="V22" s="12" t="s">
        <v>14</v>
      </c>
    </row>
    <row r="23" spans="1:22" ht="49.5" customHeight="1">
      <c r="O23" s="14"/>
      <c r="P23" s="14"/>
      <c r="Q23" s="14"/>
      <c r="S23" s="131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B14:C14"/>
    <mergeCell ref="D14:F14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94</v>
      </c>
      <c r="B1" s="95"/>
      <c r="C1" s="95"/>
      <c r="D1" s="95"/>
      <c r="E1" s="95"/>
      <c r="F1" s="95"/>
      <c r="G1" s="1"/>
      <c r="J1" s="138" t="str">
        <f>+MRS!J1</f>
        <v>DAESHIN PLANT</v>
      </c>
      <c r="K1" s="140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SAC2-DS-MRS-0356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46210</v>
      </c>
    </row>
    <row r="4" spans="1:18" ht="15.95" customHeight="1">
      <c r="A4" s="167" t="s">
        <v>2</v>
      </c>
      <c r="B4" s="168" t="s">
        <v>23</v>
      </c>
      <c r="C4" s="168"/>
      <c r="D4" s="167" t="s">
        <v>4</v>
      </c>
      <c r="E4" s="167"/>
      <c r="F4" s="167"/>
      <c r="G4" s="168" t="s">
        <v>5</v>
      </c>
      <c r="H4" s="167" t="s">
        <v>89</v>
      </c>
      <c r="I4" s="167" t="s">
        <v>24</v>
      </c>
      <c r="J4" s="167" t="s">
        <v>25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57" t="str">
        <f>MRS!B6</f>
        <v>FRC Coverall</v>
      </c>
      <c r="C6" s="158"/>
      <c r="D6" s="159">
        <f>MRS!D6</f>
        <v>0</v>
      </c>
      <c r="E6" s="160"/>
      <c r="F6" s="161"/>
      <c r="G6" s="98" t="str">
        <f>MRS!G6</f>
        <v>EA</v>
      </c>
      <c r="H6" s="98">
        <f>MRS!H6</f>
        <v>300</v>
      </c>
      <c r="I6" s="99">
        <f>MRS!I6</f>
        <v>168</v>
      </c>
      <c r="J6" s="99">
        <f>MRS!J6</f>
        <v>50400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57">
        <f>MRS!B7</f>
        <v>0</v>
      </c>
      <c r="C7" s="158"/>
      <c r="D7" s="159">
        <f>MRS!D7</f>
        <v>0</v>
      </c>
      <c r="E7" s="160"/>
      <c r="F7" s="161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57">
        <f>MRS!B8</f>
        <v>0</v>
      </c>
      <c r="C8" s="158"/>
      <c r="D8" s="159">
        <f>MRS!D8</f>
        <v>0</v>
      </c>
      <c r="E8" s="160"/>
      <c r="F8" s="161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57">
        <f>MRS!B9</f>
        <v>0</v>
      </c>
      <c r="C9" s="158"/>
      <c r="D9" s="159">
        <f>MRS!D9</f>
        <v>0</v>
      </c>
      <c r="E9" s="160"/>
      <c r="F9" s="161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57">
        <f>MRS!B10</f>
        <v>0</v>
      </c>
      <c r="C10" s="158"/>
      <c r="D10" s="159">
        <f>MRS!D10</f>
        <v>0</v>
      </c>
      <c r="E10" s="160"/>
      <c r="F10" s="161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57">
        <f>MRS!B11</f>
        <v>0</v>
      </c>
      <c r="C11" s="158"/>
      <c r="D11" s="159">
        <f>MRS!D11</f>
        <v>0</v>
      </c>
      <c r="E11" s="160"/>
      <c r="F11" s="161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57">
        <f>MRS!B12</f>
        <v>0</v>
      </c>
      <c r="C12" s="158"/>
      <c r="D12" s="159">
        <f>MRS!D12</f>
        <v>0</v>
      </c>
      <c r="E12" s="160"/>
      <c r="F12" s="161"/>
      <c r="G12" s="98">
        <f>MRS!G12</f>
        <v>0</v>
      </c>
      <c r="H12" s="98">
        <f>MRS!H12</f>
        <v>0</v>
      </c>
      <c r="I12" s="99">
        <f>MRS!I12</f>
        <v>0</v>
      </c>
      <c r="J12" s="99">
        <f>MRS!J12</f>
        <v>0</v>
      </c>
      <c r="K12" s="100"/>
      <c r="O12" s="101"/>
      <c r="P12" s="101"/>
      <c r="R12" s="101"/>
    </row>
    <row r="13" spans="1:18" ht="105" customHeight="1">
      <c r="A13" s="21">
        <f>+MRS!A13</f>
        <v>8</v>
      </c>
      <c r="B13" s="157">
        <f>MRS!B13</f>
        <v>0</v>
      </c>
      <c r="C13" s="158"/>
      <c r="D13" s="159">
        <f>MRS!D13</f>
        <v>0</v>
      </c>
      <c r="E13" s="160"/>
      <c r="F13" s="161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21">
        <f>+MRS!A15</f>
        <v>10</v>
      </c>
      <c r="B14" s="157">
        <f>MRS!B14</f>
        <v>0</v>
      </c>
      <c r="C14" s="158"/>
      <c r="D14" s="159">
        <f>MRS!D14</f>
        <v>0</v>
      </c>
      <c r="E14" s="160"/>
      <c r="F14" s="161"/>
      <c r="G14" s="98">
        <f>MRS!G14</f>
        <v>0</v>
      </c>
      <c r="H14" s="98">
        <f>MRS!H14</f>
        <v>0</v>
      </c>
      <c r="I14" s="99">
        <f>MRS!I14</f>
        <v>0</v>
      </c>
      <c r="J14" s="99">
        <f>MRS!J14</f>
        <v>0</v>
      </c>
      <c r="K14" s="100"/>
      <c r="O14" s="101"/>
      <c r="P14" s="101"/>
      <c r="R14" s="101"/>
    </row>
    <row r="15" spans="1:18" ht="105" customHeight="1">
      <c r="A15" s="21" t="e">
        <f>+MRS!#REF!</f>
        <v>#REF!</v>
      </c>
      <c r="B15" s="157">
        <f>MRS!B15</f>
        <v>0</v>
      </c>
      <c r="C15" s="158"/>
      <c r="D15" s="159">
        <f>MRS!D15</f>
        <v>0</v>
      </c>
      <c r="E15" s="160"/>
      <c r="F15" s="161"/>
      <c r="G15" s="98">
        <f>MRS!G15</f>
        <v>0</v>
      </c>
      <c r="H15" s="98">
        <f>MRS!H15</f>
        <v>0</v>
      </c>
      <c r="I15" s="99">
        <f>MRS!I15</f>
        <v>0</v>
      </c>
      <c r="J15" s="99">
        <f>MRS!J15</f>
        <v>0</v>
      </c>
      <c r="K15" s="100"/>
      <c r="O15" s="101"/>
      <c r="P15" s="101"/>
      <c r="R15" s="101"/>
    </row>
    <row r="16" spans="1:18" ht="105" customHeight="1">
      <c r="A16" s="21" t="e">
        <f>+MRS!#REF!</f>
        <v>#REF!</v>
      </c>
      <c r="B16" s="157" t="e">
        <f>MRS!#REF!</f>
        <v>#REF!</v>
      </c>
      <c r="C16" s="158"/>
      <c r="D16" s="159" t="e">
        <f>MRS!#REF!</f>
        <v>#REF!</v>
      </c>
      <c r="E16" s="160"/>
      <c r="F16" s="161"/>
      <c r="G16" s="98" t="e">
        <f>MRS!#REF!</f>
        <v>#REF!</v>
      </c>
      <c r="H16" s="98" t="e">
        <f>MRS!#REF!</f>
        <v>#REF!</v>
      </c>
      <c r="I16" s="99" t="e">
        <f>MRS!#REF!</f>
        <v>#REF!</v>
      </c>
      <c r="J16" s="99" t="e">
        <f>MRS!#REF!</f>
        <v>#REF!</v>
      </c>
      <c r="K16" s="100"/>
      <c r="O16" s="101"/>
      <c r="P16" s="101"/>
      <c r="R16" s="101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1" zoomScale="130" zoomScaleNormal="100" zoomScaleSheetLayoutView="130" workbookViewId="0">
      <selection activeCell="G28" sqref="G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85546875" style="26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101</v>
      </c>
      <c r="D10" s="76" t="s">
        <v>102</v>
      </c>
      <c r="J10" s="39" t="s">
        <v>33</v>
      </c>
      <c r="K10" s="170">
        <f>MRS!L3</f>
        <v>46210</v>
      </c>
      <c r="L10" s="171"/>
      <c r="M10" s="171"/>
    </row>
    <row r="11" spans="2:13" s="39" customFormat="1">
      <c r="B11" s="72"/>
      <c r="C11" s="75" t="s">
        <v>103</v>
      </c>
      <c r="D11" s="76" t="s">
        <v>104</v>
      </c>
      <c r="J11" s="39" t="s">
        <v>34</v>
      </c>
      <c r="K11" s="172" t="str">
        <f>SUBSTITUTE(SUBSTITUTE(+MRS!A3,"  MRS No : ",""),"-MRS","-PO")</f>
        <v>SAC2-DS-PO-0356</v>
      </c>
      <c r="L11" s="172"/>
      <c r="M11" s="172"/>
    </row>
    <row r="12" spans="2:13" s="39" customFormat="1">
      <c r="B12" s="72"/>
      <c r="C12" s="75" t="s">
        <v>105</v>
      </c>
      <c r="D12" s="39" t="s">
        <v>106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130</v>
      </c>
    </row>
    <row r="15" spans="2:13" s="39" customFormat="1">
      <c r="B15" s="72"/>
      <c r="C15" s="77" t="s">
        <v>109</v>
      </c>
      <c r="J15" s="39" t="s">
        <v>38</v>
      </c>
      <c r="K15" s="78">
        <v>46207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3" t="s">
        <v>39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31" customFormat="1" ht="12" customHeight="1">
      <c r="B20" s="174" t="s">
        <v>40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31" customFormat="1" ht="12" customHeight="1">
      <c r="B21" s="174" t="s">
        <v>41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31" customFormat="1" ht="12" customHeight="1">
      <c r="B22" s="174" t="s">
        <v>42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131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0">
        <f>'PO 2nd page'!G20</f>
        <v>50400</v>
      </c>
      <c r="G29" s="12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0">
        <f>'PO 2nd page'!G21</f>
        <v>7560</v>
      </c>
      <c r="G30" s="120"/>
    </row>
    <row r="31" spans="2:13" ht="15" customHeight="1">
      <c r="B31" s="32"/>
      <c r="C31" s="26" t="s">
        <v>49</v>
      </c>
      <c r="D31" s="35"/>
      <c r="E31" s="26" t="s">
        <v>47</v>
      </c>
      <c r="F31" s="120">
        <f>'PO 2nd page'!G22</f>
        <v>57960</v>
      </c>
      <c r="G31" s="12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114</v>
      </c>
    </row>
    <row r="54" spans="2:16" ht="12" customHeight="1">
      <c r="B54" s="84" t="s">
        <v>63</v>
      </c>
      <c r="C54" s="122" t="s">
        <v>120</v>
      </c>
      <c r="F54" s="26" t="s">
        <v>118</v>
      </c>
    </row>
    <row r="55" spans="2:16" ht="12" customHeight="1">
      <c r="B55" s="84" t="s">
        <v>63</v>
      </c>
      <c r="C55" s="122" t="s">
        <v>121</v>
      </c>
      <c r="F55" s="123" t="s">
        <v>119</v>
      </c>
    </row>
    <row r="56" spans="2:16" ht="12" customHeight="1">
      <c r="B56" s="84" t="s">
        <v>63</v>
      </c>
      <c r="C56" s="122" t="s">
        <v>122</v>
      </c>
      <c r="F56" s="26" t="s">
        <v>127</v>
      </c>
    </row>
    <row r="57" spans="2:16" ht="12" customHeight="1">
      <c r="B57" s="84" t="s">
        <v>63</v>
      </c>
      <c r="C57" s="122" t="s">
        <v>123</v>
      </c>
      <c r="F57" s="26" t="s">
        <v>115</v>
      </c>
    </row>
    <row r="58" spans="2:16" ht="12" customHeight="1">
      <c r="B58" s="84" t="s">
        <v>63</v>
      </c>
      <c r="C58" s="122" t="s">
        <v>124</v>
      </c>
      <c r="F58" s="26" t="s">
        <v>116</v>
      </c>
    </row>
    <row r="59" spans="2:16" ht="12" customHeight="1">
      <c r="B59" s="84" t="s">
        <v>63</v>
      </c>
      <c r="C59" s="122" t="s">
        <v>125</v>
      </c>
      <c r="F59" s="26" t="s">
        <v>117</v>
      </c>
    </row>
    <row r="60" spans="2:16" ht="12" customHeight="1">
      <c r="B60" s="84"/>
      <c r="C60" s="122" t="s">
        <v>126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110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113</v>
      </c>
      <c r="J70" s="177" t="str">
        <f>C9</f>
        <v>MRA(MRA General Contracting Est.)</v>
      </c>
      <c r="K70" s="177"/>
      <c r="L70" s="177"/>
      <c r="M70" s="177"/>
    </row>
    <row r="71" spans="1:13" ht="27.95" customHeight="1">
      <c r="A71" s="169" t="s">
        <v>73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topLeftCell="A4" zoomScaleSheetLayoutView="100" zoomScalePageLayoutView="55" workbookViewId="0">
      <selection activeCell="K7" sqref="K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SAC2-DS-PO-0356</v>
      </c>
      <c r="C2" s="184" t="s">
        <v>75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46210</v>
      </c>
      <c r="C3" s="51"/>
      <c r="D3" s="52"/>
      <c r="E3" s="185" t="s">
        <v>77</v>
      </c>
      <c r="F3" s="185"/>
      <c r="G3" s="185"/>
      <c r="H3" s="185"/>
      <c r="I3" s="53"/>
    </row>
    <row r="4" spans="1:13" s="55" customFormat="1" ht="28.5" customHeight="1" thickTop="1">
      <c r="A4" s="186" t="s">
        <v>78</v>
      </c>
      <c r="B4" s="188" t="s">
        <v>79</v>
      </c>
      <c r="C4" s="189"/>
      <c r="D4" s="192" t="s">
        <v>80</v>
      </c>
      <c r="E4" s="192" t="s">
        <v>81</v>
      </c>
      <c r="F4" s="194" t="str">
        <f>'PO 1st page'!C9</f>
        <v>MRA(MRA General Contracting Est.)</v>
      </c>
      <c r="G4" s="195"/>
      <c r="H4" s="196" t="s">
        <v>82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83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5">
        <f t="shared" ref="A6:A19" si="0">ROW(A1)</f>
        <v>1</v>
      </c>
      <c r="B6" s="182" t="str">
        <f>CONCATENATE(MRS!B6," ",MRS!D6)</f>
        <v xml:space="preserve">FRC Coverall </v>
      </c>
      <c r="C6" s="183"/>
      <c r="D6" s="86" t="str">
        <f>MRS!G6</f>
        <v>EA</v>
      </c>
      <c r="E6" s="87">
        <f>MRS!H6</f>
        <v>300</v>
      </c>
      <c r="F6" s="88">
        <f>MRS!I6</f>
        <v>168</v>
      </c>
      <c r="G6" s="89">
        <f>F6*E6</f>
        <v>50400</v>
      </c>
      <c r="H6" s="90" t="str">
        <f>MRS!L6</f>
        <v>One time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CONCATENATE(MRS!B7," ",MRS!D7)</f>
        <v xml:space="preserve"> </v>
      </c>
      <c r="C7" s="18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CONCATENATE(MRS!B8," ",MRS!D8)</f>
        <v xml:space="preserve"> </v>
      </c>
      <c r="C8" s="183"/>
      <c r="D8" s="86"/>
      <c r="E8" s="87"/>
      <c r="F8" s="88"/>
      <c r="G8" s="89"/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CONCATENATE(MRS!B9," ",MRS!D9)</f>
        <v xml:space="preserve"> </v>
      </c>
      <c r="C9" s="183"/>
      <c r="D9" s="86"/>
      <c r="E9" s="87"/>
      <c r="F9" s="88"/>
      <c r="G9" s="89"/>
      <c r="H9" s="94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4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4"/>
    </row>
    <row r="12" spans="1:13" s="55" customFormat="1" ht="32.1" customHeight="1">
      <c r="A12" s="93">
        <f t="shared" si="0"/>
        <v>7</v>
      </c>
      <c r="B12" s="182"/>
      <c r="C12" s="183"/>
      <c r="D12" s="86"/>
      <c r="E12" s="87"/>
      <c r="F12" s="88"/>
      <c r="G12" s="89"/>
      <c r="H12" s="94"/>
    </row>
    <row r="13" spans="1:13" s="55" customFormat="1" ht="32.1" customHeight="1">
      <c r="A13" s="93">
        <f t="shared" si="0"/>
        <v>8</v>
      </c>
      <c r="B13" s="182"/>
      <c r="C13" s="183"/>
      <c r="D13" s="86"/>
      <c r="E13" s="87"/>
      <c r="F13" s="88"/>
      <c r="G13" s="89"/>
      <c r="H13" s="94"/>
    </row>
    <row r="14" spans="1:13" s="55" customFormat="1" ht="32.1" customHeight="1">
      <c r="A14" s="93">
        <f t="shared" si="0"/>
        <v>9</v>
      </c>
      <c r="B14" s="182"/>
      <c r="C14" s="183"/>
      <c r="D14" s="86"/>
      <c r="E14" s="87"/>
      <c r="F14" s="88"/>
      <c r="G14" s="89"/>
      <c r="H14" s="94"/>
    </row>
    <row r="15" spans="1:13" s="55" customFormat="1" ht="32.1" customHeight="1">
      <c r="A15" s="93">
        <f t="shared" si="0"/>
        <v>10</v>
      </c>
      <c r="B15" s="182"/>
      <c r="C15" s="183"/>
      <c r="D15" s="86"/>
      <c r="E15" s="87"/>
      <c r="F15" s="88"/>
      <c r="G15" s="89"/>
      <c r="H15" s="94"/>
    </row>
    <row r="16" spans="1:13" s="55" customFormat="1" ht="32.1" customHeight="1">
      <c r="A16" s="93">
        <f t="shared" si="0"/>
        <v>11</v>
      </c>
      <c r="B16" s="182"/>
      <c r="C16" s="183"/>
      <c r="D16" s="86"/>
      <c r="E16" s="87"/>
      <c r="F16" s="88"/>
      <c r="G16" s="89"/>
      <c r="H16" s="94"/>
    </row>
    <row r="17" spans="1:13" s="55" customFormat="1" ht="32.1" customHeight="1">
      <c r="A17" s="93">
        <f t="shared" si="0"/>
        <v>12</v>
      </c>
      <c r="B17" s="182"/>
      <c r="C17" s="183"/>
      <c r="D17" s="86"/>
      <c r="E17" s="87"/>
      <c r="F17" s="88"/>
      <c r="G17" s="89"/>
      <c r="H17" s="94"/>
    </row>
    <row r="18" spans="1:13" s="55" customFormat="1" ht="32.1" customHeight="1">
      <c r="A18" s="93">
        <f t="shared" si="0"/>
        <v>13</v>
      </c>
      <c r="B18" s="182"/>
      <c r="C18" s="183"/>
      <c r="D18" s="86"/>
      <c r="E18" s="87"/>
      <c r="F18" s="88"/>
      <c r="G18" s="89"/>
      <c r="H18" s="94"/>
    </row>
    <row r="19" spans="1:13" s="55" customFormat="1" ht="32.1" customHeight="1">
      <c r="A19" s="93">
        <f t="shared" si="0"/>
        <v>14</v>
      </c>
      <c r="B19" s="182"/>
      <c r="C19" s="183"/>
      <c r="D19" s="86"/>
      <c r="E19" s="87"/>
      <c r="F19" s="88"/>
      <c r="G19" s="89"/>
      <c r="H19" s="94"/>
    </row>
    <row r="20" spans="1:13" s="55" customFormat="1" ht="23.1" customHeight="1">
      <c r="A20" s="178" t="s">
        <v>84</v>
      </c>
      <c r="B20" s="179"/>
      <c r="C20" s="179"/>
      <c r="D20" s="179"/>
      <c r="E20" s="179"/>
      <c r="F20" s="179"/>
      <c r="G20" s="58">
        <f>SUM(G6:G19)</f>
        <v>50400</v>
      </c>
      <c r="H20" s="59"/>
    </row>
    <row r="21" spans="1:13" s="55" customFormat="1" ht="23.1" customHeight="1">
      <c r="A21" s="178" t="s">
        <v>48</v>
      </c>
      <c r="B21" s="179"/>
      <c r="C21" s="179"/>
      <c r="D21" s="179"/>
      <c r="E21" s="179"/>
      <c r="F21" s="179"/>
      <c r="G21" s="58">
        <f>+G20*0.15</f>
        <v>7560</v>
      </c>
      <c r="H21" s="59"/>
    </row>
    <row r="22" spans="1:13" s="55" customFormat="1" ht="24.95" customHeight="1" thickBot="1">
      <c r="A22" s="180" t="s">
        <v>85</v>
      </c>
      <c r="B22" s="181"/>
      <c r="C22" s="181"/>
      <c r="D22" s="181"/>
      <c r="E22" s="181"/>
      <c r="F22" s="181"/>
      <c r="G22" s="60">
        <f>G21+G20</f>
        <v>57960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MRA/SQ000156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86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69" t="s">
        <v>87</v>
      </c>
      <c r="B26" s="169"/>
      <c r="C26" s="169"/>
      <c r="D26" s="169"/>
      <c r="E26" s="169"/>
      <c r="F26" s="169"/>
      <c r="G26" s="169"/>
      <c r="H26" s="169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2026-07-07T13:01:38Z</cp:lastPrinted>
  <dcterms:created xsi:type="dcterms:W3CDTF">2024-10-20T11:50:19Z</dcterms:created>
  <dcterms:modified xsi:type="dcterms:W3CDTF">2026-07-07T13:07:45Z</dcterms:modified>
</cp:coreProperties>
</file>