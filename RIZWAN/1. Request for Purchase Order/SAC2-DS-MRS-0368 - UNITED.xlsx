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FD2C0D4-162E-4D13-9E2F-3A1FC3F4E9BA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H8" i="4"/>
  <c r="D8" i="4"/>
  <c r="E8" i="4"/>
  <c r="F8" i="4"/>
  <c r="G8" i="4"/>
  <c r="D7" i="4"/>
  <c r="E7" i="4"/>
  <c r="F7" i="4"/>
  <c r="G7" i="4"/>
  <c r="E6" i="4"/>
  <c r="F6" i="4"/>
  <c r="D6" i="4"/>
  <c r="B8" i="4"/>
  <c r="B7" i="4"/>
  <c r="B6" i="4"/>
  <c r="J8" i="1"/>
  <c r="P54" i="3"/>
  <c r="H7" i="4" l="1"/>
  <c r="H6" i="4"/>
  <c r="K67" i="3"/>
  <c r="H7" i="2"/>
  <c r="G7" i="2"/>
  <c r="D7" i="2"/>
  <c r="B7" i="2"/>
  <c r="J7" i="1"/>
  <c r="J6" i="1" l="1"/>
  <c r="G6" i="4" s="1"/>
  <c r="K10" i="3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<sst xmlns="http://schemas.openxmlformats.org/spreadsheetml/2006/main" count="176" uniqueCount="142">
  <si>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</si>
  <si>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</si>
  <si>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</si>
  <si>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</si>
  <si>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</si>
  <si>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</si>
  <si>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</si>
  <si>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</si>
  <si>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</si>
  <si>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</si>
  <si>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</si>
  <si>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</si>
  <si>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</si>
  <si>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</si>
  <si>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</si>
  <si>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</si>
  <si>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</si>
  <si>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</si>
  <si>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</si>
  <si>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</si>
  <si>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</si>
  <si>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</si>
  <si>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</si>
  <si>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</si>
  <si>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</si>
  <si>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</si>
  <si>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</si>
  <si>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</si>
  <si>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</si>
  <si>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</si>
  <si>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</si>
  <si>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</si>
  <si>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</si>
  <si>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</si>
  <si>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</si>
  <si>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</si>
  <si>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</si>
  <si>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</si>
  <si>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</si>
  <si>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</si>
  <si>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</si>
  <si>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</si>
  <si>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</si>
  <si>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</si>
  <si>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</si>
  <si>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</si>
  <si>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</si>
  <si>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</si>
  <si>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</si>
  <si>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</si>
  <si>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</si>
  <si>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</si>
  <si>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</si>
  <si>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</si>
  <si>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</si>
  <si>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</si>
  <si>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</si>
  <si>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</si>
  <si>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</si>
  <si>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</si>
  <si>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</si>
  <si>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</si>
  <si>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</si>
  <si>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</si>
  <si>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</si>
  <si>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</si>
  <si>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</si>
  <si>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</si>
  <si>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</si>
  <si>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</si>
  <si>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</si>
  <si>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</si>
  <si>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</si>
  <si>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</si>
  <si>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</si>
  <si>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</si>
  <si>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</si>
  <si>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</si>
  <si>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</si>
  <si>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</si>
  <si>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</si>
  <si>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</si>
  <si>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</si>
  <si>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</si>
  <si>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</si>
  <si>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</si>
  <si>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</si>
  <si>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</si>
  <si>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Business Development Manager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</si>
  <si>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</si>
  <si>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</si>
  <si>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</si>
  <si>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</si>
  <si>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</si>
  <si>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</si>
  <si>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</si>
  <si>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</si>
  <si>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</si>
  <si>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</si>
  <si>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One Time</t>
  </si>
  <si>
    <t>Crane</t>
  </si>
  <si>
    <t>Subcontract name (SAC2-SC-IK-SMP-01)</t>
  </si>
  <si>
    <t xml:space="preserve">  Delivery &amp; Payment : Dong Chang Kim / Daeshin Admin. [ Mobile No. : +966 53 748 5762 / Email : kdchjs@daeshinplant.com ]</t>
  </si>
  <si>
    <t>310157378500003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</si>
  <si>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</si>
  <si>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</si>
  <si>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</si>
  <si>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</si>
  <si>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</si>
  <si>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</si>
  <si>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</si>
  <si>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</si>
  <si>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</si>
  <si>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UNITED TECHNOLOGY CONTRACTING CO. LTD.</t>
  </si>
  <si>
    <t>SABB</t>
  </si>
  <si>
    <t>SABBSARI</t>
  </si>
  <si>
    <t>RT Crane 100 Ton</t>
  </si>
  <si>
    <t>Trip</t>
  </si>
  <si>
    <t>Mobilization Charge</t>
  </si>
  <si>
    <t>Demobilization Charge</t>
  </si>
  <si>
    <t>"</t>
  </si>
  <si>
    <t>100 Ton RT Crane with Operator - Aramco Certified</t>
  </si>
  <si>
    <t>836010116001</t>
  </si>
  <si>
    <t>SA37 4500 0000 8360 1011 6001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</si>
  <si>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-MRS-0368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</si>
  <si>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</si>
  <si>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</si>
  <si>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</si>
  <si>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</si>
  <si>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</si>
  <si>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</si>
  <si>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</si>
  <si>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</si>
  <si>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</si>
  <si>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</si>
  <si>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</si>
  <si>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</si>
  <si>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</si>
  <si>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</si>
  <si>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</si>
  <si>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</si>
  <si>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UT-EQUO-26-4367 (R1)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</si>
</sst>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3" fillId="3" borderId="0" xfId="5" applyFont="1" applyFill="1"/>
    <xf numFmtId="0" fontId="18" fillId="3" borderId="0" xfId="5" quotePrefix="1" applyFont="1" applyFill="1"/>
    <xf numFmtId="0" fontId="14" fillId="3" borderId="0" xfId="5" applyFont="1" applyFill="1"/>
    <xf numFmtId="0" fontId="14" fillId="3" borderId="0" xfId="5" applyFont="1" applyFill="1" applyAlignment="1">
      <alignment horizontal="right" vertical="center" indent="1"/>
    </xf>
    <xf numFmtId="0" fontId="5" fillId="2" borderId="21" xfId="1" applyFont="1" applyFill="1" applyBorder="1" applyAlignment="1">
      <alignment horizontal="center" vertical="center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70" fontId="58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748464</xdr:colOff>
          <xdr:row>17</xdr:row>
          <xdr:rowOff>61160</xdr:rowOff>
        </xdr:from>
        <xdr:to>
          <xdr:col>11</xdr:col>
          <xdr:colOff>1596189</xdr:colOff>
          <xdr:row>23</xdr:row>
          <xdr:rowOff>299285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0248744-E0D3-5D00-A471-6FF9B27D04C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1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40543" y="5124449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Q7" sqref="Q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3" t="s">
        <v>125</v>
      </c>
      <c r="B1" s="124"/>
      <c r="C1" s="104"/>
      <c r="D1" s="104"/>
      <c r="E1" s="104"/>
      <c r="F1" s="104"/>
      <c r="G1" s="1"/>
      <c r="J1" s="132" t="s">
        <v>83</v>
      </c>
      <c r="K1" s="133"/>
      <c r="L1" s="134"/>
    </row>
    <row r="2" spans="1:19" ht="20.100000000000001" customHeight="1">
      <c r="A2" s="3" t="s">
        <v>1</v>
      </c>
      <c r="B2" s="95"/>
      <c r="C2" s="95"/>
      <c r="D2" s="3" t="s">
        <v>126</v>
      </c>
      <c r="E2" s="95"/>
      <c r="F2" s="95"/>
      <c r="G2" s="95"/>
      <c r="H2" s="95"/>
      <c r="I2" s="4"/>
      <c r="J2" s="148" t="s">
        <v>101</v>
      </c>
      <c r="K2" s="149"/>
      <c r="L2" s="150"/>
    </row>
    <row r="3" spans="1:19" ht="20.100000000000001" customHeight="1">
      <c r="A3" s="3" t="s">
        <v>124</v>
      </c>
      <c r="B3" s="95"/>
      <c r="C3" s="95"/>
      <c r="D3" s="95"/>
      <c r="E3" s="135">
        <f>+L3+3</f>
        <v>46255</v>
      </c>
      <c r="F3" s="135"/>
      <c r="G3" s="135"/>
      <c r="H3" s="135"/>
      <c r="I3" s="135"/>
      <c r="J3" s="95"/>
      <c r="K3" s="95"/>
      <c r="L3" s="125">
        <v>46252</v>
      </c>
      <c r="M3" s="4"/>
    </row>
    <row r="4" spans="1:19" ht="15.95" customHeight="1">
      <c r="A4" s="136" t="s">
        <v>2</v>
      </c>
      <c r="B4" s="137" t="s">
        <v>3</v>
      </c>
      <c r="C4" s="137"/>
      <c r="D4" s="138" t="s">
        <v>4</v>
      </c>
      <c r="E4" s="139"/>
      <c r="F4" s="140"/>
      <c r="G4" s="144" t="s">
        <v>5</v>
      </c>
      <c r="H4" s="146" t="s">
        <v>6</v>
      </c>
      <c r="I4" s="146" t="s">
        <v>127</v>
      </c>
      <c r="J4" s="136" t="s">
        <v>128</v>
      </c>
      <c r="K4" s="146" t="s">
        <v>0</v>
      </c>
      <c r="L4" s="137" t="s">
        <v>7</v>
      </c>
    </row>
    <row r="5" spans="1:19" ht="21.75" customHeight="1">
      <c r="A5" s="136"/>
      <c r="B5" s="137"/>
      <c r="C5" s="137"/>
      <c r="D5" s="141"/>
      <c r="E5" s="142"/>
      <c r="F5" s="143"/>
      <c r="G5" s="145"/>
      <c r="H5" s="147"/>
      <c r="I5" s="147"/>
      <c r="J5" s="136"/>
      <c r="K5" s="147"/>
      <c r="L5" s="137"/>
    </row>
    <row r="6" spans="1:19" ht="22.5" customHeight="1">
      <c r="A6" s="5">
        <f t="shared" ref="A6:A15" si="0">ROW(A1)</f>
        <v>1</v>
      </c>
      <c r="B6" s="151" t="s">
        <v>100</v>
      </c>
      <c r="C6" s="152"/>
      <c r="D6" s="153" t="s">
        <v>116</v>
      </c>
      <c r="E6" s="154"/>
      <c r="F6" s="155"/>
      <c r="G6" s="105" t="s">
        <v>84</v>
      </c>
      <c r="H6" s="106">
        <v>1</v>
      </c>
      <c r="I6" s="107">
        <v>90000</v>
      </c>
      <c r="J6" s="107">
        <f>H6*I6</f>
        <v>90000</v>
      </c>
      <c r="K6" s="108" t="s">
        <v>90</v>
      </c>
      <c r="L6" s="109" t="s">
        <v>98</v>
      </c>
      <c r="S6" s="100"/>
    </row>
    <row r="7" spans="1:19" ht="22.5" customHeight="1">
      <c r="A7" s="5">
        <f t="shared" si="0"/>
        <v>2</v>
      </c>
      <c r="B7" s="151" t="s">
        <v>100</v>
      </c>
      <c r="C7" s="152"/>
      <c r="D7" s="156" t="s">
        <v>118</v>
      </c>
      <c r="E7" s="154"/>
      <c r="F7" s="155"/>
      <c r="G7" s="105" t="s">
        <v>117</v>
      </c>
      <c r="H7" s="106">
        <v>1</v>
      </c>
      <c r="I7" s="107">
        <v>4000</v>
      </c>
      <c r="J7" s="107">
        <f>H7*I7</f>
        <v>4000</v>
      </c>
      <c r="K7" s="108" t="s">
        <v>120</v>
      </c>
      <c r="L7" s="109" t="s">
        <v>99</v>
      </c>
      <c r="S7" s="100"/>
    </row>
    <row r="8" spans="1:19" ht="22.5" customHeight="1">
      <c r="A8" s="5">
        <f t="shared" si="0"/>
        <v>3</v>
      </c>
      <c r="B8" s="151" t="s">
        <v>100</v>
      </c>
      <c r="C8" s="152"/>
      <c r="D8" s="153" t="s">
        <v>119</v>
      </c>
      <c r="E8" s="154"/>
      <c r="F8" s="155"/>
      <c r="G8" s="105" t="s">
        <v>117</v>
      </c>
      <c r="H8" s="106">
        <v>1</v>
      </c>
      <c r="I8" s="107">
        <v>4000</v>
      </c>
      <c r="J8" s="107">
        <f>H8*I8</f>
        <v>4000</v>
      </c>
      <c r="K8" s="108" t="s">
        <v>120</v>
      </c>
      <c r="L8" s="109" t="s">
        <v>99</v>
      </c>
      <c r="S8" s="100"/>
    </row>
    <row r="9" spans="1:19" ht="22.5" customHeight="1">
      <c r="A9" s="5">
        <f t="shared" si="0"/>
        <v>4</v>
      </c>
      <c r="B9" s="151"/>
      <c r="C9" s="152"/>
      <c r="D9" s="153"/>
      <c r="E9" s="154"/>
      <c r="F9" s="155"/>
      <c r="G9" s="105"/>
      <c r="H9" s="106"/>
      <c r="I9" s="107"/>
      <c r="J9" s="107"/>
      <c r="K9" s="108"/>
      <c r="L9" s="109"/>
      <c r="S9" s="100"/>
    </row>
    <row r="10" spans="1:19" ht="22.5" customHeight="1">
      <c r="A10" s="5">
        <f t="shared" si="0"/>
        <v>5</v>
      </c>
      <c r="B10" s="157"/>
      <c r="C10" s="157"/>
      <c r="D10" s="158"/>
      <c r="E10" s="158"/>
      <c r="F10" s="158"/>
      <c r="G10" s="105"/>
      <c r="H10" s="106"/>
      <c r="I10" s="110"/>
      <c r="J10" s="107"/>
      <c r="K10" s="108"/>
      <c r="L10" s="105"/>
      <c r="S10" s="100"/>
    </row>
    <row r="11" spans="1:19" ht="22.5" customHeight="1">
      <c r="A11" s="5">
        <f t="shared" si="0"/>
        <v>6</v>
      </c>
      <c r="B11" s="151"/>
      <c r="C11" s="152"/>
      <c r="D11" s="153"/>
      <c r="E11" s="154"/>
      <c r="F11" s="155"/>
      <c r="G11" s="105"/>
      <c r="H11" s="106"/>
      <c r="I11" s="107"/>
      <c r="J11" s="107"/>
      <c r="K11" s="108"/>
      <c r="L11" s="109"/>
      <c r="S11" s="100"/>
    </row>
    <row r="12" spans="1:19" ht="22.5" customHeight="1">
      <c r="A12" s="5">
        <f t="shared" si="0"/>
        <v>7</v>
      </c>
      <c r="B12" s="157"/>
      <c r="C12" s="157"/>
      <c r="D12" s="158"/>
      <c r="E12" s="158"/>
      <c r="F12" s="158"/>
      <c r="G12" s="105"/>
      <c r="H12" s="106"/>
      <c r="I12" s="110"/>
      <c r="J12" s="107"/>
      <c r="K12" s="108"/>
      <c r="L12" s="105"/>
      <c r="S12" s="100"/>
    </row>
    <row r="13" spans="1:19" ht="22.5" customHeight="1">
      <c r="A13" s="5">
        <f t="shared" si="0"/>
        <v>8</v>
      </c>
      <c r="B13" s="151"/>
      <c r="C13" s="152"/>
      <c r="D13" s="153"/>
      <c r="E13" s="154"/>
      <c r="F13" s="155"/>
      <c r="G13" s="105"/>
      <c r="H13" s="106"/>
      <c r="I13" s="107"/>
      <c r="J13" s="107"/>
      <c r="K13" s="108"/>
      <c r="L13" s="109"/>
      <c r="S13" s="100"/>
    </row>
    <row r="14" spans="1:19" ht="22.5" customHeight="1">
      <c r="A14" s="5">
        <f t="shared" si="0"/>
        <v>9</v>
      </c>
      <c r="B14" s="151"/>
      <c r="C14" s="152"/>
      <c r="D14" s="153"/>
      <c r="E14" s="154"/>
      <c r="F14" s="155"/>
      <c r="G14" s="105"/>
      <c r="H14" s="106"/>
      <c r="I14" s="107"/>
      <c r="J14" s="107"/>
      <c r="K14" s="108"/>
      <c r="L14" s="109"/>
      <c r="S14" s="100"/>
    </row>
    <row r="15" spans="1:19" ht="22.5" customHeight="1">
      <c r="A15" s="5">
        <f t="shared" si="0"/>
        <v>10</v>
      </c>
      <c r="B15" s="151"/>
      <c r="C15" s="152"/>
      <c r="D15" s="153"/>
      <c r="E15" s="154"/>
      <c r="F15" s="155"/>
      <c r="G15" s="105"/>
      <c r="H15" s="106"/>
      <c r="I15" s="107"/>
      <c r="J15" s="107"/>
      <c r="K15" s="108"/>
      <c r="L15" s="109"/>
      <c r="S15" s="100"/>
    </row>
    <row r="16" spans="1:19" ht="22.5" customHeight="1">
      <c r="A16" s="159" t="s">
        <v>8</v>
      </c>
      <c r="B16" s="160"/>
      <c r="C16" s="111"/>
      <c r="D16" s="112"/>
      <c r="E16" s="112"/>
      <c r="F16" s="112"/>
      <c r="G16" s="113"/>
      <c r="H16" s="113"/>
      <c r="I16" s="114" t="s">
        <v>9</v>
      </c>
      <c r="J16" s="107">
        <f>SUM(J6:J15)</f>
        <v>98000</v>
      </c>
      <c r="K16" s="107"/>
      <c r="L16" s="115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0"/>
      <c r="Z18" s="11"/>
    </row>
    <row r="19" spans="1:26" ht="50.1" customHeight="1">
      <c r="Y19" s="171"/>
    </row>
    <row r="20" spans="1:26" ht="15" customHeight="1">
      <c r="O20" s="166" t="s">
        <v>129</v>
      </c>
      <c r="P20" s="172"/>
      <c r="Q20" s="172"/>
      <c r="R20" s="167"/>
      <c r="S20" s="122"/>
      <c r="T20" s="166" t="s">
        <v>130</v>
      </c>
      <c r="U20" s="172"/>
      <c r="V20" s="172"/>
      <c r="W20" s="172"/>
      <c r="X20" s="172"/>
      <c r="Y20" s="167"/>
    </row>
    <row r="21" spans="1:26" ht="15" customHeight="1">
      <c r="O21" s="163" t="s">
        <v>131</v>
      </c>
      <c r="P21" s="161" t="s">
        <v>132</v>
      </c>
      <c r="Q21" s="163" t="s">
        <v>133</v>
      </c>
      <c r="R21" s="161" t="s">
        <v>134</v>
      </c>
      <c r="S21" s="122"/>
      <c r="T21" s="163" t="s">
        <v>135</v>
      </c>
      <c r="U21" s="161" t="s">
        <v>136</v>
      </c>
      <c r="V21" s="166" t="s">
        <v>137</v>
      </c>
      <c r="W21" s="172"/>
      <c r="X21" s="167"/>
      <c r="Y21" s="161" t="s">
        <v>138</v>
      </c>
    </row>
    <row r="22" spans="1:26" ht="18" customHeight="1">
      <c r="O22" s="164"/>
      <c r="P22" s="162"/>
      <c r="Q22" s="164"/>
      <c r="R22" s="162"/>
      <c r="S22" s="126"/>
      <c r="T22" s="164"/>
      <c r="U22" s="162"/>
      <c r="V22" s="13" t="s">
        <v>131</v>
      </c>
      <c r="W22" s="173" t="s">
        <v>139</v>
      </c>
      <c r="X22" s="174"/>
      <c r="Y22" s="162"/>
    </row>
    <row r="23" spans="1:26" ht="50.1" customHeight="1">
      <c r="O23" s="14"/>
      <c r="P23" s="14"/>
      <c r="Q23" s="14"/>
      <c r="R23" s="14"/>
      <c r="S23" s="122"/>
      <c r="T23" s="14"/>
      <c r="U23" s="14"/>
      <c r="V23" s="14"/>
      <c r="W23" s="166"/>
      <c r="X23" s="167"/>
      <c r="Y23" s="127"/>
    </row>
    <row r="24" spans="1:26" ht="36" customHeight="1">
      <c r="W24" s="128"/>
      <c r="X24" s="168" t="s">
        <v>140</v>
      </c>
      <c r="Y24" s="12" t="s">
        <v>138</v>
      </c>
    </row>
    <row r="25" spans="1:26" ht="50.1" customHeight="1">
      <c r="O25" s="129"/>
      <c r="P25" s="129"/>
      <c r="Q25" s="129"/>
      <c r="R25" s="129"/>
      <c r="S25" s="129"/>
      <c r="T25" s="129"/>
      <c r="U25" s="129"/>
      <c r="V25" s="129"/>
      <c r="W25" s="130"/>
      <c r="X25" s="169"/>
      <c r="Y25" s="131"/>
    </row>
    <row r="26" spans="1:26" ht="19.899999999999999" customHeight="1"/>
    <row r="27" spans="1:26" ht="17.45" customHeight="1">
      <c r="O27" s="165"/>
      <c r="P27" s="165"/>
      <c r="Q27" s="165"/>
    </row>
    <row r="28" spans="1:26" ht="19.899999999999999" customHeight="1">
      <c r="O28" s="165"/>
      <c r="P28" s="165"/>
      <c r="Q28" s="165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1" t="s">
        <v>12</v>
      </c>
    </row>
    <row r="41" spans="15:22" ht="19.899999999999999" customHeight="1">
      <c r="T41" s="162"/>
    </row>
    <row r="42" spans="15:22" ht="64.900000000000006" customHeight="1">
      <c r="T42" s="14"/>
    </row>
    <row r="46" spans="15:22" ht="21" customHeight="1">
      <c r="O46" s="161" t="s">
        <v>12</v>
      </c>
      <c r="P46" s="161" t="s">
        <v>12</v>
      </c>
      <c r="Q46" s="161" t="s">
        <v>12</v>
      </c>
      <c r="T46" s="161" t="s">
        <v>13</v>
      </c>
      <c r="U46" s="161" t="s">
        <v>11</v>
      </c>
      <c r="V46" s="161" t="s">
        <v>12</v>
      </c>
    </row>
    <row r="47" spans="15:22" ht="21" customHeight="1">
      <c r="O47" s="162"/>
      <c r="P47" s="162"/>
      <c r="Q47" s="162"/>
      <c r="T47" s="164"/>
      <c r="U47" s="164"/>
      <c r="V47" s="16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1" t="s">
        <v>12</v>
      </c>
      <c r="P50" s="161" t="s">
        <v>12</v>
      </c>
      <c r="Q50" s="161" t="s">
        <v>12</v>
      </c>
      <c r="T50" s="161" t="s">
        <v>11</v>
      </c>
      <c r="U50" s="161" t="s">
        <v>13</v>
      </c>
      <c r="V50" s="161" t="s">
        <v>12</v>
      </c>
    </row>
    <row r="51" spans="15:22" ht="21" customHeight="1">
      <c r="O51" s="162"/>
      <c r="P51" s="162"/>
      <c r="Q51" s="162"/>
      <c r="T51" s="164"/>
      <c r="U51" s="164"/>
      <c r="V51" s="16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6" t="s">
        <v>89</v>
      </c>
      <c r="B1" s="94"/>
      <c r="C1" s="94"/>
      <c r="D1" s="94"/>
      <c r="E1" s="94"/>
      <c r="F1" s="94"/>
      <c r="G1" s="1"/>
      <c r="J1" s="132" t="str">
        <f>+MRS!J1</f>
        <v>DAESHIN PLANT</v>
      </c>
      <c r="K1" s="134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16"/>
      <c r="H2" s="16"/>
      <c r="I2" s="16"/>
      <c r="J2" s="148" t="str">
        <f>+MRS!J2</f>
        <v>Subcontract name (SAC2-SC-IK-SMP-01)</v>
      </c>
      <c r="K2" s="150"/>
    </row>
    <row r="3" spans="1:18" ht="24.95" customHeight="1">
      <c r="A3" s="3" t="str">
        <f>+MRS!A3</f>
        <v xml:space="preserve">  MRS No : SAC2-DS-MRS-0368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46252</v>
      </c>
    </row>
    <row r="4" spans="1:18" ht="15.95" customHeight="1">
      <c r="A4" s="175" t="s">
        <v>2</v>
      </c>
      <c r="B4" s="176" t="s">
        <v>14</v>
      </c>
      <c r="C4" s="176"/>
      <c r="D4" s="175" t="s">
        <v>4</v>
      </c>
      <c r="E4" s="175"/>
      <c r="F4" s="175"/>
      <c r="G4" s="176" t="s">
        <v>5</v>
      </c>
      <c r="H4" s="175" t="s">
        <v>85</v>
      </c>
      <c r="I4" s="175" t="s">
        <v>15</v>
      </c>
      <c r="J4" s="175" t="s">
        <v>16</v>
      </c>
      <c r="K4" s="176" t="s">
        <v>7</v>
      </c>
    </row>
    <row r="5" spans="1:18" ht="15.95" customHeight="1">
      <c r="A5" s="175"/>
      <c r="B5" s="176"/>
      <c r="C5" s="176"/>
      <c r="D5" s="175"/>
      <c r="E5" s="175"/>
      <c r="F5" s="175"/>
      <c r="G5" s="176"/>
      <c r="H5" s="175"/>
      <c r="I5" s="175"/>
      <c r="J5" s="175"/>
      <c r="K5" s="176"/>
    </row>
    <row r="6" spans="1:18" ht="105" customHeight="1">
      <c r="A6" s="17">
        <f>+MRS!A6</f>
        <v>1</v>
      </c>
      <c r="B6" s="177" t="str">
        <f>MRS!B6</f>
        <v>Crane</v>
      </c>
      <c r="C6" s="178"/>
      <c r="D6" s="179" t="str">
        <f>MRS!D6</f>
        <v>RT Crane 100 Ton</v>
      </c>
      <c r="E6" s="180"/>
      <c r="F6" s="181"/>
      <c r="G6" s="97" t="str">
        <f>MRS!G6</f>
        <v>Month</v>
      </c>
      <c r="H6" s="97">
        <f>MRS!H6</f>
        <v>1</v>
      </c>
      <c r="I6" s="98">
        <f>MRS!I6</f>
        <v>90000</v>
      </c>
      <c r="J6" s="98">
        <f>MRS!J6</f>
        <v>90000</v>
      </c>
      <c r="K6" s="99"/>
      <c r="O6" s="100"/>
      <c r="P6" s="100"/>
      <c r="R6" s="100"/>
    </row>
    <row r="7" spans="1:18" ht="105" customHeight="1">
      <c r="A7" s="17">
        <f>+MRS!A7</f>
        <v>2</v>
      </c>
      <c r="B7" s="177" t="str">
        <f>MRS!B7</f>
        <v>Crane</v>
      </c>
      <c r="C7" s="178"/>
      <c r="D7" s="179" t="str">
        <f>MRS!D7</f>
        <v>Mobilization Charge</v>
      </c>
      <c r="E7" s="180"/>
      <c r="F7" s="181"/>
      <c r="G7" s="97" t="str">
        <f>MRS!G7</f>
        <v>Trip</v>
      </c>
      <c r="H7" s="97">
        <f>MRS!H7</f>
        <v>1</v>
      </c>
      <c r="I7" s="98">
        <f>MRS!I7</f>
        <v>4000</v>
      </c>
      <c r="J7" s="98">
        <f>MRS!J7</f>
        <v>4000</v>
      </c>
      <c r="K7" s="99"/>
      <c r="O7" s="100"/>
      <c r="P7" s="100"/>
      <c r="R7" s="100"/>
    </row>
    <row r="8" spans="1:18" ht="105" customHeight="1">
      <c r="A8" s="17">
        <f>+MRS!A8</f>
        <v>3</v>
      </c>
      <c r="B8" s="182"/>
      <c r="C8" s="183"/>
      <c r="D8" s="184"/>
      <c r="E8" s="185"/>
      <c r="F8" s="186"/>
      <c r="G8" s="101"/>
      <c r="H8" s="102"/>
      <c r="I8" s="103"/>
      <c r="J8" s="103"/>
      <c r="K8" s="99"/>
      <c r="O8" s="100"/>
      <c r="P8" s="100"/>
      <c r="R8" s="100"/>
    </row>
    <row r="9" spans="1:18" ht="105" customHeight="1">
      <c r="A9" s="17">
        <f>+MRS!A9</f>
        <v>4</v>
      </c>
      <c r="B9" s="182"/>
      <c r="C9" s="183"/>
      <c r="D9" s="184"/>
      <c r="E9" s="185"/>
      <c r="F9" s="186"/>
      <c r="G9" s="101"/>
      <c r="H9" s="102"/>
      <c r="I9" s="103"/>
      <c r="J9" s="103"/>
      <c r="K9" s="99"/>
      <c r="O9" s="100"/>
      <c r="P9" s="100"/>
      <c r="R9" s="100"/>
    </row>
    <row r="10" spans="1:18" ht="105" customHeight="1">
      <c r="A10" s="17">
        <f>+MRS!A10</f>
        <v>5</v>
      </c>
      <c r="B10" s="182"/>
      <c r="C10" s="183"/>
      <c r="D10" s="184"/>
      <c r="E10" s="185"/>
      <c r="F10" s="186"/>
      <c r="G10" s="101"/>
      <c r="H10" s="102"/>
      <c r="I10" s="103"/>
      <c r="J10" s="103"/>
      <c r="K10" s="99"/>
      <c r="O10" s="100"/>
      <c r="P10" s="100"/>
      <c r="R10" s="100"/>
    </row>
    <row r="11" spans="1:18" ht="105" customHeight="1">
      <c r="A11" s="17">
        <f>+MRS!A11</f>
        <v>6</v>
      </c>
      <c r="B11" s="182"/>
      <c r="C11" s="183"/>
      <c r="D11" s="184"/>
      <c r="E11" s="185"/>
      <c r="F11" s="186"/>
      <c r="G11" s="101"/>
      <c r="H11" s="102"/>
      <c r="I11" s="103"/>
      <c r="J11" s="103"/>
      <c r="K11" s="99"/>
      <c r="O11" s="100"/>
      <c r="P11" s="100"/>
      <c r="R11" s="100"/>
    </row>
    <row r="12" spans="1:18" ht="105" customHeight="1">
      <c r="A12" s="17">
        <f>+MRS!A12</f>
        <v>7</v>
      </c>
      <c r="B12" s="182"/>
      <c r="C12" s="183"/>
      <c r="D12" s="184"/>
      <c r="E12" s="185"/>
      <c r="F12" s="186"/>
      <c r="G12" s="101"/>
      <c r="H12" s="102"/>
      <c r="I12" s="103"/>
      <c r="J12" s="103"/>
      <c r="K12" s="99"/>
      <c r="O12" s="100"/>
      <c r="P12" s="100"/>
      <c r="R12" s="100"/>
    </row>
    <row r="13" spans="1:18" ht="105" customHeight="1">
      <c r="A13" s="17">
        <f>+MRS!A13</f>
        <v>8</v>
      </c>
      <c r="B13" s="182"/>
      <c r="C13" s="183"/>
      <c r="D13" s="184"/>
      <c r="E13" s="185"/>
      <c r="F13" s="186"/>
      <c r="G13" s="101"/>
      <c r="H13" s="102"/>
      <c r="I13" s="103"/>
      <c r="J13" s="103"/>
      <c r="K13" s="99"/>
      <c r="O13" s="100"/>
      <c r="P13" s="100"/>
      <c r="R13" s="100"/>
    </row>
    <row r="14" spans="1:18" ht="105" customHeight="1">
      <c r="A14" s="17">
        <f>+MRS!A14</f>
        <v>9</v>
      </c>
      <c r="B14" s="182"/>
      <c r="C14" s="183"/>
      <c r="D14" s="184"/>
      <c r="E14" s="185"/>
      <c r="F14" s="186"/>
      <c r="G14" s="101"/>
      <c r="H14" s="102"/>
      <c r="I14" s="103"/>
      <c r="J14" s="103"/>
      <c r="K14" s="99"/>
      <c r="O14" s="100"/>
      <c r="P14" s="100"/>
      <c r="R14" s="100"/>
    </row>
    <row r="15" spans="1:18" ht="105" customHeight="1">
      <c r="A15" s="17">
        <f>+MRS!A15</f>
        <v>10</v>
      </c>
      <c r="B15" s="182"/>
      <c r="C15" s="183"/>
      <c r="D15" s="184"/>
      <c r="E15" s="185"/>
      <c r="F15" s="186"/>
      <c r="G15" s="101"/>
      <c r="H15" s="102"/>
      <c r="I15" s="103"/>
      <c r="J15" s="103"/>
      <c r="K15" s="99"/>
      <c r="O15" s="100"/>
      <c r="P15" s="100"/>
      <c r="R15" s="100"/>
    </row>
    <row r="16" spans="1:18" ht="105" customHeight="1">
      <c r="A16" s="17" t="e">
        <f>+MRS!#REF!</f>
        <v>#REF!</v>
      </c>
      <c r="B16" s="182"/>
      <c r="C16" s="183"/>
      <c r="D16" s="184"/>
      <c r="E16" s="185"/>
      <c r="F16" s="186"/>
      <c r="G16" s="101"/>
      <c r="H16" s="102"/>
      <c r="I16" s="103"/>
      <c r="J16" s="103"/>
      <c r="K16" s="99"/>
      <c r="O16" s="100"/>
      <c r="P16" s="100"/>
      <c r="R16" s="100"/>
    </row>
    <row r="17" spans="1:18" ht="105" customHeight="1">
      <c r="A17" s="17" t="e">
        <f>+MRS!#REF!</f>
        <v>#REF!</v>
      </c>
      <c r="B17" s="182"/>
      <c r="C17" s="183"/>
      <c r="D17" s="184"/>
      <c r="E17" s="185"/>
      <c r="F17" s="186"/>
      <c r="G17" s="101"/>
      <c r="H17" s="102"/>
      <c r="I17" s="103"/>
      <c r="J17" s="103"/>
      <c r="K17" s="99"/>
      <c r="O17" s="100"/>
      <c r="P17" s="100"/>
      <c r="R17" s="100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8" zoomScale="130" zoomScaleSheetLayoutView="130" workbookViewId="0">
      <selection activeCell="P33" sqref="P33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91</v>
      </c>
      <c r="D9" s="35"/>
      <c r="E9" s="35"/>
    </row>
    <row r="10" spans="2:13" s="35" customFormat="1">
      <c r="B10" s="68"/>
      <c r="C10" s="35" t="s">
        <v>24</v>
      </c>
      <c r="D10" s="72" t="s">
        <v>93</v>
      </c>
      <c r="J10" s="35" t="s">
        <v>25</v>
      </c>
      <c r="K10" s="188">
        <f>MRS!L3</f>
        <v>46252</v>
      </c>
      <c r="L10" s="189"/>
      <c r="M10" s="189"/>
    </row>
    <row r="11" spans="2:13" s="35" customFormat="1">
      <c r="B11" s="68"/>
      <c r="C11" s="71" t="s">
        <v>26</v>
      </c>
      <c r="D11" s="72" t="s">
        <v>103</v>
      </c>
      <c r="J11" s="35" t="s">
        <v>27</v>
      </c>
      <c r="K11" s="190" t="str">
        <f>SUBSTITUTE(SUBSTITUTE(+MRS!A3,"  MRS No : ",""),"-MRS","-PO")</f>
        <v>SAC2-DS-PO-0368</v>
      </c>
      <c r="L11" s="190"/>
      <c r="M11" s="190"/>
    </row>
    <row r="12" spans="2:13" s="35" customFormat="1">
      <c r="B12" s="68"/>
      <c r="C12" s="71" t="s">
        <v>28</v>
      </c>
      <c r="D12" s="35" t="s">
        <v>92</v>
      </c>
      <c r="J12" s="35" t="s">
        <v>29</v>
      </c>
    </row>
    <row r="13" spans="2:13" s="35" customFormat="1">
      <c r="B13" s="68"/>
      <c r="C13" s="73"/>
      <c r="D13" s="72" t="s">
        <v>96</v>
      </c>
      <c r="J13" s="35" t="s">
        <v>30</v>
      </c>
    </row>
    <row r="14" spans="2:13" s="35" customFormat="1">
      <c r="B14" s="68"/>
      <c r="C14" s="73" t="s">
        <v>95</v>
      </c>
      <c r="J14" s="35" t="s">
        <v>31</v>
      </c>
      <c r="K14" s="35" t="s">
        <v>141</v>
      </c>
    </row>
    <row r="15" spans="2:13" s="35" customFormat="1">
      <c r="B15" s="68"/>
      <c r="C15" s="73" t="s">
        <v>94</v>
      </c>
      <c r="J15" s="35" t="s">
        <v>32</v>
      </c>
      <c r="K15" s="74">
        <v>46246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1" t="s">
        <v>33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</row>
    <row r="19" spans="2:13" ht="12" customHeight="1"/>
    <row r="20" spans="2:13" s="27" customFormat="1" ht="12" customHeight="1">
      <c r="B20" s="192" t="s">
        <v>34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27" customFormat="1" ht="12" customHeight="1">
      <c r="B21" s="192" t="s">
        <v>35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s="27" customFormat="1" ht="12" customHeight="1">
      <c r="B22" s="192" t="s">
        <v>36</v>
      </c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</row>
    <row r="23" spans="2:13" ht="6.95" customHeight="1"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</row>
    <row r="24" spans="2:13" ht="6.95" customHeight="1"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69"/>
      <c r="C26" s="72" t="s">
        <v>121</v>
      </c>
      <c r="H26" s="120"/>
      <c r="M26" s="121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5" t="s">
        <v>97</v>
      </c>
      <c r="G29" s="195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5"/>
      <c r="G30" s="195"/>
    </row>
    <row r="31" spans="2:13" ht="12" customHeight="1">
      <c r="B31" s="28"/>
      <c r="C31" s="22" t="s">
        <v>43</v>
      </c>
      <c r="D31" s="31"/>
      <c r="E31" s="22" t="s">
        <v>41</v>
      </c>
      <c r="F31" s="195"/>
      <c r="G31" s="195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11.1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11.1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11.1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102</v>
      </c>
      <c r="P49" s="77"/>
    </row>
    <row r="50" spans="2:16" s="78" customFormat="1" ht="12" customHeight="1">
      <c r="B50" s="79" t="s">
        <v>57</v>
      </c>
      <c r="C50" s="76" t="s">
        <v>87</v>
      </c>
    </row>
    <row r="51" spans="2:16" s="78" customFormat="1" ht="12" customHeight="1">
      <c r="B51" s="79" t="s">
        <v>57</v>
      </c>
      <c r="C51" s="76" t="s">
        <v>86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104</v>
      </c>
    </row>
    <row r="54" spans="2:16" ht="12" customHeight="1">
      <c r="B54" s="79" t="s">
        <v>57</v>
      </c>
      <c r="C54" s="118" t="s">
        <v>105</v>
      </c>
      <c r="F54" s="22" t="s">
        <v>113</v>
      </c>
      <c r="P54" s="22" t="str">
        <f>UPPER(F54)</f>
        <v>UNITED TECHNOLOGY CONTRACTING CO. LTD.</v>
      </c>
    </row>
    <row r="55" spans="2:16" ht="12" customHeight="1">
      <c r="B55" s="79" t="s">
        <v>57</v>
      </c>
      <c r="C55" s="118" t="s">
        <v>106</v>
      </c>
      <c r="F55" s="119" t="s">
        <v>122</v>
      </c>
    </row>
    <row r="56" spans="2:16" ht="12" customHeight="1">
      <c r="B56" s="79" t="s">
        <v>57</v>
      </c>
      <c r="C56" s="118" t="s">
        <v>107</v>
      </c>
      <c r="F56" s="119" t="s">
        <v>123</v>
      </c>
    </row>
    <row r="57" spans="2:16" ht="12" customHeight="1">
      <c r="B57" s="79" t="s">
        <v>57</v>
      </c>
      <c r="C57" s="118" t="s">
        <v>108</v>
      </c>
      <c r="F57" s="22" t="s">
        <v>114</v>
      </c>
    </row>
    <row r="58" spans="2:16" ht="12" customHeight="1">
      <c r="B58" s="79" t="s">
        <v>57</v>
      </c>
      <c r="C58" s="118" t="s">
        <v>109</v>
      </c>
      <c r="F58" s="22" t="s">
        <v>115</v>
      </c>
    </row>
    <row r="59" spans="2:16" ht="12" customHeight="1">
      <c r="B59" s="79" t="s">
        <v>57</v>
      </c>
      <c r="C59" s="118" t="s">
        <v>110</v>
      </c>
      <c r="F59" s="22" t="s">
        <v>111</v>
      </c>
    </row>
    <row r="60" spans="2:16" ht="12" customHeight="1">
      <c r="B60" s="79"/>
      <c r="C60" s="118" t="s">
        <v>112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58</v>
      </c>
      <c r="J64" s="28" t="s">
        <v>59</v>
      </c>
    </row>
    <row r="65" spans="1:13" ht="45.75" customHeight="1"/>
    <row r="66" spans="1:13" ht="18" customHeight="1">
      <c r="B66" s="22" t="s">
        <v>60</v>
      </c>
      <c r="J66" s="22" t="s">
        <v>60</v>
      </c>
    </row>
    <row r="67" spans="1:13" ht="18" customHeight="1">
      <c r="B67" s="22" t="s">
        <v>61</v>
      </c>
      <c r="J67" s="22" t="s">
        <v>62</v>
      </c>
      <c r="K67" s="18" t="str">
        <f>D12</f>
        <v>Muhammed Huzaifa</v>
      </c>
    </row>
    <row r="68" spans="1:13" ht="18" customHeight="1">
      <c r="B68" s="22" t="s">
        <v>63</v>
      </c>
      <c r="J68" s="22" t="s">
        <v>64</v>
      </c>
      <c r="K68" s="18" t="s">
        <v>88</v>
      </c>
    </row>
    <row r="69" spans="1:13" ht="15" customHeight="1">
      <c r="B69" s="22" t="s">
        <v>65</v>
      </c>
      <c r="J69" s="22" t="s">
        <v>66</v>
      </c>
    </row>
    <row r="70" spans="1:13" s="24" customFormat="1" ht="15" customHeight="1">
      <c r="B70" s="21" t="s">
        <v>67</v>
      </c>
      <c r="J70" s="117" t="str">
        <f>C9</f>
        <v>UTCC(United Technology Contracting Co. Ltd.)</v>
      </c>
    </row>
    <row r="71" spans="1:13" ht="27.95" customHeight="1">
      <c r="A71" s="187" t="s">
        <v>68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2" sqref="G12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SAC2-DS-PO-0368</v>
      </c>
      <c r="C2" s="198" t="s">
        <v>70</v>
      </c>
      <c r="D2" s="198"/>
      <c r="E2" s="198"/>
      <c r="F2" s="198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46252</v>
      </c>
      <c r="C3" s="47"/>
      <c r="D3" s="48"/>
      <c r="E3" s="199" t="s">
        <v>72</v>
      </c>
      <c r="F3" s="199"/>
      <c r="G3" s="199"/>
      <c r="H3" s="199"/>
      <c r="I3" s="49"/>
    </row>
    <row r="4" spans="1:13" s="51" customFormat="1" ht="28.5" customHeight="1" thickTop="1">
      <c r="A4" s="200" t="s">
        <v>73</v>
      </c>
      <c r="B4" s="202" t="s">
        <v>74</v>
      </c>
      <c r="C4" s="203"/>
      <c r="D4" s="206" t="s">
        <v>75</v>
      </c>
      <c r="E4" s="206" t="s">
        <v>76</v>
      </c>
      <c r="F4" s="208" t="str">
        <f>'PO 1st page'!C9</f>
        <v>UTCC(United Technology Contracting Co. Ltd.)</v>
      </c>
      <c r="G4" s="209"/>
      <c r="H4" s="210" t="s">
        <v>77</v>
      </c>
      <c r="K4" s="52"/>
      <c r="L4" s="52"/>
      <c r="M4" s="52"/>
    </row>
    <row r="5" spans="1:13" s="51" customFormat="1" ht="21.95" customHeight="1">
      <c r="A5" s="201"/>
      <c r="B5" s="204"/>
      <c r="C5" s="205"/>
      <c r="D5" s="207"/>
      <c r="E5" s="207"/>
      <c r="F5" s="53" t="s">
        <v>78</v>
      </c>
      <c r="G5" s="53" t="s">
        <v>43</v>
      </c>
      <c r="H5" s="211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212" t="str">
        <f>_xlfn.CONCAT(MRS!B6," ",MRS!D6)</f>
        <v>Crane RT Crane 100 Ton</v>
      </c>
      <c r="C6" s="213"/>
      <c r="D6" s="81" t="str">
        <f>MRS!G6</f>
        <v>Month</v>
      </c>
      <c r="E6" s="81">
        <f>MRS!H6</f>
        <v>1</v>
      </c>
      <c r="F6" s="82">
        <f>MRS!I6</f>
        <v>90000</v>
      </c>
      <c r="G6" s="83">
        <f>MRS!J6</f>
        <v>90000</v>
      </c>
      <c r="H6" s="84" t="str">
        <f>MRS!L6</f>
        <v>Monthly Based</v>
      </c>
      <c r="K6" s="85"/>
      <c r="L6" s="86"/>
      <c r="M6" s="52"/>
    </row>
    <row r="7" spans="1:13" s="51" customFormat="1" ht="32.1" customHeight="1">
      <c r="A7" s="80">
        <f t="shared" si="0"/>
        <v>2</v>
      </c>
      <c r="B7" s="212" t="str">
        <f>_xlfn.CONCAT(MRS!B7," ",MRS!D7)</f>
        <v>Crane Mobilization Charge</v>
      </c>
      <c r="C7" s="213"/>
      <c r="D7" s="81" t="str">
        <f>MRS!G7</f>
        <v>Trip</v>
      </c>
      <c r="E7" s="81">
        <f>MRS!H7</f>
        <v>1</v>
      </c>
      <c r="F7" s="82">
        <f>MRS!I7</f>
        <v>4000</v>
      </c>
      <c r="G7" s="83">
        <f>MRS!J7</f>
        <v>4000</v>
      </c>
      <c r="H7" s="84" t="str">
        <f>MRS!L7</f>
        <v>One Time</v>
      </c>
      <c r="K7" s="85"/>
      <c r="L7" s="86"/>
      <c r="M7" s="52"/>
    </row>
    <row r="8" spans="1:13" s="51" customFormat="1" ht="32.1" customHeight="1">
      <c r="A8" s="87">
        <f t="shared" si="0"/>
        <v>3</v>
      </c>
      <c r="B8" s="212" t="str">
        <f>_xlfn.CONCAT(MRS!B8," ",MRS!D8)</f>
        <v>Crane Demobilization Charge</v>
      </c>
      <c r="C8" s="213"/>
      <c r="D8" s="81" t="str">
        <f>MRS!G8</f>
        <v>Trip</v>
      </c>
      <c r="E8" s="81">
        <f>MRS!H8</f>
        <v>1</v>
      </c>
      <c r="F8" s="82">
        <f>MRS!I8</f>
        <v>4000</v>
      </c>
      <c r="G8" s="83">
        <f>MRS!J8</f>
        <v>4000</v>
      </c>
      <c r="H8" s="84" t="str">
        <f>MRS!L8</f>
        <v>One Time</v>
      </c>
      <c r="K8" s="52"/>
      <c r="L8" s="52"/>
      <c r="M8" s="52"/>
    </row>
    <row r="9" spans="1:13" s="51" customFormat="1" ht="32.1" customHeight="1">
      <c r="A9" s="87">
        <f t="shared" si="0"/>
        <v>4</v>
      </c>
      <c r="B9" s="196"/>
      <c r="C9" s="197"/>
      <c r="D9" s="88"/>
      <c r="E9" s="89"/>
      <c r="F9" s="90"/>
      <c r="G9" s="91"/>
      <c r="H9" s="92"/>
    </row>
    <row r="10" spans="1:13" s="51" customFormat="1" ht="32.1" customHeight="1">
      <c r="A10" s="87">
        <f t="shared" si="0"/>
        <v>5</v>
      </c>
      <c r="B10" s="196"/>
      <c r="C10" s="197"/>
      <c r="D10" s="88"/>
      <c r="E10" s="89"/>
      <c r="F10" s="90"/>
      <c r="G10" s="91"/>
      <c r="H10" s="92"/>
    </row>
    <row r="11" spans="1:13" s="51" customFormat="1" ht="32.1" customHeight="1">
      <c r="A11" s="87">
        <f t="shared" si="0"/>
        <v>6</v>
      </c>
      <c r="B11" s="196"/>
      <c r="C11" s="197"/>
      <c r="D11" s="88"/>
      <c r="E11" s="89"/>
      <c r="F11" s="90"/>
      <c r="G11" s="91"/>
      <c r="H11" s="92"/>
    </row>
    <row r="12" spans="1:13" s="51" customFormat="1" ht="32.1" customHeight="1">
      <c r="A12" s="87">
        <f t="shared" si="0"/>
        <v>7</v>
      </c>
      <c r="B12" s="196"/>
      <c r="C12" s="197"/>
      <c r="D12" s="88"/>
      <c r="E12" s="89"/>
      <c r="F12" s="90"/>
      <c r="G12" s="91"/>
      <c r="H12" s="92"/>
    </row>
    <row r="13" spans="1:13" s="51" customFormat="1" ht="32.1" customHeight="1">
      <c r="A13" s="87">
        <f t="shared" si="0"/>
        <v>8</v>
      </c>
      <c r="B13" s="196"/>
      <c r="C13" s="197"/>
      <c r="D13" s="88"/>
      <c r="E13" s="89"/>
      <c r="F13" s="90"/>
      <c r="G13" s="91"/>
      <c r="H13" s="92"/>
    </row>
    <row r="14" spans="1:13" s="51" customFormat="1" ht="32.1" customHeight="1">
      <c r="A14" s="87">
        <f t="shared" si="0"/>
        <v>9</v>
      </c>
      <c r="B14" s="196"/>
      <c r="C14" s="197"/>
      <c r="D14" s="88"/>
      <c r="E14" s="89"/>
      <c r="F14" s="93"/>
      <c r="G14" s="91"/>
      <c r="H14" s="92"/>
    </row>
    <row r="15" spans="1:13" s="51" customFormat="1" ht="32.1" customHeight="1">
      <c r="A15" s="87">
        <f t="shared" si="0"/>
        <v>10</v>
      </c>
      <c r="B15" s="196"/>
      <c r="C15" s="197"/>
      <c r="D15" s="88"/>
      <c r="E15" s="89"/>
      <c r="F15" s="93"/>
      <c r="G15" s="91"/>
      <c r="H15" s="92"/>
    </row>
    <row r="16" spans="1:13" s="51" customFormat="1" ht="32.1" customHeight="1">
      <c r="A16" s="87">
        <f t="shared" si="0"/>
        <v>11</v>
      </c>
      <c r="B16" s="196"/>
      <c r="C16" s="197"/>
      <c r="D16" s="88"/>
      <c r="E16" s="89"/>
      <c r="F16" s="90"/>
      <c r="G16" s="91"/>
      <c r="H16" s="92"/>
    </row>
    <row r="17" spans="1:13" s="51" customFormat="1" ht="32.1" customHeight="1">
      <c r="A17" s="87">
        <f t="shared" si="0"/>
        <v>12</v>
      </c>
      <c r="B17" s="196"/>
      <c r="C17" s="197"/>
      <c r="D17" s="88"/>
      <c r="E17" s="89"/>
      <c r="F17" s="90"/>
      <c r="G17" s="91"/>
      <c r="H17" s="92"/>
    </row>
    <row r="18" spans="1:13" s="51" customFormat="1" ht="23.1" customHeight="1">
      <c r="A18" s="214" t="s">
        <v>79</v>
      </c>
      <c r="B18" s="215"/>
      <c r="C18" s="215"/>
      <c r="D18" s="215"/>
      <c r="E18" s="215"/>
      <c r="F18" s="215"/>
      <c r="G18" s="54">
        <f>SUM(G6:G17)</f>
        <v>98000</v>
      </c>
      <c r="H18" s="55"/>
    </row>
    <row r="19" spans="1:13" s="51" customFormat="1" ht="23.1" customHeight="1">
      <c r="A19" s="214" t="s">
        <v>42</v>
      </c>
      <c r="B19" s="215"/>
      <c r="C19" s="215"/>
      <c r="D19" s="215"/>
      <c r="E19" s="215"/>
      <c r="F19" s="215"/>
      <c r="G19" s="54">
        <f>+G18*0.15</f>
        <v>14700</v>
      </c>
      <c r="H19" s="55"/>
    </row>
    <row r="20" spans="1:13" s="51" customFormat="1" ht="24.95" customHeight="1" thickBot="1">
      <c r="A20" s="216" t="s">
        <v>80</v>
      </c>
      <c r="B20" s="217"/>
      <c r="C20" s="217"/>
      <c r="D20" s="217"/>
      <c r="E20" s="217"/>
      <c r="F20" s="217"/>
      <c r="G20" s="56">
        <f>G19+G18</f>
        <v>112700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UT-EQUO-26-4367 (R1)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7" t="s">
        <v>82</v>
      </c>
      <c r="B24" s="187"/>
      <c r="C24" s="187"/>
      <c r="D24" s="187"/>
      <c r="E24" s="187"/>
      <c r="F24" s="187"/>
      <c r="G24" s="187"/>
      <c r="H24" s="187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2026-08-19T13:31:22Z</cp:lastPrinted>
  <dcterms:created xsi:type="dcterms:W3CDTF">2024-10-20T11:50:19Z</dcterms:created>
  <dcterms:modified xsi:type="dcterms:W3CDTF">2026-08-19T13:46:11Z</dcterms:modified>
</cp:coreProperties>
</file>