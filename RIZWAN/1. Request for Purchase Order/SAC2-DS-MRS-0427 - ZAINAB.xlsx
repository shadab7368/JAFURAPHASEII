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DBDC108-B663-4B7E-9D95-834EC0C10DD7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MRS!$A$1:$L$29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A15" i="4"/>
  <c r="A16" i="4"/>
  <c r="A17" i="4"/>
  <c r="A18" i="4"/>
  <c r="A19" i="4"/>
  <c r="G15" i="4"/>
  <c r="G16" i="4"/>
  <c r="G17" i="4"/>
  <c r="G18" i="4"/>
  <c r="G19" i="4"/>
  <c r="A14" i="1"/>
  <c r="A14" i="2" s="1"/>
  <c r="A15" i="1"/>
  <c r="A16" i="1"/>
  <c r="A17" i="1"/>
  <c r="A18" i="1"/>
  <c r="A19" i="1"/>
  <c r="P54" i="3"/>
  <c r="B6" i="4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4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J20" i="1" l="1"/>
  <c r="J14" i="2"/>
  <c r="G14" i="4"/>
  <c r="J13" i="2"/>
  <c r="G13" i="4"/>
  <c r="J12" i="2"/>
  <c r="G12" i="4"/>
  <c r="J11" i="2"/>
  <c r="G11" i="4"/>
  <c r="J10" i="2"/>
  <c r="G10" i="4"/>
  <c r="J9" i="2"/>
  <c r="G9" i="4"/>
  <c r="J8" i="2"/>
  <c r="G8" i="4"/>
  <c r="J7" i="2"/>
  <c r="G7" i="4"/>
  <c r="J6" i="2"/>
  <c r="G6" i="4"/>
  <c r="K67" i="3"/>
  <c r="G20" i="4" l="1"/>
  <c r="K10" i="3"/>
  <c r="A23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21" i="4" l="1"/>
  <c r="F30" i="3" s="1"/>
  <c r="G22" i="4" l="1"/>
  <c r="F31" i="3" s="1"/>
</calcChain>
</file>

<file path=xl/sharedStrings.xml><?xml version="1.0" encoding="utf-8"?>
<sst xmlns="http://schemas.openxmlformats.org/spreadsheetml/2006/main" count="198" uniqueCount="161">
  <si>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</si>
  <si>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</si>
  <si>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</si>
  <si>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</si>
  <si>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</si>
  <si>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</si>
  <si>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</si>
  <si>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</si>
  <si>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</si>
  <si>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</si>
  <si>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</si>
  <si>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</si>
  <si>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</si>
  <si>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</si>
  <si>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</si>
  <si>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</si>
  <si>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</si>
  <si>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</si>
  <si>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</si>
  <si>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</si>
  <si>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</si>
  <si>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</si>
  <si>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</si>
  <si>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</si>
  <si>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</si>
  <si>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</si>
  <si>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</si>
  <si>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</si>
  <si>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</si>
  <si>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</si>
  <si>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</si>
  <si>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</si>
  <si>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</si>
  <si>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</si>
  <si>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</si>
  <si>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</si>
  <si>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</si>
  <si>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</si>
  <si>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</si>
  <si>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</si>
  <si>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</si>
  <si>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</si>
  <si>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</si>
  <si>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</si>
  <si>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</si>
  <si>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</si>
  <si>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</si>
  <si>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</si>
  <si>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</si>
  <si>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</si>
  <si>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</si>
  <si>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</si>
  <si>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</si>
  <si>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</si>
  <si>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</si>
  <si>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</si>
  <si>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</si>
  <si>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</si>
  <si>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</si>
  <si>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</si>
  <si>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</si>
  <si>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</si>
  <si>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</si>
  <si>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</si>
  <si>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</si>
  <si>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</si>
  <si>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</si>
  <si>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</si>
  <si>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</si>
  <si>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</si>
  <si>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</si>
  <si>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</si>
  <si>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</si>
  <si>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</si>
  <si>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</si>
  <si>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</si>
  <si>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</si>
  <si>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</si>
  <si>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</si>
  <si>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</si>
  <si>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</si>
  <si>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</si>
  <si>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</si>
  <si>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</si>
  <si>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</si>
  <si>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</si>
  <si>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</si>
  <si>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</si>
  <si>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</si>
  <si>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</si>
  <si>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</si>
  <si>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</si>
  <si>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</si>
  <si>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</si>
  <si>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</si>
  <si>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</si>
  <si>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</si>
  <si>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</si>
  <si>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</si>
  <si>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</si>
  <si>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</si>
  <si>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</si>
  <si>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</si>
  <si>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ZSAAC (Zainab Saeed Al Abdul Aal Contracting Est.)</t>
  </si>
  <si>
    <t>2050107776</t>
  </si>
  <si>
    <t>3021683249000003</t>
  </si>
  <si>
    <t>Mamun Rasid</t>
  </si>
  <si>
    <t>Mobile No. +966 57 243 0548, Email: info@primeworkforcehub.com</t>
  </si>
  <si>
    <t>Building No. 2210, Najmah Street, Al Qatif - 32645, KSA</t>
  </si>
  <si>
    <t>Mobile: +966 57 243 0548</t>
  </si>
  <si>
    <t>ZAINAB SAEED AL ABDUL AAL CONTRACTING EST.</t>
  </si>
  <si>
    <t>3263232849940</t>
  </si>
  <si>
    <t>SA05 2000 0003 2632 3284 9940</t>
  </si>
  <si>
    <t>RIYAD BANK</t>
  </si>
  <si>
    <t>RIBLSARI</t>
  </si>
  <si>
    <t>Sales &amp; Purchasing Manager</t>
  </si>
  <si>
    <t>ZAINAB</t>
  </si>
  <si>
    <t>One Time</t>
  </si>
  <si>
    <t>4"X3MM CS</t>
  </si>
  <si>
    <t>CS PIPE SMLS SCH80 A106 6MTR 2"</t>
  </si>
  <si>
    <t>Pcs</t>
  </si>
  <si>
    <t xml:space="preserve">CS PIPE SMLS </t>
  </si>
  <si>
    <t>SCH80 A106 6MTR 4"</t>
  </si>
  <si>
    <t>SCH80 A106 6MTR 3/4"</t>
  </si>
  <si>
    <t xml:space="preserve">CS RED COUPLING </t>
  </si>
  <si>
    <t>CL3000 A105N SW 4"X2"</t>
  </si>
  <si>
    <t>CL3000 A105N SW 2" X 3/4"</t>
  </si>
  <si>
    <t xml:space="preserve">CS FULL COUPLING </t>
  </si>
  <si>
    <t>CL3000 NPT A105 2"</t>
  </si>
  <si>
    <t>CS FULL COUPLING</t>
  </si>
  <si>
    <t xml:space="preserve"> CL3000 NPT A105 3/4"</t>
  </si>
  <si>
    <t xml:space="preserve">CS CHECK VALVE </t>
  </si>
  <si>
    <t>CL800 PISTON TYPE SW A105 2"</t>
  </si>
  <si>
    <t xml:space="preserve">CS GATE VALVE </t>
  </si>
  <si>
    <t>CL800 SW A105 2"</t>
  </si>
  <si>
    <t xml:space="preserve">CS RED TEE </t>
  </si>
  <si>
    <t xml:space="preserve">CL3000 A105 SW 4"X 2" </t>
  </si>
  <si>
    <t xml:space="preserve">CS ELBOW </t>
  </si>
  <si>
    <t xml:space="preserve">A105 CL3000 SW 90D 2" </t>
  </si>
  <si>
    <t xml:space="preserve">CS EQ TEE </t>
  </si>
  <si>
    <t>A105 CL3000 SW 2"</t>
  </si>
  <si>
    <t xml:space="preserve">CS RED BUSHING </t>
  </si>
  <si>
    <t xml:space="preserve">CL3000 A105 3/4"X 1/2" </t>
  </si>
  <si>
    <t xml:space="preserve">SS HEX NIPPLE </t>
  </si>
  <si>
    <t>CL3000 SS316 1/2"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</si>
  <si>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</si>
  <si>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</si>
  <si>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</si>
  <si>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</si>
  <si>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</si>
  <si>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</si>
  <si>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</si>
  <si>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</si>
  <si>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</si>
  <si>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</si>
  <si>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</si>
  <si>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</si>
  <si>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</si>
  <si>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</si>
  <si>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JF-MAT-2026104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</si>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</sst>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8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8" xfId="6" applyFont="1" applyFill="1" applyBorder="1" applyAlignment="1">
      <alignment horizontal="center" vertical="center" wrapText="1"/>
    </xf>
    <xf numFmtId="43" fontId="12" fillId="0" borderId="18" xfId="6" quotePrefix="1" applyNumberFormat="1" applyFont="1" applyBorder="1" applyAlignment="1">
      <alignment vertical="center" wrapText="1"/>
    </xf>
    <xf numFmtId="0" fontId="7" fillId="0" borderId="32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3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1" xfId="6" quotePrefix="1" applyFont="1" applyBorder="1" applyAlignment="1">
      <alignment horizontal="center" vertical="center"/>
    </xf>
    <xf numFmtId="0" fontId="2" fillId="0" borderId="32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8" xfId="0" applyFont="1" applyBorder="1" applyAlignment="1">
      <alignment horizontal="center" vertical="center"/>
    </xf>
    <xf numFmtId="172" fontId="41" fillId="0" borderId="18" xfId="10" applyNumberFormat="1" applyFont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quotePrefix="1" applyFont="1" applyBorder="1" applyAlignment="1">
      <alignment vertical="center" wrapText="1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8" xfId="1" applyFill="1" applyBorder="1" applyAlignment="1">
      <alignment horizontal="center" vertical="center"/>
    </xf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7" xfId="1" applyFont="1" applyFill="1" applyBorder="1" applyAlignment="1">
      <alignment horizontal="center" vertical="center"/>
    </xf>
    <xf numFmtId="0" fontId="5" fillId="2" borderId="0" xfId="1" applyFont="1" applyFill="1" applyAlignment="1">
      <alignment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1" fillId="0" borderId="19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2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1" xfId="6" quotePrefix="1" applyFont="1" applyBorder="1" applyAlignment="1">
      <alignment horizontal="right" vertical="center"/>
    </xf>
    <xf numFmtId="0" fontId="12" fillId="0" borderId="18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41" fillId="3" borderId="34" xfId="5" applyFont="1" applyFill="1" applyBorder="1" applyAlignment="1">
      <alignment horizontal="left" vertical="center" wrapText="1"/>
    </xf>
    <xf numFmtId="0" fontId="41" fillId="3" borderId="35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3" xfId="6" applyFont="1" applyBorder="1" applyAlignment="1">
      <alignment horizontal="right" vertical="center"/>
    </xf>
    <xf numFmtId="0" fontId="7" fillId="4" borderId="24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18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>
      <alignment vertical="center"/>
    </xf>
    <xf numFmtId="0" fontId="2" fillId="2" borderId="8" xfId="1" applyFill="1" applyBorder="1" applyAlignment="1">
      <alignment horizontal="center" vertical="center" wrapText="1"/>
    </xf>
    <xf numFmtId="0" fontId="7" fillId="2" borderId="8" xfId="1" quotePrefix="1" applyFont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8" xfId="1" applyFill="1" applyBorder="1" applyAlignment="1">
      <alignment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1972678</xdr:colOff>
          <xdr:row>21</xdr:row>
          <xdr:rowOff>86226</xdr:rowOff>
        </xdr:from>
        <xdr:to>
          <xdr:col>11</xdr:col>
          <xdr:colOff>1561599</xdr:colOff>
          <xdr:row>27</xdr:row>
          <xdr:rowOff>324351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8B917B1-0FF1-EA43-12D4-D8D4A7E5B7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4:$Y$29" spid="_x0000_s13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23336" y="8638673"/>
              <a:ext cx="8472237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6"/>
  <sheetViews>
    <sheetView showGridLines="0" tabSelected="1" view="pageBreakPreview" zoomScale="95" zoomScaleNormal="95" zoomScaleSheetLayoutView="95" workbookViewId="0">
      <selection activeCell="P15" sqref="P15"/>
    </sheetView>
  </sheetViews>
  <sheetFormatPr defaultColWidth="9" defaultRowHeight="21" customHeight="1"/>
  <cols>
    <col min="1" max="1" width="3.7109375" style="2" customWidth="1"/>
    <col min="2" max="2" width="32.42578125" style="2" customWidth="1"/>
    <col min="3" max="3" width="0.7109375" style="2" customWidth="1"/>
    <col min="4" max="4" width="17.28515625" style="2" customWidth="1"/>
    <col min="5" max="5" width="6" style="2" customWidth="1"/>
    <col min="6" max="6" width="15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6" t="s">
        <v>157</v>
      </c>
      <c r="B1" s="117"/>
      <c r="C1" s="94"/>
      <c r="D1" s="94"/>
      <c r="E1" s="94"/>
      <c r="F1" s="94"/>
      <c r="G1" s="1"/>
      <c r="J1" s="135" t="s">
        <v>81</v>
      </c>
      <c r="K1" s="136"/>
      <c r="L1" s="137"/>
    </row>
    <row r="2" spans="1:18" ht="20.100000000000001" customHeight="1">
      <c r="A2" s="3" t="s">
        <v>1</v>
      </c>
      <c r="B2" s="88"/>
      <c r="C2" s="88"/>
      <c r="D2" s="3" t="s">
        <v>158</v>
      </c>
      <c r="E2" s="88"/>
      <c r="F2" s="88"/>
      <c r="G2" s="88"/>
      <c r="H2" s="88"/>
      <c r="I2" s="4"/>
      <c r="J2" s="138" t="s">
        <v>88</v>
      </c>
      <c r="K2" s="139"/>
      <c r="L2" s="140"/>
    </row>
    <row r="3" spans="1:18" ht="20.100000000000001" customHeight="1">
      <c r="A3" s="3" t="s">
        <v>160</v>
      </c>
      <c r="B3" s="88"/>
      <c r="C3" s="88"/>
      <c r="D3" s="88"/>
      <c r="E3" s="141">
        <f>+L3+3</f>
        <v>46255</v>
      </c>
      <c r="F3" s="141"/>
      <c r="G3" s="141"/>
      <c r="H3" s="141"/>
      <c r="I3" s="141"/>
      <c r="J3" s="88"/>
      <c r="K3" s="88"/>
      <c r="L3" s="118">
        <v>46252</v>
      </c>
      <c r="M3" s="4"/>
    </row>
    <row r="4" spans="1:18" ht="15.95" customHeight="1">
      <c r="A4" s="143" t="s">
        <v>2</v>
      </c>
      <c r="B4" s="144" t="s">
        <v>3</v>
      </c>
      <c r="C4" s="144"/>
      <c r="D4" s="145" t="s">
        <v>4</v>
      </c>
      <c r="E4" s="146"/>
      <c r="F4" s="147"/>
      <c r="G4" s="148" t="s">
        <v>5</v>
      </c>
      <c r="H4" s="142" t="s">
        <v>6</v>
      </c>
      <c r="I4" s="142" t="s">
        <v>85</v>
      </c>
      <c r="J4" s="143" t="s">
        <v>86</v>
      </c>
      <c r="K4" s="142" t="s">
        <v>0</v>
      </c>
      <c r="L4" s="144" t="s">
        <v>7</v>
      </c>
    </row>
    <row r="5" spans="1:18" ht="15.95" customHeight="1">
      <c r="A5" s="142"/>
      <c r="B5" s="148"/>
      <c r="C5" s="148"/>
      <c r="D5" s="185"/>
      <c r="E5" s="186"/>
      <c r="F5" s="187"/>
      <c r="G5" s="188"/>
      <c r="H5" s="189"/>
      <c r="I5" s="189"/>
      <c r="J5" s="142"/>
      <c r="K5" s="189"/>
      <c r="L5" s="148"/>
    </row>
    <row r="6" spans="1:18" ht="20.25" customHeight="1">
      <c r="A6" s="5">
        <f t="shared" ref="A6:A19" si="0">ROW(A1)</f>
        <v>1</v>
      </c>
      <c r="B6" s="190" t="s">
        <v>121</v>
      </c>
      <c r="C6" s="190"/>
      <c r="D6" s="191" t="s">
        <v>122</v>
      </c>
      <c r="E6" s="191"/>
      <c r="F6" s="191"/>
      <c r="G6" s="192" t="s">
        <v>120</v>
      </c>
      <c r="H6" s="192">
        <v>1</v>
      </c>
      <c r="I6" s="193">
        <v>915</v>
      </c>
      <c r="J6" s="194">
        <f>H6*I6</f>
        <v>915</v>
      </c>
      <c r="K6" s="195" t="s">
        <v>116</v>
      </c>
      <c r="L6" s="95" t="s">
        <v>117</v>
      </c>
      <c r="R6" s="93"/>
    </row>
    <row r="7" spans="1:18" ht="20.25" customHeight="1">
      <c r="A7" s="5">
        <f t="shared" si="0"/>
        <v>2</v>
      </c>
      <c r="B7" s="196" t="s">
        <v>119</v>
      </c>
      <c r="C7" s="196"/>
      <c r="D7" s="191" t="s">
        <v>118</v>
      </c>
      <c r="E7" s="191"/>
      <c r="F7" s="191"/>
      <c r="G7" s="192" t="s">
        <v>120</v>
      </c>
      <c r="H7" s="192">
        <v>1</v>
      </c>
      <c r="I7" s="193">
        <v>450</v>
      </c>
      <c r="J7" s="194">
        <f t="shared" ref="J7:J19" si="1">H7*I7</f>
        <v>450</v>
      </c>
      <c r="K7" s="195"/>
      <c r="L7" s="95"/>
      <c r="R7" s="93"/>
    </row>
    <row r="8" spans="1:18" ht="20.25" customHeight="1">
      <c r="A8" s="5">
        <f t="shared" si="0"/>
        <v>3</v>
      </c>
      <c r="B8" s="196" t="s">
        <v>121</v>
      </c>
      <c r="C8" s="196"/>
      <c r="D8" s="191" t="s">
        <v>123</v>
      </c>
      <c r="E8" s="191"/>
      <c r="F8" s="191"/>
      <c r="G8" s="192" t="s">
        <v>120</v>
      </c>
      <c r="H8" s="192">
        <v>1</v>
      </c>
      <c r="I8" s="193">
        <v>100</v>
      </c>
      <c r="J8" s="194">
        <f t="shared" si="1"/>
        <v>100</v>
      </c>
      <c r="K8" s="195"/>
      <c r="L8" s="95"/>
      <c r="R8" s="93"/>
    </row>
    <row r="9" spans="1:18" ht="20.25" customHeight="1">
      <c r="A9" s="5">
        <f t="shared" si="0"/>
        <v>4</v>
      </c>
      <c r="B9" s="196" t="s">
        <v>124</v>
      </c>
      <c r="C9" s="196"/>
      <c r="D9" s="191" t="s">
        <v>125</v>
      </c>
      <c r="E9" s="191"/>
      <c r="F9" s="191"/>
      <c r="G9" s="192" t="s">
        <v>120</v>
      </c>
      <c r="H9" s="192">
        <v>2</v>
      </c>
      <c r="I9" s="193">
        <v>400</v>
      </c>
      <c r="J9" s="194">
        <f t="shared" si="1"/>
        <v>800</v>
      </c>
      <c r="K9" s="195"/>
      <c r="L9" s="95"/>
      <c r="R9" s="93"/>
    </row>
    <row r="10" spans="1:18" ht="20.25" customHeight="1">
      <c r="A10" s="5">
        <f t="shared" si="0"/>
        <v>5</v>
      </c>
      <c r="B10" s="196" t="s">
        <v>124</v>
      </c>
      <c r="C10" s="196"/>
      <c r="D10" s="191" t="s">
        <v>126</v>
      </c>
      <c r="E10" s="191"/>
      <c r="F10" s="191"/>
      <c r="G10" s="192" t="s">
        <v>120</v>
      </c>
      <c r="H10" s="192">
        <v>5</v>
      </c>
      <c r="I10" s="193">
        <v>60</v>
      </c>
      <c r="J10" s="194">
        <f t="shared" si="1"/>
        <v>300</v>
      </c>
      <c r="K10" s="195"/>
      <c r="L10" s="95"/>
      <c r="R10" s="93"/>
    </row>
    <row r="11" spans="1:18" ht="20.25" customHeight="1">
      <c r="A11" s="5">
        <f t="shared" si="0"/>
        <v>6</v>
      </c>
      <c r="B11" s="196" t="s">
        <v>127</v>
      </c>
      <c r="C11" s="196"/>
      <c r="D11" s="191" t="s">
        <v>128</v>
      </c>
      <c r="E11" s="191"/>
      <c r="F11" s="191"/>
      <c r="G11" s="192" t="s">
        <v>120</v>
      </c>
      <c r="H11" s="192">
        <v>2</v>
      </c>
      <c r="I11" s="193">
        <v>50</v>
      </c>
      <c r="J11" s="194">
        <f t="shared" si="1"/>
        <v>100</v>
      </c>
      <c r="K11" s="195"/>
      <c r="L11" s="95"/>
      <c r="R11" s="93"/>
    </row>
    <row r="12" spans="1:18" ht="20.25" customHeight="1">
      <c r="A12" s="5">
        <f t="shared" si="0"/>
        <v>7</v>
      </c>
      <c r="B12" s="196" t="s">
        <v>129</v>
      </c>
      <c r="C12" s="196"/>
      <c r="D12" s="191" t="s">
        <v>130</v>
      </c>
      <c r="E12" s="191"/>
      <c r="F12" s="191"/>
      <c r="G12" s="192" t="s">
        <v>120</v>
      </c>
      <c r="H12" s="192">
        <v>3</v>
      </c>
      <c r="I12" s="193">
        <v>15</v>
      </c>
      <c r="J12" s="194">
        <f t="shared" si="1"/>
        <v>45</v>
      </c>
      <c r="K12" s="195"/>
      <c r="L12" s="95"/>
      <c r="R12" s="93"/>
    </row>
    <row r="13" spans="1:18" ht="20.25" customHeight="1">
      <c r="A13" s="5">
        <f t="shared" si="0"/>
        <v>8</v>
      </c>
      <c r="B13" s="196" t="s">
        <v>131</v>
      </c>
      <c r="C13" s="196"/>
      <c r="D13" s="191" t="s">
        <v>132</v>
      </c>
      <c r="E13" s="191"/>
      <c r="F13" s="191"/>
      <c r="G13" s="192" t="s">
        <v>120</v>
      </c>
      <c r="H13" s="192">
        <v>1</v>
      </c>
      <c r="I13" s="193">
        <v>1130</v>
      </c>
      <c r="J13" s="194">
        <f t="shared" si="1"/>
        <v>1130</v>
      </c>
      <c r="K13" s="195"/>
      <c r="L13" s="95"/>
      <c r="R13" s="93"/>
    </row>
    <row r="14" spans="1:18" ht="20.25" customHeight="1">
      <c r="A14" s="5">
        <f t="shared" si="0"/>
        <v>9</v>
      </c>
      <c r="B14" s="196" t="s">
        <v>133</v>
      </c>
      <c r="C14" s="196"/>
      <c r="D14" s="191" t="s">
        <v>134</v>
      </c>
      <c r="E14" s="191"/>
      <c r="F14" s="191"/>
      <c r="G14" s="192" t="s">
        <v>120</v>
      </c>
      <c r="H14" s="192">
        <v>5</v>
      </c>
      <c r="I14" s="193">
        <v>950</v>
      </c>
      <c r="J14" s="194">
        <f t="shared" si="1"/>
        <v>4750</v>
      </c>
      <c r="K14" s="195"/>
      <c r="L14" s="95"/>
      <c r="R14" s="93"/>
    </row>
    <row r="15" spans="1:18" ht="20.25" customHeight="1">
      <c r="A15" s="5">
        <f t="shared" si="0"/>
        <v>10</v>
      </c>
      <c r="B15" s="196" t="s">
        <v>135</v>
      </c>
      <c r="C15" s="196"/>
      <c r="D15" s="191" t="s">
        <v>136</v>
      </c>
      <c r="E15" s="191"/>
      <c r="F15" s="191"/>
      <c r="G15" s="192" t="s">
        <v>120</v>
      </c>
      <c r="H15" s="192">
        <v>4</v>
      </c>
      <c r="I15" s="193">
        <v>1590</v>
      </c>
      <c r="J15" s="194">
        <f t="shared" si="1"/>
        <v>6360</v>
      </c>
      <c r="K15" s="195"/>
      <c r="L15" s="95"/>
      <c r="R15" s="93"/>
    </row>
    <row r="16" spans="1:18" ht="20.25" customHeight="1">
      <c r="A16" s="5">
        <f t="shared" si="0"/>
        <v>11</v>
      </c>
      <c r="B16" s="196" t="s">
        <v>137</v>
      </c>
      <c r="C16" s="196"/>
      <c r="D16" s="191" t="s">
        <v>138</v>
      </c>
      <c r="E16" s="191"/>
      <c r="F16" s="191"/>
      <c r="G16" s="192" t="s">
        <v>120</v>
      </c>
      <c r="H16" s="192">
        <v>2</v>
      </c>
      <c r="I16" s="193">
        <v>95</v>
      </c>
      <c r="J16" s="194">
        <f t="shared" si="1"/>
        <v>190</v>
      </c>
      <c r="K16" s="195"/>
      <c r="L16" s="95"/>
      <c r="R16" s="93"/>
    </row>
    <row r="17" spans="1:26" ht="20.25" customHeight="1">
      <c r="A17" s="5">
        <f t="shared" si="0"/>
        <v>12</v>
      </c>
      <c r="B17" s="196" t="s">
        <v>139</v>
      </c>
      <c r="C17" s="196"/>
      <c r="D17" s="191" t="s">
        <v>140</v>
      </c>
      <c r="E17" s="191"/>
      <c r="F17" s="191"/>
      <c r="G17" s="192" t="s">
        <v>120</v>
      </c>
      <c r="H17" s="192">
        <v>1</v>
      </c>
      <c r="I17" s="193">
        <v>110</v>
      </c>
      <c r="J17" s="194">
        <f t="shared" si="1"/>
        <v>110</v>
      </c>
      <c r="K17" s="195"/>
      <c r="L17" s="95"/>
      <c r="R17" s="93"/>
    </row>
    <row r="18" spans="1:26" ht="20.25" customHeight="1">
      <c r="A18" s="5">
        <f t="shared" si="0"/>
        <v>13</v>
      </c>
      <c r="B18" s="196" t="s">
        <v>141</v>
      </c>
      <c r="C18" s="196"/>
      <c r="D18" s="191" t="s">
        <v>142</v>
      </c>
      <c r="E18" s="191"/>
      <c r="F18" s="191"/>
      <c r="G18" s="192" t="s">
        <v>120</v>
      </c>
      <c r="H18" s="192">
        <v>3</v>
      </c>
      <c r="I18" s="193">
        <v>16</v>
      </c>
      <c r="J18" s="194">
        <f t="shared" si="1"/>
        <v>48</v>
      </c>
      <c r="K18" s="195"/>
      <c r="L18" s="95"/>
      <c r="R18" s="93"/>
    </row>
    <row r="19" spans="1:26" ht="20.25" customHeight="1">
      <c r="A19" s="5">
        <f t="shared" si="0"/>
        <v>14</v>
      </c>
      <c r="B19" s="196" t="s">
        <v>143</v>
      </c>
      <c r="C19" s="196"/>
      <c r="D19" s="191" t="s">
        <v>144</v>
      </c>
      <c r="E19" s="191"/>
      <c r="F19" s="191"/>
      <c r="G19" s="192" t="s">
        <v>120</v>
      </c>
      <c r="H19" s="192">
        <v>1</v>
      </c>
      <c r="I19" s="193">
        <v>30</v>
      </c>
      <c r="J19" s="194">
        <f t="shared" si="1"/>
        <v>30</v>
      </c>
      <c r="K19" s="195"/>
      <c r="L19" s="95"/>
      <c r="R19" s="93"/>
    </row>
    <row r="20" spans="1:26" ht="20.25" customHeight="1">
      <c r="A20" s="197" t="s">
        <v>8</v>
      </c>
      <c r="B20" s="197"/>
      <c r="C20" s="198"/>
      <c r="D20" s="199"/>
      <c r="E20" s="199"/>
      <c r="F20" s="199"/>
      <c r="G20" s="200"/>
      <c r="H20" s="200"/>
      <c r="I20" s="99" t="s">
        <v>9</v>
      </c>
      <c r="J20" s="194">
        <f>SUM(J6:J19)</f>
        <v>15328</v>
      </c>
      <c r="K20" s="194"/>
      <c r="L20" s="96"/>
    </row>
    <row r="21" spans="1:26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6" ht="18" customHeight="1">
      <c r="A22" s="10"/>
      <c r="J22" s="1"/>
      <c r="K22" s="1"/>
      <c r="O22" s="108"/>
      <c r="P22" s="11"/>
      <c r="Q22" s="11"/>
      <c r="R22" s="11"/>
      <c r="S22" s="11"/>
      <c r="T22" s="11"/>
      <c r="U22" s="11"/>
      <c r="V22" s="11"/>
      <c r="W22" s="11"/>
      <c r="Y22" s="123"/>
      <c r="Z22" s="11"/>
    </row>
    <row r="23" spans="1:26" ht="50.1" customHeight="1">
      <c r="O23" s="1"/>
      <c r="Y23" s="124"/>
    </row>
    <row r="24" spans="1:26" ht="15" customHeight="1">
      <c r="O24" s="119" t="s">
        <v>145</v>
      </c>
      <c r="P24" s="125"/>
      <c r="Q24" s="125"/>
      <c r="R24" s="120"/>
      <c r="S24" s="107"/>
      <c r="T24" s="119" t="s">
        <v>146</v>
      </c>
      <c r="U24" s="125"/>
      <c r="V24" s="125"/>
      <c r="W24" s="125"/>
      <c r="X24" s="125"/>
      <c r="Y24" s="120"/>
    </row>
    <row r="25" spans="1:26" ht="15" customHeight="1">
      <c r="O25" s="126" t="s">
        <v>147</v>
      </c>
      <c r="P25" s="130" t="s">
        <v>148</v>
      </c>
      <c r="Q25" s="128" t="s">
        <v>149</v>
      </c>
      <c r="R25" s="130" t="s">
        <v>150</v>
      </c>
      <c r="S25" s="107"/>
      <c r="T25" s="128" t="s">
        <v>151</v>
      </c>
      <c r="U25" s="130" t="s">
        <v>152</v>
      </c>
      <c r="V25" s="119" t="s">
        <v>153</v>
      </c>
      <c r="W25" s="125"/>
      <c r="X25" s="120"/>
      <c r="Y25" s="130" t="s">
        <v>154</v>
      </c>
    </row>
    <row r="26" spans="1:26" ht="18" customHeight="1">
      <c r="O26" s="127"/>
      <c r="P26" s="131"/>
      <c r="Q26" s="129"/>
      <c r="R26" s="131"/>
      <c r="S26" s="109"/>
      <c r="T26" s="129"/>
      <c r="U26" s="131"/>
      <c r="V26" s="13" t="s">
        <v>147</v>
      </c>
      <c r="W26" s="132" t="s">
        <v>155</v>
      </c>
      <c r="X26" s="133"/>
      <c r="Y26" s="131"/>
    </row>
    <row r="27" spans="1:26" ht="50.1" customHeight="1">
      <c r="O27" s="110"/>
      <c r="P27" s="14"/>
      <c r="Q27" s="14"/>
      <c r="R27" s="14"/>
      <c r="S27" s="107"/>
      <c r="T27" s="14"/>
      <c r="U27" s="14"/>
      <c r="V27" s="14"/>
      <c r="W27" s="119"/>
      <c r="X27" s="120"/>
      <c r="Y27" s="111"/>
    </row>
    <row r="28" spans="1:26" ht="36" customHeight="1">
      <c r="O28" s="1"/>
      <c r="W28" s="112"/>
      <c r="X28" s="121" t="s">
        <v>156</v>
      </c>
      <c r="Y28" s="12" t="s">
        <v>154</v>
      </c>
    </row>
    <row r="29" spans="1:26" ht="50.1" customHeight="1">
      <c r="O29" s="113"/>
      <c r="P29" s="113"/>
      <c r="Q29" s="113"/>
      <c r="R29" s="113"/>
      <c r="S29" s="113"/>
      <c r="T29" s="113"/>
      <c r="U29" s="113"/>
      <c r="V29" s="113"/>
      <c r="W29" s="114"/>
      <c r="X29" s="122"/>
      <c r="Y29" s="115"/>
    </row>
    <row r="30" spans="1:26" ht="19.899999999999999" customHeight="1">
      <c r="O30" s="1"/>
    </row>
    <row r="31" spans="1:26" ht="17.45" customHeight="1">
      <c r="O31" s="134"/>
      <c r="P31" s="134"/>
    </row>
    <row r="32" spans="1:26" ht="19.899999999999999" customHeight="1">
      <c r="O32" s="134"/>
      <c r="P32" s="134"/>
    </row>
    <row r="33" spans="15:16" ht="14.25">
      <c r="O33" s="11"/>
      <c r="P33" s="11"/>
    </row>
    <row r="34" spans="15:16" ht="65.099999999999994" customHeight="1"/>
    <row r="35" spans="15:16" ht="14.25">
      <c r="O35" s="11"/>
      <c r="P35" s="11"/>
    </row>
    <row r="36" spans="15:16" ht="19.899999999999999" customHeight="1"/>
    <row r="37" spans="15:16" ht="14.25"/>
    <row r="38" spans="15:16" ht="19.899999999999999" customHeight="1"/>
    <row r="39" spans="15:16" ht="14.25"/>
    <row r="40" spans="15:16" ht="19.899999999999999" customHeight="1"/>
    <row r="41" spans="15:16" ht="19.899999999999999" customHeight="1"/>
    <row r="42" spans="15:16" ht="64.900000000000006" customHeight="1"/>
    <row r="44" spans="15:16" ht="19.899999999999999" customHeight="1"/>
    <row r="45" spans="15:16" ht="19.899999999999999" customHeight="1"/>
    <row r="46" spans="15:16" ht="64.900000000000006" customHeight="1"/>
    <row r="50" spans="15:19" ht="21" customHeight="1">
      <c r="O50" s="130" t="s">
        <v>12</v>
      </c>
      <c r="P50" s="130" t="s">
        <v>12</v>
      </c>
      <c r="S50" s="130" t="s">
        <v>11</v>
      </c>
    </row>
    <row r="51" spans="15:19" ht="21" customHeight="1">
      <c r="O51" s="131"/>
      <c r="P51" s="131"/>
      <c r="S51" s="129"/>
    </row>
    <row r="52" spans="15:19" ht="64.900000000000006" customHeight="1">
      <c r="O52" s="14"/>
      <c r="P52" s="14"/>
      <c r="S52" s="15"/>
    </row>
    <row r="53" spans="15:19" ht="7.15" customHeight="1"/>
    <row r="54" spans="15:19" ht="21" customHeight="1">
      <c r="O54" s="130" t="s">
        <v>12</v>
      </c>
      <c r="P54" s="130" t="s">
        <v>12</v>
      </c>
      <c r="S54" s="130" t="s">
        <v>13</v>
      </c>
    </row>
    <row r="55" spans="15:19" ht="21" customHeight="1">
      <c r="O55" s="131"/>
      <c r="P55" s="131"/>
      <c r="S55" s="129"/>
    </row>
    <row r="56" spans="15:19" ht="64.900000000000006" customHeight="1">
      <c r="O56" s="14"/>
      <c r="P56" s="14"/>
      <c r="S56" s="14"/>
    </row>
  </sheetData>
  <mergeCells count="50">
    <mergeCell ref="D15:F15"/>
    <mergeCell ref="D16:F16"/>
    <mergeCell ref="D17:F17"/>
    <mergeCell ref="D18:F18"/>
    <mergeCell ref="D19:F19"/>
    <mergeCell ref="A4:A5"/>
    <mergeCell ref="B4:C5"/>
    <mergeCell ref="D4:F5"/>
    <mergeCell ref="G4:G5"/>
    <mergeCell ref="H4:H5"/>
    <mergeCell ref="D12:F12"/>
    <mergeCell ref="D6:F6"/>
    <mergeCell ref="D7:F7"/>
    <mergeCell ref="D8:F8"/>
    <mergeCell ref="J1:L1"/>
    <mergeCell ref="J2:L2"/>
    <mergeCell ref="E3:I3"/>
    <mergeCell ref="I4:I5"/>
    <mergeCell ref="J4:J5"/>
    <mergeCell ref="K4:K5"/>
    <mergeCell ref="L4:L5"/>
    <mergeCell ref="B6:C6"/>
    <mergeCell ref="A20:B20"/>
    <mergeCell ref="P25:P26"/>
    <mergeCell ref="S50:S51"/>
    <mergeCell ref="O54:O55"/>
    <mergeCell ref="P54:P55"/>
    <mergeCell ref="S54:S55"/>
    <mergeCell ref="O31:O32"/>
    <mergeCell ref="P31:P32"/>
    <mergeCell ref="O50:O51"/>
    <mergeCell ref="P50:P51"/>
    <mergeCell ref="D9:F9"/>
    <mergeCell ref="D13:F13"/>
    <mergeCell ref="D14:F14"/>
    <mergeCell ref="D10:F10"/>
    <mergeCell ref="D11:F11"/>
    <mergeCell ref="W27:X27"/>
    <mergeCell ref="X28:X29"/>
    <mergeCell ref="Y22:Y23"/>
    <mergeCell ref="O24:R24"/>
    <mergeCell ref="T24:Y24"/>
    <mergeCell ref="O25:O26"/>
    <mergeCell ref="Q25:Q26"/>
    <mergeCell ref="R25:R26"/>
    <mergeCell ref="T25:T26"/>
    <mergeCell ref="U25:U26"/>
    <mergeCell ref="V25:X25"/>
    <mergeCell ref="Y25:Y26"/>
    <mergeCell ref="W26:X26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3" activePane="bottomLeft" state="frozen"/>
      <selection activeCell="D30" sqref="D30"/>
      <selection pane="bottomLeft" activeCell="G15" sqref="G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7" t="s">
        <v>87</v>
      </c>
      <c r="B1" s="87"/>
      <c r="C1" s="87"/>
      <c r="D1" s="87"/>
      <c r="E1" s="87"/>
      <c r="F1" s="87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SAC2-DS-MRS-0427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46252</v>
      </c>
    </row>
    <row r="4" spans="1:18" ht="15.95" customHeight="1">
      <c r="A4" s="154" t="s">
        <v>2</v>
      </c>
      <c r="B4" s="155" t="s">
        <v>14</v>
      </c>
      <c r="C4" s="155"/>
      <c r="D4" s="154" t="s">
        <v>4</v>
      </c>
      <c r="E4" s="154"/>
      <c r="F4" s="154"/>
      <c r="G4" s="155" t="s">
        <v>5</v>
      </c>
      <c r="H4" s="154" t="s">
        <v>82</v>
      </c>
      <c r="I4" s="154" t="s">
        <v>15</v>
      </c>
      <c r="J4" s="154" t="s">
        <v>16</v>
      </c>
      <c r="K4" s="155" t="s">
        <v>7</v>
      </c>
    </row>
    <row r="5" spans="1:18" ht="15.95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5"/>
    </row>
    <row r="6" spans="1:18" ht="105" customHeight="1">
      <c r="A6" s="17">
        <f>+MRS!A6</f>
        <v>1</v>
      </c>
      <c r="B6" s="149" t="str">
        <f>MRS!B6</f>
        <v xml:space="preserve">CS PIPE SMLS </v>
      </c>
      <c r="C6" s="150"/>
      <c r="D6" s="151" t="str">
        <f>MRS!D6</f>
        <v>SCH80 A106 6MTR 4"</v>
      </c>
      <c r="E6" s="152"/>
      <c r="F6" s="153"/>
      <c r="G6" s="90" t="str">
        <f>MRS!G6</f>
        <v>Pcs</v>
      </c>
      <c r="H6" s="90">
        <f>MRS!H6</f>
        <v>1</v>
      </c>
      <c r="I6" s="91">
        <f>MRS!I6</f>
        <v>915</v>
      </c>
      <c r="J6" s="91">
        <f>MRS!J6</f>
        <v>915</v>
      </c>
      <c r="K6" s="92"/>
      <c r="O6" s="93"/>
      <c r="P6" s="93"/>
      <c r="R6" s="93"/>
    </row>
    <row r="7" spans="1:18" ht="105" customHeight="1">
      <c r="A7" s="17">
        <f>+MRS!A7</f>
        <v>2</v>
      </c>
      <c r="B7" s="149" t="str">
        <f>MRS!B7</f>
        <v>CS PIPE SMLS SCH80 A106 6MTR 2"</v>
      </c>
      <c r="C7" s="150"/>
      <c r="D7" s="151" t="str">
        <f>MRS!D7</f>
        <v>4"X3MM CS</v>
      </c>
      <c r="E7" s="152"/>
      <c r="F7" s="153"/>
      <c r="G7" s="90" t="str">
        <f>MRS!G7</f>
        <v>Pcs</v>
      </c>
      <c r="H7" s="90">
        <f>MRS!H7</f>
        <v>1</v>
      </c>
      <c r="I7" s="91">
        <f>MRS!I7</f>
        <v>450</v>
      </c>
      <c r="J7" s="91">
        <f>MRS!J7</f>
        <v>450</v>
      </c>
      <c r="K7" s="92"/>
      <c r="O7" s="93"/>
      <c r="P7" s="93"/>
      <c r="R7" s="93"/>
    </row>
    <row r="8" spans="1:18" ht="105" customHeight="1">
      <c r="A8" s="17">
        <f>+MRS!A8</f>
        <v>3</v>
      </c>
      <c r="B8" s="149" t="str">
        <f>MRS!B8</f>
        <v xml:space="preserve">CS PIPE SMLS </v>
      </c>
      <c r="C8" s="150"/>
      <c r="D8" s="151" t="str">
        <f>MRS!D8</f>
        <v>SCH80 A106 6MTR 3/4"</v>
      </c>
      <c r="E8" s="152"/>
      <c r="F8" s="153"/>
      <c r="G8" s="90" t="str">
        <f>MRS!G8</f>
        <v>Pcs</v>
      </c>
      <c r="H8" s="90">
        <f>MRS!H8</f>
        <v>1</v>
      </c>
      <c r="I8" s="91">
        <f>MRS!I8</f>
        <v>100</v>
      </c>
      <c r="J8" s="91">
        <f>MRS!J8</f>
        <v>100</v>
      </c>
      <c r="K8" s="92"/>
      <c r="O8" s="93"/>
      <c r="P8" s="93"/>
      <c r="R8" s="93"/>
    </row>
    <row r="9" spans="1:18" ht="105" customHeight="1">
      <c r="A9" s="17">
        <f>+MRS!A9</f>
        <v>4</v>
      </c>
      <c r="B9" s="149" t="str">
        <f>MRS!B9</f>
        <v xml:space="preserve">CS RED COUPLING </v>
      </c>
      <c r="C9" s="150"/>
      <c r="D9" s="151" t="str">
        <f>MRS!D9</f>
        <v>CL3000 A105N SW 4"X2"</v>
      </c>
      <c r="E9" s="152"/>
      <c r="F9" s="153"/>
      <c r="G9" s="90" t="str">
        <f>MRS!G9</f>
        <v>Pcs</v>
      </c>
      <c r="H9" s="90">
        <f>MRS!H9</f>
        <v>2</v>
      </c>
      <c r="I9" s="91">
        <f>MRS!I9</f>
        <v>400</v>
      </c>
      <c r="J9" s="91">
        <f>MRS!J9</f>
        <v>800</v>
      </c>
      <c r="K9" s="92"/>
      <c r="O9" s="93"/>
      <c r="P9" s="93"/>
      <c r="R9" s="93"/>
    </row>
    <row r="10" spans="1:18" ht="105" customHeight="1">
      <c r="A10" s="17">
        <f>+MRS!A10</f>
        <v>5</v>
      </c>
      <c r="B10" s="149" t="str">
        <f>MRS!B10</f>
        <v xml:space="preserve">CS RED COUPLING </v>
      </c>
      <c r="C10" s="150"/>
      <c r="D10" s="151" t="str">
        <f>MRS!D10</f>
        <v>CL3000 A105N SW 2" X 3/4"</v>
      </c>
      <c r="E10" s="152"/>
      <c r="F10" s="153"/>
      <c r="G10" s="90" t="str">
        <f>MRS!G10</f>
        <v>Pcs</v>
      </c>
      <c r="H10" s="90">
        <f>MRS!H10</f>
        <v>5</v>
      </c>
      <c r="I10" s="91">
        <f>MRS!I10</f>
        <v>60</v>
      </c>
      <c r="J10" s="91">
        <f>MRS!J10</f>
        <v>300</v>
      </c>
      <c r="K10" s="92"/>
      <c r="O10" s="93"/>
      <c r="P10" s="93"/>
      <c r="R10" s="93"/>
    </row>
    <row r="11" spans="1:18" ht="105" customHeight="1">
      <c r="A11" s="17">
        <f>+MRS!A11</f>
        <v>6</v>
      </c>
      <c r="B11" s="149" t="str">
        <f>MRS!B11</f>
        <v xml:space="preserve">CS FULL COUPLING </v>
      </c>
      <c r="C11" s="150"/>
      <c r="D11" s="151" t="str">
        <f>MRS!D11</f>
        <v>CL3000 NPT A105 2"</v>
      </c>
      <c r="E11" s="152"/>
      <c r="F11" s="153"/>
      <c r="G11" s="90" t="str">
        <f>MRS!G11</f>
        <v>Pcs</v>
      </c>
      <c r="H11" s="90">
        <f>MRS!H11</f>
        <v>2</v>
      </c>
      <c r="I11" s="91">
        <f>MRS!I11</f>
        <v>50</v>
      </c>
      <c r="J11" s="91">
        <f>MRS!J11</f>
        <v>100</v>
      </c>
      <c r="K11" s="92"/>
      <c r="O11" s="93"/>
      <c r="P11" s="93"/>
      <c r="R11" s="93"/>
    </row>
    <row r="12" spans="1:18" ht="105" customHeight="1">
      <c r="A12" s="17">
        <f>+MRS!A12</f>
        <v>7</v>
      </c>
      <c r="B12" s="149" t="str">
        <f>MRS!B12</f>
        <v>CS FULL COUPLING</v>
      </c>
      <c r="C12" s="150"/>
      <c r="D12" s="151" t="str">
        <f>MRS!D12</f>
        <v xml:space="preserve"> CL3000 NPT A105 3/4"</v>
      </c>
      <c r="E12" s="152"/>
      <c r="F12" s="153"/>
      <c r="G12" s="90" t="str">
        <f>MRS!G12</f>
        <v>Pcs</v>
      </c>
      <c r="H12" s="90">
        <f>MRS!H12</f>
        <v>3</v>
      </c>
      <c r="I12" s="91">
        <f>MRS!I12</f>
        <v>15</v>
      </c>
      <c r="J12" s="91">
        <f>MRS!J12</f>
        <v>45</v>
      </c>
      <c r="K12" s="92"/>
      <c r="O12" s="93"/>
      <c r="P12" s="93"/>
      <c r="R12" s="93"/>
    </row>
    <row r="13" spans="1:18" ht="105" customHeight="1">
      <c r="A13" s="17">
        <f>+MRS!A13</f>
        <v>8</v>
      </c>
      <c r="B13" s="149" t="str">
        <f>MRS!B13</f>
        <v xml:space="preserve">CS CHECK VALVE </v>
      </c>
      <c r="C13" s="150"/>
      <c r="D13" s="151" t="str">
        <f>MRS!D13</f>
        <v>CL800 PISTON TYPE SW A105 2"</v>
      </c>
      <c r="E13" s="152"/>
      <c r="F13" s="153"/>
      <c r="G13" s="90" t="str">
        <f>MRS!G13</f>
        <v>Pcs</v>
      </c>
      <c r="H13" s="90">
        <f>MRS!H13</f>
        <v>1</v>
      </c>
      <c r="I13" s="91">
        <f>MRS!I13</f>
        <v>1130</v>
      </c>
      <c r="J13" s="91">
        <f>MRS!J13</f>
        <v>1130</v>
      </c>
      <c r="K13" s="92"/>
      <c r="O13" s="93"/>
      <c r="P13" s="93"/>
      <c r="R13" s="93"/>
    </row>
    <row r="14" spans="1:18" ht="105" customHeight="1">
      <c r="A14" s="17">
        <f>+MRS!A14</f>
        <v>9</v>
      </c>
      <c r="B14" s="149" t="str">
        <f>MRS!B14</f>
        <v xml:space="preserve">CS GATE VALVE </v>
      </c>
      <c r="C14" s="150"/>
      <c r="D14" s="151" t="str">
        <f>MRS!D14</f>
        <v>CL800 SW A105 2"</v>
      </c>
      <c r="E14" s="152"/>
      <c r="F14" s="153"/>
      <c r="G14" s="90" t="str">
        <f>MRS!G14</f>
        <v>Pcs</v>
      </c>
      <c r="H14" s="90">
        <f>MRS!H14</f>
        <v>5</v>
      </c>
      <c r="I14" s="91">
        <f>MRS!I14</f>
        <v>950</v>
      </c>
      <c r="J14" s="91">
        <f>MRS!J14</f>
        <v>4750</v>
      </c>
      <c r="K14" s="92"/>
      <c r="O14" s="93"/>
      <c r="P14" s="93"/>
      <c r="R14" s="93"/>
    </row>
    <row r="15" spans="1:18" ht="105" customHeight="1">
      <c r="A15" s="17"/>
      <c r="B15" s="149"/>
      <c r="C15" s="150"/>
      <c r="D15" s="151"/>
      <c r="E15" s="152"/>
      <c r="F15" s="153"/>
      <c r="G15" s="90"/>
      <c r="H15" s="90"/>
      <c r="I15" s="91"/>
      <c r="J15" s="91"/>
      <c r="K15" s="92"/>
      <c r="O15" s="93"/>
      <c r="P15" s="93"/>
      <c r="R15" s="93"/>
    </row>
    <row r="16" spans="1:18" ht="105" customHeight="1">
      <c r="A16" s="17"/>
      <c r="B16" s="149"/>
      <c r="C16" s="150"/>
      <c r="D16" s="151"/>
      <c r="E16" s="152"/>
      <c r="F16" s="153"/>
      <c r="G16" s="90"/>
      <c r="H16" s="90"/>
      <c r="I16" s="91"/>
      <c r="J16" s="91"/>
      <c r="K16" s="92"/>
      <c r="O16" s="93"/>
      <c r="P16" s="93"/>
      <c r="R16" s="93"/>
    </row>
    <row r="17" spans="1:18" ht="105" customHeight="1">
      <c r="A17" s="17"/>
      <c r="B17" s="149"/>
      <c r="C17" s="150"/>
      <c r="D17" s="151"/>
      <c r="E17" s="152"/>
      <c r="F17" s="153"/>
      <c r="G17" s="90"/>
      <c r="H17" s="90"/>
      <c r="I17" s="91"/>
      <c r="J17" s="91"/>
      <c r="K17" s="92"/>
      <c r="O17" s="93"/>
      <c r="P17" s="93"/>
      <c r="R17" s="93"/>
    </row>
    <row r="18" spans="1:18" ht="105" customHeight="1">
      <c r="A18" s="17"/>
      <c r="B18" s="149"/>
      <c r="C18" s="150"/>
      <c r="D18" s="151"/>
      <c r="E18" s="152"/>
      <c r="F18" s="153"/>
      <c r="G18" s="90"/>
      <c r="H18" s="90"/>
      <c r="I18" s="91"/>
      <c r="J18" s="91"/>
      <c r="K18" s="92"/>
      <c r="O18" s="93"/>
      <c r="P18" s="93"/>
      <c r="R18" s="93"/>
    </row>
    <row r="19" spans="1:18" ht="105" customHeight="1">
      <c r="A19" s="17"/>
      <c r="B19" s="149"/>
      <c r="C19" s="150"/>
      <c r="D19" s="151"/>
      <c r="E19" s="152"/>
      <c r="F19" s="153"/>
      <c r="G19" s="90"/>
      <c r="H19" s="90"/>
      <c r="I19" s="91"/>
      <c r="J19" s="91"/>
      <c r="K19" s="92"/>
      <c r="O19" s="93"/>
      <c r="P19" s="93"/>
      <c r="R19" s="93"/>
    </row>
    <row r="20" spans="1:18" ht="105" customHeight="1">
      <c r="A20" s="17"/>
      <c r="B20" s="149"/>
      <c r="C20" s="150"/>
      <c r="D20" s="151"/>
      <c r="E20" s="152"/>
      <c r="F20" s="153"/>
      <c r="G20" s="90"/>
      <c r="H20" s="90"/>
      <c r="I20" s="91"/>
      <c r="J20" s="91"/>
      <c r="K20" s="92"/>
      <c r="O20" s="93"/>
      <c r="P20" s="93"/>
      <c r="R20" s="93"/>
    </row>
    <row r="21" spans="1:18" ht="105" customHeight="1">
      <c r="A21" s="17"/>
      <c r="B21" s="149"/>
      <c r="C21" s="150"/>
      <c r="D21" s="151"/>
      <c r="E21" s="152"/>
      <c r="F21" s="153"/>
      <c r="G21" s="90"/>
      <c r="H21" s="90"/>
      <c r="I21" s="91"/>
      <c r="J21" s="91"/>
      <c r="K21" s="92"/>
      <c r="O21" s="93"/>
      <c r="P21" s="93"/>
      <c r="R21" s="93"/>
    </row>
    <row r="23" spans="1:18" ht="21" customHeight="1">
      <c r="J23" s="100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22" zoomScale="130" zoomScaleNormal="100" zoomScaleSheetLayoutView="130" workbookViewId="0">
      <selection activeCell="Q38" sqref="Q3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103</v>
      </c>
      <c r="D9" s="34"/>
      <c r="E9" s="34"/>
    </row>
    <row r="10" spans="2:13" s="34" customFormat="1">
      <c r="B10" s="65"/>
      <c r="C10" s="34" t="s">
        <v>23</v>
      </c>
      <c r="D10" s="69" t="s">
        <v>104</v>
      </c>
      <c r="J10" s="34" t="s">
        <v>24</v>
      </c>
      <c r="K10" s="157">
        <f>MRS!L3</f>
        <v>46252</v>
      </c>
      <c r="L10" s="158"/>
      <c r="M10" s="158"/>
    </row>
    <row r="11" spans="2:13" s="34" customFormat="1">
      <c r="B11" s="65"/>
      <c r="C11" s="68" t="s">
        <v>25</v>
      </c>
      <c r="D11" s="69" t="s">
        <v>105</v>
      </c>
      <c r="J11" s="34" t="s">
        <v>26</v>
      </c>
      <c r="K11" s="159" t="str">
        <f>SUBSTITUTE(SUBSTITUTE(+MRS!A3,"  MRS No : ",""),"-MRS","-PO")</f>
        <v>SAC2-DS-PO-0427</v>
      </c>
      <c r="L11" s="159"/>
      <c r="M11" s="159"/>
    </row>
    <row r="12" spans="2:13" s="34" customFormat="1">
      <c r="B12" s="65"/>
      <c r="C12" s="68" t="s">
        <v>27</v>
      </c>
      <c r="D12" s="34" t="s">
        <v>106</v>
      </c>
      <c r="J12" s="34" t="s">
        <v>28</v>
      </c>
    </row>
    <row r="13" spans="2:13" s="34" customFormat="1">
      <c r="B13" s="65"/>
      <c r="C13" s="70"/>
      <c r="D13" s="69" t="s">
        <v>107</v>
      </c>
      <c r="J13" s="34" t="s">
        <v>29</v>
      </c>
    </row>
    <row r="14" spans="2:13" s="34" customFormat="1">
      <c r="B14" s="65"/>
      <c r="C14" s="101" t="s">
        <v>108</v>
      </c>
      <c r="J14" s="34" t="s">
        <v>30</v>
      </c>
      <c r="K14" s="34" t="s">
        <v>159</v>
      </c>
    </row>
    <row r="15" spans="2:13" s="34" customFormat="1">
      <c r="B15" s="65"/>
      <c r="C15" s="68" t="s">
        <v>109</v>
      </c>
      <c r="J15" s="34" t="s">
        <v>31</v>
      </c>
      <c r="K15" s="71">
        <v>46230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0" t="s">
        <v>32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</row>
    <row r="19" spans="2:13" ht="12" customHeight="1"/>
    <row r="20" spans="2:13" s="27" customFormat="1" ht="12" customHeight="1">
      <c r="B20" s="161" t="s">
        <v>33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</row>
    <row r="21" spans="2:13" s="27" customFormat="1" ht="12" customHeight="1">
      <c r="B21" s="161" t="s">
        <v>34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</row>
    <row r="22" spans="2:13" s="27" customFormat="1" ht="12" customHeight="1">
      <c r="B22" s="161" t="s">
        <v>35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</row>
    <row r="23" spans="2:13" ht="3.75" customHeight="1"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2:13" ht="6.95" customHeight="1"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102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2">
        <f>'PO 2nd page'!G20</f>
        <v>15328</v>
      </c>
      <c r="G29" s="98"/>
      <c r="H29" s="98"/>
      <c r="M29" s="29"/>
    </row>
    <row r="30" spans="2:13" ht="15" customHeight="1">
      <c r="B30" s="28"/>
      <c r="C30" s="22" t="s">
        <v>41</v>
      </c>
      <c r="E30" s="22" t="s">
        <v>40</v>
      </c>
      <c r="F30" s="102">
        <f>'PO 2nd page'!G21</f>
        <v>2299.1999999999998</v>
      </c>
      <c r="G30" s="98"/>
      <c r="H30" s="98"/>
    </row>
    <row r="31" spans="2:13" ht="15" customHeight="1">
      <c r="B31" s="28"/>
      <c r="C31" s="22" t="s">
        <v>42</v>
      </c>
      <c r="D31" s="30"/>
      <c r="E31" s="22" t="s">
        <v>40</v>
      </c>
      <c r="F31" s="102">
        <f>'PO 2nd page'!G22</f>
        <v>17627.2</v>
      </c>
      <c r="G31" s="98"/>
      <c r="H31" s="98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93</v>
      </c>
    </row>
    <row r="54" spans="2:16" ht="12" customHeight="1">
      <c r="B54" s="77" t="s">
        <v>56</v>
      </c>
      <c r="C54" s="103" t="s">
        <v>95</v>
      </c>
      <c r="F54" s="22" t="s">
        <v>110</v>
      </c>
      <c r="P54" s="22" t="str">
        <f>UPPER(F54)</f>
        <v>ZAINAB SAEED AL ABDUL AAL CONTRACTING EST.</v>
      </c>
    </row>
    <row r="55" spans="2:16" ht="12" customHeight="1">
      <c r="B55" s="77" t="s">
        <v>56</v>
      </c>
      <c r="C55" s="103" t="s">
        <v>96</v>
      </c>
      <c r="F55" s="104" t="s">
        <v>111</v>
      </c>
    </row>
    <row r="56" spans="2:16" ht="12" customHeight="1">
      <c r="B56" s="77" t="s">
        <v>56</v>
      </c>
      <c r="C56" s="103" t="s">
        <v>97</v>
      </c>
      <c r="F56" s="22" t="s">
        <v>112</v>
      </c>
    </row>
    <row r="57" spans="2:16" ht="12" customHeight="1">
      <c r="B57" s="77" t="s">
        <v>56</v>
      </c>
      <c r="C57" s="103" t="s">
        <v>98</v>
      </c>
      <c r="F57" s="22" t="s">
        <v>113</v>
      </c>
    </row>
    <row r="58" spans="2:16" ht="12" customHeight="1">
      <c r="B58" s="77" t="s">
        <v>56</v>
      </c>
      <c r="C58" s="103" t="s">
        <v>99</v>
      </c>
      <c r="F58" s="22" t="s">
        <v>114</v>
      </c>
    </row>
    <row r="59" spans="2:16" ht="12" customHeight="1">
      <c r="B59" s="77" t="s">
        <v>56</v>
      </c>
      <c r="C59" s="103" t="s">
        <v>100</v>
      </c>
      <c r="F59" s="22" t="s">
        <v>94</v>
      </c>
    </row>
    <row r="60" spans="2:16" ht="12" customHeight="1">
      <c r="B60" s="77"/>
      <c r="C60" s="103" t="s">
        <v>101</v>
      </c>
    </row>
    <row r="61" spans="2:16" ht="6.75" customHeight="1">
      <c r="B61" s="77"/>
      <c r="C61" s="103"/>
    </row>
    <row r="62" spans="2:16" ht="6" customHeight="1">
      <c r="B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Mamun Rasid</v>
      </c>
    </row>
    <row r="68" spans="1:13" ht="13.5" customHeight="1">
      <c r="B68" s="22" t="s">
        <v>62</v>
      </c>
      <c r="J68" s="22" t="s">
        <v>63</v>
      </c>
      <c r="K68" s="18" t="s">
        <v>115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91</v>
      </c>
      <c r="J70" s="164" t="str">
        <f>C9</f>
        <v>ZSAAC (Zainab Saeed Al Abdul Aal Contracting Est.)</v>
      </c>
      <c r="K70" s="164"/>
      <c r="L70" s="164"/>
      <c r="M70" s="164"/>
    </row>
    <row r="71" spans="1:13" ht="27.95" customHeight="1">
      <c r="A71" s="156" t="s">
        <v>66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L20" sqref="L20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SAC2-DS-PO-0427</v>
      </c>
      <c r="C2" s="171" t="s">
        <v>68</v>
      </c>
      <c r="D2" s="171"/>
      <c r="E2" s="171"/>
      <c r="F2" s="171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46252</v>
      </c>
      <c r="C3" s="44"/>
      <c r="D3" s="45"/>
      <c r="E3" s="172" t="s">
        <v>70</v>
      </c>
      <c r="F3" s="172"/>
      <c r="G3" s="172"/>
      <c r="H3" s="172"/>
      <c r="I3" s="46"/>
    </row>
    <row r="4" spans="1:13" s="48" customFormat="1" ht="28.5" customHeight="1" thickTop="1">
      <c r="A4" s="173" t="s">
        <v>71</v>
      </c>
      <c r="B4" s="175" t="s">
        <v>72</v>
      </c>
      <c r="C4" s="176"/>
      <c r="D4" s="179" t="s">
        <v>73</v>
      </c>
      <c r="E4" s="179" t="s">
        <v>74</v>
      </c>
      <c r="F4" s="181" t="str">
        <f>'PO 1st page'!C9</f>
        <v>ZSAAC (Zainab Saeed Al Abdul Aal Contracting Est.)</v>
      </c>
      <c r="G4" s="182"/>
      <c r="H4" s="183" t="s">
        <v>75</v>
      </c>
      <c r="K4" s="49"/>
      <c r="L4" s="49"/>
      <c r="M4" s="49"/>
    </row>
    <row r="5" spans="1:13" s="48" customFormat="1" ht="21.95" customHeight="1">
      <c r="A5" s="174"/>
      <c r="B5" s="177"/>
      <c r="C5" s="178"/>
      <c r="D5" s="180"/>
      <c r="E5" s="180"/>
      <c r="F5" s="50" t="s">
        <v>76</v>
      </c>
      <c r="G5" s="50" t="s">
        <v>42</v>
      </c>
      <c r="H5" s="184"/>
      <c r="K5" s="49"/>
      <c r="L5" s="49"/>
      <c r="M5" s="49"/>
    </row>
    <row r="6" spans="1:13" s="48" customFormat="1" ht="32.1" customHeight="1">
      <c r="A6" s="78">
        <f t="shared" ref="A6:A19" si="0">ROW(A1)</f>
        <v>1</v>
      </c>
      <c r="B6" s="169" t="str">
        <f>MRS!B6&amp;" "&amp;MRS!D6</f>
        <v>CS PIPE SMLS  SCH80 A106 6MTR 4"</v>
      </c>
      <c r="C6" s="170"/>
      <c r="D6" s="79" t="str">
        <f>MRS!G6</f>
        <v>Pcs</v>
      </c>
      <c r="E6" s="80">
        <f>MRS!H6</f>
        <v>1</v>
      </c>
      <c r="F6" s="81">
        <f>MRS!I6</f>
        <v>915</v>
      </c>
      <c r="G6" s="81">
        <f>MRS!J6</f>
        <v>915</v>
      </c>
      <c r="H6" s="82" t="s">
        <v>90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69" t="str">
        <f>MRS!B7&amp;" "&amp;MRS!D7</f>
        <v>CS PIPE SMLS SCH80 A106 6MTR 2" 4"X3MM CS</v>
      </c>
      <c r="C7" s="170"/>
      <c r="D7" s="79" t="str">
        <f>MRS!G7</f>
        <v>Pcs</v>
      </c>
      <c r="E7" s="80">
        <f>MRS!H7</f>
        <v>1</v>
      </c>
      <c r="F7" s="81">
        <f>MRS!I7</f>
        <v>450</v>
      </c>
      <c r="G7" s="81">
        <f>MRS!J7</f>
        <v>450</v>
      </c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169" t="str">
        <f>MRS!B8&amp;" "&amp;MRS!D8</f>
        <v>CS PIPE SMLS  SCH80 A106 6MTR 3/4"</v>
      </c>
      <c r="C8" s="170"/>
      <c r="D8" s="79" t="str">
        <f>MRS!G8</f>
        <v>Pcs</v>
      </c>
      <c r="E8" s="80">
        <f>MRS!H8</f>
        <v>1</v>
      </c>
      <c r="F8" s="81">
        <f>MRS!I8</f>
        <v>100</v>
      </c>
      <c r="G8" s="81">
        <f>MRS!J8</f>
        <v>100</v>
      </c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169" t="str">
        <f>MRS!B9&amp;" "&amp;MRS!D9</f>
        <v>CS RED COUPLING  CL3000 A105N SW 4"X2"</v>
      </c>
      <c r="C9" s="170"/>
      <c r="D9" s="79" t="str">
        <f>MRS!G9</f>
        <v>Pcs</v>
      </c>
      <c r="E9" s="80">
        <f>MRS!H9</f>
        <v>2</v>
      </c>
      <c r="F9" s="81">
        <f>MRS!I9</f>
        <v>400</v>
      </c>
      <c r="G9" s="81">
        <f>MRS!J9</f>
        <v>800</v>
      </c>
      <c r="H9" s="86"/>
    </row>
    <row r="10" spans="1:13" s="48" customFormat="1" ht="32.1" customHeight="1">
      <c r="A10" s="85">
        <f t="shared" si="0"/>
        <v>5</v>
      </c>
      <c r="B10" s="169" t="str">
        <f>MRS!B10&amp;" "&amp;MRS!D10</f>
        <v>CS RED COUPLING  CL3000 A105N SW 2" X 3/4"</v>
      </c>
      <c r="C10" s="170"/>
      <c r="D10" s="79" t="str">
        <f>MRS!G10</f>
        <v>Pcs</v>
      </c>
      <c r="E10" s="80">
        <f>MRS!H10</f>
        <v>5</v>
      </c>
      <c r="F10" s="81">
        <f>MRS!I10</f>
        <v>60</v>
      </c>
      <c r="G10" s="81">
        <f>MRS!J10</f>
        <v>300</v>
      </c>
      <c r="H10" s="86"/>
    </row>
    <row r="11" spans="1:13" s="48" customFormat="1" ht="32.1" customHeight="1">
      <c r="A11" s="85">
        <f t="shared" si="0"/>
        <v>6</v>
      </c>
      <c r="B11" s="169" t="str">
        <f>MRS!B11&amp;" "&amp;MRS!D11</f>
        <v>CS FULL COUPLING  CL3000 NPT A105 2"</v>
      </c>
      <c r="C11" s="170"/>
      <c r="D11" s="79" t="str">
        <f>MRS!G11</f>
        <v>Pcs</v>
      </c>
      <c r="E11" s="80">
        <f>MRS!H11</f>
        <v>2</v>
      </c>
      <c r="F11" s="81">
        <f>MRS!I11</f>
        <v>50</v>
      </c>
      <c r="G11" s="81">
        <f>MRS!J11</f>
        <v>100</v>
      </c>
      <c r="H11" s="86"/>
    </row>
    <row r="12" spans="1:13" s="48" customFormat="1" ht="32.1" customHeight="1">
      <c r="A12" s="85">
        <f t="shared" si="0"/>
        <v>7</v>
      </c>
      <c r="B12" s="169" t="str">
        <f>MRS!B12&amp;" "&amp;MRS!D12</f>
        <v>CS FULL COUPLING  CL3000 NPT A105 3/4"</v>
      </c>
      <c r="C12" s="170"/>
      <c r="D12" s="79" t="str">
        <f>MRS!G12</f>
        <v>Pcs</v>
      </c>
      <c r="E12" s="80">
        <f>MRS!H12</f>
        <v>3</v>
      </c>
      <c r="F12" s="81">
        <f>MRS!I12</f>
        <v>15</v>
      </c>
      <c r="G12" s="81">
        <f>MRS!J12</f>
        <v>45</v>
      </c>
      <c r="H12" s="86"/>
    </row>
    <row r="13" spans="1:13" s="48" customFormat="1" ht="32.1" customHeight="1">
      <c r="A13" s="85">
        <f t="shared" si="0"/>
        <v>8</v>
      </c>
      <c r="B13" s="169" t="str">
        <f>MRS!B13&amp;" "&amp;MRS!D13</f>
        <v>CS CHECK VALVE  CL800 PISTON TYPE SW A105 2"</v>
      </c>
      <c r="C13" s="170"/>
      <c r="D13" s="79" t="str">
        <f>MRS!G13</f>
        <v>Pcs</v>
      </c>
      <c r="E13" s="80">
        <f>MRS!H13</f>
        <v>1</v>
      </c>
      <c r="F13" s="81">
        <f>MRS!I13</f>
        <v>1130</v>
      </c>
      <c r="G13" s="81">
        <f>MRS!J13</f>
        <v>1130</v>
      </c>
      <c r="H13" s="86"/>
    </row>
    <row r="14" spans="1:13" s="48" customFormat="1" ht="32.1" customHeight="1">
      <c r="A14" s="85">
        <f t="shared" si="0"/>
        <v>9</v>
      </c>
      <c r="B14" s="169" t="str">
        <f>MRS!B14&amp;" "&amp;MRS!D14</f>
        <v>CS GATE VALVE  CL800 SW A105 2"</v>
      </c>
      <c r="C14" s="170"/>
      <c r="D14" s="79" t="str">
        <f>MRS!G14</f>
        <v>Pcs</v>
      </c>
      <c r="E14" s="80">
        <f>MRS!H14</f>
        <v>5</v>
      </c>
      <c r="F14" s="81">
        <f>MRS!I14</f>
        <v>950</v>
      </c>
      <c r="G14" s="81">
        <f>MRS!J14</f>
        <v>4750</v>
      </c>
      <c r="H14" s="86"/>
    </row>
    <row r="15" spans="1:13" s="48" customFormat="1" ht="32.1" customHeight="1">
      <c r="A15" s="85">
        <f t="shared" si="0"/>
        <v>10</v>
      </c>
      <c r="B15" s="169" t="str">
        <f>MRS!B15&amp;" "&amp;MRS!D15</f>
        <v xml:space="preserve">CS RED TEE  CL3000 A105 SW 4"X 2" </v>
      </c>
      <c r="C15" s="170"/>
      <c r="D15" s="79" t="str">
        <f>MRS!G15</f>
        <v>Pcs</v>
      </c>
      <c r="E15" s="80">
        <f>MRS!H15</f>
        <v>4</v>
      </c>
      <c r="F15" s="81">
        <f>MRS!I15</f>
        <v>1590</v>
      </c>
      <c r="G15" s="81">
        <f>MRS!J15</f>
        <v>6360</v>
      </c>
      <c r="H15" s="86"/>
    </row>
    <row r="16" spans="1:13" s="48" customFormat="1" ht="32.1" customHeight="1">
      <c r="A16" s="85">
        <f t="shared" si="0"/>
        <v>11</v>
      </c>
      <c r="B16" s="169" t="str">
        <f>MRS!B16&amp;" "&amp;MRS!D16</f>
        <v xml:space="preserve">CS ELBOW  A105 CL3000 SW 90D 2" </v>
      </c>
      <c r="C16" s="170"/>
      <c r="D16" s="79" t="str">
        <f>MRS!G16</f>
        <v>Pcs</v>
      </c>
      <c r="E16" s="80">
        <f>MRS!H16</f>
        <v>2</v>
      </c>
      <c r="F16" s="81">
        <f>MRS!I16</f>
        <v>95</v>
      </c>
      <c r="G16" s="81">
        <f>MRS!J16</f>
        <v>190</v>
      </c>
      <c r="H16" s="86"/>
    </row>
    <row r="17" spans="1:13" s="48" customFormat="1" ht="32.1" customHeight="1">
      <c r="A17" s="85">
        <f t="shared" si="0"/>
        <v>12</v>
      </c>
      <c r="B17" s="169" t="str">
        <f>MRS!B17&amp;" "&amp;MRS!D17</f>
        <v>CS EQ TEE  A105 CL3000 SW 2"</v>
      </c>
      <c r="C17" s="170"/>
      <c r="D17" s="79" t="str">
        <f>MRS!G17</f>
        <v>Pcs</v>
      </c>
      <c r="E17" s="80">
        <f>MRS!H17</f>
        <v>1</v>
      </c>
      <c r="F17" s="81">
        <f>MRS!I17</f>
        <v>110</v>
      </c>
      <c r="G17" s="81">
        <f>MRS!J17</f>
        <v>110</v>
      </c>
      <c r="H17" s="86"/>
    </row>
    <row r="18" spans="1:13" s="48" customFormat="1" ht="32.1" customHeight="1">
      <c r="A18" s="85">
        <f t="shared" si="0"/>
        <v>13</v>
      </c>
      <c r="B18" s="169" t="str">
        <f>MRS!B18&amp;" "&amp;MRS!D18</f>
        <v xml:space="preserve">CS RED BUSHING  CL3000 A105 3/4"X 1/2" </v>
      </c>
      <c r="C18" s="170"/>
      <c r="D18" s="79" t="str">
        <f>MRS!G18</f>
        <v>Pcs</v>
      </c>
      <c r="E18" s="80">
        <f>MRS!H18</f>
        <v>3</v>
      </c>
      <c r="F18" s="81">
        <f>MRS!I18</f>
        <v>16</v>
      </c>
      <c r="G18" s="81">
        <f>MRS!J18</f>
        <v>48</v>
      </c>
      <c r="H18" s="86"/>
    </row>
    <row r="19" spans="1:13" s="48" customFormat="1" ht="32.1" customHeight="1">
      <c r="A19" s="85">
        <f t="shared" si="0"/>
        <v>14</v>
      </c>
      <c r="B19" s="169" t="str">
        <f>MRS!B19&amp;" "&amp;MRS!D19</f>
        <v>SS HEX NIPPLE  CL3000 SS316 1/2"</v>
      </c>
      <c r="C19" s="170"/>
      <c r="D19" s="79" t="str">
        <f>MRS!G19</f>
        <v>Pcs</v>
      </c>
      <c r="E19" s="80">
        <f>MRS!H19</f>
        <v>1</v>
      </c>
      <c r="F19" s="81">
        <f>MRS!I19</f>
        <v>30</v>
      </c>
      <c r="G19" s="81">
        <f>MRS!J19</f>
        <v>30</v>
      </c>
      <c r="H19" s="86"/>
    </row>
    <row r="20" spans="1:13" s="48" customFormat="1" ht="23.1" customHeight="1">
      <c r="A20" s="165" t="s">
        <v>77</v>
      </c>
      <c r="B20" s="166"/>
      <c r="C20" s="166"/>
      <c r="D20" s="166"/>
      <c r="E20" s="166"/>
      <c r="F20" s="166"/>
      <c r="G20" s="51">
        <f>SUM(G6:G19)</f>
        <v>15328</v>
      </c>
      <c r="H20" s="52"/>
    </row>
    <row r="21" spans="1:13" s="48" customFormat="1" ht="23.1" customHeight="1">
      <c r="A21" s="165" t="s">
        <v>41</v>
      </c>
      <c r="B21" s="166"/>
      <c r="C21" s="166"/>
      <c r="D21" s="166"/>
      <c r="E21" s="166"/>
      <c r="F21" s="166"/>
      <c r="G21" s="51">
        <f>+G20*0.15</f>
        <v>2299.1999999999998</v>
      </c>
      <c r="H21" s="52"/>
    </row>
    <row r="22" spans="1:13" s="48" customFormat="1" ht="24.95" customHeight="1" thickBot="1">
      <c r="A22" s="167" t="s">
        <v>78</v>
      </c>
      <c r="B22" s="168"/>
      <c r="C22" s="168"/>
      <c r="D22" s="168"/>
      <c r="E22" s="168"/>
      <c r="F22" s="168"/>
      <c r="G22" s="53">
        <f>G21+G20</f>
        <v>17627.2</v>
      </c>
      <c r="H22" s="54"/>
    </row>
    <row r="23" spans="1:13" ht="15.75" thickTop="1">
      <c r="A23" s="55" t="str">
        <f>" 1) Above Price are as per your quotation with ref "&amp;'PO 1st page'!K14</f>
        <v xml:space="preserve"> 1) Above Price are as per your quotation with ref JF-MAT-2026104</v>
      </c>
      <c r="B23" s="56"/>
      <c r="C23" s="56"/>
      <c r="D23" s="57"/>
      <c r="E23" s="57"/>
      <c r="F23" s="57"/>
      <c r="G23" s="57"/>
      <c r="H23" s="57"/>
    </row>
    <row r="24" spans="1:13" ht="15">
      <c r="A24" s="58" t="s">
        <v>79</v>
      </c>
      <c r="B24" s="59"/>
      <c r="C24" s="59"/>
      <c r="D24" s="60"/>
      <c r="E24" s="60"/>
      <c r="F24" s="60"/>
      <c r="G24" s="60"/>
      <c r="H24" s="60"/>
      <c r="I24" s="61"/>
    </row>
    <row r="25" spans="1:13" ht="15.75">
      <c r="A25" s="62"/>
    </row>
    <row r="26" spans="1:13">
      <c r="A26" s="156" t="s">
        <v>80</v>
      </c>
      <c r="B26" s="156"/>
      <c r="C26" s="156"/>
      <c r="D26" s="156"/>
      <c r="E26" s="156"/>
      <c r="F26" s="156"/>
      <c r="G26" s="156"/>
      <c r="H26" s="156"/>
      <c r="I26" s="63"/>
      <c r="J26" s="63"/>
      <c r="K26" s="63"/>
      <c r="L26" s="63"/>
      <c r="M26" s="63"/>
    </row>
    <row r="27" spans="1:13" ht="15.75">
      <c r="A27" s="62"/>
      <c r="C27" s="64"/>
    </row>
    <row r="28" spans="1:13" ht="15.75">
      <c r="A28" s="62"/>
      <c r="C28" s="64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4:C14"/>
    <mergeCell ref="B15:C15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2026-08-19T13:38:19Z</cp:lastPrinted>
  <dcterms:created xsi:type="dcterms:W3CDTF">2024-10-20T11:50:19Z</dcterms:created>
  <dcterms:modified xsi:type="dcterms:W3CDTF">2026-08-19T13:46:08Z</dcterms:modified>
</cp:coreProperties>
</file>