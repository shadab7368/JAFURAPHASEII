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7555280-3736-44CF-80F8-3411E8FCA114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9" i="4"/>
  <c r="F9" i="4"/>
  <c r="E9" i="4"/>
  <c r="D9" i="4"/>
  <c r="B9" i="4"/>
  <c r="J8" i="1"/>
  <c r="J9" i="1"/>
  <c r="E7" i="4"/>
  <c r="J7" i="1"/>
  <c r="B8" i="4"/>
  <c r="B7" i="4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G8" i="4" s="1"/>
  <c r="I8" i="2"/>
  <c r="F8" i="4" s="1"/>
  <c r="H8" i="2"/>
  <c r="E8" i="4" s="1"/>
  <c r="G8" i="2"/>
  <c r="D8" i="4" s="1"/>
  <c r="D8" i="2"/>
  <c r="B8" i="2"/>
  <c r="H7" i="2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<sst xmlns="http://schemas.openxmlformats.org/spreadsheetml/2006/main" count="177" uniqueCount="141">
  <si>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</si>
  <si>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</si>
  <si>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</si>
  <si>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</si>
  <si>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</si>
  <si>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</si>
  <si>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</si>
  <si>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</si>
  <si>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</si>
  <si>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</si>
  <si>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</si>
  <si>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</si>
  <si>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</si>
  <si>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</si>
  <si>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</si>
  <si>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</si>
  <si>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</si>
  <si>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</si>
  <si>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</si>
  <si>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</si>
  <si>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</si>
  <si>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</si>
  <si>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</si>
  <si>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</si>
  <si>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</si>
  <si>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</si>
  <si>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</si>
  <si>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</si>
  <si>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</si>
  <si>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</si>
  <si>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</si>
  <si>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</si>
  <si>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</si>
  <si>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</si>
  <si>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</si>
  <si>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</si>
  <si>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</si>
  <si>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</si>
  <si>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</si>
  <si>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</si>
  <si>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</si>
  <si>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</si>
  <si>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</si>
  <si>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</si>
  <si>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</si>
  <si>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</si>
  <si>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</si>
  <si>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</si>
  <si>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</si>
  <si>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</si>
  <si>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</si>
  <si>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</si>
  <si>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</si>
  <si>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</si>
  <si>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</si>
  <si>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</si>
  <si>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</si>
  <si>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</si>
  <si>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</si>
  <si>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</si>
  <si>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</si>
  <si>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</si>
  <si>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</si>
  <si>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</si>
  <si>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</si>
  <si>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</si>
  <si>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</si>
  <si>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</si>
  <si>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</si>
  <si>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</si>
  <si>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</si>
  <si>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</si>
  <si>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</si>
  <si>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</si>
  <si>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</si>
  <si>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</si>
  <si>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</si>
  <si>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</si>
  <si>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</si>
  <si>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</si>
  <si>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</si>
  <si>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</si>
  <si>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</si>
  <si>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</si>
  <si>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</si>
  <si>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</si>
  <si>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</si>
  <si>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</si>
  <si>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</si>
  <si>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</si>
  <si>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</si>
  <si>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AAC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</si>
  <si>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</si>
  <si>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</si>
  <si>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</si>
  <si>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</si>
  <si>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</si>
  <si>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</si>
  <si>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</si>
  <si>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</si>
  <si>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</si>
  <si>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</si>
  <si>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</si>
  <si>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</si>
  <si>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</si>
  <si>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</si>
  <si>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</si>
  <si>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</si>
  <si>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</si>
  <si>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</si>
  <si>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ALI MOHAMMED HASSAN AL-ALWAN CONT. EST.</t>
  </si>
  <si>
    <t>SA56 5500 0000 0998 6650 0156</t>
  </si>
  <si>
    <t>BANQUE SAUDI FRANSI</t>
  </si>
  <si>
    <t>BSFRSARI</t>
  </si>
  <si>
    <t>99866500156</t>
  </si>
  <si>
    <t>AAC (Ali Mohammed Hassan Al-Alwan Cont. Est.)</t>
  </si>
  <si>
    <t/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</si>
  <si>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</si>
  <si>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</si>
  <si>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</si>
  <si>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</si>
  <si>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</si>
  <si>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</si>
  <si>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</si>
  <si>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</si>
  <si>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</si>
  <si>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</si>
  <si>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</si>
  <si>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</si>
  <si>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Welding QC Inspector</t>
  </si>
  <si>
    <t>Piping QC Supervisor</t>
  </si>
  <si>
    <t>Daily</t>
  </si>
  <si>
    <t>FAT Aloowance - Welding Insp.</t>
  </si>
  <si>
    <t>FAT Aloowance - Piping Supervisor</t>
  </si>
  <si>
    <t>AAC-3263/26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</si>
  <si>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</si>
  <si>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</si>
  <si>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Aramco &amp; CBT</t>
  </si>
  <si>
    <t>Welding QC Inspector Aramco &amp; CBT + FAT Allow</t>
  </si>
  <si>
    <t>Piping QC Supervisor Aramco &amp; CBT + FAT Allow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</si>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</sst>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168" fontId="1" fillId="0" borderId="16" xfId="0" quotePrefix="1" applyNumberFormat="1" applyFont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818148</xdr:colOff>
          <xdr:row>17</xdr:row>
          <xdr:rowOff>19551</xdr:rowOff>
        </xdr:from>
        <xdr:to>
          <xdr:col>11</xdr:col>
          <xdr:colOff>1314952</xdr:colOff>
          <xdr:row>23</xdr:row>
          <xdr:rowOff>257676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DFB9651-EFAA-D8B0-6FF5-110679A414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10227" y="5002630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.57031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5" t="s">
        <v>135</v>
      </c>
      <c r="B1" s="136"/>
      <c r="C1" s="106"/>
      <c r="D1" s="106"/>
      <c r="E1" s="106"/>
      <c r="F1" s="106"/>
      <c r="G1" s="1"/>
      <c r="J1" s="151" t="s">
        <v>81</v>
      </c>
      <c r="K1" s="152"/>
      <c r="L1" s="153"/>
    </row>
    <row r="2" spans="1:19" ht="20.100000000000001" customHeight="1">
      <c r="A2" s="3" t="s">
        <v>1</v>
      </c>
      <c r="B2" s="97"/>
      <c r="C2" s="97"/>
      <c r="D2" s="3" t="s">
        <v>136</v>
      </c>
      <c r="E2" s="97"/>
      <c r="F2" s="97"/>
      <c r="G2" s="97"/>
      <c r="H2" s="97"/>
      <c r="I2" s="4"/>
      <c r="J2" s="154" t="s">
        <v>90</v>
      </c>
      <c r="K2" s="155"/>
      <c r="L2" s="156"/>
    </row>
    <row r="3" spans="1:19" ht="20.100000000000001" customHeight="1">
      <c r="A3" s="3" t="s">
        <v>140</v>
      </c>
      <c r="B3" s="97"/>
      <c r="C3" s="97"/>
      <c r="D3" s="97"/>
      <c r="E3" s="157">
        <f>+L3+3</f>
        <v>46249</v>
      </c>
      <c r="F3" s="157"/>
      <c r="G3" s="157"/>
      <c r="H3" s="157"/>
      <c r="I3" s="157"/>
      <c r="J3" s="97"/>
      <c r="K3" s="97"/>
      <c r="L3" s="137">
        <v>46246</v>
      </c>
      <c r="M3" s="4"/>
    </row>
    <row r="4" spans="1:19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86</v>
      </c>
      <c r="J4" s="158" t="s">
        <v>87</v>
      </c>
      <c r="K4" s="168" t="s">
        <v>0</v>
      </c>
      <c r="L4" s="159" t="s">
        <v>7</v>
      </c>
    </row>
    <row r="5" spans="1:19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9" ht="22.5" customHeight="1">
      <c r="A6" s="5">
        <f t="shared" ref="A6:A15" si="0">ROW(A1)</f>
        <v>1</v>
      </c>
      <c r="B6" s="170" t="s">
        <v>129</v>
      </c>
      <c r="C6" s="171"/>
      <c r="D6" s="172" t="s">
        <v>137</v>
      </c>
      <c r="E6" s="173"/>
      <c r="F6" s="174"/>
      <c r="G6" s="107" t="s">
        <v>89</v>
      </c>
      <c r="H6" s="108">
        <v>1</v>
      </c>
      <c r="I6" s="109">
        <v>90</v>
      </c>
      <c r="J6" s="109">
        <f>H6*I6</f>
        <v>90</v>
      </c>
      <c r="K6" s="110" t="s">
        <v>91</v>
      </c>
      <c r="L6" s="111" t="s">
        <v>98</v>
      </c>
      <c r="S6" s="102"/>
    </row>
    <row r="7" spans="1:19" ht="22.5" customHeight="1">
      <c r="A7" s="5">
        <f t="shared" si="0"/>
        <v>2</v>
      </c>
      <c r="B7" s="170" t="s">
        <v>132</v>
      </c>
      <c r="C7" s="171"/>
      <c r="D7" s="125"/>
      <c r="E7" s="133"/>
      <c r="F7" s="134"/>
      <c r="G7" s="107" t="s">
        <v>131</v>
      </c>
      <c r="H7" s="108">
        <v>1</v>
      </c>
      <c r="I7" s="109">
        <v>115</v>
      </c>
      <c r="J7" s="109">
        <f t="shared" ref="J7" si="1">H7*I7</f>
        <v>115</v>
      </c>
      <c r="K7" s="124" t="s">
        <v>116</v>
      </c>
      <c r="L7" s="111"/>
      <c r="S7" s="102"/>
    </row>
    <row r="8" spans="1:19" ht="22.5" customHeight="1">
      <c r="A8" s="5">
        <f t="shared" si="0"/>
        <v>3</v>
      </c>
      <c r="B8" s="170" t="s">
        <v>130</v>
      </c>
      <c r="C8" s="171"/>
      <c r="D8" s="172" t="s">
        <v>137</v>
      </c>
      <c r="E8" s="173"/>
      <c r="F8" s="174"/>
      <c r="G8" s="107" t="s">
        <v>89</v>
      </c>
      <c r="H8" s="108">
        <v>1</v>
      </c>
      <c r="I8" s="109">
        <v>110</v>
      </c>
      <c r="J8" s="109">
        <f t="shared" ref="J8" si="2">H8*I8</f>
        <v>110</v>
      </c>
      <c r="K8" s="124" t="s">
        <v>116</v>
      </c>
      <c r="L8" s="111"/>
      <c r="S8" s="102"/>
    </row>
    <row r="9" spans="1:19" ht="22.5" customHeight="1">
      <c r="A9" s="5">
        <f t="shared" si="0"/>
        <v>4</v>
      </c>
      <c r="B9" s="170" t="s">
        <v>133</v>
      </c>
      <c r="C9" s="171"/>
      <c r="D9" s="172"/>
      <c r="E9" s="173"/>
      <c r="F9" s="174"/>
      <c r="G9" s="107" t="s">
        <v>131</v>
      </c>
      <c r="H9" s="108">
        <v>1</v>
      </c>
      <c r="I9" s="109">
        <v>115</v>
      </c>
      <c r="J9" s="109">
        <f t="shared" ref="J9" si="3">H9*I9</f>
        <v>115</v>
      </c>
      <c r="K9" s="110"/>
      <c r="L9" s="111"/>
      <c r="S9" s="102"/>
    </row>
    <row r="10" spans="1:19" ht="22.5" customHeight="1">
      <c r="A10" s="5">
        <f t="shared" si="0"/>
        <v>5</v>
      </c>
      <c r="B10" s="175"/>
      <c r="C10" s="175"/>
      <c r="D10" s="176"/>
      <c r="E10" s="176"/>
      <c r="F10" s="176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70"/>
      <c r="C11" s="171"/>
      <c r="D11" s="172"/>
      <c r="E11" s="173"/>
      <c r="F11" s="174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75"/>
      <c r="C12" s="175"/>
      <c r="D12" s="176"/>
      <c r="E12" s="176"/>
      <c r="F12" s="176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70"/>
      <c r="C13" s="171"/>
      <c r="D13" s="172"/>
      <c r="E13" s="173"/>
      <c r="F13" s="174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70"/>
      <c r="C14" s="171"/>
      <c r="D14" s="172"/>
      <c r="E14" s="173"/>
      <c r="F14" s="174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70"/>
      <c r="C15" s="171"/>
      <c r="D15" s="172"/>
      <c r="E15" s="173"/>
      <c r="F15" s="174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77" t="s">
        <v>8</v>
      </c>
      <c r="B16" s="178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430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2"/>
      <c r="Z18" s="11"/>
    </row>
    <row r="19" spans="1:26" ht="50.1" customHeight="1">
      <c r="Y19" s="143"/>
    </row>
    <row r="20" spans="1:26" ht="15" customHeight="1">
      <c r="O20" s="138" t="s">
        <v>117</v>
      </c>
      <c r="P20" s="144"/>
      <c r="Q20" s="144"/>
      <c r="R20" s="139"/>
      <c r="S20" s="126"/>
      <c r="T20" s="138" t="s">
        <v>118</v>
      </c>
      <c r="U20" s="144"/>
      <c r="V20" s="144"/>
      <c r="W20" s="144"/>
      <c r="X20" s="144"/>
      <c r="Y20" s="139"/>
    </row>
    <row r="21" spans="1:26" ht="15" customHeight="1">
      <c r="O21" s="145" t="s">
        <v>119</v>
      </c>
      <c r="P21" s="147" t="s">
        <v>120</v>
      </c>
      <c r="Q21" s="145" t="s">
        <v>121</v>
      </c>
      <c r="R21" s="147" t="s">
        <v>122</v>
      </c>
      <c r="S21" s="126"/>
      <c r="T21" s="145" t="s">
        <v>123</v>
      </c>
      <c r="U21" s="147" t="s">
        <v>124</v>
      </c>
      <c r="V21" s="138" t="s">
        <v>125</v>
      </c>
      <c r="W21" s="144"/>
      <c r="X21" s="139"/>
      <c r="Y21" s="147" t="s">
        <v>126</v>
      </c>
    </row>
    <row r="22" spans="1:26" ht="18" customHeight="1">
      <c r="O22" s="146"/>
      <c r="P22" s="148"/>
      <c r="Q22" s="146"/>
      <c r="R22" s="148"/>
      <c r="S22" s="127"/>
      <c r="T22" s="146"/>
      <c r="U22" s="148"/>
      <c r="V22" s="13" t="s">
        <v>119</v>
      </c>
      <c r="W22" s="149" t="s">
        <v>127</v>
      </c>
      <c r="X22" s="150"/>
      <c r="Y22" s="148"/>
    </row>
    <row r="23" spans="1:26" ht="50.1" customHeight="1">
      <c r="O23" s="14"/>
      <c r="P23" s="14"/>
      <c r="Q23" s="14"/>
      <c r="R23" s="14"/>
      <c r="S23" s="126"/>
      <c r="T23" s="14"/>
      <c r="U23" s="14"/>
      <c r="V23" s="14"/>
      <c r="W23" s="138"/>
      <c r="X23" s="139"/>
      <c r="Y23" s="128"/>
    </row>
    <row r="24" spans="1:26" ht="36" customHeight="1">
      <c r="W24" s="129"/>
      <c r="X24" s="140" t="s">
        <v>128</v>
      </c>
      <c r="Y24" s="12" t="s">
        <v>126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41"/>
      <c r="Y25" s="132"/>
    </row>
    <row r="26" spans="1:26" ht="19.899999999999999" customHeight="1"/>
    <row r="27" spans="1:26" ht="17.45" customHeight="1">
      <c r="O27" s="179"/>
      <c r="P27" s="179"/>
      <c r="Q27" s="179"/>
    </row>
    <row r="28" spans="1:26" ht="19.899999999999999" customHeight="1">
      <c r="O28" s="179"/>
      <c r="P28" s="179"/>
      <c r="Q28" s="179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7" t="s">
        <v>12</v>
      </c>
    </row>
    <row r="41" spans="15:22" ht="19.899999999999999" customHeight="1">
      <c r="T41" s="148"/>
    </row>
    <row r="42" spans="15:22" ht="64.900000000000006" customHeight="1">
      <c r="T42" s="14"/>
    </row>
    <row r="46" spans="15:22" ht="21" customHeight="1">
      <c r="O46" s="147" t="s">
        <v>12</v>
      </c>
      <c r="P46" s="147" t="s">
        <v>12</v>
      </c>
      <c r="Q46" s="147" t="s">
        <v>12</v>
      </c>
      <c r="T46" s="147" t="s">
        <v>13</v>
      </c>
      <c r="U46" s="147" t="s">
        <v>11</v>
      </c>
      <c r="V46" s="147" t="s">
        <v>12</v>
      </c>
    </row>
    <row r="47" spans="15:22" ht="21" customHeight="1">
      <c r="O47" s="148"/>
      <c r="P47" s="148"/>
      <c r="Q47" s="148"/>
      <c r="T47" s="146"/>
      <c r="U47" s="146"/>
      <c r="V47" s="14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7" t="s">
        <v>12</v>
      </c>
      <c r="P50" s="147" t="s">
        <v>12</v>
      </c>
      <c r="Q50" s="147" t="s">
        <v>12</v>
      </c>
      <c r="T50" s="147" t="s">
        <v>11</v>
      </c>
      <c r="U50" s="147" t="s">
        <v>13</v>
      </c>
      <c r="V50" s="147" t="s">
        <v>12</v>
      </c>
    </row>
    <row r="51" spans="15:22" ht="21" customHeight="1">
      <c r="O51" s="148"/>
      <c r="P51" s="148"/>
      <c r="Q51" s="148"/>
      <c r="T51" s="146"/>
      <c r="U51" s="146"/>
      <c r="V51" s="14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2" sqref="D12:F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6"/>
      <c r="C1" s="96"/>
      <c r="D1" s="96"/>
      <c r="E1" s="96"/>
      <c r="F1" s="96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54" t="str">
        <f>+MRS!J2</f>
        <v>Subcontract name (SAC2-SC-IK-SMP-01)</v>
      </c>
      <c r="K2" s="156"/>
    </row>
    <row r="3" spans="1:18" ht="24.95" customHeight="1">
      <c r="A3" s="3" t="str">
        <f>+MRS!A3</f>
        <v xml:space="preserve">  MRS No : SAC2-DS-MRS-0418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46246</v>
      </c>
    </row>
    <row r="4" spans="1:18" ht="15.95" customHeight="1">
      <c r="A4" s="180" t="s">
        <v>2</v>
      </c>
      <c r="B4" s="181" t="s">
        <v>14</v>
      </c>
      <c r="C4" s="181"/>
      <c r="D4" s="180" t="s">
        <v>4</v>
      </c>
      <c r="E4" s="180"/>
      <c r="F4" s="180"/>
      <c r="G4" s="181" t="s">
        <v>5</v>
      </c>
      <c r="H4" s="180" t="s">
        <v>82</v>
      </c>
      <c r="I4" s="180" t="s">
        <v>15</v>
      </c>
      <c r="J4" s="180" t="s">
        <v>16</v>
      </c>
      <c r="K4" s="181" t="s">
        <v>7</v>
      </c>
    </row>
    <row r="5" spans="1:18" ht="15.95" customHeight="1">
      <c r="A5" s="180"/>
      <c r="B5" s="181"/>
      <c r="C5" s="181"/>
      <c r="D5" s="180"/>
      <c r="E5" s="180"/>
      <c r="F5" s="180"/>
      <c r="G5" s="181"/>
      <c r="H5" s="180"/>
      <c r="I5" s="180"/>
      <c r="J5" s="180"/>
      <c r="K5" s="181"/>
    </row>
    <row r="6" spans="1:18" ht="105" customHeight="1">
      <c r="A6" s="17">
        <f>+MRS!A6</f>
        <v>1</v>
      </c>
      <c r="B6" s="182" t="str">
        <f>MRS!B6</f>
        <v>Welding QC Inspector</v>
      </c>
      <c r="C6" s="183"/>
      <c r="D6" s="184" t="str">
        <f>MRS!D6</f>
        <v>Aramco &amp; CBT</v>
      </c>
      <c r="E6" s="185"/>
      <c r="F6" s="186"/>
      <c r="G6" s="99" t="str">
        <f>MRS!G6</f>
        <v>Hour</v>
      </c>
      <c r="H6" s="99">
        <f>MRS!H6</f>
        <v>1</v>
      </c>
      <c r="I6" s="100">
        <f>MRS!I6</f>
        <v>90</v>
      </c>
      <c r="J6" s="100">
        <f>MRS!J6</f>
        <v>90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82" t="str">
        <f>MRS!B7</f>
        <v>FAT Aloowance - Welding Insp.</v>
      </c>
      <c r="C7" s="183"/>
      <c r="D7" s="184">
        <f>MRS!D7</f>
        <v>0</v>
      </c>
      <c r="E7" s="185"/>
      <c r="F7" s="186"/>
      <c r="G7" s="99" t="str">
        <f>MRS!G7</f>
        <v>Daily</v>
      </c>
      <c r="H7" s="99">
        <f>MRS!H7</f>
        <v>1</v>
      </c>
      <c r="I7" s="100">
        <f>MRS!I7</f>
        <v>115</v>
      </c>
      <c r="J7" s="100">
        <f>MRS!J7</f>
        <v>115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82" t="str">
        <f>MRS!B8</f>
        <v>Piping QC Supervisor</v>
      </c>
      <c r="C8" s="183"/>
      <c r="D8" s="184" t="str">
        <f>MRS!D8</f>
        <v>Aramco &amp; CBT</v>
      </c>
      <c r="E8" s="185"/>
      <c r="F8" s="186"/>
      <c r="G8" s="99" t="str">
        <f>MRS!G8</f>
        <v>Hour</v>
      </c>
      <c r="H8" s="99">
        <f>MRS!H8</f>
        <v>1</v>
      </c>
      <c r="I8" s="100">
        <f>MRS!I8</f>
        <v>110</v>
      </c>
      <c r="J8" s="100">
        <f>MRS!J8</f>
        <v>110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82" t="str">
        <f>MRS!B9</f>
        <v>FAT Aloowance - Piping Supervisor</v>
      </c>
      <c r="C9" s="183"/>
      <c r="D9" s="184">
        <f>MRS!D9</f>
        <v>0</v>
      </c>
      <c r="E9" s="185"/>
      <c r="F9" s="186"/>
      <c r="G9" s="99" t="str">
        <f>MRS!G9</f>
        <v>Daily</v>
      </c>
      <c r="H9" s="99">
        <f>MRS!H9</f>
        <v>1</v>
      </c>
      <c r="I9" s="100">
        <f>MRS!I9</f>
        <v>115</v>
      </c>
      <c r="J9" s="100">
        <f>MRS!J9</f>
        <v>115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82">
        <f>MRS!B10</f>
        <v>0</v>
      </c>
      <c r="C10" s="183"/>
      <c r="D10" s="184">
        <f>MRS!D10</f>
        <v>0</v>
      </c>
      <c r="E10" s="185"/>
      <c r="F10" s="186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82">
        <f>MRS!B11</f>
        <v>0</v>
      </c>
      <c r="C11" s="183"/>
      <c r="D11" s="184">
        <f>MRS!D11</f>
        <v>0</v>
      </c>
      <c r="E11" s="185"/>
      <c r="F11" s="186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7"/>
      <c r="C12" s="188"/>
      <c r="D12" s="189"/>
      <c r="E12" s="190"/>
      <c r="F12" s="191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7"/>
      <c r="C13" s="188"/>
      <c r="D13" s="189"/>
      <c r="E13" s="190"/>
      <c r="F13" s="191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7"/>
      <c r="C14" s="188"/>
      <c r="D14" s="189"/>
      <c r="E14" s="190"/>
      <c r="F14" s="191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7"/>
      <c r="C15" s="188"/>
      <c r="D15" s="189"/>
      <c r="E15" s="190"/>
      <c r="F15" s="191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7"/>
      <c r="C16" s="188"/>
      <c r="D16" s="189"/>
      <c r="E16" s="190"/>
      <c r="F16" s="191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7"/>
      <c r="C17" s="188"/>
      <c r="D17" s="189"/>
      <c r="E17" s="190"/>
      <c r="F17" s="191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" zoomScale="130" zoomScaleNormal="100" zoomScaleSheetLayoutView="130" workbookViewId="0">
      <selection activeCell="H32" sqref="H32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115</v>
      </c>
      <c r="D9" s="35"/>
      <c r="E9" s="35"/>
    </row>
    <row r="10" spans="2:13" s="35" customFormat="1">
      <c r="B10" s="68"/>
      <c r="C10" s="35" t="s">
        <v>23</v>
      </c>
      <c r="D10" s="72" t="s">
        <v>92</v>
      </c>
      <c r="J10" s="35" t="s">
        <v>24</v>
      </c>
      <c r="K10" s="193">
        <f>MRS!L3</f>
        <v>46246</v>
      </c>
      <c r="L10" s="194"/>
      <c r="M10" s="194"/>
    </row>
    <row r="11" spans="2:13" s="35" customFormat="1">
      <c r="B11" s="68"/>
      <c r="C11" s="71" t="s">
        <v>25</v>
      </c>
      <c r="D11" s="72" t="s">
        <v>93</v>
      </c>
      <c r="J11" s="35" t="s">
        <v>26</v>
      </c>
      <c r="K11" s="195" t="str">
        <f>SUBSTITUTE(SUBSTITUTE(+MRS!A3,"  MRS No : ",""),"-MRS","-PO")</f>
        <v>SAC2-DS-PO-0418</v>
      </c>
      <c r="L11" s="195"/>
      <c r="M11" s="195"/>
    </row>
    <row r="12" spans="2:13" s="35" customFormat="1">
      <c r="B12" s="68"/>
      <c r="C12" s="71" t="s">
        <v>27</v>
      </c>
      <c r="D12" s="35" t="s">
        <v>94</v>
      </c>
      <c r="J12" s="35" t="s">
        <v>28</v>
      </c>
    </row>
    <row r="13" spans="2:13" s="35" customFormat="1">
      <c r="B13" s="68"/>
      <c r="C13" s="73"/>
      <c r="D13" s="72" t="s">
        <v>95</v>
      </c>
      <c r="J13" s="35" t="s">
        <v>29</v>
      </c>
    </row>
    <row r="14" spans="2:13" s="35" customFormat="1">
      <c r="B14" s="68"/>
      <c r="C14" s="73" t="s">
        <v>96</v>
      </c>
      <c r="J14" s="35" t="s">
        <v>30</v>
      </c>
      <c r="K14" s="35" t="s">
        <v>134</v>
      </c>
    </row>
    <row r="15" spans="2:13" s="35" customFormat="1">
      <c r="B15" s="68"/>
      <c r="C15" s="73" t="s">
        <v>97</v>
      </c>
      <c r="J15" s="35" t="s">
        <v>31</v>
      </c>
      <c r="K15" s="74">
        <v>46246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6" t="s">
        <v>32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</row>
    <row r="19" spans="2:13" ht="12" customHeight="1"/>
    <row r="20" spans="2:13" s="27" customFormat="1" ht="12" customHeight="1">
      <c r="B20" s="197" t="s">
        <v>33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</row>
    <row r="21" spans="2:13" s="27" customFormat="1" ht="12" customHeight="1">
      <c r="B21" s="197" t="s">
        <v>34</v>
      </c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</row>
    <row r="22" spans="2:13" s="27" customFormat="1" ht="12" customHeight="1">
      <c r="B22" s="197" t="s">
        <v>35</v>
      </c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</row>
    <row r="23" spans="2:13" ht="6.95" customHeight="1"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</row>
    <row r="24" spans="2:13" ht="6.95" customHeight="1"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">
        <v>138</v>
      </c>
      <c r="M26" s="75" t="s">
        <v>37</v>
      </c>
    </row>
    <row r="27" spans="2:13" ht="12" customHeight="1">
      <c r="B27" s="28"/>
      <c r="C27" s="119" t="s">
        <v>139</v>
      </c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200" t="s">
        <v>98</v>
      </c>
      <c r="G29" s="200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200"/>
      <c r="G30" s="200"/>
    </row>
    <row r="31" spans="2:13" ht="12" customHeight="1">
      <c r="B31" s="28"/>
      <c r="C31" s="22" t="s">
        <v>42</v>
      </c>
      <c r="D31" s="31"/>
      <c r="E31" s="22" t="s">
        <v>40</v>
      </c>
      <c r="F31" s="200"/>
      <c r="G31" s="200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101</v>
      </c>
    </row>
    <row r="54" spans="2:16" ht="12" customHeight="1">
      <c r="B54" s="80" t="s">
        <v>56</v>
      </c>
      <c r="C54" s="120" t="s">
        <v>102</v>
      </c>
      <c r="F54" s="121" t="s">
        <v>110</v>
      </c>
      <c r="P54" s="22" t="str">
        <f>UPPER(F54)</f>
        <v>ALI MOHAMMED HASSAN AL-ALWAN CONT. EST.</v>
      </c>
    </row>
    <row r="55" spans="2:16" ht="12" customHeight="1">
      <c r="B55" s="80" t="s">
        <v>56</v>
      </c>
      <c r="C55" s="120" t="s">
        <v>103</v>
      </c>
      <c r="F55" s="121" t="s">
        <v>114</v>
      </c>
    </row>
    <row r="56" spans="2:16" ht="12" customHeight="1">
      <c r="B56" s="80" t="s">
        <v>56</v>
      </c>
      <c r="C56" s="120" t="s">
        <v>104</v>
      </c>
      <c r="F56" s="121" t="s">
        <v>111</v>
      </c>
    </row>
    <row r="57" spans="2:16" ht="12" customHeight="1">
      <c r="B57" s="80" t="s">
        <v>56</v>
      </c>
      <c r="C57" s="120" t="s">
        <v>105</v>
      </c>
      <c r="F57" s="22" t="s">
        <v>112</v>
      </c>
    </row>
    <row r="58" spans="2:16" ht="12" customHeight="1">
      <c r="B58" s="80" t="s">
        <v>56</v>
      </c>
      <c r="C58" s="120" t="s">
        <v>106</v>
      </c>
      <c r="F58" s="22" t="s">
        <v>113</v>
      </c>
    </row>
    <row r="59" spans="2:16" ht="12" customHeight="1">
      <c r="B59" s="80" t="s">
        <v>56</v>
      </c>
      <c r="C59" s="120" t="s">
        <v>107</v>
      </c>
      <c r="F59" s="22" t="s">
        <v>108</v>
      </c>
    </row>
    <row r="60" spans="2:16" ht="12" customHeight="1">
      <c r="B60" s="80"/>
      <c r="C60" s="122" t="s">
        <v>109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Mohammed Thouseef</v>
      </c>
    </row>
    <row r="68" spans="1:13" ht="18" customHeight="1">
      <c r="B68" s="22" t="s">
        <v>62</v>
      </c>
      <c r="J68" s="22" t="s">
        <v>63</v>
      </c>
      <c r="K68" s="18"/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201" t="str">
        <f>C9</f>
        <v>AAC (Ali Mohammed Hassan Al-Alwan Cont. Est.)</v>
      </c>
      <c r="K70" s="201"/>
      <c r="L70" s="201"/>
      <c r="M70" s="201"/>
    </row>
    <row r="71" spans="1:13" ht="27.95" customHeight="1">
      <c r="A71" s="192" t="s">
        <v>66</v>
      </c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8" zoomScaleSheetLayoutView="100" zoomScalePageLayoutView="55" workbookViewId="0">
      <selection activeCell="L18" sqref="L1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SAC2-DS-PO-0418</v>
      </c>
      <c r="C2" s="204" t="s">
        <v>68</v>
      </c>
      <c r="D2" s="204"/>
      <c r="E2" s="204"/>
      <c r="F2" s="204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46246</v>
      </c>
      <c r="C3" s="47"/>
      <c r="D3" s="48"/>
      <c r="E3" s="205" t="s">
        <v>70</v>
      </c>
      <c r="F3" s="205"/>
      <c r="G3" s="205"/>
      <c r="H3" s="205"/>
      <c r="I3" s="49"/>
    </row>
    <row r="4" spans="1:13" s="51" customFormat="1" ht="28.5" customHeight="1" thickTop="1">
      <c r="A4" s="206" t="s">
        <v>71</v>
      </c>
      <c r="B4" s="208" t="s">
        <v>72</v>
      </c>
      <c r="C4" s="209"/>
      <c r="D4" s="212" t="s">
        <v>73</v>
      </c>
      <c r="E4" s="212" t="s">
        <v>74</v>
      </c>
      <c r="F4" s="214" t="str">
        <f>'PO 1st page'!C9</f>
        <v>AAC (Ali Mohammed Hassan Al-Alwan Cont. Est.)</v>
      </c>
      <c r="G4" s="215"/>
      <c r="H4" s="216" t="s">
        <v>75</v>
      </c>
      <c r="K4" s="52"/>
      <c r="L4" s="52"/>
      <c r="M4" s="52"/>
    </row>
    <row r="5" spans="1:13" s="51" customFormat="1" ht="21.95" customHeight="1">
      <c r="A5" s="207"/>
      <c r="B5" s="210"/>
      <c r="C5" s="211"/>
      <c r="D5" s="213"/>
      <c r="E5" s="213"/>
      <c r="F5" s="53" t="s">
        <v>76</v>
      </c>
      <c r="G5" s="53" t="s">
        <v>42</v>
      </c>
      <c r="H5" s="217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02" t="str">
        <f>CONCATENATE(MRS!B6," ",MRS!D6)</f>
        <v>Welding QC Inspector Aramco &amp; CBT</v>
      </c>
      <c r="C6" s="203"/>
      <c r="D6" s="82" t="str">
        <f>+'MRS LIST'!G6</f>
        <v>Hour</v>
      </c>
      <c r="E6" s="83">
        <f>+'MRS LIST'!H6</f>
        <v>1</v>
      </c>
      <c r="F6" s="84">
        <f>+'MRS LIST'!I6</f>
        <v>90</v>
      </c>
      <c r="G6" s="85">
        <f>+'MRS LIST'!J6</f>
        <v>90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02" t="str">
        <f>CONCATENATE(MRS!B7," ",MRS!D7)</f>
        <v xml:space="preserve">FAT Aloowance - Welding Insp. </v>
      </c>
      <c r="C7" s="203"/>
      <c r="D7" s="82" t="str">
        <f>+'MRS LIST'!G7</f>
        <v>Daily</v>
      </c>
      <c r="E7" s="83">
        <f>+'MRS LIST'!H7</f>
        <v>1</v>
      </c>
      <c r="F7" s="84">
        <f>+'MRS LIST'!I7</f>
        <v>115</v>
      </c>
      <c r="G7" s="85">
        <f>+'MRS LIST'!J7</f>
        <v>115</v>
      </c>
      <c r="H7" s="86" t="s">
        <v>116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202" t="str">
        <f>CONCATENATE(MRS!B8," ",MRS!D8)</f>
        <v>Piping QC Supervisor Aramco &amp; CBT</v>
      </c>
      <c r="C8" s="203"/>
      <c r="D8" s="82" t="str">
        <f>+'MRS LIST'!G8</f>
        <v>Hour</v>
      </c>
      <c r="E8" s="83">
        <f>+'MRS LIST'!H8</f>
        <v>1</v>
      </c>
      <c r="F8" s="84">
        <f>+'MRS LIST'!I8</f>
        <v>110</v>
      </c>
      <c r="G8" s="85">
        <f>+'MRS LIST'!J8</f>
        <v>110</v>
      </c>
      <c r="H8" s="86" t="s">
        <v>116</v>
      </c>
      <c r="K8" s="52"/>
      <c r="L8" s="52"/>
      <c r="M8" s="52"/>
    </row>
    <row r="9" spans="1:13" s="51" customFormat="1" ht="32.1" customHeight="1">
      <c r="A9" s="89">
        <f t="shared" si="0"/>
        <v>4</v>
      </c>
      <c r="B9" s="202" t="str">
        <f>CONCATENATE(MRS!B9," ",MRS!D9)</f>
        <v xml:space="preserve">FAT Aloowance - Piping Supervisor </v>
      </c>
      <c r="C9" s="203"/>
      <c r="D9" s="82" t="str">
        <f>+'MRS LIST'!G9</f>
        <v>Daily</v>
      </c>
      <c r="E9" s="83">
        <f>+'MRS LIST'!H9</f>
        <v>1</v>
      </c>
      <c r="F9" s="84">
        <f>+'MRS LIST'!I9</f>
        <v>115</v>
      </c>
      <c r="G9" s="85">
        <f>+'MRS LIST'!J9</f>
        <v>115</v>
      </c>
      <c r="H9" s="94"/>
    </row>
    <row r="10" spans="1:13" s="51" customFormat="1" ht="32.1" customHeight="1">
      <c r="A10" s="89">
        <f t="shared" si="0"/>
        <v>5</v>
      </c>
      <c r="B10" s="202"/>
      <c r="C10" s="203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202"/>
      <c r="C11" s="203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22"/>
      <c r="C12" s="223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22"/>
      <c r="C13" s="223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22"/>
      <c r="C14" s="223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22"/>
      <c r="C15" s="223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22"/>
      <c r="C16" s="223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22"/>
      <c r="C17" s="223"/>
      <c r="D17" s="90"/>
      <c r="E17" s="91"/>
      <c r="F17" s="92"/>
      <c r="G17" s="93"/>
      <c r="H17" s="94"/>
    </row>
    <row r="18" spans="1:13" s="51" customFormat="1" ht="23.1" customHeight="1">
      <c r="A18" s="218" t="s">
        <v>77</v>
      </c>
      <c r="B18" s="219"/>
      <c r="C18" s="219"/>
      <c r="D18" s="219"/>
      <c r="E18" s="219"/>
      <c r="F18" s="219"/>
      <c r="G18" s="54">
        <f>SUM(G6:G17)</f>
        <v>430</v>
      </c>
      <c r="H18" s="55"/>
    </row>
    <row r="19" spans="1:13" s="51" customFormat="1" ht="23.1" customHeight="1">
      <c r="A19" s="218" t="s">
        <v>41</v>
      </c>
      <c r="B19" s="219"/>
      <c r="C19" s="219"/>
      <c r="D19" s="219"/>
      <c r="E19" s="219"/>
      <c r="F19" s="219"/>
      <c r="G19" s="54">
        <f>+G18*0.15</f>
        <v>64.5</v>
      </c>
      <c r="H19" s="55"/>
    </row>
    <row r="20" spans="1:13" s="51" customFormat="1" ht="24.95" customHeight="1" thickBot="1">
      <c r="A20" s="220" t="s">
        <v>78</v>
      </c>
      <c r="B20" s="221"/>
      <c r="C20" s="221"/>
      <c r="D20" s="221"/>
      <c r="E20" s="221"/>
      <c r="F20" s="221"/>
      <c r="G20" s="56">
        <f>G19+G18</f>
        <v>494.5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AAC-3263/26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92" t="s">
        <v>80</v>
      </c>
      <c r="B24" s="192"/>
      <c r="C24" s="192"/>
      <c r="D24" s="192"/>
      <c r="E24" s="192"/>
      <c r="F24" s="192"/>
      <c r="G24" s="192"/>
      <c r="H24" s="192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2026-08-13T03:27:16Z</cp:lastPrinted>
  <dcterms:created xsi:type="dcterms:W3CDTF">2024-10-20T11:50:19Z</dcterms:created>
  <dcterms:modified xsi:type="dcterms:W3CDTF">2026-08-13T07:58:23Z</dcterms:modified>
</cp:coreProperties>
</file>