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B6BDFEC0-BA68-4B67-A097-8236B878B3A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7" i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4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<sst xmlns="http://schemas.openxmlformats.org/spreadsheetml/2006/main" count="167" uniqueCount="136">
  <si>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</si>
  <si>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</si>
  <si>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</si>
  <si>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</si>
  <si>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</si>
  <si>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</si>
  <si>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</si>
  <si>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</si>
  <si>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</si>
  <si>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</si>
  <si>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</si>
  <si>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</si>
  <si>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</si>
  <si>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</si>
  <si>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</si>
  <si>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</si>
  <si>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</si>
  <si>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</si>
  <si>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</si>
  <si>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</si>
  <si>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</si>
  <si>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</si>
  <si>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</si>
  <si>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</si>
  <si>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</si>
  <si>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</si>
  <si>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</si>
  <si>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</si>
  <si>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</si>
  <si>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</si>
  <si>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</si>
  <si>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</si>
  <si>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</si>
  <si>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</si>
  <si>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</si>
  <si>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</si>
  <si>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</si>
  <si>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</si>
  <si>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</si>
  <si>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</si>
  <si>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</si>
  <si>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</si>
  <si>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</si>
  <si>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</si>
  <si>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</si>
  <si>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</si>
  <si>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</si>
  <si>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</si>
  <si>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</si>
  <si>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</si>
  <si>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</si>
  <si>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</si>
  <si>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</si>
  <si>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</si>
  <si>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</si>
  <si>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</si>
  <si>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</si>
  <si>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</si>
  <si>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</si>
  <si>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</si>
  <si>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</si>
  <si>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</si>
  <si>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</si>
  <si>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</si>
  <si>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</si>
  <si>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</si>
  <si>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</si>
  <si>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</si>
  <si>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</si>
  <si>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</si>
  <si>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</si>
  <si>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</si>
  <si>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</si>
  <si>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</si>
  <si>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</si>
  <si>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</si>
  <si>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</si>
  <si>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</si>
  <si>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</si>
  <si>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</si>
  <si>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</si>
  <si>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</si>
  <si>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</si>
  <si>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</si>
  <si>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</si>
  <si>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</si>
  <si>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</si>
  <si>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</si>
  <si>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</si>
  <si>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</si>
  <si>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</si>
  <si>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AAC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</si>
  <si>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</si>
  <si>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</si>
  <si>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</si>
  <si>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</si>
  <si>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</si>
  <si>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</si>
  <si>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</si>
  <si>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</si>
  <si>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</si>
  <si>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</si>
  <si>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</si>
  <si>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</si>
  <si>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</si>
  <si>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</si>
  <si>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</si>
  <si>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</si>
  <si>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</si>
  <si>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</si>
  <si>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ALI MOHAMMED HASSAN AL-ALWAN CONT. EST.</t>
  </si>
  <si>
    <t>SA56 5500 0000 0998 6650 0156</t>
  </si>
  <si>
    <t>BANQUE SAUDI FRANSI</t>
  </si>
  <si>
    <t>BSFRSARI</t>
  </si>
  <si>
    <t>99866500156</t>
  </si>
  <si>
    <t>AAC (Ali Mohammed Hassan Al-Alwan Cont. Est.)</t>
  </si>
  <si>
    <t/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</si>
  <si>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</si>
  <si>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</si>
  <si>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</si>
  <si>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</si>
  <si>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</si>
  <si>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</si>
  <si>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</si>
  <si>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</si>
  <si>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</si>
  <si>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</si>
  <si>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</si>
  <si>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</si>
  <si>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</si>
  <si>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</si>
  <si>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Aramco &amp; CBT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</si>
  <si>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-MRS-0459</t>
    </r>
  </si>
  <si>
    <t>Steel Structural QC Inspector</t>
  </si>
  <si>
    <t>AAC-3272/26</t>
  </si>
  <si>
    <t>Steel Structural QC Inspector Aramco &amp; CBT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</si>
</sst>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818148</xdr:colOff>
          <xdr:row>15</xdr:row>
          <xdr:rowOff>19551</xdr:rowOff>
        </xdr:from>
        <xdr:to>
          <xdr:col>11</xdr:col>
          <xdr:colOff>1314952</xdr:colOff>
          <xdr:row>21</xdr:row>
          <xdr:rowOff>257676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DFB9651-EFAA-D8B0-6FF5-110679A414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Y$23" spid="_x0000_s12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10227" y="5002630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0"/>
  <sheetViews>
    <sheetView showGridLines="0" tabSelected="1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.57031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31" t="s">
        <v>129</v>
      </c>
      <c r="B1" s="132"/>
      <c r="C1" s="106"/>
      <c r="D1" s="106"/>
      <c r="E1" s="106"/>
      <c r="F1" s="106"/>
      <c r="G1" s="1"/>
      <c r="J1" s="148" t="s">
        <v>81</v>
      </c>
      <c r="K1" s="149"/>
      <c r="L1" s="150"/>
    </row>
    <row r="2" spans="1:26" ht="20.100000000000001" customHeight="1">
      <c r="A2" s="3" t="s">
        <v>1</v>
      </c>
      <c r="B2" s="97"/>
      <c r="C2" s="97"/>
      <c r="D2" s="3" t="s">
        <v>130</v>
      </c>
      <c r="E2" s="97"/>
      <c r="F2" s="97"/>
      <c r="G2" s="97"/>
      <c r="H2" s="97"/>
      <c r="I2" s="4"/>
      <c r="J2" s="151" t="s">
        <v>90</v>
      </c>
      <c r="K2" s="152"/>
      <c r="L2" s="153"/>
    </row>
    <row r="3" spans="1:26" ht="20.100000000000001" customHeight="1">
      <c r="A3" s="3" t="s">
        <v>132</v>
      </c>
      <c r="B3" s="97"/>
      <c r="C3" s="97"/>
      <c r="D3" s="97"/>
      <c r="E3" s="154">
        <f>+L3+3</f>
        <v>46281</v>
      </c>
      <c r="F3" s="154"/>
      <c r="G3" s="154"/>
      <c r="H3" s="154"/>
      <c r="I3" s="154"/>
      <c r="J3" s="97"/>
      <c r="K3" s="97"/>
      <c r="L3" s="133">
        <v>46278</v>
      </c>
      <c r="M3" s="4"/>
    </row>
    <row r="4" spans="1:26" ht="15.95" customHeight="1">
      <c r="A4" s="155" t="s">
        <v>2</v>
      </c>
      <c r="B4" s="156" t="s">
        <v>3</v>
      </c>
      <c r="C4" s="156"/>
      <c r="D4" s="157" t="s">
        <v>4</v>
      </c>
      <c r="E4" s="158"/>
      <c r="F4" s="159"/>
      <c r="G4" s="163" t="s">
        <v>5</v>
      </c>
      <c r="H4" s="165" t="s">
        <v>6</v>
      </c>
      <c r="I4" s="165" t="s">
        <v>86</v>
      </c>
      <c r="J4" s="155" t="s">
        <v>87</v>
      </c>
      <c r="K4" s="165" t="s">
        <v>0</v>
      </c>
      <c r="L4" s="156" t="s">
        <v>7</v>
      </c>
    </row>
    <row r="5" spans="1:26" ht="15.95" customHeight="1">
      <c r="A5" s="155"/>
      <c r="B5" s="156"/>
      <c r="C5" s="156"/>
      <c r="D5" s="160"/>
      <c r="E5" s="161"/>
      <c r="F5" s="162"/>
      <c r="G5" s="164"/>
      <c r="H5" s="166"/>
      <c r="I5" s="166"/>
      <c r="J5" s="155"/>
      <c r="K5" s="166"/>
      <c r="L5" s="156"/>
    </row>
    <row r="6" spans="1:26" ht="22.5" customHeight="1">
      <c r="A6" s="5">
        <f t="shared" ref="A6:A13" si="0">ROW(A1)</f>
        <v>1</v>
      </c>
      <c r="B6" s="138" t="s">
        <v>133</v>
      </c>
      <c r="C6" s="139"/>
      <c r="D6" s="140" t="s">
        <v>131</v>
      </c>
      <c r="E6" s="141"/>
      <c r="F6" s="142"/>
      <c r="G6" s="107" t="s">
        <v>89</v>
      </c>
      <c r="H6" s="108">
        <v>1</v>
      </c>
      <c r="I6" s="109">
        <v>92</v>
      </c>
      <c r="J6" s="109">
        <f>H6*I6</f>
        <v>92</v>
      </c>
      <c r="K6" s="110" t="s">
        <v>91</v>
      </c>
      <c r="L6" s="111" t="s">
        <v>98</v>
      </c>
      <c r="S6" s="102"/>
    </row>
    <row r="7" spans="1:26" ht="22.5" customHeight="1">
      <c r="A7" s="5"/>
      <c r="B7" s="138"/>
      <c r="C7" s="139"/>
      <c r="D7" s="140"/>
      <c r="E7" s="141"/>
      <c r="F7" s="142"/>
      <c r="G7" s="107"/>
      <c r="H7" s="108"/>
      <c r="I7" s="109"/>
      <c r="J7" s="109">
        <f t="shared" ref="J7" si="1">H7*I7</f>
        <v>0</v>
      </c>
      <c r="K7" s="110"/>
      <c r="L7" s="111"/>
      <c r="S7" s="102"/>
    </row>
    <row r="8" spans="1:26" ht="22.5" customHeight="1">
      <c r="A8" s="5"/>
      <c r="B8" s="146"/>
      <c r="C8" s="146"/>
      <c r="D8" s="147"/>
      <c r="E8" s="147"/>
      <c r="F8" s="147"/>
      <c r="G8" s="107"/>
      <c r="H8" s="108"/>
      <c r="I8" s="112"/>
      <c r="J8" s="109"/>
      <c r="K8" s="110"/>
      <c r="L8" s="107"/>
      <c r="S8" s="102"/>
    </row>
    <row r="9" spans="1:26" ht="22.5" customHeight="1">
      <c r="A9" s="5"/>
      <c r="B9" s="138"/>
      <c r="C9" s="139"/>
      <c r="D9" s="140"/>
      <c r="E9" s="141"/>
      <c r="F9" s="142"/>
      <c r="G9" s="107"/>
      <c r="H9" s="108"/>
      <c r="I9" s="109"/>
      <c r="J9" s="109"/>
      <c r="K9" s="110"/>
      <c r="L9" s="111"/>
      <c r="S9" s="102"/>
    </row>
    <row r="10" spans="1:26" ht="22.5" customHeight="1">
      <c r="A10" s="5"/>
      <c r="B10" s="146"/>
      <c r="C10" s="146"/>
      <c r="D10" s="147"/>
      <c r="E10" s="147"/>
      <c r="F10" s="147"/>
      <c r="G10" s="107"/>
      <c r="H10" s="108"/>
      <c r="I10" s="112"/>
      <c r="J10" s="109"/>
      <c r="K10" s="110"/>
      <c r="L10" s="107"/>
      <c r="S10" s="102"/>
    </row>
    <row r="11" spans="1:26" ht="22.5" customHeight="1">
      <c r="A11" s="5"/>
      <c r="B11" s="138"/>
      <c r="C11" s="139"/>
      <c r="D11" s="140"/>
      <c r="E11" s="141"/>
      <c r="F11" s="142"/>
      <c r="G11" s="107"/>
      <c r="H11" s="108"/>
      <c r="I11" s="109"/>
      <c r="J11" s="109"/>
      <c r="K11" s="110"/>
      <c r="L11" s="111"/>
      <c r="S11" s="102"/>
    </row>
    <row r="12" spans="1:26" ht="22.5" customHeight="1">
      <c r="A12" s="5"/>
      <c r="B12" s="138"/>
      <c r="C12" s="139"/>
      <c r="D12" s="140"/>
      <c r="E12" s="141"/>
      <c r="F12" s="142"/>
      <c r="G12" s="107"/>
      <c r="H12" s="108"/>
      <c r="I12" s="109"/>
      <c r="J12" s="109"/>
      <c r="K12" s="110"/>
      <c r="L12" s="111"/>
      <c r="S12" s="102"/>
    </row>
    <row r="13" spans="1:26" ht="22.5" customHeight="1">
      <c r="A13" s="5"/>
      <c r="B13" s="138"/>
      <c r="C13" s="139"/>
      <c r="D13" s="140"/>
      <c r="E13" s="141"/>
      <c r="F13" s="142"/>
      <c r="G13" s="107"/>
      <c r="H13" s="108"/>
      <c r="I13" s="109"/>
      <c r="J13" s="109"/>
      <c r="K13" s="110"/>
      <c r="L13" s="111"/>
      <c r="S13" s="102"/>
    </row>
    <row r="14" spans="1:26" ht="22.5" customHeight="1">
      <c r="A14" s="143" t="s">
        <v>8</v>
      </c>
      <c r="B14" s="144"/>
      <c r="C14" s="113"/>
      <c r="D14" s="114"/>
      <c r="E14" s="114"/>
      <c r="F14" s="114"/>
      <c r="G14" s="115"/>
      <c r="H14" s="115"/>
      <c r="I14" s="116" t="s">
        <v>9</v>
      </c>
      <c r="J14" s="109">
        <f>SUM(J6:J13)</f>
        <v>92</v>
      </c>
      <c r="K14" s="109"/>
      <c r="L14" s="117"/>
    </row>
    <row r="15" spans="1:26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26" ht="18" customHeight="1">
      <c r="A16" s="10"/>
      <c r="J16" s="1"/>
      <c r="K16" s="1"/>
      <c r="O16" s="11"/>
      <c r="P16" s="11"/>
      <c r="Q16" s="11"/>
      <c r="R16" s="11"/>
      <c r="S16" s="11"/>
      <c r="T16" s="11"/>
      <c r="U16" s="11"/>
      <c r="V16" s="11"/>
      <c r="W16" s="11"/>
      <c r="Y16" s="171"/>
      <c r="Z16" s="11"/>
    </row>
    <row r="17" spans="15:25" ht="50.1" customHeight="1">
      <c r="Y17" s="172"/>
    </row>
    <row r="18" spans="15:25" ht="15" customHeight="1">
      <c r="O18" s="167" t="s">
        <v>117</v>
      </c>
      <c r="P18" s="173"/>
      <c r="Q18" s="173"/>
      <c r="R18" s="168"/>
      <c r="S18" s="124"/>
      <c r="T18" s="167" t="s">
        <v>118</v>
      </c>
      <c r="U18" s="173"/>
      <c r="V18" s="173"/>
      <c r="W18" s="173"/>
      <c r="X18" s="173"/>
      <c r="Y18" s="168"/>
    </row>
    <row r="19" spans="15:25" ht="15" customHeight="1">
      <c r="O19" s="145" t="s">
        <v>119</v>
      </c>
      <c r="P19" s="134" t="s">
        <v>120</v>
      </c>
      <c r="Q19" s="145" t="s">
        <v>121</v>
      </c>
      <c r="R19" s="134" t="s">
        <v>122</v>
      </c>
      <c r="S19" s="124"/>
      <c r="T19" s="145" t="s">
        <v>123</v>
      </c>
      <c r="U19" s="134" t="s">
        <v>124</v>
      </c>
      <c r="V19" s="167" t="s">
        <v>125</v>
      </c>
      <c r="W19" s="173"/>
      <c r="X19" s="168"/>
      <c r="Y19" s="134" t="s">
        <v>126</v>
      </c>
    </row>
    <row r="20" spans="15:25" ht="18" customHeight="1">
      <c r="O20" s="135"/>
      <c r="P20" s="136"/>
      <c r="Q20" s="135"/>
      <c r="R20" s="136"/>
      <c r="S20" s="125"/>
      <c r="T20" s="135"/>
      <c r="U20" s="136"/>
      <c r="V20" s="13" t="s">
        <v>119</v>
      </c>
      <c r="W20" s="174" t="s">
        <v>127</v>
      </c>
      <c r="X20" s="175"/>
      <c r="Y20" s="136"/>
    </row>
    <row r="21" spans="15:25" ht="50.1" customHeight="1">
      <c r="O21" s="14"/>
      <c r="P21" s="14"/>
      <c r="Q21" s="14"/>
      <c r="R21" s="14"/>
      <c r="S21" s="124"/>
      <c r="T21" s="14"/>
      <c r="U21" s="14"/>
      <c r="V21" s="14"/>
      <c r="W21" s="167"/>
      <c r="X21" s="168"/>
      <c r="Y21" s="126"/>
    </row>
    <row r="22" spans="15:25" ht="36" customHeight="1">
      <c r="W22" s="127"/>
      <c r="X22" s="169" t="s">
        <v>128</v>
      </c>
      <c r="Y22" s="12" t="s">
        <v>126</v>
      </c>
    </row>
    <row r="23" spans="15:25" ht="50.1" customHeight="1">
      <c r="O23" s="128"/>
      <c r="P23" s="128"/>
      <c r="Q23" s="128"/>
      <c r="R23" s="128"/>
      <c r="S23" s="128"/>
      <c r="T23" s="128"/>
      <c r="U23" s="128"/>
      <c r="V23" s="128"/>
      <c r="W23" s="129"/>
      <c r="X23" s="170"/>
      <c r="Y23" s="130"/>
    </row>
    <row r="24" spans="15:25" ht="19.899999999999999" customHeight="1"/>
    <row r="25" spans="15:25" ht="17.45" customHeight="1">
      <c r="O25" s="137"/>
      <c r="P25" s="137"/>
      <c r="Q25" s="137"/>
    </row>
    <row r="26" spans="15:25" ht="19.899999999999999" customHeight="1">
      <c r="O26" s="137"/>
      <c r="P26" s="137"/>
      <c r="Q26" s="137"/>
    </row>
    <row r="27" spans="15:25" ht="14.25">
      <c r="O27" s="11"/>
      <c r="P27" s="11"/>
      <c r="Q27" s="11"/>
    </row>
    <row r="28" spans="15:25" ht="65.099999999999994" customHeight="1"/>
    <row r="29" spans="15:25" ht="14.25">
      <c r="O29" s="11"/>
      <c r="P29" s="11"/>
      <c r="Q29" s="11"/>
    </row>
    <row r="30" spans="15:25" ht="19.899999999999999" customHeight="1"/>
    <row r="31" spans="15:25" ht="14.25"/>
    <row r="32" spans="15:25" ht="19.899999999999999" customHeight="1"/>
    <row r="33" spans="15:22" ht="14.25"/>
    <row r="34" spans="15:22" ht="19.899999999999999" customHeight="1"/>
    <row r="35" spans="15:22" ht="19.899999999999999" customHeight="1"/>
    <row r="36" spans="15:22" ht="64.900000000000006" customHeight="1"/>
    <row r="38" spans="15:22" ht="19.899999999999999" customHeight="1">
      <c r="T38" s="134" t="s">
        <v>12</v>
      </c>
    </row>
    <row r="39" spans="15:22" ht="19.899999999999999" customHeight="1">
      <c r="T39" s="136"/>
    </row>
    <row r="40" spans="15:22" ht="64.900000000000006" customHeight="1">
      <c r="T40" s="14"/>
    </row>
    <row r="44" spans="15:22" ht="21" customHeight="1">
      <c r="O44" s="134" t="s">
        <v>12</v>
      </c>
      <c r="P44" s="134" t="s">
        <v>12</v>
      </c>
      <c r="Q44" s="134" t="s">
        <v>12</v>
      </c>
      <c r="T44" s="134" t="s">
        <v>13</v>
      </c>
      <c r="U44" s="134" t="s">
        <v>11</v>
      </c>
      <c r="V44" s="134" t="s">
        <v>12</v>
      </c>
    </row>
    <row r="45" spans="15:22" ht="21" customHeight="1">
      <c r="O45" s="136"/>
      <c r="P45" s="136"/>
      <c r="Q45" s="136"/>
      <c r="T45" s="135"/>
      <c r="U45" s="135"/>
      <c r="V45" s="136"/>
    </row>
    <row r="46" spans="15:22" ht="64.900000000000006" customHeight="1">
      <c r="O46" s="14"/>
      <c r="P46" s="14"/>
      <c r="Q46" s="14"/>
      <c r="T46" s="14"/>
      <c r="U46" s="15"/>
      <c r="V46" s="14"/>
    </row>
    <row r="47" spans="15:22" ht="7.15" customHeight="1"/>
    <row r="48" spans="15:22" ht="21" customHeight="1">
      <c r="O48" s="134" t="s">
        <v>12</v>
      </c>
      <c r="P48" s="134" t="s">
        <v>12</v>
      </c>
      <c r="Q48" s="134" t="s">
        <v>12</v>
      </c>
      <c r="T48" s="134" t="s">
        <v>11</v>
      </c>
      <c r="U48" s="134" t="s">
        <v>13</v>
      </c>
      <c r="V48" s="134" t="s">
        <v>12</v>
      </c>
    </row>
    <row r="49" spans="15:22" ht="21" customHeight="1">
      <c r="O49" s="136"/>
      <c r="P49" s="136"/>
      <c r="Q49" s="136"/>
      <c r="T49" s="135"/>
      <c r="U49" s="135"/>
      <c r="V49" s="136"/>
    </row>
    <row r="50" spans="15:22" ht="64.900000000000006" customHeight="1">
      <c r="O50" s="14"/>
      <c r="P50" s="14"/>
      <c r="Q50" s="14"/>
      <c r="T50" s="15"/>
      <c r="U50" s="14"/>
      <c r="V50" s="14"/>
    </row>
  </sheetData>
  <mergeCells count="59">
    <mergeCell ref="W21:X21"/>
    <mergeCell ref="X22:X23"/>
    <mergeCell ref="Y16:Y17"/>
    <mergeCell ref="O18:R18"/>
    <mergeCell ref="T18:Y18"/>
    <mergeCell ref="O19:O20"/>
    <mergeCell ref="R19:R20"/>
    <mergeCell ref="T19:T20"/>
    <mergeCell ref="U19:U20"/>
    <mergeCell ref="V19:X19"/>
    <mergeCell ref="Y19:Y20"/>
    <mergeCell ref="W20:X20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A14:B14"/>
    <mergeCell ref="P19:P20"/>
    <mergeCell ref="Q19:Q20"/>
    <mergeCell ref="O25:O26"/>
    <mergeCell ref="P25:P26"/>
    <mergeCell ref="Q25:Q26"/>
    <mergeCell ref="T38:T39"/>
    <mergeCell ref="O44:O45"/>
    <mergeCell ref="P44:P45"/>
    <mergeCell ref="Q44:Q45"/>
    <mergeCell ref="T44:T45"/>
    <mergeCell ref="U44:U45"/>
    <mergeCell ref="V44:V45"/>
    <mergeCell ref="O48:O49"/>
    <mergeCell ref="P48:P49"/>
    <mergeCell ref="Q48:Q49"/>
    <mergeCell ref="T48:T49"/>
    <mergeCell ref="U48:U49"/>
    <mergeCell ref="V48:V49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2" sqref="D12:F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6"/>
      <c r="C1" s="96"/>
      <c r="D1" s="96"/>
      <c r="E1" s="96"/>
      <c r="F1" s="96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51" t="str">
        <f>+MRS!J2</f>
        <v>Subcontract name (SAC2-SC-IK-SMP-01)</v>
      </c>
      <c r="K2" s="153"/>
    </row>
    <row r="3" spans="1:18" ht="24.95" customHeight="1">
      <c r="A3" s="3" t="str">
        <f>+MRS!A3</f>
        <v xml:space="preserve">  MRS No : SAC2-DS-MRS-0459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46278</v>
      </c>
    </row>
    <row r="4" spans="1:18" ht="15.95" customHeight="1">
      <c r="A4" s="186" t="s">
        <v>2</v>
      </c>
      <c r="B4" s="187" t="s">
        <v>14</v>
      </c>
      <c r="C4" s="187"/>
      <c r="D4" s="186" t="s">
        <v>4</v>
      </c>
      <c r="E4" s="186"/>
      <c r="F4" s="186"/>
      <c r="G4" s="187" t="s">
        <v>5</v>
      </c>
      <c r="H4" s="186" t="s">
        <v>82</v>
      </c>
      <c r="I4" s="186" t="s">
        <v>15</v>
      </c>
      <c r="J4" s="186" t="s">
        <v>16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17">
        <f>+MRS!A6</f>
        <v>1</v>
      </c>
      <c r="B6" s="181" t="str">
        <f>MRS!B6</f>
        <v>Steel Structural QC Inspector</v>
      </c>
      <c r="C6" s="182"/>
      <c r="D6" s="183" t="str">
        <f>MRS!D6</f>
        <v>Aramco &amp; CBT</v>
      </c>
      <c r="E6" s="184"/>
      <c r="F6" s="185"/>
      <c r="G6" s="99" t="str">
        <f>MRS!G6</f>
        <v>Hour</v>
      </c>
      <c r="H6" s="99">
        <f>MRS!H6</f>
        <v>1</v>
      </c>
      <c r="I6" s="100">
        <f>MRS!I6</f>
        <v>92</v>
      </c>
      <c r="J6" s="100">
        <f>MRS!J6</f>
        <v>92</v>
      </c>
      <c r="K6" s="101"/>
      <c r="O6" s="102"/>
      <c r="P6" s="102"/>
      <c r="R6" s="102"/>
    </row>
    <row r="7" spans="1:18" ht="105" customHeight="1">
      <c r="A7" s="17" t="e">
        <f>+MRS!#REF!</f>
        <v>#REF!</v>
      </c>
      <c r="B7" s="181" t="e">
        <f>MRS!#REF!</f>
        <v>#REF!</v>
      </c>
      <c r="C7" s="182"/>
      <c r="D7" s="183" t="e">
        <f>MRS!#REF!</f>
        <v>#REF!</v>
      </c>
      <c r="E7" s="184"/>
      <c r="F7" s="185"/>
      <c r="G7" s="99" t="e">
        <f>MRS!#REF!</f>
        <v>#REF!</v>
      </c>
      <c r="H7" s="99" t="e">
        <f>MRS!#REF!</f>
        <v>#REF!</v>
      </c>
      <c r="I7" s="100" t="e">
        <f>MRS!#REF!</f>
        <v>#REF!</v>
      </c>
      <c r="J7" s="100" t="e">
        <f>MRS!#REF!</f>
        <v>#REF!</v>
      </c>
      <c r="K7" s="101"/>
      <c r="O7" s="102"/>
      <c r="P7" s="102"/>
      <c r="R7" s="102"/>
    </row>
    <row r="8" spans="1:18" ht="105" customHeight="1">
      <c r="A8" s="17" t="e">
        <f>+MRS!#REF!</f>
        <v>#REF!</v>
      </c>
      <c r="B8" s="181" t="e">
        <f>MRS!#REF!</f>
        <v>#REF!</v>
      </c>
      <c r="C8" s="182"/>
      <c r="D8" s="183" t="e">
        <f>MRS!#REF!</f>
        <v>#REF!</v>
      </c>
      <c r="E8" s="184"/>
      <c r="F8" s="185"/>
      <c r="G8" s="99" t="e">
        <f>MRS!#REF!</f>
        <v>#REF!</v>
      </c>
      <c r="H8" s="99" t="e">
        <f>MRS!#REF!</f>
        <v>#REF!</v>
      </c>
      <c r="I8" s="100" t="e">
        <f>MRS!#REF!</f>
        <v>#REF!</v>
      </c>
      <c r="J8" s="100" t="e">
        <f>MRS!#REF!</f>
        <v>#REF!</v>
      </c>
      <c r="K8" s="101"/>
      <c r="O8" s="102"/>
      <c r="P8" s="102"/>
      <c r="R8" s="102"/>
    </row>
    <row r="9" spans="1:18" ht="105" customHeight="1">
      <c r="A9" s="17">
        <f>+MRS!A7</f>
        <v>0</v>
      </c>
      <c r="B9" s="181">
        <f>MRS!B7</f>
        <v>0</v>
      </c>
      <c r="C9" s="182"/>
      <c r="D9" s="183">
        <f>MRS!D7</f>
        <v>0</v>
      </c>
      <c r="E9" s="184"/>
      <c r="F9" s="185"/>
      <c r="G9" s="99">
        <f>MRS!G7</f>
        <v>0</v>
      </c>
      <c r="H9" s="99">
        <f>MRS!H7</f>
        <v>0</v>
      </c>
      <c r="I9" s="100">
        <f>MRS!I7</f>
        <v>0</v>
      </c>
      <c r="J9" s="100">
        <f>MRS!J7</f>
        <v>0</v>
      </c>
      <c r="K9" s="101"/>
      <c r="O9" s="102"/>
      <c r="P9" s="102"/>
      <c r="R9" s="102"/>
    </row>
    <row r="10" spans="1:18" ht="105" customHeight="1">
      <c r="A10" s="17">
        <f>+MRS!A8</f>
        <v>0</v>
      </c>
      <c r="B10" s="181">
        <f>MRS!B8</f>
        <v>0</v>
      </c>
      <c r="C10" s="182"/>
      <c r="D10" s="183">
        <f>MRS!D8</f>
        <v>0</v>
      </c>
      <c r="E10" s="184"/>
      <c r="F10" s="185"/>
      <c r="G10" s="99">
        <f>MRS!G8</f>
        <v>0</v>
      </c>
      <c r="H10" s="99">
        <f>MRS!H8</f>
        <v>0</v>
      </c>
      <c r="I10" s="100">
        <f>MRS!I8</f>
        <v>0</v>
      </c>
      <c r="J10" s="100">
        <f>MRS!J8</f>
        <v>0</v>
      </c>
      <c r="K10" s="101"/>
      <c r="O10" s="102"/>
      <c r="P10" s="102"/>
      <c r="R10" s="102"/>
    </row>
    <row r="11" spans="1:18" ht="105" customHeight="1">
      <c r="A11" s="17">
        <f>+MRS!A9</f>
        <v>0</v>
      </c>
      <c r="B11" s="181">
        <f>MRS!B9</f>
        <v>0</v>
      </c>
      <c r="C11" s="182"/>
      <c r="D11" s="183">
        <f>MRS!D9</f>
        <v>0</v>
      </c>
      <c r="E11" s="184"/>
      <c r="F11" s="185"/>
      <c r="G11" s="99">
        <f>MRS!G9</f>
        <v>0</v>
      </c>
      <c r="H11" s="99">
        <f>MRS!H9</f>
        <v>0</v>
      </c>
      <c r="I11" s="100">
        <f>MRS!I9</f>
        <v>0</v>
      </c>
      <c r="J11" s="100">
        <f>MRS!J9</f>
        <v>0</v>
      </c>
      <c r="K11" s="101"/>
      <c r="O11" s="102"/>
      <c r="P11" s="102"/>
      <c r="R11" s="102"/>
    </row>
    <row r="12" spans="1:18" ht="105" customHeight="1">
      <c r="A12" s="17">
        <f>+MRS!A10</f>
        <v>0</v>
      </c>
      <c r="B12" s="176"/>
      <c r="C12" s="177"/>
      <c r="D12" s="178"/>
      <c r="E12" s="179"/>
      <c r="F12" s="180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+MRS!A11</f>
        <v>0</v>
      </c>
      <c r="B13" s="176"/>
      <c r="C13" s="177"/>
      <c r="D13" s="178"/>
      <c r="E13" s="179"/>
      <c r="F13" s="180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+MRS!A12</f>
        <v>0</v>
      </c>
      <c r="B14" s="176"/>
      <c r="C14" s="177"/>
      <c r="D14" s="178"/>
      <c r="E14" s="179"/>
      <c r="F14" s="180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+MRS!A13</f>
        <v>0</v>
      </c>
      <c r="B15" s="176"/>
      <c r="C15" s="177"/>
      <c r="D15" s="178"/>
      <c r="E15" s="179"/>
      <c r="F15" s="180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76"/>
      <c r="C16" s="177"/>
      <c r="D16" s="178"/>
      <c r="E16" s="179"/>
      <c r="F16" s="180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76"/>
      <c r="C17" s="177"/>
      <c r="D17" s="178"/>
      <c r="E17" s="179"/>
      <c r="F17" s="180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115</v>
      </c>
      <c r="D9" s="35"/>
      <c r="E9" s="35"/>
    </row>
    <row r="10" spans="2:13" s="35" customFormat="1">
      <c r="B10" s="68"/>
      <c r="C10" s="35" t="s">
        <v>23</v>
      </c>
      <c r="D10" s="72" t="s">
        <v>92</v>
      </c>
      <c r="J10" s="35" t="s">
        <v>24</v>
      </c>
      <c r="K10" s="189">
        <f>MRS!L3</f>
        <v>46278</v>
      </c>
      <c r="L10" s="190"/>
      <c r="M10" s="190"/>
    </row>
    <row r="11" spans="2:13" s="35" customFormat="1">
      <c r="B11" s="68"/>
      <c r="C11" s="71" t="s">
        <v>25</v>
      </c>
      <c r="D11" s="72" t="s">
        <v>93</v>
      </c>
      <c r="J11" s="35" t="s">
        <v>26</v>
      </c>
      <c r="K11" s="191" t="str">
        <f>SUBSTITUTE(SUBSTITUTE(+MRS!A3,"  MRS No : ",""),"-MRS","-PO")</f>
        <v>SAC2-DS-PO-0459</v>
      </c>
      <c r="L11" s="191"/>
      <c r="M11" s="191"/>
    </row>
    <row r="12" spans="2:13" s="35" customFormat="1">
      <c r="B12" s="68"/>
      <c r="C12" s="71" t="s">
        <v>27</v>
      </c>
      <c r="D12" s="35" t="s">
        <v>94</v>
      </c>
      <c r="J12" s="35" t="s">
        <v>28</v>
      </c>
    </row>
    <row r="13" spans="2:13" s="35" customFormat="1">
      <c r="B13" s="68"/>
      <c r="C13" s="73"/>
      <c r="D13" s="72" t="s">
        <v>95</v>
      </c>
      <c r="J13" s="35" t="s">
        <v>29</v>
      </c>
    </row>
    <row r="14" spans="2:13" s="35" customFormat="1">
      <c r="B14" s="68"/>
      <c r="C14" s="73" t="s">
        <v>96</v>
      </c>
      <c r="J14" s="35" t="s">
        <v>30</v>
      </c>
      <c r="K14" s="35" t="s">
        <v>134</v>
      </c>
    </row>
    <row r="15" spans="2:13" s="35" customFormat="1">
      <c r="B15" s="68"/>
      <c r="C15" s="73" t="s">
        <v>97</v>
      </c>
      <c r="J15" s="35" t="s">
        <v>31</v>
      </c>
      <c r="K15" s="74">
        <v>46263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">
        <v>135</v>
      </c>
      <c r="M26" s="75" t="s">
        <v>37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6" t="s">
        <v>98</v>
      </c>
      <c r="G29" s="19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6"/>
      <c r="G30" s="196"/>
    </row>
    <row r="31" spans="2:13" ht="12" customHeight="1">
      <c r="B31" s="28"/>
      <c r="C31" s="22" t="s">
        <v>42</v>
      </c>
      <c r="D31" s="31"/>
      <c r="E31" s="22" t="s">
        <v>40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101</v>
      </c>
    </row>
    <row r="54" spans="2:16" ht="12" customHeight="1">
      <c r="B54" s="80" t="s">
        <v>56</v>
      </c>
      <c r="C54" s="120" t="s">
        <v>102</v>
      </c>
      <c r="F54" s="121" t="s">
        <v>110</v>
      </c>
      <c r="P54" s="22" t="str">
        <f>UPPER(F54)</f>
        <v>ALI MOHAMMED HASSAN AL-ALWAN CONT. EST.</v>
      </c>
    </row>
    <row r="55" spans="2:16" ht="12" customHeight="1">
      <c r="B55" s="80" t="s">
        <v>56</v>
      </c>
      <c r="C55" s="120" t="s">
        <v>103</v>
      </c>
      <c r="F55" s="121" t="s">
        <v>114</v>
      </c>
    </row>
    <row r="56" spans="2:16" ht="12" customHeight="1">
      <c r="B56" s="80" t="s">
        <v>56</v>
      </c>
      <c r="C56" s="120" t="s">
        <v>104</v>
      </c>
      <c r="F56" s="121" t="s">
        <v>111</v>
      </c>
    </row>
    <row r="57" spans="2:16" ht="12" customHeight="1">
      <c r="B57" s="80" t="s">
        <v>56</v>
      </c>
      <c r="C57" s="120" t="s">
        <v>105</v>
      </c>
      <c r="F57" s="22" t="s">
        <v>112</v>
      </c>
    </row>
    <row r="58" spans="2:16" ht="12" customHeight="1">
      <c r="B58" s="80" t="s">
        <v>56</v>
      </c>
      <c r="C58" s="120" t="s">
        <v>106</v>
      </c>
      <c r="F58" s="22" t="s">
        <v>113</v>
      </c>
    </row>
    <row r="59" spans="2:16" ht="12" customHeight="1">
      <c r="B59" s="80" t="s">
        <v>56</v>
      </c>
      <c r="C59" s="120" t="s">
        <v>107</v>
      </c>
      <c r="F59" s="22" t="s">
        <v>108</v>
      </c>
    </row>
    <row r="60" spans="2:16" ht="12" customHeight="1">
      <c r="B60" s="80"/>
      <c r="C60" s="122" t="s">
        <v>109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Mohammed Thouseef</v>
      </c>
    </row>
    <row r="68" spans="1:13" ht="18" customHeight="1">
      <c r="B68" s="22" t="s">
        <v>62</v>
      </c>
      <c r="J68" s="22" t="s">
        <v>63</v>
      </c>
      <c r="K68" s="18"/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197" t="str">
        <f>C9</f>
        <v>AAC (Ali Mohammed Hassan Al-Alwan Cont. Est.)</v>
      </c>
      <c r="K70" s="197"/>
      <c r="L70" s="197"/>
      <c r="M70" s="197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SAC2-DS-PO-0459</v>
      </c>
      <c r="C2" s="206" t="s">
        <v>68</v>
      </c>
      <c r="D2" s="206"/>
      <c r="E2" s="206"/>
      <c r="F2" s="206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46278</v>
      </c>
      <c r="C3" s="47"/>
      <c r="D3" s="48"/>
      <c r="E3" s="207" t="s">
        <v>70</v>
      </c>
      <c r="F3" s="207"/>
      <c r="G3" s="207"/>
      <c r="H3" s="207"/>
      <c r="I3" s="49"/>
    </row>
    <row r="4" spans="1:13" s="51" customFormat="1" ht="28.5" customHeight="1" thickTop="1">
      <c r="A4" s="208" t="s">
        <v>71</v>
      </c>
      <c r="B4" s="210" t="s">
        <v>72</v>
      </c>
      <c r="C4" s="211"/>
      <c r="D4" s="214" t="s">
        <v>73</v>
      </c>
      <c r="E4" s="214" t="s">
        <v>74</v>
      </c>
      <c r="F4" s="216" t="str">
        <f>'PO 1st page'!C9</f>
        <v>AAC (Ali Mohammed Hassan Al-Alwan Cont. Est.)</v>
      </c>
      <c r="G4" s="217"/>
      <c r="H4" s="218" t="s">
        <v>75</v>
      </c>
      <c r="K4" s="52"/>
      <c r="L4" s="52"/>
      <c r="M4" s="52"/>
    </row>
    <row r="5" spans="1:13" s="51" customFormat="1" ht="21.95" customHeight="1">
      <c r="A5" s="209"/>
      <c r="B5" s="212"/>
      <c r="C5" s="213"/>
      <c r="D5" s="215"/>
      <c r="E5" s="215"/>
      <c r="F5" s="53" t="s">
        <v>76</v>
      </c>
      <c r="G5" s="53" t="s">
        <v>42</v>
      </c>
      <c r="H5" s="219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04" t="str">
        <f>CONCATENATE(MRS!B6," ",MRS!D6)</f>
        <v>Steel Structural QC Inspector Aramco &amp; CBT</v>
      </c>
      <c r="C6" s="205"/>
      <c r="D6" s="82" t="str">
        <f>+'MRS LIST'!G6</f>
        <v>Hour</v>
      </c>
      <c r="E6" s="83">
        <f>+'MRS LIST'!H6</f>
        <v>1</v>
      </c>
      <c r="F6" s="84">
        <f>+'MRS LIST'!I6</f>
        <v>92</v>
      </c>
      <c r="G6" s="85">
        <f>+'MRS LIST'!J6</f>
        <v>92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04"/>
      <c r="C7" s="205"/>
      <c r="D7" s="82"/>
      <c r="E7" s="83"/>
      <c r="F7" s="84"/>
      <c r="G7" s="85"/>
      <c r="H7" s="86" t="s">
        <v>116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204"/>
      <c r="C8" s="205"/>
      <c r="D8" s="82"/>
      <c r="E8" s="83"/>
      <c r="F8" s="84"/>
      <c r="G8" s="85"/>
      <c r="H8" s="86" t="s">
        <v>116</v>
      </c>
      <c r="K8" s="52"/>
      <c r="L8" s="52"/>
      <c r="M8" s="52"/>
    </row>
    <row r="9" spans="1:13" s="51" customFormat="1" ht="32.1" customHeight="1">
      <c r="A9" s="89">
        <f t="shared" si="0"/>
        <v>4</v>
      </c>
      <c r="B9" s="204"/>
      <c r="C9" s="205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204"/>
      <c r="C10" s="205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204"/>
      <c r="C11" s="205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02"/>
      <c r="C12" s="203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2"/>
      <c r="C13" s="203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2"/>
      <c r="C14" s="203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2"/>
      <c r="C15" s="203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2"/>
      <c r="C16" s="203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2"/>
      <c r="C17" s="203"/>
      <c r="D17" s="90"/>
      <c r="E17" s="91"/>
      <c r="F17" s="92"/>
      <c r="G17" s="93"/>
      <c r="H17" s="94"/>
    </row>
    <row r="18" spans="1:13" s="51" customFormat="1" ht="23.1" customHeight="1">
      <c r="A18" s="198" t="s">
        <v>77</v>
      </c>
      <c r="B18" s="199"/>
      <c r="C18" s="199"/>
      <c r="D18" s="199"/>
      <c r="E18" s="199"/>
      <c r="F18" s="199"/>
      <c r="G18" s="54">
        <f>SUM(G6:G17)</f>
        <v>92</v>
      </c>
      <c r="H18" s="55"/>
    </row>
    <row r="19" spans="1:13" s="51" customFormat="1" ht="23.1" customHeight="1">
      <c r="A19" s="198" t="s">
        <v>41</v>
      </c>
      <c r="B19" s="199"/>
      <c r="C19" s="199"/>
      <c r="D19" s="199"/>
      <c r="E19" s="199"/>
      <c r="F19" s="199"/>
      <c r="G19" s="54">
        <f>+G18*0.15</f>
        <v>13.799999999999999</v>
      </c>
      <c r="H19" s="55"/>
    </row>
    <row r="20" spans="1:13" s="51" customFormat="1" ht="24.95" customHeight="1" thickBot="1">
      <c r="A20" s="200" t="s">
        <v>78</v>
      </c>
      <c r="B20" s="201"/>
      <c r="C20" s="201"/>
      <c r="D20" s="201"/>
      <c r="E20" s="201"/>
      <c r="F20" s="201"/>
      <c r="G20" s="56">
        <f>G19+G18</f>
        <v>105.8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AAC-3272/26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80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2026-09-13T12:25:24Z</cp:lastPrinted>
  <dcterms:created xsi:type="dcterms:W3CDTF">2024-10-20T11:50:19Z</dcterms:created>
  <dcterms:modified xsi:type="dcterms:W3CDTF">2026-09-13T12:25:26Z</dcterms:modified>
</cp:coreProperties>
</file>