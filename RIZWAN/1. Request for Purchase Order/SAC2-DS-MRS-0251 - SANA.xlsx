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E12FAAA-3B59-42E1-9BE8-BEF96040FB6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P54" i="3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<sst xmlns="http://schemas.openxmlformats.org/spreadsheetml/2006/main" count="178" uniqueCount="139">
  <si>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</si>
  <si>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</si>
  <si>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</si>
  <si>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</si>
  <si>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</si>
  <si>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</si>
  <si>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</si>
  <si>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</si>
  <si>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</si>
  <si>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</si>
  <si>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</si>
  <si>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</si>
  <si>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</si>
  <si>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</si>
  <si>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</si>
  <si>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</si>
  <si>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</si>
  <si>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</si>
  <si>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</si>
  <si>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</si>
  <si>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</si>
  <si>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</si>
  <si>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</si>
  <si>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</si>
  <si>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</si>
  <si>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</si>
  <si>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</si>
  <si>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</si>
  <si>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</si>
  <si>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</si>
  <si>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</si>
  <si>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</si>
  <si>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</si>
  <si>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</si>
  <si>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</si>
  <si>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</si>
  <si>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</si>
  <si>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</si>
  <si>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</si>
  <si>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</si>
  <si>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</si>
  <si>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</si>
  <si>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</si>
  <si>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</si>
  <si>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</si>
  <si>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</si>
  <si>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</si>
  <si>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</si>
  <si>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</si>
  <si>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</si>
  <si>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</si>
  <si>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</si>
  <si>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</si>
  <si>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</si>
  <si>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</si>
  <si>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</si>
  <si>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</si>
  <si>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</si>
  <si>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</si>
  <si>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</si>
  <si>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</si>
  <si>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</si>
  <si>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</si>
  <si>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</si>
  <si>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</si>
  <si>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</si>
  <si>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</si>
  <si>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</si>
  <si>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</si>
  <si>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</si>
  <si>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</si>
  <si>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</si>
  <si>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</si>
  <si>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</si>
  <si>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</si>
  <si>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</si>
  <si>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</si>
  <si>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</si>
  <si>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</si>
  <si>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</si>
  <si>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</si>
  <si>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</si>
  <si>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</si>
  <si>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</si>
  <si>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</si>
  <si>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</si>
  <si>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</si>
  <si>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</si>
  <si>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</si>
  <si>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</si>
  <si>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</si>
  <si>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</si>
  <si>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</si>
  <si>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</si>
  <si>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</si>
  <si>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</si>
  <si>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</si>
  <si>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</si>
  <si>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</si>
  <si>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</si>
  <si>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</si>
  <si>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Monthly</t>
  </si>
  <si>
    <t>"</t>
  </si>
  <si>
    <t>Monthly Based</t>
  </si>
  <si>
    <t>Mob. &amp; De-Mob. / per unit - lump sum</t>
    <phoneticPr fontId="3" type="noConversion"/>
  </si>
  <si>
    <t>Branch of Hyundai Engineering and Const. Co., Ltd. (HDEC)</t>
  </si>
  <si>
    <t>BRANCH OF HYUNDAI ENG. &amp; CONST. CO., LTD.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</si>
  <si>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</si>
  <si>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</si>
  <si>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</si>
  <si>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</si>
  <si>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</si>
  <si>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</si>
  <si>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</si>
  <si>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</si>
  <si>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</si>
  <si>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</si>
  <si>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-MRS-0251</t>
    </r>
  </si>
  <si>
    <t>Forklift</t>
  </si>
  <si>
    <t>Forklift Mob &amp; De-Mob. Charge</t>
  </si>
  <si>
    <t>10 Ton with Aramco Operator</t>
  </si>
  <si>
    <t>SAGC</t>
  </si>
  <si>
    <t>SAGC(Sana Al-Tamiz General Contracting Est.)</t>
  </si>
  <si>
    <t xml:space="preserve"> CR No. :</t>
    <phoneticPr fontId="6" type="noConversion"/>
  </si>
  <si>
    <t>2055136684</t>
  </si>
  <si>
    <t xml:space="preserve"> VAT No. : </t>
    <phoneticPr fontId="6" type="noConversion"/>
  </si>
  <si>
    <t>311630284900003</t>
  </si>
  <si>
    <t xml:space="preserve"> In Charge :</t>
    <phoneticPr fontId="6" type="noConversion"/>
  </si>
  <si>
    <t>Moidin Nisar</t>
  </si>
  <si>
    <t>Bldg No. 4564 Al Riyadh Street, Al Jubail, KSA</t>
  </si>
  <si>
    <t>+966 55 182 6764 / email: info@sanatechksa.com</t>
  </si>
  <si>
    <t>Mobile : +966 55 182 6764</t>
  </si>
  <si>
    <t>ST/HEC/26/113</t>
  </si>
  <si>
    <t>SANA AL-TAMIZ GENERAL CONTRACTING EST.</t>
  </si>
  <si>
    <t>01400019078307</t>
  </si>
  <si>
    <t>SA29 1000 0001 4000 1907 8307</t>
  </si>
  <si>
    <t>SAUDI NATIONAL BANK</t>
  </si>
  <si>
    <t>SNBKSAJE</t>
  </si>
  <si>
    <t>Sales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</si>
</sst>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95</v>
      </c>
      <c r="B1" s="122"/>
      <c r="C1" s="109"/>
      <c r="D1" s="109"/>
      <c r="E1" s="109"/>
      <c r="F1" s="109"/>
      <c r="G1" s="1"/>
      <c r="J1" s="156" t="s">
        <v>87</v>
      </c>
      <c r="K1" s="157"/>
      <c r="L1" s="158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59" t="s">
        <v>97</v>
      </c>
      <c r="K2" s="160"/>
      <c r="L2" s="161"/>
    </row>
    <row r="3" spans="1:19" ht="20.100000000000001" customHeight="1">
      <c r="A3" s="3" t="s">
        <v>117</v>
      </c>
      <c r="B3" s="100"/>
      <c r="C3" s="100"/>
      <c r="D3" s="100"/>
      <c r="E3" s="162">
        <f>+L3</f>
        <v>46086</v>
      </c>
      <c r="F3" s="162"/>
      <c r="G3" s="162"/>
      <c r="H3" s="162"/>
      <c r="I3" s="162"/>
      <c r="J3" s="100"/>
      <c r="K3" s="100"/>
      <c r="L3" s="121">
        <v>46086</v>
      </c>
      <c r="M3" s="4"/>
    </row>
    <row r="4" spans="1:19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63" t="s">
        <v>6</v>
      </c>
      <c r="I4" s="163" t="s">
        <v>93</v>
      </c>
      <c r="J4" s="165" t="s">
        <v>94</v>
      </c>
      <c r="K4" s="163" t="s">
        <v>0</v>
      </c>
      <c r="L4" s="166" t="s">
        <v>7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64"/>
      <c r="I5" s="164"/>
      <c r="J5" s="165"/>
      <c r="K5" s="164"/>
      <c r="L5" s="166"/>
    </row>
    <row r="6" spans="1:19" ht="23.25" customHeight="1">
      <c r="A6" s="5">
        <f t="shared" ref="A6:A14" si="0">ROW(A1)</f>
        <v>1</v>
      </c>
      <c r="B6" s="141" t="s">
        <v>118</v>
      </c>
      <c r="C6" s="142"/>
      <c r="D6" s="152" t="s">
        <v>120</v>
      </c>
      <c r="E6" s="153"/>
      <c r="F6" s="154"/>
      <c r="G6" s="110" t="s">
        <v>99</v>
      </c>
      <c r="H6" s="111">
        <v>1</v>
      </c>
      <c r="I6" s="112">
        <v>21000</v>
      </c>
      <c r="J6" s="112">
        <f>H6*I6</f>
        <v>21000</v>
      </c>
      <c r="K6" s="113" t="s">
        <v>121</v>
      </c>
      <c r="L6" s="131" t="s">
        <v>101</v>
      </c>
      <c r="S6" s="105"/>
    </row>
    <row r="7" spans="1:19" ht="23.25" customHeight="1">
      <c r="A7" s="5">
        <v>2</v>
      </c>
      <c r="B7" s="141" t="s">
        <v>119</v>
      </c>
      <c r="C7" s="142"/>
      <c r="D7" s="155" t="s">
        <v>104</v>
      </c>
      <c r="E7" s="144"/>
      <c r="F7" s="145"/>
      <c r="G7" s="110" t="s">
        <v>107</v>
      </c>
      <c r="H7" s="111">
        <v>2</v>
      </c>
      <c r="I7" s="112">
        <v>2000</v>
      </c>
      <c r="J7" s="112">
        <f>H7*I7</f>
        <v>4000</v>
      </c>
      <c r="K7" s="113" t="s">
        <v>102</v>
      </c>
      <c r="L7" s="131" t="s">
        <v>100</v>
      </c>
      <c r="S7" s="105"/>
    </row>
    <row r="8" spans="1:19" ht="23.25" customHeight="1">
      <c r="A8" s="5">
        <f t="shared" si="0"/>
        <v>3</v>
      </c>
      <c r="B8" s="141"/>
      <c r="C8" s="142"/>
      <c r="D8" s="152"/>
      <c r="E8" s="153"/>
      <c r="F8" s="154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v>4</v>
      </c>
      <c r="B9" s="141"/>
      <c r="C9" s="142"/>
      <c r="D9" s="143"/>
      <c r="E9" s="144"/>
      <c r="F9" s="145"/>
      <c r="G9" s="110"/>
      <c r="H9" s="111"/>
      <c r="I9" s="115"/>
      <c r="J9" s="112"/>
      <c r="K9" s="113"/>
      <c r="L9" s="110"/>
      <c r="S9" s="105"/>
    </row>
    <row r="10" spans="1:19" ht="22.5" customHeight="1">
      <c r="A10" s="5">
        <f t="shared" si="0"/>
        <v>5</v>
      </c>
      <c r="B10" s="141"/>
      <c r="C10" s="142"/>
      <c r="D10" s="143"/>
      <c r="E10" s="144"/>
      <c r="F10" s="145"/>
      <c r="G10" s="110"/>
      <c r="H10" s="111"/>
      <c r="I10" s="112"/>
      <c r="J10" s="112"/>
      <c r="K10" s="113"/>
      <c r="L10" s="131"/>
      <c r="S10" s="105"/>
    </row>
    <row r="11" spans="1:19" ht="22.5" customHeight="1">
      <c r="A11" s="5">
        <v>6</v>
      </c>
      <c r="B11" s="150"/>
      <c r="C11" s="150"/>
      <c r="D11" s="151"/>
      <c r="E11" s="151"/>
      <c r="F11" s="151"/>
      <c r="G11" s="110"/>
      <c r="H11" s="111"/>
      <c r="I11" s="115"/>
      <c r="J11" s="112"/>
      <c r="K11" s="113"/>
      <c r="L11" s="110"/>
      <c r="S11" s="105"/>
    </row>
    <row r="12" spans="1:19" ht="22.5" customHeight="1">
      <c r="A12" s="5">
        <f t="shared" si="0"/>
        <v>7</v>
      </c>
      <c r="B12" s="141"/>
      <c r="C12" s="142"/>
      <c r="D12" s="143"/>
      <c r="E12" s="144"/>
      <c r="F12" s="145"/>
      <c r="G12" s="110"/>
      <c r="H12" s="111"/>
      <c r="I12" s="112"/>
      <c r="J12" s="112"/>
      <c r="K12" s="113"/>
      <c r="L12" s="114"/>
      <c r="S12" s="105"/>
    </row>
    <row r="13" spans="1:19" ht="22.5" customHeight="1">
      <c r="A13" s="5">
        <v>8</v>
      </c>
      <c r="B13" s="141"/>
      <c r="C13" s="142"/>
      <c r="D13" s="143"/>
      <c r="E13" s="144"/>
      <c r="F13" s="14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v>10</v>
      </c>
      <c r="B15" s="141"/>
      <c r="C15" s="142"/>
      <c r="D15" s="143"/>
      <c r="E15" s="144"/>
      <c r="F15" s="14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46" t="s">
        <v>8</v>
      </c>
      <c r="B16" s="14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25000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9"/>
      <c r="T19" s="14"/>
      <c r="U19" s="15"/>
      <c r="V19" s="14"/>
    </row>
    <row r="20" spans="1:22" ht="17.100000000000001" customHeight="1">
      <c r="O20" s="11"/>
      <c r="P20" s="11"/>
      <c r="Q20" s="11"/>
      <c r="S20" s="13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7" t="s">
        <v>17</v>
      </c>
      <c r="Q21" s="137" t="s">
        <v>18</v>
      </c>
    </row>
    <row r="22" spans="1:22" ht="18" customHeight="1">
      <c r="O22" s="18" t="s">
        <v>19</v>
      </c>
      <c r="P22" s="139"/>
      <c r="Q22" s="139"/>
      <c r="S22" s="14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40"/>
      <c r="P27" s="140"/>
      <c r="Q27" s="140"/>
    </row>
    <row r="28" spans="1:22" ht="19.899999999999999" customHeight="1">
      <c r="O28" s="140"/>
      <c r="P28" s="140"/>
      <c r="Q28" s="14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7" t="s">
        <v>21</v>
      </c>
    </row>
    <row r="41" spans="15:22" ht="19.899999999999999" customHeight="1">
      <c r="T41" s="139"/>
    </row>
    <row r="42" spans="15:22" ht="64.900000000000006" customHeight="1">
      <c r="T42" s="14"/>
    </row>
    <row r="46" spans="15:22" ht="21" customHeight="1">
      <c r="O46" s="137" t="s">
        <v>21</v>
      </c>
      <c r="P46" s="137" t="s">
        <v>21</v>
      </c>
      <c r="Q46" s="137" t="s">
        <v>21</v>
      </c>
      <c r="T46" s="137" t="s">
        <v>22</v>
      </c>
      <c r="U46" s="137" t="s">
        <v>13</v>
      </c>
      <c r="V46" s="137" t="s">
        <v>21</v>
      </c>
    </row>
    <row r="47" spans="15:22" ht="21" customHeight="1">
      <c r="O47" s="139"/>
      <c r="P47" s="139"/>
      <c r="Q47" s="139"/>
      <c r="T47" s="138"/>
      <c r="U47" s="138"/>
      <c r="V47" s="13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7" t="s">
        <v>21</v>
      </c>
      <c r="P50" s="137" t="s">
        <v>21</v>
      </c>
      <c r="Q50" s="137" t="s">
        <v>21</v>
      </c>
      <c r="T50" s="137" t="s">
        <v>13</v>
      </c>
      <c r="U50" s="137" t="s">
        <v>22</v>
      </c>
      <c r="V50" s="137" t="s">
        <v>21</v>
      </c>
    </row>
    <row r="51" spans="15:22" ht="21" customHeight="1">
      <c r="O51" s="139"/>
      <c r="P51" s="139"/>
      <c r="Q51" s="139"/>
      <c r="T51" s="138"/>
      <c r="U51" s="138"/>
      <c r="V51" s="13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92</v>
      </c>
      <c r="B1" s="99"/>
      <c r="C1" s="99"/>
      <c r="D1" s="99"/>
      <c r="E1" s="99"/>
      <c r="F1" s="99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SAC2-DS-MRS-0251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46086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88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80" t="str">
        <f>MRS!B6</f>
        <v>Forklift</v>
      </c>
      <c r="C6" s="181"/>
      <c r="D6" s="182" t="str">
        <f>MRS!D6</f>
        <v>10 Ton with Aramco Operator</v>
      </c>
      <c r="E6" s="183"/>
      <c r="F6" s="184"/>
      <c r="G6" s="102" t="str">
        <f>MRS!G6</f>
        <v>EA</v>
      </c>
      <c r="H6" s="102">
        <f>MRS!H6</f>
        <v>1</v>
      </c>
      <c r="I6" s="103">
        <f>MRS!I6</f>
        <v>21000</v>
      </c>
      <c r="J6" s="103">
        <f>MRS!J6</f>
        <v>21000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80" t="str">
        <f>MRS!B7</f>
        <v>Forklift Mob &amp; De-Mob. Charge</v>
      </c>
      <c r="C7" s="181"/>
      <c r="D7" s="182" t="str">
        <f>MRS!D7</f>
        <v>Mob. &amp; De-Mob. / per unit - lump sum</v>
      </c>
      <c r="E7" s="183"/>
      <c r="F7" s="184"/>
      <c r="G7" s="102" t="str">
        <f>MRS!G7</f>
        <v>Trip</v>
      </c>
      <c r="H7" s="102">
        <f>MRS!H7</f>
        <v>2</v>
      </c>
      <c r="I7" s="103">
        <f>MRS!I7</f>
        <v>2000</v>
      </c>
      <c r="J7" s="103">
        <f>MRS!J7</f>
        <v>4000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80">
        <f>MRS!B8</f>
        <v>0</v>
      </c>
      <c r="C8" s="181"/>
      <c r="D8" s="182">
        <f>MRS!D8</f>
        <v>0</v>
      </c>
      <c r="E8" s="183"/>
      <c r="F8" s="184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80">
        <f>MRS!B9</f>
        <v>0</v>
      </c>
      <c r="C9" s="181"/>
      <c r="D9" s="182">
        <f>MRS!D9</f>
        <v>0</v>
      </c>
      <c r="E9" s="183"/>
      <c r="F9" s="184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4</v>
      </c>
      <c r="B10" s="180">
        <f>MRS!B10</f>
        <v>0</v>
      </c>
      <c r="C10" s="181"/>
      <c r="D10" s="182">
        <f>MRS!D10</f>
        <v>0</v>
      </c>
      <c r="E10" s="183"/>
      <c r="F10" s="184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75"/>
      <c r="C11" s="176"/>
      <c r="D11" s="177"/>
      <c r="E11" s="178"/>
      <c r="F11" s="179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6</v>
      </c>
      <c r="B12" s="175"/>
      <c r="C12" s="176"/>
      <c r="D12" s="177"/>
      <c r="E12" s="178"/>
      <c r="F12" s="17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75"/>
      <c r="C13" s="176"/>
      <c r="D13" s="177"/>
      <c r="E13" s="178"/>
      <c r="F13" s="17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8</v>
      </c>
      <c r="B14" s="175"/>
      <c r="C14" s="176"/>
      <c r="D14" s="177"/>
      <c r="E14" s="178"/>
      <c r="F14" s="17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5"/>
      <c r="C15" s="176"/>
      <c r="D15" s="177"/>
      <c r="E15" s="178"/>
      <c r="F15" s="17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25" sqref="F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106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122</v>
      </c>
      <c r="D9" s="38"/>
      <c r="E9" s="38"/>
    </row>
    <row r="10" spans="2:13" s="38" customFormat="1">
      <c r="B10" s="71"/>
      <c r="C10" s="38" t="s">
        <v>123</v>
      </c>
      <c r="D10" s="75" t="s">
        <v>124</v>
      </c>
      <c r="J10" s="38" t="s">
        <v>32</v>
      </c>
      <c r="K10" s="192">
        <f>MRS!L3</f>
        <v>46086</v>
      </c>
      <c r="L10" s="193"/>
      <c r="M10" s="193"/>
    </row>
    <row r="11" spans="2:13" s="38" customFormat="1">
      <c r="B11" s="71"/>
      <c r="C11" s="74" t="s">
        <v>125</v>
      </c>
      <c r="D11" s="75" t="s">
        <v>126</v>
      </c>
      <c r="J11" s="38" t="s">
        <v>33</v>
      </c>
      <c r="K11" s="194" t="str">
        <f>SUBSTITUTE(SUBSTITUTE(+MRS!A3,"  MRS No : ",""),"-MRS","-PO")</f>
        <v>SAC2-DS-PO-0251</v>
      </c>
      <c r="L11" s="194"/>
      <c r="M11" s="194"/>
    </row>
    <row r="12" spans="2:13" s="38" customFormat="1">
      <c r="B12" s="71"/>
      <c r="C12" s="74" t="s">
        <v>127</v>
      </c>
      <c r="D12" s="38" t="s">
        <v>128</v>
      </c>
      <c r="J12" s="38" t="s">
        <v>34</v>
      </c>
    </row>
    <row r="13" spans="2:13" s="38" customFormat="1">
      <c r="B13" s="71"/>
      <c r="C13" s="76"/>
      <c r="D13" s="75" t="s">
        <v>130</v>
      </c>
      <c r="J13" s="38" t="s">
        <v>35</v>
      </c>
    </row>
    <row r="14" spans="2:13" s="38" customFormat="1">
      <c r="B14" s="71"/>
      <c r="C14" s="76" t="s">
        <v>129</v>
      </c>
      <c r="J14" s="38" t="s">
        <v>36</v>
      </c>
      <c r="K14" s="38" t="s">
        <v>132</v>
      </c>
    </row>
    <row r="15" spans="2:13" s="38" customFormat="1">
      <c r="B15" s="71"/>
      <c r="C15" s="76" t="s">
        <v>131</v>
      </c>
      <c r="J15" s="38" t="s">
        <v>37</v>
      </c>
      <c r="K15" s="136">
        <v>46084</v>
      </c>
    </row>
    <row r="16" spans="2:13" ht="12" customHeight="1">
      <c r="C16" s="76"/>
      <c r="K16" s="29"/>
    </row>
    <row r="17" spans="2:13" ht="6" customHeight="1">
      <c r="C17" s="76"/>
      <c r="K17" s="29"/>
    </row>
    <row r="18" spans="2:13" ht="20.25">
      <c r="B18" s="195" t="s">
        <v>38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30" customFormat="1" ht="12" customHeight="1">
      <c r="B20" s="196" t="s">
        <v>39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30" customFormat="1" ht="12" customHeight="1">
      <c r="B21" s="196" t="s">
        <v>40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30" customFormat="1" ht="12" customHeight="1">
      <c r="B22" s="196" t="s">
        <v>41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31" customFormat="1" ht="15" customHeight="1">
      <c r="B25" s="31">
        <v>1</v>
      </c>
      <c r="C25" s="31" t="s">
        <v>42</v>
      </c>
    </row>
    <row r="26" spans="2:13" s="38" customFormat="1" ht="12" customHeight="1">
      <c r="B26" s="72"/>
      <c r="C26" s="133" t="str">
        <f>MRS!B6&amp;" "&amp;MRS!D6</f>
        <v>Forklift 10 Ton with Aramco Operator</v>
      </c>
      <c r="D26" s="132"/>
      <c r="E26" s="132"/>
      <c r="F26" s="132"/>
      <c r="G26" s="132"/>
      <c r="M26" s="77" t="s">
        <v>43</v>
      </c>
    </row>
    <row r="27" spans="2:13" ht="10.5" customHeight="1">
      <c r="B27" s="31"/>
    </row>
    <row r="28" spans="2:13" ht="15" customHeight="1">
      <c r="B28" s="31">
        <v>2</v>
      </c>
      <c r="C28" s="31" t="s">
        <v>44</v>
      </c>
    </row>
    <row r="29" spans="2:13" ht="12" customHeight="1">
      <c r="B29" s="31"/>
      <c r="C29" s="26" t="s">
        <v>45</v>
      </c>
      <c r="E29" s="26" t="s">
        <v>46</v>
      </c>
      <c r="F29" s="199" t="s">
        <v>103</v>
      </c>
      <c r="G29" s="199"/>
      <c r="H29" s="32"/>
      <c r="M29" s="33"/>
    </row>
    <row r="30" spans="2:13" ht="12" customHeight="1">
      <c r="B30" s="31"/>
      <c r="C30" s="26" t="s">
        <v>47</v>
      </c>
      <c r="E30" s="26" t="s">
        <v>46</v>
      </c>
      <c r="F30" s="199"/>
      <c r="G30" s="199"/>
    </row>
    <row r="31" spans="2:13" ht="12" customHeight="1">
      <c r="B31" s="31"/>
      <c r="C31" s="26" t="s">
        <v>48</v>
      </c>
      <c r="D31" s="34"/>
      <c r="E31" s="26" t="s">
        <v>46</v>
      </c>
      <c r="F31" s="199"/>
      <c r="G31" s="199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49</v>
      </c>
    </row>
    <row r="34" spans="2:13" ht="12" customHeight="1">
      <c r="B34" s="31"/>
      <c r="C34" s="22" t="s">
        <v>50</v>
      </c>
    </row>
    <row r="35" spans="2:13" ht="12" customHeight="1">
      <c r="B35" s="31"/>
      <c r="C35" s="22" t="s">
        <v>51</v>
      </c>
    </row>
    <row r="36" spans="2:13" ht="12" customHeight="1">
      <c r="B36" s="31"/>
      <c r="C36" s="22" t="s">
        <v>52</v>
      </c>
    </row>
    <row r="37" spans="2:13" ht="11.1" customHeight="1">
      <c r="B37" s="31"/>
    </row>
    <row r="38" spans="2:13" ht="15" customHeight="1">
      <c r="B38" s="31">
        <v>4</v>
      </c>
      <c r="C38" s="31" t="s">
        <v>53</v>
      </c>
    </row>
    <row r="39" spans="2:13" ht="12" customHeight="1">
      <c r="B39" s="31"/>
      <c r="C39" s="26" t="s">
        <v>54</v>
      </c>
    </row>
    <row r="40" spans="2:13" ht="11.1" customHeight="1">
      <c r="B40" s="31"/>
    </row>
    <row r="41" spans="2:13" ht="15" customHeight="1">
      <c r="B41" s="31">
        <v>5</v>
      </c>
      <c r="C41" s="31" t="s">
        <v>55</v>
      </c>
    </row>
    <row r="42" spans="2:13" ht="12" customHeight="1">
      <c r="B42" s="31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61</v>
      </c>
    </row>
    <row r="49" spans="2:16" s="38" customFormat="1" ht="12" customHeight="1">
      <c r="B49" s="78" t="s">
        <v>62</v>
      </c>
      <c r="C49" s="79" t="s">
        <v>90</v>
      </c>
      <c r="P49" s="80"/>
    </row>
    <row r="50" spans="2:16" s="81" customFormat="1" ht="12" customHeight="1">
      <c r="B50" s="82" t="s">
        <v>62</v>
      </c>
      <c r="C50" s="79" t="s">
        <v>91</v>
      </c>
    </row>
    <row r="51" spans="2:16" s="81" customFormat="1" ht="12" customHeight="1">
      <c r="B51" s="82" t="s">
        <v>62</v>
      </c>
      <c r="C51" s="79" t="s">
        <v>89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108</v>
      </c>
    </row>
    <row r="54" spans="2:16" ht="12" customHeight="1">
      <c r="B54" s="82" t="s">
        <v>62</v>
      </c>
      <c r="C54" s="134" t="s">
        <v>109</v>
      </c>
      <c r="F54" s="134" t="s">
        <v>133</v>
      </c>
      <c r="P54" s="26" t="str">
        <f>UPPER(F54)</f>
        <v>SANA AL-TAMIZ GENERAL CONTRACTING EST.</v>
      </c>
    </row>
    <row r="55" spans="2:16" ht="12" customHeight="1">
      <c r="B55" s="82" t="s">
        <v>62</v>
      </c>
      <c r="C55" s="134" t="s">
        <v>110</v>
      </c>
      <c r="F55" s="135" t="s">
        <v>134</v>
      </c>
    </row>
    <row r="56" spans="2:16" ht="12" customHeight="1">
      <c r="B56" s="82" t="s">
        <v>62</v>
      </c>
      <c r="C56" s="134" t="s">
        <v>111</v>
      </c>
      <c r="F56" s="135" t="s">
        <v>135</v>
      </c>
    </row>
    <row r="57" spans="2:16" ht="12" customHeight="1">
      <c r="B57" s="82" t="s">
        <v>62</v>
      </c>
      <c r="C57" s="134" t="s">
        <v>112</v>
      </c>
      <c r="F57" s="134" t="s">
        <v>136</v>
      </c>
    </row>
    <row r="58" spans="2:16" ht="12" customHeight="1">
      <c r="B58" s="82" t="s">
        <v>62</v>
      </c>
      <c r="C58" s="134" t="s">
        <v>113</v>
      </c>
      <c r="F58" s="134" t="s">
        <v>137</v>
      </c>
    </row>
    <row r="59" spans="2:16" ht="12" customHeight="1">
      <c r="B59" s="82" t="s">
        <v>62</v>
      </c>
      <c r="C59" s="134" t="s">
        <v>114</v>
      </c>
      <c r="F59" s="134" t="s">
        <v>115</v>
      </c>
    </row>
    <row r="60" spans="2:16" ht="12" customHeight="1">
      <c r="B60" s="82"/>
      <c r="C60" s="34" t="s">
        <v>116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63</v>
      </c>
      <c r="J64" s="31" t="s">
        <v>64</v>
      </c>
    </row>
    <row r="65" spans="1:13" ht="48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UPPER(D12)</f>
        <v>MOIDIN NISAR</v>
      </c>
    </row>
    <row r="68" spans="1:13" ht="18" customHeight="1">
      <c r="B68" s="26" t="s">
        <v>68</v>
      </c>
      <c r="J68" s="26" t="s">
        <v>69</v>
      </c>
      <c r="K68" s="22" t="s">
        <v>138</v>
      </c>
    </row>
    <row r="69" spans="1:13" ht="15" customHeight="1">
      <c r="B69" s="26" t="s">
        <v>70</v>
      </c>
      <c r="J69" s="26" t="s">
        <v>71</v>
      </c>
    </row>
    <row r="70" spans="1:13" s="28" customFormat="1" ht="15" customHeight="1">
      <c r="B70" s="25" t="s">
        <v>105</v>
      </c>
      <c r="J70" s="31" t="str">
        <f>C9</f>
        <v>SAGC(Sana Al-Tamiz General Contracting Est.)</v>
      </c>
    </row>
    <row r="71" spans="1:13" ht="27.95" customHeight="1">
      <c r="A71" s="191" t="s">
        <v>72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SAC2-DS-PO-0251</v>
      </c>
      <c r="C2" s="206" t="s">
        <v>74</v>
      </c>
      <c r="D2" s="206"/>
      <c r="E2" s="206"/>
      <c r="F2" s="206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46086</v>
      </c>
      <c r="C3" s="50"/>
      <c r="D3" s="51"/>
      <c r="E3" s="207" t="s">
        <v>76</v>
      </c>
      <c r="F3" s="207"/>
      <c r="G3" s="207"/>
      <c r="H3" s="207"/>
      <c r="I3" s="52"/>
    </row>
    <row r="4" spans="1:13" s="54" customFormat="1" ht="28.5" customHeight="1" thickTop="1">
      <c r="A4" s="208" t="s">
        <v>77</v>
      </c>
      <c r="B4" s="210" t="s">
        <v>78</v>
      </c>
      <c r="C4" s="211"/>
      <c r="D4" s="214" t="s">
        <v>79</v>
      </c>
      <c r="E4" s="214" t="s">
        <v>80</v>
      </c>
      <c r="F4" s="216" t="str">
        <f>'PO 1st page'!C9</f>
        <v>SAGC(Sana Al-Tamiz General Contracting Est.)</v>
      </c>
      <c r="G4" s="217"/>
      <c r="H4" s="218" t="s">
        <v>81</v>
      </c>
      <c r="K4" s="55"/>
      <c r="L4" s="55"/>
      <c r="M4" s="55"/>
    </row>
    <row r="5" spans="1:13" s="54" customFormat="1" ht="21.95" customHeight="1">
      <c r="A5" s="209"/>
      <c r="B5" s="212"/>
      <c r="C5" s="213"/>
      <c r="D5" s="215"/>
      <c r="E5" s="215"/>
      <c r="F5" s="56" t="s">
        <v>82</v>
      </c>
      <c r="G5" s="56" t="s">
        <v>48</v>
      </c>
      <c r="H5" s="219"/>
      <c r="K5" s="55"/>
      <c r="L5" s="55"/>
      <c r="M5" s="55"/>
    </row>
    <row r="6" spans="1:13" s="54" customFormat="1" ht="31.5" customHeight="1">
      <c r="A6" s="83">
        <f t="shared" ref="A6:A17" si="0">ROW(A1)</f>
        <v>1</v>
      </c>
      <c r="B6" s="220" t="str">
        <f>MRS!B6&amp;","&amp;MRS!D6</f>
        <v>Forklift,10 Ton with Aramco Operator</v>
      </c>
      <c r="C6" s="221"/>
      <c r="D6" s="84" t="str">
        <f>+'MRS LIST'!G6</f>
        <v>EA</v>
      </c>
      <c r="E6" s="85">
        <f>+'MRS LIST'!H6</f>
        <v>1</v>
      </c>
      <c r="F6" s="86">
        <f>+'MRS LIST'!I6</f>
        <v>21000</v>
      </c>
      <c r="G6" s="87">
        <f>+'MRS LIST'!J6</f>
        <v>21000</v>
      </c>
      <c r="H6" s="88" t="str">
        <f>MRS!L6</f>
        <v>Monthly</v>
      </c>
      <c r="K6" s="89"/>
      <c r="L6" s="90"/>
      <c r="M6" s="55"/>
    </row>
    <row r="7" spans="1:13" s="54" customFormat="1" ht="31.5" customHeight="1">
      <c r="A7" s="83">
        <v>2</v>
      </c>
      <c r="B7" s="220" t="str">
        <f>MRS!B7&amp;"
"&amp;MRS!D7</f>
        <v>Forklift Mob &amp; De-Mob. Charge
Mob. &amp; De-Mob. / per unit - lump sum</v>
      </c>
      <c r="C7" s="221"/>
      <c r="D7" s="84" t="str">
        <f>+'MRS LIST'!G7</f>
        <v>Trip</v>
      </c>
      <c r="E7" s="85">
        <f>+'MRS LIST'!H7</f>
        <v>2</v>
      </c>
      <c r="F7" s="86">
        <f>+'MRS LIST'!I7</f>
        <v>2000</v>
      </c>
      <c r="G7" s="87">
        <f>+'MRS LIST'!J7</f>
        <v>4000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20"/>
      <c r="C8" s="221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20"/>
      <c r="C9" s="221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20"/>
      <c r="C10" s="221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04"/>
      <c r="C11" s="205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04"/>
      <c r="C12" s="205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04"/>
      <c r="C13" s="205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04"/>
      <c r="C14" s="205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04"/>
      <c r="C15" s="205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04"/>
      <c r="C16" s="205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04"/>
      <c r="C17" s="205"/>
      <c r="D17" s="92"/>
      <c r="E17" s="93"/>
      <c r="F17" s="94"/>
      <c r="G17" s="95"/>
      <c r="H17" s="96"/>
    </row>
    <row r="18" spans="1:13" s="54" customFormat="1" ht="23.1" customHeight="1">
      <c r="A18" s="200" t="s">
        <v>83</v>
      </c>
      <c r="B18" s="201"/>
      <c r="C18" s="201"/>
      <c r="D18" s="201"/>
      <c r="E18" s="201"/>
      <c r="F18" s="201"/>
      <c r="G18" s="57">
        <f>SUM(G6:G17)</f>
        <v>25000</v>
      </c>
      <c r="H18" s="58"/>
    </row>
    <row r="19" spans="1:13" s="54" customFormat="1" ht="23.1" customHeight="1">
      <c r="A19" s="200" t="s">
        <v>47</v>
      </c>
      <c r="B19" s="201"/>
      <c r="C19" s="201"/>
      <c r="D19" s="201"/>
      <c r="E19" s="201"/>
      <c r="F19" s="201"/>
      <c r="G19" s="57">
        <f>+G18*0.15</f>
        <v>3750</v>
      </c>
      <c r="H19" s="58"/>
    </row>
    <row r="20" spans="1:13" s="54" customFormat="1" ht="23.1" customHeight="1">
      <c r="A20" s="200" t="s">
        <v>96</v>
      </c>
      <c r="B20" s="201"/>
      <c r="C20" s="201"/>
      <c r="D20" s="201"/>
      <c r="E20" s="201"/>
      <c r="F20" s="201"/>
      <c r="G20" s="124">
        <v>0</v>
      </c>
      <c r="H20" s="125"/>
    </row>
    <row r="21" spans="1:13" s="54" customFormat="1" ht="24.95" customHeight="1" thickBot="1">
      <c r="A21" s="202" t="s">
        <v>84</v>
      </c>
      <c r="B21" s="203"/>
      <c r="C21" s="203"/>
      <c r="D21" s="203"/>
      <c r="E21" s="203"/>
      <c r="F21" s="203"/>
      <c r="G21" s="59">
        <f>SUM(G18:G20)</f>
        <v>28750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ST/HEC/26/113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85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91" t="s">
        <v>86</v>
      </c>
      <c r="B25" s="191"/>
      <c r="C25" s="191"/>
      <c r="D25" s="191"/>
      <c r="E25" s="191"/>
      <c r="F25" s="191"/>
      <c r="G25" s="191"/>
      <c r="H25" s="191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2026-03-05T09:08:24Z</cp:lastPrinted>
  <dcterms:created xsi:type="dcterms:W3CDTF">2024-10-20T11:50:19Z</dcterms:created>
  <dcterms:modified xsi:type="dcterms:W3CDTF">2026-03-05T09:08:26Z</dcterms:modified>
</cp:coreProperties>
</file>