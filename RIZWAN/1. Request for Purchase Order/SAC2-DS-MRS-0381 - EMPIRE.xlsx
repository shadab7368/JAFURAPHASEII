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EC4BCCD7-682A-44EB-99FF-C262CDACF16D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MRS!$A$1:$L$28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page'!$A$1:$H$22</definedName>
    <definedName name="_xlnm.Print_Titles" localSheetId="0">MRS!$4:$5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J110" i="2"/>
  <c r="I110" i="2"/>
  <c r="H110" i="2"/>
  <c r="G110" i="2"/>
  <c r="D110" i="2"/>
  <c r="B110" i="2"/>
  <c r="A110" i="2"/>
  <c r="J109" i="2"/>
  <c r="I109" i="2"/>
  <c r="H109" i="2"/>
  <c r="G109" i="2"/>
  <c r="D109" i="2"/>
  <c r="B109" i="2"/>
  <c r="A109" i="2"/>
  <c r="J108" i="2"/>
  <c r="I108" i="2"/>
  <c r="H108" i="2"/>
  <c r="G108" i="2"/>
  <c r="D108" i="2"/>
  <c r="B108" i="2"/>
  <c r="A108" i="2"/>
  <c r="J107" i="2"/>
  <c r="I107" i="2"/>
  <c r="H107" i="2"/>
  <c r="G107" i="2"/>
  <c r="D107" i="2"/>
  <c r="B107" i="2"/>
  <c r="A107" i="2"/>
  <c r="J106" i="2"/>
  <c r="I106" i="2"/>
  <c r="H106" i="2"/>
  <c r="G106" i="2"/>
  <c r="D106" i="2"/>
  <c r="B106" i="2"/>
  <c r="A106" i="2"/>
  <c r="J105" i="2"/>
  <c r="I105" i="2"/>
  <c r="H105" i="2"/>
  <c r="G105" i="2"/>
  <c r="D105" i="2"/>
  <c r="B105" i="2"/>
  <c r="A105" i="2"/>
  <c r="J104" i="2"/>
  <c r="I104" i="2"/>
  <c r="H104" i="2"/>
  <c r="G104" i="2"/>
  <c r="D104" i="2"/>
  <c r="B104" i="2"/>
  <c r="A104" i="2"/>
  <c r="J103" i="2"/>
  <c r="I103" i="2"/>
  <c r="H103" i="2"/>
  <c r="G103" i="2"/>
  <c r="D103" i="2"/>
  <c r="B103" i="2"/>
  <c r="A103" i="2"/>
  <c r="J102" i="2"/>
  <c r="I102" i="2"/>
  <c r="H102" i="2"/>
  <c r="G102" i="2"/>
  <c r="D102" i="2"/>
  <c r="B102" i="2"/>
  <c r="A102" i="2"/>
  <c r="J101" i="2"/>
  <c r="I101" i="2"/>
  <c r="H101" i="2"/>
  <c r="G101" i="2"/>
  <c r="D101" i="2"/>
  <c r="B101" i="2"/>
  <c r="A101" i="2"/>
  <c r="J100" i="2"/>
  <c r="I100" i="2"/>
  <c r="H100" i="2"/>
  <c r="G100" i="2"/>
  <c r="D100" i="2"/>
  <c r="B100" i="2"/>
  <c r="A100" i="2"/>
  <c r="J99" i="2"/>
  <c r="I99" i="2"/>
  <c r="H99" i="2"/>
  <c r="G99" i="2"/>
  <c r="D99" i="2"/>
  <c r="B99" i="2"/>
  <c r="A99" i="2"/>
  <c r="J98" i="2"/>
  <c r="I98" i="2"/>
  <c r="H98" i="2"/>
  <c r="G98" i="2"/>
  <c r="D98" i="2"/>
  <c r="B98" i="2"/>
  <c r="A98" i="2"/>
  <c r="J97" i="2"/>
  <c r="I97" i="2"/>
  <c r="H97" i="2"/>
  <c r="G97" i="2"/>
  <c r="D97" i="2"/>
  <c r="B97" i="2"/>
  <c r="A97" i="2"/>
  <c r="J96" i="2"/>
  <c r="I96" i="2"/>
  <c r="H96" i="2"/>
  <c r="G96" i="2"/>
  <c r="D96" i="2"/>
  <c r="B96" i="2"/>
  <c r="A96" i="2"/>
  <c r="J95" i="2"/>
  <c r="I95" i="2"/>
  <c r="H95" i="2"/>
  <c r="G95" i="2"/>
  <c r="D95" i="2"/>
  <c r="B95" i="2"/>
  <c r="A95" i="2"/>
  <c r="J94" i="2"/>
  <c r="I94" i="2"/>
  <c r="H94" i="2"/>
  <c r="G94" i="2"/>
  <c r="D94" i="2"/>
  <c r="B94" i="2"/>
  <c r="A94" i="2"/>
  <c r="J93" i="2"/>
  <c r="I93" i="2"/>
  <c r="H93" i="2"/>
  <c r="G93" i="2"/>
  <c r="D93" i="2"/>
  <c r="B93" i="2"/>
  <c r="A93" i="2"/>
  <c r="J92" i="2"/>
  <c r="I92" i="2"/>
  <c r="H92" i="2"/>
  <c r="G92" i="2"/>
  <c r="D92" i="2"/>
  <c r="B92" i="2"/>
  <c r="A92" i="2"/>
  <c r="J91" i="2"/>
  <c r="I91" i="2"/>
  <c r="H91" i="2"/>
  <c r="G91" i="2"/>
  <c r="D91" i="2"/>
  <c r="B91" i="2"/>
  <c r="A91" i="2"/>
  <c r="J90" i="2"/>
  <c r="I90" i="2"/>
  <c r="H90" i="2"/>
  <c r="G90" i="2"/>
  <c r="D90" i="2"/>
  <c r="B90" i="2"/>
  <c r="A90" i="2"/>
  <c r="J89" i="2"/>
  <c r="I89" i="2"/>
  <c r="H89" i="2"/>
  <c r="G89" i="2"/>
  <c r="D89" i="2"/>
  <c r="B89" i="2"/>
  <c r="A89" i="2"/>
  <c r="J88" i="2"/>
  <c r="I88" i="2"/>
  <c r="H88" i="2"/>
  <c r="G88" i="2"/>
  <c r="D88" i="2"/>
  <c r="B88" i="2"/>
  <c r="A88" i="2"/>
  <c r="J87" i="2"/>
  <c r="I87" i="2"/>
  <c r="H87" i="2"/>
  <c r="G87" i="2"/>
  <c r="D87" i="2"/>
  <c r="B87" i="2"/>
  <c r="A87" i="2"/>
  <c r="J86" i="2"/>
  <c r="I86" i="2"/>
  <c r="H86" i="2"/>
  <c r="G86" i="2"/>
  <c r="D86" i="2"/>
  <c r="B86" i="2"/>
  <c r="A86" i="2"/>
  <c r="J85" i="2"/>
  <c r="I85" i="2"/>
  <c r="H85" i="2"/>
  <c r="G85" i="2"/>
  <c r="D85" i="2"/>
  <c r="B85" i="2"/>
  <c r="A85" i="2"/>
  <c r="J84" i="2"/>
  <c r="I84" i="2"/>
  <c r="H84" i="2"/>
  <c r="G84" i="2"/>
  <c r="D84" i="2"/>
  <c r="B84" i="2"/>
  <c r="A84" i="2"/>
  <c r="J83" i="2"/>
  <c r="I83" i="2"/>
  <c r="H83" i="2"/>
  <c r="G83" i="2"/>
  <c r="D83" i="2"/>
  <c r="B83" i="2"/>
  <c r="A83" i="2"/>
  <c r="J82" i="2"/>
  <c r="I82" i="2"/>
  <c r="H82" i="2"/>
  <c r="G82" i="2"/>
  <c r="D82" i="2"/>
  <c r="B82" i="2"/>
  <c r="A82" i="2"/>
  <c r="J81" i="2"/>
  <c r="I81" i="2"/>
  <c r="H81" i="2"/>
  <c r="G81" i="2"/>
  <c r="D81" i="2"/>
  <c r="B81" i="2"/>
  <c r="A81" i="2"/>
  <c r="J80" i="2"/>
  <c r="I80" i="2"/>
  <c r="H80" i="2"/>
  <c r="G80" i="2"/>
  <c r="D80" i="2"/>
  <c r="B80" i="2"/>
  <c r="A80" i="2"/>
  <c r="J79" i="2"/>
  <c r="I79" i="2"/>
  <c r="H79" i="2"/>
  <c r="G79" i="2"/>
  <c r="D79" i="2"/>
  <c r="B79" i="2"/>
  <c r="A79" i="2"/>
  <c r="J78" i="2"/>
  <c r="I78" i="2"/>
  <c r="H78" i="2"/>
  <c r="G78" i="2"/>
  <c r="D78" i="2"/>
  <c r="B78" i="2"/>
  <c r="A78" i="2"/>
  <c r="J77" i="2"/>
  <c r="I77" i="2"/>
  <c r="H77" i="2"/>
  <c r="G77" i="2"/>
  <c r="D77" i="2"/>
  <c r="B77" i="2"/>
  <c r="A77" i="2"/>
  <c r="J76" i="2"/>
  <c r="I76" i="2"/>
  <c r="H76" i="2"/>
  <c r="G76" i="2"/>
  <c r="D76" i="2"/>
  <c r="B76" i="2"/>
  <c r="A76" i="2"/>
  <c r="J75" i="2"/>
  <c r="I75" i="2"/>
  <c r="H75" i="2"/>
  <c r="G75" i="2"/>
  <c r="D75" i="2"/>
  <c r="B75" i="2"/>
  <c r="A75" i="2"/>
  <c r="J74" i="2"/>
  <c r="I74" i="2"/>
  <c r="H74" i="2"/>
  <c r="G74" i="2"/>
  <c r="D74" i="2"/>
  <c r="B74" i="2"/>
  <c r="A74" i="2"/>
  <c r="J73" i="2"/>
  <c r="I73" i="2"/>
  <c r="H73" i="2"/>
  <c r="G73" i="2"/>
  <c r="D73" i="2"/>
  <c r="B73" i="2"/>
  <c r="A73" i="2"/>
  <c r="J72" i="2"/>
  <c r="I72" i="2"/>
  <c r="H72" i="2"/>
  <c r="G72" i="2"/>
  <c r="D72" i="2"/>
  <c r="B72" i="2"/>
  <c r="A72" i="2"/>
  <c r="J71" i="2"/>
  <c r="I71" i="2"/>
  <c r="H71" i="2"/>
  <c r="G71" i="2"/>
  <c r="D71" i="2"/>
  <c r="B71" i="2"/>
  <c r="A71" i="2"/>
  <c r="J70" i="2"/>
  <c r="I70" i="2"/>
  <c r="H70" i="2"/>
  <c r="G70" i="2"/>
  <c r="D70" i="2"/>
  <c r="B70" i="2"/>
  <c r="A70" i="2"/>
  <c r="J69" i="2"/>
  <c r="I69" i="2"/>
  <c r="H69" i="2"/>
  <c r="G69" i="2"/>
  <c r="D69" i="2"/>
  <c r="B69" i="2"/>
  <c r="A69" i="2"/>
  <c r="J68" i="2"/>
  <c r="I68" i="2"/>
  <c r="H68" i="2"/>
  <c r="G68" i="2"/>
  <c r="D68" i="2"/>
  <c r="B68" i="2"/>
  <c r="A68" i="2"/>
  <c r="J67" i="2"/>
  <c r="I67" i="2"/>
  <c r="H67" i="2"/>
  <c r="G67" i="2"/>
  <c r="D67" i="2"/>
  <c r="B67" i="2"/>
  <c r="A67" i="2"/>
  <c r="J66" i="2"/>
  <c r="I66" i="2"/>
  <c r="H66" i="2"/>
  <c r="G66" i="2"/>
  <c r="D66" i="2"/>
  <c r="B66" i="2"/>
  <c r="A66" i="2"/>
  <c r="J65" i="2"/>
  <c r="I65" i="2"/>
  <c r="H65" i="2"/>
  <c r="G65" i="2"/>
  <c r="D65" i="2"/>
  <c r="B65" i="2"/>
  <c r="A65" i="2"/>
  <c r="J64" i="2"/>
  <c r="I64" i="2"/>
  <c r="H64" i="2"/>
  <c r="G64" i="2"/>
  <c r="D64" i="2"/>
  <c r="B64" i="2"/>
  <c r="A64" i="2"/>
  <c r="J63" i="2"/>
  <c r="I63" i="2"/>
  <c r="H63" i="2"/>
  <c r="G63" i="2"/>
  <c r="D63" i="2"/>
  <c r="B63" i="2"/>
  <c r="A63" i="2"/>
  <c r="J62" i="2"/>
  <c r="I62" i="2"/>
  <c r="H62" i="2"/>
  <c r="G62" i="2"/>
  <c r="D62" i="2"/>
  <c r="B62" i="2"/>
  <c r="A62" i="2"/>
  <c r="J61" i="2"/>
  <c r="I61" i="2"/>
  <c r="H61" i="2"/>
  <c r="G61" i="2"/>
  <c r="D61" i="2"/>
  <c r="B61" i="2"/>
  <c r="A61" i="2"/>
  <c r="J60" i="2"/>
  <c r="I60" i="2"/>
  <c r="H60" i="2"/>
  <c r="G60" i="2"/>
  <c r="D60" i="2"/>
  <c r="B60" i="2"/>
  <c r="A60" i="2"/>
  <c r="J59" i="2"/>
  <c r="I59" i="2"/>
  <c r="H59" i="2"/>
  <c r="G59" i="2"/>
  <c r="D59" i="2"/>
  <c r="B59" i="2"/>
  <c r="A59" i="2"/>
  <c r="J58" i="2"/>
  <c r="I58" i="2"/>
  <c r="H58" i="2"/>
  <c r="G58" i="2"/>
  <c r="D58" i="2"/>
  <c r="B58" i="2"/>
  <c r="A58" i="2"/>
  <c r="J57" i="2"/>
  <c r="I57" i="2"/>
  <c r="H57" i="2"/>
  <c r="G57" i="2"/>
  <c r="D57" i="2"/>
  <c r="B57" i="2"/>
  <c r="A57" i="2"/>
  <c r="I56" i="2"/>
  <c r="H56" i="2"/>
  <c r="G56" i="2"/>
  <c r="D56" i="2"/>
  <c r="B56" i="2"/>
  <c r="A56" i="2"/>
  <c r="I55" i="2"/>
  <c r="H55" i="2"/>
  <c r="G55" i="2"/>
  <c r="D55" i="2"/>
  <c r="B55" i="2"/>
  <c r="I54" i="2"/>
  <c r="H54" i="2"/>
  <c r="G54" i="2"/>
  <c r="D54" i="2"/>
  <c r="B54" i="2"/>
  <c r="I53" i="2"/>
  <c r="H53" i="2"/>
  <c r="G53" i="2"/>
  <c r="D53" i="2"/>
  <c r="B53" i="2"/>
  <c r="J52" i="2"/>
  <c r="I52" i="2"/>
  <c r="H52" i="2"/>
  <c r="G52" i="2"/>
  <c r="D52" i="2"/>
  <c r="B52" i="2"/>
  <c r="J51" i="2"/>
  <c r="I51" i="2"/>
  <c r="H51" i="2"/>
  <c r="G51" i="2"/>
  <c r="D51" i="2"/>
  <c r="B51" i="2"/>
  <c r="A51" i="2"/>
  <c r="J50" i="2"/>
  <c r="I50" i="2"/>
  <c r="H50" i="2"/>
  <c r="G50" i="2"/>
  <c r="D50" i="2"/>
  <c r="B50" i="2"/>
  <c r="A50" i="2"/>
  <c r="J49" i="2"/>
  <c r="I49" i="2"/>
  <c r="H49" i="2"/>
  <c r="G49" i="2"/>
  <c r="D49" i="2"/>
  <c r="B49" i="2"/>
  <c r="A49" i="2"/>
  <c r="J48" i="2"/>
  <c r="I48" i="2"/>
  <c r="H48" i="2"/>
  <c r="G48" i="2"/>
  <c r="D48" i="2"/>
  <c r="B48" i="2"/>
  <c r="J47" i="2"/>
  <c r="I47" i="2"/>
  <c r="H47" i="2"/>
  <c r="G47" i="2"/>
  <c r="D47" i="2"/>
  <c r="B47" i="2"/>
  <c r="A47" i="2"/>
  <c r="J46" i="2"/>
  <c r="I46" i="2"/>
  <c r="H46" i="2"/>
  <c r="G46" i="2"/>
  <c r="D46" i="2"/>
  <c r="B46" i="2"/>
  <c r="A46" i="2"/>
  <c r="J45" i="2"/>
  <c r="I45" i="2"/>
  <c r="H45" i="2"/>
  <c r="G45" i="2"/>
  <c r="D45" i="2"/>
  <c r="B45" i="2"/>
  <c r="A45" i="2"/>
  <c r="J44" i="2"/>
  <c r="I44" i="2"/>
  <c r="H44" i="2"/>
  <c r="G44" i="2"/>
  <c r="D44" i="2"/>
  <c r="B44" i="2"/>
  <c r="A44" i="2"/>
  <c r="J43" i="2"/>
  <c r="I43" i="2"/>
  <c r="H43" i="2"/>
  <c r="G43" i="2"/>
  <c r="D43" i="2"/>
  <c r="B43" i="2"/>
  <c r="J42" i="2"/>
  <c r="I42" i="2"/>
  <c r="H42" i="2"/>
  <c r="G42" i="2"/>
  <c r="D42" i="2"/>
  <c r="B42" i="2"/>
  <c r="A42" i="2"/>
  <c r="J41" i="2"/>
  <c r="I41" i="2"/>
  <c r="H41" i="2"/>
  <c r="G41" i="2"/>
  <c r="D41" i="2"/>
  <c r="B41" i="2"/>
  <c r="A41" i="2"/>
  <c r="J40" i="2"/>
  <c r="I40" i="2"/>
  <c r="H40" i="2"/>
  <c r="G40" i="2"/>
  <c r="D40" i="2"/>
  <c r="B40" i="2"/>
  <c r="A40" i="2"/>
  <c r="J39" i="2"/>
  <c r="I39" i="2"/>
  <c r="H39" i="2"/>
  <c r="G39" i="2"/>
  <c r="D39" i="2"/>
  <c r="B39" i="2"/>
  <c r="A39" i="2"/>
  <c r="J38" i="2"/>
  <c r="I38" i="2"/>
  <c r="H38" i="2"/>
  <c r="G38" i="2"/>
  <c r="D38" i="2"/>
  <c r="B38" i="2"/>
  <c r="J37" i="2"/>
  <c r="I37" i="2"/>
  <c r="H37" i="2"/>
  <c r="G37" i="2"/>
  <c r="D37" i="2"/>
  <c r="B37" i="2"/>
  <c r="A37" i="2"/>
  <c r="J36" i="2"/>
  <c r="I36" i="2"/>
  <c r="H36" i="2"/>
  <c r="G36" i="2"/>
  <c r="D36" i="2"/>
  <c r="B36" i="2"/>
  <c r="A36" i="2"/>
  <c r="J35" i="2"/>
  <c r="I35" i="2"/>
  <c r="H35" i="2"/>
  <c r="G35" i="2"/>
  <c r="D35" i="2"/>
  <c r="B35" i="2"/>
  <c r="A35" i="2"/>
  <c r="J34" i="2"/>
  <c r="I34" i="2"/>
  <c r="H34" i="2"/>
  <c r="G34" i="2"/>
  <c r="D34" i="2"/>
  <c r="B34" i="2"/>
  <c r="A34" i="2"/>
  <c r="J33" i="2"/>
  <c r="I33" i="2"/>
  <c r="H33" i="2"/>
  <c r="G33" i="2"/>
  <c r="D33" i="2"/>
  <c r="B33" i="2"/>
  <c r="J32" i="2"/>
  <c r="I32" i="2"/>
  <c r="H32" i="2"/>
  <c r="G32" i="2"/>
  <c r="D32" i="2"/>
  <c r="B32" i="2"/>
  <c r="A32" i="2"/>
  <c r="J31" i="2"/>
  <c r="I31" i="2"/>
  <c r="H31" i="2"/>
  <c r="G31" i="2"/>
  <c r="D31" i="2"/>
  <c r="B31" i="2"/>
  <c r="A31" i="2"/>
  <c r="J30" i="2"/>
  <c r="I30" i="2"/>
  <c r="H30" i="2"/>
  <c r="G30" i="2"/>
  <c r="D30" i="2"/>
  <c r="B30" i="2"/>
  <c r="A30" i="2"/>
  <c r="J29" i="2"/>
  <c r="I29" i="2"/>
  <c r="H29" i="2"/>
  <c r="G29" i="2"/>
  <c r="D29" i="2"/>
  <c r="B29" i="2"/>
  <c r="A29" i="2"/>
  <c r="J28" i="2"/>
  <c r="I28" i="2"/>
  <c r="H28" i="2"/>
  <c r="G28" i="2"/>
  <c r="D28" i="2"/>
  <c r="B28" i="2"/>
  <c r="A28" i="2"/>
  <c r="J27" i="2"/>
  <c r="I27" i="2"/>
  <c r="H27" i="2"/>
  <c r="G27" i="2"/>
  <c r="D27" i="2"/>
  <c r="B27" i="2"/>
  <c r="A27" i="2"/>
  <c r="J26" i="2"/>
  <c r="I26" i="2"/>
  <c r="H26" i="2"/>
  <c r="G26" i="2"/>
  <c r="D26" i="2"/>
  <c r="B26" i="2"/>
  <c r="A26" i="2"/>
  <c r="J25" i="2"/>
  <c r="I25" i="2"/>
  <c r="H25" i="2"/>
  <c r="G25" i="2"/>
  <c r="D25" i="2"/>
  <c r="B25" i="2"/>
  <c r="A25" i="2"/>
  <c r="J24" i="2"/>
  <c r="I24" i="2"/>
  <c r="H24" i="2"/>
  <c r="G24" i="2"/>
  <c r="D24" i="2"/>
  <c r="B24" i="2"/>
  <c r="A24" i="2"/>
  <c r="J23" i="2"/>
  <c r="I23" i="2"/>
  <c r="H23" i="2"/>
  <c r="G23" i="2"/>
  <c r="D23" i="2"/>
  <c r="B23" i="2"/>
  <c r="J22" i="2"/>
  <c r="I22" i="2"/>
  <c r="H22" i="2"/>
  <c r="G22" i="2"/>
  <c r="D22" i="2"/>
  <c r="B22" i="2"/>
  <c r="A22" i="2"/>
  <c r="J21" i="2"/>
  <c r="I21" i="2"/>
  <c r="H21" i="2"/>
  <c r="G21" i="2"/>
  <c r="J20" i="2"/>
  <c r="I20" i="2"/>
  <c r="H20" i="2"/>
  <c r="G20" i="2"/>
  <c r="J19" i="2"/>
  <c r="I19" i="2"/>
  <c r="H19" i="2"/>
  <c r="G19" i="2"/>
  <c r="J18" i="2"/>
  <c r="I18" i="2"/>
  <c r="H18" i="2"/>
  <c r="G18" i="2"/>
  <c r="J17" i="2"/>
  <c r="I17" i="2"/>
  <c r="H17" i="2"/>
  <c r="G17" i="2"/>
  <c r="J16" i="2"/>
  <c r="I16" i="2"/>
  <c r="H16" i="2"/>
  <c r="G16" i="2"/>
  <c r="J15" i="2"/>
  <c r="I15" i="2"/>
  <c r="H15" i="2"/>
  <c r="G15" i="2"/>
  <c r="J14" i="2"/>
  <c r="I14" i="2"/>
  <c r="H14" i="2"/>
  <c r="G14" i="2"/>
  <c r="J13" i="2"/>
  <c r="I13" i="2"/>
  <c r="H13" i="2"/>
  <c r="G13" i="2"/>
  <c r="J12" i="2"/>
  <c r="I12" i="2"/>
  <c r="H12" i="2"/>
  <c r="G12" i="2"/>
  <c r="J11" i="2"/>
  <c r="I11" i="2"/>
  <c r="H11" i="2"/>
  <c r="G11" i="2"/>
  <c r="J10" i="2"/>
  <c r="I10" i="2"/>
  <c r="H10" i="2"/>
  <c r="G10" i="2"/>
  <c r="J9" i="2"/>
  <c r="I9" i="2"/>
  <c r="H9" i="2"/>
  <c r="G9" i="2"/>
  <c r="J8" i="2"/>
  <c r="I8" i="2"/>
  <c r="H8" i="2"/>
  <c r="G8" i="2"/>
  <c r="I7" i="2"/>
  <c r="F7" i="4" s="1"/>
  <c r="H7" i="2"/>
  <c r="G7" i="2"/>
  <c r="I6" i="2"/>
  <c r="H6" i="2"/>
  <c r="G6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A21" i="2"/>
  <c r="A20" i="2"/>
  <c r="A19" i="2"/>
  <c r="A17" i="2"/>
  <c r="A16" i="2"/>
  <c r="A14" i="2"/>
  <c r="A12" i="2"/>
  <c r="A9" i="2"/>
  <c r="E7" i="4"/>
  <c r="D7" i="4"/>
  <c r="A15" i="4"/>
  <c r="A14" i="4"/>
  <c r="A13" i="4"/>
  <c r="A12" i="4"/>
  <c r="A11" i="4"/>
  <c r="A10" i="4"/>
  <c r="A9" i="4"/>
  <c r="A8" i="4"/>
  <c r="B15" i="4"/>
  <c r="B14" i="4"/>
  <c r="B13" i="4"/>
  <c r="B12" i="4"/>
  <c r="B11" i="4"/>
  <c r="B10" i="4"/>
  <c r="B9" i="4"/>
  <c r="B8" i="4"/>
  <c r="B7" i="4"/>
  <c r="A8" i="1"/>
  <c r="A8" i="2" s="1"/>
  <c r="A9" i="1"/>
  <c r="A10" i="1"/>
  <c r="A10" i="2" s="1"/>
  <c r="A11" i="1"/>
  <c r="A11" i="2" s="1"/>
  <c r="A12" i="1"/>
  <c r="A13" i="1"/>
  <c r="A13" i="2" s="1"/>
  <c r="A14" i="1"/>
  <c r="A15" i="1"/>
  <c r="A15" i="2" s="1"/>
  <c r="A18" i="2"/>
  <c r="A23" i="2"/>
  <c r="A33" i="2"/>
  <c r="A38" i="2"/>
  <c r="A43" i="2"/>
  <c r="A48" i="2"/>
  <c r="J7" i="1"/>
  <c r="J7" i="2" s="1"/>
  <c r="G7" i="4" s="1"/>
  <c r="B6" i="4" l="1"/>
  <c r="E6" i="4"/>
  <c r="D6" i="4"/>
  <c r="A16" i="1"/>
  <c r="A52" i="2" s="1"/>
  <c r="A17" i="1"/>
  <c r="A53" i="2" s="1"/>
  <c r="A18" i="1"/>
  <c r="A54" i="2" s="1"/>
  <c r="A19" i="1"/>
  <c r="A55" i="2" s="1"/>
  <c r="J19" i="1"/>
  <c r="J55" i="2" s="1"/>
  <c r="J18" i="1"/>
  <c r="J54" i="2" s="1"/>
  <c r="J17" i="1"/>
  <c r="J53" i="2" s="1"/>
  <c r="J6" i="1"/>
  <c r="J6" i="2" s="1"/>
  <c r="J20" i="1" l="1"/>
  <c r="J56" i="2" s="1"/>
  <c r="K67" i="3"/>
  <c r="K10" i="3" l="1"/>
  <c r="A19" i="4" l="1"/>
  <c r="F6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7" i="1"/>
  <c r="A7" i="2" s="1"/>
  <c r="A6" i="1"/>
  <c r="A6" i="2" s="1"/>
  <c r="G6" i="4" l="1"/>
  <c r="G16" i="4" s="1"/>
  <c r="G17" i="4" l="1"/>
  <c r="G18" i="4" l="1"/>
</calcChain>
</file>

<file path=xl/sharedStrings.xml><?xml version="1.0" encoding="utf-8"?>
<sst xmlns="http://schemas.openxmlformats.org/spreadsheetml/2006/main" count="162" uniqueCount="137">
  <si>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</si>
  <si>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</si>
  <si>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</si>
  <si>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</si>
  <si>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</si>
  <si>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</si>
  <si>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</si>
  <si>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</si>
  <si>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</si>
  <si>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</si>
  <si>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</si>
  <si>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</si>
  <si>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</si>
  <si>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</si>
  <si>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</si>
  <si>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</si>
  <si>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</si>
  <si>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</si>
  <si>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</si>
  <si>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</si>
  <si>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</si>
  <si>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</si>
  <si>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</si>
  <si>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</si>
  <si>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</si>
  <si>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</si>
  <si>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</si>
  <si>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</si>
  <si>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</si>
  <si>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</si>
  <si>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</si>
  <si>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</si>
  <si>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</si>
  <si>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</si>
  <si>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</si>
  <si>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</si>
  <si>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</si>
  <si>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</si>
  <si>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</si>
  <si>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</si>
  <si>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</si>
  <si>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</si>
  <si>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</si>
  <si>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</si>
  <si>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</si>
  <si>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</si>
  <si>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</si>
  <si>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</si>
  <si>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</si>
  <si>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</si>
  <si>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</si>
  <si>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</si>
  <si>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</si>
  <si>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</si>
  <si>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</si>
  <si>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</si>
  <si>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</si>
  <si>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</si>
  <si>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</si>
  <si>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</si>
  <si>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</si>
  <si>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</si>
  <si>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</si>
  <si>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</si>
  <si>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</si>
  <si>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</si>
  <si>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</si>
  <si>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</si>
  <si>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</si>
  <si>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</si>
  <si>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</si>
  <si>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</si>
  <si>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</si>
  <si>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</si>
  <si>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</si>
  <si>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</si>
  <si>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</si>
  <si>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</si>
  <si>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</si>
  <si>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</si>
  <si>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</si>
  <si>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</si>
  <si>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</si>
  <si>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</si>
  <si>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</si>
  <si>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</si>
  <si>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</si>
  <si>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</si>
  <si>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</si>
  <si>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</si>
  <si>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</si>
  <si>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</si>
  <si>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</si>
  <si>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</si>
  <si>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</si>
  <si>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</si>
  <si>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</si>
  <si>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</si>
  <si>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</si>
  <si>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</si>
  <si>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</si>
  <si>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-MRS-0381</t>
    </r>
  </si>
  <si>
    <t>Safety Officer</t>
  </si>
  <si>
    <t>Aramco Approved</t>
  </si>
  <si>
    <t>Hour</t>
  </si>
  <si>
    <t>Work Permit Receiver</t>
  </si>
  <si>
    <t>ETEK</t>
  </si>
  <si>
    <t>Monthly</t>
  </si>
  <si>
    <t>ETEK(EmpireTek Establishment)</t>
  </si>
  <si>
    <t>7053791880</t>
  </si>
  <si>
    <t>314664285600003</t>
  </si>
  <si>
    <t>EMP-26-0311</t>
  </si>
  <si>
    <t>Samian</t>
  </si>
  <si>
    <t>Mobile No. +966 535917424</t>
  </si>
  <si>
    <t>Bldg. No 5A Al Muntazah Dist , Sayhat , KSA</t>
  </si>
  <si>
    <t>Mobile: +966 535917424</t>
  </si>
  <si>
    <t>EMPIRETEK ESTABLISHMENT</t>
  </si>
  <si>
    <t>08600001468808</t>
  </si>
  <si>
    <t>SA21 1000 0008 6000 0146 8808</t>
  </si>
  <si>
    <t>THE SAUDI NATIONAL BANK</t>
  </si>
  <si>
    <t>NCBKSAJE</t>
  </si>
  <si>
    <t>Sales Coordinator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</si>
  <si>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</si>
  <si>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</si>
  <si>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</si>
  <si>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</si>
  <si>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</si>
  <si>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</si>
  <si>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</si>
  <si>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</si>
  <si>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</si>
  <si>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</si>
  <si>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</si>
  <si>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</si>
  <si>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</si>
  <si>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</si>
  <si>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Manpower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</si>
</sst>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4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0" fontId="43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2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2" fillId="3" borderId="16" xfId="0" applyFont="1" applyFill="1" applyBorder="1" applyAlignment="1">
      <alignment horizontal="left" vertical="center"/>
    </xf>
    <xf numFmtId="0" fontId="2" fillId="3" borderId="18" xfId="0" applyFont="1" applyFill="1" applyBorder="1" applyAlignment="1">
      <alignment horizontal="left" vertical="center"/>
    </xf>
    <xf numFmtId="0" fontId="2" fillId="3" borderId="47" xfId="0" applyFont="1" applyFill="1" applyBorder="1" applyAlignment="1">
      <alignment horizontal="left" vertical="center"/>
    </xf>
    <xf numFmtId="0" fontId="5" fillId="2" borderId="21" xfId="1" applyFont="1" applyFill="1" applyBorder="1" applyAlignment="1">
      <alignment horizontal="center" vertical="center"/>
    </xf>
    <xf numFmtId="0" fontId="14" fillId="3" borderId="0" xfId="5" quotePrefix="1" applyFont="1" applyFill="1"/>
    <xf numFmtId="0" fontId="5" fillId="2" borderId="21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8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68" fontId="57" fillId="0" borderId="7" xfId="3" applyNumberFormat="1" applyFont="1" applyBorder="1" applyAlignment="1">
      <alignment horizontal="right"/>
    </xf>
    <xf numFmtId="0" fontId="5" fillId="2" borderId="16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48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47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735430</xdr:colOff>
          <xdr:row>21</xdr:row>
          <xdr:rowOff>129840</xdr:rowOff>
        </xdr:from>
        <xdr:to>
          <xdr:col>11</xdr:col>
          <xdr:colOff>1592178</xdr:colOff>
          <xdr:row>27</xdr:row>
          <xdr:rowOff>367965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893C91D2-2F2C-EFE3-2D88-394DA2F7946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4:$Y$29" spid="_x0000_s135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27509" y="5112919"/>
              <a:ext cx="8466722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21</xdr:row>
      <xdr:rowOff>822627</xdr:rowOff>
    </xdr:from>
    <xdr:ext cx="217370" cy="218392"/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3A0EF217-4E53-4847-AA95-C9A6F786F89C}"/>
            </a:ext>
          </a:extLst>
        </xdr:cNvPr>
        <xdr:cNvSpPr>
          <a:spLocks noChangeAspect="1" noChangeArrowheads="1"/>
        </xdr:cNvSpPr>
      </xdr:nvSpPr>
      <xdr:spPr bwMode="auto">
        <a:xfrm>
          <a:off x="12999835" y="22479469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21</xdr:row>
      <xdr:rowOff>822627</xdr:rowOff>
    </xdr:from>
    <xdr:ext cx="217370" cy="218392"/>
    <xdr:sp macro="" textlink="">
      <xdr:nvSpPr>
        <xdr:cNvPr id="14" name="AutoShape 4">
          <a:extLst>
            <a:ext uri="{FF2B5EF4-FFF2-40B4-BE49-F238E27FC236}">
              <a16:creationId xmlns:a16="http://schemas.microsoft.com/office/drawing/2014/main" id="{E42B2366-2509-4991-AE58-A7DC03A3A4E5}"/>
            </a:ext>
          </a:extLst>
        </xdr:cNvPr>
        <xdr:cNvSpPr>
          <a:spLocks noChangeAspect="1" noChangeArrowheads="1"/>
        </xdr:cNvSpPr>
      </xdr:nvSpPr>
      <xdr:spPr bwMode="auto">
        <a:xfrm>
          <a:off x="12999835" y="22479469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6"/>
  <sheetViews>
    <sheetView showGridLines="0" tabSelected="1" view="pageBreakPreview" zoomScale="95" zoomScaleNormal="95" zoomScaleSheetLayoutView="95" workbookViewId="0">
      <selection activeCell="O13" sqref="O1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855468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24" t="s">
        <v>134</v>
      </c>
      <c r="B1" s="125"/>
      <c r="C1" s="94"/>
      <c r="D1" s="94"/>
      <c r="E1" s="94"/>
      <c r="F1" s="94"/>
      <c r="G1" s="1"/>
      <c r="J1" s="142" t="s">
        <v>81</v>
      </c>
      <c r="K1" s="143"/>
      <c r="L1" s="144"/>
    </row>
    <row r="2" spans="1:18" ht="20.100000000000001" customHeight="1">
      <c r="A2" s="3" t="s">
        <v>1</v>
      </c>
      <c r="B2" s="88"/>
      <c r="C2" s="88"/>
      <c r="D2" s="3" t="s">
        <v>135</v>
      </c>
      <c r="E2" s="88"/>
      <c r="F2" s="88"/>
      <c r="G2" s="88"/>
      <c r="H2" s="88"/>
      <c r="I2" s="4"/>
      <c r="J2" s="145" t="s">
        <v>88</v>
      </c>
      <c r="K2" s="146"/>
      <c r="L2" s="147"/>
    </row>
    <row r="3" spans="1:18" ht="20.100000000000001" customHeight="1">
      <c r="A3" s="3" t="s">
        <v>101</v>
      </c>
      <c r="B3" s="88"/>
      <c r="C3" s="88"/>
      <c r="D3" s="88"/>
      <c r="E3" s="148">
        <f>+L3+3</f>
        <v>46267</v>
      </c>
      <c r="F3" s="148"/>
      <c r="G3" s="148"/>
      <c r="H3" s="148"/>
      <c r="I3" s="148"/>
      <c r="J3" s="88"/>
      <c r="K3" s="88"/>
      <c r="L3" s="126">
        <v>46264</v>
      </c>
      <c r="M3" s="4"/>
    </row>
    <row r="4" spans="1:18" ht="15.95" customHeight="1">
      <c r="A4" s="151" t="s">
        <v>2</v>
      </c>
      <c r="B4" s="152" t="s">
        <v>3</v>
      </c>
      <c r="C4" s="152"/>
      <c r="D4" s="153" t="s">
        <v>4</v>
      </c>
      <c r="E4" s="154"/>
      <c r="F4" s="155"/>
      <c r="G4" s="159" t="s">
        <v>5</v>
      </c>
      <c r="H4" s="149" t="s">
        <v>6</v>
      </c>
      <c r="I4" s="149" t="s">
        <v>85</v>
      </c>
      <c r="J4" s="151" t="s">
        <v>86</v>
      </c>
      <c r="K4" s="149" t="s">
        <v>0</v>
      </c>
      <c r="L4" s="152" t="s">
        <v>7</v>
      </c>
    </row>
    <row r="5" spans="1:18" ht="15.95" customHeight="1">
      <c r="A5" s="151"/>
      <c r="B5" s="152"/>
      <c r="C5" s="152"/>
      <c r="D5" s="156"/>
      <c r="E5" s="157"/>
      <c r="F5" s="158"/>
      <c r="G5" s="160"/>
      <c r="H5" s="150"/>
      <c r="I5" s="150"/>
      <c r="J5" s="151"/>
      <c r="K5" s="150"/>
      <c r="L5" s="152"/>
    </row>
    <row r="6" spans="1:18" ht="22.5" customHeight="1">
      <c r="A6" s="5">
        <f t="shared" ref="A6:A15" si="0">ROW(A1)</f>
        <v>1</v>
      </c>
      <c r="B6" s="140" t="s">
        <v>102</v>
      </c>
      <c r="C6" s="141"/>
      <c r="D6" s="113" t="s">
        <v>103</v>
      </c>
      <c r="E6" s="114"/>
      <c r="F6" s="115"/>
      <c r="G6" s="105" t="s">
        <v>104</v>
      </c>
      <c r="H6" s="105">
        <v>1</v>
      </c>
      <c r="I6" s="106">
        <v>38</v>
      </c>
      <c r="J6" s="95">
        <f>H6*I6</f>
        <v>38</v>
      </c>
      <c r="K6" s="96" t="s">
        <v>106</v>
      </c>
      <c r="L6" s="97" t="s">
        <v>107</v>
      </c>
      <c r="R6" s="93"/>
    </row>
    <row r="7" spans="1:18" ht="22.5" customHeight="1">
      <c r="A7" s="5">
        <f t="shared" si="0"/>
        <v>2</v>
      </c>
      <c r="B7" s="140" t="s">
        <v>105</v>
      </c>
      <c r="C7" s="141"/>
      <c r="D7" s="113"/>
      <c r="E7" s="114"/>
      <c r="F7" s="115"/>
      <c r="G7" s="105" t="s">
        <v>104</v>
      </c>
      <c r="H7" s="105">
        <v>1</v>
      </c>
      <c r="I7" s="106">
        <v>25</v>
      </c>
      <c r="J7" s="95">
        <f t="shared" ref="J7" si="1">H7*I7</f>
        <v>25</v>
      </c>
      <c r="K7" s="96"/>
      <c r="L7" s="97"/>
      <c r="R7" s="93"/>
    </row>
    <row r="8" spans="1:18" ht="22.5" customHeight="1">
      <c r="A8" s="5">
        <f t="shared" si="0"/>
        <v>3</v>
      </c>
      <c r="B8" s="140"/>
      <c r="C8" s="141"/>
      <c r="D8" s="113"/>
      <c r="E8" s="114"/>
      <c r="F8" s="115"/>
      <c r="G8" s="105"/>
      <c r="H8" s="105"/>
      <c r="I8" s="106"/>
      <c r="J8" s="95"/>
      <c r="K8" s="96"/>
      <c r="L8" s="97"/>
      <c r="R8" s="93"/>
    </row>
    <row r="9" spans="1:18" ht="22.5" customHeight="1">
      <c r="A9" s="5">
        <f t="shared" si="0"/>
        <v>4</v>
      </c>
      <c r="B9" s="140"/>
      <c r="C9" s="141"/>
      <c r="D9" s="113"/>
      <c r="E9" s="114"/>
      <c r="F9" s="115"/>
      <c r="G9" s="105"/>
      <c r="H9" s="105"/>
      <c r="I9" s="106"/>
      <c r="J9" s="95"/>
      <c r="K9" s="96"/>
      <c r="L9" s="97"/>
      <c r="R9" s="93"/>
    </row>
    <row r="10" spans="1:18" ht="22.5" customHeight="1">
      <c r="A10" s="5">
        <f t="shared" si="0"/>
        <v>5</v>
      </c>
      <c r="B10" s="140"/>
      <c r="C10" s="141"/>
      <c r="D10" s="113"/>
      <c r="E10" s="114"/>
      <c r="F10" s="115"/>
      <c r="G10" s="105"/>
      <c r="H10" s="105"/>
      <c r="I10" s="106"/>
      <c r="J10" s="95"/>
      <c r="K10" s="96"/>
      <c r="L10" s="97"/>
      <c r="R10" s="93"/>
    </row>
    <row r="11" spans="1:18" ht="22.5" customHeight="1">
      <c r="A11" s="5">
        <f t="shared" si="0"/>
        <v>6</v>
      </c>
      <c r="B11" s="140"/>
      <c r="C11" s="141"/>
      <c r="D11" s="113"/>
      <c r="E11" s="114"/>
      <c r="F11" s="115"/>
      <c r="G11" s="105"/>
      <c r="H11" s="105"/>
      <c r="I11" s="106"/>
      <c r="J11" s="95"/>
      <c r="K11" s="96"/>
      <c r="L11" s="97"/>
      <c r="R11" s="93"/>
    </row>
    <row r="12" spans="1:18" ht="22.5" customHeight="1">
      <c r="A12" s="5">
        <f t="shared" si="0"/>
        <v>7</v>
      </c>
      <c r="B12" s="140"/>
      <c r="C12" s="141"/>
      <c r="D12" s="113"/>
      <c r="E12" s="114"/>
      <c r="F12" s="115"/>
      <c r="G12" s="105"/>
      <c r="H12" s="105"/>
      <c r="I12" s="106"/>
      <c r="J12" s="95"/>
      <c r="K12" s="96"/>
      <c r="L12" s="97"/>
      <c r="R12" s="93"/>
    </row>
    <row r="13" spans="1:18" ht="22.5" customHeight="1">
      <c r="A13" s="5">
        <f t="shared" si="0"/>
        <v>8</v>
      </c>
      <c r="B13" s="140"/>
      <c r="C13" s="141"/>
      <c r="D13" s="113"/>
      <c r="E13" s="114"/>
      <c r="F13" s="115"/>
      <c r="G13" s="105"/>
      <c r="H13" s="105"/>
      <c r="I13" s="106"/>
      <c r="J13" s="95"/>
      <c r="K13" s="96"/>
      <c r="L13" s="97"/>
      <c r="R13" s="93"/>
    </row>
    <row r="14" spans="1:18" ht="22.5" customHeight="1">
      <c r="A14" s="5">
        <f t="shared" si="0"/>
        <v>9</v>
      </c>
      <c r="B14" s="140"/>
      <c r="C14" s="141"/>
      <c r="D14" s="113"/>
      <c r="E14" s="114"/>
      <c r="F14" s="115"/>
      <c r="G14" s="105"/>
      <c r="H14" s="105"/>
      <c r="I14" s="106"/>
      <c r="J14" s="95"/>
      <c r="K14" s="96"/>
      <c r="L14" s="97"/>
      <c r="R14" s="93"/>
    </row>
    <row r="15" spans="1:18" ht="22.5" customHeight="1">
      <c r="A15" s="5">
        <f t="shared" si="0"/>
        <v>10</v>
      </c>
      <c r="B15" s="140"/>
      <c r="C15" s="141"/>
      <c r="D15" s="113"/>
      <c r="E15" s="114"/>
      <c r="F15" s="115"/>
      <c r="G15" s="105"/>
      <c r="H15" s="105"/>
      <c r="I15" s="106"/>
      <c r="J15" s="95"/>
      <c r="K15" s="96"/>
      <c r="L15" s="97"/>
      <c r="R15" s="93"/>
    </row>
    <row r="16" spans="1:18" ht="23.25" hidden="1" customHeight="1">
      <c r="A16" s="5">
        <f>ROW(A7)</f>
        <v>7</v>
      </c>
      <c r="B16" s="140"/>
      <c r="C16" s="141"/>
      <c r="D16" s="161"/>
      <c r="E16" s="162"/>
      <c r="F16" s="164"/>
      <c r="G16" s="105"/>
      <c r="H16" s="105"/>
      <c r="I16" s="106"/>
      <c r="J16" s="95"/>
      <c r="K16" s="96"/>
      <c r="L16" s="97"/>
      <c r="R16" s="93"/>
    </row>
    <row r="17" spans="1:26" ht="23.25" hidden="1" customHeight="1">
      <c r="A17" s="5">
        <f>ROW(A8)</f>
        <v>8</v>
      </c>
      <c r="B17" s="140"/>
      <c r="C17" s="141"/>
      <c r="D17" s="161"/>
      <c r="E17" s="162"/>
      <c r="F17" s="163"/>
      <c r="G17" s="105"/>
      <c r="H17" s="105"/>
      <c r="I17" s="106"/>
      <c r="J17" s="95">
        <f t="shared" ref="J17:J19" si="2">H17*I17</f>
        <v>0</v>
      </c>
      <c r="K17" s="96"/>
      <c r="L17" s="97"/>
      <c r="R17" s="93"/>
    </row>
    <row r="18" spans="1:26" ht="23.25" hidden="1" customHeight="1">
      <c r="A18" s="5">
        <f>ROW(A9)</f>
        <v>9</v>
      </c>
      <c r="B18" s="140"/>
      <c r="C18" s="141"/>
      <c r="D18" s="161"/>
      <c r="E18" s="162"/>
      <c r="F18" s="163"/>
      <c r="G18" s="105"/>
      <c r="H18" s="105"/>
      <c r="I18" s="106"/>
      <c r="J18" s="95">
        <f t="shared" si="2"/>
        <v>0</v>
      </c>
      <c r="K18" s="96"/>
      <c r="L18" s="97"/>
      <c r="R18" s="93"/>
    </row>
    <row r="19" spans="1:26" ht="23.25" hidden="1" customHeight="1">
      <c r="A19" s="5" t="e">
        <f>ROW(#REF!)</f>
        <v>#REF!</v>
      </c>
      <c r="B19" s="140"/>
      <c r="C19" s="141"/>
      <c r="D19" s="161"/>
      <c r="E19" s="162"/>
      <c r="F19" s="163"/>
      <c r="G19" s="105"/>
      <c r="H19" s="105"/>
      <c r="I19" s="106"/>
      <c r="J19" s="95">
        <f t="shared" si="2"/>
        <v>0</v>
      </c>
      <c r="K19" s="96"/>
      <c r="L19" s="97"/>
      <c r="R19" s="93"/>
    </row>
    <row r="20" spans="1:26" ht="23.25" customHeight="1">
      <c r="A20" s="166" t="s">
        <v>8</v>
      </c>
      <c r="B20" s="167"/>
      <c r="C20" s="98"/>
      <c r="D20" s="102"/>
      <c r="E20" s="102"/>
      <c r="F20" s="102"/>
      <c r="G20" s="103"/>
      <c r="H20" s="103"/>
      <c r="I20" s="104" t="s">
        <v>9</v>
      </c>
      <c r="J20" s="95">
        <f>SUM(J6:J19)</f>
        <v>63</v>
      </c>
      <c r="K20" s="95"/>
      <c r="L20" s="99"/>
    </row>
    <row r="21" spans="1:26" ht="20.100000000000001" customHeight="1">
      <c r="A21" s="6" t="s">
        <v>10</v>
      </c>
      <c r="B21" s="7"/>
      <c r="C21" s="7"/>
      <c r="D21" s="7"/>
      <c r="E21" s="7"/>
      <c r="F21" s="7"/>
      <c r="G21" s="7"/>
      <c r="H21" s="7"/>
      <c r="I21" s="7"/>
      <c r="J21" s="7"/>
      <c r="K21" s="8"/>
      <c r="L21" s="9"/>
    </row>
    <row r="22" spans="1:26" ht="18" customHeight="1">
      <c r="A22" s="10"/>
      <c r="J22" s="1"/>
      <c r="K22" s="1"/>
      <c r="O22" s="11"/>
      <c r="P22" s="11"/>
      <c r="Q22" s="11"/>
      <c r="R22" s="11"/>
      <c r="S22" s="11"/>
      <c r="T22" s="11"/>
      <c r="U22" s="11"/>
      <c r="V22" s="11"/>
      <c r="W22" s="11"/>
      <c r="Y22" s="131"/>
      <c r="Z22" s="11"/>
    </row>
    <row r="23" spans="1:26" ht="50.1" customHeight="1">
      <c r="Y23" s="132"/>
    </row>
    <row r="24" spans="1:26" ht="15" customHeight="1">
      <c r="O24" s="127" t="s">
        <v>122</v>
      </c>
      <c r="P24" s="133"/>
      <c r="Q24" s="133"/>
      <c r="R24" s="128"/>
      <c r="S24" s="116"/>
      <c r="T24" s="127" t="s">
        <v>123</v>
      </c>
      <c r="U24" s="133"/>
      <c r="V24" s="133"/>
      <c r="W24" s="133"/>
      <c r="X24" s="133"/>
      <c r="Y24" s="128"/>
    </row>
    <row r="25" spans="1:26" ht="15" customHeight="1">
      <c r="O25" s="134" t="s">
        <v>124</v>
      </c>
      <c r="P25" s="136" t="s">
        <v>125</v>
      </c>
      <c r="Q25" s="134" t="s">
        <v>126</v>
      </c>
      <c r="R25" s="136" t="s">
        <v>127</v>
      </c>
      <c r="S25" s="116"/>
      <c r="T25" s="134" t="s">
        <v>128</v>
      </c>
      <c r="U25" s="136" t="s">
        <v>129</v>
      </c>
      <c r="V25" s="127" t="s">
        <v>130</v>
      </c>
      <c r="W25" s="133"/>
      <c r="X25" s="128"/>
      <c r="Y25" s="136" t="s">
        <v>131</v>
      </c>
    </row>
    <row r="26" spans="1:26" ht="18" customHeight="1">
      <c r="O26" s="135"/>
      <c r="P26" s="137"/>
      <c r="Q26" s="135"/>
      <c r="R26" s="137"/>
      <c r="S26" s="118"/>
      <c r="T26" s="135"/>
      <c r="U26" s="137"/>
      <c r="V26" s="13" t="s">
        <v>124</v>
      </c>
      <c r="W26" s="138" t="s">
        <v>132</v>
      </c>
      <c r="X26" s="139"/>
      <c r="Y26" s="137"/>
    </row>
    <row r="27" spans="1:26" ht="50.1" customHeight="1">
      <c r="O27" s="14"/>
      <c r="P27" s="14"/>
      <c r="Q27" s="14"/>
      <c r="R27" s="14"/>
      <c r="S27" s="116"/>
      <c r="T27" s="14"/>
      <c r="U27" s="14"/>
      <c r="V27" s="14"/>
      <c r="W27" s="127"/>
      <c r="X27" s="128"/>
      <c r="Y27" s="119"/>
    </row>
    <row r="28" spans="1:26" ht="36" customHeight="1">
      <c r="W28" s="120"/>
      <c r="X28" s="129" t="s">
        <v>133</v>
      </c>
      <c r="Y28" s="12" t="s">
        <v>131</v>
      </c>
    </row>
    <row r="29" spans="1:26" ht="50.1" customHeight="1">
      <c r="O29" s="121"/>
      <c r="P29" s="121"/>
      <c r="Q29" s="121"/>
      <c r="R29" s="121"/>
      <c r="S29" s="121"/>
      <c r="T29" s="121"/>
      <c r="U29" s="121"/>
      <c r="V29" s="121"/>
      <c r="W29" s="122"/>
      <c r="X29" s="130"/>
      <c r="Y29" s="123"/>
    </row>
    <row r="30" spans="1:26" ht="19.899999999999999" customHeight="1"/>
    <row r="31" spans="1:26" ht="17.45" customHeight="1">
      <c r="O31" s="165"/>
      <c r="P31" s="165"/>
    </row>
    <row r="32" spans="1:26" ht="19.899999999999999" customHeight="1">
      <c r="O32" s="165"/>
      <c r="P32" s="165"/>
    </row>
    <row r="33" spans="15:16" ht="14.25">
      <c r="O33" s="11"/>
      <c r="P33" s="11"/>
    </row>
    <row r="34" spans="15:16" ht="65.099999999999994" customHeight="1"/>
    <row r="35" spans="15:16" ht="14.25">
      <c r="O35" s="11"/>
      <c r="P35" s="11"/>
    </row>
    <row r="36" spans="15:16" ht="19.899999999999999" customHeight="1"/>
    <row r="37" spans="15:16" ht="14.25"/>
    <row r="38" spans="15:16" ht="19.899999999999999" customHeight="1"/>
    <row r="39" spans="15:16" ht="14.25"/>
    <row r="40" spans="15:16" ht="19.899999999999999" customHeight="1"/>
    <row r="41" spans="15:16" ht="19.899999999999999" customHeight="1"/>
    <row r="42" spans="15:16" ht="64.900000000000006" customHeight="1"/>
    <row r="44" spans="15:16" ht="19.899999999999999" customHeight="1"/>
    <row r="45" spans="15:16" ht="19.899999999999999" customHeight="1"/>
    <row r="46" spans="15:16" ht="64.900000000000006" customHeight="1"/>
    <row r="50" spans="15:19" ht="21" customHeight="1">
      <c r="O50" s="136" t="s">
        <v>12</v>
      </c>
      <c r="P50" s="136" t="s">
        <v>12</v>
      </c>
      <c r="S50" s="136" t="s">
        <v>11</v>
      </c>
    </row>
    <row r="51" spans="15:19" ht="21" customHeight="1">
      <c r="O51" s="137"/>
      <c r="P51" s="137"/>
      <c r="S51" s="135"/>
    </row>
    <row r="52" spans="15:19" ht="64.900000000000006" customHeight="1">
      <c r="O52" s="14"/>
      <c r="P52" s="14"/>
      <c r="S52" s="15"/>
    </row>
    <row r="53" spans="15:19" ht="7.15" customHeight="1"/>
    <row r="54" spans="15:19" ht="21" customHeight="1">
      <c r="O54" s="136" t="s">
        <v>12</v>
      </c>
      <c r="P54" s="136" t="s">
        <v>12</v>
      </c>
      <c r="S54" s="136" t="s">
        <v>13</v>
      </c>
    </row>
    <row r="55" spans="15:19" ht="21" customHeight="1">
      <c r="O55" s="137"/>
      <c r="P55" s="137"/>
      <c r="S55" s="135"/>
    </row>
    <row r="56" spans="15:19" ht="64.900000000000006" customHeight="1">
      <c r="O56" s="14"/>
      <c r="P56" s="14"/>
      <c r="S56" s="14"/>
    </row>
  </sheetData>
  <mergeCells count="53">
    <mergeCell ref="A20:B20"/>
    <mergeCell ref="P25:P26"/>
    <mergeCell ref="B19:C19"/>
    <mergeCell ref="S50:S51"/>
    <mergeCell ref="O54:O55"/>
    <mergeCell ref="P54:P55"/>
    <mergeCell ref="S54:S55"/>
    <mergeCell ref="O31:O32"/>
    <mergeCell ref="P31:P32"/>
    <mergeCell ref="O50:O51"/>
    <mergeCell ref="P50:P51"/>
    <mergeCell ref="D19:F19"/>
    <mergeCell ref="B16:C16"/>
    <mergeCell ref="D16:F16"/>
    <mergeCell ref="B11:C11"/>
    <mergeCell ref="B12:C12"/>
    <mergeCell ref="B17:C17"/>
    <mergeCell ref="D17:F17"/>
    <mergeCell ref="B18:C18"/>
    <mergeCell ref="D18:F18"/>
    <mergeCell ref="B13:C13"/>
    <mergeCell ref="B14:C14"/>
    <mergeCell ref="B15:C15"/>
    <mergeCell ref="A4:A5"/>
    <mergeCell ref="B4:C5"/>
    <mergeCell ref="D4:F5"/>
    <mergeCell ref="G4:G5"/>
    <mergeCell ref="H4:H5"/>
    <mergeCell ref="B6:C6"/>
    <mergeCell ref="B7:C7"/>
    <mergeCell ref="B8:C8"/>
    <mergeCell ref="B10:C10"/>
    <mergeCell ref="J1:L1"/>
    <mergeCell ref="J2:L2"/>
    <mergeCell ref="E3:I3"/>
    <mergeCell ref="I4:I5"/>
    <mergeCell ref="J4:J5"/>
    <mergeCell ref="K4:K5"/>
    <mergeCell ref="L4:L5"/>
    <mergeCell ref="B9:C9"/>
    <mergeCell ref="W27:X27"/>
    <mergeCell ref="X28:X29"/>
    <mergeCell ref="Y22:Y23"/>
    <mergeCell ref="O24:R24"/>
    <mergeCell ref="T24:Y24"/>
    <mergeCell ref="O25:O26"/>
    <mergeCell ref="Q25:Q26"/>
    <mergeCell ref="R25:R26"/>
    <mergeCell ref="T25:T26"/>
    <mergeCell ref="U25:U26"/>
    <mergeCell ref="V25:X25"/>
    <mergeCell ref="Y25:Y26"/>
    <mergeCell ref="W26:X26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10"/>
  <sheetViews>
    <sheetView showGridLines="0" zoomScale="95" zoomScaleNormal="95" zoomScaleSheetLayoutView="70" workbookViewId="0">
      <pane ySplit="5" topLeftCell="A49" activePane="bottomLeft" state="frozen"/>
      <selection activeCell="D30" sqref="D30"/>
      <selection pane="bottomLeft" activeCell="L52" sqref="L5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87</v>
      </c>
      <c r="B1" s="87"/>
      <c r="C1" s="87"/>
      <c r="D1" s="87"/>
      <c r="E1" s="87"/>
      <c r="F1" s="87"/>
      <c r="G1" s="1"/>
      <c r="J1" s="142" t="str">
        <f>+MRS!J1</f>
        <v>DAESHIN PLANT</v>
      </c>
      <c r="K1" s="144"/>
    </row>
    <row r="2" spans="1:18" ht="24.95" customHeight="1">
      <c r="A2" s="3" t="str">
        <f>+MRS!A2</f>
        <v xml:space="preserve">  PJT :  SACE2           </v>
      </c>
      <c r="B2" s="88"/>
      <c r="C2" s="88"/>
      <c r="D2" s="3" t="str">
        <f>+MRS!D2</f>
        <v>Division (In charge Name) : ADMIN MANAGER (Dong Chang Kim)</v>
      </c>
      <c r="E2" s="88"/>
      <c r="F2" s="88"/>
      <c r="G2" s="16"/>
      <c r="H2" s="16"/>
      <c r="I2" s="16"/>
      <c r="J2" s="145" t="str">
        <f>+MRS!J2</f>
        <v>Subcontract name (SAC2-SC-IK-SMP-01)</v>
      </c>
      <c r="K2" s="147"/>
    </row>
    <row r="3" spans="1:18" ht="24.95" customHeight="1">
      <c r="A3" s="3" t="str">
        <f>+MRS!A3</f>
        <v xml:space="preserve">  MRS No : SAC2-DS-MRS-0381</v>
      </c>
      <c r="B3" s="88"/>
      <c r="C3" s="88"/>
      <c r="D3" s="88"/>
      <c r="E3" s="88"/>
      <c r="F3" s="88"/>
      <c r="G3" s="88"/>
      <c r="H3" s="88"/>
      <c r="I3" s="88"/>
      <c r="J3" s="88"/>
      <c r="K3" s="89">
        <f>+MRS!L3</f>
        <v>46264</v>
      </c>
    </row>
    <row r="4" spans="1:18" ht="15.95" customHeight="1">
      <c r="A4" s="173" t="s">
        <v>2</v>
      </c>
      <c r="B4" s="174" t="s">
        <v>14</v>
      </c>
      <c r="C4" s="174"/>
      <c r="D4" s="173" t="s">
        <v>4</v>
      </c>
      <c r="E4" s="173"/>
      <c r="F4" s="173"/>
      <c r="G4" s="174" t="s">
        <v>5</v>
      </c>
      <c r="H4" s="173" t="s">
        <v>82</v>
      </c>
      <c r="I4" s="173" t="s">
        <v>15</v>
      </c>
      <c r="J4" s="173" t="s">
        <v>16</v>
      </c>
      <c r="K4" s="174" t="s">
        <v>7</v>
      </c>
    </row>
    <row r="5" spans="1:18" ht="15.95" customHeight="1">
      <c r="A5" s="173"/>
      <c r="B5" s="174"/>
      <c r="C5" s="174"/>
      <c r="D5" s="173"/>
      <c r="E5" s="173"/>
      <c r="F5" s="173"/>
      <c r="G5" s="174"/>
      <c r="H5" s="173"/>
      <c r="I5" s="173"/>
      <c r="J5" s="173"/>
      <c r="K5" s="174"/>
    </row>
    <row r="6" spans="1:18" ht="105" customHeight="1">
      <c r="A6" s="17">
        <f>+MRS!A6</f>
        <v>1</v>
      </c>
      <c r="B6" s="168" t="str">
        <f>MRS!B6</f>
        <v>Safety Officer</v>
      </c>
      <c r="C6" s="169"/>
      <c r="D6" s="170" t="str">
        <f>MRS!D6</f>
        <v>Aramco Approved</v>
      </c>
      <c r="E6" s="171"/>
      <c r="F6" s="172"/>
      <c r="G6" s="90" t="str">
        <f>MRS!G6</f>
        <v>Hour</v>
      </c>
      <c r="H6" s="90">
        <f>MRS!H6</f>
        <v>1</v>
      </c>
      <c r="I6" s="91">
        <f>MRS!I6</f>
        <v>38</v>
      </c>
      <c r="J6" s="91">
        <f>MRS!J6</f>
        <v>38</v>
      </c>
      <c r="K6" s="92"/>
      <c r="O6" s="93"/>
      <c r="P6" s="93"/>
      <c r="R6" s="93"/>
    </row>
    <row r="7" spans="1:18" ht="105" customHeight="1">
      <c r="A7" s="17">
        <f>+MRS!A7</f>
        <v>2</v>
      </c>
      <c r="B7" s="168" t="str">
        <f>MRS!B7</f>
        <v>Work Permit Receiver</v>
      </c>
      <c r="C7" s="169"/>
      <c r="D7" s="170">
        <f>MRS!D7</f>
        <v>0</v>
      </c>
      <c r="E7" s="171"/>
      <c r="F7" s="172"/>
      <c r="G7" s="90" t="str">
        <f>MRS!G7</f>
        <v>Hour</v>
      </c>
      <c r="H7" s="90">
        <f>MRS!H7</f>
        <v>1</v>
      </c>
      <c r="I7" s="91">
        <f>MRS!I7</f>
        <v>25</v>
      </c>
      <c r="J7" s="91">
        <f>MRS!J7</f>
        <v>25</v>
      </c>
      <c r="K7" s="92"/>
      <c r="O7" s="93"/>
      <c r="P7" s="93"/>
      <c r="R7" s="93"/>
    </row>
    <row r="8" spans="1:18" ht="105" customHeight="1">
      <c r="A8" s="17">
        <f>+MRS!A8</f>
        <v>3</v>
      </c>
      <c r="B8" s="168">
        <f>MRS!B8</f>
        <v>0</v>
      </c>
      <c r="C8" s="169"/>
      <c r="D8" s="170">
        <f>MRS!D8</f>
        <v>0</v>
      </c>
      <c r="E8" s="171"/>
      <c r="F8" s="172"/>
      <c r="G8" s="90">
        <f>MRS!G8</f>
        <v>0</v>
      </c>
      <c r="H8" s="90">
        <f>MRS!H8</f>
        <v>0</v>
      </c>
      <c r="I8" s="91">
        <f>MRS!I8</f>
        <v>0</v>
      </c>
      <c r="J8" s="91">
        <f>MRS!J8</f>
        <v>0</v>
      </c>
      <c r="K8" s="92"/>
      <c r="O8" s="93"/>
      <c r="P8" s="93"/>
      <c r="R8" s="93"/>
    </row>
    <row r="9" spans="1:18" ht="105" customHeight="1">
      <c r="A9" s="17">
        <f>+MRS!A9</f>
        <v>4</v>
      </c>
      <c r="B9" s="168">
        <f>MRS!B9</f>
        <v>0</v>
      </c>
      <c r="C9" s="169"/>
      <c r="D9" s="170">
        <f>MRS!D9</f>
        <v>0</v>
      </c>
      <c r="E9" s="171"/>
      <c r="F9" s="172"/>
      <c r="G9" s="90">
        <f>MRS!G9</f>
        <v>0</v>
      </c>
      <c r="H9" s="90">
        <f>MRS!H9</f>
        <v>0</v>
      </c>
      <c r="I9" s="91">
        <f>MRS!I9</f>
        <v>0</v>
      </c>
      <c r="J9" s="91">
        <f>MRS!J9</f>
        <v>0</v>
      </c>
      <c r="K9" s="92"/>
      <c r="O9" s="93"/>
      <c r="P9" s="93"/>
      <c r="R9" s="93"/>
    </row>
    <row r="10" spans="1:18" ht="105" customHeight="1">
      <c r="A10" s="17">
        <f>+MRS!A10</f>
        <v>5</v>
      </c>
      <c r="B10" s="168">
        <f>MRS!B10</f>
        <v>0</v>
      </c>
      <c r="C10" s="169"/>
      <c r="D10" s="170">
        <f>MRS!D10</f>
        <v>0</v>
      </c>
      <c r="E10" s="171"/>
      <c r="F10" s="172"/>
      <c r="G10" s="90">
        <f>MRS!G10</f>
        <v>0</v>
      </c>
      <c r="H10" s="90">
        <f>MRS!H10</f>
        <v>0</v>
      </c>
      <c r="I10" s="91">
        <f>MRS!I10</f>
        <v>0</v>
      </c>
      <c r="J10" s="91">
        <f>MRS!J10</f>
        <v>0</v>
      </c>
      <c r="K10" s="92"/>
      <c r="O10" s="93"/>
      <c r="P10" s="93"/>
      <c r="R10" s="93"/>
    </row>
    <row r="11" spans="1:18" ht="105" customHeight="1">
      <c r="A11" s="17">
        <f>+MRS!A11</f>
        <v>6</v>
      </c>
      <c r="B11" s="168">
        <f>MRS!B11</f>
        <v>0</v>
      </c>
      <c r="C11" s="169"/>
      <c r="D11" s="170">
        <f>MRS!D11</f>
        <v>0</v>
      </c>
      <c r="E11" s="171"/>
      <c r="F11" s="172"/>
      <c r="G11" s="90">
        <f>MRS!G11</f>
        <v>0</v>
      </c>
      <c r="H11" s="90">
        <f>MRS!H11</f>
        <v>0</v>
      </c>
      <c r="I11" s="91">
        <f>MRS!I11</f>
        <v>0</v>
      </c>
      <c r="J11" s="91">
        <f>MRS!J11</f>
        <v>0</v>
      </c>
      <c r="K11" s="92"/>
      <c r="O11" s="93"/>
      <c r="P11" s="93"/>
      <c r="R11" s="93"/>
    </row>
    <row r="12" spans="1:18" ht="105" customHeight="1">
      <c r="A12" s="17">
        <f>+MRS!A12</f>
        <v>7</v>
      </c>
      <c r="B12" s="168">
        <f>MRS!B12</f>
        <v>0</v>
      </c>
      <c r="C12" s="169"/>
      <c r="D12" s="170">
        <f>MRS!D12</f>
        <v>0</v>
      </c>
      <c r="E12" s="171"/>
      <c r="F12" s="172"/>
      <c r="G12" s="90">
        <f>MRS!G12</f>
        <v>0</v>
      </c>
      <c r="H12" s="90">
        <f>MRS!H12</f>
        <v>0</v>
      </c>
      <c r="I12" s="91">
        <f>MRS!I12</f>
        <v>0</v>
      </c>
      <c r="J12" s="91">
        <f>MRS!J12</f>
        <v>0</v>
      </c>
      <c r="K12" s="92"/>
      <c r="O12" s="93"/>
      <c r="P12" s="93"/>
      <c r="R12" s="93"/>
    </row>
    <row r="13" spans="1:18" ht="105" customHeight="1">
      <c r="A13" s="17">
        <f>+MRS!A13</f>
        <v>8</v>
      </c>
      <c r="B13" s="168">
        <f>MRS!B13</f>
        <v>0</v>
      </c>
      <c r="C13" s="169"/>
      <c r="D13" s="170">
        <f>MRS!D13</f>
        <v>0</v>
      </c>
      <c r="E13" s="171"/>
      <c r="F13" s="172"/>
      <c r="G13" s="90">
        <f>MRS!G13</f>
        <v>0</v>
      </c>
      <c r="H13" s="90">
        <f>MRS!H13</f>
        <v>0</v>
      </c>
      <c r="I13" s="91">
        <f>MRS!I13</f>
        <v>0</v>
      </c>
      <c r="J13" s="91">
        <f>MRS!J13</f>
        <v>0</v>
      </c>
      <c r="K13" s="92"/>
      <c r="O13" s="93"/>
      <c r="P13" s="93"/>
      <c r="R13" s="93"/>
    </row>
    <row r="14" spans="1:18" ht="105" customHeight="1">
      <c r="A14" s="17">
        <f>+MRS!A14</f>
        <v>9</v>
      </c>
      <c r="B14" s="168">
        <f>MRS!B14</f>
        <v>0</v>
      </c>
      <c r="C14" s="169"/>
      <c r="D14" s="170">
        <f>MRS!D14</f>
        <v>0</v>
      </c>
      <c r="E14" s="171"/>
      <c r="F14" s="172"/>
      <c r="G14" s="90">
        <f>MRS!G14</f>
        <v>0</v>
      </c>
      <c r="H14" s="90">
        <f>MRS!H14</f>
        <v>0</v>
      </c>
      <c r="I14" s="91">
        <f>MRS!I14</f>
        <v>0</v>
      </c>
      <c r="J14" s="91">
        <f>MRS!J14</f>
        <v>0</v>
      </c>
      <c r="K14" s="92"/>
      <c r="O14" s="93"/>
      <c r="P14" s="93"/>
      <c r="R14" s="93"/>
    </row>
    <row r="15" spans="1:18" ht="105" customHeight="1">
      <c r="A15" s="17">
        <f>+MRS!A15</f>
        <v>10</v>
      </c>
      <c r="B15" s="168">
        <f>MRS!B15</f>
        <v>0</v>
      </c>
      <c r="C15" s="169"/>
      <c r="D15" s="170">
        <f>MRS!D15</f>
        <v>0</v>
      </c>
      <c r="E15" s="171"/>
      <c r="F15" s="172"/>
      <c r="G15" s="90">
        <f>MRS!G15</f>
        <v>0</v>
      </c>
      <c r="H15" s="90">
        <f>MRS!H15</f>
        <v>0</v>
      </c>
      <c r="I15" s="91">
        <f>MRS!I15</f>
        <v>0</v>
      </c>
      <c r="J15" s="91">
        <f>MRS!J15</f>
        <v>0</v>
      </c>
      <c r="K15" s="92"/>
      <c r="O15" s="93"/>
      <c r="P15" s="93"/>
      <c r="R15" s="93"/>
    </row>
    <row r="16" spans="1:18" ht="105" customHeight="1">
      <c r="A16" s="17" t="e">
        <f>+MRS!#REF!</f>
        <v>#REF!</v>
      </c>
      <c r="B16" s="168" t="e">
        <f>MRS!#REF!</f>
        <v>#REF!</v>
      </c>
      <c r="C16" s="169"/>
      <c r="D16" s="170" t="e">
        <f>MRS!#REF!</f>
        <v>#REF!</v>
      </c>
      <c r="E16" s="171"/>
      <c r="F16" s="172"/>
      <c r="G16" s="90" t="e">
        <f>MRS!#REF!</f>
        <v>#REF!</v>
      </c>
      <c r="H16" s="90" t="e">
        <f>MRS!#REF!</f>
        <v>#REF!</v>
      </c>
      <c r="I16" s="91" t="e">
        <f>MRS!#REF!</f>
        <v>#REF!</v>
      </c>
      <c r="J16" s="91" t="e">
        <f>MRS!#REF!</f>
        <v>#REF!</v>
      </c>
      <c r="K16" s="92"/>
      <c r="O16" s="93"/>
      <c r="P16" s="93"/>
      <c r="R16" s="93"/>
    </row>
    <row r="17" spans="1:18" ht="105" customHeight="1">
      <c r="A17" s="17" t="e">
        <f>+MRS!#REF!</f>
        <v>#REF!</v>
      </c>
      <c r="B17" s="168" t="e">
        <f>MRS!#REF!</f>
        <v>#REF!</v>
      </c>
      <c r="C17" s="169"/>
      <c r="D17" s="170" t="e">
        <f>MRS!#REF!</f>
        <v>#REF!</v>
      </c>
      <c r="E17" s="171"/>
      <c r="F17" s="172"/>
      <c r="G17" s="90" t="e">
        <f>MRS!#REF!</f>
        <v>#REF!</v>
      </c>
      <c r="H17" s="90" t="e">
        <f>MRS!#REF!</f>
        <v>#REF!</v>
      </c>
      <c r="I17" s="91" t="e">
        <f>MRS!#REF!</f>
        <v>#REF!</v>
      </c>
      <c r="J17" s="91" t="e">
        <f>MRS!#REF!</f>
        <v>#REF!</v>
      </c>
      <c r="K17" s="92"/>
      <c r="O17" s="93"/>
      <c r="P17" s="93"/>
      <c r="R17" s="93"/>
    </row>
    <row r="18" spans="1:18" ht="105" customHeight="1">
      <c r="A18" s="17" t="e">
        <f>+MRS!#REF!</f>
        <v>#REF!</v>
      </c>
      <c r="B18" s="168" t="e">
        <f>MRS!#REF!</f>
        <v>#REF!</v>
      </c>
      <c r="C18" s="169"/>
      <c r="D18" s="170" t="e">
        <f>MRS!#REF!</f>
        <v>#REF!</v>
      </c>
      <c r="E18" s="171"/>
      <c r="F18" s="172"/>
      <c r="G18" s="90" t="e">
        <f>MRS!#REF!</f>
        <v>#REF!</v>
      </c>
      <c r="H18" s="90" t="e">
        <f>MRS!#REF!</f>
        <v>#REF!</v>
      </c>
      <c r="I18" s="91" t="e">
        <f>MRS!#REF!</f>
        <v>#REF!</v>
      </c>
      <c r="J18" s="91" t="e">
        <f>MRS!#REF!</f>
        <v>#REF!</v>
      </c>
      <c r="K18" s="92"/>
      <c r="O18" s="93"/>
      <c r="P18" s="93"/>
      <c r="R18" s="93"/>
    </row>
    <row r="19" spans="1:18" ht="105" customHeight="1">
      <c r="A19" s="17" t="e">
        <f>+MRS!#REF!</f>
        <v>#REF!</v>
      </c>
      <c r="B19" s="168" t="e">
        <f>MRS!#REF!</f>
        <v>#REF!</v>
      </c>
      <c r="C19" s="169"/>
      <c r="D19" s="170" t="e">
        <f>MRS!#REF!</f>
        <v>#REF!</v>
      </c>
      <c r="E19" s="171"/>
      <c r="F19" s="172"/>
      <c r="G19" s="90" t="e">
        <f>MRS!#REF!</f>
        <v>#REF!</v>
      </c>
      <c r="H19" s="90" t="e">
        <f>MRS!#REF!</f>
        <v>#REF!</v>
      </c>
      <c r="I19" s="91" t="e">
        <f>MRS!#REF!</f>
        <v>#REF!</v>
      </c>
      <c r="J19" s="91" t="e">
        <f>MRS!#REF!</f>
        <v>#REF!</v>
      </c>
      <c r="K19" s="92"/>
      <c r="O19" s="93"/>
      <c r="P19" s="93"/>
      <c r="R19" s="93"/>
    </row>
    <row r="20" spans="1:18" ht="105" customHeight="1">
      <c r="A20" s="17" t="e">
        <f>+MRS!#REF!</f>
        <v>#REF!</v>
      </c>
      <c r="B20" s="168" t="e">
        <f>MRS!#REF!</f>
        <v>#REF!</v>
      </c>
      <c r="C20" s="169"/>
      <c r="D20" s="170" t="e">
        <f>MRS!#REF!</f>
        <v>#REF!</v>
      </c>
      <c r="E20" s="171"/>
      <c r="F20" s="172"/>
      <c r="G20" s="90" t="e">
        <f>MRS!#REF!</f>
        <v>#REF!</v>
      </c>
      <c r="H20" s="90" t="e">
        <f>MRS!#REF!</f>
        <v>#REF!</v>
      </c>
      <c r="I20" s="91" t="e">
        <f>MRS!#REF!</f>
        <v>#REF!</v>
      </c>
      <c r="J20" s="91" t="e">
        <f>MRS!#REF!</f>
        <v>#REF!</v>
      </c>
      <c r="K20" s="92"/>
      <c r="O20" s="93"/>
      <c r="P20" s="93"/>
      <c r="R20" s="93"/>
    </row>
    <row r="21" spans="1:18" ht="105" customHeight="1">
      <c r="A21" s="17" t="e">
        <f>+MRS!#REF!</f>
        <v>#REF!</v>
      </c>
      <c r="B21" s="168" t="e">
        <f>MRS!#REF!</f>
        <v>#REF!</v>
      </c>
      <c r="C21" s="169"/>
      <c r="D21" s="170" t="e">
        <f>MRS!#REF!</f>
        <v>#REF!</v>
      </c>
      <c r="E21" s="171"/>
      <c r="F21" s="172"/>
      <c r="G21" s="90" t="e">
        <f>MRS!#REF!</f>
        <v>#REF!</v>
      </c>
      <c r="H21" s="90" t="e">
        <f>MRS!#REF!</f>
        <v>#REF!</v>
      </c>
      <c r="I21" s="91" t="e">
        <f>MRS!#REF!</f>
        <v>#REF!</v>
      </c>
      <c r="J21" s="91" t="e">
        <f>MRS!#REF!</f>
        <v>#REF!</v>
      </c>
      <c r="K21" s="92"/>
      <c r="O21" s="93"/>
      <c r="P21" s="93"/>
      <c r="R21" s="93"/>
    </row>
    <row r="22" spans="1:18" ht="105" customHeight="1">
      <c r="A22" s="17" t="e">
        <f>+MRS!#REF!</f>
        <v>#REF!</v>
      </c>
      <c r="B22" s="168" t="e">
        <f>MRS!#REF!</f>
        <v>#REF!</v>
      </c>
      <c r="C22" s="169"/>
      <c r="D22" s="170" t="e">
        <f>MRS!#REF!</f>
        <v>#REF!</v>
      </c>
      <c r="E22" s="171"/>
      <c r="F22" s="172"/>
      <c r="G22" s="90" t="e">
        <f>MRS!#REF!</f>
        <v>#REF!</v>
      </c>
      <c r="H22" s="90" t="e">
        <f>MRS!#REF!</f>
        <v>#REF!</v>
      </c>
      <c r="I22" s="91" t="e">
        <f>MRS!#REF!</f>
        <v>#REF!</v>
      </c>
      <c r="J22" s="91" t="e">
        <f>MRS!#REF!</f>
        <v>#REF!</v>
      </c>
      <c r="K22" s="92"/>
      <c r="O22" s="93"/>
      <c r="P22" s="93"/>
      <c r="R22" s="93"/>
    </row>
    <row r="23" spans="1:18" ht="105" customHeight="1">
      <c r="A23" s="17" t="e">
        <f>+MRS!#REF!</f>
        <v>#REF!</v>
      </c>
      <c r="B23" s="168" t="e">
        <f>MRS!#REF!</f>
        <v>#REF!</v>
      </c>
      <c r="C23" s="169"/>
      <c r="D23" s="170" t="e">
        <f>MRS!#REF!</f>
        <v>#REF!</v>
      </c>
      <c r="E23" s="171"/>
      <c r="F23" s="172"/>
      <c r="G23" s="90" t="e">
        <f>MRS!#REF!</f>
        <v>#REF!</v>
      </c>
      <c r="H23" s="90" t="e">
        <f>MRS!#REF!</f>
        <v>#REF!</v>
      </c>
      <c r="I23" s="91" t="e">
        <f>MRS!#REF!</f>
        <v>#REF!</v>
      </c>
      <c r="J23" s="91" t="e">
        <f>MRS!#REF!</f>
        <v>#REF!</v>
      </c>
      <c r="K23" s="92"/>
      <c r="O23" s="93"/>
      <c r="P23" s="93"/>
      <c r="R23" s="93"/>
    </row>
    <row r="24" spans="1:18" ht="105" customHeight="1">
      <c r="A24" s="17" t="e">
        <f>+MRS!#REF!</f>
        <v>#REF!</v>
      </c>
      <c r="B24" s="168" t="e">
        <f>MRS!#REF!</f>
        <v>#REF!</v>
      </c>
      <c r="C24" s="169"/>
      <c r="D24" s="170" t="e">
        <f>MRS!#REF!</f>
        <v>#REF!</v>
      </c>
      <c r="E24" s="171"/>
      <c r="F24" s="172"/>
      <c r="G24" s="90" t="e">
        <f>MRS!#REF!</f>
        <v>#REF!</v>
      </c>
      <c r="H24" s="90" t="e">
        <f>MRS!#REF!</f>
        <v>#REF!</v>
      </c>
      <c r="I24" s="91" t="e">
        <f>MRS!#REF!</f>
        <v>#REF!</v>
      </c>
      <c r="J24" s="91" t="e">
        <f>MRS!#REF!</f>
        <v>#REF!</v>
      </c>
      <c r="K24" s="92"/>
      <c r="O24" s="93"/>
      <c r="P24" s="93"/>
      <c r="R24" s="93"/>
    </row>
    <row r="25" spans="1:18" ht="105" customHeight="1">
      <c r="A25" s="17" t="e">
        <f>+MRS!#REF!</f>
        <v>#REF!</v>
      </c>
      <c r="B25" s="168" t="e">
        <f>MRS!#REF!</f>
        <v>#REF!</v>
      </c>
      <c r="C25" s="169"/>
      <c r="D25" s="170" t="e">
        <f>MRS!#REF!</f>
        <v>#REF!</v>
      </c>
      <c r="E25" s="171"/>
      <c r="F25" s="172"/>
      <c r="G25" s="90" t="e">
        <f>MRS!#REF!</f>
        <v>#REF!</v>
      </c>
      <c r="H25" s="90" t="e">
        <f>MRS!#REF!</f>
        <v>#REF!</v>
      </c>
      <c r="I25" s="91" t="e">
        <f>MRS!#REF!</f>
        <v>#REF!</v>
      </c>
      <c r="J25" s="91" t="e">
        <f>MRS!#REF!</f>
        <v>#REF!</v>
      </c>
      <c r="K25" s="92"/>
      <c r="O25" s="93"/>
      <c r="P25" s="93"/>
      <c r="R25" s="93"/>
    </row>
    <row r="26" spans="1:18" ht="105" customHeight="1">
      <c r="A26" s="17" t="e">
        <f>+MRS!#REF!</f>
        <v>#REF!</v>
      </c>
      <c r="B26" s="168" t="e">
        <f>MRS!#REF!</f>
        <v>#REF!</v>
      </c>
      <c r="C26" s="169"/>
      <c r="D26" s="170" t="e">
        <f>MRS!#REF!</f>
        <v>#REF!</v>
      </c>
      <c r="E26" s="171"/>
      <c r="F26" s="172"/>
      <c r="G26" s="90" t="e">
        <f>MRS!#REF!</f>
        <v>#REF!</v>
      </c>
      <c r="H26" s="90" t="e">
        <f>MRS!#REF!</f>
        <v>#REF!</v>
      </c>
      <c r="I26" s="91" t="e">
        <f>MRS!#REF!</f>
        <v>#REF!</v>
      </c>
      <c r="J26" s="91" t="e">
        <f>MRS!#REF!</f>
        <v>#REF!</v>
      </c>
      <c r="K26" s="92"/>
      <c r="O26" s="93"/>
      <c r="P26" s="93"/>
      <c r="R26" s="93"/>
    </row>
    <row r="27" spans="1:18" ht="105" customHeight="1">
      <c r="A27" s="17" t="e">
        <f>+MRS!#REF!</f>
        <v>#REF!</v>
      </c>
      <c r="B27" s="168" t="e">
        <f>MRS!#REF!</f>
        <v>#REF!</v>
      </c>
      <c r="C27" s="169"/>
      <c r="D27" s="170" t="e">
        <f>MRS!#REF!</f>
        <v>#REF!</v>
      </c>
      <c r="E27" s="171"/>
      <c r="F27" s="172"/>
      <c r="G27" s="90" t="e">
        <f>MRS!#REF!</f>
        <v>#REF!</v>
      </c>
      <c r="H27" s="90" t="e">
        <f>MRS!#REF!</f>
        <v>#REF!</v>
      </c>
      <c r="I27" s="91" t="e">
        <f>MRS!#REF!</f>
        <v>#REF!</v>
      </c>
      <c r="J27" s="91" t="e">
        <f>MRS!#REF!</f>
        <v>#REF!</v>
      </c>
      <c r="K27" s="92"/>
      <c r="O27" s="93"/>
      <c r="P27" s="93"/>
      <c r="R27" s="93"/>
    </row>
    <row r="28" spans="1:18" ht="105" customHeight="1">
      <c r="A28" s="17" t="e">
        <f>+MRS!#REF!</f>
        <v>#REF!</v>
      </c>
      <c r="B28" s="168" t="e">
        <f>MRS!#REF!</f>
        <v>#REF!</v>
      </c>
      <c r="C28" s="169"/>
      <c r="D28" s="170" t="e">
        <f>MRS!#REF!</f>
        <v>#REF!</v>
      </c>
      <c r="E28" s="171"/>
      <c r="F28" s="172"/>
      <c r="G28" s="90" t="e">
        <f>MRS!#REF!</f>
        <v>#REF!</v>
      </c>
      <c r="H28" s="90" t="e">
        <f>MRS!#REF!</f>
        <v>#REF!</v>
      </c>
      <c r="I28" s="91" t="e">
        <f>MRS!#REF!</f>
        <v>#REF!</v>
      </c>
      <c r="J28" s="91" t="e">
        <f>MRS!#REF!</f>
        <v>#REF!</v>
      </c>
      <c r="K28" s="92"/>
      <c r="O28" s="93"/>
      <c r="P28" s="93"/>
      <c r="R28" s="93"/>
    </row>
    <row r="29" spans="1:18" ht="105" customHeight="1">
      <c r="A29" s="17" t="e">
        <f>+MRS!#REF!</f>
        <v>#REF!</v>
      </c>
      <c r="B29" s="168" t="e">
        <f>MRS!#REF!</f>
        <v>#REF!</v>
      </c>
      <c r="C29" s="169"/>
      <c r="D29" s="170" t="e">
        <f>MRS!#REF!</f>
        <v>#REF!</v>
      </c>
      <c r="E29" s="171"/>
      <c r="F29" s="172"/>
      <c r="G29" s="90" t="e">
        <f>MRS!#REF!</f>
        <v>#REF!</v>
      </c>
      <c r="H29" s="90" t="e">
        <f>MRS!#REF!</f>
        <v>#REF!</v>
      </c>
      <c r="I29" s="91" t="e">
        <f>MRS!#REF!</f>
        <v>#REF!</v>
      </c>
      <c r="J29" s="91" t="e">
        <f>MRS!#REF!</f>
        <v>#REF!</v>
      </c>
      <c r="K29" s="92"/>
      <c r="O29" s="93"/>
      <c r="P29" s="93"/>
      <c r="R29" s="93"/>
    </row>
    <row r="30" spans="1:18" ht="105" customHeight="1">
      <c r="A30" s="17" t="e">
        <f>+MRS!#REF!</f>
        <v>#REF!</v>
      </c>
      <c r="B30" s="168" t="e">
        <f>MRS!#REF!</f>
        <v>#REF!</v>
      </c>
      <c r="C30" s="169"/>
      <c r="D30" s="170" t="e">
        <f>MRS!#REF!</f>
        <v>#REF!</v>
      </c>
      <c r="E30" s="171"/>
      <c r="F30" s="172"/>
      <c r="G30" s="90" t="e">
        <f>MRS!#REF!</f>
        <v>#REF!</v>
      </c>
      <c r="H30" s="90" t="e">
        <f>MRS!#REF!</f>
        <v>#REF!</v>
      </c>
      <c r="I30" s="91" t="e">
        <f>MRS!#REF!</f>
        <v>#REF!</v>
      </c>
      <c r="J30" s="91" t="e">
        <f>MRS!#REF!</f>
        <v>#REF!</v>
      </c>
      <c r="K30" s="92"/>
      <c r="O30" s="93"/>
      <c r="P30" s="93"/>
      <c r="R30" s="93"/>
    </row>
    <row r="31" spans="1:18" ht="105" customHeight="1">
      <c r="A31" s="17" t="e">
        <f>+MRS!#REF!</f>
        <v>#REF!</v>
      </c>
      <c r="B31" s="168" t="e">
        <f>MRS!#REF!</f>
        <v>#REF!</v>
      </c>
      <c r="C31" s="169"/>
      <c r="D31" s="170" t="e">
        <f>MRS!#REF!</f>
        <v>#REF!</v>
      </c>
      <c r="E31" s="171"/>
      <c r="F31" s="172"/>
      <c r="G31" s="90" t="e">
        <f>MRS!#REF!</f>
        <v>#REF!</v>
      </c>
      <c r="H31" s="90" t="e">
        <f>MRS!#REF!</f>
        <v>#REF!</v>
      </c>
      <c r="I31" s="91" t="e">
        <f>MRS!#REF!</f>
        <v>#REF!</v>
      </c>
      <c r="J31" s="91" t="e">
        <f>MRS!#REF!</f>
        <v>#REF!</v>
      </c>
      <c r="K31" s="92"/>
      <c r="O31" s="93"/>
      <c r="P31" s="93"/>
      <c r="R31" s="93"/>
    </row>
    <row r="32" spans="1:18" ht="105" customHeight="1">
      <c r="A32" s="17" t="e">
        <f>+MRS!#REF!</f>
        <v>#REF!</v>
      </c>
      <c r="B32" s="168" t="e">
        <f>MRS!#REF!</f>
        <v>#REF!</v>
      </c>
      <c r="C32" s="169"/>
      <c r="D32" s="170" t="e">
        <f>MRS!#REF!</f>
        <v>#REF!</v>
      </c>
      <c r="E32" s="171"/>
      <c r="F32" s="172"/>
      <c r="G32" s="90" t="e">
        <f>MRS!#REF!</f>
        <v>#REF!</v>
      </c>
      <c r="H32" s="90" t="e">
        <f>MRS!#REF!</f>
        <v>#REF!</v>
      </c>
      <c r="I32" s="91" t="e">
        <f>MRS!#REF!</f>
        <v>#REF!</v>
      </c>
      <c r="J32" s="91" t="e">
        <f>MRS!#REF!</f>
        <v>#REF!</v>
      </c>
      <c r="K32" s="92"/>
      <c r="O32" s="93"/>
      <c r="P32" s="93"/>
      <c r="R32" s="93"/>
    </row>
    <row r="33" spans="1:18" ht="105" customHeight="1">
      <c r="A33" s="17" t="e">
        <f>+MRS!#REF!</f>
        <v>#REF!</v>
      </c>
      <c r="B33" s="168" t="e">
        <f>MRS!#REF!</f>
        <v>#REF!</v>
      </c>
      <c r="C33" s="169"/>
      <c r="D33" s="170" t="e">
        <f>MRS!#REF!</f>
        <v>#REF!</v>
      </c>
      <c r="E33" s="171"/>
      <c r="F33" s="172"/>
      <c r="G33" s="90" t="e">
        <f>MRS!#REF!</f>
        <v>#REF!</v>
      </c>
      <c r="H33" s="90" t="e">
        <f>MRS!#REF!</f>
        <v>#REF!</v>
      </c>
      <c r="I33" s="91" t="e">
        <f>MRS!#REF!</f>
        <v>#REF!</v>
      </c>
      <c r="J33" s="91" t="e">
        <f>MRS!#REF!</f>
        <v>#REF!</v>
      </c>
      <c r="K33" s="92"/>
      <c r="O33" s="93"/>
      <c r="P33" s="93"/>
      <c r="R33" s="93"/>
    </row>
    <row r="34" spans="1:18" ht="105" customHeight="1">
      <c r="A34" s="17" t="e">
        <f>+MRS!#REF!</f>
        <v>#REF!</v>
      </c>
      <c r="B34" s="168" t="e">
        <f>MRS!#REF!</f>
        <v>#REF!</v>
      </c>
      <c r="C34" s="169"/>
      <c r="D34" s="170" t="e">
        <f>MRS!#REF!</f>
        <v>#REF!</v>
      </c>
      <c r="E34" s="171"/>
      <c r="F34" s="172"/>
      <c r="G34" s="90" t="e">
        <f>MRS!#REF!</f>
        <v>#REF!</v>
      </c>
      <c r="H34" s="90" t="e">
        <f>MRS!#REF!</f>
        <v>#REF!</v>
      </c>
      <c r="I34" s="91" t="e">
        <f>MRS!#REF!</f>
        <v>#REF!</v>
      </c>
      <c r="J34" s="91" t="e">
        <f>MRS!#REF!</f>
        <v>#REF!</v>
      </c>
      <c r="K34" s="92"/>
      <c r="O34" s="93"/>
      <c r="P34" s="93"/>
      <c r="R34" s="93"/>
    </row>
    <row r="35" spans="1:18" ht="105" customHeight="1">
      <c r="A35" s="17" t="e">
        <f>+MRS!#REF!</f>
        <v>#REF!</v>
      </c>
      <c r="B35" s="168" t="e">
        <f>MRS!#REF!</f>
        <v>#REF!</v>
      </c>
      <c r="C35" s="169"/>
      <c r="D35" s="170" t="e">
        <f>MRS!#REF!</f>
        <v>#REF!</v>
      </c>
      <c r="E35" s="171"/>
      <c r="F35" s="172"/>
      <c r="G35" s="90" t="e">
        <f>MRS!#REF!</f>
        <v>#REF!</v>
      </c>
      <c r="H35" s="90" t="e">
        <f>MRS!#REF!</f>
        <v>#REF!</v>
      </c>
      <c r="I35" s="91" t="e">
        <f>MRS!#REF!</f>
        <v>#REF!</v>
      </c>
      <c r="J35" s="91" t="e">
        <f>MRS!#REF!</f>
        <v>#REF!</v>
      </c>
      <c r="K35" s="92"/>
      <c r="O35" s="93"/>
      <c r="P35" s="93"/>
      <c r="R35" s="93"/>
    </row>
    <row r="36" spans="1:18" ht="105" customHeight="1">
      <c r="A36" s="17" t="e">
        <f>+MRS!#REF!</f>
        <v>#REF!</v>
      </c>
      <c r="B36" s="168" t="e">
        <f>MRS!#REF!</f>
        <v>#REF!</v>
      </c>
      <c r="C36" s="169"/>
      <c r="D36" s="170" t="e">
        <f>MRS!#REF!</f>
        <v>#REF!</v>
      </c>
      <c r="E36" s="171"/>
      <c r="F36" s="172"/>
      <c r="G36" s="90" t="e">
        <f>MRS!#REF!</f>
        <v>#REF!</v>
      </c>
      <c r="H36" s="90" t="e">
        <f>MRS!#REF!</f>
        <v>#REF!</v>
      </c>
      <c r="I36" s="91" t="e">
        <f>MRS!#REF!</f>
        <v>#REF!</v>
      </c>
      <c r="J36" s="91" t="e">
        <f>MRS!#REF!</f>
        <v>#REF!</v>
      </c>
      <c r="K36" s="92"/>
      <c r="O36" s="93"/>
      <c r="P36" s="93"/>
      <c r="R36" s="93"/>
    </row>
    <row r="37" spans="1:18" ht="105" customHeight="1">
      <c r="A37" s="17" t="e">
        <f>+MRS!#REF!</f>
        <v>#REF!</v>
      </c>
      <c r="B37" s="168" t="e">
        <f>MRS!#REF!</f>
        <v>#REF!</v>
      </c>
      <c r="C37" s="169"/>
      <c r="D37" s="170" t="e">
        <f>MRS!#REF!</f>
        <v>#REF!</v>
      </c>
      <c r="E37" s="171"/>
      <c r="F37" s="172"/>
      <c r="G37" s="90" t="e">
        <f>MRS!#REF!</f>
        <v>#REF!</v>
      </c>
      <c r="H37" s="90" t="e">
        <f>MRS!#REF!</f>
        <v>#REF!</v>
      </c>
      <c r="I37" s="91" t="e">
        <f>MRS!#REF!</f>
        <v>#REF!</v>
      </c>
      <c r="J37" s="91" t="e">
        <f>MRS!#REF!</f>
        <v>#REF!</v>
      </c>
      <c r="K37" s="92"/>
      <c r="O37" s="93"/>
      <c r="P37" s="93"/>
      <c r="R37" s="93"/>
    </row>
    <row r="38" spans="1:18" ht="105" customHeight="1">
      <c r="A38" s="17" t="e">
        <f>+MRS!#REF!</f>
        <v>#REF!</v>
      </c>
      <c r="B38" s="168" t="e">
        <f>MRS!#REF!</f>
        <v>#REF!</v>
      </c>
      <c r="C38" s="169"/>
      <c r="D38" s="170" t="e">
        <f>MRS!#REF!</f>
        <v>#REF!</v>
      </c>
      <c r="E38" s="171"/>
      <c r="F38" s="172"/>
      <c r="G38" s="90" t="e">
        <f>MRS!#REF!</f>
        <v>#REF!</v>
      </c>
      <c r="H38" s="90" t="e">
        <f>MRS!#REF!</f>
        <v>#REF!</v>
      </c>
      <c r="I38" s="91" t="e">
        <f>MRS!#REF!</f>
        <v>#REF!</v>
      </c>
      <c r="J38" s="91" t="e">
        <f>MRS!#REF!</f>
        <v>#REF!</v>
      </c>
      <c r="K38" s="92"/>
      <c r="O38" s="93"/>
      <c r="P38" s="93"/>
      <c r="R38" s="93"/>
    </row>
    <row r="39" spans="1:18" ht="105" customHeight="1">
      <c r="A39" s="17" t="e">
        <f>+MRS!#REF!</f>
        <v>#REF!</v>
      </c>
      <c r="B39" s="168" t="e">
        <f>MRS!#REF!</f>
        <v>#REF!</v>
      </c>
      <c r="C39" s="169"/>
      <c r="D39" s="170" t="e">
        <f>MRS!#REF!</f>
        <v>#REF!</v>
      </c>
      <c r="E39" s="171"/>
      <c r="F39" s="172"/>
      <c r="G39" s="90" t="e">
        <f>MRS!#REF!</f>
        <v>#REF!</v>
      </c>
      <c r="H39" s="90" t="e">
        <f>MRS!#REF!</f>
        <v>#REF!</v>
      </c>
      <c r="I39" s="91" t="e">
        <f>MRS!#REF!</f>
        <v>#REF!</v>
      </c>
      <c r="J39" s="91" t="e">
        <f>MRS!#REF!</f>
        <v>#REF!</v>
      </c>
      <c r="K39" s="92"/>
      <c r="O39" s="93"/>
      <c r="P39" s="93"/>
      <c r="R39" s="93"/>
    </row>
    <row r="40" spans="1:18" ht="105" customHeight="1">
      <c r="A40" s="17" t="e">
        <f>+MRS!#REF!</f>
        <v>#REF!</v>
      </c>
      <c r="B40" s="168" t="e">
        <f>MRS!#REF!</f>
        <v>#REF!</v>
      </c>
      <c r="C40" s="169"/>
      <c r="D40" s="170" t="e">
        <f>MRS!#REF!</f>
        <v>#REF!</v>
      </c>
      <c r="E40" s="171"/>
      <c r="F40" s="172"/>
      <c r="G40" s="90" t="e">
        <f>MRS!#REF!</f>
        <v>#REF!</v>
      </c>
      <c r="H40" s="90" t="e">
        <f>MRS!#REF!</f>
        <v>#REF!</v>
      </c>
      <c r="I40" s="91" t="e">
        <f>MRS!#REF!</f>
        <v>#REF!</v>
      </c>
      <c r="J40" s="91" t="e">
        <f>MRS!#REF!</f>
        <v>#REF!</v>
      </c>
      <c r="K40" s="92"/>
      <c r="O40" s="93"/>
      <c r="P40" s="93"/>
      <c r="R40" s="93"/>
    </row>
    <row r="41" spans="1:18" ht="105" customHeight="1">
      <c r="A41" s="17" t="e">
        <f>+MRS!#REF!</f>
        <v>#REF!</v>
      </c>
      <c r="B41" s="168" t="e">
        <f>MRS!#REF!</f>
        <v>#REF!</v>
      </c>
      <c r="C41" s="169"/>
      <c r="D41" s="170" t="e">
        <f>MRS!#REF!</f>
        <v>#REF!</v>
      </c>
      <c r="E41" s="171"/>
      <c r="F41" s="172"/>
      <c r="G41" s="90" t="e">
        <f>MRS!#REF!</f>
        <v>#REF!</v>
      </c>
      <c r="H41" s="90" t="e">
        <f>MRS!#REF!</f>
        <v>#REF!</v>
      </c>
      <c r="I41" s="91" t="e">
        <f>MRS!#REF!</f>
        <v>#REF!</v>
      </c>
      <c r="J41" s="91" t="e">
        <f>MRS!#REF!</f>
        <v>#REF!</v>
      </c>
      <c r="K41" s="92"/>
      <c r="O41" s="93"/>
      <c r="P41" s="93"/>
      <c r="R41" s="93"/>
    </row>
    <row r="42" spans="1:18" ht="105" customHeight="1">
      <c r="A42" s="17" t="e">
        <f>+MRS!#REF!</f>
        <v>#REF!</v>
      </c>
      <c r="B42" s="168" t="e">
        <f>MRS!#REF!</f>
        <v>#REF!</v>
      </c>
      <c r="C42" s="169"/>
      <c r="D42" s="170" t="e">
        <f>MRS!#REF!</f>
        <v>#REF!</v>
      </c>
      <c r="E42" s="171"/>
      <c r="F42" s="172"/>
      <c r="G42" s="90" t="e">
        <f>MRS!#REF!</f>
        <v>#REF!</v>
      </c>
      <c r="H42" s="90" t="e">
        <f>MRS!#REF!</f>
        <v>#REF!</v>
      </c>
      <c r="I42" s="91" t="e">
        <f>MRS!#REF!</f>
        <v>#REF!</v>
      </c>
      <c r="J42" s="91" t="e">
        <f>MRS!#REF!</f>
        <v>#REF!</v>
      </c>
      <c r="K42" s="92"/>
      <c r="O42" s="93"/>
      <c r="P42" s="93"/>
      <c r="R42" s="93"/>
    </row>
    <row r="43" spans="1:18" ht="105" customHeight="1">
      <c r="A43" s="17" t="e">
        <f>+MRS!#REF!</f>
        <v>#REF!</v>
      </c>
      <c r="B43" s="168" t="e">
        <f>MRS!#REF!</f>
        <v>#REF!</v>
      </c>
      <c r="C43" s="169"/>
      <c r="D43" s="170" t="e">
        <f>MRS!#REF!</f>
        <v>#REF!</v>
      </c>
      <c r="E43" s="171"/>
      <c r="F43" s="172"/>
      <c r="G43" s="90" t="e">
        <f>MRS!#REF!</f>
        <v>#REF!</v>
      </c>
      <c r="H43" s="90" t="e">
        <f>MRS!#REF!</f>
        <v>#REF!</v>
      </c>
      <c r="I43" s="91" t="e">
        <f>MRS!#REF!</f>
        <v>#REF!</v>
      </c>
      <c r="J43" s="91" t="e">
        <f>MRS!#REF!</f>
        <v>#REF!</v>
      </c>
      <c r="K43" s="92"/>
      <c r="O43" s="93"/>
      <c r="P43" s="93"/>
      <c r="R43" s="93"/>
    </row>
    <row r="44" spans="1:18" ht="105" customHeight="1">
      <c r="A44" s="17" t="e">
        <f>+MRS!#REF!</f>
        <v>#REF!</v>
      </c>
      <c r="B44" s="168" t="e">
        <f>MRS!#REF!</f>
        <v>#REF!</v>
      </c>
      <c r="C44" s="169"/>
      <c r="D44" s="170" t="e">
        <f>MRS!#REF!</f>
        <v>#REF!</v>
      </c>
      <c r="E44" s="171"/>
      <c r="F44" s="172"/>
      <c r="G44" s="90" t="e">
        <f>MRS!#REF!</f>
        <v>#REF!</v>
      </c>
      <c r="H44" s="90" t="e">
        <f>MRS!#REF!</f>
        <v>#REF!</v>
      </c>
      <c r="I44" s="91" t="e">
        <f>MRS!#REF!</f>
        <v>#REF!</v>
      </c>
      <c r="J44" s="91" t="e">
        <f>MRS!#REF!</f>
        <v>#REF!</v>
      </c>
      <c r="K44" s="92"/>
      <c r="O44" s="93"/>
      <c r="P44" s="93"/>
      <c r="R44" s="93"/>
    </row>
    <row r="45" spans="1:18" ht="105" customHeight="1">
      <c r="A45" s="17" t="e">
        <f>+MRS!#REF!</f>
        <v>#REF!</v>
      </c>
      <c r="B45" s="168" t="e">
        <f>MRS!#REF!</f>
        <v>#REF!</v>
      </c>
      <c r="C45" s="169"/>
      <c r="D45" s="170" t="e">
        <f>MRS!#REF!</f>
        <v>#REF!</v>
      </c>
      <c r="E45" s="171"/>
      <c r="F45" s="172"/>
      <c r="G45" s="90" t="e">
        <f>MRS!#REF!</f>
        <v>#REF!</v>
      </c>
      <c r="H45" s="90" t="e">
        <f>MRS!#REF!</f>
        <v>#REF!</v>
      </c>
      <c r="I45" s="91" t="e">
        <f>MRS!#REF!</f>
        <v>#REF!</v>
      </c>
      <c r="J45" s="91" t="e">
        <f>MRS!#REF!</f>
        <v>#REF!</v>
      </c>
      <c r="K45" s="92"/>
      <c r="O45" s="93"/>
      <c r="P45" s="93"/>
      <c r="R45" s="93"/>
    </row>
    <row r="46" spans="1:18" ht="105" customHeight="1">
      <c r="A46" s="17" t="e">
        <f>+MRS!#REF!</f>
        <v>#REF!</v>
      </c>
      <c r="B46" s="168" t="e">
        <f>MRS!#REF!</f>
        <v>#REF!</v>
      </c>
      <c r="C46" s="169"/>
      <c r="D46" s="170" t="e">
        <f>MRS!#REF!</f>
        <v>#REF!</v>
      </c>
      <c r="E46" s="171"/>
      <c r="F46" s="172"/>
      <c r="G46" s="90" t="e">
        <f>MRS!#REF!</f>
        <v>#REF!</v>
      </c>
      <c r="H46" s="90" t="e">
        <f>MRS!#REF!</f>
        <v>#REF!</v>
      </c>
      <c r="I46" s="91" t="e">
        <f>MRS!#REF!</f>
        <v>#REF!</v>
      </c>
      <c r="J46" s="91" t="e">
        <f>MRS!#REF!</f>
        <v>#REF!</v>
      </c>
      <c r="K46" s="92"/>
      <c r="O46" s="93"/>
      <c r="P46" s="93"/>
      <c r="R46" s="93"/>
    </row>
    <row r="47" spans="1:18" ht="105" customHeight="1">
      <c r="A47" s="17" t="e">
        <f>+MRS!#REF!</f>
        <v>#REF!</v>
      </c>
      <c r="B47" s="168" t="e">
        <f>MRS!#REF!</f>
        <v>#REF!</v>
      </c>
      <c r="C47" s="169"/>
      <c r="D47" s="170" t="e">
        <f>MRS!#REF!</f>
        <v>#REF!</v>
      </c>
      <c r="E47" s="171"/>
      <c r="F47" s="172"/>
      <c r="G47" s="90" t="e">
        <f>MRS!#REF!</f>
        <v>#REF!</v>
      </c>
      <c r="H47" s="90" t="e">
        <f>MRS!#REF!</f>
        <v>#REF!</v>
      </c>
      <c r="I47" s="91" t="e">
        <f>MRS!#REF!</f>
        <v>#REF!</v>
      </c>
      <c r="J47" s="91" t="e">
        <f>MRS!#REF!</f>
        <v>#REF!</v>
      </c>
      <c r="K47" s="92"/>
      <c r="O47" s="93"/>
      <c r="P47" s="93"/>
      <c r="R47" s="93"/>
    </row>
    <row r="48" spans="1:18" ht="105" customHeight="1">
      <c r="A48" s="17" t="e">
        <f>+MRS!#REF!</f>
        <v>#REF!</v>
      </c>
      <c r="B48" s="168" t="e">
        <f>MRS!#REF!</f>
        <v>#REF!</v>
      </c>
      <c r="C48" s="169"/>
      <c r="D48" s="170" t="e">
        <f>MRS!#REF!</f>
        <v>#REF!</v>
      </c>
      <c r="E48" s="171"/>
      <c r="F48" s="172"/>
      <c r="G48" s="90" t="e">
        <f>MRS!#REF!</f>
        <v>#REF!</v>
      </c>
      <c r="H48" s="90" t="e">
        <f>MRS!#REF!</f>
        <v>#REF!</v>
      </c>
      <c r="I48" s="91" t="e">
        <f>MRS!#REF!</f>
        <v>#REF!</v>
      </c>
      <c r="J48" s="91" t="e">
        <f>MRS!#REF!</f>
        <v>#REF!</v>
      </c>
      <c r="K48" s="92"/>
      <c r="O48" s="93"/>
      <c r="P48" s="93"/>
      <c r="R48" s="93"/>
    </row>
    <row r="49" spans="1:18" ht="105" customHeight="1">
      <c r="A49" s="17" t="e">
        <f>+MRS!#REF!</f>
        <v>#REF!</v>
      </c>
      <c r="B49" s="168" t="e">
        <f>MRS!#REF!</f>
        <v>#REF!</v>
      </c>
      <c r="C49" s="169"/>
      <c r="D49" s="170" t="e">
        <f>MRS!#REF!</f>
        <v>#REF!</v>
      </c>
      <c r="E49" s="171"/>
      <c r="F49" s="172"/>
      <c r="G49" s="90" t="e">
        <f>MRS!#REF!</f>
        <v>#REF!</v>
      </c>
      <c r="H49" s="90" t="e">
        <f>MRS!#REF!</f>
        <v>#REF!</v>
      </c>
      <c r="I49" s="91" t="e">
        <f>MRS!#REF!</f>
        <v>#REF!</v>
      </c>
      <c r="J49" s="91" t="e">
        <f>MRS!#REF!</f>
        <v>#REF!</v>
      </c>
      <c r="K49" s="92"/>
      <c r="O49" s="93"/>
      <c r="P49" s="93"/>
      <c r="R49" s="93"/>
    </row>
    <row r="50" spans="1:18" ht="105" customHeight="1">
      <c r="A50" s="17" t="e">
        <f>+MRS!#REF!</f>
        <v>#REF!</v>
      </c>
      <c r="B50" s="168" t="e">
        <f>MRS!#REF!</f>
        <v>#REF!</v>
      </c>
      <c r="C50" s="169"/>
      <c r="D50" s="170" t="e">
        <f>MRS!#REF!</f>
        <v>#REF!</v>
      </c>
      <c r="E50" s="171"/>
      <c r="F50" s="172"/>
      <c r="G50" s="90" t="e">
        <f>MRS!#REF!</f>
        <v>#REF!</v>
      </c>
      <c r="H50" s="90" t="e">
        <f>MRS!#REF!</f>
        <v>#REF!</v>
      </c>
      <c r="I50" s="91" t="e">
        <f>MRS!#REF!</f>
        <v>#REF!</v>
      </c>
      <c r="J50" s="91" t="e">
        <f>MRS!#REF!</f>
        <v>#REF!</v>
      </c>
      <c r="K50" s="92"/>
      <c r="O50" s="93"/>
      <c r="P50" s="93"/>
      <c r="R50" s="93"/>
    </row>
    <row r="51" spans="1:18" ht="105" customHeight="1">
      <c r="A51" s="17" t="e">
        <f>+MRS!#REF!</f>
        <v>#REF!</v>
      </c>
      <c r="B51" s="168" t="e">
        <f>MRS!#REF!</f>
        <v>#REF!</v>
      </c>
      <c r="C51" s="169"/>
      <c r="D51" s="170" t="e">
        <f>MRS!#REF!</f>
        <v>#REF!</v>
      </c>
      <c r="E51" s="171"/>
      <c r="F51" s="172"/>
      <c r="G51" s="90" t="e">
        <f>MRS!#REF!</f>
        <v>#REF!</v>
      </c>
      <c r="H51" s="90" t="e">
        <f>MRS!#REF!</f>
        <v>#REF!</v>
      </c>
      <c r="I51" s="91" t="e">
        <f>MRS!#REF!</f>
        <v>#REF!</v>
      </c>
      <c r="J51" s="91" t="e">
        <f>MRS!#REF!</f>
        <v>#REF!</v>
      </c>
      <c r="K51" s="92"/>
      <c r="O51" s="93"/>
      <c r="P51" s="93"/>
      <c r="R51" s="93"/>
    </row>
    <row r="52" spans="1:18" ht="105" customHeight="1">
      <c r="A52" s="17">
        <f>+MRS!A16</f>
        <v>7</v>
      </c>
      <c r="B52" s="168">
        <f>MRS!B16</f>
        <v>0</v>
      </c>
      <c r="C52" s="169"/>
      <c r="D52" s="170">
        <f>MRS!D16</f>
        <v>0</v>
      </c>
      <c r="E52" s="171"/>
      <c r="F52" s="172"/>
      <c r="G52" s="90">
        <f>MRS!G16</f>
        <v>0</v>
      </c>
      <c r="H52" s="90">
        <f>MRS!H16</f>
        <v>0</v>
      </c>
      <c r="I52" s="91">
        <f>MRS!I16</f>
        <v>0</v>
      </c>
      <c r="J52" s="91">
        <f>MRS!J16</f>
        <v>0</v>
      </c>
      <c r="K52" s="92"/>
      <c r="O52" s="93"/>
      <c r="P52" s="93"/>
      <c r="R52" s="93"/>
    </row>
    <row r="53" spans="1:18" ht="105" customHeight="1">
      <c r="A53" s="17">
        <f>+MRS!A17</f>
        <v>8</v>
      </c>
      <c r="B53" s="168">
        <f>MRS!B17</f>
        <v>0</v>
      </c>
      <c r="C53" s="169"/>
      <c r="D53" s="170">
        <f>MRS!D17</f>
        <v>0</v>
      </c>
      <c r="E53" s="171"/>
      <c r="F53" s="172"/>
      <c r="G53" s="90">
        <f>MRS!G17</f>
        <v>0</v>
      </c>
      <c r="H53" s="90">
        <f>MRS!H17</f>
        <v>0</v>
      </c>
      <c r="I53" s="91">
        <f>MRS!I17</f>
        <v>0</v>
      </c>
      <c r="J53" s="91">
        <f>MRS!J17</f>
        <v>0</v>
      </c>
      <c r="K53" s="92"/>
      <c r="O53" s="93"/>
      <c r="P53" s="93"/>
      <c r="R53" s="93"/>
    </row>
    <row r="54" spans="1:18" ht="105" customHeight="1">
      <c r="A54" s="17">
        <f>+MRS!A18</f>
        <v>9</v>
      </c>
      <c r="B54" s="168">
        <f>MRS!B18</f>
        <v>0</v>
      </c>
      <c r="C54" s="169"/>
      <c r="D54" s="170">
        <f>MRS!D18</f>
        <v>0</v>
      </c>
      <c r="E54" s="171"/>
      <c r="F54" s="172"/>
      <c r="G54" s="90">
        <f>MRS!G18</f>
        <v>0</v>
      </c>
      <c r="H54" s="90">
        <f>MRS!H18</f>
        <v>0</v>
      </c>
      <c r="I54" s="91">
        <f>MRS!I18</f>
        <v>0</v>
      </c>
      <c r="J54" s="91">
        <f>MRS!J18</f>
        <v>0</v>
      </c>
      <c r="K54" s="92"/>
      <c r="O54" s="93"/>
      <c r="P54" s="93"/>
      <c r="R54" s="93"/>
    </row>
    <row r="55" spans="1:18" ht="105" customHeight="1">
      <c r="A55" s="17" t="e">
        <f>+MRS!A19</f>
        <v>#REF!</v>
      </c>
      <c r="B55" s="168">
        <f>MRS!B19</f>
        <v>0</v>
      </c>
      <c r="C55" s="169"/>
      <c r="D55" s="170">
        <f>MRS!D19</f>
        <v>0</v>
      </c>
      <c r="E55" s="171"/>
      <c r="F55" s="172"/>
      <c r="G55" s="90">
        <f>MRS!G19</f>
        <v>0</v>
      </c>
      <c r="H55" s="90">
        <f>MRS!H19</f>
        <v>0</v>
      </c>
      <c r="I55" s="91">
        <f>MRS!I19</f>
        <v>0</v>
      </c>
      <c r="J55" s="91">
        <f>MRS!J19</f>
        <v>0</v>
      </c>
      <c r="K55" s="92"/>
      <c r="O55" s="93"/>
      <c r="P55" s="93"/>
      <c r="R55" s="93"/>
    </row>
    <row r="56" spans="1:18" ht="105" customHeight="1">
      <c r="A56" s="17" t="str">
        <f>+MRS!A20</f>
        <v>Purpose</v>
      </c>
      <c r="B56" s="168">
        <f>MRS!B20</f>
        <v>0</v>
      </c>
      <c r="C56" s="169"/>
      <c r="D56" s="170">
        <f>MRS!D20</f>
        <v>0</v>
      </c>
      <c r="E56" s="171"/>
      <c r="F56" s="172"/>
      <c r="G56" s="90">
        <f>MRS!G20</f>
        <v>0</v>
      </c>
      <c r="H56" s="90">
        <f>MRS!H20</f>
        <v>0</v>
      </c>
      <c r="I56" s="91" t="str">
        <f>MRS!I20</f>
        <v>Sum</v>
      </c>
      <c r="J56" s="91">
        <f>MRS!J20</f>
        <v>63</v>
      </c>
      <c r="K56" s="92"/>
      <c r="O56" s="93"/>
      <c r="P56" s="93"/>
      <c r="R56" s="93"/>
    </row>
    <row r="57" spans="1:18" ht="105" customHeight="1">
      <c r="A57" s="17" t="str">
        <f>+MRS!A21</f>
        <v xml:space="preserve">  * There will be an additional administration expense and financial expense (Depend on contract) deduction of total provision cost price.</v>
      </c>
      <c r="B57" s="168">
        <f>MRS!B21</f>
        <v>0</v>
      </c>
      <c r="C57" s="169"/>
      <c r="D57" s="170">
        <f>MRS!D21</f>
        <v>0</v>
      </c>
      <c r="E57" s="171"/>
      <c r="F57" s="172"/>
      <c r="G57" s="90">
        <f>MRS!G21</f>
        <v>0</v>
      </c>
      <c r="H57" s="90">
        <f>MRS!H21</f>
        <v>0</v>
      </c>
      <c r="I57" s="91">
        <f>MRS!I21</f>
        <v>0</v>
      </c>
      <c r="J57" s="91">
        <f>MRS!J21</f>
        <v>0</v>
      </c>
      <c r="K57" s="92"/>
      <c r="O57" s="93"/>
      <c r="P57" s="93"/>
      <c r="R57" s="93"/>
    </row>
    <row r="58" spans="1:18" ht="105" customHeight="1">
      <c r="A58" s="17">
        <f>+MRS!A22</f>
        <v>0</v>
      </c>
      <c r="B58" s="168">
        <f>MRS!B22</f>
        <v>0</v>
      </c>
      <c r="C58" s="169"/>
      <c r="D58" s="170">
        <f>MRS!D22</f>
        <v>0</v>
      </c>
      <c r="E58" s="171"/>
      <c r="F58" s="172"/>
      <c r="G58" s="90">
        <f>MRS!G22</f>
        <v>0</v>
      </c>
      <c r="H58" s="90">
        <f>MRS!H22</f>
        <v>0</v>
      </c>
      <c r="I58" s="91">
        <f>MRS!I22</f>
        <v>0</v>
      </c>
      <c r="J58" s="91">
        <f>MRS!J22</f>
        <v>0</v>
      </c>
      <c r="K58" s="92"/>
      <c r="O58" s="93"/>
      <c r="P58" s="93"/>
      <c r="R58" s="93"/>
    </row>
    <row r="59" spans="1:18" ht="105" customHeight="1">
      <c r="A59" s="17">
        <f>+MRS!A23</f>
        <v>0</v>
      </c>
      <c r="B59" s="168">
        <f>MRS!B23</f>
        <v>0</v>
      </c>
      <c r="C59" s="169"/>
      <c r="D59" s="170">
        <f>MRS!D23</f>
        <v>0</v>
      </c>
      <c r="E59" s="171"/>
      <c r="F59" s="172"/>
      <c r="G59" s="90">
        <f>MRS!G23</f>
        <v>0</v>
      </c>
      <c r="H59" s="90">
        <f>MRS!H23</f>
        <v>0</v>
      </c>
      <c r="I59" s="91">
        <f>MRS!I23</f>
        <v>0</v>
      </c>
      <c r="J59" s="91">
        <f>MRS!J23</f>
        <v>0</v>
      </c>
      <c r="K59" s="92"/>
      <c r="O59" s="93"/>
      <c r="P59" s="93"/>
      <c r="R59" s="93"/>
    </row>
    <row r="60" spans="1:18" ht="105" customHeight="1">
      <c r="A60" s="17">
        <f>+MRS!A24</f>
        <v>0</v>
      </c>
      <c r="B60" s="168">
        <f>MRS!B24</f>
        <v>0</v>
      </c>
      <c r="C60" s="169"/>
      <c r="D60" s="170">
        <f>MRS!D24</f>
        <v>0</v>
      </c>
      <c r="E60" s="171"/>
      <c r="F60" s="172"/>
      <c r="G60" s="90">
        <f>MRS!G24</f>
        <v>0</v>
      </c>
      <c r="H60" s="90">
        <f>MRS!H24</f>
        <v>0</v>
      </c>
      <c r="I60" s="91">
        <f>MRS!I24</f>
        <v>0</v>
      </c>
      <c r="J60" s="91">
        <f>MRS!J24</f>
        <v>0</v>
      </c>
      <c r="K60" s="92"/>
      <c r="O60" s="93"/>
      <c r="P60" s="93"/>
      <c r="R60" s="93"/>
    </row>
    <row r="61" spans="1:18" ht="105" customHeight="1">
      <c r="A61" s="17">
        <f>+MRS!A25</f>
        <v>0</v>
      </c>
      <c r="B61" s="168">
        <f>MRS!B25</f>
        <v>0</v>
      </c>
      <c r="C61" s="169"/>
      <c r="D61" s="170">
        <f>MRS!D25</f>
        <v>0</v>
      </c>
      <c r="E61" s="171"/>
      <c r="F61" s="172"/>
      <c r="G61" s="90">
        <f>MRS!G25</f>
        <v>0</v>
      </c>
      <c r="H61" s="90">
        <f>MRS!H25</f>
        <v>0</v>
      </c>
      <c r="I61" s="91">
        <f>MRS!I25</f>
        <v>0</v>
      </c>
      <c r="J61" s="91">
        <f>MRS!J25</f>
        <v>0</v>
      </c>
      <c r="K61" s="92"/>
      <c r="O61" s="93"/>
      <c r="P61" s="93"/>
      <c r="R61" s="93"/>
    </row>
    <row r="62" spans="1:18" ht="105" customHeight="1">
      <c r="A62" s="17">
        <f>+MRS!A26</f>
        <v>0</v>
      </c>
      <c r="B62" s="168">
        <f>MRS!B26</f>
        <v>0</v>
      </c>
      <c r="C62" s="169"/>
      <c r="D62" s="170">
        <f>MRS!D26</f>
        <v>0</v>
      </c>
      <c r="E62" s="171"/>
      <c r="F62" s="172"/>
      <c r="G62" s="90">
        <f>MRS!G26</f>
        <v>0</v>
      </c>
      <c r="H62" s="90">
        <f>MRS!H26</f>
        <v>0</v>
      </c>
      <c r="I62" s="91">
        <f>MRS!I26</f>
        <v>0</v>
      </c>
      <c r="J62" s="91">
        <f>MRS!J26</f>
        <v>0</v>
      </c>
      <c r="K62" s="92"/>
      <c r="O62" s="93"/>
      <c r="P62" s="93"/>
      <c r="R62" s="93"/>
    </row>
    <row r="63" spans="1:18" ht="105" customHeight="1">
      <c r="A63" s="17">
        <f>+MRS!A27</f>
        <v>0</v>
      </c>
      <c r="B63" s="168">
        <f>MRS!B27</f>
        <v>0</v>
      </c>
      <c r="C63" s="169"/>
      <c r="D63" s="170">
        <f>MRS!D27</f>
        <v>0</v>
      </c>
      <c r="E63" s="171"/>
      <c r="F63" s="172"/>
      <c r="G63" s="90">
        <f>MRS!G27</f>
        <v>0</v>
      </c>
      <c r="H63" s="90">
        <f>MRS!H27</f>
        <v>0</v>
      </c>
      <c r="I63" s="91">
        <f>MRS!I27</f>
        <v>0</v>
      </c>
      <c r="J63" s="91">
        <f>MRS!J27</f>
        <v>0</v>
      </c>
      <c r="K63" s="92"/>
      <c r="O63" s="93"/>
      <c r="P63" s="93"/>
      <c r="R63" s="93"/>
    </row>
    <row r="64" spans="1:18" ht="105" customHeight="1">
      <c r="A64" s="17">
        <f>+MRS!A28</f>
        <v>0</v>
      </c>
      <c r="B64" s="168">
        <f>MRS!B28</f>
        <v>0</v>
      </c>
      <c r="C64" s="169"/>
      <c r="D64" s="170">
        <f>MRS!D28</f>
        <v>0</v>
      </c>
      <c r="E64" s="171"/>
      <c r="F64" s="172"/>
      <c r="G64" s="90">
        <f>MRS!G28</f>
        <v>0</v>
      </c>
      <c r="H64" s="90">
        <f>MRS!H28</f>
        <v>0</v>
      </c>
      <c r="I64" s="91">
        <f>MRS!I28</f>
        <v>0</v>
      </c>
      <c r="J64" s="91">
        <f>MRS!J28</f>
        <v>0</v>
      </c>
      <c r="K64" s="92"/>
      <c r="O64" s="93"/>
      <c r="P64" s="93"/>
      <c r="R64" s="93"/>
    </row>
    <row r="65" spans="1:18" ht="105" customHeight="1">
      <c r="A65" s="17">
        <f>+MRS!A29</f>
        <v>0</v>
      </c>
      <c r="B65" s="168">
        <f>MRS!B29</f>
        <v>0</v>
      </c>
      <c r="C65" s="169"/>
      <c r="D65" s="170">
        <f>MRS!D29</f>
        <v>0</v>
      </c>
      <c r="E65" s="171"/>
      <c r="F65" s="172"/>
      <c r="G65" s="90">
        <f>MRS!G29</f>
        <v>0</v>
      </c>
      <c r="H65" s="90">
        <f>MRS!H29</f>
        <v>0</v>
      </c>
      <c r="I65" s="91">
        <f>MRS!I29</f>
        <v>0</v>
      </c>
      <c r="J65" s="91">
        <f>MRS!J29</f>
        <v>0</v>
      </c>
      <c r="K65" s="92"/>
      <c r="O65" s="93"/>
      <c r="P65" s="93"/>
      <c r="R65" s="93"/>
    </row>
    <row r="66" spans="1:18" ht="105" customHeight="1">
      <c r="A66" s="17">
        <f>+MRS!A30</f>
        <v>0</v>
      </c>
      <c r="B66" s="168">
        <f>MRS!B30</f>
        <v>0</v>
      </c>
      <c r="C66" s="169"/>
      <c r="D66" s="170">
        <f>MRS!D30</f>
        <v>0</v>
      </c>
      <c r="E66" s="171"/>
      <c r="F66" s="172"/>
      <c r="G66" s="90">
        <f>MRS!G30</f>
        <v>0</v>
      </c>
      <c r="H66" s="90">
        <f>MRS!H30</f>
        <v>0</v>
      </c>
      <c r="I66" s="91">
        <f>MRS!I30</f>
        <v>0</v>
      </c>
      <c r="J66" s="91">
        <f>MRS!J30</f>
        <v>0</v>
      </c>
      <c r="K66" s="92"/>
      <c r="O66" s="93"/>
      <c r="P66" s="93"/>
      <c r="R66" s="93"/>
    </row>
    <row r="67" spans="1:18" ht="105" customHeight="1">
      <c r="A67" s="17">
        <f>+MRS!A31</f>
        <v>0</v>
      </c>
      <c r="B67" s="168">
        <f>MRS!B31</f>
        <v>0</v>
      </c>
      <c r="C67" s="169"/>
      <c r="D67" s="170">
        <f>MRS!D31</f>
        <v>0</v>
      </c>
      <c r="E67" s="171"/>
      <c r="F67" s="172"/>
      <c r="G67" s="90">
        <f>MRS!G31</f>
        <v>0</v>
      </c>
      <c r="H67" s="90">
        <f>MRS!H31</f>
        <v>0</v>
      </c>
      <c r="I67" s="91">
        <f>MRS!I31</f>
        <v>0</v>
      </c>
      <c r="J67" s="91">
        <f>MRS!J31</f>
        <v>0</v>
      </c>
      <c r="K67" s="92"/>
      <c r="O67" s="93"/>
      <c r="P67" s="93"/>
      <c r="R67" s="93"/>
    </row>
    <row r="68" spans="1:18" ht="105" customHeight="1">
      <c r="A68" s="17">
        <f>+MRS!A32</f>
        <v>0</v>
      </c>
      <c r="B68" s="168">
        <f>MRS!B32</f>
        <v>0</v>
      </c>
      <c r="C68" s="169"/>
      <c r="D68" s="170">
        <f>MRS!D32</f>
        <v>0</v>
      </c>
      <c r="E68" s="171"/>
      <c r="F68" s="172"/>
      <c r="G68" s="90">
        <f>MRS!G32</f>
        <v>0</v>
      </c>
      <c r="H68" s="90">
        <f>MRS!H32</f>
        <v>0</v>
      </c>
      <c r="I68" s="91">
        <f>MRS!I32</f>
        <v>0</v>
      </c>
      <c r="J68" s="91">
        <f>MRS!J32</f>
        <v>0</v>
      </c>
      <c r="K68" s="92"/>
      <c r="O68" s="93"/>
      <c r="P68" s="93"/>
      <c r="R68" s="93"/>
    </row>
    <row r="69" spans="1:18" ht="105" customHeight="1">
      <c r="A69" s="17">
        <f>+MRS!A33</f>
        <v>0</v>
      </c>
      <c r="B69" s="168">
        <f>MRS!B33</f>
        <v>0</v>
      </c>
      <c r="C69" s="169"/>
      <c r="D69" s="170">
        <f>MRS!D33</f>
        <v>0</v>
      </c>
      <c r="E69" s="171"/>
      <c r="F69" s="172"/>
      <c r="G69" s="90">
        <f>MRS!G33</f>
        <v>0</v>
      </c>
      <c r="H69" s="90">
        <f>MRS!H33</f>
        <v>0</v>
      </c>
      <c r="I69" s="91">
        <f>MRS!I33</f>
        <v>0</v>
      </c>
      <c r="J69" s="91">
        <f>MRS!J33</f>
        <v>0</v>
      </c>
      <c r="K69" s="92"/>
      <c r="O69" s="93"/>
      <c r="P69" s="93"/>
      <c r="R69" s="93"/>
    </row>
    <row r="70" spans="1:18" ht="105" customHeight="1">
      <c r="A70" s="17">
        <f>+MRS!A34</f>
        <v>0</v>
      </c>
      <c r="B70" s="168">
        <f>MRS!B34</f>
        <v>0</v>
      </c>
      <c r="C70" s="169"/>
      <c r="D70" s="170">
        <f>MRS!D34</f>
        <v>0</v>
      </c>
      <c r="E70" s="171"/>
      <c r="F70" s="172"/>
      <c r="G70" s="90">
        <f>MRS!G34</f>
        <v>0</v>
      </c>
      <c r="H70" s="90">
        <f>MRS!H34</f>
        <v>0</v>
      </c>
      <c r="I70" s="91">
        <f>MRS!I34</f>
        <v>0</v>
      </c>
      <c r="J70" s="91">
        <f>MRS!J34</f>
        <v>0</v>
      </c>
      <c r="K70" s="92"/>
      <c r="O70" s="93"/>
      <c r="P70" s="93"/>
      <c r="R70" s="93"/>
    </row>
    <row r="71" spans="1:18" ht="105" customHeight="1">
      <c r="A71" s="17">
        <f>+MRS!A35</f>
        <v>0</v>
      </c>
      <c r="B71" s="168">
        <f>MRS!B35</f>
        <v>0</v>
      </c>
      <c r="C71" s="169"/>
      <c r="D71" s="170">
        <f>MRS!D35</f>
        <v>0</v>
      </c>
      <c r="E71" s="171"/>
      <c r="F71" s="172"/>
      <c r="G71" s="90">
        <f>MRS!G35</f>
        <v>0</v>
      </c>
      <c r="H71" s="90">
        <f>MRS!H35</f>
        <v>0</v>
      </c>
      <c r="I71" s="91">
        <f>MRS!I35</f>
        <v>0</v>
      </c>
      <c r="J71" s="91">
        <f>MRS!J35</f>
        <v>0</v>
      </c>
      <c r="K71" s="92"/>
      <c r="O71" s="93"/>
      <c r="P71" s="93"/>
      <c r="R71" s="93"/>
    </row>
    <row r="72" spans="1:18" ht="105" customHeight="1">
      <c r="A72" s="17">
        <f>+MRS!A36</f>
        <v>0</v>
      </c>
      <c r="B72" s="168">
        <f>MRS!B36</f>
        <v>0</v>
      </c>
      <c r="C72" s="169"/>
      <c r="D72" s="170">
        <f>MRS!D36</f>
        <v>0</v>
      </c>
      <c r="E72" s="171"/>
      <c r="F72" s="172"/>
      <c r="G72" s="90">
        <f>MRS!G36</f>
        <v>0</v>
      </c>
      <c r="H72" s="90">
        <f>MRS!H36</f>
        <v>0</v>
      </c>
      <c r="I72" s="91">
        <f>MRS!I36</f>
        <v>0</v>
      </c>
      <c r="J72" s="91">
        <f>MRS!J36</f>
        <v>0</v>
      </c>
      <c r="K72" s="92"/>
      <c r="O72" s="93"/>
      <c r="P72" s="93"/>
      <c r="R72" s="93"/>
    </row>
    <row r="73" spans="1:18" ht="105" customHeight="1">
      <c r="A73" s="17">
        <f>+MRS!A37</f>
        <v>0</v>
      </c>
      <c r="B73" s="168">
        <f>MRS!B37</f>
        <v>0</v>
      </c>
      <c r="C73" s="169"/>
      <c r="D73" s="170">
        <f>MRS!D37</f>
        <v>0</v>
      </c>
      <c r="E73" s="171"/>
      <c r="F73" s="172"/>
      <c r="G73" s="90">
        <f>MRS!G37</f>
        <v>0</v>
      </c>
      <c r="H73" s="90">
        <f>MRS!H37</f>
        <v>0</v>
      </c>
      <c r="I73" s="91">
        <f>MRS!I37</f>
        <v>0</v>
      </c>
      <c r="J73" s="91">
        <f>MRS!J37</f>
        <v>0</v>
      </c>
      <c r="K73" s="92"/>
      <c r="O73" s="93"/>
      <c r="P73" s="93"/>
      <c r="R73" s="93"/>
    </row>
    <row r="74" spans="1:18" ht="105" customHeight="1">
      <c r="A74" s="17">
        <f>+MRS!A38</f>
        <v>0</v>
      </c>
      <c r="B74" s="168">
        <f>MRS!B38</f>
        <v>0</v>
      </c>
      <c r="C74" s="169"/>
      <c r="D74" s="170">
        <f>MRS!D38</f>
        <v>0</v>
      </c>
      <c r="E74" s="171"/>
      <c r="F74" s="172"/>
      <c r="G74" s="90">
        <f>MRS!G38</f>
        <v>0</v>
      </c>
      <c r="H74" s="90">
        <f>MRS!H38</f>
        <v>0</v>
      </c>
      <c r="I74" s="91">
        <f>MRS!I38</f>
        <v>0</v>
      </c>
      <c r="J74" s="91">
        <f>MRS!J38</f>
        <v>0</v>
      </c>
      <c r="K74" s="92"/>
      <c r="O74" s="93"/>
      <c r="P74" s="93"/>
      <c r="R74" s="93"/>
    </row>
    <row r="75" spans="1:18" ht="105" customHeight="1">
      <c r="A75" s="17">
        <f>+MRS!A39</f>
        <v>0</v>
      </c>
      <c r="B75" s="168">
        <f>MRS!B39</f>
        <v>0</v>
      </c>
      <c r="C75" s="169"/>
      <c r="D75" s="170">
        <f>MRS!D39</f>
        <v>0</v>
      </c>
      <c r="E75" s="171"/>
      <c r="F75" s="172"/>
      <c r="G75" s="90">
        <f>MRS!G39</f>
        <v>0</v>
      </c>
      <c r="H75" s="90">
        <f>MRS!H39</f>
        <v>0</v>
      </c>
      <c r="I75" s="91">
        <f>MRS!I39</f>
        <v>0</v>
      </c>
      <c r="J75" s="91">
        <f>MRS!J39</f>
        <v>0</v>
      </c>
      <c r="K75" s="92"/>
      <c r="O75" s="93"/>
      <c r="P75" s="93"/>
      <c r="R75" s="93"/>
    </row>
    <row r="76" spans="1:18" ht="105" customHeight="1">
      <c r="A76" s="17">
        <f>+MRS!A40</f>
        <v>0</v>
      </c>
      <c r="B76" s="168">
        <f>MRS!B40</f>
        <v>0</v>
      </c>
      <c r="C76" s="169"/>
      <c r="D76" s="170">
        <f>MRS!D40</f>
        <v>0</v>
      </c>
      <c r="E76" s="171"/>
      <c r="F76" s="172"/>
      <c r="G76" s="90">
        <f>MRS!G40</f>
        <v>0</v>
      </c>
      <c r="H76" s="90">
        <f>MRS!H40</f>
        <v>0</v>
      </c>
      <c r="I76" s="91">
        <f>MRS!I40</f>
        <v>0</v>
      </c>
      <c r="J76" s="91">
        <f>MRS!J40</f>
        <v>0</v>
      </c>
      <c r="K76" s="92"/>
      <c r="O76" s="93"/>
      <c r="P76" s="93"/>
      <c r="R76" s="93"/>
    </row>
    <row r="77" spans="1:18" ht="105" customHeight="1">
      <c r="A77" s="17">
        <f>+MRS!A41</f>
        <v>0</v>
      </c>
      <c r="B77" s="168">
        <f>MRS!B41</f>
        <v>0</v>
      </c>
      <c r="C77" s="169"/>
      <c r="D77" s="170">
        <f>MRS!D41</f>
        <v>0</v>
      </c>
      <c r="E77" s="171"/>
      <c r="F77" s="172"/>
      <c r="G77" s="90">
        <f>MRS!G41</f>
        <v>0</v>
      </c>
      <c r="H77" s="90">
        <f>MRS!H41</f>
        <v>0</v>
      </c>
      <c r="I77" s="91">
        <f>MRS!I41</f>
        <v>0</v>
      </c>
      <c r="J77" s="91">
        <f>MRS!J41</f>
        <v>0</v>
      </c>
      <c r="K77" s="92"/>
      <c r="O77" s="93"/>
      <c r="P77" s="93"/>
      <c r="R77" s="93"/>
    </row>
    <row r="78" spans="1:18" ht="105" customHeight="1">
      <c r="A78" s="17">
        <f>+MRS!A42</f>
        <v>0</v>
      </c>
      <c r="B78" s="168">
        <f>MRS!B42</f>
        <v>0</v>
      </c>
      <c r="C78" s="169"/>
      <c r="D78" s="170">
        <f>MRS!D42</f>
        <v>0</v>
      </c>
      <c r="E78" s="171"/>
      <c r="F78" s="172"/>
      <c r="G78" s="90">
        <f>MRS!G42</f>
        <v>0</v>
      </c>
      <c r="H78" s="90">
        <f>MRS!H42</f>
        <v>0</v>
      </c>
      <c r="I78" s="91">
        <f>MRS!I42</f>
        <v>0</v>
      </c>
      <c r="J78" s="91">
        <f>MRS!J42</f>
        <v>0</v>
      </c>
      <c r="K78" s="92"/>
      <c r="O78" s="93"/>
      <c r="P78" s="93"/>
      <c r="R78" s="93"/>
    </row>
    <row r="79" spans="1:18" ht="105" customHeight="1">
      <c r="A79" s="17">
        <f>+MRS!A43</f>
        <v>0</v>
      </c>
      <c r="B79" s="168">
        <f>MRS!B43</f>
        <v>0</v>
      </c>
      <c r="C79" s="169"/>
      <c r="D79" s="170">
        <f>MRS!D43</f>
        <v>0</v>
      </c>
      <c r="E79" s="171"/>
      <c r="F79" s="172"/>
      <c r="G79" s="90">
        <f>MRS!G43</f>
        <v>0</v>
      </c>
      <c r="H79" s="90">
        <f>MRS!H43</f>
        <v>0</v>
      </c>
      <c r="I79" s="91">
        <f>MRS!I43</f>
        <v>0</v>
      </c>
      <c r="J79" s="91">
        <f>MRS!J43</f>
        <v>0</v>
      </c>
      <c r="K79" s="92"/>
      <c r="O79" s="93"/>
      <c r="P79" s="93"/>
      <c r="R79" s="93"/>
    </row>
    <row r="80" spans="1:18" ht="105" customHeight="1">
      <c r="A80" s="17">
        <f>+MRS!A44</f>
        <v>0</v>
      </c>
      <c r="B80" s="168">
        <f>MRS!B44</f>
        <v>0</v>
      </c>
      <c r="C80" s="169"/>
      <c r="D80" s="170">
        <f>MRS!D44</f>
        <v>0</v>
      </c>
      <c r="E80" s="171"/>
      <c r="F80" s="172"/>
      <c r="G80" s="90">
        <f>MRS!G44</f>
        <v>0</v>
      </c>
      <c r="H80" s="90">
        <f>MRS!H44</f>
        <v>0</v>
      </c>
      <c r="I80" s="91">
        <f>MRS!I44</f>
        <v>0</v>
      </c>
      <c r="J80" s="91">
        <f>MRS!J44</f>
        <v>0</v>
      </c>
      <c r="K80" s="92"/>
      <c r="O80" s="93"/>
      <c r="P80" s="93"/>
      <c r="R80" s="93"/>
    </row>
    <row r="81" spans="1:18" ht="105" customHeight="1">
      <c r="A81" s="17">
        <f>+MRS!A45</f>
        <v>0</v>
      </c>
      <c r="B81" s="168">
        <f>MRS!B45</f>
        <v>0</v>
      </c>
      <c r="C81" s="169"/>
      <c r="D81" s="170">
        <f>MRS!D45</f>
        <v>0</v>
      </c>
      <c r="E81" s="171"/>
      <c r="F81" s="172"/>
      <c r="G81" s="90">
        <f>MRS!G45</f>
        <v>0</v>
      </c>
      <c r="H81" s="90">
        <f>MRS!H45</f>
        <v>0</v>
      </c>
      <c r="I81" s="91">
        <f>MRS!I45</f>
        <v>0</v>
      </c>
      <c r="J81" s="91">
        <f>MRS!J45</f>
        <v>0</v>
      </c>
      <c r="K81" s="92"/>
      <c r="O81" s="93"/>
      <c r="P81" s="93"/>
      <c r="R81" s="93"/>
    </row>
    <row r="82" spans="1:18" ht="105" customHeight="1">
      <c r="A82" s="17">
        <f>+MRS!A46</f>
        <v>0</v>
      </c>
      <c r="B82" s="168">
        <f>MRS!B46</f>
        <v>0</v>
      </c>
      <c r="C82" s="169"/>
      <c r="D82" s="170">
        <f>MRS!D46</f>
        <v>0</v>
      </c>
      <c r="E82" s="171"/>
      <c r="F82" s="172"/>
      <c r="G82" s="90">
        <f>MRS!G46</f>
        <v>0</v>
      </c>
      <c r="H82" s="90">
        <f>MRS!H46</f>
        <v>0</v>
      </c>
      <c r="I82" s="91">
        <f>MRS!I46</f>
        <v>0</v>
      </c>
      <c r="J82" s="91">
        <f>MRS!J46</f>
        <v>0</v>
      </c>
      <c r="K82" s="92"/>
      <c r="O82" s="93"/>
      <c r="P82" s="93"/>
      <c r="R82" s="93"/>
    </row>
    <row r="83" spans="1:18" ht="105" customHeight="1">
      <c r="A83" s="17">
        <f>+MRS!A47</f>
        <v>0</v>
      </c>
      <c r="B83" s="168">
        <f>MRS!B47</f>
        <v>0</v>
      </c>
      <c r="C83" s="169"/>
      <c r="D83" s="170">
        <f>MRS!D47</f>
        <v>0</v>
      </c>
      <c r="E83" s="171"/>
      <c r="F83" s="172"/>
      <c r="G83" s="90">
        <f>MRS!G47</f>
        <v>0</v>
      </c>
      <c r="H83" s="90">
        <f>MRS!H47</f>
        <v>0</v>
      </c>
      <c r="I83" s="91">
        <f>MRS!I47</f>
        <v>0</v>
      </c>
      <c r="J83" s="91">
        <f>MRS!J47</f>
        <v>0</v>
      </c>
      <c r="K83" s="92"/>
      <c r="O83" s="93"/>
      <c r="P83" s="93"/>
      <c r="R83" s="93"/>
    </row>
    <row r="84" spans="1:18" ht="105" customHeight="1">
      <c r="A84" s="17">
        <f>+MRS!A48</f>
        <v>0</v>
      </c>
      <c r="B84" s="168">
        <f>MRS!B48</f>
        <v>0</v>
      </c>
      <c r="C84" s="169"/>
      <c r="D84" s="170">
        <f>MRS!D48</f>
        <v>0</v>
      </c>
      <c r="E84" s="171"/>
      <c r="F84" s="172"/>
      <c r="G84" s="90">
        <f>MRS!G48</f>
        <v>0</v>
      </c>
      <c r="H84" s="90">
        <f>MRS!H48</f>
        <v>0</v>
      </c>
      <c r="I84" s="91">
        <f>MRS!I48</f>
        <v>0</v>
      </c>
      <c r="J84" s="91">
        <f>MRS!J48</f>
        <v>0</v>
      </c>
      <c r="K84" s="92"/>
      <c r="O84" s="93"/>
      <c r="P84" s="93"/>
      <c r="R84" s="93"/>
    </row>
    <row r="85" spans="1:18" ht="105" customHeight="1">
      <c r="A85" s="17">
        <f>+MRS!A49</f>
        <v>0</v>
      </c>
      <c r="B85" s="168">
        <f>MRS!B49</f>
        <v>0</v>
      </c>
      <c r="C85" s="169"/>
      <c r="D85" s="170">
        <f>MRS!D49</f>
        <v>0</v>
      </c>
      <c r="E85" s="171"/>
      <c r="F85" s="172"/>
      <c r="G85" s="90">
        <f>MRS!G49</f>
        <v>0</v>
      </c>
      <c r="H85" s="90">
        <f>MRS!H49</f>
        <v>0</v>
      </c>
      <c r="I85" s="91">
        <f>MRS!I49</f>
        <v>0</v>
      </c>
      <c r="J85" s="91">
        <f>MRS!J49</f>
        <v>0</v>
      </c>
      <c r="K85" s="92"/>
      <c r="O85" s="93"/>
      <c r="P85" s="93"/>
      <c r="R85" s="93"/>
    </row>
    <row r="86" spans="1:18" ht="105" customHeight="1">
      <c r="A86" s="17">
        <f>+MRS!A50</f>
        <v>0</v>
      </c>
      <c r="B86" s="168">
        <f>MRS!B50</f>
        <v>0</v>
      </c>
      <c r="C86" s="169"/>
      <c r="D86" s="170">
        <f>MRS!D50</f>
        <v>0</v>
      </c>
      <c r="E86" s="171"/>
      <c r="F86" s="172"/>
      <c r="G86" s="90">
        <f>MRS!G50</f>
        <v>0</v>
      </c>
      <c r="H86" s="90">
        <f>MRS!H50</f>
        <v>0</v>
      </c>
      <c r="I86" s="91">
        <f>MRS!I50</f>
        <v>0</v>
      </c>
      <c r="J86" s="91">
        <f>MRS!J50</f>
        <v>0</v>
      </c>
      <c r="K86" s="92"/>
      <c r="O86" s="93"/>
      <c r="P86" s="93"/>
      <c r="R86" s="93"/>
    </row>
    <row r="87" spans="1:18" ht="105" customHeight="1">
      <c r="A87" s="17">
        <f>+MRS!A51</f>
        <v>0</v>
      </c>
      <c r="B87" s="168">
        <f>MRS!B51</f>
        <v>0</v>
      </c>
      <c r="C87" s="169"/>
      <c r="D87" s="170">
        <f>MRS!D51</f>
        <v>0</v>
      </c>
      <c r="E87" s="171"/>
      <c r="F87" s="172"/>
      <c r="G87" s="90">
        <f>MRS!G51</f>
        <v>0</v>
      </c>
      <c r="H87" s="90">
        <f>MRS!H51</f>
        <v>0</v>
      </c>
      <c r="I87" s="91">
        <f>MRS!I51</f>
        <v>0</v>
      </c>
      <c r="J87" s="91">
        <f>MRS!J51</f>
        <v>0</v>
      </c>
      <c r="K87" s="92"/>
      <c r="O87" s="93"/>
      <c r="P87" s="93"/>
      <c r="R87" s="93"/>
    </row>
    <row r="88" spans="1:18" ht="105" customHeight="1">
      <c r="A88" s="17">
        <f>+MRS!A52</f>
        <v>0</v>
      </c>
      <c r="B88" s="168">
        <f>MRS!B52</f>
        <v>0</v>
      </c>
      <c r="C88" s="169"/>
      <c r="D88" s="170">
        <f>MRS!D52</f>
        <v>0</v>
      </c>
      <c r="E88" s="171"/>
      <c r="F88" s="172"/>
      <c r="G88" s="90">
        <f>MRS!G52</f>
        <v>0</v>
      </c>
      <c r="H88" s="90">
        <f>MRS!H52</f>
        <v>0</v>
      </c>
      <c r="I88" s="91">
        <f>MRS!I52</f>
        <v>0</v>
      </c>
      <c r="J88" s="91">
        <f>MRS!J52</f>
        <v>0</v>
      </c>
      <c r="K88" s="92"/>
      <c r="O88" s="93"/>
      <c r="P88" s="93"/>
      <c r="R88" s="93"/>
    </row>
    <row r="89" spans="1:18" ht="105" customHeight="1">
      <c r="A89" s="17">
        <f>+MRS!A53</f>
        <v>0</v>
      </c>
      <c r="B89" s="168">
        <f>MRS!B53</f>
        <v>0</v>
      </c>
      <c r="C89" s="169"/>
      <c r="D89" s="170">
        <f>MRS!D53</f>
        <v>0</v>
      </c>
      <c r="E89" s="171"/>
      <c r="F89" s="172"/>
      <c r="G89" s="90">
        <f>MRS!G53</f>
        <v>0</v>
      </c>
      <c r="H89" s="90">
        <f>MRS!H53</f>
        <v>0</v>
      </c>
      <c r="I89" s="91">
        <f>MRS!I53</f>
        <v>0</v>
      </c>
      <c r="J89" s="91">
        <f>MRS!J53</f>
        <v>0</v>
      </c>
      <c r="K89" s="92"/>
      <c r="O89" s="93"/>
      <c r="P89" s="93"/>
      <c r="R89" s="93"/>
    </row>
    <row r="90" spans="1:18" ht="105" customHeight="1">
      <c r="A90" s="17">
        <f>+MRS!A54</f>
        <v>0</v>
      </c>
      <c r="B90" s="168">
        <f>MRS!B54</f>
        <v>0</v>
      </c>
      <c r="C90" s="169"/>
      <c r="D90" s="170">
        <f>MRS!D54</f>
        <v>0</v>
      </c>
      <c r="E90" s="171"/>
      <c r="F90" s="172"/>
      <c r="G90" s="90">
        <f>MRS!G54</f>
        <v>0</v>
      </c>
      <c r="H90" s="90">
        <f>MRS!H54</f>
        <v>0</v>
      </c>
      <c r="I90" s="91">
        <f>MRS!I54</f>
        <v>0</v>
      </c>
      <c r="J90" s="91">
        <f>MRS!J54</f>
        <v>0</v>
      </c>
      <c r="K90" s="92"/>
      <c r="O90" s="93"/>
      <c r="P90" s="93"/>
      <c r="R90" s="93"/>
    </row>
    <row r="91" spans="1:18" ht="105" customHeight="1">
      <c r="A91" s="17">
        <f>+MRS!A55</f>
        <v>0</v>
      </c>
      <c r="B91" s="168">
        <f>MRS!B55</f>
        <v>0</v>
      </c>
      <c r="C91" s="169"/>
      <c r="D91" s="170">
        <f>MRS!D55</f>
        <v>0</v>
      </c>
      <c r="E91" s="171"/>
      <c r="F91" s="172"/>
      <c r="G91" s="90">
        <f>MRS!G55</f>
        <v>0</v>
      </c>
      <c r="H91" s="90">
        <f>MRS!H55</f>
        <v>0</v>
      </c>
      <c r="I91" s="91">
        <f>MRS!I55</f>
        <v>0</v>
      </c>
      <c r="J91" s="91">
        <f>MRS!J55</f>
        <v>0</v>
      </c>
      <c r="K91" s="92"/>
      <c r="O91" s="93"/>
      <c r="P91" s="93"/>
      <c r="R91" s="93"/>
    </row>
    <row r="92" spans="1:18" ht="105" customHeight="1">
      <c r="A92" s="17">
        <f>+MRS!A56</f>
        <v>0</v>
      </c>
      <c r="B92" s="168">
        <f>MRS!B56</f>
        <v>0</v>
      </c>
      <c r="C92" s="169"/>
      <c r="D92" s="170">
        <f>MRS!D56</f>
        <v>0</v>
      </c>
      <c r="E92" s="171"/>
      <c r="F92" s="172"/>
      <c r="G92" s="90">
        <f>MRS!G56</f>
        <v>0</v>
      </c>
      <c r="H92" s="90">
        <f>MRS!H56</f>
        <v>0</v>
      </c>
      <c r="I92" s="91">
        <f>MRS!I56</f>
        <v>0</v>
      </c>
      <c r="J92" s="91">
        <f>MRS!J56</f>
        <v>0</v>
      </c>
      <c r="K92" s="92"/>
      <c r="O92" s="93"/>
      <c r="P92" s="93"/>
      <c r="R92" s="93"/>
    </row>
    <row r="93" spans="1:18" ht="105" customHeight="1">
      <c r="A93" s="17">
        <f>+MRS!A57</f>
        <v>0</v>
      </c>
      <c r="B93" s="168">
        <f>MRS!B57</f>
        <v>0</v>
      </c>
      <c r="C93" s="169"/>
      <c r="D93" s="170">
        <f>MRS!D57</f>
        <v>0</v>
      </c>
      <c r="E93" s="171"/>
      <c r="F93" s="172"/>
      <c r="G93" s="90">
        <f>MRS!G57</f>
        <v>0</v>
      </c>
      <c r="H93" s="90">
        <f>MRS!H57</f>
        <v>0</v>
      </c>
      <c r="I93" s="91">
        <f>MRS!I57</f>
        <v>0</v>
      </c>
      <c r="J93" s="91">
        <f>MRS!J57</f>
        <v>0</v>
      </c>
      <c r="K93" s="92"/>
      <c r="O93" s="93"/>
      <c r="P93" s="93"/>
      <c r="R93" s="93"/>
    </row>
    <row r="94" spans="1:18" ht="105" customHeight="1">
      <c r="A94" s="17">
        <f>+MRS!A58</f>
        <v>0</v>
      </c>
      <c r="B94" s="168">
        <f>MRS!B58</f>
        <v>0</v>
      </c>
      <c r="C94" s="169"/>
      <c r="D94" s="170">
        <f>MRS!D58</f>
        <v>0</v>
      </c>
      <c r="E94" s="171"/>
      <c r="F94" s="172"/>
      <c r="G94" s="90">
        <f>MRS!G58</f>
        <v>0</v>
      </c>
      <c r="H94" s="90">
        <f>MRS!H58</f>
        <v>0</v>
      </c>
      <c r="I94" s="91">
        <f>MRS!I58</f>
        <v>0</v>
      </c>
      <c r="J94" s="91">
        <f>MRS!J58</f>
        <v>0</v>
      </c>
      <c r="K94" s="92"/>
      <c r="O94" s="93"/>
      <c r="P94" s="93"/>
      <c r="R94" s="93"/>
    </row>
    <row r="95" spans="1:18" ht="105" customHeight="1">
      <c r="A95" s="17">
        <f>+MRS!A59</f>
        <v>0</v>
      </c>
      <c r="B95" s="168">
        <f>MRS!B59</f>
        <v>0</v>
      </c>
      <c r="C95" s="169"/>
      <c r="D95" s="170">
        <f>MRS!D59</f>
        <v>0</v>
      </c>
      <c r="E95" s="171"/>
      <c r="F95" s="172"/>
      <c r="G95" s="90">
        <f>MRS!G59</f>
        <v>0</v>
      </c>
      <c r="H95" s="90">
        <f>MRS!H59</f>
        <v>0</v>
      </c>
      <c r="I95" s="91">
        <f>MRS!I59</f>
        <v>0</v>
      </c>
      <c r="J95" s="91">
        <f>MRS!J59</f>
        <v>0</v>
      </c>
      <c r="K95" s="92"/>
      <c r="O95" s="93"/>
      <c r="P95" s="93"/>
      <c r="R95" s="93"/>
    </row>
    <row r="96" spans="1:18" ht="105" customHeight="1">
      <c r="A96" s="17">
        <f>+MRS!A60</f>
        <v>0</v>
      </c>
      <c r="B96" s="168">
        <f>MRS!B60</f>
        <v>0</v>
      </c>
      <c r="C96" s="169"/>
      <c r="D96" s="170">
        <f>MRS!D60</f>
        <v>0</v>
      </c>
      <c r="E96" s="171"/>
      <c r="F96" s="172"/>
      <c r="G96" s="90">
        <f>MRS!G60</f>
        <v>0</v>
      </c>
      <c r="H96" s="90">
        <f>MRS!H60</f>
        <v>0</v>
      </c>
      <c r="I96" s="91">
        <f>MRS!I60</f>
        <v>0</v>
      </c>
      <c r="J96" s="91">
        <f>MRS!J60</f>
        <v>0</v>
      </c>
      <c r="K96" s="92"/>
      <c r="O96" s="93"/>
      <c r="P96" s="93"/>
      <c r="R96" s="93"/>
    </row>
    <row r="97" spans="1:18" ht="105" customHeight="1">
      <c r="A97" s="17">
        <f>+MRS!A61</f>
        <v>0</v>
      </c>
      <c r="B97" s="168">
        <f>MRS!B61</f>
        <v>0</v>
      </c>
      <c r="C97" s="169"/>
      <c r="D97" s="170">
        <f>MRS!D61</f>
        <v>0</v>
      </c>
      <c r="E97" s="171"/>
      <c r="F97" s="172"/>
      <c r="G97" s="90">
        <f>MRS!G61</f>
        <v>0</v>
      </c>
      <c r="H97" s="90">
        <f>MRS!H61</f>
        <v>0</v>
      </c>
      <c r="I97" s="91">
        <f>MRS!I61</f>
        <v>0</v>
      </c>
      <c r="J97" s="91">
        <f>MRS!J61</f>
        <v>0</v>
      </c>
      <c r="K97" s="92"/>
      <c r="O97" s="93"/>
      <c r="P97" s="93"/>
      <c r="R97" s="93"/>
    </row>
    <row r="98" spans="1:18" ht="105" customHeight="1">
      <c r="A98" s="17">
        <f>+MRS!A62</f>
        <v>0</v>
      </c>
      <c r="B98" s="168">
        <f>MRS!B62</f>
        <v>0</v>
      </c>
      <c r="C98" s="169"/>
      <c r="D98" s="170">
        <f>MRS!D62</f>
        <v>0</v>
      </c>
      <c r="E98" s="171"/>
      <c r="F98" s="172"/>
      <c r="G98" s="90">
        <f>MRS!G62</f>
        <v>0</v>
      </c>
      <c r="H98" s="90">
        <f>MRS!H62</f>
        <v>0</v>
      </c>
      <c r="I98" s="91">
        <f>MRS!I62</f>
        <v>0</v>
      </c>
      <c r="J98" s="91">
        <f>MRS!J62</f>
        <v>0</v>
      </c>
      <c r="K98" s="92"/>
      <c r="O98" s="93"/>
      <c r="P98" s="93"/>
      <c r="R98" s="93"/>
    </row>
    <row r="99" spans="1:18" ht="105" customHeight="1">
      <c r="A99" s="17">
        <f>+MRS!A63</f>
        <v>0</v>
      </c>
      <c r="B99" s="168">
        <f>MRS!B63</f>
        <v>0</v>
      </c>
      <c r="C99" s="169"/>
      <c r="D99" s="170">
        <f>MRS!D63</f>
        <v>0</v>
      </c>
      <c r="E99" s="171"/>
      <c r="F99" s="172"/>
      <c r="G99" s="90">
        <f>MRS!G63</f>
        <v>0</v>
      </c>
      <c r="H99" s="90">
        <f>MRS!H63</f>
        <v>0</v>
      </c>
      <c r="I99" s="91">
        <f>MRS!I63</f>
        <v>0</v>
      </c>
      <c r="J99" s="91">
        <f>MRS!J63</f>
        <v>0</v>
      </c>
      <c r="K99" s="92"/>
      <c r="O99" s="93"/>
      <c r="P99" s="93"/>
      <c r="R99" s="93"/>
    </row>
    <row r="100" spans="1:18" ht="105" customHeight="1">
      <c r="A100" s="17">
        <f>+MRS!A64</f>
        <v>0</v>
      </c>
      <c r="B100" s="168">
        <f>MRS!B64</f>
        <v>0</v>
      </c>
      <c r="C100" s="169"/>
      <c r="D100" s="170">
        <f>MRS!D64</f>
        <v>0</v>
      </c>
      <c r="E100" s="171"/>
      <c r="F100" s="172"/>
      <c r="G100" s="90">
        <f>MRS!G64</f>
        <v>0</v>
      </c>
      <c r="H100" s="90">
        <f>MRS!H64</f>
        <v>0</v>
      </c>
      <c r="I100" s="91">
        <f>MRS!I64</f>
        <v>0</v>
      </c>
      <c r="J100" s="91">
        <f>MRS!J64</f>
        <v>0</v>
      </c>
      <c r="K100" s="92"/>
      <c r="O100" s="93"/>
      <c r="P100" s="93"/>
      <c r="R100" s="93"/>
    </row>
    <row r="101" spans="1:18" ht="105" customHeight="1">
      <c r="A101" s="17">
        <f>+MRS!A65</f>
        <v>0</v>
      </c>
      <c r="B101" s="168">
        <f>MRS!B65</f>
        <v>0</v>
      </c>
      <c r="C101" s="169"/>
      <c r="D101" s="170">
        <f>MRS!D65</f>
        <v>0</v>
      </c>
      <c r="E101" s="171"/>
      <c r="F101" s="172"/>
      <c r="G101" s="90">
        <f>MRS!G65</f>
        <v>0</v>
      </c>
      <c r="H101" s="90">
        <f>MRS!H65</f>
        <v>0</v>
      </c>
      <c r="I101" s="91">
        <f>MRS!I65</f>
        <v>0</v>
      </c>
      <c r="J101" s="91">
        <f>MRS!J65</f>
        <v>0</v>
      </c>
      <c r="K101" s="92"/>
      <c r="O101" s="93"/>
      <c r="P101" s="93"/>
      <c r="R101" s="93"/>
    </row>
    <row r="102" spans="1:18" ht="105" customHeight="1">
      <c r="A102" s="17">
        <f>+MRS!A66</f>
        <v>0</v>
      </c>
      <c r="B102" s="168">
        <f>MRS!B66</f>
        <v>0</v>
      </c>
      <c r="C102" s="169"/>
      <c r="D102" s="170">
        <f>MRS!D66</f>
        <v>0</v>
      </c>
      <c r="E102" s="171"/>
      <c r="F102" s="172"/>
      <c r="G102" s="90">
        <f>MRS!G66</f>
        <v>0</v>
      </c>
      <c r="H102" s="90">
        <f>MRS!H66</f>
        <v>0</v>
      </c>
      <c r="I102" s="91">
        <f>MRS!I66</f>
        <v>0</v>
      </c>
      <c r="J102" s="91">
        <f>MRS!J66</f>
        <v>0</v>
      </c>
      <c r="K102" s="92"/>
      <c r="O102" s="93"/>
      <c r="P102" s="93"/>
      <c r="R102" s="93"/>
    </row>
    <row r="103" spans="1:18" ht="105" customHeight="1">
      <c r="A103" s="17">
        <f>+MRS!A67</f>
        <v>0</v>
      </c>
      <c r="B103" s="168">
        <f>MRS!B67</f>
        <v>0</v>
      </c>
      <c r="C103" s="169"/>
      <c r="D103" s="170">
        <f>MRS!D67</f>
        <v>0</v>
      </c>
      <c r="E103" s="171"/>
      <c r="F103" s="172"/>
      <c r="G103" s="90">
        <f>MRS!G67</f>
        <v>0</v>
      </c>
      <c r="H103" s="90">
        <f>MRS!H67</f>
        <v>0</v>
      </c>
      <c r="I103" s="91">
        <f>MRS!I67</f>
        <v>0</v>
      </c>
      <c r="J103" s="91">
        <f>MRS!J67</f>
        <v>0</v>
      </c>
      <c r="K103" s="92"/>
      <c r="O103" s="93"/>
      <c r="P103" s="93"/>
      <c r="R103" s="93"/>
    </row>
    <row r="104" spans="1:18" ht="105" customHeight="1">
      <c r="A104" s="17">
        <f>+MRS!A68</f>
        <v>0</v>
      </c>
      <c r="B104" s="168">
        <f>MRS!B68</f>
        <v>0</v>
      </c>
      <c r="C104" s="169"/>
      <c r="D104" s="170">
        <f>MRS!D68</f>
        <v>0</v>
      </c>
      <c r="E104" s="171"/>
      <c r="F104" s="172"/>
      <c r="G104" s="90">
        <f>MRS!G68</f>
        <v>0</v>
      </c>
      <c r="H104" s="90">
        <f>MRS!H68</f>
        <v>0</v>
      </c>
      <c r="I104" s="91">
        <f>MRS!I68</f>
        <v>0</v>
      </c>
      <c r="J104" s="91">
        <f>MRS!J68</f>
        <v>0</v>
      </c>
      <c r="K104" s="92"/>
      <c r="O104" s="93"/>
      <c r="P104" s="93"/>
      <c r="R104" s="93"/>
    </row>
    <row r="105" spans="1:18" ht="105" customHeight="1">
      <c r="A105" s="17">
        <f>+MRS!A69</f>
        <v>0</v>
      </c>
      <c r="B105" s="168">
        <f>MRS!B69</f>
        <v>0</v>
      </c>
      <c r="C105" s="169"/>
      <c r="D105" s="170">
        <f>MRS!D69</f>
        <v>0</v>
      </c>
      <c r="E105" s="171"/>
      <c r="F105" s="172"/>
      <c r="G105" s="90">
        <f>MRS!G69</f>
        <v>0</v>
      </c>
      <c r="H105" s="90">
        <f>MRS!H69</f>
        <v>0</v>
      </c>
      <c r="I105" s="91">
        <f>MRS!I69</f>
        <v>0</v>
      </c>
      <c r="J105" s="91">
        <f>MRS!J69</f>
        <v>0</v>
      </c>
      <c r="K105" s="92"/>
      <c r="O105" s="93"/>
      <c r="P105" s="93"/>
      <c r="R105" s="93"/>
    </row>
    <row r="106" spans="1:18" ht="105" customHeight="1">
      <c r="A106" s="17">
        <f>+MRS!A70</f>
        <v>0</v>
      </c>
      <c r="B106" s="168">
        <f>MRS!B70</f>
        <v>0</v>
      </c>
      <c r="C106" s="169"/>
      <c r="D106" s="170">
        <f>MRS!D70</f>
        <v>0</v>
      </c>
      <c r="E106" s="171"/>
      <c r="F106" s="172"/>
      <c r="G106" s="90">
        <f>MRS!G70</f>
        <v>0</v>
      </c>
      <c r="H106" s="90">
        <f>MRS!H70</f>
        <v>0</v>
      </c>
      <c r="I106" s="91">
        <f>MRS!I70</f>
        <v>0</v>
      </c>
      <c r="J106" s="91">
        <f>MRS!J70</f>
        <v>0</v>
      </c>
      <c r="K106" s="92"/>
      <c r="O106" s="93"/>
      <c r="P106" s="93"/>
      <c r="R106" s="93"/>
    </row>
    <row r="107" spans="1:18" ht="105" customHeight="1">
      <c r="A107" s="17">
        <f>+MRS!A71</f>
        <v>0</v>
      </c>
      <c r="B107" s="168">
        <f>MRS!B71</f>
        <v>0</v>
      </c>
      <c r="C107" s="169"/>
      <c r="D107" s="170">
        <f>MRS!D71</f>
        <v>0</v>
      </c>
      <c r="E107" s="171"/>
      <c r="F107" s="172"/>
      <c r="G107" s="90">
        <f>MRS!G71</f>
        <v>0</v>
      </c>
      <c r="H107" s="90">
        <f>MRS!H71</f>
        <v>0</v>
      </c>
      <c r="I107" s="91">
        <f>MRS!I71</f>
        <v>0</v>
      </c>
      <c r="J107" s="91">
        <f>MRS!J71</f>
        <v>0</v>
      </c>
      <c r="K107" s="92"/>
      <c r="O107" s="93"/>
      <c r="P107" s="93"/>
      <c r="R107" s="93"/>
    </row>
    <row r="108" spans="1:18" ht="105" customHeight="1">
      <c r="A108" s="17">
        <f>+MRS!A72</f>
        <v>0</v>
      </c>
      <c r="B108" s="168">
        <f>MRS!B72</f>
        <v>0</v>
      </c>
      <c r="C108" s="169"/>
      <c r="D108" s="170">
        <f>MRS!D72</f>
        <v>0</v>
      </c>
      <c r="E108" s="171"/>
      <c r="F108" s="172"/>
      <c r="G108" s="90">
        <f>MRS!G72</f>
        <v>0</v>
      </c>
      <c r="H108" s="90">
        <f>MRS!H72</f>
        <v>0</v>
      </c>
      <c r="I108" s="91">
        <f>MRS!I72</f>
        <v>0</v>
      </c>
      <c r="J108" s="91">
        <f>MRS!J72</f>
        <v>0</v>
      </c>
      <c r="K108" s="92"/>
      <c r="O108" s="93"/>
      <c r="P108" s="93"/>
      <c r="R108" s="93"/>
    </row>
    <row r="109" spans="1:18" ht="105" customHeight="1">
      <c r="A109" s="17">
        <f>+MRS!A73</f>
        <v>0</v>
      </c>
      <c r="B109" s="168">
        <f>MRS!B73</f>
        <v>0</v>
      </c>
      <c r="C109" s="169"/>
      <c r="D109" s="170">
        <f>MRS!D73</f>
        <v>0</v>
      </c>
      <c r="E109" s="171"/>
      <c r="F109" s="172"/>
      <c r="G109" s="90">
        <f>MRS!G73</f>
        <v>0</v>
      </c>
      <c r="H109" s="90">
        <f>MRS!H73</f>
        <v>0</v>
      </c>
      <c r="I109" s="91">
        <f>MRS!I73</f>
        <v>0</v>
      </c>
      <c r="J109" s="91">
        <f>MRS!J73</f>
        <v>0</v>
      </c>
      <c r="K109" s="92"/>
      <c r="O109" s="93"/>
      <c r="P109" s="93"/>
      <c r="R109" s="93"/>
    </row>
    <row r="110" spans="1:18" ht="105" customHeight="1">
      <c r="A110" s="17">
        <f>+MRS!A74</f>
        <v>0</v>
      </c>
      <c r="B110" s="168">
        <f>MRS!B74</f>
        <v>0</v>
      </c>
      <c r="C110" s="169"/>
      <c r="D110" s="170">
        <f>MRS!D74</f>
        <v>0</v>
      </c>
      <c r="E110" s="171"/>
      <c r="F110" s="172"/>
      <c r="G110" s="90">
        <f>MRS!G74</f>
        <v>0</v>
      </c>
      <c r="H110" s="90">
        <f>MRS!H74</f>
        <v>0</v>
      </c>
      <c r="I110" s="91">
        <f>MRS!I74</f>
        <v>0</v>
      </c>
      <c r="J110" s="91">
        <f>MRS!J74</f>
        <v>0</v>
      </c>
      <c r="K110" s="92"/>
      <c r="O110" s="93"/>
      <c r="P110" s="93"/>
      <c r="R110" s="93"/>
    </row>
  </sheetData>
  <mergeCells count="220">
    <mergeCell ref="B109:C109"/>
    <mergeCell ref="D109:F109"/>
    <mergeCell ref="B110:C110"/>
    <mergeCell ref="D110:F110"/>
    <mergeCell ref="B106:C106"/>
    <mergeCell ref="D106:F106"/>
    <mergeCell ref="B107:C107"/>
    <mergeCell ref="D107:F107"/>
    <mergeCell ref="B108:C108"/>
    <mergeCell ref="D108:F108"/>
    <mergeCell ref="B103:C103"/>
    <mergeCell ref="D103:F103"/>
    <mergeCell ref="B104:C104"/>
    <mergeCell ref="D104:F104"/>
    <mergeCell ref="B105:C105"/>
    <mergeCell ref="D105:F105"/>
    <mergeCell ref="B100:C100"/>
    <mergeCell ref="D100:F100"/>
    <mergeCell ref="B101:C101"/>
    <mergeCell ref="D101:F101"/>
    <mergeCell ref="B102:C102"/>
    <mergeCell ref="D102:F102"/>
    <mergeCell ref="B97:C97"/>
    <mergeCell ref="D97:F97"/>
    <mergeCell ref="B98:C98"/>
    <mergeCell ref="D98:F98"/>
    <mergeCell ref="B99:C99"/>
    <mergeCell ref="D99:F99"/>
    <mergeCell ref="B94:C94"/>
    <mergeCell ref="D94:F94"/>
    <mergeCell ref="B95:C95"/>
    <mergeCell ref="D95:F95"/>
    <mergeCell ref="B96:C96"/>
    <mergeCell ref="D96:F96"/>
    <mergeCell ref="B91:C91"/>
    <mergeCell ref="D91:F91"/>
    <mergeCell ref="B92:C92"/>
    <mergeCell ref="D92:F92"/>
    <mergeCell ref="B93:C93"/>
    <mergeCell ref="D93:F93"/>
    <mergeCell ref="B88:C88"/>
    <mergeCell ref="D88:F88"/>
    <mergeCell ref="B89:C89"/>
    <mergeCell ref="D89:F89"/>
    <mergeCell ref="B90:C90"/>
    <mergeCell ref="D90:F90"/>
    <mergeCell ref="B85:C85"/>
    <mergeCell ref="D85:F85"/>
    <mergeCell ref="B86:C86"/>
    <mergeCell ref="D86:F86"/>
    <mergeCell ref="B87:C87"/>
    <mergeCell ref="D87:F87"/>
    <mergeCell ref="B82:C82"/>
    <mergeCell ref="D82:F82"/>
    <mergeCell ref="B83:C83"/>
    <mergeCell ref="D83:F83"/>
    <mergeCell ref="B84:C84"/>
    <mergeCell ref="D84:F84"/>
    <mergeCell ref="B79:C79"/>
    <mergeCell ref="D79:F79"/>
    <mergeCell ref="B80:C80"/>
    <mergeCell ref="D80:F80"/>
    <mergeCell ref="B81:C81"/>
    <mergeCell ref="D81:F81"/>
    <mergeCell ref="B76:C76"/>
    <mergeCell ref="D76:F76"/>
    <mergeCell ref="B77:C77"/>
    <mergeCell ref="D77:F77"/>
    <mergeCell ref="B78:C78"/>
    <mergeCell ref="D78:F78"/>
    <mergeCell ref="B73:C73"/>
    <mergeCell ref="D73:F73"/>
    <mergeCell ref="B74:C74"/>
    <mergeCell ref="D74:F74"/>
    <mergeCell ref="B75:C75"/>
    <mergeCell ref="D75:F75"/>
    <mergeCell ref="B70:C70"/>
    <mergeCell ref="D70:F70"/>
    <mergeCell ref="B71:C71"/>
    <mergeCell ref="D71:F71"/>
    <mergeCell ref="B72:C72"/>
    <mergeCell ref="D72:F72"/>
    <mergeCell ref="B67:C67"/>
    <mergeCell ref="D67:F67"/>
    <mergeCell ref="B68:C68"/>
    <mergeCell ref="D68:F68"/>
    <mergeCell ref="B69:C69"/>
    <mergeCell ref="D69:F69"/>
    <mergeCell ref="B64:C64"/>
    <mergeCell ref="D64:F64"/>
    <mergeCell ref="B65:C65"/>
    <mergeCell ref="D65:F65"/>
    <mergeCell ref="B66:C66"/>
    <mergeCell ref="D66:F66"/>
    <mergeCell ref="B61:C61"/>
    <mergeCell ref="D61:F61"/>
    <mergeCell ref="B62:C62"/>
    <mergeCell ref="D62:F62"/>
    <mergeCell ref="B63:C63"/>
    <mergeCell ref="D63:F63"/>
    <mergeCell ref="B58:C58"/>
    <mergeCell ref="D58:F58"/>
    <mergeCell ref="B59:C59"/>
    <mergeCell ref="D59:F59"/>
    <mergeCell ref="B60:C60"/>
    <mergeCell ref="D60:F60"/>
    <mergeCell ref="B55:C55"/>
    <mergeCell ref="D55:F55"/>
    <mergeCell ref="B56:C56"/>
    <mergeCell ref="D56:F56"/>
    <mergeCell ref="B57:C57"/>
    <mergeCell ref="D57:F57"/>
    <mergeCell ref="B52:C52"/>
    <mergeCell ref="D52:F52"/>
    <mergeCell ref="B53:C53"/>
    <mergeCell ref="D53:F53"/>
    <mergeCell ref="B54:C54"/>
    <mergeCell ref="D54:F54"/>
    <mergeCell ref="B49:C49"/>
    <mergeCell ref="D49:F49"/>
    <mergeCell ref="B50:C50"/>
    <mergeCell ref="D50:F50"/>
    <mergeCell ref="B51:C51"/>
    <mergeCell ref="D51:F51"/>
    <mergeCell ref="B46:C46"/>
    <mergeCell ref="D46:F46"/>
    <mergeCell ref="B47:C47"/>
    <mergeCell ref="D47:F47"/>
    <mergeCell ref="B48:C48"/>
    <mergeCell ref="D48:F48"/>
    <mergeCell ref="B43:C43"/>
    <mergeCell ref="D43:F43"/>
    <mergeCell ref="B44:C44"/>
    <mergeCell ref="D44:F44"/>
    <mergeCell ref="B45:C45"/>
    <mergeCell ref="D45:F45"/>
    <mergeCell ref="B40:C40"/>
    <mergeCell ref="D40:F40"/>
    <mergeCell ref="B41:C41"/>
    <mergeCell ref="D41:F41"/>
    <mergeCell ref="B42:C42"/>
    <mergeCell ref="D42:F42"/>
    <mergeCell ref="B37:C37"/>
    <mergeCell ref="D37:F37"/>
    <mergeCell ref="B38:C38"/>
    <mergeCell ref="D38:F38"/>
    <mergeCell ref="B39:C39"/>
    <mergeCell ref="D39:F39"/>
    <mergeCell ref="B34:C34"/>
    <mergeCell ref="D34:F34"/>
    <mergeCell ref="B35:C35"/>
    <mergeCell ref="D35:F35"/>
    <mergeCell ref="B36:C36"/>
    <mergeCell ref="D36:F36"/>
    <mergeCell ref="B31:C31"/>
    <mergeCell ref="D31:F31"/>
    <mergeCell ref="B32:C32"/>
    <mergeCell ref="D32:F32"/>
    <mergeCell ref="B33:C33"/>
    <mergeCell ref="D33:F33"/>
    <mergeCell ref="B28:C28"/>
    <mergeCell ref="D28:F28"/>
    <mergeCell ref="B29:C29"/>
    <mergeCell ref="D29:F29"/>
    <mergeCell ref="B30:C30"/>
    <mergeCell ref="D30:F30"/>
    <mergeCell ref="B21:C21"/>
    <mergeCell ref="D21:F21"/>
    <mergeCell ref="B18:C18"/>
    <mergeCell ref="D18:F18"/>
    <mergeCell ref="B19:C19"/>
    <mergeCell ref="D19:F19"/>
    <mergeCell ref="B20:C20"/>
    <mergeCell ref="D20:F20"/>
    <mergeCell ref="B17:C17"/>
    <mergeCell ref="D17:F17"/>
    <mergeCell ref="B25:C25"/>
    <mergeCell ref="D25:F25"/>
    <mergeCell ref="B26:C26"/>
    <mergeCell ref="D26:F26"/>
    <mergeCell ref="B27:C27"/>
    <mergeCell ref="D27:F27"/>
    <mergeCell ref="B22:C22"/>
    <mergeCell ref="D22:F22"/>
    <mergeCell ref="B23:C23"/>
    <mergeCell ref="D23:F23"/>
    <mergeCell ref="B24:C24"/>
    <mergeCell ref="D24:F24"/>
    <mergeCell ref="A4:A5"/>
    <mergeCell ref="B4:C5"/>
    <mergeCell ref="D4:F5"/>
    <mergeCell ref="G4:G5"/>
    <mergeCell ref="H4:H5"/>
    <mergeCell ref="I4:I5"/>
    <mergeCell ref="J4:J5"/>
    <mergeCell ref="K4:K5"/>
    <mergeCell ref="B9:C9"/>
    <mergeCell ref="D9:F9"/>
    <mergeCell ref="B6:C6"/>
    <mergeCell ref="D6:F6"/>
    <mergeCell ref="B7:C7"/>
    <mergeCell ref="D7:F7"/>
    <mergeCell ref="B8:C8"/>
    <mergeCell ref="D8:F8"/>
    <mergeCell ref="J1:K1"/>
    <mergeCell ref="J2:K2"/>
    <mergeCell ref="B10:C10"/>
    <mergeCell ref="D10:F10"/>
    <mergeCell ref="B11:C11"/>
    <mergeCell ref="D11:F11"/>
    <mergeCell ref="B15:C15"/>
    <mergeCell ref="D15:F15"/>
    <mergeCell ref="B16:C16"/>
    <mergeCell ref="D16:F16"/>
    <mergeCell ref="B12:C12"/>
    <mergeCell ref="D12:F12"/>
    <mergeCell ref="B13:C13"/>
    <mergeCell ref="D13:F13"/>
    <mergeCell ref="B14:C14"/>
    <mergeCell ref="D14:F14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I28" sqref="I28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91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7" customFormat="1" ht="13.5">
      <c r="B9" s="65" t="s">
        <v>22</v>
      </c>
      <c r="C9" s="66" t="s">
        <v>108</v>
      </c>
      <c r="D9" s="34"/>
      <c r="E9" s="34"/>
    </row>
    <row r="10" spans="2:13" s="34" customFormat="1">
      <c r="B10" s="65"/>
      <c r="C10" s="34" t="s">
        <v>23</v>
      </c>
      <c r="D10" s="69" t="s">
        <v>109</v>
      </c>
      <c r="J10" s="34" t="s">
        <v>24</v>
      </c>
      <c r="K10" s="176">
        <f>MRS!L3</f>
        <v>46264</v>
      </c>
      <c r="L10" s="177"/>
      <c r="M10" s="177"/>
    </row>
    <row r="11" spans="2:13" s="34" customFormat="1">
      <c r="B11" s="65"/>
      <c r="C11" s="68" t="s">
        <v>25</v>
      </c>
      <c r="D11" s="69" t="s">
        <v>110</v>
      </c>
      <c r="J11" s="34" t="s">
        <v>26</v>
      </c>
      <c r="K11" s="178" t="str">
        <f>SUBSTITUTE(SUBSTITUTE(+MRS!A3,"  MRS No : ",""),"-MRS","-PO")</f>
        <v>SAC2-DS-PO-0381</v>
      </c>
      <c r="L11" s="178"/>
      <c r="M11" s="178"/>
    </row>
    <row r="12" spans="2:13" s="34" customFormat="1">
      <c r="B12" s="65"/>
      <c r="C12" s="68" t="s">
        <v>27</v>
      </c>
      <c r="D12" s="34" t="s">
        <v>112</v>
      </c>
      <c r="J12" s="34" t="s">
        <v>28</v>
      </c>
    </row>
    <row r="13" spans="2:13" s="34" customFormat="1">
      <c r="B13" s="65"/>
      <c r="C13" s="70"/>
      <c r="D13" s="69" t="s">
        <v>113</v>
      </c>
      <c r="J13" s="34" t="s">
        <v>29</v>
      </c>
    </row>
    <row r="14" spans="2:13" s="34" customFormat="1">
      <c r="B14" s="65"/>
      <c r="C14" s="107" t="s">
        <v>114</v>
      </c>
      <c r="J14" s="34" t="s">
        <v>30</v>
      </c>
      <c r="K14" s="117" t="s">
        <v>111</v>
      </c>
    </row>
    <row r="15" spans="2:13" s="34" customFormat="1">
      <c r="B15" s="65"/>
      <c r="C15" s="68" t="s">
        <v>115</v>
      </c>
      <c r="J15" s="34" t="s">
        <v>31</v>
      </c>
      <c r="K15" s="71">
        <v>46209</v>
      </c>
    </row>
    <row r="16" spans="2:13" s="34" customFormat="1">
      <c r="C16" s="70"/>
      <c r="K16" s="71"/>
    </row>
    <row r="17" spans="2:13" ht="6" customHeight="1">
      <c r="C17" s="25"/>
      <c r="K17" s="26"/>
    </row>
    <row r="18" spans="2:13" ht="20.25">
      <c r="B18" s="179" t="s">
        <v>32</v>
      </c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</row>
    <row r="19" spans="2:13" ht="12" customHeight="1"/>
    <row r="20" spans="2:13" s="27" customFormat="1" ht="12" customHeight="1">
      <c r="B20" s="180" t="s">
        <v>33</v>
      </c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</row>
    <row r="21" spans="2:13" s="27" customFormat="1" ht="12" customHeight="1">
      <c r="B21" s="180" t="s">
        <v>34</v>
      </c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</row>
    <row r="22" spans="2:13" s="27" customFormat="1" ht="12" customHeight="1">
      <c r="B22" s="180" t="s">
        <v>35</v>
      </c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</row>
    <row r="23" spans="2:13" ht="3.75" customHeight="1"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2:13" ht="6.95" customHeight="1"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6"/>
      <c r="C26" s="69" t="s">
        <v>136</v>
      </c>
      <c r="M26" s="72" t="s">
        <v>37</v>
      </c>
    </row>
    <row r="27" spans="2:13" ht="11.1" customHeight="1">
      <c r="B27" s="28"/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108" t="s">
        <v>107</v>
      </c>
      <c r="G29" s="101"/>
      <c r="H29" s="101"/>
      <c r="M29" s="29"/>
    </row>
    <row r="30" spans="2:13" ht="15" customHeight="1">
      <c r="B30" s="28"/>
      <c r="C30" s="22" t="s">
        <v>41</v>
      </c>
      <c r="E30" s="22" t="s">
        <v>40</v>
      </c>
      <c r="F30" s="108"/>
      <c r="G30" s="101"/>
      <c r="H30" s="101"/>
    </row>
    <row r="31" spans="2:13" ht="15" customHeight="1">
      <c r="B31" s="28"/>
      <c r="C31" s="22" t="s">
        <v>42</v>
      </c>
      <c r="D31" s="30"/>
      <c r="E31" s="22" t="s">
        <v>40</v>
      </c>
      <c r="F31" s="108"/>
      <c r="G31" s="101"/>
      <c r="H31" s="101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3" t="s">
        <v>56</v>
      </c>
      <c r="C49" s="74" t="s">
        <v>89</v>
      </c>
      <c r="P49" s="75"/>
    </row>
    <row r="50" spans="2:16" s="76" customFormat="1" ht="12" customHeight="1">
      <c r="B50" s="77" t="s">
        <v>56</v>
      </c>
      <c r="C50" s="74" t="s">
        <v>84</v>
      </c>
    </row>
    <row r="51" spans="2:16" s="76" customFormat="1" ht="12" customHeight="1">
      <c r="B51" s="77" t="s">
        <v>56</v>
      </c>
      <c r="C51" s="74" t="s">
        <v>83</v>
      </c>
    </row>
    <row r="52" spans="2:16" s="76" customFormat="1" ht="6" customHeight="1">
      <c r="B52" s="77"/>
      <c r="C52" s="74"/>
    </row>
    <row r="53" spans="2:16" ht="15" customHeight="1">
      <c r="B53" s="37">
        <v>7</v>
      </c>
      <c r="C53" s="28" t="s">
        <v>92</v>
      </c>
    </row>
    <row r="54" spans="2:16" ht="12" customHeight="1">
      <c r="B54" s="77" t="s">
        <v>56</v>
      </c>
      <c r="C54" s="109" t="s">
        <v>94</v>
      </c>
      <c r="F54" s="22" t="s">
        <v>116</v>
      </c>
    </row>
    <row r="55" spans="2:16" ht="12" customHeight="1">
      <c r="B55" s="77" t="s">
        <v>56</v>
      </c>
      <c r="C55" s="109" t="s">
        <v>95</v>
      </c>
      <c r="F55" s="110" t="s">
        <v>117</v>
      </c>
    </row>
    <row r="56" spans="2:16" ht="12" customHeight="1">
      <c r="B56" s="77" t="s">
        <v>56</v>
      </c>
      <c r="C56" s="109" t="s">
        <v>96</v>
      </c>
      <c r="F56" s="22" t="s">
        <v>118</v>
      </c>
    </row>
    <row r="57" spans="2:16" ht="12" customHeight="1">
      <c r="B57" s="77" t="s">
        <v>56</v>
      </c>
      <c r="C57" s="109" t="s">
        <v>97</v>
      </c>
      <c r="F57" s="22" t="s">
        <v>119</v>
      </c>
    </row>
    <row r="58" spans="2:16" ht="12" customHeight="1">
      <c r="B58" s="77" t="s">
        <v>56</v>
      </c>
      <c r="C58" s="109" t="s">
        <v>98</v>
      </c>
      <c r="F58" s="22" t="s">
        <v>120</v>
      </c>
    </row>
    <row r="59" spans="2:16" ht="12" customHeight="1">
      <c r="B59" s="77" t="s">
        <v>56</v>
      </c>
      <c r="C59" s="109" t="s">
        <v>99</v>
      </c>
      <c r="F59" s="22" t="s">
        <v>93</v>
      </c>
    </row>
    <row r="60" spans="2:16" ht="12" customHeight="1">
      <c r="B60" s="77"/>
      <c r="C60" s="109" t="s">
        <v>100</v>
      </c>
    </row>
    <row r="61" spans="2:16" ht="6.75" customHeight="1">
      <c r="B61" s="77"/>
      <c r="C61" s="109"/>
    </row>
    <row r="62" spans="2:16" ht="6" customHeight="1">
      <c r="B62" s="111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3.5" customHeight="1">
      <c r="B66" s="22" t="s">
        <v>59</v>
      </c>
      <c r="J66" s="22" t="s">
        <v>59</v>
      </c>
    </row>
    <row r="67" spans="1:13" ht="13.5" customHeight="1">
      <c r="B67" s="22" t="s">
        <v>60</v>
      </c>
      <c r="J67" s="22" t="s">
        <v>61</v>
      </c>
      <c r="K67" s="18" t="str">
        <f>D12</f>
        <v>Samian</v>
      </c>
    </row>
    <row r="68" spans="1:13" ht="13.5" customHeight="1">
      <c r="B68" s="22" t="s">
        <v>62</v>
      </c>
      <c r="J68" s="22" t="s">
        <v>63</v>
      </c>
      <c r="K68" s="18" t="s">
        <v>121</v>
      </c>
    </row>
    <row r="69" spans="1:13" ht="13.5" customHeight="1">
      <c r="B69" s="22" t="s">
        <v>64</v>
      </c>
      <c r="J69" s="22" t="s">
        <v>65</v>
      </c>
    </row>
    <row r="70" spans="1:13" s="24" customFormat="1" ht="24.75" customHeight="1">
      <c r="B70" s="21" t="s">
        <v>90</v>
      </c>
      <c r="J70" s="183" t="str">
        <f>C9</f>
        <v>ETEK(EmpireTek Establishment)</v>
      </c>
      <c r="K70" s="183"/>
      <c r="L70" s="183"/>
      <c r="M70" s="183"/>
    </row>
    <row r="71" spans="1:13" ht="27.95" customHeight="1">
      <c r="A71" s="175" t="s">
        <v>66</v>
      </c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6"/>
  <sheetViews>
    <sheetView showGridLines="0" view="pageBreakPreview" zoomScaleSheetLayoutView="100" zoomScalePageLayoutView="55" workbookViewId="0">
      <selection activeCell="H11" sqref="H11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67</v>
      </c>
      <c r="B2" s="40" t="str">
        <f>+'PO 1st page'!K11</f>
        <v>SAC2-DS-PO-0381</v>
      </c>
      <c r="C2" s="186" t="s">
        <v>68</v>
      </c>
      <c r="D2" s="186"/>
      <c r="E2" s="186"/>
      <c r="F2" s="186"/>
      <c r="G2" s="41"/>
      <c r="H2" s="41"/>
    </row>
    <row r="3" spans="1:13" s="47" customFormat="1" ht="28.5" customHeight="1" thickBot="1">
      <c r="A3" s="42" t="s">
        <v>69</v>
      </c>
      <c r="B3" s="43">
        <f>+'PO 1st page'!K10</f>
        <v>46264</v>
      </c>
      <c r="C3" s="44"/>
      <c r="D3" s="45"/>
      <c r="E3" s="187" t="s">
        <v>70</v>
      </c>
      <c r="F3" s="187"/>
      <c r="G3" s="187"/>
      <c r="H3" s="187"/>
      <c r="I3" s="46"/>
    </row>
    <row r="4" spans="1:13" s="48" customFormat="1" ht="28.5" customHeight="1" thickTop="1">
      <c r="A4" s="188" t="s">
        <v>71</v>
      </c>
      <c r="B4" s="190" t="s">
        <v>72</v>
      </c>
      <c r="C4" s="191"/>
      <c r="D4" s="194" t="s">
        <v>73</v>
      </c>
      <c r="E4" s="194" t="s">
        <v>74</v>
      </c>
      <c r="F4" s="196" t="str">
        <f>'PO 1st page'!C9</f>
        <v>ETEK(EmpireTek Establishment)</v>
      </c>
      <c r="G4" s="197"/>
      <c r="H4" s="198" t="s">
        <v>75</v>
      </c>
      <c r="K4" s="49"/>
      <c r="L4" s="49"/>
      <c r="M4" s="49"/>
    </row>
    <row r="5" spans="1:13" s="48" customFormat="1" ht="21.95" customHeight="1">
      <c r="A5" s="189"/>
      <c r="B5" s="192"/>
      <c r="C5" s="193"/>
      <c r="D5" s="195"/>
      <c r="E5" s="195"/>
      <c r="F5" s="50" t="s">
        <v>76</v>
      </c>
      <c r="G5" s="50" t="s">
        <v>42</v>
      </c>
      <c r="H5" s="199"/>
      <c r="K5" s="49"/>
      <c r="L5" s="49"/>
      <c r="M5" s="49"/>
    </row>
    <row r="6" spans="1:13" s="48" customFormat="1" ht="32.1" customHeight="1">
      <c r="A6" s="78">
        <f t="shared" ref="A6:A15" si="0">ROW(A1)</f>
        <v>1</v>
      </c>
      <c r="B6" s="184" t="str">
        <f>MRS!B6&amp;" "&amp;MRS!D6</f>
        <v>Safety Officer Aramco Approved</v>
      </c>
      <c r="C6" s="185"/>
      <c r="D6" s="79" t="str">
        <f>MRS!G6</f>
        <v>Hour</v>
      </c>
      <c r="E6" s="80">
        <f>MRS!H6</f>
        <v>1</v>
      </c>
      <c r="F6" s="81">
        <f>+'MRS LIST'!I6</f>
        <v>38</v>
      </c>
      <c r="G6" s="82">
        <f>+'MRS LIST'!J6</f>
        <v>38</v>
      </c>
      <c r="H6" s="83" t="s">
        <v>107</v>
      </c>
      <c r="K6" s="84"/>
      <c r="L6" s="85"/>
      <c r="M6" s="49"/>
    </row>
    <row r="7" spans="1:13" s="48" customFormat="1" ht="32.1" customHeight="1">
      <c r="A7" s="78">
        <f t="shared" si="0"/>
        <v>2</v>
      </c>
      <c r="B7" s="184" t="str">
        <f>MRS!B7&amp;" "&amp;MRS!D7</f>
        <v xml:space="preserve">Work Permit Receiver </v>
      </c>
      <c r="C7" s="185"/>
      <c r="D7" s="79" t="str">
        <f>MRS!G7</f>
        <v>Hour</v>
      </c>
      <c r="E7" s="80">
        <f>MRS!H7</f>
        <v>1</v>
      </c>
      <c r="F7" s="81">
        <f>+'MRS LIST'!I7</f>
        <v>25</v>
      </c>
      <c r="G7" s="82">
        <f>+'MRS LIST'!J7</f>
        <v>25</v>
      </c>
      <c r="H7" s="83"/>
      <c r="K7" s="84"/>
      <c r="L7" s="85"/>
      <c r="M7" s="49"/>
    </row>
    <row r="8" spans="1:13" s="48" customFormat="1" ht="32.1" customHeight="1">
      <c r="A8" s="78">
        <f t="shared" si="0"/>
        <v>3</v>
      </c>
      <c r="B8" s="184" t="str">
        <f>MRS!B8&amp;" "&amp;MRS!D8</f>
        <v xml:space="preserve"> </v>
      </c>
      <c r="C8" s="185"/>
      <c r="D8" s="79"/>
      <c r="E8" s="80"/>
      <c r="F8" s="81"/>
      <c r="G8" s="82"/>
      <c r="H8" s="83"/>
      <c r="K8" s="49"/>
      <c r="L8" s="49"/>
      <c r="M8" s="49"/>
    </row>
    <row r="9" spans="1:13" s="48" customFormat="1" ht="32.1" customHeight="1">
      <c r="A9" s="78">
        <f t="shared" si="0"/>
        <v>4</v>
      </c>
      <c r="B9" s="184" t="str">
        <f>MRS!B9&amp;" "&amp;MRS!D9</f>
        <v xml:space="preserve"> </v>
      </c>
      <c r="C9" s="185"/>
      <c r="D9" s="79"/>
      <c r="E9" s="80"/>
      <c r="F9" s="81"/>
      <c r="G9" s="82"/>
      <c r="H9" s="86"/>
    </row>
    <row r="10" spans="1:13" s="48" customFormat="1" ht="32.1" customHeight="1">
      <c r="A10" s="78">
        <f t="shared" si="0"/>
        <v>5</v>
      </c>
      <c r="B10" s="184" t="str">
        <f>MRS!B10&amp;" "&amp;MRS!D10</f>
        <v xml:space="preserve"> </v>
      </c>
      <c r="C10" s="185"/>
      <c r="D10" s="79"/>
      <c r="E10" s="80"/>
      <c r="F10" s="81"/>
      <c r="G10" s="82"/>
      <c r="H10" s="86"/>
    </row>
    <row r="11" spans="1:13" s="48" customFormat="1" ht="32.1" customHeight="1">
      <c r="A11" s="78">
        <f t="shared" si="0"/>
        <v>6</v>
      </c>
      <c r="B11" s="184" t="str">
        <f>MRS!B11&amp;" "&amp;MRS!D11</f>
        <v xml:space="preserve"> </v>
      </c>
      <c r="C11" s="185"/>
      <c r="D11" s="79"/>
      <c r="E11" s="80"/>
      <c r="F11" s="81"/>
      <c r="G11" s="82"/>
      <c r="H11" s="86"/>
    </row>
    <row r="12" spans="1:13" s="48" customFormat="1" ht="32.1" customHeight="1">
      <c r="A12" s="78">
        <f t="shared" si="0"/>
        <v>7</v>
      </c>
      <c r="B12" s="184" t="str">
        <f>MRS!B12&amp;" "&amp;MRS!D12</f>
        <v xml:space="preserve"> </v>
      </c>
      <c r="C12" s="185"/>
      <c r="D12" s="79"/>
      <c r="E12" s="80"/>
      <c r="F12" s="81"/>
      <c r="G12" s="82"/>
      <c r="H12" s="86"/>
    </row>
    <row r="13" spans="1:13" s="48" customFormat="1" ht="32.1" customHeight="1">
      <c r="A13" s="78">
        <f t="shared" si="0"/>
        <v>8</v>
      </c>
      <c r="B13" s="184" t="str">
        <f>MRS!B13&amp;" "&amp;MRS!D13</f>
        <v xml:space="preserve"> </v>
      </c>
      <c r="C13" s="185"/>
      <c r="D13" s="79"/>
      <c r="E13" s="80"/>
      <c r="F13" s="81"/>
      <c r="G13" s="82"/>
      <c r="H13" s="86"/>
    </row>
    <row r="14" spans="1:13" s="48" customFormat="1" ht="32.1" customHeight="1">
      <c r="A14" s="78">
        <f t="shared" si="0"/>
        <v>9</v>
      </c>
      <c r="B14" s="184" t="str">
        <f>MRS!B14&amp;" "&amp;MRS!D14</f>
        <v xml:space="preserve"> </v>
      </c>
      <c r="C14" s="185"/>
      <c r="D14" s="79"/>
      <c r="E14" s="80"/>
      <c r="F14" s="81"/>
      <c r="G14" s="82"/>
      <c r="H14" s="86"/>
    </row>
    <row r="15" spans="1:13" s="48" customFormat="1" ht="32.1" customHeight="1">
      <c r="A15" s="78">
        <f t="shared" si="0"/>
        <v>10</v>
      </c>
      <c r="B15" s="184" t="str">
        <f>MRS!B15&amp;" "&amp;MRS!D15</f>
        <v xml:space="preserve"> </v>
      </c>
      <c r="C15" s="185"/>
      <c r="D15" s="79"/>
      <c r="E15" s="80"/>
      <c r="F15" s="81"/>
      <c r="G15" s="82"/>
      <c r="H15" s="86"/>
    </row>
    <row r="16" spans="1:13" s="48" customFormat="1" ht="23.1" customHeight="1">
      <c r="A16" s="200" t="s">
        <v>77</v>
      </c>
      <c r="B16" s="201"/>
      <c r="C16" s="201"/>
      <c r="D16" s="201"/>
      <c r="E16" s="201"/>
      <c r="F16" s="201"/>
      <c r="G16" s="51">
        <f>SUM(G6:G15)</f>
        <v>63</v>
      </c>
      <c r="H16" s="52"/>
    </row>
    <row r="17" spans="1:13" s="48" customFormat="1" ht="23.1" customHeight="1">
      <c r="A17" s="200" t="s">
        <v>41</v>
      </c>
      <c r="B17" s="201"/>
      <c r="C17" s="201"/>
      <c r="D17" s="201"/>
      <c r="E17" s="201"/>
      <c r="F17" s="201"/>
      <c r="G17" s="51">
        <f>+G16*0.15</f>
        <v>9.4499999999999993</v>
      </c>
      <c r="H17" s="52"/>
    </row>
    <row r="18" spans="1:13" s="48" customFormat="1" ht="24.95" customHeight="1" thickBot="1">
      <c r="A18" s="202" t="s">
        <v>78</v>
      </c>
      <c r="B18" s="203"/>
      <c r="C18" s="203"/>
      <c r="D18" s="203"/>
      <c r="E18" s="203"/>
      <c r="F18" s="203"/>
      <c r="G18" s="53">
        <f>G17+G16</f>
        <v>72.45</v>
      </c>
      <c r="H18" s="54"/>
    </row>
    <row r="19" spans="1:13" ht="15.75" thickTop="1">
      <c r="A19" s="55" t="str">
        <f>" 1) Above Price are as per your quotation with ref "&amp;'PO 1st page'!K14</f>
        <v xml:space="preserve"> 1) Above Price are as per your quotation with ref EMP-26-0311</v>
      </c>
      <c r="B19" s="56"/>
      <c r="C19" s="56"/>
      <c r="D19" s="57"/>
      <c r="E19" s="57"/>
      <c r="F19" s="57"/>
      <c r="G19" s="57"/>
      <c r="H19" s="57"/>
    </row>
    <row r="20" spans="1:13" ht="15">
      <c r="A20" s="58" t="s">
        <v>79</v>
      </c>
      <c r="B20" s="59"/>
      <c r="C20" s="59"/>
      <c r="D20" s="60"/>
      <c r="E20" s="60"/>
      <c r="F20" s="60"/>
      <c r="G20" s="60"/>
      <c r="H20" s="60"/>
      <c r="I20" s="61"/>
    </row>
    <row r="21" spans="1:13" ht="15.75">
      <c r="A21" s="62"/>
    </row>
    <row r="22" spans="1:13">
      <c r="A22" s="175" t="s">
        <v>80</v>
      </c>
      <c r="B22" s="175"/>
      <c r="C22" s="175"/>
      <c r="D22" s="175"/>
      <c r="E22" s="175"/>
      <c r="F22" s="175"/>
      <c r="G22" s="175"/>
      <c r="H22" s="175"/>
      <c r="I22" s="63"/>
      <c r="J22" s="63"/>
      <c r="K22" s="63"/>
      <c r="L22" s="63"/>
      <c r="M22" s="63"/>
    </row>
    <row r="23" spans="1:13" ht="15.75">
      <c r="A23" s="62"/>
      <c r="C23" s="64"/>
    </row>
    <row r="24" spans="1:13" ht="15.75">
      <c r="A24" s="62"/>
      <c r="C24" s="64"/>
    </row>
    <row r="26" spans="1:13" ht="12" customHeight="1"/>
  </sheetData>
  <mergeCells count="22">
    <mergeCell ref="A16:F16"/>
    <mergeCell ref="A17:F17"/>
    <mergeCell ref="A18:F18"/>
    <mergeCell ref="A22:H22"/>
    <mergeCell ref="B12:C12"/>
    <mergeCell ref="B14:C14"/>
    <mergeCell ref="B15:C15"/>
    <mergeCell ref="B13:C13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2026-08-30T15:17:34Z</cp:lastPrinted>
  <dcterms:created xsi:type="dcterms:W3CDTF">2024-10-20T11:50:19Z</dcterms:created>
  <dcterms:modified xsi:type="dcterms:W3CDTF">2026-08-30T16:19:06Z</dcterms:modified>
</cp:coreProperties>
</file>