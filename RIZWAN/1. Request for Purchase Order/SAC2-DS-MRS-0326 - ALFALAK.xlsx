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BDF6978-0E00-4014-AE86-A8A8AF8FB03F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F7" i="4"/>
  <c r="E7" i="4"/>
  <c r="D7" i="4"/>
  <c r="B7" i="4"/>
  <c r="P54" i="3"/>
  <c r="B6" i="4" l="1"/>
  <c r="J6" i="1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E3" i="1"/>
  <c r="H7" i="2"/>
  <c r="G7" i="2"/>
  <c r="D7" i="2"/>
  <c r="B7" i="2"/>
  <c r="K10" i="3" l="1"/>
  <c r="A21" i="4" l="1"/>
  <c r="J7" i="2"/>
  <c r="G7" i="4" s="1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<sst xmlns="http://schemas.openxmlformats.org/spreadsheetml/2006/main" count="180" uniqueCount="135">
  <si>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</si>
  <si>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</si>
  <si>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</si>
  <si>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</si>
  <si>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</si>
  <si>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</si>
  <si>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</si>
  <si>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</si>
  <si>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</si>
  <si>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</si>
  <si>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</si>
  <si>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</si>
  <si>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</si>
  <si>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</si>
  <si>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</si>
  <si>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</si>
  <si>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</si>
  <si>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</si>
  <si>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</si>
  <si>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</si>
  <si>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</si>
  <si>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</si>
  <si>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</si>
  <si>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</si>
  <si>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</si>
  <si>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</si>
  <si>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</si>
  <si>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</si>
  <si>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</si>
  <si>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</si>
  <si>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</si>
  <si>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</si>
  <si>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</si>
  <si>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</si>
  <si>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</si>
  <si>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</si>
  <si>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</si>
  <si>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</si>
  <si>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</si>
  <si>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</si>
  <si>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</si>
  <si>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</si>
  <si>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</si>
  <si>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</si>
  <si>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</si>
  <si>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</si>
  <si>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</si>
  <si>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</si>
  <si>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</si>
  <si>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</si>
  <si>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</si>
  <si>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</si>
  <si>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</si>
  <si>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</si>
  <si>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</si>
  <si>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</si>
  <si>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</si>
  <si>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</si>
  <si>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</si>
  <si>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</si>
  <si>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</si>
  <si>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</si>
  <si>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</si>
  <si>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</si>
  <si>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</si>
  <si>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</si>
  <si>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</si>
  <si>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</si>
  <si>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</si>
  <si>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</si>
  <si>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</si>
  <si>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</si>
  <si>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</si>
  <si>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</si>
  <si>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</si>
  <si>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</si>
  <si>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</si>
  <si>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</si>
  <si>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</si>
  <si>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</si>
  <si>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</si>
  <si>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</si>
  <si>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</si>
  <si>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</si>
  <si>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</si>
  <si>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</si>
  <si>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</si>
  <si>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</si>
  <si>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</si>
  <si>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</si>
  <si>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</si>
  <si>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</si>
  <si>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</si>
  <si>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</si>
  <si>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</si>
  <si>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</si>
  <si>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</si>
  <si>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</si>
  <si>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</si>
  <si>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Branch of Hyundai Engineering and Const. Co., Ltd. (HDEC)</t>
  </si>
  <si>
    <t>BRANCH OF HYUNDAI ENG. &amp; CONST. CO., LTD.</t>
  </si>
  <si>
    <t>Business Coordinator</t>
  </si>
  <si>
    <t>Hour</t>
  </si>
  <si>
    <t>AAGC</t>
  </si>
  <si>
    <t xml:space="preserve"> CR No. :</t>
    <phoneticPr fontId="5" type="noConversion"/>
  </si>
  <si>
    <t xml:space="preserve"> VAT No. : </t>
    <phoneticPr fontId="5" type="noConversion"/>
  </si>
  <si>
    <t>312595936400003</t>
  </si>
  <si>
    <t xml:space="preserve"> In Charge :</t>
    <phoneticPr fontId="5" type="noConversion"/>
  </si>
  <si>
    <t>Sadique N</t>
  </si>
  <si>
    <t>+966 53 8327865 / Email:Info@alfalakksa.com</t>
  </si>
  <si>
    <t>Landline: +966 13 362 1001 / Mobile : +966 538327865</t>
  </si>
  <si>
    <t>P.O. Box 30205 - Al-Jubail 31951 - KSA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</si>
  <si>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</si>
  <si>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</si>
  <si>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</si>
  <si>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</si>
  <si>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</si>
  <si>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</si>
  <si>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</si>
  <si>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</si>
  <si>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</si>
  <si>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AAGC(AlFalak Aldoware General Contracting Co.)</t>
  </si>
  <si>
    <t>ALFALAK ALDOWARE GENERAL CONTRACTING CO.</t>
  </si>
  <si>
    <t>SA82 4500 0000 0492 9333 5001</t>
  </si>
  <si>
    <t>SABB</t>
  </si>
  <si>
    <t>SABBSARI</t>
  </si>
  <si>
    <t>49293335001</t>
  </si>
  <si>
    <t>2055011898</t>
  </si>
  <si>
    <r>
      <t xml:space="preserve"> 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-MRS-0326</t>
    </r>
  </si>
  <si>
    <t>Scaffolder</t>
  </si>
  <si>
    <t>Rigger TUV</t>
  </si>
  <si>
    <t>AFAD-EQTN26-1776</t>
  </si>
  <si>
    <t>Scaffolder &amp; Rigger TUV</t>
  </si>
  <si>
    <t>Hourly Based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</si>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</sst>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55" fillId="0" borderId="41" xfId="6" quotePrefix="1" applyFont="1" applyBorder="1" applyAlignment="1">
      <alignment horizontal="center" vertical="center" wrapText="1"/>
    </xf>
    <xf numFmtId="0" fontId="55" fillId="0" borderId="8" xfId="0" quotePrefix="1" applyFont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0</xdr:rowOff>
        </xdr:from>
        <xdr:to>
          <xdr:col>12</xdr:col>
          <xdr:colOff>501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31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6036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L10" sqref="L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96</v>
      </c>
      <c r="B1" s="109"/>
      <c r="C1" s="109"/>
      <c r="D1" s="109"/>
      <c r="E1" s="109"/>
      <c r="F1" s="109"/>
      <c r="G1" s="1"/>
      <c r="J1" s="151" t="s">
        <v>87</v>
      </c>
      <c r="K1" s="152"/>
      <c r="L1" s="153"/>
    </row>
    <row r="2" spans="1:19" ht="20.100000000000001" customHeight="1">
      <c r="A2" s="3" t="s">
        <v>1</v>
      </c>
      <c r="B2" s="100"/>
      <c r="C2" s="100"/>
      <c r="D2" s="3" t="s">
        <v>95</v>
      </c>
      <c r="E2" s="100"/>
      <c r="F2" s="100"/>
      <c r="G2" s="100"/>
      <c r="H2" s="100"/>
      <c r="I2" s="4"/>
      <c r="J2" s="154" t="s">
        <v>94</v>
      </c>
      <c r="K2" s="155"/>
      <c r="L2" s="156"/>
    </row>
    <row r="3" spans="1:19" ht="20.100000000000001" customHeight="1">
      <c r="A3" s="3" t="s">
        <v>128</v>
      </c>
      <c r="B3" s="100"/>
      <c r="C3" s="100"/>
      <c r="D3" s="100"/>
      <c r="E3" s="157">
        <f>+L3</f>
        <v>46183</v>
      </c>
      <c r="F3" s="157"/>
      <c r="G3" s="157"/>
      <c r="H3" s="157"/>
      <c r="I3" s="157"/>
      <c r="J3" s="100"/>
      <c r="K3" s="100"/>
      <c r="L3" s="121">
        <v>46183</v>
      </c>
      <c r="M3" s="4"/>
    </row>
    <row r="4" spans="1:19" ht="15.95" customHeight="1">
      <c r="A4" s="158" t="s">
        <v>2</v>
      </c>
      <c r="B4" s="159" t="s">
        <v>3</v>
      </c>
      <c r="C4" s="159"/>
      <c r="D4" s="160" t="s">
        <v>4</v>
      </c>
      <c r="E4" s="161"/>
      <c r="F4" s="162"/>
      <c r="G4" s="166" t="s">
        <v>5</v>
      </c>
      <c r="H4" s="168" t="s">
        <v>6</v>
      </c>
      <c r="I4" s="168" t="s">
        <v>91</v>
      </c>
      <c r="J4" s="158" t="s">
        <v>92</v>
      </c>
      <c r="K4" s="168" t="s">
        <v>0</v>
      </c>
      <c r="L4" s="159" t="s">
        <v>7</v>
      </c>
    </row>
    <row r="5" spans="1:19" ht="15.95" customHeight="1">
      <c r="A5" s="158"/>
      <c r="B5" s="159"/>
      <c r="C5" s="159"/>
      <c r="D5" s="163"/>
      <c r="E5" s="164"/>
      <c r="F5" s="165"/>
      <c r="G5" s="167"/>
      <c r="H5" s="169"/>
      <c r="I5" s="169"/>
      <c r="J5" s="158"/>
      <c r="K5" s="169"/>
      <c r="L5" s="159"/>
    </row>
    <row r="6" spans="1:19" ht="22.5" customHeight="1">
      <c r="A6" s="5">
        <f t="shared" ref="A6:A15" si="0">ROW(A1)</f>
        <v>1</v>
      </c>
      <c r="B6" s="140" t="s">
        <v>129</v>
      </c>
      <c r="C6" s="141"/>
      <c r="D6" s="142"/>
      <c r="E6" s="143"/>
      <c r="F6" s="144"/>
      <c r="G6" s="110" t="s">
        <v>102</v>
      </c>
      <c r="H6" s="111">
        <v>1</v>
      </c>
      <c r="I6" s="112">
        <v>21</v>
      </c>
      <c r="J6" s="112">
        <f>I6*H6</f>
        <v>21</v>
      </c>
      <c r="K6" s="113" t="s">
        <v>103</v>
      </c>
      <c r="L6" s="114" t="s">
        <v>133</v>
      </c>
      <c r="S6" s="105"/>
    </row>
    <row r="7" spans="1:19" ht="22.5" customHeight="1">
      <c r="A7" s="5">
        <f t="shared" si="0"/>
        <v>2</v>
      </c>
      <c r="B7" s="140" t="s">
        <v>130</v>
      </c>
      <c r="C7" s="141"/>
      <c r="D7" s="142"/>
      <c r="E7" s="143"/>
      <c r="F7" s="144"/>
      <c r="G7" s="110" t="s">
        <v>102</v>
      </c>
      <c r="H7" s="111">
        <v>1</v>
      </c>
      <c r="I7" s="112">
        <v>20</v>
      </c>
      <c r="J7" s="112">
        <f>I7*H7</f>
        <v>20</v>
      </c>
      <c r="K7" s="113" t="s">
        <v>103</v>
      </c>
      <c r="L7" s="205" t="s">
        <v>134</v>
      </c>
      <c r="S7" s="105"/>
    </row>
    <row r="8" spans="1:19" ht="22.5" customHeight="1">
      <c r="A8" s="5">
        <f t="shared" si="0"/>
        <v>3</v>
      </c>
      <c r="B8" s="140"/>
      <c r="C8" s="141"/>
      <c r="D8" s="142"/>
      <c r="E8" s="143"/>
      <c r="F8" s="144"/>
      <c r="G8" s="110"/>
      <c r="H8" s="111"/>
      <c r="I8" s="112"/>
      <c r="J8" s="112"/>
      <c r="K8" s="113"/>
      <c r="L8" s="114"/>
      <c r="P8" s="2" t="s">
        <v>98</v>
      </c>
      <c r="S8" s="105"/>
    </row>
    <row r="9" spans="1:19" ht="22.5" customHeight="1">
      <c r="A9" s="5">
        <f t="shared" si="0"/>
        <v>4</v>
      </c>
      <c r="B9" s="140"/>
      <c r="C9" s="141"/>
      <c r="D9" s="142"/>
      <c r="E9" s="143"/>
      <c r="F9" s="144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0"/>
      <c r="C11" s="141"/>
      <c r="D11" s="142"/>
      <c r="E11" s="143"/>
      <c r="F11" s="144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0"/>
      <c r="C13" s="141"/>
      <c r="D13" s="142"/>
      <c r="E13" s="143"/>
      <c r="F13" s="144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0"/>
      <c r="C14" s="141"/>
      <c r="D14" s="142"/>
      <c r="E14" s="143"/>
      <c r="F14" s="144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0"/>
      <c r="C15" s="141"/>
      <c r="D15" s="142"/>
      <c r="E15" s="143"/>
      <c r="F15" s="144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45" t="s">
        <v>8</v>
      </c>
      <c r="B16" s="146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41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48"/>
      <c r="T19" s="14"/>
      <c r="U19" s="15"/>
      <c r="V19" s="14"/>
    </row>
    <row r="20" spans="1:22" ht="17.100000000000001" customHeight="1">
      <c r="O20" s="11"/>
      <c r="P20" s="11"/>
      <c r="Q20" s="11"/>
      <c r="S20" s="13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36" t="s">
        <v>17</v>
      </c>
      <c r="Q21" s="136" t="s">
        <v>18</v>
      </c>
    </row>
    <row r="22" spans="1:22" ht="18" customHeight="1">
      <c r="O22" s="18" t="s">
        <v>19</v>
      </c>
      <c r="P22" s="138"/>
      <c r="Q22" s="138"/>
      <c r="S22" s="14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4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3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9"/>
      <c r="P27" s="139"/>
      <c r="Q27" s="139"/>
    </row>
    <row r="28" spans="1:22" ht="19.899999999999999" customHeight="1">
      <c r="O28" s="139"/>
      <c r="P28" s="139"/>
      <c r="Q28" s="13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6" t="s">
        <v>21</v>
      </c>
    </row>
    <row r="41" spans="15:22" ht="19.899999999999999" customHeight="1">
      <c r="T41" s="138"/>
    </row>
    <row r="42" spans="15:22" ht="64.900000000000006" customHeight="1">
      <c r="T42" s="14"/>
    </row>
    <row r="46" spans="15:22" ht="21" customHeight="1">
      <c r="O46" s="136" t="s">
        <v>21</v>
      </c>
      <c r="P46" s="136" t="s">
        <v>21</v>
      </c>
      <c r="Q46" s="136" t="s">
        <v>21</v>
      </c>
      <c r="T46" s="136" t="s">
        <v>22</v>
      </c>
      <c r="U46" s="136" t="s">
        <v>13</v>
      </c>
      <c r="V46" s="136" t="s">
        <v>21</v>
      </c>
    </row>
    <row r="47" spans="15:22" ht="21" customHeight="1">
      <c r="O47" s="138"/>
      <c r="P47" s="138"/>
      <c r="Q47" s="138"/>
      <c r="T47" s="137"/>
      <c r="U47" s="137"/>
      <c r="V47" s="13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6" t="s">
        <v>21</v>
      </c>
      <c r="P50" s="136" t="s">
        <v>21</v>
      </c>
      <c r="Q50" s="136" t="s">
        <v>21</v>
      </c>
      <c r="T50" s="136" t="s">
        <v>13</v>
      </c>
      <c r="U50" s="136" t="s">
        <v>22</v>
      </c>
      <c r="V50" s="136" t="s">
        <v>21</v>
      </c>
    </row>
    <row r="51" spans="15:22" ht="21" customHeight="1">
      <c r="O51" s="138"/>
      <c r="P51" s="138"/>
      <c r="Q51" s="138"/>
      <c r="T51" s="137"/>
      <c r="U51" s="137"/>
      <c r="V51" s="13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G11" sqref="G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93</v>
      </c>
      <c r="B1" s="99"/>
      <c r="C1" s="99"/>
      <c r="D1" s="99"/>
      <c r="E1" s="99"/>
      <c r="F1" s="99"/>
      <c r="G1" s="1"/>
      <c r="J1" s="151" t="str">
        <f>+MRS!J1</f>
        <v>DAESHIN PLANT</v>
      </c>
      <c r="K1" s="153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54" t="str">
        <f>+MRS!J2</f>
        <v>Subcontract name (SAC2-SC-IK-SMP-01)</v>
      </c>
      <c r="K2" s="156"/>
    </row>
    <row r="3" spans="1:18" ht="24.95" customHeight="1">
      <c r="A3" s="3" t="str">
        <f>+MRS!A3</f>
        <v xml:space="preserve">   MRS No : SAC2-DS-MRS-0326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46183</v>
      </c>
    </row>
    <row r="4" spans="1:18" ht="15.95" customHeight="1">
      <c r="A4" s="180" t="s">
        <v>2</v>
      </c>
      <c r="B4" s="181" t="s">
        <v>23</v>
      </c>
      <c r="C4" s="181"/>
      <c r="D4" s="180" t="s">
        <v>4</v>
      </c>
      <c r="E4" s="180"/>
      <c r="F4" s="180"/>
      <c r="G4" s="181" t="s">
        <v>5</v>
      </c>
      <c r="H4" s="180" t="s">
        <v>88</v>
      </c>
      <c r="I4" s="180" t="s">
        <v>24</v>
      </c>
      <c r="J4" s="180" t="s">
        <v>25</v>
      </c>
      <c r="K4" s="181" t="s">
        <v>7</v>
      </c>
    </row>
    <row r="5" spans="1:18" ht="15.95" customHeight="1">
      <c r="A5" s="180"/>
      <c r="B5" s="181"/>
      <c r="C5" s="181"/>
      <c r="D5" s="180"/>
      <c r="E5" s="180"/>
      <c r="F5" s="180"/>
      <c r="G5" s="181"/>
      <c r="H5" s="180"/>
      <c r="I5" s="180"/>
      <c r="J5" s="180"/>
      <c r="K5" s="181"/>
    </row>
    <row r="6" spans="1:18" ht="105" customHeight="1">
      <c r="A6" s="21">
        <f>+MRS!A6</f>
        <v>1</v>
      </c>
      <c r="B6" s="175" t="str">
        <f>MRS!B6</f>
        <v>Scaffolder</v>
      </c>
      <c r="C6" s="176"/>
      <c r="D6" s="177">
        <f>MRS!D6</f>
        <v>0</v>
      </c>
      <c r="E6" s="178"/>
      <c r="F6" s="179"/>
      <c r="G6" s="102" t="str">
        <f>MRS!G6</f>
        <v>Hour</v>
      </c>
      <c r="H6" s="102">
        <f>MRS!H6</f>
        <v>1</v>
      </c>
      <c r="I6" s="103">
        <f>MRS!I6</f>
        <v>21</v>
      </c>
      <c r="J6" s="103">
        <f>MRS!J6</f>
        <v>21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75" t="str">
        <f>MRS!B7</f>
        <v>Rigger TUV</v>
      </c>
      <c r="C7" s="176"/>
      <c r="D7" s="177">
        <f>MRS!D7</f>
        <v>0</v>
      </c>
      <c r="E7" s="178"/>
      <c r="F7" s="179"/>
      <c r="G7" s="102" t="str">
        <f>MRS!G7</f>
        <v>Hour</v>
      </c>
      <c r="H7" s="102">
        <f>MRS!H7</f>
        <v>1</v>
      </c>
      <c r="I7" s="103">
        <f>MRS!I7</f>
        <v>20</v>
      </c>
      <c r="J7" s="103">
        <f>MRS!J7</f>
        <v>20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75">
        <f>MRS!B8</f>
        <v>0</v>
      </c>
      <c r="C8" s="176"/>
      <c r="D8" s="177">
        <f>MRS!D8</f>
        <v>0</v>
      </c>
      <c r="E8" s="178"/>
      <c r="F8" s="179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75">
        <f>MRS!B9</f>
        <v>0</v>
      </c>
      <c r="C9" s="176"/>
      <c r="D9" s="177">
        <f>MRS!D9</f>
        <v>0</v>
      </c>
      <c r="E9" s="178"/>
      <c r="F9" s="179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75">
        <f>MRS!B10</f>
        <v>0</v>
      </c>
      <c r="C10" s="176"/>
      <c r="D10" s="177">
        <f>MRS!D10</f>
        <v>0</v>
      </c>
      <c r="E10" s="178"/>
      <c r="F10" s="179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75">
        <f>MRS!B11</f>
        <v>0</v>
      </c>
      <c r="C11" s="176"/>
      <c r="D11" s="177">
        <f>MRS!D11</f>
        <v>0</v>
      </c>
      <c r="E11" s="178"/>
      <c r="F11" s="179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70"/>
      <c r="C12" s="171"/>
      <c r="D12" s="172"/>
      <c r="E12" s="173"/>
      <c r="F12" s="174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70"/>
      <c r="C13" s="171"/>
      <c r="D13" s="172"/>
      <c r="E13" s="173"/>
      <c r="F13" s="174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70"/>
      <c r="C14" s="171"/>
      <c r="D14" s="172"/>
      <c r="E14" s="173"/>
      <c r="F14" s="174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70"/>
      <c r="C15" s="171"/>
      <c r="D15" s="172"/>
      <c r="E15" s="173"/>
      <c r="F15" s="174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70"/>
      <c r="C16" s="171"/>
      <c r="D16" s="172"/>
      <c r="E16" s="173"/>
      <c r="F16" s="174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70"/>
      <c r="C17" s="171"/>
      <c r="D17" s="172"/>
      <c r="E17" s="173"/>
      <c r="F17" s="174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5" zoomScale="120" zoomScaleNormal="100" zoomScaleSheetLayoutView="120" workbookViewId="0">
      <selection activeCell="H46" sqref="H4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100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121</v>
      </c>
      <c r="D9" s="38"/>
      <c r="E9" s="38"/>
    </row>
    <row r="10" spans="2:13" s="38" customFormat="1">
      <c r="B10" s="71"/>
      <c r="C10" s="38" t="s">
        <v>104</v>
      </c>
      <c r="D10" s="75" t="s">
        <v>127</v>
      </c>
      <c r="J10" s="38" t="s">
        <v>32</v>
      </c>
      <c r="K10" s="128">
        <f>MRS!L3</f>
        <v>46183</v>
      </c>
      <c r="L10" s="129"/>
      <c r="M10" s="129"/>
    </row>
    <row r="11" spans="2:13" s="38" customFormat="1">
      <c r="B11" s="71"/>
      <c r="C11" s="74" t="s">
        <v>105</v>
      </c>
      <c r="D11" s="75" t="s">
        <v>106</v>
      </c>
      <c r="J11" s="38" t="s">
        <v>33</v>
      </c>
      <c r="K11" s="130" t="str">
        <f>SUBSTITUTE(SUBSTITUTE(+MRS!A3,"  MRS No : ",""),"-MRS","-PO")</f>
        <v xml:space="preserve"> SAC2-DS-PO-0326</v>
      </c>
      <c r="L11" s="130"/>
      <c r="M11" s="130"/>
    </row>
    <row r="12" spans="2:13" s="38" customFormat="1">
      <c r="B12" s="71"/>
      <c r="C12" s="74" t="s">
        <v>107</v>
      </c>
      <c r="D12" s="38" t="s">
        <v>108</v>
      </c>
      <c r="J12" s="38" t="s">
        <v>34</v>
      </c>
    </row>
    <row r="13" spans="2:13" s="38" customFormat="1">
      <c r="B13" s="71"/>
      <c r="C13" s="76"/>
      <c r="D13" s="75" t="s">
        <v>109</v>
      </c>
      <c r="J13" s="38" t="s">
        <v>35</v>
      </c>
    </row>
    <row r="14" spans="2:13" s="38" customFormat="1">
      <c r="B14" s="71"/>
      <c r="C14" s="76" t="s">
        <v>111</v>
      </c>
      <c r="J14" s="38" t="s">
        <v>36</v>
      </c>
      <c r="K14" s="38" t="s">
        <v>131</v>
      </c>
    </row>
    <row r="15" spans="2:13" s="38" customFormat="1">
      <c r="B15" s="71"/>
      <c r="C15" s="76" t="s">
        <v>110</v>
      </c>
      <c r="J15" s="38" t="s">
        <v>37</v>
      </c>
      <c r="K15" s="77">
        <v>46183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31" t="s">
        <v>38</v>
      </c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</row>
    <row r="19" spans="2:13" ht="12" customHeight="1"/>
    <row r="20" spans="2:13" s="31" customFormat="1" ht="12" customHeight="1">
      <c r="B20" s="132" t="s">
        <v>39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</row>
    <row r="21" spans="2:13" s="31" customFormat="1" ht="12" customHeight="1">
      <c r="B21" s="132" t="s">
        <v>40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</row>
    <row r="22" spans="2:13" s="31" customFormat="1" ht="12" customHeight="1">
      <c r="B22" s="132" t="s">
        <v>41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</row>
    <row r="23" spans="2:13" ht="6.95" customHeight="1"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</row>
    <row r="24" spans="2:13" ht="6.95" customHeight="1"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</row>
    <row r="25" spans="2:13" s="32" customFormat="1" ht="15" customHeight="1">
      <c r="B25" s="32">
        <v>1</v>
      </c>
      <c r="C25" s="32" t="s">
        <v>42</v>
      </c>
    </row>
    <row r="26" spans="2:13" s="38" customFormat="1" ht="12" customHeight="1">
      <c r="B26" s="72"/>
      <c r="C26" s="75" t="s">
        <v>132</v>
      </c>
      <c r="M26" s="78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24" t="s">
        <v>133</v>
      </c>
      <c r="G29" s="124"/>
      <c r="H29" s="124"/>
      <c r="M29" s="33"/>
    </row>
    <row r="30" spans="2:13" ht="12" customHeight="1">
      <c r="B30" s="32"/>
      <c r="C30" s="26" t="s">
        <v>47</v>
      </c>
      <c r="E30" s="26" t="s">
        <v>46</v>
      </c>
      <c r="F30" s="124"/>
      <c r="G30" s="124"/>
      <c r="H30" s="124"/>
    </row>
    <row r="31" spans="2:13" ht="12" customHeight="1">
      <c r="B31" s="32"/>
      <c r="C31" s="26" t="s">
        <v>48</v>
      </c>
      <c r="D31" s="34"/>
      <c r="E31" s="26" t="s">
        <v>46</v>
      </c>
      <c r="F31" s="124"/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2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9" t="s">
        <v>62</v>
      </c>
      <c r="C49" s="80" t="s">
        <v>97</v>
      </c>
      <c r="P49" s="81"/>
    </row>
    <row r="50" spans="2:16" s="82" customFormat="1" ht="12" customHeight="1">
      <c r="B50" s="83" t="s">
        <v>62</v>
      </c>
      <c r="C50" s="80" t="s">
        <v>90</v>
      </c>
    </row>
    <row r="51" spans="2:16" s="82" customFormat="1" ht="12" customHeight="1">
      <c r="B51" s="83" t="s">
        <v>62</v>
      </c>
      <c r="C51" s="80" t="s">
        <v>89</v>
      </c>
    </row>
    <row r="52" spans="2:16" s="82" customFormat="1" ht="4.5" customHeight="1">
      <c r="B52" s="83"/>
      <c r="C52" s="80"/>
    </row>
    <row r="53" spans="2:16" ht="15" customHeight="1">
      <c r="B53" s="41">
        <v>7</v>
      </c>
      <c r="C53" s="32" t="s">
        <v>112</v>
      </c>
    </row>
    <row r="54" spans="2:16" ht="12" customHeight="1">
      <c r="B54" s="83" t="s">
        <v>62</v>
      </c>
      <c r="C54" s="125" t="s">
        <v>113</v>
      </c>
      <c r="F54" s="26" t="s">
        <v>122</v>
      </c>
      <c r="P54" s="26" t="str">
        <f>UPPER(F54)</f>
        <v>ALFALAK ALDOWARE GENERAL CONTRACTING CO.</v>
      </c>
    </row>
    <row r="55" spans="2:16" ht="12" customHeight="1">
      <c r="B55" s="83" t="s">
        <v>62</v>
      </c>
      <c r="C55" s="125" t="s">
        <v>114</v>
      </c>
      <c r="F55" s="126" t="s">
        <v>126</v>
      </c>
    </row>
    <row r="56" spans="2:16" ht="12" customHeight="1">
      <c r="B56" s="83" t="s">
        <v>62</v>
      </c>
      <c r="C56" s="125" t="s">
        <v>115</v>
      </c>
      <c r="F56" s="126" t="s">
        <v>123</v>
      </c>
    </row>
    <row r="57" spans="2:16" ht="12" customHeight="1">
      <c r="B57" s="83" t="s">
        <v>62</v>
      </c>
      <c r="C57" s="125" t="s">
        <v>116</v>
      </c>
      <c r="F57" s="26" t="s">
        <v>124</v>
      </c>
    </row>
    <row r="58" spans="2:16" ht="12" customHeight="1">
      <c r="B58" s="83" t="s">
        <v>62</v>
      </c>
      <c r="C58" s="125" t="s">
        <v>117</v>
      </c>
      <c r="F58" s="26" t="s">
        <v>125</v>
      </c>
    </row>
    <row r="59" spans="2:16" ht="12" customHeight="1">
      <c r="B59" s="83" t="s">
        <v>62</v>
      </c>
      <c r="C59" s="125" t="s">
        <v>118</v>
      </c>
      <c r="F59" s="26" t="s">
        <v>119</v>
      </c>
    </row>
    <row r="60" spans="2:16" ht="12" customHeight="1">
      <c r="B60" s="83"/>
      <c r="C60" s="125" t="s">
        <v>120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Sadique N</v>
      </c>
    </row>
    <row r="68" spans="1:13" ht="18" customHeight="1">
      <c r="B68" s="26" t="s">
        <v>68</v>
      </c>
      <c r="J68" s="26" t="s">
        <v>69</v>
      </c>
      <c r="K68" s="22" t="s">
        <v>101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99</v>
      </c>
      <c r="J70" s="135" t="str">
        <f>C9</f>
        <v>AAGC(AlFalak Aldoware General Contracting Co.)</v>
      </c>
      <c r="K70" s="135"/>
      <c r="L70" s="135"/>
      <c r="M70" s="135"/>
    </row>
    <row r="71" spans="1:13" ht="27.95" customHeight="1">
      <c r="A71" s="127" t="s">
        <v>72</v>
      </c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14" sqref="L14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 xml:space="preserve"> SAC2-DS-PO-0326</v>
      </c>
      <c r="C2" s="190" t="s">
        <v>74</v>
      </c>
      <c r="D2" s="190"/>
      <c r="E2" s="190"/>
      <c r="F2" s="190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46183</v>
      </c>
      <c r="C3" s="50"/>
      <c r="D3" s="51"/>
      <c r="E3" s="191" t="s">
        <v>76</v>
      </c>
      <c r="F3" s="191"/>
      <c r="G3" s="191"/>
      <c r="H3" s="191"/>
      <c r="I3" s="52"/>
    </row>
    <row r="4" spans="1:13" s="54" customFormat="1" ht="28.5" customHeight="1" thickTop="1">
      <c r="A4" s="192" t="s">
        <v>77</v>
      </c>
      <c r="B4" s="194" t="s">
        <v>78</v>
      </c>
      <c r="C4" s="195"/>
      <c r="D4" s="198" t="s">
        <v>79</v>
      </c>
      <c r="E4" s="198" t="s">
        <v>80</v>
      </c>
      <c r="F4" s="200" t="str">
        <f>'PO 1st page'!C9</f>
        <v>AAGC(AlFalak Aldoware General Contracting Co.)</v>
      </c>
      <c r="G4" s="201"/>
      <c r="H4" s="202" t="s">
        <v>81</v>
      </c>
      <c r="K4" s="55"/>
      <c r="L4" s="55"/>
      <c r="M4" s="55"/>
    </row>
    <row r="5" spans="1:13" s="54" customFormat="1" ht="21.95" customHeight="1">
      <c r="A5" s="193"/>
      <c r="B5" s="196"/>
      <c r="C5" s="197"/>
      <c r="D5" s="199"/>
      <c r="E5" s="199"/>
      <c r="F5" s="56" t="s">
        <v>82</v>
      </c>
      <c r="G5" s="56" t="s">
        <v>48</v>
      </c>
      <c r="H5" s="203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8" t="str">
        <f>CONCATENATE(MRS!B6," ",MRS!D6)</f>
        <v xml:space="preserve">Scaffolder </v>
      </c>
      <c r="C6" s="189"/>
      <c r="D6" s="85" t="str">
        <f>+'MRS LIST'!G6</f>
        <v>Hour</v>
      </c>
      <c r="E6" s="86">
        <f>+'MRS LIST'!H6</f>
        <v>1</v>
      </c>
      <c r="F6" s="87">
        <f>+'MRS LIST'!I6</f>
        <v>21</v>
      </c>
      <c r="G6" s="88">
        <f>+'MRS LIST'!J6</f>
        <v>21</v>
      </c>
      <c r="H6" s="89" t="s">
        <v>133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8" t="str">
        <f>CONCATENATE(MRS!B7," ",MRS!D7)</f>
        <v xml:space="preserve">Rigger TUV </v>
      </c>
      <c r="C7" s="189"/>
      <c r="D7" s="85" t="str">
        <f>+'MRS LIST'!G7</f>
        <v>Hour</v>
      </c>
      <c r="E7" s="86">
        <f>+'MRS LIST'!H7</f>
        <v>1</v>
      </c>
      <c r="F7" s="87">
        <f>+'MRS LIST'!I7</f>
        <v>20</v>
      </c>
      <c r="G7" s="88">
        <f>+'MRS LIST'!J7</f>
        <v>20</v>
      </c>
      <c r="H7" s="204" t="s">
        <v>134</v>
      </c>
      <c r="K7" s="90"/>
      <c r="L7" s="91"/>
      <c r="M7" s="55"/>
    </row>
    <row r="8" spans="1:13" s="54" customFormat="1" ht="32.1" customHeight="1">
      <c r="A8" s="92">
        <f t="shared" si="0"/>
        <v>3</v>
      </c>
      <c r="B8" s="188"/>
      <c r="C8" s="189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8"/>
      <c r="C9" s="189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8"/>
      <c r="C10" s="189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8"/>
      <c r="C11" s="189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6"/>
      <c r="C12" s="187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6"/>
      <c r="C13" s="187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6"/>
      <c r="C14" s="187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6"/>
      <c r="C15" s="187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6"/>
      <c r="C16" s="187"/>
      <c r="D16" s="93"/>
      <c r="E16" s="94"/>
      <c r="F16" s="95"/>
      <c r="G16" s="96"/>
      <c r="H16" s="97"/>
      <c r="J16" s="54" t="s">
        <v>98</v>
      </c>
    </row>
    <row r="17" spans="1:13" s="54" customFormat="1" ht="32.1" customHeight="1">
      <c r="A17" s="92">
        <f t="shared" si="0"/>
        <v>12</v>
      </c>
      <c r="B17" s="186"/>
      <c r="C17" s="187"/>
      <c r="D17" s="93"/>
      <c r="E17" s="94"/>
      <c r="F17" s="95"/>
      <c r="G17" s="96"/>
      <c r="H17" s="97"/>
    </row>
    <row r="18" spans="1:13" s="54" customFormat="1" ht="23.1" customHeight="1">
      <c r="A18" s="182" t="s">
        <v>83</v>
      </c>
      <c r="B18" s="183"/>
      <c r="C18" s="183"/>
      <c r="D18" s="183"/>
      <c r="E18" s="183"/>
      <c r="F18" s="183"/>
      <c r="G18" s="57">
        <f>SUM(G6:G17)</f>
        <v>41</v>
      </c>
      <c r="H18" s="58"/>
    </row>
    <row r="19" spans="1:13" s="54" customFormat="1" ht="23.1" customHeight="1">
      <c r="A19" s="182" t="s">
        <v>47</v>
      </c>
      <c r="B19" s="183"/>
      <c r="C19" s="183"/>
      <c r="D19" s="183"/>
      <c r="E19" s="183"/>
      <c r="F19" s="183"/>
      <c r="G19" s="57">
        <f>+G18*0.15</f>
        <v>6.1499999999999995</v>
      </c>
      <c r="H19" s="58"/>
    </row>
    <row r="20" spans="1:13" s="54" customFormat="1" ht="24.95" customHeight="1" thickBot="1">
      <c r="A20" s="184" t="s">
        <v>84</v>
      </c>
      <c r="B20" s="185"/>
      <c r="C20" s="185"/>
      <c r="D20" s="185"/>
      <c r="E20" s="185"/>
      <c r="F20" s="185"/>
      <c r="G20" s="59">
        <f>G19+G18</f>
        <v>47.15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AFAD-EQTN26-1776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27" t="s">
        <v>86</v>
      </c>
      <c r="B24" s="127"/>
      <c r="C24" s="127"/>
      <c r="D24" s="127"/>
      <c r="E24" s="127"/>
      <c r="F24" s="127"/>
      <c r="G24" s="127"/>
      <c r="H24" s="127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2026-06-11T04:22:12Z</cp:lastPrinted>
  <dcterms:created xsi:type="dcterms:W3CDTF">2024-10-20T11:50:19Z</dcterms:created>
  <dcterms:modified xsi:type="dcterms:W3CDTF">2026-06-11T04:22:13Z</dcterms:modified>
</cp:coreProperties>
</file>