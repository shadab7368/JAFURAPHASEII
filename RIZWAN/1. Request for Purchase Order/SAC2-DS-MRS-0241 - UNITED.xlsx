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2299D6F-E246-4AAD-974C-6E3B712A7875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H7" i="4"/>
  <c r="H6" i="4"/>
  <c r="E7" i="4"/>
  <c r="F7" i="4"/>
  <c r="G7" i="4"/>
  <c r="F6" i="4"/>
  <c r="G6" i="4"/>
  <c r="E6" i="4"/>
  <c r="D7" i="4"/>
  <c r="D6" i="4"/>
  <c r="B7" i="4"/>
  <c r="C27" i="3"/>
  <c r="C26" i="3"/>
  <c r="B6" i="4" s="1"/>
  <c r="P54" i="3" l="1"/>
  <c r="K67" i="3" l="1"/>
  <c r="E3" i="1"/>
  <c r="H7" i="2"/>
  <c r="G7" i="2"/>
  <c r="D7" i="2"/>
  <c r="B7" i="2"/>
  <c r="J6" i="1" l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<sst xmlns="http://schemas.openxmlformats.org/spreadsheetml/2006/main" count="177" uniqueCount="135">
  <si>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</si>
  <si>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</si>
  <si>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</si>
  <si>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</si>
  <si>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</si>
  <si>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</si>
  <si>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</si>
  <si>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</si>
  <si>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</si>
  <si>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</si>
  <si>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</si>
  <si>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</si>
  <si>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</si>
  <si>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</si>
  <si>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</si>
  <si>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</si>
  <si>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</si>
  <si>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</si>
  <si>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</si>
  <si>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</si>
  <si>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</si>
  <si>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</si>
  <si>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</si>
  <si>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</si>
  <si>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</si>
  <si>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</si>
  <si>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</si>
  <si>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</si>
  <si>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</si>
  <si>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</si>
  <si>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</si>
  <si>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</si>
  <si>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</si>
  <si>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</si>
  <si>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</si>
  <si>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</si>
  <si>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</si>
  <si>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</si>
  <si>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</si>
  <si>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</si>
  <si>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</si>
  <si>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</si>
  <si>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</si>
  <si>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</si>
  <si>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</si>
  <si>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</si>
  <si>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</si>
  <si>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</si>
  <si>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</si>
  <si>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</si>
  <si>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</si>
  <si>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</si>
  <si>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</si>
  <si>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</si>
  <si>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</si>
  <si>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</si>
  <si>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</si>
  <si>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</si>
  <si>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</si>
  <si>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</si>
  <si>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</si>
  <si>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</si>
  <si>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</si>
  <si>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</si>
  <si>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</si>
  <si>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</si>
  <si>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</si>
  <si>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</si>
  <si>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</si>
  <si>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</si>
  <si>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</si>
  <si>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</si>
  <si>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</si>
  <si>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</si>
  <si>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</si>
  <si>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</si>
  <si>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</si>
  <si>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</si>
  <si>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</si>
  <si>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</si>
  <si>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</si>
  <si>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</si>
  <si>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</si>
  <si>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</si>
  <si>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</si>
  <si>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</si>
  <si>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</si>
  <si>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</si>
  <si>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</si>
  <si>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</si>
  <si>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</si>
  <si>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</si>
  <si>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</si>
  <si>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</si>
  <si>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</si>
  <si>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</si>
  <si>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</si>
  <si>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</si>
  <si>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</si>
  <si>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</si>
  <si>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</si>
  <si>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</si>
  <si>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</si>
  <si>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</si>
  <si>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</si>
  <si>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</si>
  <si>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</si>
  <si>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</si>
  <si>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</si>
  <si>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</si>
  <si>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</si>
  <si>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</si>
  <si>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</si>
  <si>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</si>
  <si>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</si>
  <si>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</si>
  <si>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</si>
  <si>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</si>
  <si>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</si>
  <si>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</si>
  <si>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</si>
  <si>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</si>
  <si>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</si>
  <si>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</si>
  <si>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</si>
  <si>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SABB</t>
  </si>
  <si>
    <t>SABBSARI</t>
  </si>
  <si>
    <t>836010116001</t>
  </si>
  <si>
    <t>Manlift</t>
  </si>
  <si>
    <t>SA37 4500 0000 8360 1011 6001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</si>
  <si>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</si>
  <si>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-MRS-0241</t>
    </r>
  </si>
  <si>
    <t>26 Meter Telescopic with single IPAP Operator</t>
  </si>
  <si>
    <t>UT-EQUO-26-3923</t>
  </si>
  <si>
    <t>40 Meter Telescopic with single IPAP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</si>
</sst>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6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2" xfId="6" applyNumberFormat="1" applyFont="1" applyBorder="1" applyAlignment="1">
      <alignment horizontal="center" vertical="center" wrapText="1"/>
    </xf>
    <xf numFmtId="0" fontId="7" fillId="0" borderId="43" xfId="6" applyFont="1" applyBorder="1"/>
    <xf numFmtId="0" fontId="9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5" fillId="3" borderId="0" xfId="5" applyFont="1" applyFill="1"/>
    <xf numFmtId="0" fontId="18" fillId="3" borderId="0" xfId="5" quotePrefix="1" applyFont="1" applyFill="1"/>
    <xf numFmtId="0" fontId="56" fillId="3" borderId="0" xfId="5" quotePrefix="1" applyFont="1" applyFill="1"/>
    <xf numFmtId="43" fontId="5" fillId="2" borderId="40" xfId="15" applyFont="1" applyFill="1" applyBorder="1" applyAlignment="1">
      <alignment horizontal="center"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1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</cellXfs>
  <cellStyles count="16">
    <cellStyle name="Comma" xfId="15" builtinId="3"/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L8" sqref="L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2" t="s">
        <v>111</v>
      </c>
      <c r="B1" s="107"/>
      <c r="C1" s="107"/>
      <c r="D1" s="107"/>
      <c r="E1" s="107"/>
      <c r="F1" s="107"/>
      <c r="G1" s="1"/>
      <c r="J1" s="127" t="s">
        <v>92</v>
      </c>
      <c r="K1" s="128"/>
      <c r="L1" s="129"/>
    </row>
    <row r="2" spans="1:19" ht="20.100000000000001" customHeight="1">
      <c r="A2" s="3" t="s">
        <v>1</v>
      </c>
      <c r="B2" s="98"/>
      <c r="C2" s="98"/>
      <c r="D2" s="3" t="s">
        <v>112</v>
      </c>
      <c r="E2" s="98"/>
      <c r="F2" s="98"/>
      <c r="G2" s="98"/>
      <c r="H2" s="98"/>
      <c r="I2" s="4"/>
      <c r="J2" s="143" t="s">
        <v>110</v>
      </c>
      <c r="K2" s="144"/>
      <c r="L2" s="145"/>
    </row>
    <row r="3" spans="1:19" ht="20.100000000000001" customHeight="1">
      <c r="A3" s="3" t="s">
        <v>131</v>
      </c>
      <c r="B3" s="98"/>
      <c r="C3" s="98"/>
      <c r="D3" s="98"/>
      <c r="E3" s="130">
        <f>+L3</f>
        <v>46081</v>
      </c>
      <c r="F3" s="130"/>
      <c r="G3" s="130"/>
      <c r="H3" s="130"/>
      <c r="I3" s="130"/>
      <c r="J3" s="98"/>
      <c r="K3" s="98"/>
      <c r="L3" s="119">
        <v>46081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6" t="s">
        <v>128</v>
      </c>
      <c r="C6" s="147"/>
      <c r="D6" s="148" t="s">
        <v>134</v>
      </c>
      <c r="E6" s="149"/>
      <c r="F6" s="150"/>
      <c r="G6" s="108" t="s">
        <v>93</v>
      </c>
      <c r="H6" s="109">
        <v>1</v>
      </c>
      <c r="I6" s="110">
        <v>32000</v>
      </c>
      <c r="J6" s="110">
        <f>H6*I6</f>
        <v>32000</v>
      </c>
      <c r="K6" s="111" t="s">
        <v>101</v>
      </c>
      <c r="L6" s="112" t="s">
        <v>109</v>
      </c>
      <c r="S6" s="103"/>
    </row>
    <row r="7" spans="1:19" ht="22.5" customHeight="1">
      <c r="A7" s="5">
        <f t="shared" si="0"/>
        <v>2</v>
      </c>
      <c r="B7" s="146" t="s">
        <v>128</v>
      </c>
      <c r="C7" s="147"/>
      <c r="D7" s="148" t="s">
        <v>132</v>
      </c>
      <c r="E7" s="149"/>
      <c r="F7" s="150"/>
      <c r="G7" s="108" t="s">
        <v>93</v>
      </c>
      <c r="H7" s="109">
        <v>1</v>
      </c>
      <c r="I7" s="110">
        <v>22000</v>
      </c>
      <c r="J7" s="110">
        <f t="shared" ref="J7" si="1">H7*I7</f>
        <v>22000</v>
      </c>
      <c r="K7" s="111" t="s">
        <v>130</v>
      </c>
      <c r="L7" s="112" t="s">
        <v>130</v>
      </c>
      <c r="S7" s="103"/>
    </row>
    <row r="8" spans="1:19" ht="22.5" customHeight="1">
      <c r="A8" s="5">
        <f t="shared" si="0"/>
        <v>3</v>
      </c>
      <c r="B8" s="146"/>
      <c r="C8" s="147"/>
      <c r="D8" s="148"/>
      <c r="E8" s="149"/>
      <c r="F8" s="150"/>
      <c r="G8" s="108"/>
      <c r="H8" s="109"/>
      <c r="I8" s="110"/>
      <c r="J8" s="110"/>
      <c r="K8" s="111"/>
      <c r="L8" s="112"/>
      <c r="S8" s="103"/>
    </row>
    <row r="9" spans="1:19" ht="22.5" customHeight="1">
      <c r="A9" s="5">
        <f t="shared" si="0"/>
        <v>4</v>
      </c>
      <c r="B9" s="146"/>
      <c r="C9" s="147"/>
      <c r="D9" s="151"/>
      <c r="E9" s="149"/>
      <c r="F9" s="150"/>
      <c r="G9" s="108"/>
      <c r="H9" s="109"/>
      <c r="I9" s="110"/>
      <c r="J9" s="110"/>
      <c r="K9" s="111"/>
      <c r="L9" s="112"/>
      <c r="S9" s="103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08"/>
      <c r="H10" s="109"/>
      <c r="I10" s="113"/>
      <c r="J10" s="110"/>
      <c r="K10" s="111"/>
      <c r="L10" s="108"/>
      <c r="S10" s="103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08"/>
      <c r="H11" s="109"/>
      <c r="I11" s="110"/>
      <c r="J11" s="110"/>
      <c r="K11" s="111"/>
      <c r="L11" s="112"/>
      <c r="S11" s="103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08"/>
      <c r="H12" s="109"/>
      <c r="I12" s="113"/>
      <c r="J12" s="110"/>
      <c r="K12" s="111"/>
      <c r="L12" s="108"/>
      <c r="S12" s="103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08"/>
      <c r="H13" s="109"/>
      <c r="I13" s="110"/>
      <c r="J13" s="110"/>
      <c r="K13" s="111"/>
      <c r="L13" s="112"/>
      <c r="S13" s="103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08"/>
      <c r="H14" s="109"/>
      <c r="I14" s="110"/>
      <c r="J14" s="110"/>
      <c r="K14" s="111"/>
      <c r="L14" s="112"/>
      <c r="S14" s="103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4" t="s">
        <v>8</v>
      </c>
      <c r="B16" s="155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54000</v>
      </c>
      <c r="K16" s="110"/>
      <c r="L16" s="118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100</v>
      </c>
      <c r="B1" s="97"/>
      <c r="C1" s="97"/>
      <c r="D1" s="97"/>
      <c r="E1" s="97"/>
      <c r="F1" s="97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SAC2-DS-MRS-0241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46081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94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Manlift</v>
      </c>
      <c r="C6" s="165"/>
      <c r="D6" s="166" t="str">
        <f>MRS!D6</f>
        <v>40 Meter Telescopic with single IPAP Operator</v>
      </c>
      <c r="E6" s="167"/>
      <c r="F6" s="168"/>
      <c r="G6" s="100" t="str">
        <f>MRS!G6</f>
        <v>Month</v>
      </c>
      <c r="H6" s="100">
        <f>MRS!H6</f>
        <v>1</v>
      </c>
      <c r="I6" s="101">
        <f>MRS!I6</f>
        <v>32000</v>
      </c>
      <c r="J6" s="101">
        <f>MRS!J6</f>
        <v>32000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4" t="str">
        <f>MRS!B7</f>
        <v>Manlift</v>
      </c>
      <c r="C7" s="165"/>
      <c r="D7" s="166" t="str">
        <f>MRS!D7</f>
        <v>26 Meter Telescopic with single IPAP Operator</v>
      </c>
      <c r="E7" s="167"/>
      <c r="F7" s="168"/>
      <c r="G7" s="100" t="str">
        <f>MRS!G7</f>
        <v>Month</v>
      </c>
      <c r="H7" s="100">
        <f>MRS!H7</f>
        <v>1</v>
      </c>
      <c r="I7" s="101">
        <f>MRS!I7</f>
        <v>22000</v>
      </c>
      <c r="J7" s="101">
        <f>MRS!J7</f>
        <v>22000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9"/>
      <c r="C8" s="170"/>
      <c r="D8" s="171"/>
      <c r="E8" s="172"/>
      <c r="F8" s="173"/>
      <c r="G8" s="104"/>
      <c r="H8" s="105"/>
      <c r="I8" s="106"/>
      <c r="J8" s="106"/>
      <c r="K8" s="102"/>
      <c r="O8" s="103"/>
      <c r="P8" s="103"/>
      <c r="R8" s="103"/>
    </row>
    <row r="9" spans="1:18" ht="105" customHeight="1">
      <c r="A9" s="21">
        <f>+MRS!A9</f>
        <v>4</v>
      </c>
      <c r="B9" s="169"/>
      <c r="C9" s="170"/>
      <c r="D9" s="171"/>
      <c r="E9" s="172"/>
      <c r="F9" s="173"/>
      <c r="G9" s="104"/>
      <c r="H9" s="105"/>
      <c r="I9" s="106"/>
      <c r="J9" s="106"/>
      <c r="K9" s="102"/>
      <c r="O9" s="103"/>
      <c r="P9" s="103"/>
      <c r="R9" s="103"/>
    </row>
    <row r="10" spans="1:18" ht="105" customHeight="1">
      <c r="A10" s="21">
        <f>+MRS!A10</f>
        <v>5</v>
      </c>
      <c r="B10" s="169"/>
      <c r="C10" s="170"/>
      <c r="D10" s="171"/>
      <c r="E10" s="172"/>
      <c r="F10" s="173"/>
      <c r="G10" s="104"/>
      <c r="H10" s="105"/>
      <c r="I10" s="106"/>
      <c r="J10" s="106"/>
      <c r="K10" s="102"/>
      <c r="O10" s="103"/>
      <c r="P10" s="103"/>
      <c r="R10" s="103"/>
    </row>
    <row r="11" spans="1:18" ht="105" customHeight="1">
      <c r="A11" s="21">
        <f>+MRS!A11</f>
        <v>6</v>
      </c>
      <c r="B11" s="169"/>
      <c r="C11" s="170"/>
      <c r="D11" s="171"/>
      <c r="E11" s="172"/>
      <c r="F11" s="173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76" t="s">
        <v>104</v>
      </c>
      <c r="J10" s="39" t="s">
        <v>34</v>
      </c>
      <c r="K10" s="175">
        <f>MRS!L3</f>
        <v>46081</v>
      </c>
      <c r="L10" s="176"/>
      <c r="M10" s="176"/>
    </row>
    <row r="11" spans="2:13" s="39" customFormat="1">
      <c r="B11" s="72"/>
      <c r="C11" s="75" t="s">
        <v>35</v>
      </c>
      <c r="D11" s="76" t="s">
        <v>114</v>
      </c>
      <c r="J11" s="39" t="s">
        <v>36</v>
      </c>
      <c r="K11" s="177" t="str">
        <f>SUBSTITUTE(SUBSTITUTE(+MRS!A3,"  MRS No : ",""),"-MRS","-PO")</f>
        <v>SAC2-DS-PO-0241</v>
      </c>
      <c r="L11" s="177"/>
      <c r="M11" s="177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  <c r="K14" s="39" t="s">
        <v>133</v>
      </c>
    </row>
    <row r="15" spans="2:13" s="39" customFormat="1">
      <c r="B15" s="72"/>
      <c r="C15" s="77" t="s">
        <v>105</v>
      </c>
      <c r="J15" s="39" t="s">
        <v>41</v>
      </c>
      <c r="K15" s="78">
        <v>46083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42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125" t="str">
        <f>MRS!B6&amp;" "&amp;MRS!D6</f>
        <v>Manlift 40 Meter Telescopic with single IPAP Operator</v>
      </c>
      <c r="M26" s="79" t="s">
        <v>47</v>
      </c>
    </row>
    <row r="27" spans="2:13" ht="11.1" customHeight="1">
      <c r="B27" s="32"/>
      <c r="C27" s="125" t="str">
        <f>MRS!B8&amp;" "&amp;MRS!D8</f>
        <v xml:space="preserve"> </v>
      </c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2" t="s">
        <v>108</v>
      </c>
      <c r="G29" s="182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2"/>
      <c r="G30" s="182"/>
    </row>
    <row r="31" spans="2:13" ht="12" customHeight="1">
      <c r="B31" s="32"/>
      <c r="C31" s="26" t="s">
        <v>52</v>
      </c>
      <c r="D31" s="35"/>
      <c r="E31" s="26" t="s">
        <v>50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113</v>
      </c>
      <c r="P49" s="82"/>
    </row>
    <row r="50" spans="2:16" s="83" customFormat="1" ht="12" customHeight="1">
      <c r="B50" s="84" t="s">
        <v>66</v>
      </c>
      <c r="C50" s="81" t="s">
        <v>96</v>
      </c>
    </row>
    <row r="51" spans="2:16" s="83" customFormat="1" ht="12" customHeight="1">
      <c r="B51" s="84" t="s">
        <v>66</v>
      </c>
      <c r="C51" s="81" t="s">
        <v>95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66</v>
      </c>
      <c r="C54" s="123" t="s">
        <v>116</v>
      </c>
      <c r="F54" s="26" t="s">
        <v>124</v>
      </c>
      <c r="P54" s="26" t="str">
        <f>UPPER(F54)</f>
        <v>UNITED TECHNOLOGY CONTRACTING CO. LTD.</v>
      </c>
    </row>
    <row r="55" spans="2:16" ht="12" customHeight="1">
      <c r="B55" s="84" t="s">
        <v>66</v>
      </c>
      <c r="C55" s="123" t="s">
        <v>117</v>
      </c>
      <c r="F55" s="124" t="s">
        <v>127</v>
      </c>
    </row>
    <row r="56" spans="2:16" ht="12" customHeight="1">
      <c r="B56" s="84" t="s">
        <v>66</v>
      </c>
      <c r="C56" s="123" t="s">
        <v>118</v>
      </c>
      <c r="F56" s="124" t="s">
        <v>129</v>
      </c>
    </row>
    <row r="57" spans="2:16" ht="12" customHeight="1">
      <c r="B57" s="84" t="s">
        <v>66</v>
      </c>
      <c r="C57" s="123" t="s">
        <v>119</v>
      </c>
      <c r="F57" s="26" t="s">
        <v>125</v>
      </c>
    </row>
    <row r="58" spans="2:16" ht="12" customHeight="1">
      <c r="B58" s="84" t="s">
        <v>66</v>
      </c>
      <c r="C58" s="123" t="s">
        <v>120</v>
      </c>
      <c r="F58" s="26" t="s">
        <v>126</v>
      </c>
    </row>
    <row r="59" spans="2:16" ht="12" customHeight="1">
      <c r="B59" s="84" t="s">
        <v>66</v>
      </c>
      <c r="C59" s="123" t="s">
        <v>121</v>
      </c>
      <c r="F59" s="26" t="s">
        <v>122</v>
      </c>
    </row>
    <row r="60" spans="2:16" ht="12" customHeight="1">
      <c r="B60" s="84"/>
      <c r="C60" s="123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5.7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Huzaifa</v>
      </c>
    </row>
    <row r="68" spans="1:13" ht="18" customHeight="1">
      <c r="B68" s="26" t="s">
        <v>72</v>
      </c>
      <c r="J68" s="26" t="s">
        <v>73</v>
      </c>
      <c r="K68" s="22" t="s">
        <v>99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1" t="str">
        <f>C9</f>
        <v>UTCC(United Technology Contracting Co. Ltd.)</v>
      </c>
    </row>
    <row r="71" spans="1:13" ht="27.95" customHeight="1">
      <c r="A71" s="174" t="s">
        <v>77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SAC2-DS-PO-0241</v>
      </c>
      <c r="C2" s="185" t="s">
        <v>79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46081</v>
      </c>
      <c r="C3" s="51"/>
      <c r="D3" s="52"/>
      <c r="E3" s="186" t="s">
        <v>81</v>
      </c>
      <c r="F3" s="186"/>
      <c r="G3" s="186"/>
      <c r="H3" s="186"/>
      <c r="I3" s="53"/>
    </row>
    <row r="4" spans="1:13" s="55" customFormat="1" ht="28.5" customHeight="1" thickTop="1">
      <c r="A4" s="187" t="s">
        <v>82</v>
      </c>
      <c r="B4" s="189" t="s">
        <v>83</v>
      </c>
      <c r="C4" s="190"/>
      <c r="D4" s="193" t="s">
        <v>84</v>
      </c>
      <c r="E4" s="193" t="s">
        <v>85</v>
      </c>
      <c r="F4" s="195" t="str">
        <f>'PO 1st page'!C9</f>
        <v>UTCC(United Technology Contracting Co. Ltd.)</v>
      </c>
      <c r="G4" s="196"/>
      <c r="H4" s="197" t="s">
        <v>86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87</v>
      </c>
      <c r="G5" s="57" t="s">
        <v>52</v>
      </c>
      <c r="H5" s="19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9" t="str">
        <f>'PO 1st page'!C26</f>
        <v>Manlift 40 Meter Telescopic with single IPAP Operator</v>
      </c>
      <c r="C6" s="200"/>
      <c r="D6" s="86" t="str">
        <f>MRS!G6</f>
        <v>Month</v>
      </c>
      <c r="E6" s="87">
        <f>MRS!H6</f>
        <v>1</v>
      </c>
      <c r="F6" s="126">
        <f>MRS!I6</f>
        <v>32000</v>
      </c>
      <c r="G6" s="126">
        <f>MRS!J6</f>
        <v>32000</v>
      </c>
      <c r="H6" s="87" t="str">
        <f>MRS!L6</f>
        <v>Monthly Based</v>
      </c>
      <c r="K6" s="88"/>
      <c r="L6" s="89"/>
      <c r="M6" s="56"/>
    </row>
    <row r="7" spans="1:13" s="55" customFormat="1" ht="32.1" customHeight="1">
      <c r="A7" s="85">
        <f t="shared" si="0"/>
        <v>2</v>
      </c>
      <c r="B7" s="199" t="str">
        <f>MRS!B7</f>
        <v>Manlift</v>
      </c>
      <c r="C7" s="200"/>
      <c r="D7" s="86" t="str">
        <f>MRS!G7</f>
        <v>Month</v>
      </c>
      <c r="E7" s="87">
        <f>MRS!H7</f>
        <v>1</v>
      </c>
      <c r="F7" s="126">
        <f>MRS!I7</f>
        <v>22000</v>
      </c>
      <c r="G7" s="126">
        <f>MRS!J7</f>
        <v>22000</v>
      </c>
      <c r="H7" s="87" t="str">
        <f>MRS!L7</f>
        <v>"</v>
      </c>
      <c r="K7" s="88"/>
      <c r="L7" s="89"/>
      <c r="M7" s="56"/>
    </row>
    <row r="8" spans="1:13" s="55" customFormat="1" ht="32.1" customHeight="1">
      <c r="A8" s="90">
        <f t="shared" si="0"/>
        <v>3</v>
      </c>
      <c r="B8" s="199"/>
      <c r="C8" s="200"/>
      <c r="D8" s="86"/>
      <c r="E8" s="87"/>
      <c r="F8" s="126"/>
      <c r="G8" s="126"/>
      <c r="H8" s="87"/>
      <c r="K8" s="56"/>
      <c r="L8" s="56"/>
      <c r="M8" s="56"/>
    </row>
    <row r="9" spans="1:13" s="55" customFormat="1" ht="32.1" customHeight="1">
      <c r="A9" s="90">
        <f t="shared" si="0"/>
        <v>4</v>
      </c>
      <c r="B9" s="199"/>
      <c r="C9" s="200"/>
      <c r="D9" s="86"/>
      <c r="E9" s="87"/>
      <c r="F9" s="126"/>
      <c r="G9" s="126"/>
      <c r="H9" s="87"/>
    </row>
    <row r="10" spans="1:13" s="55" customFormat="1" ht="32.1" customHeight="1">
      <c r="A10" s="90">
        <f t="shared" si="0"/>
        <v>5</v>
      </c>
      <c r="B10" s="183"/>
      <c r="C10" s="184"/>
      <c r="D10" s="91"/>
      <c r="E10" s="92"/>
      <c r="F10" s="93"/>
      <c r="G10" s="94"/>
      <c r="H10" s="95"/>
    </row>
    <row r="11" spans="1:13" s="55" customFormat="1" ht="32.1" customHeight="1">
      <c r="A11" s="90">
        <f t="shared" si="0"/>
        <v>6</v>
      </c>
      <c r="B11" s="183"/>
      <c r="C11" s="184"/>
      <c r="D11" s="91"/>
      <c r="E11" s="92"/>
      <c r="F11" s="93"/>
      <c r="G11" s="94"/>
      <c r="H11" s="95"/>
    </row>
    <row r="12" spans="1:13" s="55" customFormat="1" ht="32.1" customHeight="1">
      <c r="A12" s="90">
        <f t="shared" si="0"/>
        <v>7</v>
      </c>
      <c r="B12" s="183"/>
      <c r="C12" s="184"/>
      <c r="D12" s="91"/>
      <c r="E12" s="92"/>
      <c r="F12" s="93"/>
      <c r="G12" s="94"/>
      <c r="H12" s="95"/>
    </row>
    <row r="13" spans="1:13" s="55" customFormat="1" ht="32.1" customHeight="1">
      <c r="A13" s="90">
        <f t="shared" si="0"/>
        <v>8</v>
      </c>
      <c r="B13" s="183"/>
      <c r="C13" s="184"/>
      <c r="D13" s="91"/>
      <c r="E13" s="92"/>
      <c r="F13" s="93"/>
      <c r="G13" s="94"/>
      <c r="H13" s="95"/>
    </row>
    <row r="14" spans="1:13" s="55" customFormat="1" ht="32.1" customHeight="1">
      <c r="A14" s="90">
        <f t="shared" si="0"/>
        <v>9</v>
      </c>
      <c r="B14" s="183"/>
      <c r="C14" s="184"/>
      <c r="D14" s="91"/>
      <c r="E14" s="92"/>
      <c r="F14" s="96"/>
      <c r="G14" s="94"/>
      <c r="H14" s="95"/>
    </row>
    <row r="15" spans="1:13" s="55" customFormat="1" ht="32.1" customHeight="1">
      <c r="A15" s="90">
        <f t="shared" si="0"/>
        <v>10</v>
      </c>
      <c r="B15" s="183"/>
      <c r="C15" s="184"/>
      <c r="D15" s="91"/>
      <c r="E15" s="92"/>
      <c r="F15" s="96"/>
      <c r="G15" s="94"/>
      <c r="H15" s="95"/>
    </row>
    <row r="16" spans="1:13" s="55" customFormat="1" ht="32.1" customHeight="1">
      <c r="A16" s="90">
        <f t="shared" si="0"/>
        <v>11</v>
      </c>
      <c r="B16" s="183"/>
      <c r="C16" s="184"/>
      <c r="D16" s="91"/>
      <c r="E16" s="92"/>
      <c r="F16" s="93"/>
      <c r="G16" s="94"/>
      <c r="H16" s="95"/>
    </row>
    <row r="17" spans="1:13" s="55" customFormat="1" ht="32.1" customHeight="1">
      <c r="A17" s="90">
        <f t="shared" si="0"/>
        <v>12</v>
      </c>
      <c r="B17" s="183"/>
      <c r="C17" s="184"/>
      <c r="D17" s="91"/>
      <c r="E17" s="92"/>
      <c r="F17" s="93"/>
      <c r="G17" s="94"/>
      <c r="H17" s="95"/>
    </row>
    <row r="18" spans="1:13" s="55" customFormat="1" ht="23.1" customHeight="1">
      <c r="A18" s="201" t="s">
        <v>88</v>
      </c>
      <c r="B18" s="202"/>
      <c r="C18" s="202"/>
      <c r="D18" s="202"/>
      <c r="E18" s="202"/>
      <c r="F18" s="202"/>
      <c r="G18" s="58">
        <f>SUM(G6:G17)</f>
        <v>54000</v>
      </c>
      <c r="H18" s="59"/>
    </row>
    <row r="19" spans="1:13" s="55" customFormat="1" ht="23.1" customHeight="1">
      <c r="A19" s="201" t="s">
        <v>51</v>
      </c>
      <c r="B19" s="202"/>
      <c r="C19" s="202"/>
      <c r="D19" s="202"/>
      <c r="E19" s="202"/>
      <c r="F19" s="202"/>
      <c r="G19" s="58">
        <f>+G18*0.15</f>
        <v>8100</v>
      </c>
      <c r="H19" s="59"/>
    </row>
    <row r="20" spans="1:13" s="55" customFormat="1" ht="24.95" customHeight="1" thickBot="1">
      <c r="A20" s="203" t="s">
        <v>89</v>
      </c>
      <c r="B20" s="204"/>
      <c r="C20" s="204"/>
      <c r="D20" s="204"/>
      <c r="E20" s="204"/>
      <c r="F20" s="204"/>
      <c r="G20" s="60">
        <f>G19+G18</f>
        <v>62100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UT-EQUO-26-3923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91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2026-03-04T03:39:58Z</cp:lastPrinted>
  <dcterms:created xsi:type="dcterms:W3CDTF">2024-10-20T11:50:19Z</dcterms:created>
  <dcterms:modified xsi:type="dcterms:W3CDTF">2026-03-28T11:13:08Z</dcterms:modified>
</cp:coreProperties>
</file>