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CB7BC45-7B2E-41CA-AE4C-0D9F03E95375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MRS!$A$1:$L$41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page'!$A$1:$H$38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4" l="1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G6" i="4"/>
  <c r="F6" i="4"/>
  <c r="D6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J31" i="1"/>
  <c r="A31" i="1"/>
  <c r="J30" i="1"/>
  <c r="A30" i="1"/>
  <c r="J29" i="1"/>
  <c r="A29" i="1"/>
  <c r="J28" i="1"/>
  <c r="A28" i="1"/>
  <c r="J27" i="1"/>
  <c r="A27" i="1"/>
  <c r="J26" i="1"/>
  <c r="A26" i="1"/>
  <c r="J25" i="1"/>
  <c r="A25" i="1"/>
  <c r="J24" i="1"/>
  <c r="A24" i="1"/>
  <c r="J23" i="1"/>
  <c r="A23" i="1"/>
  <c r="J22" i="1"/>
  <c r="A22" i="1"/>
  <c r="J21" i="1"/>
  <c r="A21" i="1"/>
  <c r="J20" i="1"/>
  <c r="A20" i="1"/>
  <c r="J19" i="1"/>
  <c r="A19" i="1"/>
  <c r="J18" i="1"/>
  <c r="A18" i="1"/>
  <c r="J17" i="1"/>
  <c r="A17" i="1"/>
  <c r="J16" i="1"/>
  <c r="A16" i="1"/>
  <c r="J15" i="1"/>
  <c r="A15" i="1"/>
  <c r="J14" i="1"/>
  <c r="A14" i="1"/>
  <c r="J13" i="1"/>
  <c r="A13" i="1"/>
  <c r="J12" i="1"/>
  <c r="A12" i="1"/>
  <c r="J11" i="1"/>
  <c r="A11" i="1"/>
  <c r="J10" i="1"/>
  <c r="A10" i="1"/>
  <c r="J9" i="1"/>
  <c r="A9" i="1"/>
  <c r="J8" i="1"/>
  <c r="A8" i="1"/>
  <c r="J7" i="1"/>
  <c r="A7" i="1"/>
  <c r="J6" i="1"/>
  <c r="A6" i="1"/>
  <c r="J32" i="1" l="1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2"/>
  <c r="J10" i="2"/>
  <c r="J9" i="2"/>
  <c r="J8" i="2"/>
  <c r="K59" i="3"/>
  <c r="E3" i="1"/>
  <c r="H7" i="2"/>
  <c r="G7" i="2"/>
  <c r="D7" i="2"/>
  <c r="B7" i="2"/>
  <c r="K10" i="3" l="1"/>
  <c r="A35" i="4" l="1"/>
  <c r="J7" i="2"/>
  <c r="I7" i="2"/>
  <c r="I6" i="2"/>
  <c r="H6" i="2"/>
  <c r="G6" i="2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2"/>
  <c r="A14" i="2"/>
  <c r="A13" i="2"/>
  <c r="A12" i="2"/>
  <c r="A11" i="2"/>
  <c r="A10" i="2"/>
  <c r="A9" i="2"/>
  <c r="A8" i="2"/>
  <c r="A7" i="2"/>
  <c r="A6" i="2"/>
  <c r="J6" i="2" l="1"/>
  <c r="G32" i="4" s="1"/>
  <c r="G34" i="4" l="1"/>
</calcChain>
</file>

<file path=xl/sharedStrings.xml><?xml version="1.0" encoding="utf-8"?>
<sst xmlns="http://schemas.openxmlformats.org/spreadsheetml/2006/main" count="201" uniqueCount="142">
  <si>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</si>
  <si>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</si>
  <si>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</si>
  <si>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</si>
  <si>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</si>
  <si>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</si>
  <si>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</si>
  <si>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</si>
  <si>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</si>
  <si>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</si>
  <si>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</si>
  <si>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</si>
  <si>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</si>
  <si>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</si>
  <si>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</si>
  <si>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</si>
  <si>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</si>
  <si>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</si>
  <si>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</si>
  <si>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</si>
  <si>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</si>
  <si>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</si>
  <si>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</si>
  <si>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</si>
  <si>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</si>
  <si>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</si>
  <si>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</si>
  <si>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</si>
  <si>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</si>
  <si>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</si>
  <si>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</si>
  <si>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</si>
  <si>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</si>
  <si>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</si>
  <si>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</si>
  <si>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</si>
  <si>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</si>
  <si>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</si>
  <si>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</si>
  <si>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</si>
  <si>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</si>
  <si>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</si>
  <si>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</si>
  <si>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</si>
  <si>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</si>
  <si>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</si>
  <si>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</si>
  <si>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</si>
  <si>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</si>
  <si>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</si>
  <si>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</si>
  <si>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</si>
  <si>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</si>
  <si>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</si>
  <si>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</si>
  <si>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</si>
  <si>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</si>
  <si>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</si>
  <si>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</si>
  <si>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</si>
  <si>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</si>
  <si>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</si>
  <si>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</si>
  <si>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</si>
  <si>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</si>
  <si>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</si>
  <si>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</si>
  <si>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</si>
  <si>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</si>
  <si>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</si>
  <si>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</si>
  <si>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</si>
  <si>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</si>
  <si>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</si>
  <si>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</si>
  <si>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</si>
  <si>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</si>
  <si>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</si>
  <si>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</si>
  <si>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</si>
  <si>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</si>
  <si>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</si>
  <si>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</si>
  <si>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</si>
  <si>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</si>
  <si>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</si>
  <si>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</si>
  <si>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</si>
  <si>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</si>
  <si>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</si>
  <si>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</si>
  <si>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</si>
  <si>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</si>
  <si>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</si>
  <si>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</si>
  <si>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</si>
  <si>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</si>
  <si>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</si>
  <si>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Manager</t>
  </si>
  <si>
    <t>Subcontract name (SAC2-SC-IK-SMP-01)</t>
  </si>
  <si>
    <t>PGCL</t>
  </si>
  <si>
    <t>302006720700003</t>
  </si>
  <si>
    <t>Division (In charge Name) : ADMIN MANAGER (Dong Chang Kim)</t>
  </si>
  <si>
    <t>Monthly</t>
  </si>
  <si>
    <t>Joyal K. Johnson</t>
  </si>
  <si>
    <t>+966 565394990 / Email:joyal@petrogold.net</t>
  </si>
  <si>
    <t>Landline : +966 13 3610949. : Mobile : +966 565394990</t>
  </si>
  <si>
    <t>P.O. Bxo No. 1615, Al Jubail 31951, KSA</t>
  </si>
  <si>
    <t>PGCL(Petro Gold Company Limited)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</si>
  <si>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-MRS-0152</t>
    </r>
  </si>
  <si>
    <t>Air ticket</t>
  </si>
  <si>
    <t>Korea DMM to ICN</t>
  </si>
  <si>
    <t>Monthly Based</t>
  </si>
  <si>
    <t>India DMM to COK</t>
  </si>
  <si>
    <t>India DMM to CCJ</t>
  </si>
  <si>
    <t>India DMM to DEL</t>
  </si>
  <si>
    <t>India DMM to CCU</t>
  </si>
  <si>
    <t>India DMM to LKO</t>
  </si>
  <si>
    <t>India DMM to MAA</t>
  </si>
  <si>
    <t>India DMM to BOM</t>
  </si>
  <si>
    <t>India DMM to BLR</t>
  </si>
  <si>
    <t>India DMM to IXE</t>
  </si>
  <si>
    <t>India DMM to PAT</t>
  </si>
  <si>
    <t>India DMM to GOA</t>
  </si>
  <si>
    <t>India DMM to GAY</t>
  </si>
  <si>
    <t>India DMM to HYD</t>
  </si>
  <si>
    <t>India DMM to VTZ</t>
  </si>
  <si>
    <t>India DMM to AMD</t>
  </si>
  <si>
    <t>India DMM to TRZ</t>
  </si>
  <si>
    <t>India DMM to IXM</t>
  </si>
  <si>
    <t>India DMM to TRV</t>
  </si>
  <si>
    <t>Pakistan DMM to SKT</t>
  </si>
  <si>
    <t>Pakistan DMM to ISB</t>
  </si>
  <si>
    <t>Pakistan DMM to LHE</t>
  </si>
  <si>
    <t>Philippines DMM to MNL</t>
  </si>
  <si>
    <t>Philippines DMM to CRK</t>
  </si>
  <si>
    <t>Bangladesh DMM to DAC</t>
  </si>
  <si>
    <t>Nepal DMM to KTM</t>
  </si>
  <si>
    <t>Purpose</t>
    <phoneticPr fontId="10" type="noConversion"/>
  </si>
  <si>
    <t>Sum</t>
    <phoneticPr fontId="6" type="noConversion"/>
  </si>
  <si>
    <t>Air Ticket</t>
  </si>
  <si>
    <t>PG.HDEC.2025-TR0036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</si>
</sst>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1" fillId="0" borderId="36" xfId="6" quotePrefix="1" applyFont="1" applyBorder="1" applyAlignment="1">
      <alignment horizontal="center" vertical="center" wrapText="1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26" fillId="3" borderId="0" xfId="5" quotePrefix="1" applyFont="1" applyFill="1" applyAlignment="1">
      <alignment horizontal="left"/>
    </xf>
    <xf numFmtId="0" fontId="1" fillId="0" borderId="8" xfId="0" quotePrefix="1" applyFont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33</xdr:row>
          <xdr:rowOff>0</xdr:rowOff>
        </xdr:from>
        <xdr:to>
          <xdr:col>12</xdr:col>
          <xdr:colOff>10528</xdr:colOff>
          <xdr:row>40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4:$V$40" spid="_x0000_s12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703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68"/>
  <sheetViews>
    <sheetView showGridLines="0" view="pageBreakPreview" zoomScale="95" zoomScaleNormal="95" zoomScaleSheetLayoutView="95" workbookViewId="0">
      <selection activeCell="K6" sqref="K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17" t="s">
        <v>97</v>
      </c>
      <c r="B1" s="104"/>
      <c r="C1" s="104"/>
      <c r="D1" s="104"/>
      <c r="E1" s="104"/>
      <c r="F1" s="104"/>
      <c r="G1" s="1"/>
      <c r="J1" s="143" t="s">
        <v>90</v>
      </c>
      <c r="K1" s="144"/>
      <c r="L1" s="145"/>
    </row>
    <row r="2" spans="1:19" ht="20.100000000000001" customHeight="1">
      <c r="A2" s="3" t="s">
        <v>1</v>
      </c>
      <c r="B2" s="95"/>
      <c r="C2" s="95"/>
      <c r="D2" s="3" t="s">
        <v>102</v>
      </c>
      <c r="E2" s="95"/>
      <c r="F2" s="95"/>
      <c r="G2" s="95"/>
      <c r="H2" s="95"/>
      <c r="I2" s="4"/>
      <c r="J2" s="146" t="s">
        <v>99</v>
      </c>
      <c r="K2" s="147"/>
      <c r="L2" s="148"/>
    </row>
    <row r="3" spans="1:19" ht="20.100000000000001" customHeight="1">
      <c r="A3" s="3" t="s">
        <v>109</v>
      </c>
      <c r="B3" s="95"/>
      <c r="C3" s="95"/>
      <c r="D3" s="95"/>
      <c r="E3" s="149">
        <f>+L3</f>
        <v>45959</v>
      </c>
      <c r="F3" s="149"/>
      <c r="G3" s="149"/>
      <c r="H3" s="149"/>
      <c r="I3" s="149"/>
      <c r="J3" s="95"/>
      <c r="K3" s="95"/>
      <c r="L3" s="116">
        <v>45959</v>
      </c>
      <c r="M3" s="4"/>
    </row>
    <row r="4" spans="1:19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95</v>
      </c>
      <c r="J4" s="150" t="s">
        <v>96</v>
      </c>
      <c r="K4" s="160" t="s">
        <v>0</v>
      </c>
      <c r="L4" s="151" t="s">
        <v>7</v>
      </c>
    </row>
    <row r="5" spans="1:19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9" ht="22.5" customHeight="1">
      <c r="A6" s="5">
        <f t="shared" ref="A6:A31" si="0">ROW(A1)</f>
        <v>1</v>
      </c>
      <c r="B6" s="130" t="s">
        <v>110</v>
      </c>
      <c r="C6" s="131"/>
      <c r="D6" s="132" t="s">
        <v>111</v>
      </c>
      <c r="E6" s="133"/>
      <c r="F6" s="134"/>
      <c r="G6" s="105"/>
      <c r="H6" s="106">
        <v>1</v>
      </c>
      <c r="I6" s="107">
        <v>3950</v>
      </c>
      <c r="J6" s="107">
        <f>I6</f>
        <v>3950</v>
      </c>
      <c r="K6" s="108" t="s">
        <v>100</v>
      </c>
      <c r="L6" s="119" t="s">
        <v>112</v>
      </c>
      <c r="S6" s="100"/>
    </row>
    <row r="7" spans="1:19" ht="22.5" customHeight="1">
      <c r="A7" s="5">
        <f>ROW(A2)</f>
        <v>2</v>
      </c>
      <c r="B7" s="130" t="s">
        <v>110</v>
      </c>
      <c r="C7" s="131"/>
      <c r="D7" s="132" t="s">
        <v>113</v>
      </c>
      <c r="E7" s="133"/>
      <c r="F7" s="134"/>
      <c r="G7" s="105"/>
      <c r="H7" s="106">
        <v>1</v>
      </c>
      <c r="I7" s="107">
        <v>1500</v>
      </c>
      <c r="J7" s="107">
        <f>I7</f>
        <v>1500</v>
      </c>
      <c r="K7" s="108"/>
      <c r="L7" s="119"/>
      <c r="S7" s="100"/>
    </row>
    <row r="8" spans="1:19" ht="22.5" customHeight="1">
      <c r="A8" s="5">
        <f>ROW(A2)</f>
        <v>2</v>
      </c>
      <c r="B8" s="130" t="s">
        <v>110</v>
      </c>
      <c r="C8" s="131"/>
      <c r="D8" s="132" t="s">
        <v>114</v>
      </c>
      <c r="E8" s="133"/>
      <c r="F8" s="134"/>
      <c r="G8" s="105"/>
      <c r="H8" s="106">
        <v>1</v>
      </c>
      <c r="I8" s="107">
        <v>1250</v>
      </c>
      <c r="J8" s="107">
        <f t="shared" ref="J8:J31" si="1">I8</f>
        <v>1250</v>
      </c>
      <c r="K8" s="108"/>
      <c r="L8" s="109"/>
      <c r="S8" s="100"/>
    </row>
    <row r="9" spans="1:19" ht="22.5" customHeight="1">
      <c r="A9" s="5">
        <f>ROW(A3)</f>
        <v>3</v>
      </c>
      <c r="B9" s="130" t="s">
        <v>110</v>
      </c>
      <c r="C9" s="131"/>
      <c r="D9" s="132" t="s">
        <v>115</v>
      </c>
      <c r="E9" s="133"/>
      <c r="F9" s="134"/>
      <c r="G9" s="105"/>
      <c r="H9" s="106">
        <v>1</v>
      </c>
      <c r="I9" s="107">
        <v>1400</v>
      </c>
      <c r="J9" s="107">
        <f t="shared" si="1"/>
        <v>1400</v>
      </c>
      <c r="K9" s="108"/>
      <c r="L9" s="109"/>
      <c r="S9" s="100"/>
    </row>
    <row r="10" spans="1:19" ht="22.5" customHeight="1">
      <c r="A10" s="5">
        <f>ROW(A4)</f>
        <v>4</v>
      </c>
      <c r="B10" s="130" t="s">
        <v>110</v>
      </c>
      <c r="C10" s="131"/>
      <c r="D10" s="132" t="s">
        <v>116</v>
      </c>
      <c r="E10" s="133"/>
      <c r="F10" s="134"/>
      <c r="G10" s="105"/>
      <c r="H10" s="106">
        <v>1</v>
      </c>
      <c r="I10" s="107">
        <v>2160</v>
      </c>
      <c r="J10" s="107">
        <f t="shared" si="1"/>
        <v>2160</v>
      </c>
      <c r="K10" s="108"/>
      <c r="L10" s="109"/>
      <c r="S10" s="100"/>
    </row>
    <row r="11" spans="1:19" ht="22.5" customHeight="1">
      <c r="A11" s="5">
        <f>ROW(A5)</f>
        <v>5</v>
      </c>
      <c r="B11" s="130" t="s">
        <v>110</v>
      </c>
      <c r="C11" s="131"/>
      <c r="D11" s="132" t="s">
        <v>117</v>
      </c>
      <c r="E11" s="133"/>
      <c r="F11" s="134"/>
      <c r="G11" s="105"/>
      <c r="H11" s="106">
        <v>1</v>
      </c>
      <c r="I11" s="107">
        <v>2150</v>
      </c>
      <c r="J11" s="107">
        <f t="shared" si="1"/>
        <v>2150</v>
      </c>
      <c r="K11" s="108"/>
      <c r="L11" s="105"/>
      <c r="S11" s="100"/>
    </row>
    <row r="12" spans="1:19" ht="22.5" customHeight="1">
      <c r="A12" s="5">
        <f>ROW(A6)</f>
        <v>6</v>
      </c>
      <c r="B12" s="130" t="s">
        <v>110</v>
      </c>
      <c r="C12" s="131"/>
      <c r="D12" s="132" t="s">
        <v>118</v>
      </c>
      <c r="E12" s="133"/>
      <c r="F12" s="134"/>
      <c r="G12" s="105"/>
      <c r="H12" s="106">
        <v>1</v>
      </c>
      <c r="I12" s="107">
        <v>1950</v>
      </c>
      <c r="J12" s="107">
        <f t="shared" si="1"/>
        <v>1950</v>
      </c>
      <c r="K12" s="108"/>
      <c r="L12" s="109"/>
      <c r="S12" s="100"/>
    </row>
    <row r="13" spans="1:19" ht="22.5" customHeight="1">
      <c r="A13" s="5">
        <f t="shared" si="0"/>
        <v>8</v>
      </c>
      <c r="B13" s="130" t="s">
        <v>110</v>
      </c>
      <c r="C13" s="131"/>
      <c r="D13" s="132" t="s">
        <v>119</v>
      </c>
      <c r="E13" s="133"/>
      <c r="F13" s="134"/>
      <c r="G13" s="105"/>
      <c r="H13" s="106">
        <v>1</v>
      </c>
      <c r="I13" s="110">
        <v>1500</v>
      </c>
      <c r="J13" s="107">
        <f t="shared" si="1"/>
        <v>1500</v>
      </c>
      <c r="K13" s="108"/>
      <c r="L13" s="105"/>
      <c r="S13" s="100"/>
    </row>
    <row r="14" spans="1:19" ht="22.5" customHeight="1">
      <c r="A14" s="5">
        <f t="shared" si="0"/>
        <v>9</v>
      </c>
      <c r="B14" s="130" t="s">
        <v>110</v>
      </c>
      <c r="C14" s="131"/>
      <c r="D14" s="132" t="s">
        <v>120</v>
      </c>
      <c r="E14" s="133"/>
      <c r="F14" s="134"/>
      <c r="G14" s="105"/>
      <c r="H14" s="106">
        <v>1</v>
      </c>
      <c r="I14" s="107">
        <v>1900</v>
      </c>
      <c r="J14" s="107">
        <f t="shared" si="1"/>
        <v>1900</v>
      </c>
      <c r="K14" s="108"/>
      <c r="L14" s="109"/>
      <c r="S14" s="100"/>
    </row>
    <row r="15" spans="1:19" ht="22.5" customHeight="1">
      <c r="A15" s="5">
        <f t="shared" si="0"/>
        <v>10</v>
      </c>
      <c r="B15" s="130" t="s">
        <v>110</v>
      </c>
      <c r="C15" s="131"/>
      <c r="D15" s="132" t="s">
        <v>121</v>
      </c>
      <c r="E15" s="133"/>
      <c r="F15" s="134"/>
      <c r="G15" s="105"/>
      <c r="H15" s="106">
        <v>1</v>
      </c>
      <c r="I15" s="107">
        <v>1950</v>
      </c>
      <c r="J15" s="107">
        <f t="shared" si="1"/>
        <v>1950</v>
      </c>
      <c r="K15" s="108"/>
      <c r="L15" s="109"/>
      <c r="S15" s="100"/>
    </row>
    <row r="16" spans="1:19" ht="22.5" customHeight="1">
      <c r="A16" s="5">
        <f t="shared" si="0"/>
        <v>11</v>
      </c>
      <c r="B16" s="130" t="s">
        <v>110</v>
      </c>
      <c r="C16" s="131"/>
      <c r="D16" s="132" t="s">
        <v>122</v>
      </c>
      <c r="E16" s="133"/>
      <c r="F16" s="134"/>
      <c r="G16" s="105"/>
      <c r="H16" s="106">
        <v>1</v>
      </c>
      <c r="I16" s="107">
        <v>1950</v>
      </c>
      <c r="J16" s="107">
        <f t="shared" si="1"/>
        <v>1950</v>
      </c>
      <c r="K16" s="108"/>
      <c r="L16" s="109"/>
      <c r="S16" s="100"/>
    </row>
    <row r="17" spans="1:19" ht="22.5" customHeight="1">
      <c r="A17" s="5">
        <f t="shared" si="0"/>
        <v>12</v>
      </c>
      <c r="B17" s="130" t="s">
        <v>110</v>
      </c>
      <c r="C17" s="131"/>
      <c r="D17" s="132" t="s">
        <v>123</v>
      </c>
      <c r="E17" s="133"/>
      <c r="F17" s="134"/>
      <c r="G17" s="105"/>
      <c r="H17" s="106">
        <v>1</v>
      </c>
      <c r="I17" s="107">
        <v>1950</v>
      </c>
      <c r="J17" s="107">
        <f t="shared" si="1"/>
        <v>1950</v>
      </c>
      <c r="K17" s="108"/>
      <c r="L17" s="109"/>
      <c r="S17" s="100"/>
    </row>
    <row r="18" spans="1:19" ht="22.5" customHeight="1">
      <c r="A18" s="5">
        <f t="shared" si="0"/>
        <v>13</v>
      </c>
      <c r="B18" s="130" t="s">
        <v>110</v>
      </c>
      <c r="C18" s="131"/>
      <c r="D18" s="132" t="s">
        <v>124</v>
      </c>
      <c r="E18" s="133"/>
      <c r="F18" s="134"/>
      <c r="G18" s="105"/>
      <c r="H18" s="106">
        <v>1</v>
      </c>
      <c r="I18" s="107">
        <v>2130</v>
      </c>
      <c r="J18" s="107">
        <f t="shared" si="1"/>
        <v>2130</v>
      </c>
      <c r="K18" s="108"/>
      <c r="L18" s="109"/>
      <c r="S18" s="100"/>
    </row>
    <row r="19" spans="1:19" ht="22.5" customHeight="1">
      <c r="A19" s="5">
        <f t="shared" si="0"/>
        <v>14</v>
      </c>
      <c r="B19" s="130" t="s">
        <v>110</v>
      </c>
      <c r="C19" s="131"/>
      <c r="D19" s="132" t="s">
        <v>125</v>
      </c>
      <c r="E19" s="133"/>
      <c r="F19" s="134"/>
      <c r="G19" s="105"/>
      <c r="H19" s="106">
        <v>1</v>
      </c>
      <c r="I19" s="107">
        <v>1950</v>
      </c>
      <c r="J19" s="107">
        <f t="shared" si="1"/>
        <v>1950</v>
      </c>
      <c r="K19" s="108"/>
      <c r="L19" s="109"/>
      <c r="S19" s="100"/>
    </row>
    <row r="20" spans="1:19" ht="22.5" customHeight="1">
      <c r="A20" s="5">
        <f t="shared" si="0"/>
        <v>15</v>
      </c>
      <c r="B20" s="130" t="s">
        <v>110</v>
      </c>
      <c r="C20" s="131"/>
      <c r="D20" s="132" t="s">
        <v>126</v>
      </c>
      <c r="E20" s="133"/>
      <c r="F20" s="134"/>
      <c r="G20" s="105"/>
      <c r="H20" s="106">
        <v>1</v>
      </c>
      <c r="I20" s="107">
        <v>1950</v>
      </c>
      <c r="J20" s="107">
        <f t="shared" si="1"/>
        <v>1950</v>
      </c>
      <c r="K20" s="108"/>
      <c r="L20" s="109"/>
      <c r="S20" s="100"/>
    </row>
    <row r="21" spans="1:19" ht="22.5" customHeight="1">
      <c r="A21" s="5">
        <f t="shared" si="0"/>
        <v>16</v>
      </c>
      <c r="B21" s="130" t="s">
        <v>110</v>
      </c>
      <c r="C21" s="131"/>
      <c r="D21" s="132" t="s">
        <v>127</v>
      </c>
      <c r="E21" s="133"/>
      <c r="F21" s="134"/>
      <c r="G21" s="105"/>
      <c r="H21" s="106">
        <v>1</v>
      </c>
      <c r="I21" s="107">
        <v>2200</v>
      </c>
      <c r="J21" s="107">
        <f t="shared" si="1"/>
        <v>2200</v>
      </c>
      <c r="K21" s="108"/>
      <c r="L21" s="109"/>
      <c r="S21" s="100"/>
    </row>
    <row r="22" spans="1:19" ht="22.5" customHeight="1">
      <c r="A22" s="5">
        <f t="shared" si="0"/>
        <v>17</v>
      </c>
      <c r="B22" s="130" t="s">
        <v>110</v>
      </c>
      <c r="C22" s="131"/>
      <c r="D22" s="132" t="s">
        <v>128</v>
      </c>
      <c r="E22" s="133"/>
      <c r="F22" s="134"/>
      <c r="G22" s="105"/>
      <c r="H22" s="106">
        <v>1</v>
      </c>
      <c r="I22" s="107">
        <v>2300</v>
      </c>
      <c r="J22" s="107">
        <f t="shared" si="1"/>
        <v>2300</v>
      </c>
      <c r="K22" s="108"/>
      <c r="L22" s="109"/>
      <c r="S22" s="100"/>
    </row>
    <row r="23" spans="1:19" ht="22.5" customHeight="1">
      <c r="A23" s="5">
        <f t="shared" si="0"/>
        <v>18</v>
      </c>
      <c r="B23" s="130" t="s">
        <v>110</v>
      </c>
      <c r="C23" s="131"/>
      <c r="D23" s="132" t="s">
        <v>129</v>
      </c>
      <c r="E23" s="133"/>
      <c r="F23" s="134"/>
      <c r="G23" s="105"/>
      <c r="H23" s="106">
        <v>1</v>
      </c>
      <c r="I23" s="107">
        <v>1950</v>
      </c>
      <c r="J23" s="107">
        <f t="shared" si="1"/>
        <v>1950</v>
      </c>
      <c r="K23" s="108"/>
      <c r="L23" s="109"/>
      <c r="S23" s="100"/>
    </row>
    <row r="24" spans="1:19" ht="22.5" customHeight="1">
      <c r="A24" s="5">
        <f t="shared" si="0"/>
        <v>19</v>
      </c>
      <c r="B24" s="130" t="s">
        <v>110</v>
      </c>
      <c r="C24" s="131"/>
      <c r="D24" s="132" t="s">
        <v>130</v>
      </c>
      <c r="E24" s="133"/>
      <c r="F24" s="134"/>
      <c r="G24" s="105"/>
      <c r="H24" s="106">
        <v>1</v>
      </c>
      <c r="I24" s="107">
        <v>2250</v>
      </c>
      <c r="J24" s="107">
        <f t="shared" si="1"/>
        <v>2250</v>
      </c>
      <c r="K24" s="108"/>
      <c r="L24" s="109"/>
      <c r="S24" s="100"/>
    </row>
    <row r="25" spans="1:19" ht="22.5" customHeight="1">
      <c r="A25" s="5">
        <f t="shared" si="0"/>
        <v>20</v>
      </c>
      <c r="B25" s="130" t="s">
        <v>110</v>
      </c>
      <c r="C25" s="131"/>
      <c r="D25" s="132" t="s">
        <v>131</v>
      </c>
      <c r="E25" s="133"/>
      <c r="F25" s="134"/>
      <c r="G25" s="105"/>
      <c r="H25" s="106">
        <v>1</v>
      </c>
      <c r="I25" s="107">
        <v>2000</v>
      </c>
      <c r="J25" s="107">
        <f t="shared" si="1"/>
        <v>2000</v>
      </c>
      <c r="K25" s="108"/>
      <c r="L25" s="109"/>
      <c r="S25" s="100"/>
    </row>
    <row r="26" spans="1:19" ht="22.5" customHeight="1">
      <c r="A26" s="5">
        <f t="shared" si="0"/>
        <v>21</v>
      </c>
      <c r="B26" s="130" t="s">
        <v>110</v>
      </c>
      <c r="C26" s="131"/>
      <c r="D26" s="132" t="s">
        <v>132</v>
      </c>
      <c r="E26" s="133"/>
      <c r="F26" s="134"/>
      <c r="G26" s="105"/>
      <c r="H26" s="106">
        <v>1</v>
      </c>
      <c r="I26" s="107">
        <v>2000</v>
      </c>
      <c r="J26" s="107">
        <f t="shared" si="1"/>
        <v>2000</v>
      </c>
      <c r="K26" s="108"/>
      <c r="L26" s="109"/>
      <c r="S26" s="100"/>
    </row>
    <row r="27" spans="1:19" ht="22.5" customHeight="1">
      <c r="A27" s="5">
        <f t="shared" si="0"/>
        <v>22</v>
      </c>
      <c r="B27" s="130" t="s">
        <v>110</v>
      </c>
      <c r="C27" s="131"/>
      <c r="D27" s="132" t="s">
        <v>133</v>
      </c>
      <c r="E27" s="133"/>
      <c r="F27" s="134"/>
      <c r="G27" s="105"/>
      <c r="H27" s="106">
        <v>1</v>
      </c>
      <c r="I27" s="107">
        <v>2000</v>
      </c>
      <c r="J27" s="107">
        <f t="shared" si="1"/>
        <v>2000</v>
      </c>
      <c r="K27" s="108"/>
      <c r="L27" s="109"/>
      <c r="S27" s="100"/>
    </row>
    <row r="28" spans="1:19" ht="22.5" customHeight="1">
      <c r="A28" s="5">
        <f t="shared" si="0"/>
        <v>23</v>
      </c>
      <c r="B28" s="130" t="s">
        <v>110</v>
      </c>
      <c r="C28" s="131"/>
      <c r="D28" s="132" t="s">
        <v>134</v>
      </c>
      <c r="E28" s="133"/>
      <c r="F28" s="134"/>
      <c r="G28" s="105"/>
      <c r="H28" s="106">
        <v>1</v>
      </c>
      <c r="I28" s="107">
        <v>3500</v>
      </c>
      <c r="J28" s="107">
        <f t="shared" si="1"/>
        <v>3500</v>
      </c>
      <c r="K28" s="108"/>
      <c r="L28" s="109"/>
      <c r="S28" s="100"/>
    </row>
    <row r="29" spans="1:19" ht="22.5" customHeight="1">
      <c r="A29" s="5">
        <f t="shared" si="0"/>
        <v>24</v>
      </c>
      <c r="B29" s="130" t="s">
        <v>110</v>
      </c>
      <c r="C29" s="131"/>
      <c r="D29" s="132" t="s">
        <v>135</v>
      </c>
      <c r="E29" s="133"/>
      <c r="F29" s="134"/>
      <c r="G29" s="105"/>
      <c r="H29" s="106">
        <v>1</v>
      </c>
      <c r="I29" s="107">
        <v>3600</v>
      </c>
      <c r="J29" s="107">
        <f t="shared" si="1"/>
        <v>3600</v>
      </c>
      <c r="K29" s="108"/>
      <c r="L29" s="109"/>
      <c r="S29" s="100"/>
    </row>
    <row r="30" spans="1:19" ht="22.5" customHeight="1">
      <c r="A30" s="5">
        <f t="shared" si="0"/>
        <v>25</v>
      </c>
      <c r="B30" s="130" t="s">
        <v>110</v>
      </c>
      <c r="C30" s="131"/>
      <c r="D30" s="132" t="s">
        <v>136</v>
      </c>
      <c r="E30" s="133"/>
      <c r="F30" s="134"/>
      <c r="G30" s="105"/>
      <c r="H30" s="106">
        <v>1</v>
      </c>
      <c r="I30" s="107">
        <v>2200</v>
      </c>
      <c r="J30" s="107">
        <f t="shared" si="1"/>
        <v>2200</v>
      </c>
      <c r="K30" s="108"/>
      <c r="L30" s="109"/>
      <c r="S30" s="100"/>
    </row>
    <row r="31" spans="1:19" ht="22.5" customHeight="1">
      <c r="A31" s="5">
        <f t="shared" si="0"/>
        <v>26</v>
      </c>
      <c r="B31" s="130" t="s">
        <v>110</v>
      </c>
      <c r="C31" s="131"/>
      <c r="D31" s="132" t="s">
        <v>137</v>
      </c>
      <c r="E31" s="133"/>
      <c r="F31" s="134"/>
      <c r="G31" s="105"/>
      <c r="H31" s="106">
        <v>1</v>
      </c>
      <c r="I31" s="107">
        <v>1950</v>
      </c>
      <c r="J31" s="107">
        <f t="shared" si="1"/>
        <v>1950</v>
      </c>
      <c r="K31" s="108"/>
      <c r="L31" s="109"/>
      <c r="S31" s="100"/>
    </row>
    <row r="32" spans="1:19" ht="22.5" customHeight="1">
      <c r="A32" s="139" t="s">
        <v>138</v>
      </c>
      <c r="B32" s="140"/>
      <c r="C32" s="111"/>
      <c r="D32" s="112"/>
      <c r="E32" s="112"/>
      <c r="F32" s="112"/>
      <c r="G32" s="113"/>
      <c r="H32" s="113"/>
      <c r="I32" s="114" t="s">
        <v>139</v>
      </c>
      <c r="J32" s="107">
        <f>SUM(J6:J31)</f>
        <v>55590</v>
      </c>
      <c r="K32" s="107"/>
      <c r="L32" s="115"/>
    </row>
    <row r="33" spans="1:22" ht="20.100000000000001" customHeight="1">
      <c r="A33" s="6" t="s">
        <v>8</v>
      </c>
      <c r="B33" s="7"/>
      <c r="C33" s="7"/>
      <c r="D33" s="7"/>
      <c r="E33" s="7"/>
      <c r="F33" s="7"/>
      <c r="G33" s="7"/>
      <c r="H33" s="7"/>
      <c r="I33" s="7"/>
      <c r="J33" s="7"/>
      <c r="K33" s="8"/>
      <c r="L33" s="9"/>
    </row>
    <row r="34" spans="1:22" ht="18" customHeight="1">
      <c r="A34" s="10"/>
      <c r="J34" s="1"/>
      <c r="K34" s="1"/>
      <c r="O34" s="11"/>
      <c r="P34" s="11"/>
      <c r="Q34" s="11"/>
      <c r="S34" s="141" t="s">
        <v>9</v>
      </c>
      <c r="T34" s="12" t="s">
        <v>10</v>
      </c>
      <c r="U34" s="13" t="s">
        <v>11</v>
      </c>
      <c r="V34" s="12" t="s">
        <v>12</v>
      </c>
    </row>
    <row r="35" spans="1:22" ht="50.1" customHeight="1">
      <c r="S35" s="142"/>
      <c r="T35" s="14"/>
      <c r="U35" s="15"/>
      <c r="V35" s="14"/>
    </row>
    <row r="36" spans="1:22" ht="17.100000000000001" customHeight="1">
      <c r="O36" s="11"/>
      <c r="P36" s="11"/>
      <c r="Q36" s="11"/>
      <c r="S36" s="136"/>
      <c r="T36" s="15" t="s">
        <v>13</v>
      </c>
      <c r="U36" s="15" t="s">
        <v>13</v>
      </c>
      <c r="V36" s="16" t="s">
        <v>13</v>
      </c>
    </row>
    <row r="37" spans="1:22" ht="15" customHeight="1">
      <c r="O37" s="17" t="s">
        <v>14</v>
      </c>
      <c r="P37" s="135" t="s">
        <v>15</v>
      </c>
      <c r="Q37" s="135" t="s">
        <v>16</v>
      </c>
    </row>
    <row r="38" spans="1:22" ht="18" customHeight="1">
      <c r="O38" s="18" t="s">
        <v>17</v>
      </c>
      <c r="P38" s="137"/>
      <c r="Q38" s="137"/>
      <c r="S38" s="141" t="s">
        <v>18</v>
      </c>
      <c r="T38" s="12" t="s">
        <v>10</v>
      </c>
      <c r="U38" s="12" t="s">
        <v>11</v>
      </c>
      <c r="V38" s="12" t="s">
        <v>12</v>
      </c>
    </row>
    <row r="39" spans="1:22" ht="50.1" customHeight="1">
      <c r="O39" s="14"/>
      <c r="P39" s="14"/>
      <c r="Q39" s="14"/>
      <c r="S39" s="142"/>
      <c r="T39" s="19"/>
      <c r="U39" s="19"/>
      <c r="V39" s="14"/>
    </row>
    <row r="40" spans="1:22" ht="17.100000000000001" customHeight="1">
      <c r="O40" s="16" t="s">
        <v>13</v>
      </c>
      <c r="P40" s="16" t="s">
        <v>13</v>
      </c>
      <c r="Q40" s="16" t="s">
        <v>13</v>
      </c>
      <c r="S40" s="136"/>
      <c r="T40" s="15" t="s">
        <v>13</v>
      </c>
      <c r="U40" s="15" t="s">
        <v>13</v>
      </c>
      <c r="V40" s="16" t="s">
        <v>13</v>
      </c>
    </row>
    <row r="41" spans="1:22" ht="9.9499999999999993" customHeight="1"/>
    <row r="42" spans="1:22" ht="19.899999999999999" customHeight="1"/>
    <row r="43" spans="1:22" ht="17.45" customHeight="1">
      <c r="O43" s="138"/>
      <c r="P43" s="138"/>
      <c r="Q43" s="138"/>
    </row>
    <row r="44" spans="1:22" ht="19.899999999999999" customHeight="1">
      <c r="O44" s="138"/>
      <c r="P44" s="138"/>
      <c r="Q44" s="138"/>
    </row>
    <row r="45" spans="1:22" ht="14.25">
      <c r="O45" s="11"/>
      <c r="P45" s="11"/>
      <c r="Q45" s="11"/>
    </row>
    <row r="46" spans="1:22" ht="65.099999999999994" customHeight="1"/>
    <row r="47" spans="1:22" ht="14.25">
      <c r="O47" s="11"/>
      <c r="P47" s="11"/>
      <c r="Q47" s="11"/>
    </row>
    <row r="48" spans="1:22" ht="19.899999999999999" customHeight="1"/>
    <row r="49" spans="15:22" ht="14.25"/>
    <row r="50" spans="15:22" ht="19.899999999999999" customHeight="1"/>
    <row r="51" spans="15:22" ht="14.25"/>
    <row r="52" spans="15:22" ht="19.899999999999999" customHeight="1"/>
    <row r="53" spans="15:22" ht="19.899999999999999" customHeight="1"/>
    <row r="54" spans="15:22" ht="64.900000000000006" customHeight="1"/>
    <row r="56" spans="15:22" ht="19.899999999999999" customHeight="1">
      <c r="T56" s="135" t="s">
        <v>19</v>
      </c>
    </row>
    <row r="57" spans="15:22" ht="19.899999999999999" customHeight="1">
      <c r="T57" s="137"/>
    </row>
    <row r="58" spans="15:22" ht="64.900000000000006" customHeight="1">
      <c r="T58" s="14"/>
    </row>
    <row r="62" spans="15:22" ht="21" customHeight="1">
      <c r="O62" s="135" t="s">
        <v>19</v>
      </c>
      <c r="P62" s="135" t="s">
        <v>19</v>
      </c>
      <c r="Q62" s="135" t="s">
        <v>19</v>
      </c>
      <c r="T62" s="135" t="s">
        <v>20</v>
      </c>
      <c r="U62" s="135" t="s">
        <v>11</v>
      </c>
      <c r="V62" s="135" t="s">
        <v>19</v>
      </c>
    </row>
    <row r="63" spans="15:22" ht="21" customHeight="1">
      <c r="O63" s="137"/>
      <c r="P63" s="137"/>
      <c r="Q63" s="137"/>
      <c r="T63" s="136"/>
      <c r="U63" s="136"/>
      <c r="V63" s="137"/>
    </row>
    <row r="64" spans="15:22" ht="64.900000000000006" customHeight="1">
      <c r="O64" s="14"/>
      <c r="P64" s="14"/>
      <c r="Q64" s="14"/>
      <c r="T64" s="14"/>
      <c r="U64" s="15"/>
      <c r="V64" s="14"/>
    </row>
    <row r="65" spans="15:22" ht="7.15" customHeight="1"/>
    <row r="66" spans="15:22" ht="21" customHeight="1">
      <c r="O66" s="135" t="s">
        <v>19</v>
      </c>
      <c r="P66" s="135" t="s">
        <v>19</v>
      </c>
      <c r="Q66" s="135" t="s">
        <v>19</v>
      </c>
      <c r="T66" s="135" t="s">
        <v>11</v>
      </c>
      <c r="U66" s="135" t="s">
        <v>20</v>
      </c>
      <c r="V66" s="135" t="s">
        <v>19</v>
      </c>
    </row>
    <row r="67" spans="15:22" ht="21" customHeight="1">
      <c r="O67" s="137"/>
      <c r="P67" s="137"/>
      <c r="Q67" s="137"/>
      <c r="T67" s="136"/>
      <c r="U67" s="136"/>
      <c r="V67" s="137"/>
    </row>
    <row r="68" spans="15:22" ht="64.900000000000006" customHeight="1">
      <c r="O68" s="14"/>
      <c r="P68" s="14"/>
      <c r="Q68" s="14"/>
      <c r="T68" s="15"/>
      <c r="U68" s="14"/>
      <c r="V68" s="14"/>
    </row>
  </sheetData>
  <mergeCells count="85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24:C24"/>
    <mergeCell ref="D24:F24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25:C25"/>
    <mergeCell ref="D25:F25"/>
    <mergeCell ref="B26:C26"/>
    <mergeCell ref="D26:F26"/>
    <mergeCell ref="B27:C27"/>
    <mergeCell ref="D27:F27"/>
    <mergeCell ref="B28:C28"/>
    <mergeCell ref="D28:F28"/>
    <mergeCell ref="B29:C29"/>
    <mergeCell ref="D29:F29"/>
    <mergeCell ref="B30:C30"/>
    <mergeCell ref="D30:F30"/>
    <mergeCell ref="B31:C31"/>
    <mergeCell ref="D31:F31"/>
    <mergeCell ref="A32:B32"/>
    <mergeCell ref="S34:S36"/>
    <mergeCell ref="P37:P38"/>
    <mergeCell ref="Q37:Q38"/>
    <mergeCell ref="S38:S40"/>
    <mergeCell ref="O43:O44"/>
    <mergeCell ref="P43:P44"/>
    <mergeCell ref="Q43:Q44"/>
    <mergeCell ref="T56:T57"/>
    <mergeCell ref="O62:O63"/>
    <mergeCell ref="P62:P63"/>
    <mergeCell ref="Q62:Q63"/>
    <mergeCell ref="T62:T63"/>
    <mergeCell ref="U62:U63"/>
    <mergeCell ref="V62:V63"/>
    <mergeCell ref="O66:O67"/>
    <mergeCell ref="P66:P67"/>
    <mergeCell ref="Q66:Q67"/>
    <mergeCell ref="T66:T67"/>
    <mergeCell ref="U66:U67"/>
    <mergeCell ref="V66:V67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  <mergeCell ref="B18:C18"/>
    <mergeCell ref="D18:F18"/>
    <mergeCell ref="B22:C22"/>
    <mergeCell ref="D22:F22"/>
    <mergeCell ref="B23:C23"/>
    <mergeCell ref="D23:F23"/>
    <mergeCell ref="B19:C19"/>
    <mergeCell ref="D19:F19"/>
    <mergeCell ref="B20:C20"/>
    <mergeCell ref="D20:F20"/>
    <mergeCell ref="B21:C21"/>
    <mergeCell ref="D21:F2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8" sqref="Q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17" t="s">
        <v>97</v>
      </c>
      <c r="B1" s="94"/>
      <c r="C1" s="94"/>
      <c r="D1" s="94"/>
      <c r="E1" s="94"/>
      <c r="F1" s="94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95"/>
      <c r="C2" s="95"/>
      <c r="D2" s="3" t="str">
        <f>+MRS!D2</f>
        <v>Division (In charge Name) : ADMIN MANAGER (Dong Chang Kim)</v>
      </c>
      <c r="E2" s="95"/>
      <c r="F2" s="95"/>
      <c r="G2" s="20"/>
      <c r="H2" s="20"/>
      <c r="I2" s="20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SAC2-DS-MRS-0152</v>
      </c>
      <c r="B3" s="95"/>
      <c r="C3" s="95"/>
      <c r="D3" s="95"/>
      <c r="E3" s="95"/>
      <c r="F3" s="95"/>
      <c r="G3" s="95"/>
      <c r="H3" s="95"/>
      <c r="I3" s="95"/>
      <c r="J3" s="95"/>
      <c r="K3" s="96">
        <f>+MRS!L3</f>
        <v>45959</v>
      </c>
    </row>
    <row r="4" spans="1:18" ht="15.95" customHeight="1">
      <c r="A4" s="172" t="s">
        <v>2</v>
      </c>
      <c r="B4" s="173" t="s">
        <v>21</v>
      </c>
      <c r="C4" s="173"/>
      <c r="D4" s="172" t="s">
        <v>4</v>
      </c>
      <c r="E4" s="172"/>
      <c r="F4" s="172"/>
      <c r="G4" s="173" t="s">
        <v>5</v>
      </c>
      <c r="H4" s="172" t="s">
        <v>91</v>
      </c>
      <c r="I4" s="172" t="s">
        <v>22</v>
      </c>
      <c r="J4" s="172" t="s">
        <v>23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Air ticket</v>
      </c>
      <c r="C6" s="168"/>
      <c r="D6" s="169" t="str">
        <f>MRS!D6</f>
        <v>Korea DMM to ICN</v>
      </c>
      <c r="E6" s="170"/>
      <c r="F6" s="171"/>
      <c r="G6" s="97">
        <f>MRS!G6</f>
        <v>0</v>
      </c>
      <c r="H6" s="97">
        <f>MRS!H6</f>
        <v>1</v>
      </c>
      <c r="I6" s="98">
        <f>MRS!I6</f>
        <v>3950</v>
      </c>
      <c r="J6" s="98">
        <f>MRS!J6</f>
        <v>3950</v>
      </c>
      <c r="K6" s="99"/>
      <c r="O6" s="100"/>
      <c r="P6" s="100"/>
      <c r="R6" s="100"/>
    </row>
    <row r="7" spans="1:18" ht="105" customHeight="1">
      <c r="A7" s="21">
        <f>+MRS!A7</f>
        <v>2</v>
      </c>
      <c r="B7" s="167" t="str">
        <f>MRS!B7</f>
        <v>Air ticket</v>
      </c>
      <c r="C7" s="168"/>
      <c r="D7" s="169" t="str">
        <f>MRS!D7</f>
        <v>India DMM to COK</v>
      </c>
      <c r="E7" s="170"/>
      <c r="F7" s="171"/>
      <c r="G7" s="97">
        <f>MRS!G7</f>
        <v>0</v>
      </c>
      <c r="H7" s="97">
        <f>MRS!H7</f>
        <v>1</v>
      </c>
      <c r="I7" s="98">
        <f>MRS!I7</f>
        <v>1500</v>
      </c>
      <c r="J7" s="98">
        <f>MRS!J7</f>
        <v>1500</v>
      </c>
      <c r="K7" s="99"/>
      <c r="O7" s="100"/>
      <c r="P7" s="100"/>
      <c r="R7" s="100"/>
    </row>
    <row r="8" spans="1:18" ht="105" customHeight="1">
      <c r="A8" s="21">
        <f>+MRS!A24</f>
        <v>19</v>
      </c>
      <c r="B8" s="167" t="str">
        <f>MRS!B24</f>
        <v>Air ticket</v>
      </c>
      <c r="C8" s="168"/>
      <c r="D8" s="169" t="str">
        <f>MRS!D24</f>
        <v>India DMM to TRV</v>
      </c>
      <c r="E8" s="170"/>
      <c r="F8" s="171"/>
      <c r="G8" s="97">
        <f>MRS!G24</f>
        <v>0</v>
      </c>
      <c r="H8" s="97">
        <f>MRS!H24</f>
        <v>1</v>
      </c>
      <c r="I8" s="98">
        <f>MRS!I24</f>
        <v>2250</v>
      </c>
      <c r="J8" s="98">
        <f>MRS!J24</f>
        <v>2250</v>
      </c>
      <c r="K8" s="99"/>
      <c r="O8" s="100"/>
      <c r="P8" s="100"/>
      <c r="R8" s="100"/>
    </row>
    <row r="9" spans="1:18" ht="105" customHeight="1">
      <c r="A9" s="21">
        <f>+MRS!A25</f>
        <v>20</v>
      </c>
      <c r="B9" s="167" t="str">
        <f>MRS!B25</f>
        <v>Air ticket</v>
      </c>
      <c r="C9" s="168"/>
      <c r="D9" s="169" t="str">
        <f>MRS!D25</f>
        <v>Pakistan DMM to SKT</v>
      </c>
      <c r="E9" s="170"/>
      <c r="F9" s="171"/>
      <c r="G9" s="97">
        <f>MRS!G25</f>
        <v>0</v>
      </c>
      <c r="H9" s="97">
        <f>MRS!H25</f>
        <v>1</v>
      </c>
      <c r="I9" s="98">
        <f>MRS!I25</f>
        <v>2000</v>
      </c>
      <c r="J9" s="98">
        <f>MRS!J25</f>
        <v>2000</v>
      </c>
      <c r="K9" s="99"/>
      <c r="O9" s="100"/>
      <c r="P9" s="100"/>
      <c r="R9" s="100"/>
    </row>
    <row r="10" spans="1:18" ht="105" customHeight="1">
      <c r="A10" s="21">
        <f>+MRS!A26</f>
        <v>21</v>
      </c>
      <c r="B10" s="167" t="str">
        <f>MRS!B26</f>
        <v>Air ticket</v>
      </c>
      <c r="C10" s="168"/>
      <c r="D10" s="169" t="str">
        <f>MRS!D26</f>
        <v>Pakistan DMM to ISB</v>
      </c>
      <c r="E10" s="170"/>
      <c r="F10" s="171"/>
      <c r="G10" s="97">
        <f>MRS!G26</f>
        <v>0</v>
      </c>
      <c r="H10" s="97">
        <f>MRS!H26</f>
        <v>1</v>
      </c>
      <c r="I10" s="98">
        <f>MRS!I26</f>
        <v>2000</v>
      </c>
      <c r="J10" s="98">
        <f>MRS!J26</f>
        <v>2000</v>
      </c>
      <c r="K10" s="99"/>
      <c r="O10" s="100"/>
      <c r="P10" s="100"/>
      <c r="R10" s="100"/>
    </row>
    <row r="11" spans="1:18" ht="105" customHeight="1">
      <c r="A11" s="21">
        <f>+MRS!A27</f>
        <v>22</v>
      </c>
      <c r="B11" s="167" t="str">
        <f>MRS!B27</f>
        <v>Air ticket</v>
      </c>
      <c r="C11" s="168"/>
      <c r="D11" s="169" t="str">
        <f>MRS!D27</f>
        <v>Pakistan DMM to LHE</v>
      </c>
      <c r="E11" s="170"/>
      <c r="F11" s="171"/>
      <c r="G11" s="97">
        <f>MRS!G27</f>
        <v>0</v>
      </c>
      <c r="H11" s="97">
        <f>MRS!H27</f>
        <v>1</v>
      </c>
      <c r="I11" s="98">
        <f>MRS!I27</f>
        <v>2000</v>
      </c>
      <c r="J11" s="98">
        <f>MRS!J27</f>
        <v>2000</v>
      </c>
      <c r="K11" s="99"/>
      <c r="O11" s="100"/>
      <c r="P11" s="100"/>
      <c r="R11" s="100"/>
    </row>
    <row r="12" spans="1:18" ht="105" customHeight="1">
      <c r="A12" s="21">
        <f>+MRS!A28</f>
        <v>23</v>
      </c>
      <c r="B12" s="162"/>
      <c r="C12" s="163"/>
      <c r="D12" s="164"/>
      <c r="E12" s="165"/>
      <c r="F12" s="166"/>
      <c r="G12" s="101"/>
      <c r="H12" s="102"/>
      <c r="I12" s="103"/>
      <c r="J12" s="103"/>
      <c r="K12" s="99"/>
      <c r="O12" s="100"/>
      <c r="P12" s="100"/>
      <c r="R12" s="100"/>
    </row>
    <row r="13" spans="1:18" ht="105" customHeight="1">
      <c r="A13" s="21">
        <f>+MRS!A29</f>
        <v>24</v>
      </c>
      <c r="B13" s="162"/>
      <c r="C13" s="163"/>
      <c r="D13" s="164"/>
      <c r="E13" s="165"/>
      <c r="F13" s="166"/>
      <c r="G13" s="101"/>
      <c r="H13" s="102"/>
      <c r="I13" s="103"/>
      <c r="J13" s="103"/>
      <c r="K13" s="99"/>
      <c r="O13" s="100"/>
      <c r="P13" s="100"/>
      <c r="R13" s="100"/>
    </row>
    <row r="14" spans="1:18" ht="105" customHeight="1">
      <c r="A14" s="21">
        <f>+MRS!A30</f>
        <v>25</v>
      </c>
      <c r="B14" s="162"/>
      <c r="C14" s="163"/>
      <c r="D14" s="164"/>
      <c r="E14" s="165"/>
      <c r="F14" s="166"/>
      <c r="G14" s="101"/>
      <c r="H14" s="102"/>
      <c r="I14" s="103"/>
      <c r="J14" s="103"/>
      <c r="K14" s="99"/>
      <c r="O14" s="100"/>
      <c r="P14" s="100"/>
      <c r="R14" s="100"/>
    </row>
    <row r="15" spans="1:18" ht="105" customHeight="1">
      <c r="A15" s="21">
        <f>+MRS!A31</f>
        <v>26</v>
      </c>
      <c r="B15" s="162"/>
      <c r="C15" s="163"/>
      <c r="D15" s="164"/>
      <c r="E15" s="165"/>
      <c r="F15" s="166"/>
      <c r="G15" s="101"/>
      <c r="H15" s="102"/>
      <c r="I15" s="103"/>
      <c r="J15" s="103"/>
      <c r="K15" s="99"/>
      <c r="O15" s="100"/>
      <c r="P15" s="100"/>
      <c r="R15" s="100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1"/>
      <c r="H16" s="102"/>
      <c r="I16" s="103"/>
      <c r="J16" s="103"/>
      <c r="K16" s="99"/>
      <c r="O16" s="100"/>
      <c r="P16" s="100"/>
      <c r="R16" s="100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1"/>
      <c r="H17" s="102"/>
      <c r="I17" s="103"/>
      <c r="J17" s="103"/>
      <c r="K17" s="99"/>
      <c r="O17" s="100"/>
      <c r="P17" s="100"/>
      <c r="R17" s="100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K6" sqref="K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24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108</v>
      </c>
      <c r="D9" s="39"/>
      <c r="E9" s="39"/>
    </row>
    <row r="10" spans="2:13" s="39" customFormat="1">
      <c r="B10" s="72"/>
      <c r="C10" s="39" t="s">
        <v>31</v>
      </c>
      <c r="D10" s="118">
        <v>2055022866</v>
      </c>
      <c r="J10" s="39" t="s">
        <v>32</v>
      </c>
      <c r="K10" s="121">
        <f>MRS!L3</f>
        <v>45959</v>
      </c>
      <c r="L10" s="122"/>
      <c r="M10" s="122"/>
    </row>
    <row r="11" spans="2:13" s="39" customFormat="1">
      <c r="B11" s="72"/>
      <c r="C11" s="75" t="s">
        <v>33</v>
      </c>
      <c r="D11" s="76" t="s">
        <v>101</v>
      </c>
      <c r="J11" s="39" t="s">
        <v>34</v>
      </c>
      <c r="K11" s="123" t="str">
        <f>SUBSTITUTE(SUBSTITUTE(+MRS!A3,"  MRS No : ",""),"-MRS","-PO")</f>
        <v>SAC2-DS-PO-0152</v>
      </c>
      <c r="L11" s="123"/>
      <c r="M11" s="123"/>
    </row>
    <row r="12" spans="2:13" s="39" customFormat="1">
      <c r="B12" s="72"/>
      <c r="C12" s="75" t="s">
        <v>35</v>
      </c>
      <c r="D12" s="39" t="s">
        <v>104</v>
      </c>
      <c r="J12" s="39" t="s">
        <v>36</v>
      </c>
    </row>
    <row r="13" spans="2:13" s="39" customFormat="1">
      <c r="B13" s="72"/>
      <c r="C13" s="77"/>
      <c r="D13" s="76" t="s">
        <v>105</v>
      </c>
      <c r="J13" s="39" t="s">
        <v>37</v>
      </c>
    </row>
    <row r="14" spans="2:13" s="39" customFormat="1">
      <c r="B14" s="72"/>
      <c r="C14" s="77" t="s">
        <v>107</v>
      </c>
      <c r="J14" s="39" t="s">
        <v>38</v>
      </c>
      <c r="K14" s="39" t="s">
        <v>141</v>
      </c>
    </row>
    <row r="15" spans="2:13" s="39" customFormat="1">
      <c r="B15" s="72"/>
      <c r="C15" s="77" t="s">
        <v>106</v>
      </c>
      <c r="J15" s="39" t="s">
        <v>39</v>
      </c>
      <c r="K15" s="78">
        <v>45958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24" t="s">
        <v>40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</row>
    <row r="19" spans="2:13" ht="12" customHeight="1"/>
    <row r="20" spans="2:13" s="31" customFormat="1" ht="12" customHeight="1">
      <c r="B20" s="125" t="s">
        <v>41</v>
      </c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</row>
    <row r="21" spans="2:13" s="31" customFormat="1" ht="12" customHeight="1">
      <c r="B21" s="125" t="s">
        <v>42</v>
      </c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</row>
    <row r="22" spans="2:13" s="31" customFormat="1" ht="12" customHeight="1">
      <c r="B22" s="125" t="s">
        <v>43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</row>
    <row r="23" spans="2:13" ht="6.95" customHeight="1"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</row>
    <row r="24" spans="2:13" ht="6.9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140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28" t="s">
        <v>103</v>
      </c>
      <c r="G29" s="128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28"/>
      <c r="G30" s="128"/>
    </row>
    <row r="31" spans="2:13" ht="15" customHeight="1">
      <c r="B31" s="32"/>
      <c r="C31" s="26" t="s">
        <v>50</v>
      </c>
      <c r="D31" s="35"/>
      <c r="E31" s="26" t="s">
        <v>48</v>
      </c>
      <c r="F31" s="128"/>
      <c r="G31" s="128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93</v>
      </c>
      <c r="P49" s="82"/>
    </row>
    <row r="50" spans="1:16" s="83" customFormat="1" ht="15" customHeight="1">
      <c r="B50" s="84" t="s">
        <v>64</v>
      </c>
      <c r="C50" s="81" t="s">
        <v>94</v>
      </c>
    </row>
    <row r="51" spans="1:16" s="83" customFormat="1" ht="15" customHeight="1">
      <c r="B51" s="84" t="s">
        <v>64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D12</f>
        <v>Joyal K. Johnson</v>
      </c>
    </row>
    <row r="60" spans="1:16" ht="18" customHeight="1">
      <c r="B60" s="26" t="s">
        <v>70</v>
      </c>
      <c r="J60" s="26" t="s">
        <v>71</v>
      </c>
      <c r="K60" s="22" t="s">
        <v>98</v>
      </c>
    </row>
    <row r="61" spans="1:16" ht="15" customHeight="1">
      <c r="B61" s="26" t="s">
        <v>72</v>
      </c>
      <c r="J61" s="26" t="s">
        <v>73</v>
      </c>
    </row>
    <row r="62" spans="1:16" s="28" customFormat="1" ht="24.75" customHeight="1">
      <c r="B62" s="25" t="s">
        <v>74</v>
      </c>
      <c r="J62" s="129" t="str">
        <f>C9</f>
        <v>PGCL(Petro Gold Company Limited)</v>
      </c>
      <c r="K62" s="129"/>
      <c r="L62" s="129"/>
      <c r="M62" s="129"/>
    </row>
    <row r="63" spans="1:16" ht="27.95" customHeight="1">
      <c r="A63" s="120" t="s">
        <v>75</v>
      </c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2"/>
  <sheetViews>
    <sheetView showGridLines="0" tabSelected="1" view="pageBreakPreview" zoomScaleSheetLayoutView="100" zoomScalePageLayoutView="55" workbookViewId="0">
      <selection activeCell="K6" sqref="K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SAC2-DS-PO-0152</v>
      </c>
      <c r="C2" s="180" t="s">
        <v>77</v>
      </c>
      <c r="D2" s="180"/>
      <c r="E2" s="180"/>
      <c r="F2" s="180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45959</v>
      </c>
      <c r="C3" s="51"/>
      <c r="D3" s="52"/>
      <c r="E3" s="181" t="s">
        <v>79</v>
      </c>
      <c r="F3" s="181"/>
      <c r="G3" s="181"/>
      <c r="H3" s="181"/>
      <c r="I3" s="53"/>
    </row>
    <row r="4" spans="1:13" s="55" customFormat="1" ht="28.5" customHeight="1" thickTop="1">
      <c r="A4" s="182" t="s">
        <v>80</v>
      </c>
      <c r="B4" s="184" t="s">
        <v>81</v>
      </c>
      <c r="C4" s="185"/>
      <c r="D4" s="188" t="s">
        <v>82</v>
      </c>
      <c r="E4" s="188" t="s">
        <v>83</v>
      </c>
      <c r="F4" s="190" t="str">
        <f>'PO 1st page'!C9</f>
        <v>PGCL(Petro Gold Company Limited)</v>
      </c>
      <c r="G4" s="191"/>
      <c r="H4" s="192" t="s">
        <v>84</v>
      </c>
      <c r="K4" s="56"/>
      <c r="L4" s="56"/>
      <c r="M4" s="56"/>
    </row>
    <row r="5" spans="1:13" s="55" customFormat="1" ht="21.95" customHeight="1">
      <c r="A5" s="183"/>
      <c r="B5" s="186"/>
      <c r="C5" s="187"/>
      <c r="D5" s="189"/>
      <c r="E5" s="189"/>
      <c r="F5" s="57" t="s">
        <v>85</v>
      </c>
      <c r="G5" s="57" t="s">
        <v>50</v>
      </c>
      <c r="H5" s="193"/>
      <c r="K5" s="56"/>
      <c r="L5" s="56"/>
      <c r="M5" s="56"/>
    </row>
    <row r="6" spans="1:13" s="55" customFormat="1" ht="32.1" customHeight="1">
      <c r="A6" s="85">
        <f t="shared" ref="A6:A31" si="0">ROW(A1)</f>
        <v>1</v>
      </c>
      <c r="B6" s="174" t="str">
        <f>CONCATENATE(MRS!B6," ",MRS!D6)</f>
        <v>Air ticket Korea DMM to ICN</v>
      </c>
      <c r="C6" s="175"/>
      <c r="D6" s="86">
        <f>MRS!H6</f>
        <v>1</v>
      </c>
      <c r="E6" s="87"/>
      <c r="F6" s="88">
        <f>MRS!I6</f>
        <v>3950</v>
      </c>
      <c r="G6" s="89">
        <f>MRS!J6</f>
        <v>3950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74" t="str">
        <f>CONCATENATE(MRS!B7," ",MRS!D7)</f>
        <v>Air ticket India DMM to COK</v>
      </c>
      <c r="C7" s="175"/>
      <c r="D7" s="86">
        <f>MRS!H7</f>
        <v>1</v>
      </c>
      <c r="E7" s="87"/>
      <c r="F7" s="88">
        <f>MRS!I7</f>
        <v>1500</v>
      </c>
      <c r="G7" s="89">
        <f>MRS!J7</f>
        <v>1500</v>
      </c>
      <c r="H7" s="90"/>
      <c r="K7" s="91"/>
      <c r="L7" s="92"/>
      <c r="M7" s="56"/>
    </row>
    <row r="8" spans="1:13" s="55" customFormat="1" ht="32.1" customHeight="1">
      <c r="A8" s="85">
        <f t="shared" si="0"/>
        <v>3</v>
      </c>
      <c r="B8" s="174" t="str">
        <f>CONCATENATE(MRS!B8," ",MRS!D8)</f>
        <v>Air ticket India DMM to CCJ</v>
      </c>
      <c r="C8" s="175"/>
      <c r="D8" s="86">
        <f>MRS!H8</f>
        <v>1</v>
      </c>
      <c r="E8" s="87"/>
      <c r="F8" s="88">
        <f>MRS!I8</f>
        <v>1250</v>
      </c>
      <c r="G8" s="89">
        <f>MRS!J8</f>
        <v>1250</v>
      </c>
      <c r="H8" s="93"/>
      <c r="K8" s="56"/>
      <c r="L8" s="56"/>
      <c r="M8" s="56"/>
    </row>
    <row r="9" spans="1:13" s="55" customFormat="1" ht="32.1" customHeight="1">
      <c r="A9" s="85">
        <f t="shared" si="0"/>
        <v>4</v>
      </c>
      <c r="B9" s="174" t="str">
        <f>CONCATENATE(MRS!B9," ",MRS!D9)</f>
        <v>Air ticket India DMM to DEL</v>
      </c>
      <c r="C9" s="175"/>
      <c r="D9" s="86">
        <f>MRS!H9</f>
        <v>1</v>
      </c>
      <c r="E9" s="87"/>
      <c r="F9" s="88">
        <f>MRS!I9</f>
        <v>1400</v>
      </c>
      <c r="G9" s="89">
        <f>MRS!J9</f>
        <v>1400</v>
      </c>
      <c r="H9" s="93"/>
    </row>
    <row r="10" spans="1:13" s="55" customFormat="1" ht="32.1" customHeight="1">
      <c r="A10" s="85">
        <f t="shared" si="0"/>
        <v>5</v>
      </c>
      <c r="B10" s="174" t="str">
        <f>CONCATENATE(MRS!B10," ",MRS!D10)</f>
        <v>Air ticket India DMM to CCU</v>
      </c>
      <c r="C10" s="175"/>
      <c r="D10" s="86">
        <f>MRS!H10</f>
        <v>1</v>
      </c>
      <c r="E10" s="87"/>
      <c r="F10" s="88">
        <f>MRS!I10</f>
        <v>2160</v>
      </c>
      <c r="G10" s="89">
        <f>MRS!J10</f>
        <v>2160</v>
      </c>
      <c r="H10" s="93"/>
    </row>
    <row r="11" spans="1:13" s="55" customFormat="1" ht="32.1" customHeight="1">
      <c r="A11" s="85">
        <f t="shared" si="0"/>
        <v>6</v>
      </c>
      <c r="B11" s="174" t="str">
        <f>CONCATENATE(MRS!B11," ",MRS!D11)</f>
        <v>Air ticket India DMM to LKO</v>
      </c>
      <c r="C11" s="175"/>
      <c r="D11" s="86">
        <f>MRS!H11</f>
        <v>1</v>
      </c>
      <c r="E11" s="87"/>
      <c r="F11" s="88">
        <f>MRS!I11</f>
        <v>2150</v>
      </c>
      <c r="G11" s="89">
        <f>MRS!J11</f>
        <v>2150</v>
      </c>
      <c r="H11" s="93"/>
    </row>
    <row r="12" spans="1:13" s="55" customFormat="1" ht="32.1" customHeight="1">
      <c r="A12" s="85">
        <f t="shared" si="0"/>
        <v>7</v>
      </c>
      <c r="B12" s="174" t="str">
        <f>CONCATENATE(MRS!B12," ",MRS!D12)</f>
        <v>Air ticket India DMM to MAA</v>
      </c>
      <c r="C12" s="175"/>
      <c r="D12" s="86">
        <f>MRS!H12</f>
        <v>1</v>
      </c>
      <c r="E12" s="87"/>
      <c r="F12" s="88">
        <f>MRS!I12</f>
        <v>1950</v>
      </c>
      <c r="G12" s="89">
        <f>MRS!J12</f>
        <v>1950</v>
      </c>
      <c r="H12" s="93"/>
    </row>
    <row r="13" spans="1:13" s="55" customFormat="1" ht="32.1" customHeight="1">
      <c r="A13" s="85">
        <f t="shared" si="0"/>
        <v>8</v>
      </c>
      <c r="B13" s="174" t="str">
        <f>CONCATENATE(MRS!B13," ",MRS!D13)</f>
        <v>Air ticket India DMM to BOM</v>
      </c>
      <c r="C13" s="175"/>
      <c r="D13" s="86">
        <f>MRS!H13</f>
        <v>1</v>
      </c>
      <c r="E13" s="87"/>
      <c r="F13" s="88">
        <f>MRS!I13</f>
        <v>1500</v>
      </c>
      <c r="G13" s="89">
        <f>MRS!J13</f>
        <v>1500</v>
      </c>
      <c r="H13" s="93"/>
    </row>
    <row r="14" spans="1:13" s="55" customFormat="1" ht="32.1" customHeight="1">
      <c r="A14" s="85">
        <f t="shared" si="0"/>
        <v>9</v>
      </c>
      <c r="B14" s="174" t="str">
        <f>CONCATENATE(MRS!B14," ",MRS!D14)</f>
        <v>Air ticket India DMM to BLR</v>
      </c>
      <c r="C14" s="175"/>
      <c r="D14" s="86">
        <f>MRS!H14</f>
        <v>1</v>
      </c>
      <c r="E14" s="87"/>
      <c r="F14" s="88">
        <f>MRS!I14</f>
        <v>1900</v>
      </c>
      <c r="G14" s="89">
        <f>MRS!J14</f>
        <v>1900</v>
      </c>
      <c r="H14" s="93"/>
    </row>
    <row r="15" spans="1:13" s="55" customFormat="1" ht="32.1" customHeight="1">
      <c r="A15" s="85">
        <f t="shared" si="0"/>
        <v>10</v>
      </c>
      <c r="B15" s="174" t="str">
        <f>CONCATENATE(MRS!B15," ",MRS!D15)</f>
        <v>Air ticket India DMM to IXE</v>
      </c>
      <c r="C15" s="175"/>
      <c r="D15" s="86">
        <f>MRS!H15</f>
        <v>1</v>
      </c>
      <c r="E15" s="87"/>
      <c r="F15" s="88">
        <f>MRS!I15</f>
        <v>1950</v>
      </c>
      <c r="G15" s="89">
        <f>MRS!J15</f>
        <v>1950</v>
      </c>
      <c r="H15" s="93"/>
    </row>
    <row r="16" spans="1:13" s="55" customFormat="1" ht="32.1" customHeight="1">
      <c r="A16" s="85">
        <f t="shared" si="0"/>
        <v>11</v>
      </c>
      <c r="B16" s="174" t="str">
        <f>CONCATENATE(MRS!B16," ",MRS!D16)</f>
        <v>Air ticket India DMM to PAT</v>
      </c>
      <c r="C16" s="175"/>
      <c r="D16" s="86">
        <f>MRS!H16</f>
        <v>1</v>
      </c>
      <c r="E16" s="87"/>
      <c r="F16" s="88">
        <f>MRS!I16</f>
        <v>1950</v>
      </c>
      <c r="G16" s="89">
        <f>MRS!J16</f>
        <v>1950</v>
      </c>
      <c r="H16" s="93"/>
    </row>
    <row r="17" spans="1:8" s="55" customFormat="1" ht="32.1" customHeight="1">
      <c r="A17" s="85">
        <f t="shared" si="0"/>
        <v>12</v>
      </c>
      <c r="B17" s="174" t="str">
        <f>CONCATENATE(MRS!B17," ",MRS!D17)</f>
        <v>Air ticket India DMM to GOA</v>
      </c>
      <c r="C17" s="175"/>
      <c r="D17" s="86">
        <f>MRS!H17</f>
        <v>1</v>
      </c>
      <c r="E17" s="87"/>
      <c r="F17" s="88">
        <f>MRS!I17</f>
        <v>1950</v>
      </c>
      <c r="G17" s="89">
        <f>MRS!J17</f>
        <v>1950</v>
      </c>
      <c r="H17" s="93"/>
    </row>
    <row r="18" spans="1:8" s="55" customFormat="1" ht="32.1" customHeight="1">
      <c r="A18" s="85">
        <f t="shared" si="0"/>
        <v>13</v>
      </c>
      <c r="B18" s="174" t="str">
        <f>CONCATENATE(MRS!B18," ",MRS!D18)</f>
        <v>Air ticket India DMM to GAY</v>
      </c>
      <c r="C18" s="175"/>
      <c r="D18" s="86">
        <f>MRS!H18</f>
        <v>1</v>
      </c>
      <c r="E18" s="87"/>
      <c r="F18" s="88">
        <f>MRS!I18</f>
        <v>2130</v>
      </c>
      <c r="G18" s="89">
        <f>MRS!J18</f>
        <v>2130</v>
      </c>
      <c r="H18" s="93"/>
    </row>
    <row r="19" spans="1:8" s="55" customFormat="1" ht="32.1" customHeight="1">
      <c r="A19" s="85">
        <f t="shared" si="0"/>
        <v>14</v>
      </c>
      <c r="B19" s="174" t="str">
        <f>CONCATENATE(MRS!B19," ",MRS!D19)</f>
        <v>Air ticket India DMM to HYD</v>
      </c>
      <c r="C19" s="175"/>
      <c r="D19" s="86">
        <f>MRS!H19</f>
        <v>1</v>
      </c>
      <c r="E19" s="87"/>
      <c r="F19" s="88">
        <f>MRS!I19</f>
        <v>1950</v>
      </c>
      <c r="G19" s="89">
        <f>MRS!J19</f>
        <v>1950</v>
      </c>
      <c r="H19" s="93"/>
    </row>
    <row r="20" spans="1:8" s="55" customFormat="1" ht="32.1" customHeight="1">
      <c r="A20" s="85">
        <f t="shared" si="0"/>
        <v>15</v>
      </c>
      <c r="B20" s="174" t="str">
        <f>CONCATENATE(MRS!B20," ",MRS!D20)</f>
        <v>Air ticket India DMM to VTZ</v>
      </c>
      <c r="C20" s="175"/>
      <c r="D20" s="86">
        <f>MRS!H20</f>
        <v>1</v>
      </c>
      <c r="E20" s="87"/>
      <c r="F20" s="88">
        <f>MRS!I20</f>
        <v>1950</v>
      </c>
      <c r="G20" s="89">
        <f>MRS!J20</f>
        <v>1950</v>
      </c>
      <c r="H20" s="93"/>
    </row>
    <row r="21" spans="1:8" s="55" customFormat="1" ht="32.1" customHeight="1">
      <c r="A21" s="85">
        <f t="shared" si="0"/>
        <v>16</v>
      </c>
      <c r="B21" s="174" t="str">
        <f>CONCATENATE(MRS!B21," ",MRS!D21)</f>
        <v>Air ticket India DMM to AMD</v>
      </c>
      <c r="C21" s="175"/>
      <c r="D21" s="86">
        <f>MRS!H21</f>
        <v>1</v>
      </c>
      <c r="E21" s="87"/>
      <c r="F21" s="88">
        <f>MRS!I21</f>
        <v>2200</v>
      </c>
      <c r="G21" s="89">
        <f>MRS!J21</f>
        <v>2200</v>
      </c>
      <c r="H21" s="93"/>
    </row>
    <row r="22" spans="1:8" s="55" customFormat="1" ht="32.1" customHeight="1">
      <c r="A22" s="85">
        <f t="shared" si="0"/>
        <v>17</v>
      </c>
      <c r="B22" s="174" t="str">
        <f>CONCATENATE(MRS!B22," ",MRS!D22)</f>
        <v>Air ticket India DMM to TRZ</v>
      </c>
      <c r="C22" s="175"/>
      <c r="D22" s="86">
        <f>MRS!H22</f>
        <v>1</v>
      </c>
      <c r="E22" s="87"/>
      <c r="F22" s="88">
        <f>MRS!I22</f>
        <v>2300</v>
      </c>
      <c r="G22" s="89">
        <f>MRS!J22</f>
        <v>2300</v>
      </c>
      <c r="H22" s="93"/>
    </row>
    <row r="23" spans="1:8" s="55" customFormat="1" ht="32.1" customHeight="1">
      <c r="A23" s="85">
        <f t="shared" si="0"/>
        <v>18</v>
      </c>
      <c r="B23" s="174" t="str">
        <f>CONCATENATE(MRS!B23," ",MRS!D23)</f>
        <v>Air ticket India DMM to IXM</v>
      </c>
      <c r="C23" s="175"/>
      <c r="D23" s="86">
        <f>MRS!H23</f>
        <v>1</v>
      </c>
      <c r="E23" s="87"/>
      <c r="F23" s="88">
        <f>MRS!I23</f>
        <v>1950</v>
      </c>
      <c r="G23" s="89">
        <f>MRS!J23</f>
        <v>1950</v>
      </c>
      <c r="H23" s="93"/>
    </row>
    <row r="24" spans="1:8" s="55" customFormat="1" ht="32.1" customHeight="1">
      <c r="A24" s="85">
        <f t="shared" si="0"/>
        <v>19</v>
      </c>
      <c r="B24" s="174" t="str">
        <f>CONCATENATE(MRS!B24," ",MRS!D24)</f>
        <v>Air ticket India DMM to TRV</v>
      </c>
      <c r="C24" s="175"/>
      <c r="D24" s="86">
        <f>MRS!H24</f>
        <v>1</v>
      </c>
      <c r="E24" s="87"/>
      <c r="F24" s="88">
        <f>MRS!I24</f>
        <v>2250</v>
      </c>
      <c r="G24" s="89">
        <f>MRS!J24</f>
        <v>2250</v>
      </c>
      <c r="H24" s="93"/>
    </row>
    <row r="25" spans="1:8" s="55" customFormat="1" ht="32.1" customHeight="1">
      <c r="A25" s="85">
        <f t="shared" si="0"/>
        <v>20</v>
      </c>
      <c r="B25" s="174" t="str">
        <f>CONCATENATE(MRS!B25," ",MRS!D25)</f>
        <v>Air ticket Pakistan DMM to SKT</v>
      </c>
      <c r="C25" s="175"/>
      <c r="D25" s="86">
        <f>MRS!H25</f>
        <v>1</v>
      </c>
      <c r="E25" s="87"/>
      <c r="F25" s="88">
        <f>MRS!I25</f>
        <v>2000</v>
      </c>
      <c r="G25" s="89">
        <f>MRS!J25</f>
        <v>2000</v>
      </c>
      <c r="H25" s="93"/>
    </row>
    <row r="26" spans="1:8" s="55" customFormat="1" ht="32.1" customHeight="1">
      <c r="A26" s="85">
        <f t="shared" si="0"/>
        <v>21</v>
      </c>
      <c r="B26" s="174" t="str">
        <f>CONCATENATE(MRS!B26," ",MRS!D26)</f>
        <v>Air ticket Pakistan DMM to ISB</v>
      </c>
      <c r="C26" s="175"/>
      <c r="D26" s="86">
        <f>MRS!H26</f>
        <v>1</v>
      </c>
      <c r="E26" s="87"/>
      <c r="F26" s="88">
        <f>MRS!I26</f>
        <v>2000</v>
      </c>
      <c r="G26" s="89">
        <f>MRS!J26</f>
        <v>2000</v>
      </c>
      <c r="H26" s="93"/>
    </row>
    <row r="27" spans="1:8" s="55" customFormat="1" ht="32.1" customHeight="1">
      <c r="A27" s="85">
        <f t="shared" si="0"/>
        <v>22</v>
      </c>
      <c r="B27" s="174" t="str">
        <f>CONCATENATE(MRS!B27," ",MRS!D27)</f>
        <v>Air ticket Pakistan DMM to LHE</v>
      </c>
      <c r="C27" s="175"/>
      <c r="D27" s="86">
        <f>MRS!H27</f>
        <v>1</v>
      </c>
      <c r="E27" s="87"/>
      <c r="F27" s="88">
        <f>MRS!I27</f>
        <v>2000</v>
      </c>
      <c r="G27" s="89">
        <f>MRS!J27</f>
        <v>2000</v>
      </c>
      <c r="H27" s="93"/>
    </row>
    <row r="28" spans="1:8" s="55" customFormat="1" ht="32.1" customHeight="1">
      <c r="A28" s="85">
        <f t="shared" si="0"/>
        <v>23</v>
      </c>
      <c r="B28" s="174" t="str">
        <f>CONCATENATE(MRS!B28," ",MRS!D28)</f>
        <v>Air ticket Philippines DMM to MNL</v>
      </c>
      <c r="C28" s="175"/>
      <c r="D28" s="86">
        <f>MRS!H28</f>
        <v>1</v>
      </c>
      <c r="E28" s="87"/>
      <c r="F28" s="88">
        <f>MRS!I28</f>
        <v>3500</v>
      </c>
      <c r="G28" s="89">
        <f>MRS!J28</f>
        <v>3500</v>
      </c>
      <c r="H28" s="93"/>
    </row>
    <row r="29" spans="1:8" s="55" customFormat="1" ht="32.1" customHeight="1">
      <c r="A29" s="85">
        <f t="shared" si="0"/>
        <v>24</v>
      </c>
      <c r="B29" s="174" t="str">
        <f>CONCATENATE(MRS!B29," ",MRS!D29)</f>
        <v>Air ticket Philippines DMM to CRK</v>
      </c>
      <c r="C29" s="175"/>
      <c r="D29" s="86">
        <f>MRS!H29</f>
        <v>1</v>
      </c>
      <c r="E29" s="87"/>
      <c r="F29" s="88">
        <f>MRS!I29</f>
        <v>3600</v>
      </c>
      <c r="G29" s="89">
        <f>MRS!J29</f>
        <v>3600</v>
      </c>
      <c r="H29" s="93"/>
    </row>
    <row r="30" spans="1:8" s="55" customFormat="1" ht="32.1" customHeight="1">
      <c r="A30" s="85">
        <f t="shared" si="0"/>
        <v>25</v>
      </c>
      <c r="B30" s="174" t="str">
        <f>CONCATENATE(MRS!B30," ",MRS!D30)</f>
        <v>Air ticket Bangladesh DMM to DAC</v>
      </c>
      <c r="C30" s="175"/>
      <c r="D30" s="86">
        <f>MRS!H30</f>
        <v>1</v>
      </c>
      <c r="E30" s="87"/>
      <c r="F30" s="88">
        <f>MRS!I30</f>
        <v>2200</v>
      </c>
      <c r="G30" s="89">
        <f>MRS!J30</f>
        <v>2200</v>
      </c>
      <c r="H30" s="93"/>
    </row>
    <row r="31" spans="1:8" s="55" customFormat="1" ht="32.1" customHeight="1">
      <c r="A31" s="85">
        <f t="shared" si="0"/>
        <v>26</v>
      </c>
      <c r="B31" s="174" t="str">
        <f>CONCATENATE(MRS!B31," ",MRS!D31)</f>
        <v>Air ticket Nepal DMM to KTM</v>
      </c>
      <c r="C31" s="175"/>
      <c r="D31" s="86">
        <f>MRS!H31</f>
        <v>1</v>
      </c>
      <c r="E31" s="87"/>
      <c r="F31" s="88">
        <f>MRS!I31</f>
        <v>1950</v>
      </c>
      <c r="G31" s="89">
        <f>MRS!J31</f>
        <v>1950</v>
      </c>
      <c r="H31" s="93"/>
    </row>
    <row r="32" spans="1:8" s="55" customFormat="1" ht="23.1" customHeight="1">
      <c r="A32" s="176" t="s">
        <v>86</v>
      </c>
      <c r="B32" s="177"/>
      <c r="C32" s="177"/>
      <c r="D32" s="177"/>
      <c r="E32" s="177"/>
      <c r="F32" s="177"/>
      <c r="G32" s="58">
        <f>SUM(G6:G31)</f>
        <v>55590</v>
      </c>
      <c r="H32" s="59"/>
    </row>
    <row r="33" spans="1:13" s="55" customFormat="1" ht="23.1" customHeight="1">
      <c r="A33" s="176" t="s">
        <v>49</v>
      </c>
      <c r="B33" s="177"/>
      <c r="C33" s="177"/>
      <c r="D33" s="177"/>
      <c r="E33" s="177"/>
      <c r="F33" s="177"/>
      <c r="G33" s="58">
        <v>0</v>
      </c>
      <c r="H33" s="59"/>
    </row>
    <row r="34" spans="1:13" s="55" customFormat="1" ht="24.95" customHeight="1" thickBot="1">
      <c r="A34" s="178" t="s">
        <v>87</v>
      </c>
      <c r="B34" s="179"/>
      <c r="C34" s="179"/>
      <c r="D34" s="179"/>
      <c r="E34" s="179"/>
      <c r="F34" s="179"/>
      <c r="G34" s="60">
        <f>G33+G32</f>
        <v>55590</v>
      </c>
      <c r="H34" s="61"/>
    </row>
    <row r="35" spans="1:13" ht="15.75" thickTop="1">
      <c r="A35" s="62" t="str">
        <f>" 1) Above Price are as per your quotation with ref "&amp;'PO 1st page'!K14</f>
        <v xml:space="preserve"> 1) Above Price are as per your quotation with ref PG.HDEC.2025-TR0036</v>
      </c>
      <c r="B35" s="63"/>
      <c r="C35" s="63"/>
      <c r="D35" s="64"/>
      <c r="E35" s="64"/>
      <c r="F35" s="64"/>
      <c r="G35" s="64"/>
      <c r="H35" s="64"/>
    </row>
    <row r="36" spans="1:13" ht="15">
      <c r="A36" s="65" t="s">
        <v>88</v>
      </c>
      <c r="B36" s="66"/>
      <c r="C36" s="66"/>
      <c r="D36" s="67"/>
      <c r="E36" s="67"/>
      <c r="F36" s="67"/>
      <c r="G36" s="67"/>
      <c r="H36" s="67"/>
      <c r="I36" s="68"/>
    </row>
    <row r="37" spans="1:13" ht="15.75">
      <c r="A37" s="69"/>
    </row>
    <row r="38" spans="1:13">
      <c r="A38" s="120" t="s">
        <v>89</v>
      </c>
      <c r="B38" s="120"/>
      <c r="C38" s="120"/>
      <c r="D38" s="120"/>
      <c r="E38" s="120"/>
      <c r="F38" s="120"/>
      <c r="G38" s="120"/>
      <c r="H38" s="120"/>
      <c r="I38" s="70"/>
      <c r="J38" s="70"/>
      <c r="K38" s="70"/>
      <c r="L38" s="70"/>
      <c r="M38" s="70"/>
    </row>
    <row r="39" spans="1:13" ht="15.75">
      <c r="A39" s="69"/>
      <c r="C39" s="71"/>
    </row>
    <row r="40" spans="1:13" ht="15.75">
      <c r="A40" s="69"/>
      <c r="C40" s="71"/>
    </row>
    <row r="42" spans="1:13" ht="12" customHeight="1"/>
  </sheetData>
  <mergeCells count="3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32:F32"/>
    <mergeCell ref="A33:F33"/>
    <mergeCell ref="A34:F34"/>
    <mergeCell ref="A38:H38"/>
    <mergeCell ref="B26:C26"/>
    <mergeCell ref="B27:C27"/>
    <mergeCell ref="B28:C28"/>
    <mergeCell ref="B29:C29"/>
    <mergeCell ref="B30:C30"/>
    <mergeCell ref="B31:C31"/>
    <mergeCell ref="B12:C12"/>
    <mergeCell ref="B13:C13"/>
    <mergeCell ref="B14:C14"/>
    <mergeCell ref="B15:C15"/>
    <mergeCell ref="B16:C16"/>
    <mergeCell ref="B22:C22"/>
    <mergeCell ref="B23:C23"/>
    <mergeCell ref="B24:C24"/>
    <mergeCell ref="B25:C25"/>
    <mergeCell ref="B17:C17"/>
    <mergeCell ref="B18:C18"/>
    <mergeCell ref="B19:C19"/>
    <mergeCell ref="B20:C20"/>
    <mergeCell ref="B21:C2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2025-10-29T11:55:30Z</cp:lastPrinted>
  <dcterms:created xsi:type="dcterms:W3CDTF">2024-10-20T11:50:19Z</dcterms:created>
  <dcterms:modified xsi:type="dcterms:W3CDTF">2025-10-29T11:55:35Z</dcterms:modified>
</cp:coreProperties>
</file>