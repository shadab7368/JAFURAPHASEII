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984745C-6D5A-4A36-BFC2-4EFA7BD3514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3" l="1"/>
  <c r="C26" i="3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<sst xmlns="http://schemas.openxmlformats.org/spreadsheetml/2006/main" count="157" uniqueCount="131">
  <si>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</si>
  <si>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</si>
  <si>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</si>
  <si>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</si>
  <si>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</si>
  <si>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</si>
  <si>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</si>
  <si>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</si>
  <si>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</si>
  <si>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</si>
  <si>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</si>
  <si>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</si>
  <si>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</si>
  <si>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</si>
  <si>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</si>
  <si>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</si>
  <si>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</si>
  <si>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</si>
  <si>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</si>
  <si>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</si>
  <si>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</si>
  <si>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</si>
  <si>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</si>
  <si>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</si>
  <si>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</si>
  <si>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</si>
  <si>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</si>
  <si>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</si>
  <si>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</si>
  <si>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</si>
  <si>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</si>
  <si>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</si>
  <si>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</si>
  <si>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</si>
  <si>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</si>
  <si>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</si>
  <si>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</si>
  <si>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</si>
  <si>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</si>
  <si>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</si>
  <si>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</si>
  <si>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</si>
  <si>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</si>
  <si>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</si>
  <si>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</si>
  <si>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</si>
  <si>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</si>
  <si>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</si>
  <si>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</si>
  <si>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</si>
  <si>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</si>
  <si>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</si>
  <si>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</si>
  <si>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</si>
  <si>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</si>
  <si>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</si>
  <si>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</si>
  <si>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</si>
  <si>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</si>
  <si>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</si>
  <si>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</si>
  <si>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</si>
  <si>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</si>
  <si>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</si>
  <si>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</si>
  <si>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</si>
  <si>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</si>
  <si>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</si>
  <si>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</si>
  <si>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</si>
  <si>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</si>
  <si>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</si>
  <si>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</si>
  <si>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</si>
  <si>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</si>
  <si>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</si>
  <si>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</si>
  <si>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</si>
  <si>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</si>
  <si>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</si>
  <si>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</si>
  <si>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</si>
  <si>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</si>
  <si>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</si>
  <si>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</si>
  <si>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</si>
  <si>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</si>
  <si>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</si>
  <si>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</si>
  <si>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</si>
  <si>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</si>
  <si>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</si>
  <si>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</si>
  <si>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</si>
  <si>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</si>
  <si>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</si>
  <si>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</si>
  <si>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</si>
  <si>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</si>
  <si>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</si>
  <si>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</si>
  <si>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ENG. &amp; CONST. CO., LTD.</t>
  </si>
  <si>
    <t>Monthly Based</t>
  </si>
  <si>
    <t>Branch of Hyundai Engineering and Const. Co., Ltd. (HDEC)</t>
  </si>
  <si>
    <t>7050683643</t>
  </si>
  <si>
    <t>313115935700003</t>
  </si>
  <si>
    <t>Building No. 7830, Al Jubail 35514, KSA</t>
  </si>
  <si>
    <t>TEC</t>
  </si>
  <si>
    <t>TEC(Trindus Engineering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</si>
  <si>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</si>
  <si>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</si>
  <si>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</si>
  <si>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</si>
  <si>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</si>
  <si>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</si>
  <si>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</si>
  <si>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</si>
  <si>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</si>
  <si>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TRINDUS ENGINEERING COMPANY</t>
  </si>
  <si>
    <t>18300-001-0006080417557</t>
  </si>
  <si>
    <t>ALRAJHI BANK</t>
  </si>
  <si>
    <t>RJHISARI</t>
  </si>
  <si>
    <t>SA89 8000 0183 6080 1041 7557</t>
  </si>
  <si>
    <t>Kalandar Sawad</t>
  </si>
  <si>
    <t>Business Development Manager</t>
  </si>
  <si>
    <t>Mobile No. +966 53 568 5386 / email: info@trindusksa.com</t>
  </si>
  <si>
    <t>Mobile: +966 53 568 5386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</si>
  <si>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-MRS-0280</t>
    </r>
  </si>
  <si>
    <t>Scaffolding Supervisor</t>
  </si>
  <si>
    <t>Aramco Approved</t>
  </si>
  <si>
    <t>TRE/DAESHIN/MP-002-031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</si>
</sst>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7" t="s">
        <v>87</v>
      </c>
      <c r="K1" s="128"/>
      <c r="L1" s="129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30" t="s">
        <v>94</v>
      </c>
      <c r="K2" s="131"/>
      <c r="L2" s="132"/>
    </row>
    <row r="3" spans="1:18" ht="20.100000000000001" customHeight="1">
      <c r="A3" s="3" t="s">
        <v>127</v>
      </c>
      <c r="B3" s="100"/>
      <c r="C3" s="100"/>
      <c r="D3" s="100"/>
      <c r="E3" s="133">
        <f>+L3</f>
        <v>46123</v>
      </c>
      <c r="F3" s="133"/>
      <c r="G3" s="133"/>
      <c r="H3" s="133"/>
      <c r="I3" s="133"/>
      <c r="J3" s="100"/>
      <c r="K3" s="100"/>
      <c r="L3" s="121">
        <v>46123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91</v>
      </c>
      <c r="J4" s="134" t="s">
        <v>92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22.5" customHeight="1">
      <c r="A6" s="5">
        <f t="shared" ref="A6:A15" si="0">ROW(A1)</f>
        <v>1</v>
      </c>
      <c r="B6" s="146" t="s">
        <v>128</v>
      </c>
      <c r="C6" s="147"/>
      <c r="D6" s="148" t="s">
        <v>129</v>
      </c>
      <c r="E6" s="149"/>
      <c r="F6" s="150"/>
      <c r="G6" s="110" t="s">
        <v>99</v>
      </c>
      <c r="H6" s="111">
        <v>1</v>
      </c>
      <c r="I6" s="112">
        <v>132</v>
      </c>
      <c r="J6" s="112">
        <f>I6*H6</f>
        <v>132</v>
      </c>
      <c r="K6" s="113" t="s">
        <v>107</v>
      </c>
      <c r="L6" s="114" t="s">
        <v>100</v>
      </c>
      <c r="R6" s="105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132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SAC2-DS-MRS-0280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46123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Scaffolding Supervisor</v>
      </c>
      <c r="C6" s="165"/>
      <c r="D6" s="166" t="str">
        <f>MRS!D6</f>
        <v>Aramco Approved</v>
      </c>
      <c r="E6" s="167"/>
      <c r="F6" s="168"/>
      <c r="G6" s="102" t="str">
        <f>MRS!G6</f>
        <v>HR</v>
      </c>
      <c r="H6" s="102">
        <f>MRS!H6</f>
        <v>1</v>
      </c>
      <c r="I6" s="103">
        <f>MRS!I6</f>
        <v>132</v>
      </c>
      <c r="J6" s="103">
        <f>MRS!J6</f>
        <v>132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108</v>
      </c>
      <c r="D9" s="38"/>
      <c r="E9" s="38"/>
    </row>
    <row r="10" spans="2:13" s="38" customFormat="1">
      <c r="B10" s="71"/>
      <c r="C10" s="38" t="s">
        <v>29</v>
      </c>
      <c r="D10" s="75" t="s">
        <v>104</v>
      </c>
      <c r="J10" s="38" t="s">
        <v>30</v>
      </c>
      <c r="K10" s="175">
        <f>MRS!L3</f>
        <v>46123</v>
      </c>
      <c r="L10" s="176"/>
      <c r="M10" s="176"/>
    </row>
    <row r="11" spans="2:13" s="38" customFormat="1">
      <c r="B11" s="71"/>
      <c r="C11" s="74" t="s">
        <v>31</v>
      </c>
      <c r="D11" s="75" t="s">
        <v>105</v>
      </c>
      <c r="J11" s="38" t="s">
        <v>32</v>
      </c>
      <c r="K11" s="177" t="str">
        <f>SUBSTITUTE(SUBSTITUTE(+MRS!A3,"  MRS No : ",""),"-MRS","-PO")</f>
        <v>SAC2-DS-PO-0280</v>
      </c>
      <c r="L11" s="177"/>
      <c r="M11" s="177"/>
    </row>
    <row r="12" spans="2:13" s="38" customFormat="1">
      <c r="B12" s="71"/>
      <c r="C12" s="74" t="s">
        <v>33</v>
      </c>
      <c r="D12" s="38" t="s">
        <v>123</v>
      </c>
      <c r="J12" s="38" t="s">
        <v>34</v>
      </c>
    </row>
    <row r="13" spans="2:13" s="38" customFormat="1">
      <c r="B13" s="71"/>
      <c r="C13" s="76"/>
      <c r="D13" s="75" t="s">
        <v>125</v>
      </c>
      <c r="J13" s="38" t="s">
        <v>35</v>
      </c>
    </row>
    <row r="14" spans="2:13" s="38" customFormat="1">
      <c r="B14" s="71"/>
      <c r="C14" s="76" t="s">
        <v>106</v>
      </c>
      <c r="J14" s="38" t="s">
        <v>36</v>
      </c>
      <c r="K14" s="38" t="s">
        <v>130</v>
      </c>
    </row>
    <row r="15" spans="2:13" s="38" customFormat="1">
      <c r="B15" s="71"/>
      <c r="C15" s="76" t="s">
        <v>126</v>
      </c>
      <c r="J15" s="38" t="s">
        <v>37</v>
      </c>
      <c r="K15" s="77">
        <v>46123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_xlfn.CONCAT(MRS!B6," ",MRS!D6)</f>
        <v>Scaffolding Supervisor Aramco Approved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109</v>
      </c>
    </row>
    <row r="54" spans="2:16" ht="12" customHeight="1">
      <c r="B54" s="83" t="s">
        <v>62</v>
      </c>
      <c r="C54" s="125" t="s">
        <v>110</v>
      </c>
      <c r="F54" s="26" t="s">
        <v>118</v>
      </c>
      <c r="P54" s="26" t="str">
        <f>UPPER(F54)</f>
        <v>TRINDUS ENGINEERING COMPANY</v>
      </c>
    </row>
    <row r="55" spans="2:16" ht="12" customHeight="1">
      <c r="B55" s="83" t="s">
        <v>62</v>
      </c>
      <c r="C55" s="125" t="s">
        <v>111</v>
      </c>
      <c r="F55" s="126" t="s">
        <v>119</v>
      </c>
    </row>
    <row r="56" spans="2:16" ht="12" customHeight="1">
      <c r="B56" s="83" t="s">
        <v>62</v>
      </c>
      <c r="C56" s="125" t="s">
        <v>112</v>
      </c>
      <c r="F56" s="126" t="s">
        <v>122</v>
      </c>
    </row>
    <row r="57" spans="2:16" ht="12" customHeight="1">
      <c r="B57" s="83" t="s">
        <v>62</v>
      </c>
      <c r="C57" s="125" t="s">
        <v>113</v>
      </c>
      <c r="F57" s="26" t="s">
        <v>120</v>
      </c>
    </row>
    <row r="58" spans="2:16" ht="12" customHeight="1">
      <c r="B58" s="83" t="s">
        <v>62</v>
      </c>
      <c r="C58" s="125" t="s">
        <v>114</v>
      </c>
      <c r="F58" s="26" t="s">
        <v>121</v>
      </c>
    </row>
    <row r="59" spans="2:16" ht="12" customHeight="1">
      <c r="B59" s="83" t="s">
        <v>62</v>
      </c>
      <c r="C59" s="125" t="s">
        <v>115</v>
      </c>
      <c r="F59" s="26" t="s">
        <v>116</v>
      </c>
    </row>
    <row r="60" spans="2:16" ht="12" customHeight="1">
      <c r="B60" s="83"/>
      <c r="C60" s="125" t="s">
        <v>117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Kalandar Sawad</v>
      </c>
    </row>
    <row r="68" spans="1:13" ht="18" customHeight="1">
      <c r="B68" s="26" t="s">
        <v>68</v>
      </c>
      <c r="J68" s="26" t="s">
        <v>69</v>
      </c>
      <c r="K68" s="22" t="s">
        <v>124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103</v>
      </c>
      <c r="J70" s="182" t="str">
        <f>C9</f>
        <v>TEC(Trindus Engineering Company)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SAC2-DS-PO-0280</v>
      </c>
      <c r="C2" s="185" t="s">
        <v>74</v>
      </c>
      <c r="D2" s="185"/>
      <c r="E2" s="185"/>
      <c r="F2" s="185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46123</v>
      </c>
      <c r="C3" s="50"/>
      <c r="D3" s="51"/>
      <c r="E3" s="186" t="s">
        <v>76</v>
      </c>
      <c r="F3" s="186"/>
      <c r="G3" s="186"/>
      <c r="H3" s="186"/>
      <c r="I3" s="52"/>
    </row>
    <row r="4" spans="1:13" s="54" customFormat="1" ht="28.5" customHeight="1" thickTop="1">
      <c r="A4" s="187" t="s">
        <v>77</v>
      </c>
      <c r="B4" s="189" t="s">
        <v>78</v>
      </c>
      <c r="C4" s="190"/>
      <c r="D4" s="193" t="s">
        <v>79</v>
      </c>
      <c r="E4" s="193" t="s">
        <v>80</v>
      </c>
      <c r="F4" s="195" t="str">
        <f>'PO 1st page'!C9</f>
        <v>TEC(Trindus Engineering Company)</v>
      </c>
      <c r="G4" s="196"/>
      <c r="H4" s="197" t="s">
        <v>81</v>
      </c>
      <c r="K4" s="55"/>
      <c r="L4" s="55"/>
      <c r="M4" s="55"/>
    </row>
    <row r="5" spans="1:13" s="54" customFormat="1" ht="21.95" customHeight="1">
      <c r="A5" s="188"/>
      <c r="B5" s="191"/>
      <c r="C5" s="192"/>
      <c r="D5" s="194"/>
      <c r="E5" s="194"/>
      <c r="F5" s="56" t="s">
        <v>82</v>
      </c>
      <c r="G5" s="56" t="s">
        <v>48</v>
      </c>
      <c r="H5" s="198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3" t="str">
        <f>_xlfn.CONCAT(MRS!B6," ",MRS!D6)</f>
        <v>Scaffolding Supervisor Aramco Approved</v>
      </c>
      <c r="C6" s="184"/>
      <c r="D6" s="85" t="str">
        <f>+'MRS LIST'!G6</f>
        <v>HR</v>
      </c>
      <c r="E6" s="86">
        <f>+'MRS LIST'!H6</f>
        <v>1</v>
      </c>
      <c r="F6" s="87">
        <f>+'MRS LIST'!I6</f>
        <v>132</v>
      </c>
      <c r="G6" s="88">
        <f>+'MRS LIST'!J6</f>
        <v>132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3"/>
      <c r="C7" s="184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3"/>
      <c r="C8" s="184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3"/>
      <c r="C9" s="184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3"/>
      <c r="C10" s="184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3"/>
      <c r="C11" s="184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3"/>
      <c r="C12" s="204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3"/>
      <c r="C13" s="204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3"/>
      <c r="C14" s="204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3"/>
      <c r="C15" s="204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3"/>
      <c r="C16" s="204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3"/>
      <c r="C17" s="204"/>
      <c r="D17" s="93"/>
      <c r="E17" s="94"/>
      <c r="F17" s="95"/>
      <c r="G17" s="96"/>
      <c r="H17" s="97"/>
    </row>
    <row r="18" spans="1:13" s="54" customFormat="1" ht="23.1" customHeight="1">
      <c r="A18" s="199" t="s">
        <v>83</v>
      </c>
      <c r="B18" s="200"/>
      <c r="C18" s="200"/>
      <c r="D18" s="200"/>
      <c r="E18" s="200"/>
      <c r="F18" s="200"/>
      <c r="G18" s="57">
        <f>SUM(G6:G17)</f>
        <v>132</v>
      </c>
      <c r="H18" s="58"/>
    </row>
    <row r="19" spans="1:13" s="54" customFormat="1" ht="23.1" customHeight="1">
      <c r="A19" s="199" t="s">
        <v>47</v>
      </c>
      <c r="B19" s="200"/>
      <c r="C19" s="200"/>
      <c r="D19" s="200"/>
      <c r="E19" s="200"/>
      <c r="F19" s="200"/>
      <c r="G19" s="57">
        <f>+G18*0.15</f>
        <v>19.8</v>
      </c>
      <c r="H19" s="58"/>
    </row>
    <row r="20" spans="1:13" s="54" customFormat="1" ht="24.95" customHeight="1" thickBot="1">
      <c r="A20" s="201" t="s">
        <v>84</v>
      </c>
      <c r="B20" s="202"/>
      <c r="C20" s="202"/>
      <c r="D20" s="202"/>
      <c r="E20" s="202"/>
      <c r="F20" s="202"/>
      <c r="G20" s="59">
        <f>G19+G18</f>
        <v>151.80000000000001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TRE/DAESHIN/MP-002-031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2026-04-11T14:42:43Z</cp:lastPrinted>
  <dcterms:created xsi:type="dcterms:W3CDTF">2024-10-20T11:50:19Z</dcterms:created>
  <dcterms:modified xsi:type="dcterms:W3CDTF">2026-04-11T14:42:45Z</dcterms:modified>
</cp:coreProperties>
</file>