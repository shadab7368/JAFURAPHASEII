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6D56691-C19C-4790-83F1-765E5A57763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6" i="3" l="1"/>
  <c r="B6" i="4"/>
  <c r="H6" i="4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<sst xmlns="http://schemas.openxmlformats.org/spreadsheetml/2006/main" count="171" uniqueCount="132">
  <si>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</si>
  <si>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</si>
  <si>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</si>
  <si>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</si>
  <si>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</si>
  <si>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</si>
  <si>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</si>
  <si>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</si>
  <si>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</si>
  <si>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</si>
  <si>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</si>
  <si>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</si>
  <si>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</si>
  <si>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</si>
  <si>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</si>
  <si>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</si>
  <si>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</si>
  <si>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</si>
  <si>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</si>
  <si>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</si>
  <si>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</si>
  <si>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</si>
  <si>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</si>
  <si>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</si>
  <si>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</si>
  <si>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</si>
  <si>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</si>
  <si>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</si>
  <si>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</si>
  <si>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</si>
  <si>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</si>
  <si>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</si>
  <si>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</si>
  <si>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</si>
  <si>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</si>
  <si>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</si>
  <si>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</si>
  <si>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</si>
  <si>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</si>
  <si>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</si>
  <si>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</si>
  <si>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</si>
  <si>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</si>
  <si>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</si>
  <si>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</si>
  <si>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</si>
  <si>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</si>
  <si>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</si>
  <si>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</si>
  <si>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</si>
  <si>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</si>
  <si>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</si>
  <si>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</si>
  <si>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</si>
  <si>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</si>
  <si>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</si>
  <si>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</si>
  <si>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</si>
  <si>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</si>
  <si>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</si>
  <si>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</si>
  <si>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</si>
  <si>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</si>
  <si>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</si>
  <si>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</si>
  <si>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</si>
  <si>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</si>
  <si>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</si>
  <si>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</si>
  <si>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</si>
  <si>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</si>
  <si>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</si>
  <si>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</si>
  <si>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</si>
  <si>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</si>
  <si>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</si>
  <si>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</si>
  <si>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</si>
  <si>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</si>
  <si>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</si>
  <si>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</si>
  <si>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</si>
  <si>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</si>
  <si>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</si>
  <si>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</si>
  <si>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</si>
  <si>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</si>
  <si>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</si>
  <si>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</si>
  <si>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</si>
  <si>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</si>
  <si>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</si>
  <si>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</si>
  <si>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</si>
  <si>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</si>
  <si>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</si>
  <si>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</si>
  <si>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</si>
  <si>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</si>
  <si>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</si>
  <si>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</si>
  <si>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</si>
  <si>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</si>
  <si>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</si>
  <si>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</si>
  <si>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</si>
  <si>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Mohammed Irshad</t>
  </si>
  <si>
    <t>+966 53 3121661 / Email:admin@desertsolutionindus.com</t>
  </si>
  <si>
    <t>P.O. Box No. 1015, Jubail-31951, KSA</t>
  </si>
  <si>
    <t>Administration</t>
  </si>
  <si>
    <t>Monthly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</si>
  <si>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</si>
  <si>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</si>
  <si>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</si>
  <si>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</si>
  <si>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</si>
  <si>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</si>
  <si>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</si>
  <si>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</si>
  <si>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</si>
  <si>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</si>
  <si>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</si>
  <si>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</si>
  <si>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</si>
  <si>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DESERT SOLUTION GENERAL CONTRACTING COMPANY LLC</t>
  </si>
  <si>
    <t>40947982000108</t>
  </si>
  <si>
    <t>SA09 1000 0040 9479 8200 0108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</si>
  <si>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-MRS-0343</t>
    </r>
  </si>
  <si>
    <t>Work Permit Receiver</t>
  </si>
  <si>
    <t>Aramco Certified</t>
  </si>
  <si>
    <t>Hour</t>
  </si>
  <si>
    <t>DSCE/HYU/Q-11129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</si>
</sst>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3" fillId="3" borderId="0" xfId="5" applyFont="1" applyFill="1"/>
    <xf numFmtId="0" fontId="17" fillId="3" borderId="0" xfId="5" quotePrefix="1" applyFont="1" applyFill="1"/>
    <xf numFmtId="0" fontId="54" fillId="3" borderId="0" xfId="5" applyFont="1" applyFill="1"/>
    <xf numFmtId="0" fontId="26" fillId="3" borderId="0" xfId="5" quotePrefix="1" applyFont="1" applyFill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1032711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06553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0"/>
      <c r="C1" s="110"/>
      <c r="D1" s="110"/>
      <c r="E1" s="110"/>
      <c r="F1" s="110"/>
      <c r="G1" s="1"/>
      <c r="J1" s="129" t="s">
        <v>91</v>
      </c>
      <c r="K1" s="130"/>
      <c r="L1" s="131"/>
    </row>
    <row r="2" spans="1:19" ht="20.100000000000001" customHeight="1">
      <c r="A2" s="3" t="s">
        <v>1</v>
      </c>
      <c r="B2" s="101"/>
      <c r="C2" s="101"/>
      <c r="D2" s="3" t="s">
        <v>105</v>
      </c>
      <c r="E2" s="101"/>
      <c r="F2" s="101"/>
      <c r="G2" s="101"/>
      <c r="H2" s="101"/>
      <c r="I2" s="4"/>
      <c r="J2" s="132" t="s">
        <v>103</v>
      </c>
      <c r="K2" s="133"/>
      <c r="L2" s="134"/>
    </row>
    <row r="3" spans="1:19" ht="20.100000000000001" customHeight="1">
      <c r="A3" s="3" t="s">
        <v>127</v>
      </c>
      <c r="B3" s="101"/>
      <c r="C3" s="101"/>
      <c r="D3" s="101"/>
      <c r="E3" s="135">
        <f>+L3</f>
        <v>46207</v>
      </c>
      <c r="F3" s="135"/>
      <c r="G3" s="135"/>
      <c r="H3" s="135"/>
      <c r="I3" s="135"/>
      <c r="J3" s="101"/>
      <c r="K3" s="101"/>
      <c r="L3" s="122">
        <v>46207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96</v>
      </c>
      <c r="J4" s="136" t="s">
        <v>97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48" t="s">
        <v>128</v>
      </c>
      <c r="C6" s="149"/>
      <c r="D6" s="150" t="s">
        <v>129</v>
      </c>
      <c r="E6" s="151"/>
      <c r="F6" s="152"/>
      <c r="G6" s="111" t="s">
        <v>130</v>
      </c>
      <c r="H6" s="112">
        <v>1</v>
      </c>
      <c r="I6" s="113">
        <v>45</v>
      </c>
      <c r="J6" s="113">
        <f>H6*I6</f>
        <v>45</v>
      </c>
      <c r="K6" s="114" t="s">
        <v>99</v>
      </c>
      <c r="L6" s="115" t="s">
        <v>110</v>
      </c>
      <c r="S6" s="106"/>
    </row>
    <row r="7" spans="1:19" ht="22.5" customHeight="1">
      <c r="A7" s="5">
        <f t="shared" si="0"/>
        <v>2</v>
      </c>
      <c r="B7" s="148"/>
      <c r="C7" s="149"/>
      <c r="D7" s="153"/>
      <c r="E7" s="151"/>
      <c r="F7" s="15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9"/>
      <c r="T19" s="14"/>
      <c r="U19" s="15"/>
      <c r="V19" s="14"/>
    </row>
    <row r="20" spans="1:22" ht="17.100000000000001" customHeight="1">
      <c r="O20" s="11"/>
      <c r="P20" s="11"/>
      <c r="Q20" s="11"/>
      <c r="S20" s="16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1" t="s">
        <v>17</v>
      </c>
      <c r="Q21" s="161" t="s">
        <v>18</v>
      </c>
    </row>
    <row r="22" spans="1:22" ht="18" customHeight="1">
      <c r="O22" s="18" t="s">
        <v>19</v>
      </c>
      <c r="P22" s="162"/>
      <c r="Q22" s="162"/>
      <c r="S22" s="15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3"/>
      <c r="P27" s="163"/>
      <c r="Q27" s="163"/>
    </row>
    <row r="28" spans="1:22" ht="19.899999999999999" customHeight="1">
      <c r="O28" s="163"/>
      <c r="P28" s="163"/>
      <c r="Q28" s="16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21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21</v>
      </c>
      <c r="P46" s="161" t="s">
        <v>21</v>
      </c>
      <c r="Q46" s="161" t="s">
        <v>21</v>
      </c>
      <c r="T46" s="161" t="s">
        <v>22</v>
      </c>
      <c r="U46" s="161" t="s">
        <v>13</v>
      </c>
      <c r="V46" s="161" t="s">
        <v>21</v>
      </c>
    </row>
    <row r="47" spans="15:22" ht="21" customHeight="1">
      <c r="O47" s="162"/>
      <c r="P47" s="162"/>
      <c r="Q47" s="162"/>
      <c r="T47" s="160"/>
      <c r="U47" s="160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21</v>
      </c>
      <c r="P50" s="161" t="s">
        <v>21</v>
      </c>
      <c r="Q50" s="161" t="s">
        <v>21</v>
      </c>
      <c r="T50" s="161" t="s">
        <v>13</v>
      </c>
      <c r="U50" s="161" t="s">
        <v>22</v>
      </c>
      <c r="V50" s="161" t="s">
        <v>21</v>
      </c>
    </row>
    <row r="51" spans="15:22" ht="21" customHeight="1">
      <c r="O51" s="162"/>
      <c r="P51" s="162"/>
      <c r="Q51" s="162"/>
      <c r="T51" s="160"/>
      <c r="U51" s="160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SAC2-DS-MRS-0343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46207</v>
      </c>
    </row>
    <row r="4" spans="1:18" ht="15.95" customHeight="1">
      <c r="A4" s="164" t="s">
        <v>2</v>
      </c>
      <c r="B4" s="165" t="s">
        <v>23</v>
      </c>
      <c r="C4" s="165"/>
      <c r="D4" s="164" t="s">
        <v>4</v>
      </c>
      <c r="E4" s="164"/>
      <c r="F4" s="164"/>
      <c r="G4" s="165" t="s">
        <v>5</v>
      </c>
      <c r="H4" s="164" t="s">
        <v>92</v>
      </c>
      <c r="I4" s="164" t="s">
        <v>24</v>
      </c>
      <c r="J4" s="164" t="s">
        <v>25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Work Permit Receiver</v>
      </c>
      <c r="C6" s="167"/>
      <c r="D6" s="168" t="str">
        <f>MRS!D6</f>
        <v>Aramco Certified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45</v>
      </c>
      <c r="J6" s="104">
        <f>MRS!J6</f>
        <v>45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1"/>
      <c r="C8" s="172"/>
      <c r="D8" s="173"/>
      <c r="E8" s="174"/>
      <c r="F8" s="17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1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128">
        <v>2055104339</v>
      </c>
      <c r="J10" s="39" t="s">
        <v>34</v>
      </c>
      <c r="K10" s="177">
        <f>MRS!L3</f>
        <v>46207</v>
      </c>
      <c r="L10" s="178"/>
      <c r="M10" s="178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9" t="str">
        <f>SUBSTITUTE(SUBSTITUTE(+MRS!A3,"  MRS No : ",""),"-MRS","-PO")</f>
        <v>SAC2-DS-PO-0343</v>
      </c>
      <c r="L11" s="179"/>
      <c r="M11" s="179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131</v>
      </c>
    </row>
    <row r="15" spans="2:13" s="39" customFormat="1">
      <c r="B15" s="72"/>
      <c r="C15" s="77" t="s">
        <v>102</v>
      </c>
      <c r="J15" s="39" t="s">
        <v>41</v>
      </c>
      <c r="K15" s="78">
        <v>46205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42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43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44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45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tr">
        <f>CONCATENATE(MRS!B6," ",MRS!D6)</f>
        <v>Work Permit Receiver Aramco Certified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4" t="s">
        <v>111</v>
      </c>
      <c r="G29" s="184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4"/>
      <c r="G30" s="184"/>
    </row>
    <row r="31" spans="2:13" ht="12" customHeight="1">
      <c r="B31" s="32"/>
      <c r="C31" s="26" t="s">
        <v>52</v>
      </c>
      <c r="D31" s="35"/>
      <c r="E31" s="26" t="s">
        <v>50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6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6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94</v>
      </c>
      <c r="P49" s="82"/>
    </row>
    <row r="50" spans="2:16" s="83" customFormat="1" ht="12" customHeight="1">
      <c r="B50" s="84" t="s">
        <v>66</v>
      </c>
      <c r="C50" s="81" t="s">
        <v>95</v>
      </c>
    </row>
    <row r="51" spans="2:16" s="83" customFormat="1" ht="12" customHeight="1">
      <c r="B51" s="84" t="s">
        <v>66</v>
      </c>
      <c r="C51" s="81" t="s">
        <v>93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113</v>
      </c>
    </row>
    <row r="54" spans="2:16" ht="12" customHeight="1">
      <c r="B54" s="84" t="s">
        <v>66</v>
      </c>
      <c r="C54" s="125" t="s">
        <v>114</v>
      </c>
      <c r="F54" s="26" t="s">
        <v>124</v>
      </c>
      <c r="P54" s="26" t="str">
        <f>UPPER(F54)</f>
        <v>DESERT SOLUTION GENERAL CONTRACTING COMPANY LLC</v>
      </c>
    </row>
    <row r="55" spans="2:16" ht="12" customHeight="1">
      <c r="B55" s="84" t="s">
        <v>66</v>
      </c>
      <c r="C55" s="125" t="s">
        <v>115</v>
      </c>
      <c r="F55" s="126" t="s">
        <v>125</v>
      </c>
    </row>
    <row r="56" spans="2:16" ht="12" customHeight="1">
      <c r="B56" s="84" t="s">
        <v>66</v>
      </c>
      <c r="C56" s="125" t="s">
        <v>116</v>
      </c>
      <c r="F56" s="26" t="s">
        <v>126</v>
      </c>
    </row>
    <row r="57" spans="2:16" ht="12" customHeight="1">
      <c r="B57" s="84" t="s">
        <v>66</v>
      </c>
      <c r="C57" s="125" t="s">
        <v>117</v>
      </c>
      <c r="F57" s="26" t="s">
        <v>118</v>
      </c>
    </row>
    <row r="58" spans="2:16" ht="12" customHeight="1">
      <c r="B58" s="84" t="s">
        <v>66</v>
      </c>
      <c r="C58" s="125" t="s">
        <v>119</v>
      </c>
      <c r="F58" s="26" t="s">
        <v>120</v>
      </c>
    </row>
    <row r="59" spans="2:16" ht="12" customHeight="1">
      <c r="B59" s="84" t="s">
        <v>66</v>
      </c>
      <c r="C59" s="125" t="s">
        <v>121</v>
      </c>
      <c r="F59" s="26" t="s">
        <v>122</v>
      </c>
    </row>
    <row r="60" spans="2:16" ht="12" customHeight="1">
      <c r="B60" s="84"/>
      <c r="C60" s="127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50.1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Mohammed Irshad</v>
      </c>
    </row>
    <row r="68" spans="1:13" ht="18" customHeight="1">
      <c r="B68" s="26" t="s">
        <v>72</v>
      </c>
      <c r="J68" s="26" t="s">
        <v>73</v>
      </c>
      <c r="K68" s="22" t="s">
        <v>109</v>
      </c>
    </row>
    <row r="69" spans="1:13" ht="15" customHeight="1">
      <c r="B69" s="26" t="s">
        <v>74</v>
      </c>
      <c r="J69" s="26" t="s">
        <v>75</v>
      </c>
    </row>
    <row r="70" spans="1:13" s="28" customFormat="1" ht="24.75" customHeight="1">
      <c r="B70" s="25" t="s">
        <v>112</v>
      </c>
      <c r="J70" s="185" t="str">
        <f>C9</f>
        <v>DSGC(Desert Solution General Contracting Company LLC)</v>
      </c>
      <c r="K70" s="185"/>
      <c r="L70" s="185"/>
      <c r="M70" s="185"/>
    </row>
    <row r="71" spans="1:13" ht="27.95" customHeight="1">
      <c r="A71" s="176" t="s">
        <v>76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SAC2-DS-PO-0343</v>
      </c>
      <c r="C2" s="188" t="s">
        <v>78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46207</v>
      </c>
      <c r="C3" s="51"/>
      <c r="D3" s="52"/>
      <c r="E3" s="189" t="s">
        <v>80</v>
      </c>
      <c r="F3" s="189"/>
      <c r="G3" s="189"/>
      <c r="H3" s="189"/>
      <c r="I3" s="53"/>
    </row>
    <row r="4" spans="1:13" s="55" customFormat="1" ht="28.5" customHeight="1" thickTop="1">
      <c r="A4" s="190" t="s">
        <v>81</v>
      </c>
      <c r="B4" s="192" t="s">
        <v>82</v>
      </c>
      <c r="C4" s="193"/>
      <c r="D4" s="196" t="s">
        <v>83</v>
      </c>
      <c r="E4" s="196" t="s">
        <v>84</v>
      </c>
      <c r="F4" s="198" t="str">
        <f>'PO 1st page'!C9</f>
        <v>DSGC(Desert Solution General Contracting Company LLC)</v>
      </c>
      <c r="G4" s="199"/>
      <c r="H4" s="200" t="s">
        <v>85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86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Work Permit Receiver Aramco Certified</v>
      </c>
      <c r="C6" s="203"/>
      <c r="D6" s="86" t="str">
        <f>+'MRS LIST'!G6</f>
        <v>Hour</v>
      </c>
      <c r="E6" s="87">
        <f>+'MRS LIST'!H6</f>
        <v>1</v>
      </c>
      <c r="F6" s="88">
        <f>+'MRS LIST'!I6</f>
        <v>45</v>
      </c>
      <c r="G6" s="89">
        <f>+'MRS LIST'!J6</f>
        <v>45</v>
      </c>
      <c r="H6" s="90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204" t="s">
        <v>87</v>
      </c>
      <c r="B18" s="205"/>
      <c r="C18" s="205"/>
      <c r="D18" s="205"/>
      <c r="E18" s="205"/>
      <c r="F18" s="205"/>
      <c r="G18" s="58">
        <f>SUM(G6:G17)</f>
        <v>45</v>
      </c>
      <c r="H18" s="59"/>
    </row>
    <row r="19" spans="1:13" s="55" customFormat="1" ht="23.1" customHeight="1">
      <c r="A19" s="204" t="s">
        <v>51</v>
      </c>
      <c r="B19" s="205"/>
      <c r="C19" s="205"/>
      <c r="D19" s="205"/>
      <c r="E19" s="205"/>
      <c r="F19" s="205"/>
      <c r="G19" s="58">
        <f>+G18*0.15</f>
        <v>6.75</v>
      </c>
      <c r="H19" s="59"/>
    </row>
    <row r="20" spans="1:13" s="55" customFormat="1" ht="24.95" customHeight="1" thickBot="1">
      <c r="A20" s="206" t="s">
        <v>88</v>
      </c>
      <c r="B20" s="207"/>
      <c r="C20" s="207"/>
      <c r="D20" s="207"/>
      <c r="E20" s="207"/>
      <c r="F20" s="207"/>
      <c r="G20" s="60">
        <f>G19+G18</f>
        <v>51.75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DSCE/HYU/Q-11129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90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2026-07-04T13:25:13Z</cp:lastPrinted>
  <dcterms:created xsi:type="dcterms:W3CDTF">2024-10-20T11:50:19Z</dcterms:created>
  <dcterms:modified xsi:type="dcterms:W3CDTF">2026-07-04T13:25:15Z</dcterms:modified>
</cp:coreProperties>
</file>