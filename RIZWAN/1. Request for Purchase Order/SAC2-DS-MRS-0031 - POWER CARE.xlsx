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0A3E8C4E-0F9F-411E-95DB-86B650F1C0FA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E7" i="4"/>
  <c r="D7" i="4"/>
  <c r="J7" i="1"/>
  <c r="K59" i="3" l="1"/>
  <c r="H6" i="4"/>
  <c r="E3" i="1"/>
  <c r="H7" i="2"/>
  <c r="G7" i="2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<sst xmlns="http://schemas.openxmlformats.org/spreadsheetml/2006/main" count="157" uniqueCount="123">
  <si>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</si>
  <si>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</si>
  <si>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</si>
  <si>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</si>
  <si>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</si>
  <si>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</si>
  <si>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</si>
  <si>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</si>
  <si>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</si>
  <si>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</si>
  <si>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</si>
  <si>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</si>
  <si>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</si>
  <si>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</si>
  <si>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</si>
  <si>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</si>
  <si>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</si>
  <si>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</si>
  <si>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</si>
  <si>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</si>
  <si>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</si>
  <si>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</si>
  <si>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</si>
  <si>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</si>
  <si>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</si>
  <si>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</si>
  <si>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</si>
  <si>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</si>
  <si>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</si>
  <si>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</si>
  <si>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</si>
  <si>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</si>
  <si>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</si>
  <si>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</si>
  <si>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</si>
  <si>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</si>
  <si>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</si>
  <si>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</si>
  <si>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</si>
  <si>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</si>
  <si>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</si>
  <si>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</si>
  <si>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</si>
  <si>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</si>
  <si>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</si>
  <si>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</si>
  <si>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</si>
  <si>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</si>
  <si>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</si>
  <si>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</si>
  <si>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</si>
  <si>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</si>
  <si>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</si>
  <si>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</si>
  <si>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</si>
  <si>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</si>
  <si>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</si>
  <si>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</si>
  <si>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</si>
  <si>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</si>
  <si>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</si>
  <si>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</si>
  <si>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</si>
  <si>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</si>
  <si>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</si>
  <si>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</si>
  <si>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</si>
  <si>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</si>
  <si>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</si>
  <si>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</si>
  <si>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</si>
  <si>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</si>
  <si>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</si>
  <si>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</si>
  <si>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</si>
  <si>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</si>
  <si>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</si>
  <si>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</si>
  <si>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</si>
  <si>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</si>
  <si>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</si>
  <si>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</si>
  <si>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</si>
  <si>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</si>
  <si>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</si>
  <si>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</si>
  <si>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</si>
  <si>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</si>
  <si>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</si>
  <si>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</si>
  <si>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</si>
  <si>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</si>
  <si>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</si>
  <si>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</si>
  <si>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</si>
  <si>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</si>
  <si>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</si>
  <si>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</si>
  <si>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</si>
  <si>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</si>
  <si>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</si>
  <si>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</si>
  <si>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PCCL</t>
  </si>
  <si>
    <t>PCCL(Power Care Co. Ltd.)</t>
  </si>
  <si>
    <t>Mohammed Aarzoo</t>
  </si>
  <si>
    <t>+966 55 5014763 / Email:aarzoo@powercareksa.com</t>
  </si>
  <si>
    <t>Landline: +966 133627417 / Mobile : +966 555014763</t>
  </si>
  <si>
    <t>Director</t>
  </si>
  <si>
    <t>Bldg No . 8590 Al Jabal Street, Al Dana, Al Jubail</t>
  </si>
  <si>
    <t>Mob. &amp; De-Mob. / per unit - lump sum</t>
    <phoneticPr fontId="3" type="noConversion"/>
  </si>
  <si>
    <t>L/S</t>
  </si>
  <si>
    <t>310793666100003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</si>
  <si>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-MRS-0031</t>
    </r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</si>
  <si>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</si>
  <si>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</si>
  <si>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Generator</t>
  </si>
  <si>
    <t>62.5 KVA</t>
  </si>
  <si>
    <t>Generator Mob &amp; De-Mob. Charge</t>
  </si>
  <si>
    <t>Division (In charge Name) : ADMIN MANAGER (Dong Chang Kim)</t>
  </si>
  <si>
    <t>62.5 KVA Generator</t>
  </si>
  <si>
    <t>PC-EQTN2025-1410</t>
  </si>
  <si>
    <t>One Time</t>
  </si>
  <si>
    <t xml:space="preserve">  Delivery &amp; Payment : Dong Chang Kim / Daeshin Admin. [ Mobile No. : +966 53 748 5762 / Email : kdchjs@daeshinplant.com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</si>
</sst>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0C2DA7B8-C881-403A-A3F4-E101D5689A48}"/>
    <cellStyle name="쉼표 2" xfId="9" xr:uid="{F2A3A689-A30F-4FCA-9C51-F28F11796A46}"/>
    <cellStyle name="쉼표 2 2" xfId="14" xr:uid="{0984986F-16BB-41D3-B527-1D1EA3E110EA}"/>
    <cellStyle name="표준 2 2" xfId="2" xr:uid="{12B761D3-4229-4E14-8168-D5975293A996}"/>
    <cellStyle name="표준 2 2 2" xfId="11" xr:uid="{4158E29D-49D4-4EBB-92E7-B73170844AF2}"/>
    <cellStyle name="표준 2 3 2 2" xfId="5" xr:uid="{BD51BFCC-3D36-446B-BE80-7856DF8371E9}"/>
    <cellStyle name="표준 2 3 2 2 2" xfId="13" xr:uid="{3FF0BFF6-7B9F-4FBC-804C-3BCCD0E0578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Q11" sqref="Q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114</v>
      </c>
      <c r="B1" s="110"/>
      <c r="C1" s="110"/>
      <c r="D1" s="110"/>
      <c r="E1" s="110"/>
      <c r="F1" s="110"/>
      <c r="G1" s="1"/>
      <c r="J1" s="125" t="s">
        <v>92</v>
      </c>
      <c r="K1" s="126"/>
      <c r="L1" s="127"/>
    </row>
    <row r="2" spans="1:19" ht="20.100000000000001" customHeight="1">
      <c r="A2" s="3" t="s">
        <v>1</v>
      </c>
      <c r="B2" s="101"/>
      <c r="C2" s="101"/>
      <c r="D2" s="3" t="s">
        <v>118</v>
      </c>
      <c r="E2" s="101"/>
      <c r="F2" s="101"/>
      <c r="G2" s="101"/>
      <c r="H2" s="101"/>
      <c r="I2" s="4"/>
      <c r="J2" s="141" t="s">
        <v>113</v>
      </c>
      <c r="K2" s="142"/>
      <c r="L2" s="143"/>
    </row>
    <row r="3" spans="1:19" ht="20.100000000000001" customHeight="1">
      <c r="A3" s="3" t="s">
        <v>112</v>
      </c>
      <c r="B3" s="101"/>
      <c r="C3" s="101"/>
      <c r="D3" s="101"/>
      <c r="E3" s="128">
        <f>+L3</f>
        <v>45698</v>
      </c>
      <c r="F3" s="128"/>
      <c r="G3" s="128"/>
      <c r="H3" s="128"/>
      <c r="I3" s="128"/>
      <c r="J3" s="101"/>
      <c r="K3" s="101"/>
      <c r="L3" s="122">
        <v>45698</v>
      </c>
      <c r="M3" s="4"/>
    </row>
    <row r="4" spans="1:19" ht="15.95" customHeight="1">
      <c r="A4" s="129" t="s">
        <v>2</v>
      </c>
      <c r="B4" s="130" t="s">
        <v>3</v>
      </c>
      <c r="C4" s="130"/>
      <c r="D4" s="131" t="s">
        <v>4</v>
      </c>
      <c r="E4" s="132"/>
      <c r="F4" s="133"/>
      <c r="G4" s="137" t="s">
        <v>5</v>
      </c>
      <c r="H4" s="139" t="s">
        <v>6</v>
      </c>
      <c r="I4" s="139" t="s">
        <v>97</v>
      </c>
      <c r="J4" s="129" t="s">
        <v>98</v>
      </c>
      <c r="K4" s="139" t="s">
        <v>0</v>
      </c>
      <c r="L4" s="130" t="s">
        <v>7</v>
      </c>
    </row>
    <row r="5" spans="1:19" ht="15.95" customHeight="1">
      <c r="A5" s="129"/>
      <c r="B5" s="130"/>
      <c r="C5" s="130"/>
      <c r="D5" s="134"/>
      <c r="E5" s="135"/>
      <c r="F5" s="136"/>
      <c r="G5" s="138"/>
      <c r="H5" s="140"/>
      <c r="I5" s="140"/>
      <c r="J5" s="129"/>
      <c r="K5" s="140"/>
      <c r="L5" s="130"/>
    </row>
    <row r="6" spans="1:19" ht="22.5" customHeight="1">
      <c r="A6" s="5">
        <f t="shared" ref="A6:A15" si="0">ROW(A1)</f>
        <v>1</v>
      </c>
      <c r="B6" s="144" t="s">
        <v>115</v>
      </c>
      <c r="C6" s="145"/>
      <c r="D6" s="146" t="s">
        <v>116</v>
      </c>
      <c r="E6" s="147"/>
      <c r="F6" s="148"/>
      <c r="G6" s="111" t="s">
        <v>93</v>
      </c>
      <c r="H6" s="112">
        <v>1</v>
      </c>
      <c r="I6" s="113">
        <v>3750</v>
      </c>
      <c r="J6" s="113">
        <f>H6*I6</f>
        <v>3750</v>
      </c>
      <c r="K6" s="114" t="s">
        <v>102</v>
      </c>
      <c r="L6" s="115" t="s">
        <v>101</v>
      </c>
      <c r="S6" s="106"/>
    </row>
    <row r="7" spans="1:19" ht="22.5" customHeight="1">
      <c r="A7" s="5">
        <f t="shared" si="0"/>
        <v>2</v>
      </c>
      <c r="B7" s="144" t="s">
        <v>117</v>
      </c>
      <c r="C7" s="145"/>
      <c r="D7" s="149" t="s">
        <v>109</v>
      </c>
      <c r="E7" s="147"/>
      <c r="F7" s="148"/>
      <c r="G7" s="111" t="s">
        <v>110</v>
      </c>
      <c r="H7" s="112">
        <v>1</v>
      </c>
      <c r="I7" s="113">
        <v>2000</v>
      </c>
      <c r="J7" s="113">
        <f>I7</f>
        <v>2000</v>
      </c>
      <c r="K7" s="114" t="s">
        <v>102</v>
      </c>
      <c r="L7" s="115" t="s">
        <v>121</v>
      </c>
      <c r="S7" s="106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2" t="s">
        <v>8</v>
      </c>
      <c r="B16" s="153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5750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R8" sqref="R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99</v>
      </c>
      <c r="B1" s="100"/>
      <c r="C1" s="100"/>
      <c r="D1" s="100"/>
      <c r="E1" s="100"/>
      <c r="F1" s="100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1" t="str">
        <f>+MRS!J2</f>
        <v>Subcontract name (SAC2-SC-IK-SMP-01)</v>
      </c>
      <c r="K2" s="143"/>
    </row>
    <row r="3" spans="1:18" ht="24.95" customHeight="1">
      <c r="A3" s="3" t="str">
        <f>+MRS!A3</f>
        <v xml:space="preserve">  MRS No : SAC2-DS-MRS-0031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45698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94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Generator</v>
      </c>
      <c r="C6" s="163"/>
      <c r="D6" s="164" t="str">
        <f>MRS!D6</f>
        <v>62.5 KVA</v>
      </c>
      <c r="E6" s="165"/>
      <c r="F6" s="166"/>
      <c r="G6" s="103" t="str">
        <f>MRS!G6</f>
        <v>Month</v>
      </c>
      <c r="H6" s="103">
        <f>MRS!H6</f>
        <v>1</v>
      </c>
      <c r="I6" s="104">
        <f>MRS!I6</f>
        <v>3750</v>
      </c>
      <c r="J6" s="104">
        <f>MRS!J6</f>
        <v>3750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2" t="str">
        <f>MRS!B7</f>
        <v>Generator Mob &amp; De-Mob. Charge</v>
      </c>
      <c r="C7" s="163"/>
      <c r="D7" s="164" t="str">
        <f>MRS!D7</f>
        <v>Mob. &amp; De-Mob. / per unit - lump sum</v>
      </c>
      <c r="E7" s="165"/>
      <c r="F7" s="166"/>
      <c r="G7" s="103" t="str">
        <f>MRS!G7</f>
        <v>L/S</v>
      </c>
      <c r="H7" s="103">
        <f>MRS!H7</f>
        <v>1</v>
      </c>
      <c r="I7" s="104">
        <f>MRS!I7</f>
        <v>2000</v>
      </c>
      <c r="J7" s="104">
        <f>MRS!J7</f>
        <v>2000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7"/>
      <c r="C8" s="168"/>
      <c r="D8" s="169"/>
      <c r="E8" s="170"/>
      <c r="F8" s="171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7"/>
      <c r="C9" s="168"/>
      <c r="D9" s="169"/>
      <c r="E9" s="170"/>
      <c r="F9" s="171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7"/>
      <c r="C10" s="168"/>
      <c r="D10" s="169"/>
      <c r="E10" s="170"/>
      <c r="F10" s="171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7"/>
      <c r="C11" s="168"/>
      <c r="D11" s="169"/>
      <c r="E11" s="170"/>
      <c r="F11" s="171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topLeftCell="A43" zoomScale="160" zoomScaleNormal="100" zoomScaleSheetLayoutView="160" workbookViewId="0">
      <selection activeCell="C49" sqref="C4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103</v>
      </c>
      <c r="D9" s="39"/>
      <c r="E9" s="39"/>
    </row>
    <row r="10" spans="2:13" s="39" customFormat="1">
      <c r="B10" s="72"/>
      <c r="C10" s="39" t="s">
        <v>33</v>
      </c>
      <c r="D10" s="76">
        <v>2055132011</v>
      </c>
      <c r="J10" s="39" t="s">
        <v>34</v>
      </c>
      <c r="K10" s="173">
        <f>MRS!L3</f>
        <v>45698</v>
      </c>
      <c r="L10" s="174"/>
      <c r="M10" s="174"/>
    </row>
    <row r="11" spans="2:13" s="39" customFormat="1">
      <c r="B11" s="72"/>
      <c r="C11" s="75" t="s">
        <v>35</v>
      </c>
      <c r="D11" s="76" t="s">
        <v>111</v>
      </c>
      <c r="J11" s="39" t="s">
        <v>36</v>
      </c>
      <c r="K11" s="175" t="str">
        <f>SUBSTITUTE(SUBSTITUTE(+MRS!A3,"  MRS No : ",""),"-MRS","-PO")</f>
        <v>SAC2-DS-PO-0031</v>
      </c>
      <c r="L11" s="175"/>
      <c r="M11" s="175"/>
    </row>
    <row r="12" spans="2:13" s="39" customFormat="1">
      <c r="B12" s="72"/>
      <c r="C12" s="75" t="s">
        <v>37</v>
      </c>
      <c r="D12" s="39" t="s">
        <v>104</v>
      </c>
      <c r="J12" s="39" t="s">
        <v>38</v>
      </c>
    </row>
    <row r="13" spans="2:13" s="39" customFormat="1">
      <c r="B13" s="72"/>
      <c r="C13" s="77"/>
      <c r="D13" s="76" t="s">
        <v>105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120</v>
      </c>
    </row>
    <row r="15" spans="2:13" s="39" customFormat="1">
      <c r="B15" s="72"/>
      <c r="C15" s="77" t="s">
        <v>106</v>
      </c>
      <c r="J15" s="39" t="s">
        <v>41</v>
      </c>
      <c r="K15" s="78">
        <v>45698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119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0" t="s">
        <v>100</v>
      </c>
      <c r="G29" s="180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0"/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122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95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Mohammed Aarzoo</v>
      </c>
    </row>
    <row r="60" spans="1:16" ht="18" customHeight="1">
      <c r="B60" s="26" t="s">
        <v>72</v>
      </c>
      <c r="J60" s="26" t="s">
        <v>73</v>
      </c>
      <c r="K60" s="22" t="s">
        <v>107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1" t="str">
        <f>C9</f>
        <v>PCCL(Power Care Co. Ltd.)</v>
      </c>
      <c r="K62" s="181"/>
      <c r="L62" s="181"/>
      <c r="M62" s="181"/>
    </row>
    <row r="63" spans="1:16" ht="27.95" customHeight="1">
      <c r="A63" s="172" t="s">
        <v>77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K14" sqref="K1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SAC2-DS-PO-0031</v>
      </c>
      <c r="C2" s="184" t="s">
        <v>79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45698</v>
      </c>
      <c r="C3" s="51"/>
      <c r="D3" s="52"/>
      <c r="E3" s="185" t="s">
        <v>81</v>
      </c>
      <c r="F3" s="185"/>
      <c r="G3" s="185"/>
      <c r="H3" s="185"/>
      <c r="I3" s="53"/>
    </row>
    <row r="4" spans="1:13" s="55" customFormat="1" ht="28.5" customHeight="1" thickTop="1">
      <c r="A4" s="186" t="s">
        <v>82</v>
      </c>
      <c r="B4" s="188" t="s">
        <v>83</v>
      </c>
      <c r="C4" s="189"/>
      <c r="D4" s="192" t="s">
        <v>84</v>
      </c>
      <c r="E4" s="192" t="s">
        <v>85</v>
      </c>
      <c r="F4" s="194" t="str">
        <f>'PO 1st page'!C9</f>
        <v>PCCL(Power Care Co. Ltd.)</v>
      </c>
      <c r="G4" s="195"/>
      <c r="H4" s="196" t="s">
        <v>86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87</v>
      </c>
      <c r="G5" s="57" t="s">
        <v>52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8" t="str">
        <f>+'MRS LIST'!B6</f>
        <v>Generator</v>
      </c>
      <c r="C6" s="199"/>
      <c r="D6" s="86" t="str">
        <f>+'MRS LIST'!G6</f>
        <v>Month</v>
      </c>
      <c r="E6" s="87">
        <f>+'MRS LIST'!H6</f>
        <v>1</v>
      </c>
      <c r="F6" s="88">
        <f>+'MRS LIST'!I6</f>
        <v>3750</v>
      </c>
      <c r="G6" s="89">
        <f>+'MRS LIST'!J6</f>
        <v>3750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8" t="str">
        <f>+'MRS LIST'!B7</f>
        <v>Generator Mob &amp; De-Mob. Charge</v>
      </c>
      <c r="C7" s="199"/>
      <c r="D7" s="86" t="str">
        <f>+'MRS LIST'!G7</f>
        <v>L/S</v>
      </c>
      <c r="E7" s="87">
        <f>+'MRS LIST'!H7</f>
        <v>1</v>
      </c>
      <c r="F7" s="88">
        <f>+'MRS LIST'!I7</f>
        <v>2000</v>
      </c>
      <c r="G7" s="89">
        <f>+'MRS LIST'!J7</f>
        <v>2000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2"/>
      <c r="C8" s="183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2"/>
      <c r="C10" s="183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2"/>
      <c r="C12" s="18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2"/>
      <c r="C13" s="18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2"/>
      <c r="C14" s="18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2"/>
      <c r="C15" s="18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2"/>
      <c r="C16" s="18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2"/>
      <c r="C17" s="183"/>
      <c r="D17" s="94"/>
      <c r="E17" s="95"/>
      <c r="F17" s="96"/>
      <c r="G17" s="97"/>
      <c r="H17" s="98"/>
    </row>
    <row r="18" spans="1:13" s="55" customFormat="1" ht="23.1" customHeight="1">
      <c r="A18" s="200" t="s">
        <v>88</v>
      </c>
      <c r="B18" s="201"/>
      <c r="C18" s="201"/>
      <c r="D18" s="201"/>
      <c r="E18" s="201"/>
      <c r="F18" s="201"/>
      <c r="G18" s="58">
        <f>SUM(G6:G17)</f>
        <v>5750</v>
      </c>
      <c r="H18" s="59"/>
    </row>
    <row r="19" spans="1:13" s="55" customFormat="1" ht="23.1" customHeight="1">
      <c r="A19" s="200" t="s">
        <v>51</v>
      </c>
      <c r="B19" s="201"/>
      <c r="C19" s="201"/>
      <c r="D19" s="201"/>
      <c r="E19" s="201"/>
      <c r="F19" s="201"/>
      <c r="G19" s="58">
        <f>+G18*0.15</f>
        <v>862.5</v>
      </c>
      <c r="H19" s="59"/>
    </row>
    <row r="20" spans="1:13" s="55" customFormat="1" ht="24.95" customHeight="1" thickBot="1">
      <c r="A20" s="202" t="s">
        <v>89</v>
      </c>
      <c r="B20" s="203"/>
      <c r="C20" s="203"/>
      <c r="D20" s="203"/>
      <c r="E20" s="203"/>
      <c r="F20" s="203"/>
      <c r="G20" s="60">
        <f>G19+G18</f>
        <v>6612.5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PC-EQTN2025-1410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91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2025-02-10T08:24:26Z</cp:lastPrinted>
  <dcterms:created xsi:type="dcterms:W3CDTF">2024-10-20T11:50:19Z</dcterms:created>
  <dcterms:modified xsi:type="dcterms:W3CDTF">2025-03-27T02:47:38Z</dcterms:modified>
</cp:coreProperties>
</file>