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D32139CA-79F8-472A-A9B0-EC70EB71DD39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4" l="1"/>
  <c r="E8" i="4"/>
  <c r="D8" i="4"/>
  <c r="B8" i="4"/>
  <c r="J8" i="1"/>
  <c r="G8" i="4" s="1"/>
  <c r="P54" i="3"/>
  <c r="B7" i="4" l="1"/>
  <c r="B6" i="4"/>
  <c r="J7" i="1"/>
  <c r="J6" i="1" l="1"/>
  <c r="K67" i="3" l="1"/>
  <c r="E3" i="1"/>
  <c r="H7" i="2"/>
  <c r="E7" i="4" s="1"/>
  <c r="G7" i="2"/>
  <c r="D7" i="4" s="1"/>
  <c r="D7" i="2"/>
  <c r="B7" i="2"/>
  <c r="K10" i="3" l="1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<sst xmlns="http://schemas.openxmlformats.org/spreadsheetml/2006/main" count="163" uniqueCount="132">
  <si>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</si>
  <si>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</si>
  <si>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</si>
  <si>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</si>
  <si>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</si>
  <si>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</si>
  <si>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</si>
  <si>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</si>
  <si>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</si>
  <si>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</si>
  <si>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</si>
  <si>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</si>
  <si>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ADM</t>
    <phoneticPr fontId="2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</si>
  <si>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</si>
  <si>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</si>
  <si>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</si>
  <si>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</si>
  <si>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</si>
  <si>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</si>
  <si>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</si>
  <si>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</si>
  <si>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</si>
  <si>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</si>
  <si>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</si>
  <si>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</si>
  <si>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</si>
  <si>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</si>
  <si>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</si>
  <si>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</si>
  <si>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</si>
  <si>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</si>
  <si>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</si>
  <si>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</si>
  <si>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</si>
  <si>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</si>
  <si>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</si>
  <si>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</si>
  <si>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</si>
  <si>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</si>
  <si>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</si>
  <si>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</si>
  <si>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</si>
  <si>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</si>
  <si>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</si>
  <si>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</si>
  <si>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</si>
  <si>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</si>
  <si>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</si>
  <si>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</si>
  <si>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</si>
  <si>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</si>
  <si>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</si>
  <si>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</si>
  <si>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</si>
  <si>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</si>
  <si>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</si>
  <si>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</si>
  <si>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</si>
  <si>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</si>
  <si>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</si>
  <si>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</si>
  <si>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</si>
  <si>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</si>
  <si>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</si>
  <si>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</si>
  <si>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</si>
  <si>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</si>
  <si>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</si>
  <si>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</si>
  <si>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</si>
  <si>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</si>
  <si>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</si>
  <si>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</si>
  <si>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5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</si>
  <si>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</si>
  <si>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</si>
  <si>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</si>
  <si>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</si>
  <si>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</si>
  <si>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</si>
  <si>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</si>
  <si>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</si>
  <si>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</si>
  <si>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</si>
  <si>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</si>
  <si>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</si>
  <si>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</si>
  <si>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</si>
  <si>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</si>
  <si>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</si>
  <si>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</si>
  <si>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</si>
  <si>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</si>
  <si>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</si>
  <si>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</si>
  <si>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</si>
  <si>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</si>
  <si>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()</t>
  </si>
  <si>
    <t>Operation Manager</t>
  </si>
  <si>
    <t>HANNI</t>
  </si>
  <si>
    <t>2251058555</t>
  </si>
  <si>
    <t>300776977800003</t>
  </si>
  <si>
    <t>Arvind Kumar</t>
  </si>
  <si>
    <t>+966 55 4222473 / Email:arvindkumar.almenhaliest@gmail.com</t>
  </si>
  <si>
    <t>Mobile : +966 554222473</t>
  </si>
  <si>
    <t>P.O. Box 3374 Al Hasa Hofuf-RiyadhSt. KSA</t>
  </si>
  <si>
    <t>Division (In charge Name) : ADMIN MANAGER (Dong Chang Kim)</t>
  </si>
  <si>
    <t>Monthly</t>
  </si>
  <si>
    <t>Monthly Based</t>
  </si>
  <si>
    <t>HANNI(Hanni Ahmad Said Al-Othman Menhali Est.)</t>
  </si>
  <si>
    <t>Sweet Water</t>
  </si>
  <si>
    <t>18,000 Liters</t>
  </si>
  <si>
    <t>TRIP</t>
  </si>
  <si>
    <t>6,000 Liters</t>
  </si>
  <si>
    <t>Supply &amp; Delivery of Sweet Water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</si>
  <si>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</si>
  <si>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</si>
  <si>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</si>
  <si>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</si>
  <si>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</si>
  <si>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</si>
  <si>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</si>
  <si>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</si>
  <si>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</si>
  <si>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HANNI AHMAD SAID AL-OTHMAN MENHALI EST.</t>
  </si>
  <si>
    <t>SA4760100031095000593001</t>
  </si>
  <si>
    <t>BANK ALJAZIRA</t>
  </si>
  <si>
    <t>BJAZSAJE</t>
  </si>
  <si>
    <t>12,000 Liters</t>
  </si>
  <si>
    <t>031095000593001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</si>
  <si>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-MRS-0211</t>
    </r>
  </si>
  <si>
    <t>HM-23-25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</si>
</sst>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0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5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2" xfId="6" applyNumberFormat="1" applyFont="1" applyBorder="1" applyAlignment="1">
      <alignment horizontal="center" vertical="center" wrapText="1"/>
    </xf>
    <xf numFmtId="0" fontId="6" fillId="0" borderId="43" xfId="6" applyFont="1" applyBorder="1"/>
    <xf numFmtId="0" fontId="8" fillId="0" borderId="0" xfId="6" applyFont="1" applyAlignment="1">
      <alignment vertical="center"/>
    </xf>
    <xf numFmtId="0" fontId="26" fillId="0" borderId="44" xfId="6" applyFont="1" applyBorder="1" applyAlignment="1">
      <alignment vertical="center"/>
    </xf>
    <xf numFmtId="0" fontId="26" fillId="0" borderId="44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172" fontId="17" fillId="3" borderId="0" xfId="5" applyNumberFormat="1" applyFont="1" applyFill="1"/>
    <xf numFmtId="0" fontId="49" fillId="3" borderId="0" xfId="5" applyFont="1" applyFill="1"/>
    <xf numFmtId="0" fontId="17" fillId="3" borderId="0" xfId="5" quotePrefix="1" applyFont="1" applyFill="1"/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16" fillId="3" borderId="0" xfId="5" applyFont="1" applyFill="1" applyAlignment="1">
      <alignment horizontal="left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1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751971</xdr:colOff>
          <xdr:row>17</xdr:row>
          <xdr:rowOff>10022</xdr:rowOff>
        </xdr:from>
        <xdr:to>
          <xdr:col>12</xdr:col>
          <xdr:colOff>502</xdr:colOff>
          <xdr:row>24</xdr:row>
          <xdr:rowOff>10023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17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25813" y="4993101"/>
              <a:ext cx="408121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43243</xdr:colOff>
      <xdr:row>6</xdr:row>
      <xdr:rowOff>117231</xdr:rowOff>
    </xdr:from>
    <xdr:to>
      <xdr:col>12</xdr:col>
      <xdr:colOff>575452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20" y="1091712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I7" sqref="I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2" t="s">
        <v>96</v>
      </c>
      <c r="B1" s="109"/>
      <c r="C1" s="109"/>
      <c r="D1" s="109"/>
      <c r="E1" s="109"/>
      <c r="F1" s="109"/>
      <c r="G1" s="1"/>
      <c r="J1" s="142" t="s">
        <v>89</v>
      </c>
      <c r="K1" s="143"/>
      <c r="L1" s="144"/>
    </row>
    <row r="2" spans="1:18" ht="20.100000000000001" customHeight="1">
      <c r="A2" s="3" t="s">
        <v>1</v>
      </c>
      <c r="B2" s="100"/>
      <c r="C2" s="100"/>
      <c r="D2" s="3" t="s">
        <v>106</v>
      </c>
      <c r="E2" s="100"/>
      <c r="F2" s="100"/>
      <c r="G2" s="100"/>
      <c r="H2" s="100"/>
      <c r="I2" s="4"/>
      <c r="J2" s="145" t="s">
        <v>97</v>
      </c>
      <c r="K2" s="146"/>
      <c r="L2" s="147"/>
    </row>
    <row r="3" spans="1:18" ht="20.100000000000001" customHeight="1">
      <c r="A3" s="3" t="s">
        <v>130</v>
      </c>
      <c r="B3" s="100"/>
      <c r="C3" s="100"/>
      <c r="D3" s="100"/>
      <c r="E3" s="148">
        <f>+L3</f>
        <v>46053</v>
      </c>
      <c r="F3" s="148"/>
      <c r="G3" s="148"/>
      <c r="H3" s="148"/>
      <c r="I3" s="148"/>
      <c r="J3" s="100"/>
      <c r="K3" s="100"/>
      <c r="L3" s="121">
        <v>46053</v>
      </c>
      <c r="M3" s="4"/>
    </row>
    <row r="4" spans="1:18" ht="15.95" customHeight="1">
      <c r="A4" s="149" t="s">
        <v>2</v>
      </c>
      <c r="B4" s="150" t="s">
        <v>3</v>
      </c>
      <c r="C4" s="150"/>
      <c r="D4" s="151" t="s">
        <v>4</v>
      </c>
      <c r="E4" s="152"/>
      <c r="F4" s="153"/>
      <c r="G4" s="157" t="s">
        <v>5</v>
      </c>
      <c r="H4" s="159" t="s">
        <v>6</v>
      </c>
      <c r="I4" s="159" t="s">
        <v>94</v>
      </c>
      <c r="J4" s="149" t="s">
        <v>95</v>
      </c>
      <c r="K4" s="159" t="s">
        <v>0</v>
      </c>
      <c r="L4" s="150" t="s">
        <v>7</v>
      </c>
    </row>
    <row r="5" spans="1:18" ht="15.95" customHeight="1">
      <c r="A5" s="149"/>
      <c r="B5" s="150"/>
      <c r="C5" s="150"/>
      <c r="D5" s="154"/>
      <c r="E5" s="155"/>
      <c r="F5" s="156"/>
      <c r="G5" s="158"/>
      <c r="H5" s="160"/>
      <c r="I5" s="160"/>
      <c r="J5" s="149"/>
      <c r="K5" s="160"/>
      <c r="L5" s="150"/>
    </row>
    <row r="6" spans="1:18" ht="22.5" customHeight="1">
      <c r="A6" s="5">
        <f t="shared" ref="A6:A15" si="0">ROW(A1)</f>
        <v>1</v>
      </c>
      <c r="B6" s="130" t="s">
        <v>110</v>
      </c>
      <c r="C6" s="131"/>
      <c r="D6" s="141" t="s">
        <v>111</v>
      </c>
      <c r="E6" s="133"/>
      <c r="F6" s="134"/>
      <c r="G6" s="110" t="s">
        <v>112</v>
      </c>
      <c r="H6" s="111">
        <v>1</v>
      </c>
      <c r="I6" s="112">
        <v>650</v>
      </c>
      <c r="J6" s="112">
        <f>H6*I6</f>
        <v>650</v>
      </c>
      <c r="K6" s="113" t="s">
        <v>99</v>
      </c>
      <c r="L6" s="114" t="s">
        <v>107</v>
      </c>
      <c r="R6" s="105"/>
    </row>
    <row r="7" spans="1:18" ht="22.5" customHeight="1">
      <c r="A7" s="5">
        <f t="shared" si="0"/>
        <v>2</v>
      </c>
      <c r="B7" s="130" t="s">
        <v>110</v>
      </c>
      <c r="C7" s="131"/>
      <c r="D7" s="132" t="s">
        <v>128</v>
      </c>
      <c r="E7" s="133"/>
      <c r="F7" s="134"/>
      <c r="G7" s="110" t="s">
        <v>112</v>
      </c>
      <c r="H7" s="111">
        <v>1</v>
      </c>
      <c r="I7" s="112">
        <v>500</v>
      </c>
      <c r="J7" s="112">
        <f>H7*I7</f>
        <v>500</v>
      </c>
      <c r="K7" s="113"/>
      <c r="L7" s="114"/>
      <c r="R7" s="105"/>
    </row>
    <row r="8" spans="1:18" ht="22.5" customHeight="1">
      <c r="A8" s="5">
        <f t="shared" si="0"/>
        <v>3</v>
      </c>
      <c r="B8" s="130" t="s">
        <v>110</v>
      </c>
      <c r="C8" s="131"/>
      <c r="D8" s="132" t="s">
        <v>113</v>
      </c>
      <c r="E8" s="133"/>
      <c r="F8" s="134"/>
      <c r="G8" s="110" t="s">
        <v>112</v>
      </c>
      <c r="H8" s="111">
        <v>1</v>
      </c>
      <c r="I8" s="112">
        <v>240</v>
      </c>
      <c r="J8" s="112">
        <f>H8*I8</f>
        <v>240</v>
      </c>
      <c r="K8" s="113"/>
      <c r="L8" s="114"/>
      <c r="R8" s="105"/>
    </row>
    <row r="9" spans="1:18" ht="22.5" customHeight="1">
      <c r="A9" s="5">
        <f t="shared" si="0"/>
        <v>4</v>
      </c>
      <c r="B9" s="130"/>
      <c r="C9" s="131"/>
      <c r="D9" s="132"/>
      <c r="E9" s="133"/>
      <c r="F9" s="134"/>
      <c r="G9" s="110"/>
      <c r="H9" s="111"/>
      <c r="I9" s="112"/>
      <c r="J9" s="112"/>
      <c r="K9" s="113"/>
      <c r="L9" s="114"/>
      <c r="R9" s="105"/>
    </row>
    <row r="10" spans="1:18" ht="22.5" customHeight="1">
      <c r="A10" s="5">
        <f t="shared" si="0"/>
        <v>5</v>
      </c>
      <c r="B10" s="139"/>
      <c r="C10" s="139"/>
      <c r="D10" s="140"/>
      <c r="E10" s="140"/>
      <c r="F10" s="140"/>
      <c r="G10" s="110"/>
      <c r="H10" s="111"/>
      <c r="I10" s="115"/>
      <c r="J10" s="112"/>
      <c r="K10" s="113"/>
      <c r="L10" s="110"/>
      <c r="R10" s="105"/>
    </row>
    <row r="11" spans="1:18" ht="22.5" customHeight="1">
      <c r="A11" s="5">
        <f t="shared" si="0"/>
        <v>6</v>
      </c>
      <c r="B11" s="130"/>
      <c r="C11" s="131"/>
      <c r="D11" s="132"/>
      <c r="E11" s="133"/>
      <c r="F11" s="134"/>
      <c r="G11" s="110"/>
      <c r="H11" s="111"/>
      <c r="I11" s="112"/>
      <c r="J11" s="112"/>
      <c r="K11" s="113"/>
      <c r="L11" s="114"/>
      <c r="R11" s="105"/>
    </row>
    <row r="12" spans="1:18" ht="22.5" customHeight="1">
      <c r="A12" s="5">
        <f t="shared" si="0"/>
        <v>7</v>
      </c>
      <c r="B12" s="139"/>
      <c r="C12" s="139"/>
      <c r="D12" s="140"/>
      <c r="E12" s="140"/>
      <c r="F12" s="140"/>
      <c r="G12" s="110"/>
      <c r="H12" s="111"/>
      <c r="I12" s="115"/>
      <c r="J12" s="112"/>
      <c r="K12" s="113"/>
      <c r="L12" s="110"/>
      <c r="R12" s="105"/>
    </row>
    <row r="13" spans="1:18" ht="22.5" customHeight="1">
      <c r="A13" s="5">
        <f t="shared" si="0"/>
        <v>8</v>
      </c>
      <c r="B13" s="130"/>
      <c r="C13" s="131"/>
      <c r="D13" s="132"/>
      <c r="E13" s="133"/>
      <c r="F13" s="134"/>
      <c r="G13" s="110"/>
      <c r="H13" s="111"/>
      <c r="I13" s="112"/>
      <c r="J13" s="112"/>
      <c r="K13" s="113"/>
      <c r="L13" s="114"/>
      <c r="R13" s="105"/>
    </row>
    <row r="14" spans="1:18" ht="22.5" customHeight="1">
      <c r="A14" s="5">
        <f t="shared" si="0"/>
        <v>9</v>
      </c>
      <c r="B14" s="130"/>
      <c r="C14" s="131"/>
      <c r="D14" s="132"/>
      <c r="E14" s="133"/>
      <c r="F14" s="134"/>
      <c r="G14" s="110"/>
      <c r="H14" s="111"/>
      <c r="I14" s="112"/>
      <c r="J14" s="112"/>
      <c r="K14" s="113"/>
      <c r="L14" s="114"/>
      <c r="R14" s="105"/>
    </row>
    <row r="15" spans="1:18" ht="22.5" customHeight="1">
      <c r="A15" s="5">
        <f t="shared" si="0"/>
        <v>10</v>
      </c>
      <c r="B15" s="130"/>
      <c r="C15" s="131"/>
      <c r="D15" s="132"/>
      <c r="E15" s="133"/>
      <c r="F15" s="134"/>
      <c r="G15" s="110"/>
      <c r="H15" s="111"/>
      <c r="I15" s="112"/>
      <c r="J15" s="112"/>
      <c r="K15" s="113"/>
      <c r="L15" s="114"/>
      <c r="R15" s="105"/>
    </row>
    <row r="16" spans="1:18" ht="22.5" customHeight="1">
      <c r="A16" s="135" t="s">
        <v>8</v>
      </c>
      <c r="B16" s="136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1390</v>
      </c>
      <c r="K16" s="112"/>
      <c r="L16" s="120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37" t="s">
        <v>11</v>
      </c>
      <c r="S18" s="13" t="s">
        <v>12</v>
      </c>
    </row>
    <row r="19" spans="1:19" ht="50.1" customHeight="1">
      <c r="R19" s="138"/>
      <c r="S19" s="15"/>
    </row>
    <row r="20" spans="1:19" ht="17.100000000000001" customHeight="1">
      <c r="O20" s="11"/>
      <c r="P20" s="11"/>
      <c r="R20" s="127"/>
      <c r="S20" s="15" t="s">
        <v>13</v>
      </c>
    </row>
    <row r="21" spans="1:19" ht="15" customHeight="1">
      <c r="O21" s="17" t="s">
        <v>14</v>
      </c>
      <c r="P21" s="126" t="s">
        <v>15</v>
      </c>
    </row>
    <row r="22" spans="1:19" ht="18" customHeight="1">
      <c r="O22" s="18" t="s">
        <v>16</v>
      </c>
      <c r="P22" s="128"/>
      <c r="R22" s="137" t="s">
        <v>17</v>
      </c>
      <c r="S22" s="12" t="s">
        <v>12</v>
      </c>
    </row>
    <row r="23" spans="1:19" ht="50.1" customHeight="1">
      <c r="O23" s="14"/>
      <c r="P23" s="14"/>
      <c r="R23" s="138"/>
      <c r="S23" s="19"/>
    </row>
    <row r="24" spans="1:19" ht="17.100000000000001" customHeight="1">
      <c r="O24" s="16" t="s">
        <v>13</v>
      </c>
      <c r="P24" s="16" t="s">
        <v>13</v>
      </c>
      <c r="R24" s="127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29"/>
      <c r="P27" s="129"/>
    </row>
    <row r="28" spans="1:19" ht="19.899999999999999" customHeight="1">
      <c r="O28" s="129"/>
      <c r="P28" s="129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26" t="s">
        <v>18</v>
      </c>
      <c r="P46" s="126" t="s">
        <v>18</v>
      </c>
      <c r="S46" s="126" t="s">
        <v>12</v>
      </c>
    </row>
    <row r="47" spans="15:19" ht="21" customHeight="1">
      <c r="O47" s="128"/>
      <c r="P47" s="128"/>
      <c r="S47" s="127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26" t="s">
        <v>18</v>
      </c>
      <c r="P50" s="126" t="s">
        <v>18</v>
      </c>
      <c r="S50" s="126" t="s">
        <v>19</v>
      </c>
    </row>
    <row r="51" spans="15:19" ht="21" customHeight="1">
      <c r="O51" s="128"/>
      <c r="P51" s="128"/>
      <c r="S51" s="127"/>
    </row>
    <row r="52" spans="15:19" ht="64.900000000000006" customHeight="1">
      <c r="O52" s="14"/>
      <c r="P52" s="14"/>
      <c r="S52" s="14"/>
    </row>
  </sheetData>
  <mergeCells count="44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R18:R20"/>
    <mergeCell ref="P21:P22"/>
    <mergeCell ref="R22:R24"/>
    <mergeCell ref="S46:S47"/>
    <mergeCell ref="O50:O51"/>
    <mergeCell ref="P50:P51"/>
    <mergeCell ref="S50:S51"/>
    <mergeCell ref="O27:O28"/>
    <mergeCell ref="P27:P28"/>
    <mergeCell ref="O46:O47"/>
    <mergeCell ref="P46:P47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96</v>
      </c>
      <c r="B1" s="99"/>
      <c r="C1" s="99"/>
      <c r="D1" s="99"/>
      <c r="E1" s="99"/>
      <c r="F1" s="99"/>
      <c r="G1" s="1"/>
      <c r="J1" s="142" t="str">
        <f>+MRS!J1</f>
        <v>DAESHIN PLANT</v>
      </c>
      <c r="K1" s="144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45" t="str">
        <f>+MRS!J2</f>
        <v>Subcontract name ()</v>
      </c>
      <c r="K2" s="147"/>
    </row>
    <row r="3" spans="1:18" ht="24.95" customHeight="1">
      <c r="A3" s="3" t="str">
        <f>+MRS!A3</f>
        <v xml:space="preserve">  MRS No : SAC2-DS-MRS-0211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46053</v>
      </c>
    </row>
    <row r="4" spans="1:18" ht="15.95" customHeight="1">
      <c r="A4" s="171" t="s">
        <v>2</v>
      </c>
      <c r="B4" s="172" t="s">
        <v>20</v>
      </c>
      <c r="C4" s="172"/>
      <c r="D4" s="171" t="s">
        <v>4</v>
      </c>
      <c r="E4" s="171"/>
      <c r="F4" s="171"/>
      <c r="G4" s="172" t="s">
        <v>5</v>
      </c>
      <c r="H4" s="171" t="s">
        <v>90</v>
      </c>
      <c r="I4" s="171" t="s">
        <v>21</v>
      </c>
      <c r="J4" s="171" t="s">
        <v>22</v>
      </c>
      <c r="K4" s="172" t="s">
        <v>7</v>
      </c>
    </row>
    <row r="5" spans="1:18" ht="15.95" customHeight="1">
      <c r="A5" s="171"/>
      <c r="B5" s="172"/>
      <c r="C5" s="172"/>
      <c r="D5" s="171"/>
      <c r="E5" s="171"/>
      <c r="F5" s="171"/>
      <c r="G5" s="172"/>
      <c r="H5" s="171"/>
      <c r="I5" s="171"/>
      <c r="J5" s="171"/>
      <c r="K5" s="172"/>
    </row>
    <row r="6" spans="1:18" ht="105" customHeight="1">
      <c r="A6" s="21">
        <f>+MRS!A6</f>
        <v>1</v>
      </c>
      <c r="B6" s="166" t="str">
        <f>MRS!B6</f>
        <v>Sweet Water</v>
      </c>
      <c r="C6" s="167"/>
      <c r="D6" s="168" t="str">
        <f>MRS!D6</f>
        <v>18,000 Liters</v>
      </c>
      <c r="E6" s="169"/>
      <c r="F6" s="170"/>
      <c r="G6" s="102" t="str">
        <f>MRS!G6</f>
        <v>TRIP</v>
      </c>
      <c r="H6" s="102">
        <f>MRS!H6</f>
        <v>1</v>
      </c>
      <c r="I6" s="103">
        <f>MRS!I6</f>
        <v>650</v>
      </c>
      <c r="J6" s="103">
        <f>MRS!J6</f>
        <v>650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6" t="str">
        <f>MRS!B7</f>
        <v>Sweet Water</v>
      </c>
      <c r="C7" s="167"/>
      <c r="D7" s="168" t="str">
        <f>MRS!D7</f>
        <v>12,000 Liters</v>
      </c>
      <c r="E7" s="169"/>
      <c r="F7" s="170"/>
      <c r="G7" s="102" t="str">
        <f>MRS!G7</f>
        <v>TRIP</v>
      </c>
      <c r="H7" s="102">
        <f>MRS!H7</f>
        <v>1</v>
      </c>
      <c r="I7" s="103">
        <f>MRS!I7</f>
        <v>500</v>
      </c>
      <c r="J7" s="103">
        <f>MRS!J7</f>
        <v>500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1"/>
      <c r="C8" s="162"/>
      <c r="D8" s="163"/>
      <c r="E8" s="164"/>
      <c r="F8" s="165"/>
      <c r="G8" s="106"/>
      <c r="H8" s="107"/>
      <c r="I8" s="108"/>
      <c r="J8" s="108"/>
      <c r="K8" s="104"/>
      <c r="O8" s="105"/>
      <c r="P8" s="105"/>
      <c r="R8" s="105"/>
    </row>
    <row r="9" spans="1:18" ht="105" customHeight="1">
      <c r="A9" s="21">
        <f>+MRS!A9</f>
        <v>4</v>
      </c>
      <c r="B9" s="161"/>
      <c r="C9" s="162"/>
      <c r="D9" s="163"/>
      <c r="E9" s="164"/>
      <c r="F9" s="165"/>
      <c r="G9" s="106"/>
      <c r="H9" s="107"/>
      <c r="I9" s="108"/>
      <c r="J9" s="108"/>
      <c r="K9" s="104"/>
      <c r="O9" s="105"/>
      <c r="P9" s="105"/>
      <c r="R9" s="105"/>
    </row>
    <row r="10" spans="1:18" ht="105" customHeight="1">
      <c r="A10" s="21">
        <f>+MRS!A10</f>
        <v>5</v>
      </c>
      <c r="B10" s="161"/>
      <c r="C10" s="162"/>
      <c r="D10" s="163"/>
      <c r="E10" s="164"/>
      <c r="F10" s="165"/>
      <c r="G10" s="106"/>
      <c r="H10" s="107"/>
      <c r="I10" s="108"/>
      <c r="J10" s="108"/>
      <c r="K10" s="104"/>
      <c r="O10" s="105"/>
      <c r="P10" s="105"/>
      <c r="R10" s="105"/>
    </row>
    <row r="11" spans="1:18" ht="105" customHeight="1">
      <c r="A11" s="21">
        <f>+MRS!A11</f>
        <v>6</v>
      </c>
      <c r="B11" s="161"/>
      <c r="C11" s="162"/>
      <c r="D11" s="163"/>
      <c r="E11" s="164"/>
      <c r="F11" s="165"/>
      <c r="G11" s="106"/>
      <c r="H11" s="107"/>
      <c r="I11" s="108"/>
      <c r="J11" s="108"/>
      <c r="K11" s="104"/>
      <c r="O11" s="105"/>
      <c r="P11" s="105"/>
      <c r="R11" s="105"/>
    </row>
    <row r="12" spans="1:18" ht="105" customHeight="1">
      <c r="A12" s="21">
        <f>+MRS!A12</f>
        <v>7</v>
      </c>
      <c r="B12" s="161"/>
      <c r="C12" s="162"/>
      <c r="D12" s="163"/>
      <c r="E12" s="164"/>
      <c r="F12" s="165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1"/>
      <c r="C13" s="162"/>
      <c r="D13" s="163"/>
      <c r="E13" s="164"/>
      <c r="F13" s="165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1"/>
      <c r="C14" s="162"/>
      <c r="D14" s="163"/>
      <c r="E14" s="164"/>
      <c r="F14" s="165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1"/>
      <c r="C15" s="162"/>
      <c r="D15" s="163"/>
      <c r="E15" s="164"/>
      <c r="F15" s="165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1"/>
      <c r="C16" s="162"/>
      <c r="D16" s="163"/>
      <c r="E16" s="164"/>
      <c r="F16" s="165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1"/>
      <c r="C17" s="162"/>
      <c r="D17" s="163"/>
      <c r="E17" s="164"/>
      <c r="F17" s="165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109</v>
      </c>
      <c r="D9" s="39"/>
      <c r="E9" s="39"/>
    </row>
    <row r="10" spans="2:13" s="39" customFormat="1">
      <c r="B10" s="72"/>
      <c r="C10" s="39" t="s">
        <v>30</v>
      </c>
      <c r="D10" s="76" t="s">
        <v>100</v>
      </c>
      <c r="J10" s="39" t="s">
        <v>31</v>
      </c>
      <c r="K10" s="174">
        <f>MRS!L3</f>
        <v>46053</v>
      </c>
      <c r="L10" s="175"/>
      <c r="M10" s="175"/>
    </row>
    <row r="11" spans="2:13" s="39" customFormat="1">
      <c r="B11" s="72"/>
      <c r="C11" s="75" t="s">
        <v>32</v>
      </c>
      <c r="D11" s="76" t="s">
        <v>101</v>
      </c>
      <c r="J11" s="39" t="s">
        <v>33</v>
      </c>
      <c r="K11" s="176" t="str">
        <f>SUBSTITUTE(SUBSTITUTE(+MRS!A3,"  MRS No : ",""),"-MRS","-PO")</f>
        <v>SAC2-DS-PO-0211</v>
      </c>
      <c r="L11" s="176"/>
      <c r="M11" s="176"/>
    </row>
    <row r="12" spans="2:13" s="39" customFormat="1">
      <c r="B12" s="72"/>
      <c r="C12" s="75" t="s">
        <v>34</v>
      </c>
      <c r="D12" s="39" t="s">
        <v>102</v>
      </c>
      <c r="J12" s="39" t="s">
        <v>35</v>
      </c>
    </row>
    <row r="13" spans="2:13" s="39" customFormat="1">
      <c r="B13" s="72"/>
      <c r="C13" s="77"/>
      <c r="D13" s="76" t="s">
        <v>103</v>
      </c>
      <c r="J13" s="39" t="s">
        <v>36</v>
      </c>
    </row>
    <row r="14" spans="2:13" s="39" customFormat="1">
      <c r="B14" s="72"/>
      <c r="C14" s="77" t="s">
        <v>105</v>
      </c>
      <c r="J14" s="39" t="s">
        <v>37</v>
      </c>
      <c r="K14" s="39" t="s">
        <v>131</v>
      </c>
    </row>
    <row r="15" spans="2:13" s="39" customFormat="1">
      <c r="B15" s="72"/>
      <c r="C15" s="77" t="s">
        <v>104</v>
      </c>
      <c r="J15" s="39" t="s">
        <v>38</v>
      </c>
      <c r="K15" s="78">
        <v>46040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7" t="s">
        <v>39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</row>
    <row r="19" spans="2:13" ht="12" customHeight="1"/>
    <row r="20" spans="2:13" s="31" customFormat="1" ht="12" customHeight="1">
      <c r="B20" s="178" t="s">
        <v>40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</row>
    <row r="21" spans="2:13" s="31" customFormat="1" ht="12" customHeight="1">
      <c r="B21" s="178" t="s">
        <v>41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2:13" s="31" customFormat="1" ht="12" customHeight="1">
      <c r="B22" s="178" t="s">
        <v>42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2:13" ht="6.95" customHeight="1"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2:13" ht="6.95" customHeight="1"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</row>
    <row r="25" spans="2:13" s="32" customFormat="1" ht="15" customHeight="1">
      <c r="B25" s="32">
        <v>1</v>
      </c>
      <c r="C25" s="32" t="s">
        <v>43</v>
      </c>
    </row>
    <row r="26" spans="2:13" s="39" customFormat="1" ht="12" customHeight="1">
      <c r="B26" s="73"/>
      <c r="C26" s="76" t="s">
        <v>114</v>
      </c>
      <c r="M26" s="79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23" t="s">
        <v>108</v>
      </c>
      <c r="G29" s="123"/>
      <c r="H29" s="33"/>
      <c r="M29" s="34"/>
    </row>
    <row r="30" spans="2:13" ht="12" customHeight="1">
      <c r="B30" s="32"/>
      <c r="C30" s="26" t="s">
        <v>48</v>
      </c>
      <c r="E30" s="26" t="s">
        <v>47</v>
      </c>
      <c r="F30" s="181"/>
      <c r="G30" s="181"/>
    </row>
    <row r="31" spans="2:13" ht="12" customHeight="1">
      <c r="B31" s="32"/>
      <c r="C31" s="26" t="s">
        <v>49</v>
      </c>
      <c r="D31" s="35"/>
      <c r="E31" s="26" t="s">
        <v>47</v>
      </c>
      <c r="F31" s="181"/>
      <c r="G31" s="181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9" customFormat="1" ht="12" customHeight="1">
      <c r="B49" s="80" t="s">
        <v>63</v>
      </c>
      <c r="C49" s="81" t="s">
        <v>92</v>
      </c>
      <c r="P49" s="82"/>
    </row>
    <row r="50" spans="2:16" s="83" customFormat="1" ht="12" customHeight="1">
      <c r="B50" s="84" t="s">
        <v>63</v>
      </c>
      <c r="C50" s="81" t="s">
        <v>93</v>
      </c>
    </row>
    <row r="51" spans="2:16" s="83" customFormat="1" ht="12" customHeight="1">
      <c r="B51" s="84" t="s">
        <v>63</v>
      </c>
      <c r="C51" s="81" t="s">
        <v>91</v>
      </c>
    </row>
    <row r="52" spans="2:16" s="83" customFormat="1" ht="6" customHeight="1">
      <c r="B52" s="84"/>
      <c r="C52" s="81"/>
    </row>
    <row r="53" spans="2:16" ht="15" customHeight="1">
      <c r="B53" s="42">
        <v>7</v>
      </c>
      <c r="C53" s="32" t="s">
        <v>115</v>
      </c>
    </row>
    <row r="54" spans="2:16" ht="12" customHeight="1">
      <c r="B54" s="84" t="s">
        <v>63</v>
      </c>
      <c r="C54" s="124" t="s">
        <v>116</v>
      </c>
      <c r="F54" s="26" t="s">
        <v>124</v>
      </c>
      <c r="P54" s="26" t="str">
        <f>UPPER(F54)</f>
        <v>HANNI AHMAD SAID AL-OTHMAN MENHALI EST.</v>
      </c>
    </row>
    <row r="55" spans="2:16" ht="12" customHeight="1">
      <c r="B55" s="84" t="s">
        <v>63</v>
      </c>
      <c r="C55" s="124" t="s">
        <v>117</v>
      </c>
      <c r="F55" s="125" t="s">
        <v>129</v>
      </c>
    </row>
    <row r="56" spans="2:16" ht="12" customHeight="1">
      <c r="B56" s="84" t="s">
        <v>63</v>
      </c>
      <c r="C56" s="124" t="s">
        <v>118</v>
      </c>
      <c r="F56" s="125" t="s">
        <v>125</v>
      </c>
    </row>
    <row r="57" spans="2:16" ht="12" customHeight="1">
      <c r="B57" s="84" t="s">
        <v>63</v>
      </c>
      <c r="C57" s="124" t="s">
        <v>119</v>
      </c>
      <c r="F57" s="26" t="s">
        <v>126</v>
      </c>
    </row>
    <row r="58" spans="2:16" ht="12" customHeight="1">
      <c r="B58" s="84" t="s">
        <v>63</v>
      </c>
      <c r="C58" s="124" t="s">
        <v>120</v>
      </c>
      <c r="F58" s="26" t="s">
        <v>127</v>
      </c>
    </row>
    <row r="59" spans="2:16" ht="12" customHeight="1">
      <c r="B59" s="84" t="s">
        <v>63</v>
      </c>
      <c r="C59" s="124" t="s">
        <v>121</v>
      </c>
      <c r="F59" s="26" t="s">
        <v>122</v>
      </c>
    </row>
    <row r="60" spans="2:16" ht="12" customHeight="1">
      <c r="B60" s="84"/>
      <c r="C60" s="124" t="s">
        <v>123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64</v>
      </c>
      <c r="J64" s="32" t="s">
        <v>65</v>
      </c>
    </row>
    <row r="65" spans="1:13" ht="50.1" customHeight="1"/>
    <row r="66" spans="1:13" ht="18" customHeight="1">
      <c r="B66" s="26" t="s">
        <v>66</v>
      </c>
      <c r="J66" s="26" t="s">
        <v>66</v>
      </c>
    </row>
    <row r="67" spans="1:13" ht="18" customHeight="1">
      <c r="B67" s="26" t="s">
        <v>67</v>
      </c>
      <c r="J67" s="26" t="s">
        <v>68</v>
      </c>
      <c r="K67" s="22" t="str">
        <f>D12</f>
        <v>Arvind Kumar</v>
      </c>
    </row>
    <row r="68" spans="1:13" ht="18" customHeight="1">
      <c r="B68" s="26" t="s">
        <v>69</v>
      </c>
      <c r="J68" s="26" t="s">
        <v>70</v>
      </c>
      <c r="K68" s="22" t="s">
        <v>98</v>
      </c>
    </row>
    <row r="69" spans="1:13" ht="15" customHeight="1">
      <c r="B69" s="26" t="s">
        <v>71</v>
      </c>
      <c r="J69" s="26" t="s">
        <v>72</v>
      </c>
    </row>
    <row r="70" spans="1:13" s="28" customFormat="1" ht="24.75" customHeight="1">
      <c r="B70" s="25" t="s">
        <v>73</v>
      </c>
      <c r="J70" s="182" t="str">
        <f>C9</f>
        <v>HANNI(Hanni Ahmad Said Al-Othman Menhali Est.)</v>
      </c>
      <c r="K70" s="182"/>
      <c r="L70" s="182"/>
      <c r="M70" s="182"/>
    </row>
    <row r="71" spans="1:13" ht="27.95" customHeight="1">
      <c r="A71" s="173" t="s">
        <v>74</v>
      </c>
      <c r="B71" s="173"/>
      <c r="C71" s="173"/>
      <c r="D71" s="173"/>
      <c r="E71" s="173"/>
      <c r="F71" s="173"/>
      <c r="G71" s="173"/>
      <c r="H71" s="173"/>
      <c r="I71" s="173"/>
      <c r="J71" s="173"/>
      <c r="K71" s="173"/>
      <c r="L71" s="173"/>
      <c r="M71" s="173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8" sqref="B8:C8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1.5703125" style="45" customWidth="1"/>
    <col min="6" max="6" width="15.5703125" style="45" customWidth="1"/>
    <col min="7" max="7" width="17.140625" style="45" customWidth="1"/>
    <col min="8" max="8" width="21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SAC2-DS-PO-0211</v>
      </c>
      <c r="C2" s="189" t="s">
        <v>76</v>
      </c>
      <c r="D2" s="189"/>
      <c r="E2" s="189"/>
      <c r="F2" s="189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46053</v>
      </c>
      <c r="C3" s="51"/>
      <c r="D3" s="52"/>
      <c r="E3" s="190" t="s">
        <v>78</v>
      </c>
      <c r="F3" s="190"/>
      <c r="G3" s="190"/>
      <c r="H3" s="190"/>
      <c r="I3" s="53"/>
    </row>
    <row r="4" spans="1:13" s="55" customFormat="1" ht="28.5" customHeight="1" thickTop="1">
      <c r="A4" s="191" t="s">
        <v>79</v>
      </c>
      <c r="B4" s="193" t="s">
        <v>80</v>
      </c>
      <c r="C4" s="194"/>
      <c r="D4" s="197" t="s">
        <v>81</v>
      </c>
      <c r="E4" s="197" t="s">
        <v>82</v>
      </c>
      <c r="F4" s="199" t="str">
        <f>'PO 1st page'!C9</f>
        <v>HANNI(Hanni Ahmad Said Al-Othman Menhali Est.)</v>
      </c>
      <c r="G4" s="200"/>
      <c r="H4" s="201" t="s">
        <v>83</v>
      </c>
      <c r="K4" s="56"/>
      <c r="L4" s="56"/>
      <c r="M4" s="56"/>
    </row>
    <row r="5" spans="1:13" s="55" customFormat="1" ht="21.95" customHeight="1">
      <c r="A5" s="192"/>
      <c r="B5" s="195"/>
      <c r="C5" s="196"/>
      <c r="D5" s="198"/>
      <c r="E5" s="198"/>
      <c r="F5" s="57" t="s">
        <v>84</v>
      </c>
      <c r="G5" s="57" t="s">
        <v>49</v>
      </c>
      <c r="H5" s="202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3" t="str">
        <f>CONCATENATE(MRS!B6," ",MRS!D6)</f>
        <v>Sweet Water 18,000 Liters</v>
      </c>
      <c r="C6" s="204"/>
      <c r="D6" s="86" t="str">
        <f>+'MRS LIST'!G6</f>
        <v>TRIP</v>
      </c>
      <c r="E6" s="87">
        <f>+'MRS LIST'!H6</f>
        <v>1</v>
      </c>
      <c r="F6" s="88">
        <f>+'MRS LIST'!I6</f>
        <v>650</v>
      </c>
      <c r="G6" s="89">
        <f>+'MRS LIST'!J6</f>
        <v>650</v>
      </c>
      <c r="H6" s="114" t="s">
        <v>108</v>
      </c>
      <c r="K6" s="90"/>
      <c r="L6" s="91"/>
      <c r="M6" s="56"/>
    </row>
    <row r="7" spans="1:13" s="55" customFormat="1" ht="32.1" customHeight="1">
      <c r="A7" s="85">
        <f t="shared" si="0"/>
        <v>2</v>
      </c>
      <c r="B7" s="203" t="str">
        <f>CONCATENATE(MRS!B7," ",MRS!D7)</f>
        <v>Sweet Water 12,000 Liters</v>
      </c>
      <c r="C7" s="204"/>
      <c r="D7" s="86" t="str">
        <f>+'MRS LIST'!G7</f>
        <v>TRIP</v>
      </c>
      <c r="E7" s="87">
        <f>+'MRS LIST'!H7</f>
        <v>1</v>
      </c>
      <c r="F7" s="88">
        <f>+'MRS LIST'!I7</f>
        <v>500</v>
      </c>
      <c r="G7" s="89">
        <f>+'MRS LIST'!J7</f>
        <v>500</v>
      </c>
      <c r="H7" s="114"/>
      <c r="K7" s="90"/>
      <c r="L7" s="91"/>
      <c r="M7" s="56"/>
    </row>
    <row r="8" spans="1:13" s="55" customFormat="1" ht="32.1" customHeight="1">
      <c r="A8" s="92">
        <f t="shared" si="0"/>
        <v>3</v>
      </c>
      <c r="B8" s="203" t="str">
        <f>CONCATENATE(MRS!B8," ",MRS!D8)</f>
        <v>Sweet Water 6,000 Liters</v>
      </c>
      <c r="C8" s="204"/>
      <c r="D8" s="86" t="str">
        <f>MRS!G8</f>
        <v>TRIP</v>
      </c>
      <c r="E8" s="87">
        <f>MRS!H8</f>
        <v>1</v>
      </c>
      <c r="F8" s="88">
        <f>MRS!I8</f>
        <v>240</v>
      </c>
      <c r="G8" s="88">
        <f>MRS!J8</f>
        <v>240</v>
      </c>
      <c r="H8" s="114"/>
      <c r="K8" s="56"/>
      <c r="L8" s="56"/>
      <c r="M8" s="56"/>
    </row>
    <row r="9" spans="1:13" s="55" customFormat="1" ht="32.1" customHeight="1">
      <c r="A9" s="92">
        <f t="shared" si="0"/>
        <v>4</v>
      </c>
      <c r="B9" s="187"/>
      <c r="C9" s="188"/>
      <c r="D9" s="93"/>
      <c r="E9" s="94"/>
      <c r="F9" s="95"/>
      <c r="G9" s="96"/>
      <c r="H9" s="97"/>
    </row>
    <row r="10" spans="1:13" s="55" customFormat="1" ht="32.1" customHeight="1">
      <c r="A10" s="92">
        <f t="shared" si="0"/>
        <v>5</v>
      </c>
      <c r="B10" s="187"/>
      <c r="C10" s="188"/>
      <c r="D10" s="93"/>
      <c r="E10" s="94"/>
      <c r="F10" s="95"/>
      <c r="G10" s="96"/>
      <c r="H10" s="97"/>
    </row>
    <row r="11" spans="1:13" s="55" customFormat="1" ht="32.1" customHeight="1">
      <c r="A11" s="92">
        <f t="shared" si="0"/>
        <v>6</v>
      </c>
      <c r="B11" s="187"/>
      <c r="C11" s="188"/>
      <c r="D11" s="93"/>
      <c r="E11" s="94"/>
      <c r="F11" s="95"/>
      <c r="G11" s="96"/>
      <c r="H11" s="97"/>
    </row>
    <row r="12" spans="1:13" s="55" customFormat="1" ht="32.1" customHeight="1">
      <c r="A12" s="92">
        <f t="shared" si="0"/>
        <v>7</v>
      </c>
      <c r="B12" s="187"/>
      <c r="C12" s="188"/>
      <c r="D12" s="93"/>
      <c r="E12" s="94"/>
      <c r="F12" s="95"/>
      <c r="G12" s="96"/>
      <c r="H12" s="97"/>
    </row>
    <row r="13" spans="1:13" s="55" customFormat="1" ht="32.1" customHeight="1">
      <c r="A13" s="92">
        <f t="shared" si="0"/>
        <v>8</v>
      </c>
      <c r="B13" s="187"/>
      <c r="C13" s="188"/>
      <c r="D13" s="93"/>
      <c r="E13" s="94"/>
      <c r="F13" s="95"/>
      <c r="G13" s="96"/>
      <c r="H13" s="97"/>
    </row>
    <row r="14" spans="1:13" s="55" customFormat="1" ht="32.1" customHeight="1">
      <c r="A14" s="92">
        <f t="shared" si="0"/>
        <v>9</v>
      </c>
      <c r="B14" s="187"/>
      <c r="C14" s="188"/>
      <c r="D14" s="93"/>
      <c r="E14" s="94"/>
      <c r="F14" s="98"/>
      <c r="G14" s="96"/>
      <c r="H14" s="97"/>
    </row>
    <row r="15" spans="1:13" s="55" customFormat="1" ht="32.1" customHeight="1">
      <c r="A15" s="92">
        <f t="shared" si="0"/>
        <v>10</v>
      </c>
      <c r="B15" s="187"/>
      <c r="C15" s="188"/>
      <c r="D15" s="93"/>
      <c r="E15" s="94"/>
      <c r="F15" s="98"/>
      <c r="G15" s="96"/>
      <c r="H15" s="97"/>
    </row>
    <row r="16" spans="1:13" s="55" customFormat="1" ht="32.1" customHeight="1">
      <c r="A16" s="92">
        <f t="shared" si="0"/>
        <v>11</v>
      </c>
      <c r="B16" s="187"/>
      <c r="C16" s="188"/>
      <c r="D16" s="93"/>
      <c r="E16" s="94"/>
      <c r="F16" s="95"/>
      <c r="G16" s="96"/>
      <c r="H16" s="97"/>
    </row>
    <row r="17" spans="1:13" s="55" customFormat="1" ht="32.1" customHeight="1">
      <c r="A17" s="92">
        <f t="shared" si="0"/>
        <v>12</v>
      </c>
      <c r="B17" s="187"/>
      <c r="C17" s="188"/>
      <c r="D17" s="93"/>
      <c r="E17" s="94"/>
      <c r="F17" s="95"/>
      <c r="G17" s="96"/>
      <c r="H17" s="97"/>
    </row>
    <row r="18" spans="1:13" s="55" customFormat="1" ht="23.1" customHeight="1">
      <c r="A18" s="183" t="s">
        <v>85</v>
      </c>
      <c r="B18" s="184"/>
      <c r="C18" s="184"/>
      <c r="D18" s="184"/>
      <c r="E18" s="184"/>
      <c r="F18" s="184"/>
      <c r="G18" s="58">
        <f>SUM(G6:G17)</f>
        <v>1390</v>
      </c>
      <c r="H18" s="59"/>
    </row>
    <row r="19" spans="1:13" s="55" customFormat="1" ht="23.1" customHeight="1">
      <c r="A19" s="183" t="s">
        <v>48</v>
      </c>
      <c r="B19" s="184"/>
      <c r="C19" s="184"/>
      <c r="D19" s="184"/>
      <c r="E19" s="184"/>
      <c r="F19" s="184"/>
      <c r="G19" s="58">
        <f>+G18*0.15</f>
        <v>208.5</v>
      </c>
      <c r="H19" s="59"/>
    </row>
    <row r="20" spans="1:13" s="55" customFormat="1" ht="24.95" customHeight="1" thickBot="1">
      <c r="A20" s="185" t="s">
        <v>86</v>
      </c>
      <c r="B20" s="186"/>
      <c r="C20" s="186"/>
      <c r="D20" s="186"/>
      <c r="E20" s="186"/>
      <c r="F20" s="186"/>
      <c r="G20" s="60">
        <f>G19+G18</f>
        <v>1598.5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HM-23-25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3" t="s">
        <v>88</v>
      </c>
      <c r="B24" s="173"/>
      <c r="C24" s="173"/>
      <c r="D24" s="173"/>
      <c r="E24" s="173"/>
      <c r="F24" s="173"/>
      <c r="G24" s="173"/>
      <c r="H24" s="173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2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2026-01-31T13:06:47Z</cp:lastPrinted>
  <dcterms:created xsi:type="dcterms:W3CDTF">2024-10-20T11:50:19Z</dcterms:created>
  <dcterms:modified xsi:type="dcterms:W3CDTF">2026-01-31T13:06:51Z</dcterms:modified>
</cp:coreProperties>
</file>