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C2B230B7-F630-4FFE-B074-2D4BC0671FAF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F8" i="4" s="1"/>
  <c r="H8" i="2"/>
  <c r="E8" i="4" s="1"/>
  <c r="G8" i="2"/>
  <c r="D8" i="4" s="1"/>
  <c r="D8" i="2"/>
  <c r="B8" i="2"/>
  <c r="B8" i="4" s="1"/>
  <c r="D7" i="4"/>
  <c r="J11" i="1"/>
  <c r="J11" i="2" s="1"/>
  <c r="J10" i="2"/>
  <c r="J9" i="2"/>
  <c r="J8" i="1"/>
  <c r="J8" i="2" s="1"/>
  <c r="G8" i="4" s="1"/>
  <c r="J7" i="1"/>
  <c r="K59" i="3"/>
  <c r="E3" i="1"/>
  <c r="H7" i="2"/>
  <c r="E7" i="4" s="1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F29" i="3" s="1"/>
  <c r="F30" i="3" s="1"/>
  <c r="F31" i="3" s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<sst xmlns="http://schemas.openxmlformats.org/spreadsheetml/2006/main" count="158" uniqueCount="120">
  <si>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</si>
  <si>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</si>
  <si>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</si>
  <si>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</si>
  <si>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</si>
  <si>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</si>
  <si>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</si>
  <si>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</si>
  <si>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</si>
  <si>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</si>
  <si>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</si>
  <si>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</si>
  <si>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</si>
  <si>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</si>
  <si>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</si>
  <si>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</si>
  <si>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</si>
  <si>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</si>
  <si>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</si>
  <si>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</si>
  <si>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</si>
  <si>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</si>
  <si>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</si>
  <si>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</si>
  <si>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</si>
  <si>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</si>
  <si>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</si>
  <si>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</si>
  <si>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</si>
  <si>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</si>
  <si>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</si>
  <si>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</si>
  <si>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</si>
  <si>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</si>
  <si>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</si>
  <si>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</si>
  <si>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</si>
  <si>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</si>
  <si>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</si>
  <si>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</si>
  <si>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</si>
  <si>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</si>
  <si>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</si>
  <si>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</si>
  <si>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</si>
  <si>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</si>
  <si>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</si>
  <si>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</si>
  <si>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</si>
  <si>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</si>
  <si>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</si>
  <si>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</si>
  <si>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</si>
  <si>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</si>
  <si>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</si>
  <si>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</si>
  <si>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</si>
  <si>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</si>
  <si>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</si>
  <si>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</si>
  <si>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</si>
  <si>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</si>
  <si>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</si>
  <si>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</si>
  <si>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</si>
  <si>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</si>
  <si>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</si>
  <si>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</si>
  <si>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</si>
  <si>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</si>
  <si>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</si>
  <si>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</si>
  <si>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</si>
  <si>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</si>
  <si>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</si>
  <si>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</si>
  <si>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</si>
  <si>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</si>
  <si>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</si>
  <si>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</si>
  <si>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</si>
  <si>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</si>
  <si>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</si>
  <si>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</si>
  <si>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</si>
  <si>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</si>
  <si>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</si>
  <si>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</si>
  <si>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</si>
  <si>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</si>
  <si>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</si>
  <si>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</si>
  <si>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</si>
  <si>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</si>
  <si>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</si>
  <si>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</si>
  <si>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</si>
  <si>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</si>
  <si>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</si>
  <si>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</si>
  <si>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</si>
  <si>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</si>
  <si>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Manager</t>
  </si>
  <si>
    <t>ATGC</t>
  </si>
  <si>
    <t>300900558400003</t>
  </si>
  <si>
    <t>Abdulla Muhaf</t>
  </si>
  <si>
    <t>+966 59 5245015 / Email:info@alrmoozsa.com</t>
  </si>
  <si>
    <t>P.O. Box 2746, Al-Jubail 31951</t>
  </si>
  <si>
    <t>Landline : +99 13 8022775. : Mobile : +966 595245015</t>
  </si>
  <si>
    <t>ATGC(Alrmooz Technical for General Contracting Est.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</si>
  <si>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-MRS-0023</t>
    </r>
  </si>
  <si>
    <t>Steel Cabinet</t>
  </si>
  <si>
    <t>Dustbin Wire Mesh</t>
  </si>
  <si>
    <t>Toshiba Digital Copier</t>
  </si>
  <si>
    <t>4 Drawer</t>
  </si>
  <si>
    <t>Small</t>
  </si>
  <si>
    <t>QUO-MAT-25011804</t>
  </si>
  <si>
    <t>Toshiba Digital Copier / Steel Cabinet</t>
  </si>
  <si>
    <t xml:space="preserve">Toshiba E-Studio 6525AC / Color </t>
  </si>
  <si>
    <t>Subcontract name (SAC2-SC-IK-SMP-01)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</si>
</sst>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O15" sqref="O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27" t="s">
        <v>119</v>
      </c>
      <c r="K2" s="128"/>
      <c r="L2" s="129"/>
    </row>
    <row r="3" spans="1:19" ht="20.100000000000001" customHeight="1">
      <c r="A3" s="3" t="s">
        <v>110</v>
      </c>
      <c r="B3" s="101"/>
      <c r="C3" s="101"/>
      <c r="D3" s="101"/>
      <c r="E3" s="130">
        <f>+L3</f>
        <v>45312</v>
      </c>
      <c r="F3" s="130"/>
      <c r="G3" s="130"/>
      <c r="H3" s="130"/>
      <c r="I3" s="130"/>
      <c r="J3" s="101"/>
      <c r="K3" s="101"/>
      <c r="L3" s="122">
        <v>45312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111</v>
      </c>
      <c r="C6" s="144"/>
      <c r="D6" s="145" t="s">
        <v>114</v>
      </c>
      <c r="E6" s="146"/>
      <c r="F6" s="147"/>
      <c r="G6" s="111" t="s">
        <v>101</v>
      </c>
      <c r="H6" s="112">
        <v>4</v>
      </c>
      <c r="I6" s="113">
        <v>660</v>
      </c>
      <c r="J6" s="113">
        <f>H6*I6</f>
        <v>2640</v>
      </c>
      <c r="K6" s="114" t="s">
        <v>103</v>
      </c>
      <c r="L6" s="115"/>
      <c r="S6" s="106"/>
    </row>
    <row r="7" spans="1:19" ht="22.5" customHeight="1">
      <c r="A7" s="5">
        <f t="shared" si="0"/>
        <v>2</v>
      </c>
      <c r="B7" s="143" t="s">
        <v>112</v>
      </c>
      <c r="C7" s="144"/>
      <c r="D7" s="148" t="s">
        <v>115</v>
      </c>
      <c r="E7" s="146"/>
      <c r="F7" s="147"/>
      <c r="G7" s="111" t="s">
        <v>101</v>
      </c>
      <c r="H7" s="112">
        <v>3</v>
      </c>
      <c r="I7" s="113">
        <v>14</v>
      </c>
      <c r="J7" s="113">
        <f t="shared" ref="J7:J11" si="1">H7*I7</f>
        <v>42</v>
      </c>
      <c r="K7" s="114" t="s">
        <v>103</v>
      </c>
      <c r="L7" s="115"/>
      <c r="S7" s="106"/>
    </row>
    <row r="8" spans="1:19" ht="22.5" customHeight="1">
      <c r="A8" s="5">
        <f t="shared" si="0"/>
        <v>3</v>
      </c>
      <c r="B8" s="143" t="s">
        <v>113</v>
      </c>
      <c r="C8" s="144"/>
      <c r="D8" s="145" t="s">
        <v>118</v>
      </c>
      <c r="E8" s="146"/>
      <c r="F8" s="147"/>
      <c r="G8" s="111" t="s">
        <v>101</v>
      </c>
      <c r="H8" s="112">
        <v>1</v>
      </c>
      <c r="I8" s="113">
        <v>26400</v>
      </c>
      <c r="J8" s="113">
        <f t="shared" si="1"/>
        <v>26400</v>
      </c>
      <c r="K8" s="114" t="s">
        <v>103</v>
      </c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>
        <f t="shared" si="1"/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8</v>
      </c>
      <c r="B16" s="15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29082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27" t="str">
        <f>+MRS!J2</f>
        <v>Subcontract name (SAC2-SC-IK-SMP-01)</v>
      </c>
      <c r="K2" s="129"/>
    </row>
    <row r="3" spans="1:18" ht="24.95" customHeight="1">
      <c r="A3" s="3" t="str">
        <f>+MRS!A3</f>
        <v xml:space="preserve">  MRS No : SAC2-DS-MRS-0023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45312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93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Steel Cabinet</v>
      </c>
      <c r="C6" s="162"/>
      <c r="D6" s="163" t="str">
        <f>MRS!D6</f>
        <v>4 Drawer</v>
      </c>
      <c r="E6" s="164"/>
      <c r="F6" s="165"/>
      <c r="G6" s="103" t="str">
        <f>MRS!G6</f>
        <v>EA</v>
      </c>
      <c r="H6" s="103">
        <f>MRS!H6</f>
        <v>4</v>
      </c>
      <c r="I6" s="104">
        <f>MRS!I6</f>
        <v>660</v>
      </c>
      <c r="J6" s="104">
        <f>MRS!J6</f>
        <v>2640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 t="str">
        <f>MRS!B7</f>
        <v>Dustbin Wire Mesh</v>
      </c>
      <c r="C7" s="162"/>
      <c r="D7" s="163" t="str">
        <f>MRS!D7</f>
        <v>Small</v>
      </c>
      <c r="E7" s="164"/>
      <c r="F7" s="165"/>
      <c r="G7" s="103" t="str">
        <f>MRS!G7</f>
        <v>EA</v>
      </c>
      <c r="H7" s="103">
        <f>MRS!H7</f>
        <v>3</v>
      </c>
      <c r="I7" s="104">
        <f>MRS!I7</f>
        <v>14</v>
      </c>
      <c r="J7" s="104">
        <f>MRS!J7</f>
        <v>42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 t="str">
        <f>MRS!B8</f>
        <v>Toshiba Digital Copier</v>
      </c>
      <c r="C8" s="162"/>
      <c r="D8" s="163" t="str">
        <f>MRS!D8</f>
        <v xml:space="preserve">Toshiba E-Studio 6525AC / Color </v>
      </c>
      <c r="E8" s="164"/>
      <c r="F8" s="165"/>
      <c r="G8" s="103" t="str">
        <f>MRS!G8</f>
        <v>EA</v>
      </c>
      <c r="H8" s="103">
        <f>MRS!H8</f>
        <v>1</v>
      </c>
      <c r="I8" s="104">
        <f>MRS!I8</f>
        <v>26400</v>
      </c>
      <c r="J8" s="104">
        <f>MRS!J8</f>
        <v>26400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P19" sqref="P1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109</v>
      </c>
      <c r="D9" s="39"/>
      <c r="E9" s="39"/>
    </row>
    <row r="10" spans="2:13" s="39" customFormat="1">
      <c r="B10" s="72"/>
      <c r="C10" s="39" t="s">
        <v>33</v>
      </c>
      <c r="D10" s="76">
        <v>2053026325</v>
      </c>
      <c r="J10" s="39" t="s">
        <v>34</v>
      </c>
      <c r="K10" s="172">
        <f>MRS!L3</f>
        <v>45312</v>
      </c>
      <c r="L10" s="173"/>
      <c r="M10" s="173"/>
    </row>
    <row r="11" spans="2:13" s="39" customFormat="1">
      <c r="B11" s="72"/>
      <c r="C11" s="75" t="s">
        <v>35</v>
      </c>
      <c r="D11" s="76" t="s">
        <v>104</v>
      </c>
      <c r="J11" s="39" t="s">
        <v>36</v>
      </c>
      <c r="K11" s="174" t="str">
        <f>SUBSTITUTE(SUBSTITUTE(+MRS!A3,"  MRS No : ",""),"-MRS","-PO")</f>
        <v>SAC2-DS-PO-0023</v>
      </c>
      <c r="L11" s="174"/>
      <c r="M11" s="174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106</v>
      </c>
      <c r="J13" s="39" t="s">
        <v>39</v>
      </c>
    </row>
    <row r="14" spans="2:13" s="39" customFormat="1">
      <c r="B14" s="72"/>
      <c r="C14" s="77" t="s">
        <v>107</v>
      </c>
      <c r="J14" s="39" t="s">
        <v>40</v>
      </c>
      <c r="K14" s="39" t="s">
        <v>116</v>
      </c>
    </row>
    <row r="15" spans="2:13" s="39" customFormat="1">
      <c r="B15" s="72"/>
      <c r="C15" s="77" t="s">
        <v>108</v>
      </c>
      <c r="J15" s="39" t="s">
        <v>41</v>
      </c>
      <c r="K15" s="78">
        <v>45675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117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>
        <f>MRS!J16</f>
        <v>29082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>
        <f>F29*15%</f>
        <v>4362.3</v>
      </c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>
        <f>+F29+F30</f>
        <v>33444.300000000003</v>
      </c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Abdulla Muhaf</v>
      </c>
    </row>
    <row r="60" spans="1:16" ht="18" customHeight="1">
      <c r="B60" s="26" t="s">
        <v>72</v>
      </c>
      <c r="J60" s="26" t="s">
        <v>73</v>
      </c>
      <c r="K60" s="22" t="s">
        <v>102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ATGC(Alrmooz Technical for General Contracting Est.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5" sqref="L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SAC2-DS-PO-0023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45312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ATGC(Alrmooz Technical for General Contracting Est.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+'MRS LIST'!B6</f>
        <v>Steel Cabinet</v>
      </c>
      <c r="C6" s="182"/>
      <c r="D6" s="86" t="str">
        <f>+'MRS LIST'!G6</f>
        <v>EA</v>
      </c>
      <c r="E6" s="87">
        <f>+'MRS LIST'!H6</f>
        <v>4</v>
      </c>
      <c r="F6" s="88">
        <f>+'MRS LIST'!I6</f>
        <v>660</v>
      </c>
      <c r="G6" s="89">
        <f>+'MRS LIST'!J6</f>
        <v>2640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1" t="str">
        <f>+'MRS LIST'!B7</f>
        <v>Dustbin Wire Mesh</v>
      </c>
      <c r="C7" s="182"/>
      <c r="D7" s="86" t="str">
        <f>+'MRS LIST'!G7</f>
        <v>EA</v>
      </c>
      <c r="E7" s="87">
        <f>+'MRS LIST'!H7</f>
        <v>3</v>
      </c>
      <c r="F7" s="88">
        <f>+'MRS LIST'!I7</f>
        <v>14</v>
      </c>
      <c r="G7" s="89">
        <f>+'MRS LIST'!J7</f>
        <v>42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 t="str">
        <f>+'MRS LIST'!B8</f>
        <v>Toshiba Digital Copier</v>
      </c>
      <c r="C8" s="182"/>
      <c r="D8" s="86" t="str">
        <f>+'MRS LIST'!G8</f>
        <v>EA</v>
      </c>
      <c r="E8" s="87">
        <f>+'MRS LIST'!H8</f>
        <v>1</v>
      </c>
      <c r="F8" s="88">
        <f>+'MRS LIST'!I8</f>
        <v>26400</v>
      </c>
      <c r="G8" s="89">
        <f>+'MRS LIST'!J8</f>
        <v>26400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1"/>
      <c r="C10" s="18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88</v>
      </c>
      <c r="B18" s="198"/>
      <c r="C18" s="198"/>
      <c r="D18" s="198"/>
      <c r="E18" s="198"/>
      <c r="F18" s="198"/>
      <c r="G18" s="58">
        <f>SUM(G6:G17)</f>
        <v>29082</v>
      </c>
      <c r="H18" s="59"/>
    </row>
    <row r="19" spans="1:13" s="55" customFormat="1" ht="23.1" customHeight="1">
      <c r="A19" s="197" t="s">
        <v>51</v>
      </c>
      <c r="B19" s="198"/>
      <c r="C19" s="198"/>
      <c r="D19" s="198"/>
      <c r="E19" s="198"/>
      <c r="F19" s="198"/>
      <c r="G19" s="58">
        <f>+G18*0.15</f>
        <v>4362.3</v>
      </c>
      <c r="H19" s="59"/>
    </row>
    <row r="20" spans="1:13" s="55" customFormat="1" ht="24.95" customHeight="1" thickBot="1">
      <c r="A20" s="199" t="s">
        <v>89</v>
      </c>
      <c r="B20" s="200"/>
      <c r="C20" s="200"/>
      <c r="D20" s="200"/>
      <c r="E20" s="200"/>
      <c r="F20" s="200"/>
      <c r="G20" s="60">
        <f>G19+G18</f>
        <v>33444.300000000003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QUO-MAT-25011804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2025-01-26T08:26:01Z</cp:lastPrinted>
  <dcterms:created xsi:type="dcterms:W3CDTF">2024-10-20T11:50:19Z</dcterms:created>
  <dcterms:modified xsi:type="dcterms:W3CDTF">2025-01-26T08:31:02Z</dcterms:modified>
</cp:coreProperties>
</file>