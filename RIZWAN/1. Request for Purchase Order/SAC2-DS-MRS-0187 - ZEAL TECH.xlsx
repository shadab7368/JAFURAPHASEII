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63CFDDFE-D84E-418F-8E24-5E7854AA48D8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J6" i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<sst xmlns="http://schemas.openxmlformats.org/spreadsheetml/2006/main" count="175" uniqueCount="134">
  <si>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</si>
  <si>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</si>
  <si>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</si>
  <si>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</si>
  <si>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</si>
  <si>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</si>
  <si>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</si>
  <si>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</si>
  <si>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</si>
  <si>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</si>
  <si>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</si>
  <si>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</si>
  <si>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</si>
  <si>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</si>
  <si>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</si>
  <si>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</si>
  <si>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</si>
  <si>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</si>
  <si>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</si>
  <si>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</si>
  <si>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</si>
  <si>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</si>
  <si>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</si>
  <si>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</si>
  <si>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</si>
  <si>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</si>
  <si>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</si>
  <si>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</si>
  <si>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</si>
  <si>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</si>
  <si>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</si>
  <si>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</si>
  <si>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</si>
  <si>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</si>
  <si>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</si>
  <si>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</si>
  <si>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</si>
  <si>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</si>
  <si>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</si>
  <si>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</si>
  <si>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</si>
  <si>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</si>
  <si>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</si>
  <si>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</si>
  <si>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</si>
  <si>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</si>
  <si>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</si>
  <si>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</si>
  <si>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</si>
  <si>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</si>
  <si>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</si>
  <si>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</si>
  <si>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</si>
  <si>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</si>
  <si>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</si>
  <si>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</si>
  <si>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</si>
  <si>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</si>
  <si>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</si>
  <si>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</si>
  <si>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</si>
  <si>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</si>
  <si>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</si>
  <si>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</si>
  <si>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</si>
  <si>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</si>
  <si>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</si>
  <si>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</si>
  <si>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</si>
  <si>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</si>
  <si>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</si>
  <si>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</si>
  <si>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</si>
  <si>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</si>
  <si>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</si>
  <si>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</si>
  <si>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</si>
  <si>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</si>
  <si>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</si>
  <si>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</si>
  <si>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</si>
  <si>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</si>
  <si>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</si>
  <si>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</si>
  <si>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</si>
  <si>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</si>
  <si>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</si>
  <si>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</si>
  <si>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</si>
  <si>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</si>
  <si>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</si>
  <si>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</si>
  <si>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</si>
  <si>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</si>
  <si>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</si>
  <si>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</si>
  <si>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</si>
  <si>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</si>
  <si>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</si>
  <si>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</si>
  <si>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</si>
  <si>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</si>
  <si>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</si>
  <si>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</si>
  <si>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Monthly</t>
  </si>
  <si>
    <t>ZEAL TECH</t>
  </si>
  <si>
    <t>ZEAL (Zeal Tech Gen. Contracting Est.)</t>
  </si>
  <si>
    <t>2055130456</t>
  </si>
  <si>
    <t>Mohammed Riyaz</t>
  </si>
  <si>
    <t>Mobile No. +966 58 0089955 / email: info@zealtechksa.com</t>
  </si>
  <si>
    <t>Mobile: +966 58 0089955</t>
  </si>
  <si>
    <t>Al-Amir Naif Street - Jubail City Center, Al-Jubail 35514-6599 KSA</t>
  </si>
  <si>
    <t>Business Coordinator</t>
  </si>
  <si>
    <t>311083780900003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</si>
  <si>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-MRS-0187</t>
    </r>
  </si>
  <si>
    <t>Scaffolding Supervisor</t>
  </si>
  <si>
    <t>Aramco Approved</t>
  </si>
  <si>
    <t>Hour</t>
  </si>
  <si>
    <t>ZT/QT/581-25</t>
  </si>
  <si>
    <t>Scaffolder Supervisor 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</si>
  <si>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</si>
  <si>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</si>
  <si>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</si>
  <si>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</si>
  <si>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</si>
  <si>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</si>
  <si>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</si>
  <si>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</si>
  <si>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</si>
  <si>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ZEAL TECH GEN. CONTRACTING EST.</t>
  </si>
  <si>
    <t>01400008660300</t>
  </si>
  <si>
    <t>SA8910000001400008660300</t>
  </si>
  <si>
    <t>THE SAUDI NATIONAL BANK</t>
  </si>
  <si>
    <t>NCBKSAJE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</si>
</sst>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53" fillId="3" borderId="0" xfId="5" applyFont="1" applyFill="1"/>
    <xf numFmtId="0" fontId="18" fillId="3" borderId="0" xfId="5" quotePrefix="1" applyFont="1" applyFill="1"/>
    <xf numFmtId="0" fontId="17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501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6036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28" t="s">
        <v>97</v>
      </c>
      <c r="K2" s="129"/>
      <c r="L2" s="130"/>
    </row>
    <row r="3" spans="1:19" ht="20.100000000000001" customHeight="1">
      <c r="A3" s="3" t="s">
        <v>114</v>
      </c>
      <c r="B3" s="100"/>
      <c r="C3" s="100"/>
      <c r="D3" s="100"/>
      <c r="E3" s="131">
        <f>+L3</f>
        <v>46009</v>
      </c>
      <c r="F3" s="131"/>
      <c r="G3" s="131"/>
      <c r="H3" s="131"/>
      <c r="I3" s="131"/>
      <c r="J3" s="100"/>
      <c r="K3" s="100"/>
      <c r="L3" s="121">
        <v>46009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94</v>
      </c>
      <c r="J4" s="132" t="s">
        <v>95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115</v>
      </c>
      <c r="C6" s="145"/>
      <c r="D6" s="146" t="s">
        <v>116</v>
      </c>
      <c r="E6" s="147"/>
      <c r="F6" s="148"/>
      <c r="G6" s="110" t="s">
        <v>117</v>
      </c>
      <c r="H6" s="111">
        <v>1</v>
      </c>
      <c r="I6" s="112">
        <v>135</v>
      </c>
      <c r="J6" s="112">
        <f>I6*H6</f>
        <v>135</v>
      </c>
      <c r="K6" s="113" t="s">
        <v>105</v>
      </c>
      <c r="L6" s="114" t="s">
        <v>104</v>
      </c>
      <c r="S6" s="105"/>
    </row>
    <row r="7" spans="1:19" ht="22.5" customHeight="1">
      <c r="A7" s="5">
        <f t="shared" si="0"/>
        <v>2</v>
      </c>
      <c r="B7" s="144"/>
      <c r="C7" s="145"/>
      <c r="D7" s="146"/>
      <c r="E7" s="147"/>
      <c r="F7" s="148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1" t="s">
        <v>8</v>
      </c>
      <c r="B16" s="152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135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SAC2-DS-MRS-0187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46009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91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Scaffolding Supervisor</v>
      </c>
      <c r="C6" s="162"/>
      <c r="D6" s="163" t="str">
        <f>MRS!D6</f>
        <v>Aramco Approved</v>
      </c>
      <c r="E6" s="164"/>
      <c r="F6" s="165"/>
      <c r="G6" s="102" t="str">
        <f>MRS!G6</f>
        <v>Hour</v>
      </c>
      <c r="H6" s="102">
        <f>MRS!H6</f>
        <v>1</v>
      </c>
      <c r="I6" s="103">
        <f>MRS!I6</f>
        <v>135</v>
      </c>
      <c r="J6" s="103">
        <f>MRS!J6</f>
        <v>135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1">
        <f>MRS!B7</f>
        <v>0</v>
      </c>
      <c r="C7" s="162"/>
      <c r="D7" s="163">
        <f>MRS!D7</f>
        <v>0</v>
      </c>
      <c r="E7" s="164"/>
      <c r="F7" s="165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20" zoomScaleNormal="100" zoomScaleSheetLayoutView="120" workbookViewId="0">
      <selection activeCell="F9" sqref="F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103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106</v>
      </c>
      <c r="D9" s="38"/>
      <c r="E9" s="38"/>
    </row>
    <row r="10" spans="2:13" s="38" customFormat="1">
      <c r="B10" s="71"/>
      <c r="C10" s="38" t="s">
        <v>32</v>
      </c>
      <c r="D10" s="75" t="s">
        <v>107</v>
      </c>
      <c r="J10" s="38" t="s">
        <v>33</v>
      </c>
      <c r="K10" s="172">
        <f>MRS!L3</f>
        <v>46009</v>
      </c>
      <c r="L10" s="173"/>
      <c r="M10" s="173"/>
    </row>
    <row r="11" spans="2:13" s="38" customFormat="1">
      <c r="B11" s="71"/>
      <c r="C11" s="74" t="s">
        <v>34</v>
      </c>
      <c r="D11" s="75" t="s">
        <v>113</v>
      </c>
      <c r="J11" s="38" t="s">
        <v>35</v>
      </c>
      <c r="K11" s="174" t="str">
        <f>SUBSTITUTE(SUBSTITUTE(+MRS!A3,"  MRS No : ",""),"-MRS","-PO")</f>
        <v>SAC2-DS-PO-0187</v>
      </c>
      <c r="L11" s="174"/>
      <c r="M11" s="174"/>
    </row>
    <row r="12" spans="2:13" s="38" customFormat="1">
      <c r="B12" s="71"/>
      <c r="C12" s="74" t="s">
        <v>36</v>
      </c>
      <c r="D12" s="38" t="s">
        <v>108</v>
      </c>
      <c r="J12" s="38" t="s">
        <v>37</v>
      </c>
    </row>
    <row r="13" spans="2:13" s="38" customFormat="1">
      <c r="B13" s="71"/>
      <c r="C13" s="76"/>
      <c r="D13" s="75" t="s">
        <v>109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118</v>
      </c>
    </row>
    <row r="15" spans="2:13" s="38" customFormat="1">
      <c r="B15" s="71"/>
      <c r="C15" s="76" t="s">
        <v>110</v>
      </c>
      <c r="J15" s="38" t="s">
        <v>40</v>
      </c>
      <c r="K15" s="77">
        <v>46008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41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42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44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15" customHeight="1">
      <c r="B25" s="32">
        <v>1</v>
      </c>
      <c r="C25" s="32" t="s">
        <v>45</v>
      </c>
    </row>
    <row r="26" spans="2:13" s="38" customFormat="1" ht="12" customHeight="1">
      <c r="B26" s="72"/>
      <c r="C26" s="75" t="s">
        <v>119</v>
      </c>
      <c r="M26" s="78" t="s">
        <v>46</v>
      </c>
    </row>
    <row r="27" spans="2:13" ht="11.1" customHeight="1">
      <c r="B27" s="32"/>
    </row>
    <row r="28" spans="2:13" ht="15" customHeight="1">
      <c r="B28" s="32">
        <v>2</v>
      </c>
      <c r="C28" s="32" t="s">
        <v>47</v>
      </c>
    </row>
    <row r="29" spans="2:13" ht="12" customHeight="1">
      <c r="B29" s="32"/>
      <c r="C29" s="26" t="s">
        <v>48</v>
      </c>
      <c r="E29" s="26" t="s">
        <v>49</v>
      </c>
      <c r="F29" s="124" t="s">
        <v>104</v>
      </c>
      <c r="G29" s="124"/>
      <c r="H29" s="124"/>
      <c r="M29" s="33"/>
    </row>
    <row r="30" spans="2:13" ht="12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2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52</v>
      </c>
    </row>
    <row r="34" spans="2:13" ht="12" customHeight="1">
      <c r="B34" s="32"/>
      <c r="C34" s="22" t="s">
        <v>53</v>
      </c>
    </row>
    <row r="35" spans="2:13" ht="12" customHeight="1">
      <c r="B35" s="32"/>
      <c r="C35" s="22" t="s">
        <v>54</v>
      </c>
    </row>
    <row r="36" spans="2:13" ht="12" customHeight="1">
      <c r="B36" s="32"/>
      <c r="C36" s="22" t="s">
        <v>55</v>
      </c>
    </row>
    <row r="37" spans="2:13" ht="6" customHeight="1">
      <c r="B37" s="32"/>
    </row>
    <row r="38" spans="2:13" ht="15" customHeight="1">
      <c r="B38" s="32">
        <v>4</v>
      </c>
      <c r="C38" s="32" t="s">
        <v>56</v>
      </c>
    </row>
    <row r="39" spans="2:13" ht="12" customHeight="1">
      <c r="B39" s="32"/>
      <c r="C39" s="26" t="s">
        <v>57</v>
      </c>
    </row>
    <row r="40" spans="2:13" ht="6" customHeight="1">
      <c r="B40" s="32"/>
    </row>
    <row r="41" spans="2:13" ht="15" customHeight="1">
      <c r="B41" s="32">
        <v>5</v>
      </c>
      <c r="C41" s="32" t="s">
        <v>58</v>
      </c>
    </row>
    <row r="42" spans="2:13" ht="12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64</v>
      </c>
    </row>
    <row r="49" spans="2:16" s="38" customFormat="1" ht="12" customHeight="1">
      <c r="B49" s="79" t="s">
        <v>65</v>
      </c>
      <c r="C49" s="80" t="s">
        <v>100</v>
      </c>
      <c r="P49" s="81"/>
    </row>
    <row r="50" spans="2:16" s="82" customFormat="1" ht="12" customHeight="1">
      <c r="B50" s="83" t="s">
        <v>65</v>
      </c>
      <c r="C50" s="80" t="s">
        <v>93</v>
      </c>
    </row>
    <row r="51" spans="2:16" s="82" customFormat="1" ht="12" customHeight="1">
      <c r="B51" s="83" t="s">
        <v>65</v>
      </c>
      <c r="C51" s="80" t="s">
        <v>92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120</v>
      </c>
    </row>
    <row r="54" spans="2:16" ht="12" customHeight="1">
      <c r="B54" s="83" t="s">
        <v>65</v>
      </c>
      <c r="C54" s="201" t="s">
        <v>121</v>
      </c>
      <c r="F54" s="202" t="s">
        <v>129</v>
      </c>
      <c r="P54" s="26" t="str">
        <f>UPPER(F54)</f>
        <v>ZEAL TECH GEN. CONTRACTING EST.</v>
      </c>
    </row>
    <row r="55" spans="2:16" ht="12" customHeight="1">
      <c r="B55" s="83" t="s">
        <v>65</v>
      </c>
      <c r="C55" s="201" t="s">
        <v>122</v>
      </c>
      <c r="F55" s="202" t="s">
        <v>130</v>
      </c>
    </row>
    <row r="56" spans="2:16" ht="12" customHeight="1">
      <c r="B56" s="83" t="s">
        <v>65</v>
      </c>
      <c r="C56" s="201" t="s">
        <v>123</v>
      </c>
      <c r="F56" s="202" t="s">
        <v>131</v>
      </c>
    </row>
    <row r="57" spans="2:16" ht="12" customHeight="1">
      <c r="B57" s="83" t="s">
        <v>65</v>
      </c>
      <c r="C57" s="201" t="s">
        <v>124</v>
      </c>
      <c r="F57" s="26" t="s">
        <v>132</v>
      </c>
    </row>
    <row r="58" spans="2:16" ht="12" customHeight="1">
      <c r="B58" s="83" t="s">
        <v>65</v>
      </c>
      <c r="C58" s="201" t="s">
        <v>125</v>
      </c>
      <c r="F58" s="26" t="s">
        <v>133</v>
      </c>
    </row>
    <row r="59" spans="2:16" ht="12" customHeight="1">
      <c r="B59" s="83" t="s">
        <v>65</v>
      </c>
      <c r="C59" s="201" t="s">
        <v>126</v>
      </c>
      <c r="F59" s="26" t="s">
        <v>127</v>
      </c>
    </row>
    <row r="60" spans="2:16" ht="12" customHeight="1">
      <c r="B60" s="83"/>
      <c r="C60" s="201" t="s">
        <v>128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66</v>
      </c>
      <c r="J64" s="32" t="s">
        <v>67</v>
      </c>
    </row>
    <row r="65" spans="1:13" ht="50.1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D12</f>
        <v>Mohammed Riyaz</v>
      </c>
    </row>
    <row r="68" spans="1:13" ht="18" customHeight="1">
      <c r="B68" s="26" t="s">
        <v>71</v>
      </c>
      <c r="J68" s="26" t="s">
        <v>72</v>
      </c>
      <c r="K68" s="22" t="s">
        <v>112</v>
      </c>
    </row>
    <row r="69" spans="1:13" ht="15" customHeight="1">
      <c r="B69" s="26" t="s">
        <v>73</v>
      </c>
      <c r="J69" s="26" t="s">
        <v>74</v>
      </c>
    </row>
    <row r="70" spans="1:13" s="28" customFormat="1" ht="24.75" customHeight="1">
      <c r="B70" s="25" t="s">
        <v>102</v>
      </c>
      <c r="J70" s="203" t="str">
        <f>C9</f>
        <v>ZEAL (Zeal Tech Gen. Contracting Est.)</v>
      </c>
      <c r="K70" s="203"/>
      <c r="L70" s="203"/>
      <c r="M70" s="203"/>
    </row>
    <row r="71" spans="1:13" ht="27.95" customHeight="1">
      <c r="A71" s="171" t="s">
        <v>75</v>
      </c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SAC2-DS-PO-0187</v>
      </c>
      <c r="C2" s="181" t="s">
        <v>77</v>
      </c>
      <c r="D2" s="181"/>
      <c r="E2" s="181"/>
      <c r="F2" s="181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46009</v>
      </c>
      <c r="C3" s="50"/>
      <c r="D3" s="51"/>
      <c r="E3" s="182" t="s">
        <v>79</v>
      </c>
      <c r="F3" s="182"/>
      <c r="G3" s="182"/>
      <c r="H3" s="182"/>
      <c r="I3" s="52"/>
    </row>
    <row r="4" spans="1:13" s="54" customFormat="1" ht="28.5" customHeight="1" thickTop="1">
      <c r="A4" s="183" t="s">
        <v>80</v>
      </c>
      <c r="B4" s="185" t="s">
        <v>81</v>
      </c>
      <c r="C4" s="186"/>
      <c r="D4" s="189" t="s">
        <v>82</v>
      </c>
      <c r="E4" s="189" t="s">
        <v>83</v>
      </c>
      <c r="F4" s="191" t="str">
        <f>'PO 1st page'!C9</f>
        <v>ZEAL (Zeal Tech Gen. Contracting Est.)</v>
      </c>
      <c r="G4" s="192"/>
      <c r="H4" s="193" t="s">
        <v>84</v>
      </c>
      <c r="K4" s="55"/>
      <c r="L4" s="55"/>
      <c r="M4" s="55"/>
    </row>
    <row r="5" spans="1:13" s="54" customFormat="1" ht="21.95" customHeight="1">
      <c r="A5" s="184"/>
      <c r="B5" s="187"/>
      <c r="C5" s="188"/>
      <c r="D5" s="190"/>
      <c r="E5" s="190"/>
      <c r="F5" s="56" t="s">
        <v>85</v>
      </c>
      <c r="G5" s="56" t="s">
        <v>51</v>
      </c>
      <c r="H5" s="194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79" t="str">
        <f>CONCATENATE(MRS!B6," ",MRS!D6)</f>
        <v>Scaffolding Supervisor Aramco Approved</v>
      </c>
      <c r="C6" s="180"/>
      <c r="D6" s="85" t="str">
        <f>+'MRS LIST'!G6</f>
        <v>Hour</v>
      </c>
      <c r="E6" s="86">
        <f>+'MRS LIST'!H6</f>
        <v>1</v>
      </c>
      <c r="F6" s="87">
        <f>+'MRS LIST'!I6</f>
        <v>135</v>
      </c>
      <c r="G6" s="88">
        <f>+'MRS LIST'!J6</f>
        <v>135</v>
      </c>
      <c r="H6" s="89" t="str">
        <f>MRS!L6</f>
        <v>Monthly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79"/>
      <c r="C7" s="180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79"/>
      <c r="C8" s="180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79"/>
      <c r="C9" s="180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79"/>
      <c r="C10" s="180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79"/>
      <c r="C11" s="180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99"/>
      <c r="C12" s="200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99"/>
      <c r="C13" s="200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99"/>
      <c r="C14" s="200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99"/>
      <c r="C15" s="200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99"/>
      <c r="C16" s="200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199"/>
      <c r="C17" s="200"/>
      <c r="D17" s="93"/>
      <c r="E17" s="94"/>
      <c r="F17" s="95"/>
      <c r="G17" s="96"/>
      <c r="H17" s="97"/>
    </row>
    <row r="18" spans="1:13" s="54" customFormat="1" ht="23.1" customHeight="1">
      <c r="A18" s="195" t="s">
        <v>86</v>
      </c>
      <c r="B18" s="196"/>
      <c r="C18" s="196"/>
      <c r="D18" s="196"/>
      <c r="E18" s="196"/>
      <c r="F18" s="196"/>
      <c r="G18" s="57">
        <f>SUM(G6:G17)</f>
        <v>135</v>
      </c>
      <c r="H18" s="58"/>
    </row>
    <row r="19" spans="1:13" s="54" customFormat="1" ht="23.1" customHeight="1">
      <c r="A19" s="195" t="s">
        <v>50</v>
      </c>
      <c r="B19" s="196"/>
      <c r="C19" s="196"/>
      <c r="D19" s="196"/>
      <c r="E19" s="196"/>
      <c r="F19" s="196"/>
      <c r="G19" s="57">
        <f>+G18*0.15</f>
        <v>20.25</v>
      </c>
      <c r="H19" s="58"/>
    </row>
    <row r="20" spans="1:13" s="54" customFormat="1" ht="24.95" customHeight="1" thickBot="1">
      <c r="A20" s="197" t="s">
        <v>87</v>
      </c>
      <c r="B20" s="198"/>
      <c r="C20" s="198"/>
      <c r="D20" s="198"/>
      <c r="E20" s="198"/>
      <c r="F20" s="198"/>
      <c r="G20" s="59">
        <f>G19+G18</f>
        <v>155.25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ZT/QT/581-25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89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2025-12-18T04:24:17Z</cp:lastPrinted>
  <dcterms:created xsi:type="dcterms:W3CDTF">2024-10-20T11:50:19Z</dcterms:created>
  <dcterms:modified xsi:type="dcterms:W3CDTF">2025-12-18T04:27:10Z</dcterms:modified>
</cp:coreProperties>
</file>