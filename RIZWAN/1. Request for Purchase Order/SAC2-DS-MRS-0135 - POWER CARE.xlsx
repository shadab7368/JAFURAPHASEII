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B706C0C-C08C-4D2A-9AAA-43F7FD46BE0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J7" i="1"/>
  <c r="K59" i="3" l="1"/>
  <c r="H6" i="4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<sst xmlns="http://schemas.openxmlformats.org/spreadsheetml/2006/main" count="140" uniqueCount="121">
  <si>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</si>
  <si>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</si>
  <si>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</si>
  <si>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</si>
  <si>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</si>
  <si>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</si>
  <si>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</si>
  <si>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</si>
  <si>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</si>
  <si>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</si>
  <si>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</si>
  <si>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</si>
  <si>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</si>
  <si>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</si>
  <si>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</si>
  <si>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</si>
  <si>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</si>
  <si>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</si>
  <si>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</si>
  <si>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</si>
  <si>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</si>
  <si>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</si>
  <si>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</si>
  <si>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</si>
  <si>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</si>
  <si>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</si>
  <si>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</si>
  <si>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</si>
  <si>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</si>
  <si>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</si>
  <si>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</si>
  <si>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</si>
  <si>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</si>
  <si>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</si>
  <si>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</si>
  <si>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</si>
  <si>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</si>
  <si>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</si>
  <si>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</si>
  <si>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</si>
  <si>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</si>
  <si>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</si>
  <si>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</si>
  <si>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</si>
  <si>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</si>
  <si>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</si>
  <si>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</si>
  <si>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</si>
  <si>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</si>
  <si>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</si>
  <si>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</si>
  <si>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</si>
  <si>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</si>
  <si>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</si>
  <si>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</si>
  <si>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</si>
  <si>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</si>
  <si>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</si>
  <si>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</si>
  <si>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</si>
  <si>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</si>
  <si>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</si>
  <si>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</si>
  <si>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</si>
  <si>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</si>
  <si>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</si>
  <si>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</si>
  <si>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</si>
  <si>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</si>
  <si>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</si>
  <si>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</si>
  <si>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</si>
  <si>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</si>
  <si>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</si>
  <si>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</si>
  <si>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</si>
  <si>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</si>
  <si>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</si>
  <si>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</si>
  <si>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</si>
  <si>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</si>
  <si>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</si>
  <si>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</si>
  <si>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</si>
  <si>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</si>
  <si>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</si>
  <si>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</si>
  <si>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</si>
  <si>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</si>
  <si>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</si>
  <si>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</si>
  <si>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</si>
  <si>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</si>
  <si>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</si>
  <si>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</si>
  <si>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</si>
  <si>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</si>
  <si>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</si>
  <si>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</si>
  <si>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</si>
  <si>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</si>
  <si>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</si>
  <si>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</si>
  <si>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</si>
  <si>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</si>
  <si>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</si>
  <si>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3" type="noConversion"/>
  </si>
  <si>
    <t>L/S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</si>
  <si>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</si>
  <si>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</si>
  <si>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</si>
  <si>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</si>
  <si>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Air Compressor</t>
  </si>
  <si>
    <t>Air Compressor Mob &amp; De-Mob. Charge</t>
  </si>
  <si>
    <t>375 CFM Air Compressor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</si>
  <si>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</si>
  <si>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</si>
  <si>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375 CFM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</si>
  <si>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-MRS-0135</t>
    </r>
  </si>
  <si>
    <t>PC-EQTN2025-1868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</si>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</sst>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27" fillId="3" borderId="0" xfId="5" quotePrefix="1" applyFont="1" applyFill="1" applyAlignment="1">
      <alignment horizontal="left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115</v>
      </c>
      <c r="B1" s="110"/>
      <c r="C1" s="110"/>
      <c r="D1" s="110"/>
      <c r="E1" s="110"/>
      <c r="F1" s="110"/>
      <c r="G1" s="1"/>
      <c r="J1" s="141" t="s">
        <v>89</v>
      </c>
      <c r="K1" s="142"/>
      <c r="L1" s="143"/>
    </row>
    <row r="2" spans="1:18" ht="20.100000000000001" customHeight="1">
      <c r="A2" s="3" t="s">
        <v>1</v>
      </c>
      <c r="B2" s="101"/>
      <c r="C2" s="101"/>
      <c r="D2" s="3" t="s">
        <v>110</v>
      </c>
      <c r="E2" s="101"/>
      <c r="F2" s="101"/>
      <c r="G2" s="101"/>
      <c r="H2" s="101"/>
      <c r="I2" s="4"/>
      <c r="J2" s="144" t="s">
        <v>116</v>
      </c>
      <c r="K2" s="145"/>
      <c r="L2" s="146"/>
    </row>
    <row r="3" spans="1:18" ht="20.100000000000001" customHeight="1">
      <c r="A3" s="3" t="s">
        <v>118</v>
      </c>
      <c r="B3" s="101"/>
      <c r="C3" s="101"/>
      <c r="D3" s="101"/>
      <c r="E3" s="147">
        <f>+L3</f>
        <v>45931</v>
      </c>
      <c r="F3" s="147"/>
      <c r="G3" s="147"/>
      <c r="H3" s="147"/>
      <c r="I3" s="147"/>
      <c r="J3" s="101"/>
      <c r="K3" s="101"/>
      <c r="L3" s="122">
        <v>45931</v>
      </c>
      <c r="M3" s="4"/>
    </row>
    <row r="4" spans="1:18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8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8" ht="22.5" customHeight="1">
      <c r="A6" s="5">
        <f t="shared" ref="A6:A15" si="0">ROW(A1)</f>
        <v>1</v>
      </c>
      <c r="B6" s="129" t="s">
        <v>112</v>
      </c>
      <c r="C6" s="130"/>
      <c r="D6" s="131" t="s">
        <v>117</v>
      </c>
      <c r="E6" s="132"/>
      <c r="F6" s="133"/>
      <c r="G6" s="111" t="s">
        <v>90</v>
      </c>
      <c r="H6" s="112">
        <v>1</v>
      </c>
      <c r="I6" s="113">
        <v>6750</v>
      </c>
      <c r="J6" s="113">
        <f>H6*I6</f>
        <v>6750</v>
      </c>
      <c r="K6" s="114" t="s">
        <v>99</v>
      </c>
      <c r="L6" s="115" t="s">
        <v>98</v>
      </c>
      <c r="R6" s="106"/>
    </row>
    <row r="7" spans="1:18" ht="22.5" customHeight="1">
      <c r="A7" s="5">
        <f t="shared" si="0"/>
        <v>2</v>
      </c>
      <c r="B7" s="129" t="s">
        <v>113</v>
      </c>
      <c r="C7" s="130"/>
      <c r="D7" s="140" t="s">
        <v>106</v>
      </c>
      <c r="E7" s="132"/>
      <c r="F7" s="133"/>
      <c r="G7" s="111" t="s">
        <v>107</v>
      </c>
      <c r="H7" s="112">
        <v>2</v>
      </c>
      <c r="I7" s="113">
        <v>1200</v>
      </c>
      <c r="J7" s="113">
        <f>H7*I7</f>
        <v>2400</v>
      </c>
      <c r="K7" s="114" t="s">
        <v>120</v>
      </c>
      <c r="L7" s="115" t="s">
        <v>109</v>
      </c>
      <c r="R7" s="106"/>
    </row>
    <row r="8" spans="1:18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9150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6" t="s">
        <v>11</v>
      </c>
      <c r="S18" s="13" t="s">
        <v>12</v>
      </c>
    </row>
    <row r="19" spans="1:19" ht="50.1" customHeight="1">
      <c r="R19" s="137"/>
      <c r="S19" s="15"/>
    </row>
    <row r="20" spans="1:19" ht="17.100000000000001" customHeight="1">
      <c r="O20" s="11"/>
      <c r="P20" s="11"/>
      <c r="R20" s="126"/>
      <c r="S20" s="15" t="s">
        <v>13</v>
      </c>
    </row>
    <row r="21" spans="1:19" ht="15" customHeight="1">
      <c r="O21" s="17" t="s">
        <v>14</v>
      </c>
      <c r="P21" s="125" t="s">
        <v>15</v>
      </c>
    </row>
    <row r="22" spans="1:19" ht="18" customHeight="1">
      <c r="O22" s="18" t="s">
        <v>16</v>
      </c>
      <c r="P22" s="127"/>
      <c r="R22" s="136" t="s">
        <v>17</v>
      </c>
      <c r="S22" s="12" t="s">
        <v>12</v>
      </c>
    </row>
    <row r="23" spans="1:19" ht="50.1" customHeight="1">
      <c r="O23" s="14"/>
      <c r="P23" s="14"/>
      <c r="R23" s="137"/>
      <c r="S23" s="19"/>
    </row>
    <row r="24" spans="1:19" ht="17.100000000000001" customHeight="1">
      <c r="O24" s="16" t="s">
        <v>13</v>
      </c>
      <c r="P24" s="16" t="s">
        <v>13</v>
      </c>
      <c r="R24" s="12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8"/>
      <c r="P27" s="128"/>
    </row>
    <row r="28" spans="1:19" ht="19.899999999999999" customHeight="1">
      <c r="O28" s="128"/>
      <c r="P28" s="128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5" t="s">
        <v>18</v>
      </c>
      <c r="P46" s="125" t="s">
        <v>18</v>
      </c>
      <c r="S46" s="125" t="s">
        <v>12</v>
      </c>
    </row>
    <row r="47" spans="15:19" ht="21" customHeight="1">
      <c r="O47" s="127"/>
      <c r="P47" s="127"/>
      <c r="S47" s="12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5" t="s">
        <v>18</v>
      </c>
      <c r="P50" s="125" t="s">
        <v>18</v>
      </c>
      <c r="S50" s="125" t="s">
        <v>19</v>
      </c>
    </row>
    <row r="51" spans="15:19" ht="21" customHeight="1">
      <c r="O51" s="127"/>
      <c r="P51" s="127"/>
      <c r="S51" s="126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27:O28"/>
    <mergeCell ref="P27:P28"/>
    <mergeCell ref="O46:O47"/>
    <mergeCell ref="P46:P47"/>
    <mergeCell ref="S46:S47"/>
    <mergeCell ref="O50:O51"/>
    <mergeCell ref="P50:P51"/>
    <mergeCell ref="S50:S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SAC2-DS-MRS-0135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45931</v>
      </c>
    </row>
    <row r="4" spans="1:18" ht="15.95" customHeight="1">
      <c r="A4" s="170" t="s">
        <v>2</v>
      </c>
      <c r="B4" s="171" t="s">
        <v>20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21</v>
      </c>
      <c r="J4" s="170" t="s">
        <v>22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Air Compressor</v>
      </c>
      <c r="C6" s="166"/>
      <c r="D6" s="167" t="str">
        <f>MRS!D6</f>
        <v>375 CFM</v>
      </c>
      <c r="E6" s="168"/>
      <c r="F6" s="169"/>
      <c r="G6" s="103" t="str">
        <f>MRS!G6</f>
        <v>Month</v>
      </c>
      <c r="H6" s="103">
        <f>MRS!H6</f>
        <v>1</v>
      </c>
      <c r="I6" s="104">
        <f>MRS!I6</f>
        <v>6750</v>
      </c>
      <c r="J6" s="104">
        <f>MRS!J6</f>
        <v>6750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 t="str">
        <f>MRS!B7</f>
        <v>Air Compressor Mob &amp; De-Mob. Charge</v>
      </c>
      <c r="C7" s="166"/>
      <c r="D7" s="167" t="str">
        <f>MRS!D7</f>
        <v>Mob. &amp; De-Mob. / per unit - lump sum</v>
      </c>
      <c r="E7" s="168"/>
      <c r="F7" s="169"/>
      <c r="G7" s="103" t="str">
        <f>MRS!G7</f>
        <v>L/S</v>
      </c>
      <c r="H7" s="103">
        <f>MRS!H7</f>
        <v>2</v>
      </c>
      <c r="I7" s="104">
        <f>MRS!I7</f>
        <v>1200</v>
      </c>
      <c r="J7" s="104">
        <f>MRS!J7</f>
        <v>2400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60" zoomScaleNormal="100" zoomScaleSheetLayoutView="16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100</v>
      </c>
      <c r="D9" s="39"/>
      <c r="E9" s="39"/>
    </row>
    <row r="10" spans="2:13" s="39" customFormat="1">
      <c r="B10" s="72"/>
      <c r="C10" s="39" t="s">
        <v>30</v>
      </c>
      <c r="D10" s="204">
        <v>2055132011</v>
      </c>
      <c r="J10" s="39" t="s">
        <v>31</v>
      </c>
      <c r="K10" s="173">
        <f>MRS!L3</f>
        <v>45931</v>
      </c>
      <c r="L10" s="174"/>
      <c r="M10" s="174"/>
    </row>
    <row r="11" spans="2:13" s="39" customFormat="1">
      <c r="B11" s="72"/>
      <c r="C11" s="75" t="s">
        <v>32</v>
      </c>
      <c r="D11" s="76" t="s">
        <v>108</v>
      </c>
      <c r="J11" s="39" t="s">
        <v>33</v>
      </c>
      <c r="K11" s="175" t="str">
        <f>SUBSTITUTE(SUBSTITUTE(+MRS!A3,"  MRS No : ",""),"-MRS","-PO")</f>
        <v>SAC2-DS-PO-0135</v>
      </c>
      <c r="L11" s="175"/>
      <c r="M11" s="175"/>
    </row>
    <row r="12" spans="2:13" s="39" customFormat="1">
      <c r="B12" s="72"/>
      <c r="C12" s="75" t="s">
        <v>34</v>
      </c>
      <c r="D12" s="39" t="s">
        <v>101</v>
      </c>
      <c r="J12" s="39" t="s">
        <v>35</v>
      </c>
    </row>
    <row r="13" spans="2:13" s="39" customFormat="1">
      <c r="B13" s="72"/>
      <c r="C13" s="77"/>
      <c r="D13" s="76" t="s">
        <v>102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119</v>
      </c>
    </row>
    <row r="15" spans="2:13" s="39" customFormat="1">
      <c r="B15" s="72"/>
      <c r="C15" s="77" t="s">
        <v>103</v>
      </c>
      <c r="J15" s="39" t="s">
        <v>38</v>
      </c>
      <c r="K15" s="78">
        <v>45930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39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41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42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114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80" t="s">
        <v>97</v>
      </c>
      <c r="G29" s="18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80"/>
      <c r="G30" s="180"/>
    </row>
    <row r="31" spans="2:13" ht="15" customHeight="1">
      <c r="B31" s="32"/>
      <c r="C31" s="26" t="s">
        <v>49</v>
      </c>
      <c r="D31" s="35"/>
      <c r="E31" s="26" t="s">
        <v>47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111</v>
      </c>
      <c r="P49" s="82"/>
    </row>
    <row r="50" spans="1:16" s="83" customFormat="1" ht="15" customHeight="1">
      <c r="B50" s="84" t="s">
        <v>63</v>
      </c>
      <c r="C50" s="81" t="s">
        <v>93</v>
      </c>
    </row>
    <row r="51" spans="1:16" s="83" customFormat="1" ht="15" customHeight="1">
      <c r="B51" s="84" t="s">
        <v>63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Mohammed Aarzoo</v>
      </c>
    </row>
    <row r="60" spans="1:16" ht="18" customHeight="1">
      <c r="B60" s="26" t="s">
        <v>69</v>
      </c>
      <c r="J60" s="26" t="s">
        <v>70</v>
      </c>
      <c r="K60" s="22" t="s">
        <v>104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73</v>
      </c>
      <c r="J62" s="181" t="str">
        <f>C9</f>
        <v>PCCL(Power Care Co. Ltd.)</v>
      </c>
      <c r="K62" s="181"/>
      <c r="L62" s="181"/>
      <c r="M62" s="181"/>
    </row>
    <row r="63" spans="1:16" ht="27.95" customHeight="1">
      <c r="A63" s="172" t="s">
        <v>74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O14" sqref="O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SAC2-DS-PO-0135</v>
      </c>
      <c r="C2" s="188" t="s">
        <v>76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45931</v>
      </c>
      <c r="C3" s="51"/>
      <c r="D3" s="52"/>
      <c r="E3" s="189" t="s">
        <v>78</v>
      </c>
      <c r="F3" s="189"/>
      <c r="G3" s="189"/>
      <c r="H3" s="189"/>
      <c r="I3" s="53"/>
    </row>
    <row r="4" spans="1:13" s="55" customFormat="1" ht="28.5" customHeight="1" thickTop="1">
      <c r="A4" s="190" t="s">
        <v>79</v>
      </c>
      <c r="B4" s="192" t="s">
        <v>80</v>
      </c>
      <c r="C4" s="193"/>
      <c r="D4" s="196" t="s">
        <v>81</v>
      </c>
      <c r="E4" s="196" t="s">
        <v>82</v>
      </c>
      <c r="F4" s="198" t="str">
        <f>'PO 1st page'!C9</f>
        <v>PCCL(Power Care Co. Ltd.)</v>
      </c>
      <c r="G4" s="199"/>
      <c r="H4" s="200" t="s">
        <v>83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84</v>
      </c>
      <c r="G5" s="57" t="s">
        <v>49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Air Compressor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6750</v>
      </c>
      <c r="G6" s="89">
        <f>+'MRS LIST'!J6</f>
        <v>6750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Air Compressor Mob &amp; De-Mob. Charge</v>
      </c>
      <c r="C7" s="203"/>
      <c r="D7" s="86" t="str">
        <f>+'MRS LIST'!G7</f>
        <v>L/S</v>
      </c>
      <c r="E7" s="87">
        <f>+'MRS LIST'!H7</f>
        <v>2</v>
      </c>
      <c r="F7" s="88">
        <f>+'MRS LIST'!I7</f>
        <v>1200</v>
      </c>
      <c r="G7" s="89">
        <f>+'MRS LIST'!J7</f>
        <v>2400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85</v>
      </c>
      <c r="B18" s="183"/>
      <c r="C18" s="183"/>
      <c r="D18" s="183"/>
      <c r="E18" s="183"/>
      <c r="F18" s="183"/>
      <c r="G18" s="58">
        <f>SUM(G6:G17)</f>
        <v>9150</v>
      </c>
      <c r="H18" s="59"/>
    </row>
    <row r="19" spans="1:13" s="55" customFormat="1" ht="23.1" customHeight="1">
      <c r="A19" s="182" t="s">
        <v>48</v>
      </c>
      <c r="B19" s="183"/>
      <c r="C19" s="183"/>
      <c r="D19" s="183"/>
      <c r="E19" s="183"/>
      <c r="F19" s="183"/>
      <c r="G19" s="58">
        <f>+G18*0.15</f>
        <v>1372.5</v>
      </c>
      <c r="H19" s="59"/>
    </row>
    <row r="20" spans="1:13" s="55" customFormat="1" ht="24.95" customHeight="1" thickBot="1">
      <c r="A20" s="184" t="s">
        <v>86</v>
      </c>
      <c r="B20" s="185"/>
      <c r="C20" s="185"/>
      <c r="D20" s="185"/>
      <c r="E20" s="185"/>
      <c r="F20" s="185"/>
      <c r="G20" s="60">
        <f>G19+G18</f>
        <v>10522.5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PC-EQTN2025-1868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88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2025-10-01T11:49:00Z</cp:lastPrinted>
  <dcterms:created xsi:type="dcterms:W3CDTF">2024-10-20T11:50:19Z</dcterms:created>
  <dcterms:modified xsi:type="dcterms:W3CDTF">2025-10-01T11:49:09Z</dcterms:modified>
</cp:coreProperties>
</file>