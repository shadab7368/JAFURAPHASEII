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0EDF2BC-385A-481D-AAF6-09EDE22D0588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P54" i="3"/>
  <c r="E3" i="1" l="1"/>
  <c r="H7" i="4" l="1"/>
  <c r="H6" i="4"/>
  <c r="B9" i="4"/>
  <c r="B8" i="4"/>
  <c r="A8" i="4"/>
  <c r="A9" i="4"/>
  <c r="B7" i="4"/>
  <c r="B6" i="4"/>
  <c r="J11" i="1"/>
  <c r="J10" i="1"/>
  <c r="J9" i="1"/>
  <c r="J8" i="1"/>
  <c r="J7" i="1"/>
  <c r="J6" i="1"/>
  <c r="I11" i="2" l="1"/>
  <c r="H11" i="2"/>
  <c r="G11" i="2"/>
  <c r="D11" i="2"/>
  <c r="B11" i="2"/>
  <c r="I10" i="2"/>
  <c r="H10" i="2"/>
  <c r="G10" i="2"/>
  <c r="D10" i="2"/>
  <c r="B10" i="2"/>
  <c r="I9" i="2"/>
  <c r="F9" i="4" s="1"/>
  <c r="H9" i="2"/>
  <c r="E9" i="4" s="1"/>
  <c r="G9" i="2"/>
  <c r="D9" i="4" s="1"/>
  <c r="D9" i="2"/>
  <c r="B9" i="2"/>
  <c r="I8" i="2"/>
  <c r="F8" i="4" s="1"/>
  <c r="H8" i="2"/>
  <c r="E8" i="4" s="1"/>
  <c r="G8" i="2"/>
  <c r="D8" i="4" s="1"/>
  <c r="D8" i="2"/>
  <c r="B8" i="2"/>
  <c r="J11" i="2"/>
  <c r="J10" i="2"/>
  <c r="J9" i="2"/>
  <c r="G9" i="4" s="1"/>
  <c r="J8" i="2"/>
  <c r="G8" i="4" s="1"/>
  <c r="K68" i="3"/>
  <c r="H7" i="2"/>
  <c r="E7" i="4" s="1"/>
  <c r="G7" i="2"/>
  <c r="D7" i="4" s="1"/>
  <c r="D7" i="2"/>
  <c r="B7" i="2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7" i="4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F29" i="3" s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<sst xmlns="http://schemas.openxmlformats.org/spreadsheetml/2006/main" count="175" uniqueCount="140">
  <si>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</si>
  <si>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</si>
  <si>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</si>
  <si>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</si>
  <si>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</si>
  <si>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</si>
  <si>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</si>
  <si>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</si>
  <si>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</si>
  <si>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</si>
  <si>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</si>
  <si>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</si>
  <si>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</si>
  <si>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</si>
  <si>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</si>
  <si>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</si>
  <si>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</si>
  <si>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</si>
  <si>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</si>
  <si>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</si>
  <si>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</si>
  <si>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</si>
  <si>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</si>
  <si>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</si>
  <si>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</si>
  <si>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</si>
  <si>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</si>
  <si>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</si>
  <si>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</si>
  <si>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</si>
  <si>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</si>
  <si>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</si>
  <si>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</si>
  <si>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</si>
  <si>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</si>
  <si>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</si>
  <si>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</si>
  <si>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</si>
  <si>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</si>
  <si>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</si>
  <si>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</si>
  <si>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</si>
  <si>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</si>
  <si>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</si>
  <si>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</si>
  <si>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</si>
  <si>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</si>
  <si>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</si>
  <si>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</si>
  <si>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</si>
  <si>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</si>
  <si>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</si>
  <si>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</si>
  <si>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</si>
  <si>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</si>
  <si>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</si>
  <si>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</si>
  <si>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</si>
  <si>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</si>
  <si>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</si>
  <si>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</si>
  <si>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</si>
  <si>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</si>
  <si>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</si>
  <si>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</si>
  <si>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</si>
  <si>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</si>
  <si>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</si>
  <si>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</si>
  <si>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</si>
  <si>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</si>
  <si>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</si>
  <si>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</si>
  <si>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</si>
  <si>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</si>
  <si>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</si>
  <si>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</si>
  <si>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</si>
  <si>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</si>
  <si>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</si>
  <si>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</si>
  <si>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</si>
  <si>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</si>
  <si>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</si>
  <si>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</si>
  <si>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</si>
  <si>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</si>
  <si>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</si>
  <si>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</si>
  <si>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</si>
  <si>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</si>
  <si>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KG</t>
  </si>
  <si>
    <t>OWTC</t>
  </si>
  <si>
    <t>OWTC(Ocean Wings Trading Co.)</t>
  </si>
  <si>
    <t>2055025122</t>
  </si>
  <si>
    <t>Rameez Abdul Khadar</t>
  </si>
  <si>
    <t>310060487300003</t>
  </si>
  <si>
    <t>Sales Engineer</t>
  </si>
  <si>
    <t>Mobile No. +966 55 938 0672 / email: manaf.a@oceanwings.co</t>
  </si>
  <si>
    <t>Landline : +966 13 340 3073 / Mobile: +966 55 938 0672</t>
  </si>
  <si>
    <t>BRANCH OF HYUNDAI ENG. &amp; CONST. CO., LTD.</t>
  </si>
  <si>
    <t>Branch of Hyundai Engineering and Const. Co., Ltd. (HDEC)</t>
  </si>
  <si>
    <t>Tebah Area, 8462, Al Jubail 35513, KSA</t>
  </si>
  <si>
    <t>Welding Rod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</si>
  <si>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</si>
  <si>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</si>
  <si>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-MRS-0448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</si>
  <si>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</si>
  <si>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</si>
  <si>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OW-WLDG-RAK-911</t>
  </si>
  <si>
    <t>6770323020_OK 67.70, E309LMo-17, 3.2x350</t>
  </si>
  <si>
    <t>163016R150_OK Tigrod 16.30, ER316L, 1.6x</t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</si>
  <si>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</si>
  <si>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</si>
  <si>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</si>
  <si>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</si>
  <si>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</si>
  <si>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</si>
  <si>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</si>
  <si>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</si>
  <si>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</si>
  <si>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</si>
  <si>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</si>
  <si>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SUB-CON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</si>
  <si>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</si>
  <si>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</si>
  <si>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</si>
  <si>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</si>
  <si>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</si>
  <si>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</si>
  <si>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</si>
  <si>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</si>
  <si>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</si>
  <si>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</si>
  <si>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OCEAN WINGS TRADING CO</t>
  </si>
  <si>
    <t>SA28 1000 0048 6000 0000 1400</t>
  </si>
  <si>
    <t>THE NATIONAL COMMERCIAL BANK</t>
  </si>
  <si>
    <t>48600000001400</t>
  </si>
  <si>
    <t>6770252030_OK 67.70, E309LMo-17,
 2.5x300 ER70S-3, 2.4 MM, 5Kg/Pk</t>
  </si>
  <si>
    <t>163024R150_OK Tigrod 16.30,
 ER316L, 2.4 ER309L, 2.4 MM, 5.0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</si>
</sst>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#,##0.0;[Red]\-#,##0.0;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175" fontId="2" fillId="0" borderId="8" xfId="0" applyNumberFormat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57" fillId="3" borderId="0" xfId="5" applyFont="1" applyFill="1"/>
    <xf numFmtId="0" fontId="2" fillId="0" borderId="8" xfId="0" quotePrefix="1" applyFont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999123</xdr:colOff>
          <xdr:row>17</xdr:row>
          <xdr:rowOff>59155</xdr:rowOff>
        </xdr:from>
        <xdr:to>
          <xdr:col>11</xdr:col>
          <xdr:colOff>1323475</xdr:colOff>
          <xdr:row>23</xdr:row>
          <xdr:rowOff>297280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5989AF3-F96D-5DCE-2E51-F422855A4B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91202" y="5202655"/>
              <a:ext cx="846572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Q10" sqref="Q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13.42578125" style="2" customWidth="1"/>
    <col min="7" max="7" width="6.28515625" style="2" customWidth="1"/>
    <col min="8" max="8" width="9.85546875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107</v>
      </c>
      <c r="B1" s="122"/>
      <c r="C1" s="105"/>
      <c r="D1" s="105"/>
      <c r="E1" s="105"/>
      <c r="F1" s="105"/>
      <c r="G1" s="1"/>
      <c r="J1" s="167" t="s">
        <v>81</v>
      </c>
      <c r="K1" s="168"/>
      <c r="L1" s="169"/>
    </row>
    <row r="2" spans="1:18" ht="20.100000000000001" customHeight="1">
      <c r="A2" s="3" t="s">
        <v>1</v>
      </c>
      <c r="B2" s="96"/>
      <c r="C2" s="96"/>
      <c r="D2" s="3" t="s">
        <v>108</v>
      </c>
      <c r="E2" s="96"/>
      <c r="F2" s="96"/>
      <c r="G2" s="96"/>
      <c r="H2" s="96"/>
      <c r="I2" s="4"/>
      <c r="J2" s="170" t="s">
        <v>88</v>
      </c>
      <c r="K2" s="171"/>
      <c r="L2" s="172"/>
    </row>
    <row r="3" spans="1:18" ht="20.100000000000001" customHeight="1">
      <c r="A3" s="3" t="s">
        <v>106</v>
      </c>
      <c r="B3" s="96"/>
      <c r="C3" s="96"/>
      <c r="D3" s="96"/>
      <c r="E3" s="173">
        <f>+L3+3</f>
        <v>46270</v>
      </c>
      <c r="F3" s="173"/>
      <c r="G3" s="173"/>
      <c r="H3" s="173"/>
      <c r="I3" s="173"/>
      <c r="J3" s="96"/>
      <c r="K3" s="96"/>
      <c r="L3" s="123">
        <v>46267</v>
      </c>
      <c r="M3" s="4"/>
    </row>
    <row r="4" spans="1:18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84" t="s">
        <v>6</v>
      </c>
      <c r="I4" s="184" t="s">
        <v>85</v>
      </c>
      <c r="J4" s="174" t="s">
        <v>86</v>
      </c>
      <c r="K4" s="184" t="s">
        <v>0</v>
      </c>
      <c r="L4" s="175" t="s">
        <v>7</v>
      </c>
    </row>
    <row r="5" spans="1:18" ht="15.95" customHeight="1">
      <c r="A5" s="174"/>
      <c r="B5" s="175"/>
      <c r="C5" s="175"/>
      <c r="D5" s="179"/>
      <c r="E5" s="180"/>
      <c r="F5" s="181"/>
      <c r="G5" s="183"/>
      <c r="H5" s="185"/>
      <c r="I5" s="185"/>
      <c r="J5" s="174"/>
      <c r="K5" s="185"/>
      <c r="L5" s="175"/>
    </row>
    <row r="6" spans="1:18" ht="40.5" customHeight="1">
      <c r="A6" s="5">
        <f t="shared" ref="A6:A15" si="0">ROW(A1)</f>
        <v>1</v>
      </c>
      <c r="B6" s="157" t="s">
        <v>103</v>
      </c>
      <c r="C6" s="158"/>
      <c r="D6" s="159" t="s">
        <v>138</v>
      </c>
      <c r="E6" s="160"/>
      <c r="F6" s="161"/>
      <c r="G6" s="106" t="s">
        <v>91</v>
      </c>
      <c r="H6" s="106">
        <v>295.8</v>
      </c>
      <c r="I6" s="108">
        <v>96</v>
      </c>
      <c r="J6" s="108">
        <f>I6*H6</f>
        <v>28396.800000000003</v>
      </c>
      <c r="K6" s="109" t="s">
        <v>92</v>
      </c>
      <c r="L6" s="133" t="s">
        <v>104</v>
      </c>
      <c r="R6" s="101"/>
    </row>
    <row r="7" spans="1:18" ht="40.5" customHeight="1">
      <c r="A7" s="5">
        <f t="shared" si="0"/>
        <v>2</v>
      </c>
      <c r="B7" s="157" t="s">
        <v>103</v>
      </c>
      <c r="C7" s="158"/>
      <c r="D7" s="166" t="s">
        <v>110</v>
      </c>
      <c r="E7" s="160"/>
      <c r="F7" s="161"/>
      <c r="G7" s="106" t="s">
        <v>91</v>
      </c>
      <c r="H7" s="106">
        <v>298.7</v>
      </c>
      <c r="I7" s="108">
        <v>98</v>
      </c>
      <c r="J7" s="108">
        <f t="shared" ref="J7:J11" si="1">I7*H7</f>
        <v>29272.6</v>
      </c>
      <c r="K7" s="109" t="s">
        <v>105</v>
      </c>
      <c r="L7" s="133" t="s">
        <v>105</v>
      </c>
      <c r="R7" s="101"/>
    </row>
    <row r="8" spans="1:18" ht="40.5" customHeight="1">
      <c r="A8" s="5">
        <v>3</v>
      </c>
      <c r="B8" s="157" t="s">
        <v>103</v>
      </c>
      <c r="C8" s="158"/>
      <c r="D8" s="166" t="s">
        <v>111</v>
      </c>
      <c r="E8" s="160"/>
      <c r="F8" s="161"/>
      <c r="G8" s="106" t="s">
        <v>91</v>
      </c>
      <c r="H8" s="106">
        <v>100</v>
      </c>
      <c r="I8" s="108">
        <v>94</v>
      </c>
      <c r="J8" s="108">
        <f t="shared" si="1"/>
        <v>9400</v>
      </c>
      <c r="K8" s="109" t="s">
        <v>105</v>
      </c>
      <c r="L8" s="133" t="s">
        <v>105</v>
      </c>
      <c r="P8" s="2" t="s">
        <v>90</v>
      </c>
      <c r="R8" s="101"/>
    </row>
    <row r="9" spans="1:18" ht="40.5" customHeight="1">
      <c r="A9" s="5">
        <v>4</v>
      </c>
      <c r="B9" s="157" t="s">
        <v>103</v>
      </c>
      <c r="C9" s="158"/>
      <c r="D9" s="159" t="s">
        <v>139</v>
      </c>
      <c r="E9" s="160"/>
      <c r="F9" s="161"/>
      <c r="G9" s="106" t="s">
        <v>91</v>
      </c>
      <c r="H9" s="106">
        <v>300</v>
      </c>
      <c r="I9" s="108">
        <v>89</v>
      </c>
      <c r="J9" s="108">
        <f t="shared" si="1"/>
        <v>26700</v>
      </c>
      <c r="K9" s="109" t="s">
        <v>105</v>
      </c>
      <c r="L9" s="133" t="s">
        <v>105</v>
      </c>
      <c r="R9" s="101"/>
    </row>
    <row r="10" spans="1:18" ht="40.5" customHeight="1">
      <c r="A10" s="5"/>
      <c r="B10" s="164"/>
      <c r="C10" s="164"/>
      <c r="D10" s="165"/>
      <c r="E10" s="165"/>
      <c r="F10" s="165"/>
      <c r="G10" s="106"/>
      <c r="H10" s="107"/>
      <c r="I10" s="111"/>
      <c r="J10" s="108">
        <f t="shared" si="1"/>
        <v>0</v>
      </c>
      <c r="K10" s="109"/>
      <c r="L10" s="106"/>
      <c r="R10" s="101"/>
    </row>
    <row r="11" spans="1:18" ht="40.5" customHeight="1">
      <c r="A11" s="5"/>
      <c r="B11" s="164"/>
      <c r="C11" s="164"/>
      <c r="D11" s="165"/>
      <c r="E11" s="165"/>
      <c r="F11" s="165"/>
      <c r="G11" s="106"/>
      <c r="H11" s="119"/>
      <c r="I11" s="108"/>
      <c r="J11" s="108">
        <f t="shared" si="1"/>
        <v>0</v>
      </c>
      <c r="K11" s="109"/>
      <c r="L11" s="110"/>
      <c r="R11" s="101"/>
    </row>
    <row r="12" spans="1:18" ht="22.5" hidden="1" customHeight="1">
      <c r="A12" s="5">
        <f t="shared" si="0"/>
        <v>7</v>
      </c>
      <c r="B12" s="164"/>
      <c r="C12" s="164"/>
      <c r="D12" s="165"/>
      <c r="E12" s="165"/>
      <c r="F12" s="165"/>
      <c r="G12" s="106"/>
      <c r="H12" s="107"/>
      <c r="I12" s="111"/>
      <c r="J12" s="108"/>
      <c r="K12" s="109"/>
      <c r="L12" s="106"/>
      <c r="R12" s="101"/>
    </row>
    <row r="13" spans="1:18" ht="22.5" hidden="1" customHeight="1">
      <c r="A13" s="5">
        <f t="shared" si="0"/>
        <v>8</v>
      </c>
      <c r="B13" s="157"/>
      <c r="C13" s="158"/>
      <c r="D13" s="159"/>
      <c r="E13" s="160"/>
      <c r="F13" s="161"/>
      <c r="G13" s="106"/>
      <c r="H13" s="107"/>
      <c r="I13" s="108"/>
      <c r="J13" s="108"/>
      <c r="K13" s="109"/>
      <c r="L13" s="110"/>
      <c r="R13" s="101"/>
    </row>
    <row r="14" spans="1:18" ht="22.5" hidden="1" customHeight="1">
      <c r="A14" s="5">
        <f t="shared" si="0"/>
        <v>9</v>
      </c>
      <c r="B14" s="157"/>
      <c r="C14" s="158"/>
      <c r="D14" s="159"/>
      <c r="E14" s="160"/>
      <c r="F14" s="161"/>
      <c r="G14" s="106"/>
      <c r="H14" s="107"/>
      <c r="I14" s="108"/>
      <c r="J14" s="108"/>
      <c r="K14" s="109"/>
      <c r="L14" s="110"/>
      <c r="R14" s="101"/>
    </row>
    <row r="15" spans="1:18" ht="22.5" hidden="1" customHeight="1">
      <c r="A15" s="5">
        <f t="shared" si="0"/>
        <v>10</v>
      </c>
      <c r="B15" s="157"/>
      <c r="C15" s="158"/>
      <c r="D15" s="159"/>
      <c r="E15" s="160"/>
      <c r="F15" s="161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62" t="s">
        <v>8</v>
      </c>
      <c r="B16" s="163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93769.4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7"/>
      <c r="Z18" s="11"/>
    </row>
    <row r="19" spans="1:26" ht="50.1" customHeight="1">
      <c r="Y19" s="148"/>
    </row>
    <row r="20" spans="1:26" ht="15" customHeight="1">
      <c r="O20" s="143" t="s">
        <v>123</v>
      </c>
      <c r="P20" s="149"/>
      <c r="Q20" s="149"/>
      <c r="R20" s="144"/>
      <c r="S20" s="120"/>
      <c r="T20" s="143" t="s">
        <v>112</v>
      </c>
      <c r="U20" s="149"/>
      <c r="V20" s="149"/>
      <c r="W20" s="149"/>
      <c r="X20" s="149"/>
      <c r="Y20" s="144"/>
    </row>
    <row r="21" spans="1:26" ht="15" customHeight="1">
      <c r="O21" s="150" t="s">
        <v>113</v>
      </c>
      <c r="P21" s="152" t="s">
        <v>114</v>
      </c>
      <c r="Q21" s="150" t="s">
        <v>115</v>
      </c>
      <c r="R21" s="152" t="s">
        <v>116</v>
      </c>
      <c r="S21" s="120"/>
      <c r="T21" s="150" t="s">
        <v>117</v>
      </c>
      <c r="U21" s="152" t="s">
        <v>118</v>
      </c>
      <c r="V21" s="143" t="s">
        <v>119</v>
      </c>
      <c r="W21" s="149"/>
      <c r="X21" s="144"/>
      <c r="Y21" s="152" t="s">
        <v>120</v>
      </c>
    </row>
    <row r="22" spans="1:26" ht="18" customHeight="1">
      <c r="O22" s="151"/>
      <c r="P22" s="153"/>
      <c r="Q22" s="151"/>
      <c r="R22" s="153"/>
      <c r="S22" s="124"/>
      <c r="T22" s="151"/>
      <c r="U22" s="153"/>
      <c r="V22" s="13" t="s">
        <v>113</v>
      </c>
      <c r="W22" s="154" t="s">
        <v>121</v>
      </c>
      <c r="X22" s="155"/>
      <c r="Y22" s="153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43"/>
      <c r="X23" s="144"/>
      <c r="Y23" s="125"/>
    </row>
    <row r="24" spans="1:26" ht="36" customHeight="1">
      <c r="W24" s="126"/>
      <c r="X24" s="145" t="s">
        <v>122</v>
      </c>
      <c r="Y24" s="12" t="s">
        <v>120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46"/>
      <c r="Y25" s="129"/>
    </row>
    <row r="26" spans="1:26" ht="19.899999999999999" customHeight="1"/>
    <row r="27" spans="1:26" ht="17.45" customHeight="1">
      <c r="O27" s="156"/>
      <c r="P27" s="156"/>
    </row>
    <row r="28" spans="1:26" ht="19.899999999999999" customHeight="1">
      <c r="O28" s="156"/>
      <c r="P28" s="156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2" t="s">
        <v>12</v>
      </c>
      <c r="P46" s="152" t="s">
        <v>12</v>
      </c>
      <c r="S46" s="152" t="s">
        <v>11</v>
      </c>
    </row>
    <row r="47" spans="15:19" ht="21" customHeight="1">
      <c r="O47" s="153"/>
      <c r="P47" s="153"/>
      <c r="S47" s="15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2" t="s">
        <v>12</v>
      </c>
      <c r="P50" s="152" t="s">
        <v>12</v>
      </c>
      <c r="S50" s="152" t="s">
        <v>13</v>
      </c>
    </row>
    <row r="51" spans="15:19" ht="21" customHeight="1">
      <c r="O51" s="153"/>
      <c r="P51" s="153"/>
      <c r="S51" s="151"/>
    </row>
    <row r="52" spans="15:19" ht="64.900000000000006" customHeight="1">
      <c r="O52" s="14"/>
      <c r="P52" s="14"/>
      <c r="S52" s="14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A16:B16"/>
    <mergeCell ref="P21:P22"/>
    <mergeCell ref="B12:C12"/>
    <mergeCell ref="D12:F12"/>
    <mergeCell ref="B13:C13"/>
    <mergeCell ref="D13:F13"/>
    <mergeCell ref="B14:C14"/>
    <mergeCell ref="D14:F14"/>
    <mergeCell ref="O50:O51"/>
    <mergeCell ref="P50:P51"/>
    <mergeCell ref="S50:S51"/>
    <mergeCell ref="O27:O28"/>
    <mergeCell ref="P27:P28"/>
    <mergeCell ref="O46:O47"/>
    <mergeCell ref="P46:P47"/>
    <mergeCell ref="S46:S47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8" sqref="B8:C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87</v>
      </c>
      <c r="B1" s="95"/>
      <c r="C1" s="95"/>
      <c r="D1" s="95"/>
      <c r="E1" s="95"/>
      <c r="F1" s="95"/>
      <c r="G1" s="1"/>
      <c r="J1" s="167" t="str">
        <f>+MRS!J1</f>
        <v>DAESHIN PLANT</v>
      </c>
      <c r="K1" s="169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SAC2-DS-MRS-0448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46267</v>
      </c>
    </row>
    <row r="4" spans="1:18" ht="15.95" customHeight="1">
      <c r="A4" s="196" t="s">
        <v>2</v>
      </c>
      <c r="B4" s="197" t="s">
        <v>14</v>
      </c>
      <c r="C4" s="197"/>
      <c r="D4" s="196" t="s">
        <v>4</v>
      </c>
      <c r="E4" s="196"/>
      <c r="F4" s="196"/>
      <c r="G4" s="197" t="s">
        <v>5</v>
      </c>
      <c r="H4" s="196" t="s">
        <v>82</v>
      </c>
      <c r="I4" s="196" t="s">
        <v>15</v>
      </c>
      <c r="J4" s="196" t="s">
        <v>16</v>
      </c>
      <c r="K4" s="197" t="s">
        <v>7</v>
      </c>
    </row>
    <row r="5" spans="1:18" ht="15.95" customHeight="1">
      <c r="A5" s="196"/>
      <c r="B5" s="197"/>
      <c r="C5" s="197"/>
      <c r="D5" s="196"/>
      <c r="E5" s="196"/>
      <c r="F5" s="196"/>
      <c r="G5" s="197"/>
      <c r="H5" s="196"/>
      <c r="I5" s="196"/>
      <c r="J5" s="196"/>
      <c r="K5" s="197"/>
    </row>
    <row r="6" spans="1:18" ht="105" customHeight="1">
      <c r="A6" s="17">
        <f>+MRS!A6</f>
        <v>1</v>
      </c>
      <c r="B6" s="191" t="str">
        <f>MRS!B6</f>
        <v>Welding Rod</v>
      </c>
      <c r="C6" s="192"/>
      <c r="D6" s="193" t="str">
        <f>MRS!D6</f>
        <v>6770252030_OK 67.70, E309LMo-17,
 2.5x300 ER70S-3, 2.4 MM, 5Kg/Pk</v>
      </c>
      <c r="E6" s="194"/>
      <c r="F6" s="195"/>
      <c r="G6" s="98" t="str">
        <f>MRS!G6</f>
        <v>KG</v>
      </c>
      <c r="H6" s="98">
        <f>MRS!H6</f>
        <v>295.8</v>
      </c>
      <c r="I6" s="99">
        <f>MRS!I6</f>
        <v>96</v>
      </c>
      <c r="J6" s="99">
        <f>MRS!J6</f>
        <v>28396.800000000003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91" t="str">
        <f>MRS!B7</f>
        <v>Welding Rod</v>
      </c>
      <c r="C7" s="192"/>
      <c r="D7" s="193" t="str">
        <f>MRS!D7</f>
        <v>6770323020_OK 67.70, E309LMo-17, 3.2x350</v>
      </c>
      <c r="E7" s="194"/>
      <c r="F7" s="195"/>
      <c r="G7" s="98" t="str">
        <f>MRS!G7</f>
        <v>KG</v>
      </c>
      <c r="H7" s="98">
        <f>MRS!H7</f>
        <v>298.7</v>
      </c>
      <c r="I7" s="99">
        <f>MRS!I7</f>
        <v>98</v>
      </c>
      <c r="J7" s="99">
        <f>MRS!J7</f>
        <v>29272.6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91" t="str">
        <f>MRS!B8</f>
        <v>Welding Rod</v>
      </c>
      <c r="C8" s="192"/>
      <c r="D8" s="193" t="str">
        <f>MRS!D8</f>
        <v>163016R150_OK Tigrod 16.30, ER316L, 1.6x</v>
      </c>
      <c r="E8" s="194"/>
      <c r="F8" s="195"/>
      <c r="G8" s="98" t="str">
        <f>MRS!G8</f>
        <v>KG</v>
      </c>
      <c r="H8" s="98">
        <f>MRS!H8</f>
        <v>100</v>
      </c>
      <c r="I8" s="99">
        <f>MRS!I8</f>
        <v>94</v>
      </c>
      <c r="J8" s="99">
        <f>MRS!J8</f>
        <v>9400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91" t="str">
        <f>MRS!B9</f>
        <v>Welding Rod</v>
      </c>
      <c r="C9" s="192"/>
      <c r="D9" s="193" t="str">
        <f>MRS!D9</f>
        <v>163024R150_OK Tigrod 16.30,
 ER316L, 2.4 ER309L, 2.4 MM, 5.0 Kg</v>
      </c>
      <c r="E9" s="194"/>
      <c r="F9" s="195"/>
      <c r="G9" s="98" t="str">
        <f>MRS!G9</f>
        <v>KG</v>
      </c>
      <c r="H9" s="98">
        <f>MRS!H9</f>
        <v>300</v>
      </c>
      <c r="I9" s="99">
        <f>MRS!I9</f>
        <v>89</v>
      </c>
      <c r="J9" s="99">
        <f>MRS!J9</f>
        <v>26700</v>
      </c>
      <c r="K9" s="100"/>
      <c r="O9" s="101"/>
      <c r="P9" s="101"/>
      <c r="R9" s="101"/>
    </row>
    <row r="10" spans="1:18" ht="105" customHeight="1">
      <c r="A10" s="17">
        <f>+MRS!A10</f>
        <v>0</v>
      </c>
      <c r="B10" s="191">
        <f>MRS!B10</f>
        <v>0</v>
      </c>
      <c r="C10" s="192"/>
      <c r="D10" s="193">
        <f>MRS!D10</f>
        <v>0</v>
      </c>
      <c r="E10" s="194"/>
      <c r="F10" s="195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0</v>
      </c>
      <c r="B11" s="191">
        <f>MRS!B11</f>
        <v>0</v>
      </c>
      <c r="C11" s="192"/>
      <c r="D11" s="193">
        <f>MRS!D11</f>
        <v>0</v>
      </c>
      <c r="E11" s="194"/>
      <c r="F11" s="195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6"/>
      <c r="C12" s="187"/>
      <c r="D12" s="188"/>
      <c r="E12" s="189"/>
      <c r="F12" s="190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6"/>
      <c r="C13" s="187"/>
      <c r="D13" s="188"/>
      <c r="E13" s="189"/>
      <c r="F13" s="190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6"/>
      <c r="C14" s="187"/>
      <c r="D14" s="188"/>
      <c r="E14" s="189"/>
      <c r="F14" s="190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6"/>
      <c r="C15" s="187"/>
      <c r="D15" s="188"/>
      <c r="E15" s="189"/>
      <c r="F15" s="190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6"/>
      <c r="C16" s="187"/>
      <c r="D16" s="188"/>
      <c r="E16" s="189"/>
      <c r="F16" s="190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6"/>
      <c r="C17" s="187"/>
      <c r="D17" s="188"/>
      <c r="E17" s="189"/>
      <c r="F17" s="190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Q95"/>
  <sheetViews>
    <sheetView tabSelected="1" view="pageBreakPreview" zoomScale="130" zoomScaleNormal="100" zoomScaleSheetLayoutView="130" workbookViewId="0">
      <selection activeCell="R17" sqref="R1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85546875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93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135">
        <f>MRS!L3</f>
        <v>46267</v>
      </c>
      <c r="L10" s="136"/>
      <c r="M10" s="136"/>
    </row>
    <row r="11" spans="2:13" s="34" customFormat="1">
      <c r="B11" s="67"/>
      <c r="C11" s="70" t="s">
        <v>25</v>
      </c>
      <c r="D11" s="71" t="s">
        <v>96</v>
      </c>
      <c r="J11" s="34" t="s">
        <v>26</v>
      </c>
      <c r="K11" s="137" t="str">
        <f>SUBSTITUTE(SUBSTITUTE(+MRS!A3,"  MRS No : ",""),"-MRS","-PO")</f>
        <v>SAC2-DS-PO-0448</v>
      </c>
      <c r="L11" s="137"/>
      <c r="M11" s="137"/>
    </row>
    <row r="12" spans="2:13" s="34" customFormat="1">
      <c r="B12" s="67"/>
      <c r="C12" s="70" t="s">
        <v>27</v>
      </c>
      <c r="D12" s="34" t="s">
        <v>95</v>
      </c>
      <c r="J12" s="34" t="s">
        <v>28</v>
      </c>
    </row>
    <row r="13" spans="2:13" s="34" customFormat="1">
      <c r="B13" s="67"/>
      <c r="C13" s="72"/>
      <c r="D13" s="71" t="s">
        <v>98</v>
      </c>
      <c r="J13" s="34" t="s">
        <v>29</v>
      </c>
    </row>
    <row r="14" spans="2:13" s="34" customFormat="1">
      <c r="B14" s="67"/>
      <c r="C14" s="72" t="s">
        <v>102</v>
      </c>
      <c r="J14" s="34" t="s">
        <v>30</v>
      </c>
      <c r="K14" s="71" t="s">
        <v>109</v>
      </c>
    </row>
    <row r="15" spans="2:13" s="34" customFormat="1">
      <c r="B15" s="67"/>
      <c r="C15" s="72" t="s">
        <v>99</v>
      </c>
      <c r="J15" s="34" t="s">
        <v>31</v>
      </c>
      <c r="K15" s="73">
        <v>46264</v>
      </c>
    </row>
    <row r="16" spans="2:13" s="34" customFormat="1">
      <c r="C16" s="72"/>
      <c r="K16" s="73"/>
    </row>
    <row r="17" spans="2:17" ht="6" customHeight="1">
      <c r="C17" s="25"/>
      <c r="K17" s="26"/>
    </row>
    <row r="18" spans="2:17" ht="20.25">
      <c r="B18" s="138" t="s">
        <v>32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2:17" ht="12" customHeight="1"/>
    <row r="20" spans="2:17" s="27" customFormat="1" ht="12" customHeight="1">
      <c r="B20" s="139" t="s">
        <v>33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Q20" s="27" t="s">
        <v>90</v>
      </c>
    </row>
    <row r="21" spans="2:17" s="27" customFormat="1" ht="12" customHeight="1">
      <c r="B21" s="139" t="s">
        <v>34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2:17" s="27" customFormat="1" ht="12" customHeight="1">
      <c r="B22" s="139" t="s">
        <v>35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</row>
    <row r="23" spans="2:17" ht="6.95" customHeight="1"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2:17" ht="6.95" customHeight="1"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</row>
    <row r="25" spans="2:17" s="28" customFormat="1" ht="12" customHeight="1">
      <c r="B25" s="28">
        <v>1</v>
      </c>
      <c r="C25" s="28" t="s">
        <v>36</v>
      </c>
    </row>
    <row r="26" spans="2:17" s="34" customFormat="1" ht="12" customHeight="1">
      <c r="B26" s="68"/>
      <c r="C26" s="71" t="s">
        <v>103</v>
      </c>
      <c r="M26" s="74" t="s">
        <v>37</v>
      </c>
    </row>
    <row r="27" spans="2:17" ht="12" customHeight="1">
      <c r="B27" s="28"/>
    </row>
    <row r="28" spans="2:17" ht="12" customHeight="1">
      <c r="B28" s="28">
        <v>2</v>
      </c>
      <c r="C28" s="28" t="s">
        <v>38</v>
      </c>
    </row>
    <row r="29" spans="2:17" ht="12" customHeight="1">
      <c r="B29" s="28"/>
      <c r="C29" s="22" t="s">
        <v>39</v>
      </c>
      <c r="E29" s="22" t="s">
        <v>40</v>
      </c>
      <c r="F29" s="118">
        <f>'PO 2nd page'!G18</f>
        <v>93769.4</v>
      </c>
      <c r="G29" s="118"/>
      <c r="H29" s="118"/>
      <c r="M29" s="29"/>
    </row>
    <row r="30" spans="2:17" ht="12" customHeight="1">
      <c r="B30" s="28"/>
      <c r="C30" s="22" t="s">
        <v>41</v>
      </c>
      <c r="E30" s="22" t="s">
        <v>40</v>
      </c>
      <c r="F30" s="118">
        <f>'PO 2nd page'!G19</f>
        <v>14065.409999999998</v>
      </c>
      <c r="G30" s="118"/>
      <c r="H30" s="118"/>
    </row>
    <row r="31" spans="2:17" ht="12" customHeight="1">
      <c r="B31" s="28"/>
      <c r="C31" s="22" t="s">
        <v>42</v>
      </c>
      <c r="D31" s="30"/>
      <c r="E31" s="22" t="s">
        <v>40</v>
      </c>
      <c r="F31" s="118">
        <f>'PO 2nd page'!G20</f>
        <v>107834.81</v>
      </c>
      <c r="G31" s="118"/>
      <c r="H31" s="118"/>
    </row>
    <row r="32" spans="2:17" ht="12" customHeight="1">
      <c r="B32" s="28"/>
    </row>
    <row r="33" spans="2:13" ht="12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2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2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2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89</v>
      </c>
      <c r="P49" s="77"/>
    </row>
    <row r="50" spans="2:16" s="78" customFormat="1" ht="12" customHeight="1">
      <c r="B50" s="79" t="s">
        <v>56</v>
      </c>
      <c r="C50" s="76" t="s">
        <v>84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2" customHeight="1">
      <c r="B53" s="37">
        <v>7</v>
      </c>
      <c r="C53" s="28" t="s">
        <v>124</v>
      </c>
    </row>
    <row r="54" spans="2:16" ht="12" customHeight="1">
      <c r="B54" s="79" t="s">
        <v>56</v>
      </c>
      <c r="C54" s="130" t="s">
        <v>125</v>
      </c>
      <c r="F54" s="131" t="s">
        <v>134</v>
      </c>
      <c r="P54" s="22" t="str">
        <f>UPPER(F54)</f>
        <v>OCEAN WINGS TRADING CO</v>
      </c>
    </row>
    <row r="55" spans="2:16" ht="12" customHeight="1">
      <c r="B55" s="79" t="s">
        <v>56</v>
      </c>
      <c r="C55" s="130" t="s">
        <v>126</v>
      </c>
      <c r="F55" s="131" t="s">
        <v>137</v>
      </c>
    </row>
    <row r="56" spans="2:16" ht="12" customHeight="1">
      <c r="B56" s="79" t="s">
        <v>56</v>
      </c>
      <c r="C56" s="130" t="s">
        <v>127</v>
      </c>
      <c r="F56" s="131" t="s">
        <v>135</v>
      </c>
    </row>
    <row r="57" spans="2:16" ht="12" customHeight="1">
      <c r="B57" s="79" t="s">
        <v>56</v>
      </c>
      <c r="C57" s="130" t="s">
        <v>128</v>
      </c>
      <c r="F57" s="22" t="s">
        <v>136</v>
      </c>
    </row>
    <row r="58" spans="2:16" ht="12" customHeight="1">
      <c r="B58" s="79" t="s">
        <v>56</v>
      </c>
      <c r="C58" s="130" t="s">
        <v>129</v>
      </c>
      <c r="F58" s="22" t="s">
        <v>130</v>
      </c>
    </row>
    <row r="59" spans="2:16" ht="12" customHeight="1">
      <c r="B59" s="79" t="s">
        <v>56</v>
      </c>
      <c r="C59" s="130" t="s">
        <v>131</v>
      </c>
      <c r="F59" s="22" t="s">
        <v>132</v>
      </c>
    </row>
    <row r="60" spans="2:16" ht="12" customHeight="1">
      <c r="B60" s="79"/>
      <c r="C60" s="132" t="s">
        <v>133</v>
      </c>
    </row>
    <row r="61" spans="2:16" ht="12" customHeight="1">
      <c r="B61" s="37"/>
    </row>
    <row r="62" spans="2:16" ht="3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Rameez Abdul Khadar</v>
      </c>
    </row>
    <row r="69" spans="1:13" ht="18" customHeight="1">
      <c r="B69" s="22" t="s">
        <v>62</v>
      </c>
      <c r="J69" s="22" t="s">
        <v>63</v>
      </c>
      <c r="K69" s="18" t="s">
        <v>97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101</v>
      </c>
      <c r="J71" s="142" t="str">
        <f>C9</f>
        <v>OWTC(Ocean Wings Trading Co.)</v>
      </c>
      <c r="K71" s="142"/>
      <c r="L71" s="142"/>
      <c r="M71" s="142"/>
    </row>
    <row r="72" spans="1:13" ht="27.95" customHeight="1">
      <c r="A72" s="134" t="s">
        <v>66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0" sqref="M10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SAC2-DS-PO-0448</v>
      </c>
      <c r="C2" s="208" t="s">
        <v>68</v>
      </c>
      <c r="D2" s="208"/>
      <c r="E2" s="208"/>
      <c r="F2" s="208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46267</v>
      </c>
      <c r="C3" s="46"/>
      <c r="D3" s="47"/>
      <c r="E3" s="209" t="s">
        <v>70</v>
      </c>
      <c r="F3" s="209"/>
      <c r="G3" s="209"/>
      <c r="H3" s="209"/>
      <c r="I3" s="48"/>
    </row>
    <row r="4" spans="1:13" s="50" customFormat="1" ht="28.5" customHeight="1" thickTop="1">
      <c r="A4" s="210" t="s">
        <v>71</v>
      </c>
      <c r="B4" s="212" t="s">
        <v>72</v>
      </c>
      <c r="C4" s="213"/>
      <c r="D4" s="216" t="s">
        <v>73</v>
      </c>
      <c r="E4" s="216" t="s">
        <v>74</v>
      </c>
      <c r="F4" s="218" t="str">
        <f>'PO 1st page'!C9</f>
        <v>OWTC(Ocean Wings Trading Co.)</v>
      </c>
      <c r="G4" s="219"/>
      <c r="H4" s="220" t="s">
        <v>75</v>
      </c>
      <c r="K4" s="51"/>
      <c r="L4" s="51"/>
      <c r="M4" s="51"/>
    </row>
    <row r="5" spans="1:13" s="50" customFormat="1" ht="21.95" customHeight="1">
      <c r="A5" s="211"/>
      <c r="B5" s="214"/>
      <c r="C5" s="215"/>
      <c r="D5" s="217"/>
      <c r="E5" s="217"/>
      <c r="F5" s="52" t="s">
        <v>76</v>
      </c>
      <c r="G5" s="52" t="s">
        <v>42</v>
      </c>
      <c r="H5" s="221"/>
      <c r="K5" s="51"/>
      <c r="L5" s="51"/>
      <c r="M5" s="51"/>
    </row>
    <row r="6" spans="1:13" s="50" customFormat="1" ht="57.75" customHeight="1">
      <c r="A6" s="80">
        <f t="shared" ref="A6:A9" si="0">ROW(A1)</f>
        <v>1</v>
      </c>
      <c r="B6" s="206" t="str">
        <f>MRS!B6&amp;" "&amp;MRS!D6</f>
        <v>Welding Rod 6770252030_OK 67.70, E309LMo-17,
 2.5x300 ER70S-3, 2.4 MM, 5Kg/Pk</v>
      </c>
      <c r="C6" s="207"/>
      <c r="D6" s="81" t="str">
        <f>+'MRS LIST'!G6</f>
        <v>KG</v>
      </c>
      <c r="E6" s="82">
        <f>+'MRS LIST'!H6</f>
        <v>295.8</v>
      </c>
      <c r="F6" s="83">
        <f>+'MRS LIST'!I6</f>
        <v>96</v>
      </c>
      <c r="G6" s="84">
        <f>+'MRS LIST'!J6</f>
        <v>28396.800000000003</v>
      </c>
      <c r="H6" s="85" t="str">
        <f>MRS!L6</f>
        <v>One time</v>
      </c>
      <c r="K6" s="86"/>
      <c r="L6" s="87"/>
      <c r="M6" s="51"/>
    </row>
    <row r="7" spans="1:13" s="50" customFormat="1" ht="57.75" customHeight="1">
      <c r="A7" s="80">
        <f t="shared" si="0"/>
        <v>2</v>
      </c>
      <c r="B7" s="206" t="str">
        <f>MRS!B7&amp;" "&amp;MRS!D7</f>
        <v>Welding Rod 6770323020_OK 67.70, E309LMo-17, 3.2x350</v>
      </c>
      <c r="C7" s="207"/>
      <c r="D7" s="81" t="str">
        <f>+'MRS LIST'!G7</f>
        <v>KG</v>
      </c>
      <c r="E7" s="82">
        <f>+'MRS LIST'!H7</f>
        <v>298.7</v>
      </c>
      <c r="F7" s="83">
        <f>+'MRS LIST'!I7</f>
        <v>98</v>
      </c>
      <c r="G7" s="84">
        <f>+'MRS LIST'!J7</f>
        <v>29272.6</v>
      </c>
      <c r="H7" s="85" t="str">
        <f>MRS!L7</f>
        <v>"</v>
      </c>
      <c r="K7" s="86"/>
      <c r="L7" s="87"/>
      <c r="M7" s="51"/>
    </row>
    <row r="8" spans="1:13" s="50" customFormat="1" ht="57.75" customHeight="1">
      <c r="A8" s="80">
        <f t="shared" si="0"/>
        <v>3</v>
      </c>
      <c r="B8" s="206" t="str">
        <f>MRS!B8&amp;" "&amp;MRS!D8</f>
        <v>Welding Rod 163016R150_OK Tigrod 16.30, ER316L, 1.6x</v>
      </c>
      <c r="C8" s="207"/>
      <c r="D8" s="81" t="str">
        <f>+'MRS LIST'!G8</f>
        <v>KG</v>
      </c>
      <c r="E8" s="82">
        <f>+'MRS LIST'!H8</f>
        <v>100</v>
      </c>
      <c r="F8" s="83">
        <f>+'MRS LIST'!I8</f>
        <v>94</v>
      </c>
      <c r="G8" s="84">
        <f>+'MRS LIST'!J8</f>
        <v>9400</v>
      </c>
      <c r="H8" s="85" t="str">
        <f>MRS!L8</f>
        <v>"</v>
      </c>
      <c r="K8" s="51"/>
      <c r="L8" s="51"/>
      <c r="M8" s="51"/>
    </row>
    <row r="9" spans="1:13" s="50" customFormat="1" ht="57.75" customHeight="1">
      <c r="A9" s="80">
        <f t="shared" si="0"/>
        <v>4</v>
      </c>
      <c r="B9" s="206" t="str">
        <f>MRS!B9&amp;" "&amp;MRS!D9</f>
        <v>Welding Rod 163024R150_OK Tigrod 16.30,
 ER316L, 2.4 ER309L, 2.4 MM, 5.0 Kg</v>
      </c>
      <c r="C9" s="207"/>
      <c r="D9" s="81" t="str">
        <f>+'MRS LIST'!G9</f>
        <v>KG</v>
      </c>
      <c r="E9" s="82">
        <f>+'MRS LIST'!H9</f>
        <v>300</v>
      </c>
      <c r="F9" s="83">
        <f>+'MRS LIST'!I9</f>
        <v>89</v>
      </c>
      <c r="G9" s="84">
        <f>+'MRS LIST'!J9</f>
        <v>26700</v>
      </c>
      <c r="H9" s="85" t="str">
        <f>MRS!L9</f>
        <v>"</v>
      </c>
    </row>
    <row r="10" spans="1:13" s="50" customFormat="1" ht="32.1" customHeight="1">
      <c r="A10" s="88"/>
      <c r="B10" s="206"/>
      <c r="C10" s="207"/>
      <c r="D10" s="81"/>
      <c r="E10" s="82"/>
      <c r="F10" s="83"/>
      <c r="G10" s="84"/>
      <c r="H10" s="93"/>
    </row>
    <row r="11" spans="1:13" s="50" customFormat="1" ht="32.1" customHeight="1">
      <c r="A11" s="88"/>
      <c r="B11" s="206"/>
      <c r="C11" s="207"/>
      <c r="D11" s="81"/>
      <c r="E11" s="82"/>
      <c r="F11" s="83"/>
      <c r="G11" s="84"/>
      <c r="H11" s="93"/>
    </row>
    <row r="12" spans="1:13" s="50" customFormat="1" ht="32.1" customHeight="1">
      <c r="A12" s="88"/>
      <c r="B12" s="202"/>
      <c r="C12" s="203"/>
      <c r="D12" s="81"/>
      <c r="E12" s="82"/>
      <c r="F12" s="83"/>
      <c r="G12" s="84"/>
      <c r="H12" s="93"/>
    </row>
    <row r="13" spans="1:13" s="50" customFormat="1" ht="32.1" customHeight="1">
      <c r="A13" s="88"/>
      <c r="B13" s="204"/>
      <c r="C13" s="205"/>
      <c r="D13" s="89"/>
      <c r="E13" s="90"/>
      <c r="F13" s="91"/>
      <c r="G13" s="92"/>
      <c r="H13" s="93"/>
    </row>
    <row r="14" spans="1:13" s="50" customFormat="1" ht="32.1" customHeight="1">
      <c r="A14" s="88"/>
      <c r="B14" s="204"/>
      <c r="C14" s="205"/>
      <c r="D14" s="89"/>
      <c r="E14" s="90"/>
      <c r="F14" s="94"/>
      <c r="G14" s="92"/>
      <c r="H14" s="93"/>
    </row>
    <row r="15" spans="1:13" s="50" customFormat="1" ht="32.1" customHeight="1">
      <c r="A15" s="88"/>
      <c r="B15" s="204"/>
      <c r="C15" s="205"/>
      <c r="D15" s="89"/>
      <c r="E15" s="90"/>
      <c r="F15" s="94"/>
      <c r="G15" s="92"/>
      <c r="H15" s="93"/>
    </row>
    <row r="16" spans="1:13" s="50" customFormat="1" ht="32.1" customHeight="1">
      <c r="A16" s="88"/>
      <c r="B16" s="204"/>
      <c r="C16" s="205"/>
      <c r="D16" s="89"/>
      <c r="E16" s="90"/>
      <c r="F16" s="91"/>
      <c r="G16" s="92"/>
      <c r="H16" s="93"/>
    </row>
    <row r="17" spans="1:13" s="50" customFormat="1" ht="32.1" customHeight="1">
      <c r="A17" s="88"/>
      <c r="B17" s="204"/>
      <c r="C17" s="205"/>
      <c r="D17" s="89"/>
      <c r="E17" s="90"/>
      <c r="F17" s="91"/>
      <c r="G17" s="92"/>
      <c r="H17" s="93"/>
    </row>
    <row r="18" spans="1:13" s="50" customFormat="1" ht="23.1" customHeight="1">
      <c r="A18" s="198" t="s">
        <v>77</v>
      </c>
      <c r="B18" s="199"/>
      <c r="C18" s="199"/>
      <c r="D18" s="199"/>
      <c r="E18" s="199"/>
      <c r="F18" s="199"/>
      <c r="G18" s="53">
        <f>SUM(G6:G17)</f>
        <v>93769.4</v>
      </c>
      <c r="H18" s="54"/>
    </row>
    <row r="19" spans="1:13" s="50" customFormat="1" ht="23.1" customHeight="1">
      <c r="A19" s="198" t="s">
        <v>41</v>
      </c>
      <c r="B19" s="199"/>
      <c r="C19" s="199"/>
      <c r="D19" s="199"/>
      <c r="E19" s="199"/>
      <c r="F19" s="199"/>
      <c r="G19" s="53">
        <f>+G18*0.15</f>
        <v>14065.409999999998</v>
      </c>
      <c r="H19" s="54"/>
    </row>
    <row r="20" spans="1:13" s="50" customFormat="1" ht="24.95" customHeight="1" thickBot="1">
      <c r="A20" s="200" t="s">
        <v>78</v>
      </c>
      <c r="B20" s="201"/>
      <c r="C20" s="201"/>
      <c r="D20" s="201"/>
      <c r="E20" s="201"/>
      <c r="F20" s="201"/>
      <c r="G20" s="55">
        <f>G19+G18</f>
        <v>107834.81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OW-WLDG-RAK-911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34" t="s">
        <v>80</v>
      </c>
      <c r="B24" s="134"/>
      <c r="C24" s="134"/>
      <c r="D24" s="134"/>
      <c r="E24" s="134"/>
      <c r="F24" s="134"/>
      <c r="G24" s="134"/>
      <c r="H24" s="134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2026-09-05T02:36:35Z</cp:lastPrinted>
  <dcterms:created xsi:type="dcterms:W3CDTF">2024-10-20T11:50:19Z</dcterms:created>
  <dcterms:modified xsi:type="dcterms:W3CDTF">2026-09-05T02:37:42Z</dcterms:modified>
</cp:coreProperties>
</file>