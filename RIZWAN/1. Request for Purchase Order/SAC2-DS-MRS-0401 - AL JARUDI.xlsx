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38DFC73F-6EE4-4BBD-8BBC-EAFCD10807B5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E3" i="1"/>
  <c r="P54" i="3"/>
  <c r="B6" i="4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<sst xmlns="http://schemas.openxmlformats.org/spreadsheetml/2006/main" count="165" uniqueCount="135">
  <si>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</si>
  <si>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</si>
  <si>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</si>
  <si>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</si>
  <si>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</si>
  <si>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</si>
  <si>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</si>
  <si>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</si>
  <si>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</si>
  <si>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</si>
  <si>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</si>
  <si>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</si>
  <si>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</si>
  <si>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</si>
  <si>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</si>
  <si>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</si>
  <si>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</si>
  <si>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</si>
  <si>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</si>
  <si>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</si>
  <si>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</si>
  <si>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</si>
  <si>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</si>
  <si>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</si>
  <si>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</si>
  <si>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</si>
  <si>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</si>
  <si>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</si>
  <si>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</si>
  <si>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</si>
  <si>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</si>
  <si>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</si>
  <si>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</si>
  <si>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</si>
  <si>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</si>
  <si>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</si>
  <si>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</si>
  <si>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</si>
  <si>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</si>
  <si>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</si>
  <si>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</si>
  <si>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</si>
  <si>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</si>
  <si>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</si>
  <si>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</si>
  <si>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</si>
  <si>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</si>
  <si>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</si>
  <si>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</si>
  <si>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</si>
  <si>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</si>
  <si>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</si>
  <si>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</si>
  <si>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</si>
  <si>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</si>
  <si>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</si>
  <si>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</si>
  <si>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</si>
  <si>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</si>
  <si>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</si>
  <si>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</si>
  <si>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</si>
  <si>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</si>
  <si>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</si>
  <si>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</si>
  <si>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</si>
  <si>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</si>
  <si>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</si>
  <si>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</si>
  <si>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</si>
  <si>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</si>
  <si>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</si>
  <si>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</si>
  <si>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</si>
  <si>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</si>
  <si>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</si>
  <si>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</si>
  <si>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</si>
  <si>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</si>
  <si>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</si>
  <si>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</si>
  <si>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</si>
  <si>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</si>
  <si>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</si>
  <si>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</si>
  <si>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</si>
  <si>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</si>
  <si>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</si>
  <si>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</si>
  <si>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Hour</t>
  </si>
  <si>
    <t>Subcontract name (SAC2-SC-IK-SMP-01)</t>
  </si>
  <si>
    <t>Monthly Based</t>
  </si>
  <si>
    <t>Branch of Hyundai Engineering and Const. Co., Ltd. (HDEC)</t>
  </si>
  <si>
    <t>BRANCH OF HYUNDAI ENG. &amp; CONST. CO., LTD.</t>
  </si>
  <si>
    <t>2055012514</t>
  </si>
  <si>
    <t>300394021800003</t>
  </si>
  <si>
    <t>Abdul Rauf</t>
  </si>
  <si>
    <t>+966 53 696 2434 / Email: rauf@jarudisa.com</t>
  </si>
  <si>
    <t>P.O. Box 1189, Jubail 31951, KSA</t>
  </si>
  <si>
    <t>Mobile : +966 53 696 2434</t>
  </si>
  <si>
    <t>Coordinator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</si>
  <si>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</si>
  <si>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</si>
  <si>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</si>
  <si>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</si>
  <si>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</si>
  <si>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>SAUDI NATIONAL BANK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</si>
  <si>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</si>
  <si>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</si>
  <si>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</si>
  <si>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</si>
  <si>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</si>
  <si>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SA05 1000 0001 9489 6600 0103</t>
  </si>
  <si>
    <t>01948966000103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</si>
  <si>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-MRS-0401</t>
    </r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</si>
  <si>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</si>
  <si>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</si>
  <si>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Work Permit Receiver</t>
  </si>
  <si>
    <t xml:space="preserve">Aramco Approved </t>
  </si>
  <si>
    <t>JRD-2026-2152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</si>
  <si>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</si>
  <si>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</si>
  <si>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</si>
  <si>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</si>
  <si>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</si>
  <si>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</si>
  <si>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</si>
  <si>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</si>
  <si>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</si>
  <si>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</si>
  <si>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</si>
  <si>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</si>
  <si>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GHANIM QASSIM ALJARUDI CONTN EST</t>
  </si>
  <si>
    <t>GHANIM</t>
  </si>
  <si>
    <t>GHANIM(Ghanim Qassim Al Jarudi Est.)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</si>
</sst>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7"/>
      <color rgb="FF0000FF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20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0" fontId="16" fillId="3" borderId="0" xfId="5" applyFont="1" applyFill="1" applyAlignment="1">
      <alignment horizontal="left"/>
    </xf>
    <xf numFmtId="0" fontId="4" fillId="2" borderId="21" xfId="1" applyFont="1" applyFill="1" applyBorder="1" applyAlignment="1">
      <alignment horizontal="center" vertical="center"/>
    </xf>
    <xf numFmtId="0" fontId="49" fillId="3" borderId="0" xfId="5" applyFont="1" applyFill="1"/>
    <xf numFmtId="0" fontId="16" fillId="3" borderId="0" xfId="5" quotePrefix="1" applyFont="1" applyFill="1"/>
    <xf numFmtId="0" fontId="50" fillId="3" borderId="0" xfId="5" applyFont="1" applyFill="1"/>
    <xf numFmtId="0" fontId="51" fillId="2" borderId="0" xfId="1" applyFont="1" applyFill="1" applyAlignment="1">
      <alignment vertical="center"/>
    </xf>
    <xf numFmtId="0" fontId="55" fillId="0" borderId="0" xfId="2" applyFont="1" applyAlignment="1">
      <alignment vertical="center"/>
    </xf>
    <xf numFmtId="170" fontId="56" fillId="0" borderId="7" xfId="3" applyNumberFormat="1" applyFont="1" applyBorder="1" applyAlignment="1">
      <alignment horizontal="right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26" fillId="3" borderId="0" xfId="5" applyFont="1" applyFill="1" applyAlignment="1">
      <alignment horizont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172" fontId="16" fillId="3" borderId="0" xfId="5" applyNumberFormat="1" applyFont="1" applyFill="1" applyAlignment="1">
      <alignment horizontal="center"/>
    </xf>
    <xf numFmtId="0" fontId="15" fillId="3" borderId="0" xfId="5" applyFont="1" applyFill="1" applyAlignment="1">
      <alignment horizontal="left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766512</xdr:colOff>
          <xdr:row>17</xdr:row>
          <xdr:rowOff>65673</xdr:rowOff>
        </xdr:from>
        <xdr:to>
          <xdr:col>11</xdr:col>
          <xdr:colOff>1613735</xdr:colOff>
          <xdr:row>23</xdr:row>
          <xdr:rowOff>303798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CB62E0DC-57BF-ECEC-24A4-A010B9389D3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4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58591" y="5048752"/>
              <a:ext cx="8457197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O10" sqref="O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4" t="s">
        <v>115</v>
      </c>
      <c r="B1" s="125"/>
      <c r="C1" s="106"/>
      <c r="D1" s="106"/>
      <c r="E1" s="106"/>
      <c r="F1" s="106"/>
      <c r="G1" s="1"/>
      <c r="J1" s="171" t="s">
        <v>81</v>
      </c>
      <c r="K1" s="172"/>
      <c r="L1" s="173"/>
    </row>
    <row r="2" spans="1:19" ht="20.100000000000001" customHeight="1">
      <c r="A2" s="3" t="s">
        <v>1</v>
      </c>
      <c r="B2" s="97"/>
      <c r="C2" s="97"/>
      <c r="D2" s="3" t="s">
        <v>116</v>
      </c>
      <c r="E2" s="97"/>
      <c r="F2" s="97"/>
      <c r="G2" s="97"/>
      <c r="H2" s="97"/>
      <c r="I2" s="4"/>
      <c r="J2" s="174" t="s">
        <v>90</v>
      </c>
      <c r="K2" s="175"/>
      <c r="L2" s="176"/>
    </row>
    <row r="3" spans="1:19" ht="20.100000000000001" customHeight="1">
      <c r="A3" s="3" t="s">
        <v>114</v>
      </c>
      <c r="B3" s="97"/>
      <c r="C3" s="97"/>
      <c r="D3" s="97"/>
      <c r="E3" s="177">
        <f>+L3+3</f>
        <v>46263</v>
      </c>
      <c r="F3" s="177"/>
      <c r="G3" s="177"/>
      <c r="H3" s="177"/>
      <c r="I3" s="177"/>
      <c r="J3" s="97"/>
      <c r="K3" s="97"/>
      <c r="L3" s="126">
        <v>46260</v>
      </c>
      <c r="M3" s="4"/>
    </row>
    <row r="4" spans="1:19" ht="15.95" customHeight="1">
      <c r="A4" s="178" t="s">
        <v>2</v>
      </c>
      <c r="B4" s="179" t="s">
        <v>3</v>
      </c>
      <c r="C4" s="179"/>
      <c r="D4" s="180" t="s">
        <v>4</v>
      </c>
      <c r="E4" s="181"/>
      <c r="F4" s="182"/>
      <c r="G4" s="186" t="s">
        <v>5</v>
      </c>
      <c r="H4" s="188" t="s">
        <v>6</v>
      </c>
      <c r="I4" s="188" t="s">
        <v>86</v>
      </c>
      <c r="J4" s="178" t="s">
        <v>87</v>
      </c>
      <c r="K4" s="188" t="s">
        <v>0</v>
      </c>
      <c r="L4" s="179" t="s">
        <v>7</v>
      </c>
    </row>
    <row r="5" spans="1:19" ht="15.95" customHeight="1">
      <c r="A5" s="178"/>
      <c r="B5" s="179"/>
      <c r="C5" s="179"/>
      <c r="D5" s="183"/>
      <c r="E5" s="184"/>
      <c r="F5" s="185"/>
      <c r="G5" s="187"/>
      <c r="H5" s="189"/>
      <c r="I5" s="189"/>
      <c r="J5" s="178"/>
      <c r="K5" s="189"/>
      <c r="L5" s="179"/>
    </row>
    <row r="6" spans="1:19" ht="22.5" customHeight="1">
      <c r="A6" s="5">
        <f t="shared" ref="A6:A15" si="0">ROW(A1)</f>
        <v>1</v>
      </c>
      <c r="B6" s="160" t="s">
        <v>117</v>
      </c>
      <c r="C6" s="161"/>
      <c r="D6" s="162" t="s">
        <v>118</v>
      </c>
      <c r="E6" s="163"/>
      <c r="F6" s="164"/>
      <c r="G6" s="107" t="s">
        <v>89</v>
      </c>
      <c r="H6" s="108">
        <v>1</v>
      </c>
      <c r="I6" s="109">
        <v>45</v>
      </c>
      <c r="J6" s="109">
        <f>H6*I6</f>
        <v>45</v>
      </c>
      <c r="K6" s="110" t="s">
        <v>133</v>
      </c>
      <c r="L6" s="111" t="s">
        <v>91</v>
      </c>
      <c r="S6" s="102"/>
    </row>
    <row r="7" spans="1:19" ht="22.5" customHeight="1">
      <c r="A7" s="5">
        <f t="shared" si="0"/>
        <v>2</v>
      </c>
      <c r="B7" s="160"/>
      <c r="C7" s="161"/>
      <c r="D7" s="170"/>
      <c r="E7" s="163"/>
      <c r="F7" s="164"/>
      <c r="G7" s="107"/>
      <c r="H7" s="108"/>
      <c r="I7" s="109"/>
      <c r="J7" s="109"/>
      <c r="K7" s="110"/>
      <c r="L7" s="111"/>
      <c r="S7" s="102"/>
    </row>
    <row r="8" spans="1:19" ht="22.5" customHeight="1">
      <c r="A8" s="5">
        <f t="shared" si="0"/>
        <v>3</v>
      </c>
      <c r="B8" s="160"/>
      <c r="C8" s="161"/>
      <c r="D8" s="162"/>
      <c r="E8" s="163"/>
      <c r="F8" s="164"/>
      <c r="G8" s="107"/>
      <c r="H8" s="108"/>
      <c r="I8" s="109"/>
      <c r="J8" s="109"/>
      <c r="K8" s="110"/>
      <c r="L8" s="111"/>
      <c r="S8" s="102"/>
    </row>
    <row r="9" spans="1:19" ht="22.5" customHeight="1">
      <c r="A9" s="5">
        <f t="shared" si="0"/>
        <v>4</v>
      </c>
      <c r="B9" s="160"/>
      <c r="C9" s="161"/>
      <c r="D9" s="162"/>
      <c r="E9" s="163"/>
      <c r="F9" s="164"/>
      <c r="G9" s="107"/>
      <c r="H9" s="108"/>
      <c r="I9" s="109"/>
      <c r="J9" s="109"/>
      <c r="K9" s="110"/>
      <c r="L9" s="111"/>
      <c r="S9" s="102"/>
    </row>
    <row r="10" spans="1:19" ht="22.5" customHeight="1">
      <c r="A10" s="5">
        <f t="shared" si="0"/>
        <v>5</v>
      </c>
      <c r="B10" s="168"/>
      <c r="C10" s="168"/>
      <c r="D10" s="169"/>
      <c r="E10" s="169"/>
      <c r="F10" s="169"/>
      <c r="G10" s="107"/>
      <c r="H10" s="108"/>
      <c r="I10" s="112"/>
      <c r="J10" s="109"/>
      <c r="K10" s="110"/>
      <c r="L10" s="107"/>
      <c r="S10" s="102"/>
    </row>
    <row r="11" spans="1:19" ht="22.5" customHeight="1">
      <c r="A11" s="5">
        <f t="shared" si="0"/>
        <v>6</v>
      </c>
      <c r="B11" s="160"/>
      <c r="C11" s="161"/>
      <c r="D11" s="162"/>
      <c r="E11" s="163"/>
      <c r="F11" s="164"/>
      <c r="G11" s="107"/>
      <c r="H11" s="108"/>
      <c r="I11" s="109"/>
      <c r="J11" s="109"/>
      <c r="K11" s="110"/>
      <c r="L11" s="111"/>
      <c r="S11" s="102"/>
    </row>
    <row r="12" spans="1:19" ht="22.5" customHeight="1">
      <c r="A12" s="5">
        <f t="shared" si="0"/>
        <v>7</v>
      </c>
      <c r="B12" s="168"/>
      <c r="C12" s="168"/>
      <c r="D12" s="169"/>
      <c r="E12" s="169"/>
      <c r="F12" s="169"/>
      <c r="G12" s="107"/>
      <c r="H12" s="108"/>
      <c r="I12" s="112"/>
      <c r="J12" s="109"/>
      <c r="K12" s="110"/>
      <c r="L12" s="107"/>
      <c r="S12" s="102"/>
    </row>
    <row r="13" spans="1:19" ht="22.5" customHeight="1">
      <c r="A13" s="5">
        <f t="shared" si="0"/>
        <v>8</v>
      </c>
      <c r="B13" s="160"/>
      <c r="C13" s="161"/>
      <c r="D13" s="162"/>
      <c r="E13" s="163"/>
      <c r="F13" s="164"/>
      <c r="G13" s="107"/>
      <c r="H13" s="108"/>
      <c r="I13" s="109"/>
      <c r="J13" s="109"/>
      <c r="K13" s="110"/>
      <c r="L13" s="111"/>
      <c r="S13" s="102"/>
    </row>
    <row r="14" spans="1:19" ht="22.5" customHeight="1">
      <c r="A14" s="5">
        <f t="shared" si="0"/>
        <v>9</v>
      </c>
      <c r="B14" s="160"/>
      <c r="C14" s="161"/>
      <c r="D14" s="162"/>
      <c r="E14" s="163"/>
      <c r="F14" s="164"/>
      <c r="G14" s="107"/>
      <c r="H14" s="108"/>
      <c r="I14" s="109"/>
      <c r="J14" s="109"/>
      <c r="K14" s="110"/>
      <c r="L14" s="111"/>
      <c r="S14" s="102"/>
    </row>
    <row r="15" spans="1:19" ht="22.5" customHeight="1">
      <c r="A15" s="5">
        <f t="shared" si="0"/>
        <v>10</v>
      </c>
      <c r="B15" s="160"/>
      <c r="C15" s="161"/>
      <c r="D15" s="162"/>
      <c r="E15" s="163"/>
      <c r="F15" s="164"/>
      <c r="G15" s="107"/>
      <c r="H15" s="108"/>
      <c r="I15" s="109"/>
      <c r="J15" s="109"/>
      <c r="K15" s="110"/>
      <c r="L15" s="111"/>
      <c r="S15" s="102"/>
    </row>
    <row r="16" spans="1:19" ht="22.5" customHeight="1">
      <c r="A16" s="165" t="s">
        <v>8</v>
      </c>
      <c r="B16" s="166"/>
      <c r="C16" s="113"/>
      <c r="D16" s="114"/>
      <c r="E16" s="114"/>
      <c r="F16" s="114"/>
      <c r="G16" s="115"/>
      <c r="H16" s="115"/>
      <c r="I16" s="116" t="s">
        <v>9</v>
      </c>
      <c r="J16" s="109">
        <f>SUM(J6:J15)</f>
        <v>45</v>
      </c>
      <c r="K16" s="109"/>
      <c r="L16" s="117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94"/>
      <c r="Z18" s="11"/>
    </row>
    <row r="19" spans="1:26" ht="50.1" customHeight="1">
      <c r="Y19" s="195"/>
    </row>
    <row r="20" spans="1:26" ht="15" customHeight="1">
      <c r="O20" s="190" t="s">
        <v>120</v>
      </c>
      <c r="P20" s="196"/>
      <c r="Q20" s="196"/>
      <c r="R20" s="191"/>
      <c r="S20" s="120"/>
      <c r="T20" s="190" t="s">
        <v>121</v>
      </c>
      <c r="U20" s="196"/>
      <c r="V20" s="196"/>
      <c r="W20" s="196"/>
      <c r="X20" s="196"/>
      <c r="Y20" s="191"/>
    </row>
    <row r="21" spans="1:26" ht="15" customHeight="1">
      <c r="O21" s="167" t="s">
        <v>122</v>
      </c>
      <c r="P21" s="156" t="s">
        <v>123</v>
      </c>
      <c r="Q21" s="167" t="s">
        <v>124</v>
      </c>
      <c r="R21" s="156" t="s">
        <v>125</v>
      </c>
      <c r="S21" s="120"/>
      <c r="T21" s="167" t="s">
        <v>126</v>
      </c>
      <c r="U21" s="156" t="s">
        <v>127</v>
      </c>
      <c r="V21" s="190" t="s">
        <v>128</v>
      </c>
      <c r="W21" s="196"/>
      <c r="X21" s="191"/>
      <c r="Y21" s="156" t="s">
        <v>129</v>
      </c>
    </row>
    <row r="22" spans="1:26" ht="18" customHeight="1">
      <c r="O22" s="157"/>
      <c r="P22" s="158"/>
      <c r="Q22" s="157"/>
      <c r="R22" s="158"/>
      <c r="S22" s="127"/>
      <c r="T22" s="157"/>
      <c r="U22" s="158"/>
      <c r="V22" s="13" t="s">
        <v>122</v>
      </c>
      <c r="W22" s="197" t="s">
        <v>130</v>
      </c>
      <c r="X22" s="198"/>
      <c r="Y22" s="158"/>
    </row>
    <row r="23" spans="1:26" ht="50.1" customHeight="1">
      <c r="O23" s="14"/>
      <c r="P23" s="14"/>
      <c r="Q23" s="14"/>
      <c r="R23" s="14"/>
      <c r="S23" s="120"/>
      <c r="T23" s="14"/>
      <c r="U23" s="14"/>
      <c r="V23" s="14"/>
      <c r="W23" s="190"/>
      <c r="X23" s="191"/>
      <c r="Y23" s="128"/>
    </row>
    <row r="24" spans="1:26" ht="36" customHeight="1">
      <c r="W24" s="129"/>
      <c r="X24" s="192" t="s">
        <v>131</v>
      </c>
      <c r="Y24" s="12" t="s">
        <v>129</v>
      </c>
    </row>
    <row r="25" spans="1:26" ht="50.1" customHeight="1">
      <c r="O25" s="130"/>
      <c r="P25" s="130"/>
      <c r="Q25" s="130"/>
      <c r="R25" s="130"/>
      <c r="S25" s="130"/>
      <c r="T25" s="130"/>
      <c r="U25" s="130"/>
      <c r="V25" s="130"/>
      <c r="W25" s="131"/>
      <c r="X25" s="193"/>
      <c r="Y25" s="132"/>
    </row>
    <row r="26" spans="1:26" ht="19.899999999999999" customHeight="1"/>
    <row r="27" spans="1:26" ht="17.45" customHeight="1">
      <c r="O27" s="159"/>
      <c r="P27" s="159"/>
      <c r="Q27" s="159"/>
    </row>
    <row r="28" spans="1:26" ht="19.899999999999999" customHeight="1">
      <c r="O28" s="159"/>
      <c r="P28" s="159"/>
      <c r="Q28" s="159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6" t="s">
        <v>12</v>
      </c>
    </row>
    <row r="41" spans="15:22" ht="19.899999999999999" customHeight="1">
      <c r="T41" s="158"/>
    </row>
    <row r="42" spans="15:22" ht="64.900000000000006" customHeight="1">
      <c r="T42" s="14"/>
    </row>
    <row r="46" spans="15:22" ht="21" customHeight="1">
      <c r="O46" s="156" t="s">
        <v>12</v>
      </c>
      <c r="P46" s="156" t="s">
        <v>12</v>
      </c>
      <c r="Q46" s="156" t="s">
        <v>12</v>
      </c>
      <c r="T46" s="156" t="s">
        <v>13</v>
      </c>
      <c r="U46" s="156" t="s">
        <v>11</v>
      </c>
      <c r="V46" s="156" t="s">
        <v>12</v>
      </c>
    </row>
    <row r="47" spans="15:22" ht="21" customHeight="1">
      <c r="O47" s="158"/>
      <c r="P47" s="158"/>
      <c r="Q47" s="158"/>
      <c r="T47" s="157"/>
      <c r="U47" s="157"/>
      <c r="V47" s="15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6" t="s">
        <v>12</v>
      </c>
      <c r="P50" s="156" t="s">
        <v>12</v>
      </c>
      <c r="Q50" s="156" t="s">
        <v>12</v>
      </c>
      <c r="T50" s="156" t="s">
        <v>11</v>
      </c>
      <c r="U50" s="156" t="s">
        <v>13</v>
      </c>
      <c r="V50" s="156" t="s">
        <v>12</v>
      </c>
    </row>
    <row r="51" spans="15:22" ht="21" customHeight="1">
      <c r="O51" s="158"/>
      <c r="P51" s="158"/>
      <c r="Q51" s="158"/>
      <c r="T51" s="157"/>
      <c r="U51" s="157"/>
      <c r="V51" s="15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P21:P22"/>
    <mergeCell ref="Q21:Q22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88</v>
      </c>
      <c r="B1" s="96"/>
      <c r="C1" s="96"/>
      <c r="D1" s="96"/>
      <c r="E1" s="96"/>
      <c r="F1" s="96"/>
      <c r="G1" s="1"/>
      <c r="J1" s="171" t="str">
        <f>+MRS!J1</f>
        <v>DAESHIN PLANT</v>
      </c>
      <c r="K1" s="173"/>
    </row>
    <row r="2" spans="1:18" ht="24.95" customHeight="1">
      <c r="A2" s="3" t="str">
        <f>+MRS!A2</f>
        <v xml:space="preserve">  PJT :  SACE2           </v>
      </c>
      <c r="B2" s="97"/>
      <c r="C2" s="97"/>
      <c r="D2" s="3" t="str">
        <f>+MRS!D2</f>
        <v>Division (In charge Name) : ADMIN MANAGER (Dong Chang Kim)</v>
      </c>
      <c r="E2" s="97"/>
      <c r="F2" s="97"/>
      <c r="G2" s="16"/>
      <c r="H2" s="16"/>
      <c r="I2" s="16"/>
      <c r="J2" s="174" t="str">
        <f>+MRS!J2</f>
        <v>Subcontract name (SAC2-SC-IK-SMP-01)</v>
      </c>
      <c r="K2" s="176"/>
    </row>
    <row r="3" spans="1:18" ht="24.95" customHeight="1">
      <c r="A3" s="3" t="str">
        <f>+MRS!A3</f>
        <v xml:space="preserve">  MRS No : SAC2-DS-MRS-0401</v>
      </c>
      <c r="B3" s="97"/>
      <c r="C3" s="97"/>
      <c r="D3" s="97"/>
      <c r="E3" s="97"/>
      <c r="F3" s="97"/>
      <c r="G3" s="97"/>
      <c r="H3" s="97"/>
      <c r="I3" s="97"/>
      <c r="J3" s="97"/>
      <c r="K3" s="98">
        <f>+MRS!L3</f>
        <v>46260</v>
      </c>
    </row>
    <row r="4" spans="1:18" ht="15.95" customHeight="1">
      <c r="A4" s="209" t="s">
        <v>2</v>
      </c>
      <c r="B4" s="210" t="s">
        <v>14</v>
      </c>
      <c r="C4" s="210"/>
      <c r="D4" s="209" t="s">
        <v>4</v>
      </c>
      <c r="E4" s="209"/>
      <c r="F4" s="209"/>
      <c r="G4" s="210" t="s">
        <v>5</v>
      </c>
      <c r="H4" s="209" t="s">
        <v>82</v>
      </c>
      <c r="I4" s="209" t="s">
        <v>15</v>
      </c>
      <c r="J4" s="209" t="s">
        <v>16</v>
      </c>
      <c r="K4" s="210" t="s">
        <v>7</v>
      </c>
    </row>
    <row r="5" spans="1:18" ht="15.95" customHeight="1">
      <c r="A5" s="209"/>
      <c r="B5" s="210"/>
      <c r="C5" s="210"/>
      <c r="D5" s="209"/>
      <c r="E5" s="209"/>
      <c r="F5" s="209"/>
      <c r="G5" s="210"/>
      <c r="H5" s="209"/>
      <c r="I5" s="209"/>
      <c r="J5" s="209"/>
      <c r="K5" s="210"/>
    </row>
    <row r="6" spans="1:18" ht="105" customHeight="1">
      <c r="A6" s="17">
        <f>+MRS!A6</f>
        <v>1</v>
      </c>
      <c r="B6" s="204" t="str">
        <f>MRS!B6</f>
        <v>Work Permit Receiver</v>
      </c>
      <c r="C6" s="205"/>
      <c r="D6" s="206" t="str">
        <f>MRS!D6</f>
        <v xml:space="preserve">Aramco Approved </v>
      </c>
      <c r="E6" s="207"/>
      <c r="F6" s="208"/>
      <c r="G6" s="99" t="str">
        <f>MRS!G6</f>
        <v>Hour</v>
      </c>
      <c r="H6" s="99">
        <f>MRS!H6</f>
        <v>1</v>
      </c>
      <c r="I6" s="100">
        <f>MRS!I6</f>
        <v>45</v>
      </c>
      <c r="J6" s="100">
        <f>MRS!J6</f>
        <v>45</v>
      </c>
      <c r="K6" s="101"/>
      <c r="O6" s="102"/>
      <c r="P6" s="102"/>
      <c r="R6" s="102"/>
    </row>
    <row r="7" spans="1:18" ht="105" customHeight="1">
      <c r="A7" s="17">
        <f>+MRS!A7</f>
        <v>2</v>
      </c>
      <c r="B7" s="204">
        <f>MRS!B7</f>
        <v>0</v>
      </c>
      <c r="C7" s="205"/>
      <c r="D7" s="206">
        <f>MRS!D7</f>
        <v>0</v>
      </c>
      <c r="E7" s="207"/>
      <c r="F7" s="208"/>
      <c r="G7" s="99">
        <f>MRS!G7</f>
        <v>0</v>
      </c>
      <c r="H7" s="99">
        <f>MRS!H7</f>
        <v>0</v>
      </c>
      <c r="I7" s="100">
        <f>MRS!I7</f>
        <v>0</v>
      </c>
      <c r="J7" s="100">
        <f>MRS!J7</f>
        <v>0</v>
      </c>
      <c r="K7" s="101"/>
      <c r="O7" s="102"/>
      <c r="P7" s="102"/>
      <c r="R7" s="102"/>
    </row>
    <row r="8" spans="1:18" ht="105" customHeight="1">
      <c r="A8" s="17">
        <f>+MRS!A8</f>
        <v>3</v>
      </c>
      <c r="B8" s="204">
        <f>MRS!B8</f>
        <v>0</v>
      </c>
      <c r="C8" s="205"/>
      <c r="D8" s="206">
        <f>MRS!D8</f>
        <v>0</v>
      </c>
      <c r="E8" s="207"/>
      <c r="F8" s="208"/>
      <c r="G8" s="99">
        <f>MRS!G8</f>
        <v>0</v>
      </c>
      <c r="H8" s="99">
        <f>MRS!H8</f>
        <v>0</v>
      </c>
      <c r="I8" s="100">
        <f>MRS!I8</f>
        <v>0</v>
      </c>
      <c r="J8" s="100">
        <f>MRS!J8</f>
        <v>0</v>
      </c>
      <c r="K8" s="101"/>
      <c r="O8" s="102"/>
      <c r="P8" s="102"/>
      <c r="R8" s="102"/>
    </row>
    <row r="9" spans="1:18" ht="105" customHeight="1">
      <c r="A9" s="17">
        <f>+MRS!A9</f>
        <v>4</v>
      </c>
      <c r="B9" s="204">
        <f>MRS!B9</f>
        <v>0</v>
      </c>
      <c r="C9" s="205"/>
      <c r="D9" s="206">
        <f>MRS!D9</f>
        <v>0</v>
      </c>
      <c r="E9" s="207"/>
      <c r="F9" s="208"/>
      <c r="G9" s="99">
        <f>MRS!G9</f>
        <v>0</v>
      </c>
      <c r="H9" s="99">
        <f>MRS!H9</f>
        <v>0</v>
      </c>
      <c r="I9" s="100">
        <f>MRS!I9</f>
        <v>0</v>
      </c>
      <c r="J9" s="100">
        <f>MRS!J9</f>
        <v>0</v>
      </c>
      <c r="K9" s="101"/>
      <c r="O9" s="102"/>
      <c r="P9" s="102"/>
      <c r="R9" s="102"/>
    </row>
    <row r="10" spans="1:18" ht="105" customHeight="1">
      <c r="A10" s="17">
        <f>+MRS!A10</f>
        <v>5</v>
      </c>
      <c r="B10" s="204">
        <f>MRS!B10</f>
        <v>0</v>
      </c>
      <c r="C10" s="205"/>
      <c r="D10" s="206">
        <f>MRS!D10</f>
        <v>0</v>
      </c>
      <c r="E10" s="207"/>
      <c r="F10" s="208"/>
      <c r="G10" s="99">
        <f>MRS!G10</f>
        <v>0</v>
      </c>
      <c r="H10" s="99">
        <f>MRS!H10</f>
        <v>0</v>
      </c>
      <c r="I10" s="100">
        <f>MRS!I10</f>
        <v>0</v>
      </c>
      <c r="J10" s="100">
        <f>MRS!J10</f>
        <v>0</v>
      </c>
      <c r="K10" s="101"/>
      <c r="O10" s="102"/>
      <c r="P10" s="102"/>
      <c r="R10" s="102"/>
    </row>
    <row r="11" spans="1:18" ht="105" customHeight="1">
      <c r="A11" s="17">
        <f>+MRS!A11</f>
        <v>6</v>
      </c>
      <c r="B11" s="204">
        <f>MRS!B11</f>
        <v>0</v>
      </c>
      <c r="C11" s="205"/>
      <c r="D11" s="206">
        <f>MRS!D11</f>
        <v>0</v>
      </c>
      <c r="E11" s="207"/>
      <c r="F11" s="208"/>
      <c r="G11" s="99">
        <f>MRS!G11</f>
        <v>0</v>
      </c>
      <c r="H11" s="99">
        <f>MRS!H11</f>
        <v>0</v>
      </c>
      <c r="I11" s="100">
        <f>MRS!I11</f>
        <v>0</v>
      </c>
      <c r="J11" s="100">
        <f>MRS!J11</f>
        <v>0</v>
      </c>
      <c r="K11" s="101"/>
      <c r="O11" s="102"/>
      <c r="P11" s="102"/>
      <c r="R11" s="102"/>
    </row>
    <row r="12" spans="1:18" ht="105" customHeight="1">
      <c r="A12" s="17">
        <f>+MRS!A12</f>
        <v>7</v>
      </c>
      <c r="B12" s="199"/>
      <c r="C12" s="200"/>
      <c r="D12" s="201"/>
      <c r="E12" s="202"/>
      <c r="F12" s="203"/>
      <c r="G12" s="103"/>
      <c r="H12" s="104"/>
      <c r="I12" s="105"/>
      <c r="J12" s="105"/>
      <c r="K12" s="101"/>
      <c r="O12" s="102"/>
      <c r="P12" s="102"/>
      <c r="R12" s="102"/>
    </row>
    <row r="13" spans="1:18" ht="105" customHeight="1">
      <c r="A13" s="17">
        <f>+MRS!A13</f>
        <v>8</v>
      </c>
      <c r="B13" s="199"/>
      <c r="C13" s="200"/>
      <c r="D13" s="201"/>
      <c r="E13" s="202"/>
      <c r="F13" s="203"/>
      <c r="G13" s="103"/>
      <c r="H13" s="104"/>
      <c r="I13" s="105"/>
      <c r="J13" s="105"/>
      <c r="K13" s="101"/>
      <c r="O13" s="102"/>
      <c r="P13" s="102"/>
      <c r="R13" s="102"/>
    </row>
    <row r="14" spans="1:18" ht="105" customHeight="1">
      <c r="A14" s="17">
        <f>+MRS!A14</f>
        <v>9</v>
      </c>
      <c r="B14" s="199"/>
      <c r="C14" s="200"/>
      <c r="D14" s="201"/>
      <c r="E14" s="202"/>
      <c r="F14" s="203"/>
      <c r="G14" s="103"/>
      <c r="H14" s="104"/>
      <c r="I14" s="105"/>
      <c r="J14" s="105"/>
      <c r="K14" s="101"/>
      <c r="O14" s="102"/>
      <c r="P14" s="102"/>
      <c r="R14" s="102"/>
    </row>
    <row r="15" spans="1:18" ht="105" customHeight="1">
      <c r="A15" s="17">
        <f>+MRS!A15</f>
        <v>10</v>
      </c>
      <c r="B15" s="199"/>
      <c r="C15" s="200"/>
      <c r="D15" s="201"/>
      <c r="E15" s="202"/>
      <c r="F15" s="203"/>
      <c r="G15" s="103"/>
      <c r="H15" s="104"/>
      <c r="I15" s="105"/>
      <c r="J15" s="105"/>
      <c r="K15" s="101"/>
      <c r="O15" s="102"/>
      <c r="P15" s="102"/>
      <c r="R15" s="102"/>
    </row>
    <row r="16" spans="1:18" ht="105" customHeight="1">
      <c r="A16" s="17" t="e">
        <f>+MRS!#REF!</f>
        <v>#REF!</v>
      </c>
      <c r="B16" s="199"/>
      <c r="C16" s="200"/>
      <c r="D16" s="201"/>
      <c r="E16" s="202"/>
      <c r="F16" s="203"/>
      <c r="G16" s="103"/>
      <c r="H16" s="104"/>
      <c r="I16" s="105"/>
      <c r="J16" s="105"/>
      <c r="K16" s="101"/>
      <c r="O16" s="102"/>
      <c r="P16" s="102"/>
      <c r="R16" s="102"/>
    </row>
    <row r="17" spans="1:18" ht="105" customHeight="1">
      <c r="A17" s="17" t="e">
        <f>+MRS!#REF!</f>
        <v>#REF!</v>
      </c>
      <c r="B17" s="199"/>
      <c r="C17" s="200"/>
      <c r="D17" s="201"/>
      <c r="E17" s="202"/>
      <c r="F17" s="203"/>
      <c r="G17" s="103"/>
      <c r="H17" s="104"/>
      <c r="I17" s="105"/>
      <c r="J17" s="105"/>
      <c r="K17" s="101"/>
      <c r="O17" s="102"/>
      <c r="P17" s="102"/>
      <c r="R17" s="102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48" zoomScale="130" zoomScaleNormal="100" zoomScaleSheetLayoutView="130" workbookViewId="0">
      <selection activeCell="G74" sqref="G74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93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134</v>
      </c>
      <c r="D9" s="35"/>
      <c r="E9" s="35"/>
    </row>
    <row r="10" spans="2:13" s="35" customFormat="1">
      <c r="B10" s="68"/>
      <c r="C10" s="35" t="s">
        <v>23</v>
      </c>
      <c r="D10" s="72" t="s">
        <v>94</v>
      </c>
      <c r="J10" s="35" t="s">
        <v>24</v>
      </c>
      <c r="K10" s="211">
        <f>MRS!L3</f>
        <v>46260</v>
      </c>
      <c r="L10" s="212"/>
      <c r="M10" s="212"/>
    </row>
    <row r="11" spans="2:13" s="35" customFormat="1">
      <c r="B11" s="68"/>
      <c r="C11" s="71" t="s">
        <v>25</v>
      </c>
      <c r="D11" s="72" t="s">
        <v>95</v>
      </c>
      <c r="J11" s="35" t="s">
        <v>26</v>
      </c>
      <c r="K11" s="213" t="str">
        <f>SUBSTITUTE(SUBSTITUTE(+MRS!A3,"  MRS No : ",""),"-MRS","-PO")</f>
        <v>SAC2-DS-PO-0401</v>
      </c>
      <c r="L11" s="213"/>
      <c r="M11" s="213"/>
    </row>
    <row r="12" spans="2:13" s="35" customFormat="1">
      <c r="B12" s="68"/>
      <c r="C12" s="71" t="s">
        <v>27</v>
      </c>
      <c r="D12" s="35" t="s">
        <v>96</v>
      </c>
      <c r="J12" s="35" t="s">
        <v>28</v>
      </c>
    </row>
    <row r="13" spans="2:13" s="35" customFormat="1">
      <c r="B13" s="68"/>
      <c r="C13" s="73"/>
      <c r="D13" s="72" t="s">
        <v>97</v>
      </c>
      <c r="J13" s="35" t="s">
        <v>29</v>
      </c>
    </row>
    <row r="14" spans="2:13" s="35" customFormat="1">
      <c r="B14" s="68"/>
      <c r="C14" s="73" t="s">
        <v>98</v>
      </c>
      <c r="J14" s="35" t="s">
        <v>30</v>
      </c>
      <c r="K14" s="35" t="s">
        <v>119</v>
      </c>
    </row>
    <row r="15" spans="2:13" s="35" customFormat="1">
      <c r="B15" s="68"/>
      <c r="C15" s="73" t="s">
        <v>99</v>
      </c>
      <c r="J15" s="35" t="s">
        <v>31</v>
      </c>
      <c r="K15" s="74">
        <v>46242</v>
      </c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214" t="s">
        <v>32</v>
      </c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</row>
    <row r="19" spans="2:13" ht="12" customHeight="1"/>
    <row r="20" spans="2:13" s="27" customFormat="1" ht="12" customHeight="1">
      <c r="B20" s="215" t="s">
        <v>33</v>
      </c>
      <c r="C20" s="215"/>
      <c r="D20" s="215"/>
      <c r="E20" s="215"/>
      <c r="F20" s="215"/>
      <c r="G20" s="215"/>
      <c r="H20" s="215"/>
      <c r="I20" s="215"/>
      <c r="J20" s="215"/>
      <c r="K20" s="215"/>
      <c r="L20" s="215"/>
      <c r="M20" s="215"/>
    </row>
    <row r="21" spans="2:13" s="27" customFormat="1" ht="12" customHeight="1">
      <c r="B21" s="215" t="s">
        <v>34</v>
      </c>
      <c r="C21" s="215"/>
      <c r="D21" s="215"/>
      <c r="E21" s="215"/>
      <c r="F21" s="215"/>
      <c r="G21" s="215"/>
      <c r="H21" s="215"/>
      <c r="I21" s="215"/>
      <c r="J21" s="215"/>
      <c r="K21" s="215"/>
      <c r="L21" s="215"/>
      <c r="M21" s="215"/>
    </row>
    <row r="22" spans="2:13" s="27" customFormat="1" ht="12" customHeight="1">
      <c r="B22" s="215" t="s">
        <v>35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</row>
    <row r="23" spans="2:13" ht="6.95" customHeight="1"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</row>
    <row r="24" spans="2:13" ht="6.95" customHeight="1">
      <c r="B24" s="217"/>
      <c r="C24" s="217"/>
      <c r="D24" s="217"/>
      <c r="E24" s="217"/>
      <c r="F24" s="217"/>
      <c r="G24" s="217"/>
      <c r="H24" s="217"/>
      <c r="I24" s="217"/>
      <c r="J24" s="217"/>
      <c r="K24" s="217"/>
      <c r="L24" s="217"/>
      <c r="M24" s="217"/>
    </row>
    <row r="25" spans="2:13" s="28" customFormat="1" ht="15" customHeight="1">
      <c r="B25" s="28">
        <v>1</v>
      </c>
      <c r="C25" s="28" t="s">
        <v>36</v>
      </c>
    </row>
    <row r="26" spans="2:13" s="35" customFormat="1" ht="12" customHeight="1">
      <c r="B26" s="69"/>
      <c r="C26" s="72" t="str">
        <f>MRS!B6&amp;" "&amp;MRS!D6</f>
        <v xml:space="preserve">Work Permit Receiver Aramco Approved </v>
      </c>
      <c r="M26" s="75" t="s">
        <v>37</v>
      </c>
    </row>
    <row r="27" spans="2:13" ht="12" customHeight="1">
      <c r="B27" s="28"/>
      <c r="C27" s="119"/>
    </row>
    <row r="28" spans="2:13" ht="15" customHeight="1">
      <c r="B28" s="28">
        <v>2</v>
      </c>
      <c r="C28" s="28" t="s">
        <v>38</v>
      </c>
    </row>
    <row r="29" spans="2:13" ht="12" customHeight="1">
      <c r="B29" s="28"/>
      <c r="C29" s="22" t="s">
        <v>39</v>
      </c>
      <c r="E29" s="22" t="s">
        <v>40</v>
      </c>
      <c r="F29" s="218" t="s">
        <v>91</v>
      </c>
      <c r="G29" s="218"/>
      <c r="H29" s="29"/>
      <c r="M29" s="30"/>
    </row>
    <row r="30" spans="2:13" ht="12" customHeight="1">
      <c r="B30" s="28"/>
      <c r="C30" s="22" t="s">
        <v>41</v>
      </c>
      <c r="E30" s="22" t="s">
        <v>40</v>
      </c>
      <c r="F30" s="218"/>
      <c r="G30" s="218"/>
    </row>
    <row r="31" spans="2:13" ht="12" customHeight="1">
      <c r="B31" s="28"/>
      <c r="C31" s="22" t="s">
        <v>42</v>
      </c>
      <c r="D31" s="31"/>
      <c r="E31" s="22" t="s">
        <v>40</v>
      </c>
      <c r="F31" s="218"/>
      <c r="G31" s="218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2" t="s">
        <v>50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51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52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53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54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5" customFormat="1" ht="12" customHeight="1">
      <c r="B49" s="76" t="s">
        <v>56</v>
      </c>
      <c r="C49" s="77" t="s">
        <v>84</v>
      </c>
      <c r="P49" s="78"/>
    </row>
    <row r="50" spans="2:16" s="79" customFormat="1" ht="12" customHeight="1">
      <c r="B50" s="80" t="s">
        <v>56</v>
      </c>
      <c r="C50" s="77" t="s">
        <v>85</v>
      </c>
    </row>
    <row r="51" spans="2:16" s="79" customFormat="1" ht="12" customHeight="1">
      <c r="B51" s="80" t="s">
        <v>56</v>
      </c>
      <c r="C51" s="77" t="s">
        <v>83</v>
      </c>
    </row>
    <row r="52" spans="2:16" s="79" customFormat="1" ht="4.5" customHeight="1">
      <c r="B52" s="80"/>
      <c r="C52" s="77"/>
    </row>
    <row r="53" spans="2:16" ht="15" customHeight="1">
      <c r="B53" s="38">
        <v>7</v>
      </c>
      <c r="C53" s="28" t="s">
        <v>101</v>
      </c>
    </row>
    <row r="54" spans="2:16" ht="12" customHeight="1">
      <c r="B54" s="80" t="s">
        <v>56</v>
      </c>
      <c r="C54" s="121" t="s">
        <v>102</v>
      </c>
      <c r="F54" s="122" t="s">
        <v>132</v>
      </c>
      <c r="P54" s="22" t="str">
        <f>UPPER(F54)</f>
        <v>GHANIM QASSIM ALJARUDI CONTN EST</v>
      </c>
    </row>
    <row r="55" spans="2:16" ht="12" customHeight="1">
      <c r="B55" s="80" t="s">
        <v>56</v>
      </c>
      <c r="C55" s="121" t="s">
        <v>103</v>
      </c>
      <c r="F55" s="122" t="s">
        <v>113</v>
      </c>
    </row>
    <row r="56" spans="2:16" ht="12" customHeight="1">
      <c r="B56" s="80" t="s">
        <v>56</v>
      </c>
      <c r="C56" s="121" t="s">
        <v>104</v>
      </c>
      <c r="F56" s="122" t="s">
        <v>112</v>
      </c>
    </row>
    <row r="57" spans="2:16" ht="12" customHeight="1">
      <c r="B57" s="80" t="s">
        <v>56</v>
      </c>
      <c r="C57" s="121" t="s">
        <v>105</v>
      </c>
      <c r="F57" s="22" t="s">
        <v>106</v>
      </c>
    </row>
    <row r="58" spans="2:16" ht="12" customHeight="1">
      <c r="B58" s="80" t="s">
        <v>56</v>
      </c>
      <c r="C58" s="121" t="s">
        <v>107</v>
      </c>
      <c r="F58" s="22" t="s">
        <v>108</v>
      </c>
    </row>
    <row r="59" spans="2:16" ht="12" customHeight="1">
      <c r="B59" s="80" t="s">
        <v>56</v>
      </c>
      <c r="C59" s="121" t="s">
        <v>109</v>
      </c>
      <c r="F59" s="22" t="s">
        <v>110</v>
      </c>
    </row>
    <row r="60" spans="2:16" ht="12" customHeight="1">
      <c r="B60" s="80"/>
      <c r="C60" s="123" t="s">
        <v>111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57</v>
      </c>
      <c r="J64" s="28" t="s">
        <v>58</v>
      </c>
    </row>
    <row r="65" spans="1:13" ht="50.1" customHeight="1"/>
    <row r="66" spans="1:13" ht="18" customHeight="1">
      <c r="B66" s="22" t="s">
        <v>59</v>
      </c>
      <c r="J66" s="22" t="s">
        <v>59</v>
      </c>
    </row>
    <row r="67" spans="1:13" ht="18" customHeight="1">
      <c r="B67" s="22" t="s">
        <v>60</v>
      </c>
      <c r="J67" s="22" t="s">
        <v>61</v>
      </c>
      <c r="K67" s="18" t="str">
        <f>D12</f>
        <v>Abdul Rauf</v>
      </c>
    </row>
    <row r="68" spans="1:13" ht="18" customHeight="1">
      <c r="B68" s="22" t="s">
        <v>62</v>
      </c>
      <c r="J68" s="22" t="s">
        <v>63</v>
      </c>
      <c r="K68" s="18" t="s">
        <v>100</v>
      </c>
    </row>
    <row r="69" spans="1:13" ht="15" customHeight="1">
      <c r="B69" s="22" t="s">
        <v>64</v>
      </c>
      <c r="J69" s="22" t="s">
        <v>65</v>
      </c>
    </row>
    <row r="70" spans="1:13" s="24" customFormat="1" ht="24.75" customHeight="1">
      <c r="B70" s="21" t="s">
        <v>92</v>
      </c>
      <c r="J70" s="219" t="str">
        <f>C9</f>
        <v>GHANIM(Ghanim Qassim Al Jarudi Est.)</v>
      </c>
      <c r="K70" s="219"/>
      <c r="L70" s="219"/>
      <c r="M70" s="219"/>
    </row>
    <row r="71" spans="1:13" ht="27.95" customHeight="1">
      <c r="A71" s="137" t="s">
        <v>66</v>
      </c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N12" sqref="N12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SAC2-DS-PO-0401</v>
      </c>
      <c r="C2" s="142" t="s">
        <v>68</v>
      </c>
      <c r="D2" s="142"/>
      <c r="E2" s="142"/>
      <c r="F2" s="142"/>
      <c r="G2" s="44"/>
      <c r="H2" s="44"/>
    </row>
    <row r="3" spans="1:13" s="50" customFormat="1" ht="28.5" customHeight="1" thickBot="1">
      <c r="A3" s="45" t="s">
        <v>69</v>
      </c>
      <c r="B3" s="46">
        <f>+'PO 1st page'!K10</f>
        <v>46260</v>
      </c>
      <c r="C3" s="47"/>
      <c r="D3" s="48"/>
      <c r="E3" s="143" t="s">
        <v>70</v>
      </c>
      <c r="F3" s="143"/>
      <c r="G3" s="143"/>
      <c r="H3" s="143"/>
      <c r="I3" s="49"/>
    </row>
    <row r="4" spans="1:13" s="51" customFormat="1" ht="28.5" customHeight="1" thickTop="1">
      <c r="A4" s="144" t="s">
        <v>71</v>
      </c>
      <c r="B4" s="146" t="s">
        <v>72</v>
      </c>
      <c r="C4" s="147"/>
      <c r="D4" s="150" t="s">
        <v>73</v>
      </c>
      <c r="E4" s="150" t="s">
        <v>74</v>
      </c>
      <c r="F4" s="152" t="str">
        <f>'PO 1st page'!C9</f>
        <v>GHANIM(Ghanim Qassim Al Jarudi Est.)</v>
      </c>
      <c r="G4" s="153"/>
      <c r="H4" s="154" t="s">
        <v>75</v>
      </c>
      <c r="K4" s="52"/>
      <c r="L4" s="52"/>
      <c r="M4" s="52"/>
    </row>
    <row r="5" spans="1:13" s="51" customFormat="1" ht="21.95" customHeight="1">
      <c r="A5" s="145"/>
      <c r="B5" s="148"/>
      <c r="C5" s="149"/>
      <c r="D5" s="151"/>
      <c r="E5" s="151"/>
      <c r="F5" s="53" t="s">
        <v>76</v>
      </c>
      <c r="G5" s="53" t="s">
        <v>42</v>
      </c>
      <c r="H5" s="155"/>
      <c r="K5" s="52"/>
      <c r="L5" s="52"/>
      <c r="M5" s="52"/>
    </row>
    <row r="6" spans="1:13" s="51" customFormat="1" ht="32.1" customHeight="1">
      <c r="A6" s="81">
        <f t="shared" ref="A6:A17" si="0">ROW(A1)</f>
        <v>1</v>
      </c>
      <c r="B6" s="140" t="str">
        <f>CONCATENATE(MRS!B6," ",MRS!D6)</f>
        <v xml:space="preserve">Work Permit Receiver Aramco Approved </v>
      </c>
      <c r="C6" s="141"/>
      <c r="D6" s="82" t="str">
        <f>+'MRS LIST'!G6</f>
        <v>Hour</v>
      </c>
      <c r="E6" s="83">
        <f>+'MRS LIST'!H6</f>
        <v>1</v>
      </c>
      <c r="F6" s="84">
        <f>+'MRS LIST'!I6</f>
        <v>45</v>
      </c>
      <c r="G6" s="85">
        <f>+'MRS LIST'!J6</f>
        <v>45</v>
      </c>
      <c r="H6" s="86" t="str">
        <f>MRS!L6</f>
        <v>Monthly Based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140"/>
      <c r="C7" s="141"/>
      <c r="D7" s="82"/>
      <c r="E7" s="83"/>
      <c r="F7" s="84"/>
      <c r="G7" s="85"/>
      <c r="H7" s="86"/>
      <c r="K7" s="87"/>
      <c r="L7" s="88"/>
      <c r="M7" s="52"/>
    </row>
    <row r="8" spans="1:13" s="51" customFormat="1" ht="32.1" customHeight="1">
      <c r="A8" s="89">
        <f t="shared" si="0"/>
        <v>3</v>
      </c>
      <c r="B8" s="140"/>
      <c r="C8" s="141"/>
      <c r="D8" s="82"/>
      <c r="E8" s="83"/>
      <c r="F8" s="84"/>
      <c r="G8" s="85"/>
      <c r="H8" s="94"/>
      <c r="K8" s="52"/>
      <c r="L8" s="52"/>
      <c r="M8" s="52"/>
    </row>
    <row r="9" spans="1:13" s="51" customFormat="1" ht="32.1" customHeight="1">
      <c r="A9" s="89">
        <f t="shared" si="0"/>
        <v>4</v>
      </c>
      <c r="B9" s="140"/>
      <c r="C9" s="141"/>
      <c r="D9" s="82"/>
      <c r="E9" s="83"/>
      <c r="F9" s="84"/>
      <c r="G9" s="85"/>
      <c r="H9" s="94"/>
    </row>
    <row r="10" spans="1:13" s="51" customFormat="1" ht="32.1" customHeight="1">
      <c r="A10" s="89">
        <f t="shared" si="0"/>
        <v>5</v>
      </c>
      <c r="B10" s="140"/>
      <c r="C10" s="141"/>
      <c r="D10" s="82"/>
      <c r="E10" s="83"/>
      <c r="F10" s="84"/>
      <c r="G10" s="85"/>
      <c r="H10" s="94"/>
    </row>
    <row r="11" spans="1:13" s="51" customFormat="1" ht="32.1" customHeight="1">
      <c r="A11" s="89">
        <f t="shared" si="0"/>
        <v>6</v>
      </c>
      <c r="B11" s="140"/>
      <c r="C11" s="141"/>
      <c r="D11" s="82"/>
      <c r="E11" s="83"/>
      <c r="F11" s="84"/>
      <c r="G11" s="85"/>
      <c r="H11" s="94"/>
    </row>
    <row r="12" spans="1:13" s="51" customFormat="1" ht="32.1" customHeight="1">
      <c r="A12" s="89">
        <f t="shared" si="0"/>
        <v>7</v>
      </c>
      <c r="B12" s="138"/>
      <c r="C12" s="139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138"/>
      <c r="C13" s="139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138"/>
      <c r="C14" s="139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138"/>
      <c r="C15" s="139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138"/>
      <c r="C16" s="139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138"/>
      <c r="C17" s="139"/>
      <c r="D17" s="90"/>
      <c r="E17" s="91"/>
      <c r="F17" s="92"/>
      <c r="G17" s="93"/>
      <c r="H17" s="94"/>
    </row>
    <row r="18" spans="1:13" s="51" customFormat="1" ht="23.1" customHeight="1">
      <c r="A18" s="133" t="s">
        <v>77</v>
      </c>
      <c r="B18" s="134"/>
      <c r="C18" s="134"/>
      <c r="D18" s="134"/>
      <c r="E18" s="134"/>
      <c r="F18" s="134"/>
      <c r="G18" s="54">
        <f>SUM(G6:G17)</f>
        <v>45</v>
      </c>
      <c r="H18" s="55"/>
    </row>
    <row r="19" spans="1:13" s="51" customFormat="1" ht="23.1" customHeight="1">
      <c r="A19" s="133" t="s">
        <v>41</v>
      </c>
      <c r="B19" s="134"/>
      <c r="C19" s="134"/>
      <c r="D19" s="134"/>
      <c r="E19" s="134"/>
      <c r="F19" s="134"/>
      <c r="G19" s="54">
        <f>+G18*0.15</f>
        <v>6.75</v>
      </c>
      <c r="H19" s="55"/>
    </row>
    <row r="20" spans="1:13" s="51" customFormat="1" ht="24.95" customHeight="1" thickBot="1">
      <c r="A20" s="135" t="s">
        <v>78</v>
      </c>
      <c r="B20" s="136"/>
      <c r="C20" s="136"/>
      <c r="D20" s="136"/>
      <c r="E20" s="136"/>
      <c r="F20" s="136"/>
      <c r="G20" s="56">
        <f>G19+G18</f>
        <v>51.75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JRD-2026-2152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79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37" t="s">
        <v>80</v>
      </c>
      <c r="B24" s="137"/>
      <c r="C24" s="137"/>
      <c r="D24" s="137"/>
      <c r="E24" s="137"/>
      <c r="F24" s="137"/>
      <c r="G24" s="137"/>
      <c r="H24" s="137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2026-08-31T05:48:57Z</cp:lastPrinted>
  <dcterms:created xsi:type="dcterms:W3CDTF">2024-10-20T11:50:19Z</dcterms:created>
  <dcterms:modified xsi:type="dcterms:W3CDTF">2026-08-31T05:51:45Z</dcterms:modified>
</cp:coreProperties>
</file>