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2F0AAC87-FA1A-45ED-8A4A-06E6516E1679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2"/>
  <c r="J10" i="2"/>
  <c r="J9" i="2"/>
  <c r="J8" i="2"/>
  <c r="K59" i="3"/>
  <c r="E3" i="1"/>
  <c r="H7" i="2"/>
  <c r="G7" i="2"/>
  <c r="D7" i="2"/>
  <c r="B7" i="2"/>
  <c r="J6" i="1" l="1"/>
  <c r="J16" i="1" s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<sst xmlns="http://schemas.openxmlformats.org/spreadsheetml/2006/main" count="154" uniqueCount="120">
  <si>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</si>
  <si>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</si>
  <si>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</si>
  <si>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</si>
  <si>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</si>
  <si>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</si>
  <si>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</si>
  <si>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</si>
  <si>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</si>
  <si>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</si>
  <si>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</si>
  <si>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</si>
  <si>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</si>
  <si>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</si>
  <si>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</si>
  <si>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</si>
  <si>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</si>
  <si>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</si>
  <si>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</si>
  <si>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</si>
  <si>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</si>
  <si>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</si>
  <si>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</si>
  <si>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</si>
  <si>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</si>
  <si>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</si>
  <si>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</si>
  <si>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</si>
  <si>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</si>
  <si>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</si>
  <si>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</si>
  <si>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</si>
  <si>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</si>
  <si>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</si>
  <si>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</si>
  <si>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</si>
  <si>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</si>
  <si>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</si>
  <si>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</si>
  <si>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</si>
  <si>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</si>
  <si>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</si>
  <si>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</si>
  <si>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</si>
  <si>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</si>
  <si>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</si>
  <si>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</si>
  <si>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</si>
  <si>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</si>
  <si>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</si>
  <si>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</si>
  <si>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</si>
  <si>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</si>
  <si>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</si>
  <si>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</si>
  <si>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</si>
  <si>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</si>
  <si>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</si>
  <si>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</si>
  <si>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</si>
  <si>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</si>
  <si>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</si>
  <si>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</si>
  <si>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</si>
  <si>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</si>
  <si>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</si>
  <si>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</si>
  <si>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</si>
  <si>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</si>
  <si>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</si>
  <si>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</si>
  <si>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</si>
  <si>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</si>
  <si>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</si>
  <si>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</si>
  <si>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</si>
  <si>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</si>
  <si>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</si>
  <si>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</si>
  <si>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</si>
  <si>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</si>
  <si>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</si>
  <si>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</si>
  <si>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</si>
  <si>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</si>
  <si>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</si>
  <si>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</si>
  <si>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</si>
  <si>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</si>
  <si>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</si>
  <si>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</si>
  <si>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</si>
  <si>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</si>
  <si>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</si>
  <si>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</si>
  <si>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</si>
  <si>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</si>
  <si>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</si>
  <si>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</si>
  <si>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</si>
  <si>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</si>
  <si>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HYUNDAI ENG. &amp; CONST. CO., LTD.</t>
  </si>
  <si>
    <t>Hyundai Engineering and Const. Co., Ltd. (HDEC)</t>
  </si>
  <si>
    <t>WQT PQR, RT Services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</si>
  <si>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-MRS-0073</t>
    </r>
  </si>
  <si>
    <t>Rigger Level 3</t>
  </si>
  <si>
    <t>Aramco Certified</t>
  </si>
  <si>
    <t>Hr</t>
  </si>
  <si>
    <t>MAC</t>
  </si>
  <si>
    <t>Hourly Based</t>
  </si>
  <si>
    <t>MAC(Mayar Al-Amin Gen. Cont. Est (MAC)</t>
  </si>
  <si>
    <t>2055129247</t>
  </si>
  <si>
    <t>310790519100003</t>
  </si>
  <si>
    <t>Rahman</t>
  </si>
  <si>
    <t>+966 53 8994647 / Email:adnanjahid321@gmail.com</t>
  </si>
  <si>
    <t>Mobile : +966 53 8994647 / +966 50 5932407</t>
  </si>
  <si>
    <t>Bldg.4262 King Saud, An Nawras , Al Jubail, KSA</t>
  </si>
  <si>
    <t>MAC-EQTN-2023-11670</t>
  </si>
  <si>
    <t>Business Coordinator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</si>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</sst>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2" fillId="0" borderId="8" xfId="0" quotePrefix="1" applyFont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D21" sqref="D2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1" t="s">
        <v>90</v>
      </c>
      <c r="K1" s="142"/>
      <c r="L1" s="143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44" t="s">
        <v>97</v>
      </c>
      <c r="K2" s="145"/>
      <c r="L2" s="146"/>
    </row>
    <row r="3" spans="1:19" ht="20.100000000000001" customHeight="1">
      <c r="A3" s="3" t="s">
        <v>104</v>
      </c>
      <c r="B3" s="100"/>
      <c r="C3" s="100"/>
      <c r="D3" s="100"/>
      <c r="E3" s="147">
        <f>+L3</f>
        <v>45789</v>
      </c>
      <c r="F3" s="147"/>
      <c r="G3" s="147"/>
      <c r="H3" s="147"/>
      <c r="I3" s="147"/>
      <c r="J3" s="100"/>
      <c r="K3" s="100"/>
      <c r="L3" s="121">
        <v>45789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94</v>
      </c>
      <c r="J4" s="148" t="s">
        <v>95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1.75" customHeight="1">
      <c r="A6" s="5">
        <f t="shared" ref="A6:A15" si="0">ROW(A1)</f>
        <v>1</v>
      </c>
      <c r="B6" s="130" t="s">
        <v>105</v>
      </c>
      <c r="C6" s="131"/>
      <c r="D6" s="132" t="s">
        <v>106</v>
      </c>
      <c r="E6" s="133"/>
      <c r="F6" s="134"/>
      <c r="G6" s="110" t="s">
        <v>107</v>
      </c>
      <c r="H6" s="111">
        <v>1</v>
      </c>
      <c r="I6" s="112">
        <v>65</v>
      </c>
      <c r="J6" s="112">
        <f>H6*I6</f>
        <v>65</v>
      </c>
      <c r="K6" s="113" t="s">
        <v>108</v>
      </c>
      <c r="L6" s="125" t="s">
        <v>109</v>
      </c>
      <c r="S6" s="105"/>
    </row>
    <row r="7" spans="1:19" ht="21.75" customHeight="1">
      <c r="A7" s="5">
        <f t="shared" si="0"/>
        <v>2</v>
      </c>
      <c r="B7" s="130"/>
      <c r="C7" s="131"/>
      <c r="D7" s="132"/>
      <c r="E7" s="133"/>
      <c r="F7" s="134"/>
      <c r="G7" s="110"/>
      <c r="H7" s="111"/>
      <c r="I7" s="112"/>
      <c r="J7" s="112"/>
      <c r="K7" s="113"/>
      <c r="L7" s="114"/>
      <c r="S7" s="105"/>
    </row>
    <row r="8" spans="1:19" ht="21.75" customHeight="1">
      <c r="A8" s="5">
        <f t="shared" si="0"/>
        <v>3</v>
      </c>
      <c r="B8" s="130"/>
      <c r="C8" s="131"/>
      <c r="D8" s="132"/>
      <c r="E8" s="133"/>
      <c r="F8" s="134"/>
      <c r="G8" s="110"/>
      <c r="H8" s="111"/>
      <c r="I8" s="112"/>
      <c r="J8" s="112"/>
      <c r="K8" s="113"/>
      <c r="L8" s="114"/>
      <c r="S8" s="105"/>
    </row>
    <row r="9" spans="1:19" ht="21.75" customHeight="1">
      <c r="A9" s="5">
        <f t="shared" si="0"/>
        <v>4</v>
      </c>
      <c r="B9" s="130"/>
      <c r="C9" s="131"/>
      <c r="D9" s="132"/>
      <c r="E9" s="133"/>
      <c r="F9" s="134"/>
      <c r="G9" s="110"/>
      <c r="H9" s="111"/>
      <c r="I9" s="112"/>
      <c r="J9" s="112"/>
      <c r="K9" s="113"/>
      <c r="L9" s="114"/>
      <c r="S9" s="105"/>
    </row>
    <row r="10" spans="1:19" ht="21.75" customHeight="1">
      <c r="A10" s="5">
        <f t="shared" si="0"/>
        <v>5</v>
      </c>
      <c r="B10" s="130"/>
      <c r="C10" s="131"/>
      <c r="D10" s="140"/>
      <c r="E10" s="140"/>
      <c r="F10" s="140"/>
      <c r="G10" s="110"/>
      <c r="H10" s="111"/>
      <c r="I10" s="112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30"/>
      <c r="C11" s="131"/>
      <c r="D11" s="132"/>
      <c r="E11" s="133"/>
      <c r="F11" s="134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39"/>
      <c r="C12" s="139"/>
      <c r="D12" s="140"/>
      <c r="E12" s="140"/>
      <c r="F12" s="140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30"/>
      <c r="C13" s="131"/>
      <c r="D13" s="132"/>
      <c r="E13" s="133"/>
      <c r="F13" s="134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30"/>
      <c r="C14" s="131"/>
      <c r="D14" s="132"/>
      <c r="E14" s="133"/>
      <c r="F14" s="134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30"/>
      <c r="C15" s="131"/>
      <c r="D15" s="132"/>
      <c r="E15" s="133"/>
      <c r="F15" s="134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5" t="s">
        <v>8</v>
      </c>
      <c r="B16" s="136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65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8"/>
      <c r="T19" s="14"/>
      <c r="U19" s="15"/>
      <c r="V19" s="14"/>
    </row>
    <row r="20" spans="1:22" ht="17.100000000000001" customHeight="1">
      <c r="O20" s="11"/>
      <c r="P20" s="11"/>
      <c r="Q20" s="11"/>
      <c r="S20" s="12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6" t="s">
        <v>17</v>
      </c>
      <c r="Q21" s="126" t="s">
        <v>18</v>
      </c>
    </row>
    <row r="22" spans="1:22" ht="18" customHeight="1">
      <c r="O22" s="18" t="s">
        <v>19</v>
      </c>
      <c r="P22" s="128"/>
      <c r="Q22" s="128"/>
      <c r="S22" s="13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9"/>
      <c r="P27" s="129"/>
      <c r="Q27" s="129"/>
    </row>
    <row r="28" spans="1:22" ht="19.899999999999999" customHeight="1">
      <c r="O28" s="129"/>
      <c r="P28" s="129"/>
      <c r="Q28" s="12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6" t="s">
        <v>21</v>
      </c>
    </row>
    <row r="41" spans="15:22" ht="19.899999999999999" customHeight="1">
      <c r="T41" s="128"/>
    </row>
    <row r="42" spans="15:22" ht="64.900000000000006" customHeight="1">
      <c r="T42" s="14"/>
    </row>
    <row r="46" spans="15:22" ht="21" customHeight="1">
      <c r="O46" s="126" t="s">
        <v>21</v>
      </c>
      <c r="P46" s="126" t="s">
        <v>21</v>
      </c>
      <c r="Q46" s="126" t="s">
        <v>21</v>
      </c>
      <c r="T46" s="126" t="s">
        <v>22</v>
      </c>
      <c r="U46" s="126" t="s">
        <v>13</v>
      </c>
      <c r="V46" s="126" t="s">
        <v>21</v>
      </c>
    </row>
    <row r="47" spans="15:22" ht="21" customHeight="1">
      <c r="O47" s="128"/>
      <c r="P47" s="128"/>
      <c r="Q47" s="128"/>
      <c r="T47" s="127"/>
      <c r="U47" s="127"/>
      <c r="V47" s="12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6" t="s">
        <v>21</v>
      </c>
      <c r="P50" s="126" t="s">
        <v>21</v>
      </c>
      <c r="Q50" s="126" t="s">
        <v>21</v>
      </c>
      <c r="T50" s="126" t="s">
        <v>13</v>
      </c>
      <c r="U50" s="126" t="s">
        <v>22</v>
      </c>
      <c r="V50" s="126" t="s">
        <v>21</v>
      </c>
    </row>
    <row r="51" spans="15:22" ht="21" customHeight="1">
      <c r="O51" s="128"/>
      <c r="P51" s="128"/>
      <c r="Q51" s="128"/>
      <c r="T51" s="127"/>
      <c r="U51" s="127"/>
      <c r="V51" s="12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A4:A5"/>
    <mergeCell ref="B4:C5"/>
    <mergeCell ref="D4:F5"/>
    <mergeCell ref="G4:G5"/>
    <mergeCell ref="H4:H5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SAC2-DS-MRS-0073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45789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Rigger Level 3</v>
      </c>
      <c r="C6" s="166"/>
      <c r="D6" s="167" t="str">
        <f>MRS!D6</f>
        <v>Aramco Certified</v>
      </c>
      <c r="E6" s="168"/>
      <c r="F6" s="169"/>
      <c r="G6" s="102" t="str">
        <f>MRS!G6</f>
        <v>Hr</v>
      </c>
      <c r="H6" s="102">
        <f>MRS!H6</f>
        <v>1</v>
      </c>
      <c r="I6" s="103">
        <f>MRS!I6</f>
        <v>65</v>
      </c>
      <c r="J6" s="103">
        <f>MRS!J6</f>
        <v>65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J32" sqref="J3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110</v>
      </c>
      <c r="D9" s="38"/>
      <c r="E9" s="38"/>
    </row>
    <row r="10" spans="2:13" s="38" customFormat="1">
      <c r="B10" s="71"/>
      <c r="C10" s="38" t="s">
        <v>32</v>
      </c>
      <c r="D10" s="75" t="s">
        <v>111</v>
      </c>
      <c r="J10" s="38" t="s">
        <v>33</v>
      </c>
      <c r="K10" s="173">
        <f>MRS!L3</f>
        <v>45789</v>
      </c>
      <c r="L10" s="174"/>
      <c r="M10" s="174"/>
    </row>
    <row r="11" spans="2:13" s="38" customFormat="1">
      <c r="B11" s="71"/>
      <c r="C11" s="74" t="s">
        <v>34</v>
      </c>
      <c r="D11" s="75" t="s">
        <v>112</v>
      </c>
      <c r="J11" s="38" t="s">
        <v>35</v>
      </c>
      <c r="K11" s="175" t="str">
        <f>SUBSTITUTE(SUBSTITUTE(+MRS!A3,"  MRS No : ",""),"-MRS","-PO")</f>
        <v>SAC2-DS-PO-0073</v>
      </c>
      <c r="L11" s="175"/>
      <c r="M11" s="175"/>
    </row>
    <row r="12" spans="2:13" s="38" customFormat="1">
      <c r="B12" s="71"/>
      <c r="C12" s="74" t="s">
        <v>36</v>
      </c>
      <c r="D12" s="38" t="s">
        <v>113</v>
      </c>
      <c r="J12" s="38" t="s">
        <v>37</v>
      </c>
    </row>
    <row r="13" spans="2:13" s="38" customFormat="1">
      <c r="B13" s="71"/>
      <c r="C13" s="76"/>
      <c r="D13" s="75" t="s">
        <v>114</v>
      </c>
      <c r="J13" s="38" t="s">
        <v>38</v>
      </c>
    </row>
    <row r="14" spans="2:13" s="38" customFormat="1">
      <c r="B14" s="71"/>
      <c r="C14" s="76" t="s">
        <v>116</v>
      </c>
      <c r="J14" s="38" t="s">
        <v>39</v>
      </c>
      <c r="K14" s="38" t="s">
        <v>117</v>
      </c>
    </row>
    <row r="15" spans="2:13" s="38" customFormat="1">
      <c r="B15" s="71"/>
      <c r="C15" s="76" t="s">
        <v>115</v>
      </c>
      <c r="J15" s="38" t="s">
        <v>40</v>
      </c>
      <c r="K15" s="77">
        <v>45786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103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109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Rahman</v>
      </c>
    </row>
    <row r="60" spans="1:16" ht="18" customHeight="1">
      <c r="B60" s="26" t="s">
        <v>71</v>
      </c>
      <c r="J60" s="26" t="s">
        <v>72</v>
      </c>
      <c r="K60" s="22" t="s">
        <v>118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102</v>
      </c>
      <c r="J62" s="180" t="str">
        <f>C9</f>
        <v>MAC(Mayar Al-Amin Gen. Cont. Est (MAC)</v>
      </c>
      <c r="K62" s="180"/>
      <c r="L62" s="180"/>
      <c r="M62" s="180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N28"/>
  <sheetViews>
    <sheetView showGridLines="0" view="pageBreakPreview" zoomScaleSheetLayoutView="100" zoomScalePageLayoutView="55" workbookViewId="0">
      <selection activeCell="N12" sqref="N12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4" ht="16.5" customHeight="1"/>
    <row r="2" spans="1:14" ht="27" customHeight="1">
      <c r="A2" s="46" t="s">
        <v>76</v>
      </c>
      <c r="B2" s="46" t="str">
        <f>+'PO 1st page'!K11</f>
        <v>SAC2-DS-PO-0073</v>
      </c>
      <c r="C2" s="189" t="s">
        <v>77</v>
      </c>
      <c r="D2" s="189"/>
      <c r="E2" s="189"/>
      <c r="F2" s="189"/>
      <c r="G2" s="47"/>
      <c r="H2" s="47"/>
    </row>
    <row r="3" spans="1:14" s="53" customFormat="1" ht="28.5" customHeight="1" thickBot="1">
      <c r="A3" s="48" t="s">
        <v>78</v>
      </c>
      <c r="B3" s="49">
        <f>+'PO 1st page'!K10</f>
        <v>45789</v>
      </c>
      <c r="C3" s="50"/>
      <c r="D3" s="51"/>
      <c r="E3" s="190" t="s">
        <v>79</v>
      </c>
      <c r="F3" s="190"/>
      <c r="G3" s="190"/>
      <c r="H3" s="190"/>
      <c r="I3" s="52"/>
    </row>
    <row r="4" spans="1:14" s="54" customFormat="1" ht="28.5" customHeight="1" thickTop="1">
      <c r="A4" s="191" t="s">
        <v>80</v>
      </c>
      <c r="B4" s="193" t="s">
        <v>81</v>
      </c>
      <c r="C4" s="194"/>
      <c r="D4" s="197" t="s">
        <v>82</v>
      </c>
      <c r="E4" s="197" t="s">
        <v>83</v>
      </c>
      <c r="F4" s="199" t="str">
        <f>'PO 1st page'!C9</f>
        <v>MAC(Mayar Al-Amin Gen. Cont. Est (MAC)</v>
      </c>
      <c r="G4" s="200"/>
      <c r="H4" s="201" t="s">
        <v>84</v>
      </c>
      <c r="K4" s="55"/>
      <c r="L4" s="55"/>
      <c r="M4" s="55"/>
    </row>
    <row r="5" spans="1:14" s="54" customFormat="1" ht="21.95" customHeight="1">
      <c r="A5" s="192"/>
      <c r="B5" s="195"/>
      <c r="C5" s="196"/>
      <c r="D5" s="198"/>
      <c r="E5" s="198"/>
      <c r="F5" s="56" t="s">
        <v>85</v>
      </c>
      <c r="G5" s="56" t="s">
        <v>51</v>
      </c>
      <c r="H5" s="202"/>
      <c r="K5" s="55"/>
      <c r="L5" s="55"/>
      <c r="M5" s="55"/>
    </row>
    <row r="6" spans="1:14" s="54" customFormat="1" ht="27" customHeight="1">
      <c r="A6" s="84">
        <f t="shared" ref="A6:A17" si="0">ROW(A1)</f>
        <v>1</v>
      </c>
      <c r="B6" s="185" t="str">
        <f>+'MRS LIST'!B6&amp;" "&amp;MRS!D6</f>
        <v>Rigger Level 3 Aramco Certified</v>
      </c>
      <c r="C6" s="186"/>
      <c r="D6" s="85" t="str">
        <f>+'MRS LIST'!G6</f>
        <v>Hr</v>
      </c>
      <c r="E6" s="86">
        <f>+'MRS LIST'!H6</f>
        <v>1</v>
      </c>
      <c r="F6" s="87">
        <f>+'MRS LIST'!I6</f>
        <v>65</v>
      </c>
      <c r="G6" s="88">
        <f>+'MRS LIST'!J6</f>
        <v>65</v>
      </c>
      <c r="H6" s="89" t="str">
        <f>MRS!L6</f>
        <v>Hourly Based</v>
      </c>
      <c r="K6" s="90"/>
      <c r="L6" s="91"/>
      <c r="M6" s="55"/>
    </row>
    <row r="7" spans="1:14" s="54" customFormat="1" ht="27" customHeight="1">
      <c r="A7" s="84">
        <f t="shared" si="0"/>
        <v>2</v>
      </c>
      <c r="B7" s="185"/>
      <c r="C7" s="186"/>
      <c r="D7" s="85"/>
      <c r="E7" s="86"/>
      <c r="F7" s="87"/>
      <c r="G7" s="88"/>
      <c r="H7" s="89"/>
      <c r="K7" s="90"/>
      <c r="L7" s="91"/>
      <c r="M7" s="55"/>
    </row>
    <row r="8" spans="1:14" s="54" customFormat="1" ht="27" customHeight="1">
      <c r="A8" s="92">
        <f t="shared" si="0"/>
        <v>3</v>
      </c>
      <c r="B8" s="185"/>
      <c r="C8" s="186"/>
      <c r="D8" s="85"/>
      <c r="E8" s="86"/>
      <c r="F8" s="87"/>
      <c r="G8" s="88"/>
      <c r="H8" s="97"/>
      <c r="K8" s="55"/>
      <c r="L8" s="55"/>
      <c r="M8" s="55"/>
    </row>
    <row r="9" spans="1:14" s="54" customFormat="1" ht="27" customHeight="1">
      <c r="A9" s="92">
        <f t="shared" si="0"/>
        <v>4</v>
      </c>
      <c r="B9" s="185"/>
      <c r="C9" s="186"/>
      <c r="D9" s="85"/>
      <c r="E9" s="86"/>
      <c r="F9" s="87"/>
      <c r="G9" s="88"/>
      <c r="H9" s="97"/>
    </row>
    <row r="10" spans="1:14" s="54" customFormat="1" ht="27" customHeight="1">
      <c r="A10" s="92">
        <f t="shared" si="0"/>
        <v>5</v>
      </c>
      <c r="B10" s="185"/>
      <c r="C10" s="186"/>
      <c r="D10" s="85"/>
      <c r="E10" s="86"/>
      <c r="F10" s="87"/>
      <c r="G10" s="88"/>
      <c r="H10" s="97"/>
    </row>
    <row r="11" spans="1:14" s="54" customFormat="1" ht="27" customHeight="1">
      <c r="A11" s="92">
        <f t="shared" si="0"/>
        <v>6</v>
      </c>
      <c r="B11" s="185"/>
      <c r="C11" s="186"/>
      <c r="D11" s="85"/>
      <c r="E11" s="86"/>
      <c r="F11" s="87"/>
      <c r="G11" s="88"/>
      <c r="H11" s="97"/>
    </row>
    <row r="12" spans="1:14" s="54" customFormat="1" ht="27" customHeight="1">
      <c r="A12" s="92">
        <f t="shared" si="0"/>
        <v>7</v>
      </c>
      <c r="B12" s="185"/>
      <c r="C12" s="186"/>
      <c r="D12" s="85"/>
      <c r="E12" s="86"/>
      <c r="F12" s="87"/>
      <c r="G12" s="88"/>
      <c r="H12" s="97"/>
      <c r="N12" s="54" t="s">
        <v>119</v>
      </c>
    </row>
    <row r="13" spans="1:14" s="54" customFormat="1" ht="32.1" customHeight="1">
      <c r="A13" s="92">
        <f t="shared" si="0"/>
        <v>8</v>
      </c>
      <c r="B13" s="187"/>
      <c r="C13" s="188"/>
      <c r="D13" s="93"/>
      <c r="E13" s="94"/>
      <c r="F13" s="95"/>
      <c r="G13" s="96"/>
      <c r="H13" s="97"/>
    </row>
    <row r="14" spans="1:14" s="54" customFormat="1" ht="32.1" customHeight="1">
      <c r="A14" s="92">
        <f t="shared" si="0"/>
        <v>9</v>
      </c>
      <c r="B14" s="187"/>
      <c r="C14" s="188"/>
      <c r="D14" s="93"/>
      <c r="E14" s="94"/>
      <c r="F14" s="98"/>
      <c r="G14" s="96"/>
      <c r="H14" s="97"/>
    </row>
    <row r="15" spans="1:14" s="54" customFormat="1" ht="32.1" customHeight="1">
      <c r="A15" s="92">
        <f t="shared" si="0"/>
        <v>10</v>
      </c>
      <c r="B15" s="187"/>
      <c r="C15" s="188"/>
      <c r="D15" s="93"/>
      <c r="E15" s="94"/>
      <c r="F15" s="98"/>
      <c r="G15" s="96"/>
      <c r="H15" s="97"/>
    </row>
    <row r="16" spans="1:14" s="54" customFormat="1" ht="32.1" customHeight="1">
      <c r="A16" s="92">
        <f t="shared" si="0"/>
        <v>11</v>
      </c>
      <c r="B16" s="187"/>
      <c r="C16" s="188"/>
      <c r="D16" s="93"/>
      <c r="E16" s="94"/>
      <c r="F16" s="95"/>
      <c r="G16" s="96"/>
      <c r="H16" s="97"/>
    </row>
    <row r="17" spans="1:13" s="54" customFormat="1" ht="32.1" customHeight="1">
      <c r="A17" s="92">
        <f t="shared" si="0"/>
        <v>12</v>
      </c>
      <c r="B17" s="187"/>
      <c r="C17" s="188"/>
      <c r="D17" s="93"/>
      <c r="E17" s="94"/>
      <c r="F17" s="95"/>
      <c r="G17" s="96"/>
      <c r="H17" s="97"/>
    </row>
    <row r="18" spans="1:13" s="54" customFormat="1" ht="23.1" customHeight="1">
      <c r="A18" s="181" t="s">
        <v>86</v>
      </c>
      <c r="B18" s="182"/>
      <c r="C18" s="182"/>
      <c r="D18" s="182"/>
      <c r="E18" s="182"/>
      <c r="F18" s="182"/>
      <c r="G18" s="57">
        <f>SUM(G6:G17)</f>
        <v>65</v>
      </c>
      <c r="H18" s="58"/>
    </row>
    <row r="19" spans="1:13" s="54" customFormat="1" ht="23.1" customHeight="1">
      <c r="A19" s="181" t="s">
        <v>50</v>
      </c>
      <c r="B19" s="182"/>
      <c r="C19" s="182"/>
      <c r="D19" s="182"/>
      <c r="E19" s="182"/>
      <c r="F19" s="182"/>
      <c r="G19" s="57">
        <f>+G18*0.15</f>
        <v>9.75</v>
      </c>
      <c r="H19" s="58"/>
    </row>
    <row r="20" spans="1:13" s="54" customFormat="1" ht="24.95" customHeight="1" thickBot="1">
      <c r="A20" s="183" t="s">
        <v>87</v>
      </c>
      <c r="B20" s="184"/>
      <c r="C20" s="184"/>
      <c r="D20" s="184"/>
      <c r="E20" s="184"/>
      <c r="F20" s="184"/>
      <c r="G20" s="59">
        <f>G19+G18</f>
        <v>74.75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MAC-EQTN-2023-11670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2025-05-12T07:06:48Z</cp:lastPrinted>
  <dcterms:created xsi:type="dcterms:W3CDTF">2024-10-20T11:50:19Z</dcterms:created>
  <dcterms:modified xsi:type="dcterms:W3CDTF">2025-05-12T07:09:37Z</dcterms:modified>
</cp:coreProperties>
</file>