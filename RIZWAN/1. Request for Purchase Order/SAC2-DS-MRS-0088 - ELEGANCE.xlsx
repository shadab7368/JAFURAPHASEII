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D666EB41-6BC0-42B0-B012-8C004BB086CC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C26" i="3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<sst xmlns="http://schemas.openxmlformats.org/spreadsheetml/2006/main" count="153" uniqueCount="118">
  <si>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</si>
  <si>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</si>
  <si>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</si>
  <si>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</si>
  <si>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</si>
  <si>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</si>
  <si>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</si>
  <si>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</si>
  <si>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</si>
  <si>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</si>
  <si>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</si>
  <si>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</si>
  <si>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</si>
  <si>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</si>
  <si>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</si>
  <si>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</si>
  <si>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</si>
  <si>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</si>
  <si>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</si>
  <si>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</si>
  <si>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</si>
  <si>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</si>
  <si>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</si>
  <si>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</si>
  <si>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</si>
  <si>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</si>
  <si>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</si>
  <si>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</si>
  <si>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</si>
  <si>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</si>
  <si>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</si>
  <si>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</si>
  <si>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</si>
  <si>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</si>
  <si>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</si>
  <si>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</si>
  <si>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</si>
  <si>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</si>
  <si>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</si>
  <si>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</si>
  <si>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</si>
  <si>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</si>
  <si>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</si>
  <si>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</si>
  <si>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</si>
  <si>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</si>
  <si>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</si>
  <si>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</si>
  <si>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</si>
  <si>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</si>
  <si>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</si>
  <si>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</si>
  <si>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</si>
  <si>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</si>
  <si>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</si>
  <si>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</si>
  <si>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</si>
  <si>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</si>
  <si>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</si>
  <si>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</si>
  <si>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</si>
  <si>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</si>
  <si>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</si>
  <si>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</si>
  <si>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</si>
  <si>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</si>
  <si>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</si>
  <si>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</si>
  <si>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</si>
  <si>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</si>
  <si>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</si>
  <si>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</si>
  <si>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</si>
  <si>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</si>
  <si>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</si>
  <si>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</si>
  <si>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</si>
  <si>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</si>
  <si>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</si>
  <si>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</si>
  <si>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</si>
  <si>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</si>
  <si>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</si>
  <si>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</si>
  <si>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</si>
  <si>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</si>
  <si>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</si>
  <si>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</si>
  <si>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</si>
  <si>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</si>
  <si>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</si>
  <si>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</si>
  <si>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</si>
  <si>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</si>
  <si>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</si>
  <si>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</si>
  <si>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</si>
  <si>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</si>
  <si>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</si>
  <si>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</si>
  <si>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</si>
  <si>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</si>
  <si>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</si>
  <si>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</si>
  <si>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t>EECE</t>
  </si>
  <si>
    <t>EECE(Elegance East Contracting Est.)</t>
  </si>
  <si>
    <t>2050176801</t>
  </si>
  <si>
    <t>310031087600003</t>
  </si>
  <si>
    <t>Azmal</t>
  </si>
  <si>
    <t>Mobile No. +966 53 6373734 / email: azmal@eleganceksa.com</t>
  </si>
  <si>
    <t xml:space="preserve">Mobile: +966 53 6373734 </t>
  </si>
  <si>
    <t>Al Jubail , Kingdom of Saudi Arabia</t>
  </si>
  <si>
    <t>General 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</si>
  <si>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-MRS-0088</t>
    </r>
  </si>
  <si>
    <t>Light Driver</t>
  </si>
  <si>
    <t>ELEGANCE 25/0202</t>
  </si>
  <si>
    <t>Branch of Hyundai Engineering and Const. Co., Ltd. (HDEC)</t>
  </si>
  <si>
    <t>BRANCH OF HYUNDAI ENG. &amp; CONST.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</si>
</sst>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28" t="s">
        <v>97</v>
      </c>
      <c r="K2" s="129"/>
      <c r="L2" s="130"/>
    </row>
    <row r="3" spans="1:19" ht="20.100000000000001" customHeight="1">
      <c r="A3" s="3" t="s">
        <v>113</v>
      </c>
      <c r="B3" s="100"/>
      <c r="C3" s="100"/>
      <c r="D3" s="100"/>
      <c r="E3" s="131">
        <f>+L3</f>
        <v>45830</v>
      </c>
      <c r="F3" s="131"/>
      <c r="G3" s="131"/>
      <c r="H3" s="131"/>
      <c r="I3" s="131"/>
      <c r="J3" s="100"/>
      <c r="K3" s="100"/>
      <c r="L3" s="121">
        <v>45830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94</v>
      </c>
      <c r="J4" s="132" t="s">
        <v>95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114</v>
      </c>
      <c r="C6" s="145"/>
      <c r="D6" s="146"/>
      <c r="E6" s="147"/>
      <c r="F6" s="148"/>
      <c r="G6" s="110" t="s">
        <v>102</v>
      </c>
      <c r="H6" s="111">
        <v>1</v>
      </c>
      <c r="I6" s="112">
        <v>15</v>
      </c>
      <c r="J6" s="112">
        <f>I6*H6</f>
        <v>15</v>
      </c>
      <c r="K6" s="113" t="s">
        <v>104</v>
      </c>
      <c r="L6" s="114" t="s">
        <v>103</v>
      </c>
      <c r="S6" s="105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2" t="s">
        <v>8</v>
      </c>
      <c r="B16" s="153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15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SAC2-DS-MRS-0088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45830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91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Light Driver</v>
      </c>
      <c r="C6" s="163"/>
      <c r="D6" s="164">
        <f>MRS!D6</f>
        <v>0</v>
      </c>
      <c r="E6" s="165"/>
      <c r="F6" s="166"/>
      <c r="G6" s="102" t="str">
        <f>MRS!G6</f>
        <v>HR</v>
      </c>
      <c r="H6" s="102">
        <f>MRS!H6</f>
        <v>1</v>
      </c>
      <c r="I6" s="103">
        <f>MRS!I6</f>
        <v>15</v>
      </c>
      <c r="J6" s="103">
        <f>MRS!J6</f>
        <v>15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M2" sqref="M2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117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105</v>
      </c>
      <c r="D9" s="38"/>
      <c r="E9" s="38"/>
    </row>
    <row r="10" spans="2:13" s="38" customFormat="1">
      <c r="B10" s="71"/>
      <c r="C10" s="38" t="s">
        <v>32</v>
      </c>
      <c r="D10" s="75" t="s">
        <v>106</v>
      </c>
      <c r="J10" s="38" t="s">
        <v>33</v>
      </c>
      <c r="K10" s="173">
        <f>MRS!L3</f>
        <v>45830</v>
      </c>
      <c r="L10" s="174"/>
      <c r="M10" s="174"/>
    </row>
    <row r="11" spans="2:13" s="38" customFormat="1">
      <c r="B11" s="71"/>
      <c r="C11" s="74" t="s">
        <v>34</v>
      </c>
      <c r="D11" s="75" t="s">
        <v>107</v>
      </c>
      <c r="J11" s="38" t="s">
        <v>35</v>
      </c>
      <c r="K11" s="175" t="str">
        <f>SUBSTITUTE(SUBSTITUTE(+MRS!A3,"  MRS No : ",""),"-MRS","-PO")</f>
        <v>SAC2-DS-PO-0088</v>
      </c>
      <c r="L11" s="175"/>
      <c r="M11" s="175"/>
    </row>
    <row r="12" spans="2:13" s="38" customFormat="1">
      <c r="B12" s="71"/>
      <c r="C12" s="74" t="s">
        <v>36</v>
      </c>
      <c r="D12" s="38" t="s">
        <v>108</v>
      </c>
      <c r="J12" s="38" t="s">
        <v>37</v>
      </c>
    </row>
    <row r="13" spans="2:13" s="38" customFormat="1">
      <c r="B13" s="71"/>
      <c r="C13" s="76"/>
      <c r="D13" s="75" t="s">
        <v>109</v>
      </c>
      <c r="J13" s="38" t="s">
        <v>38</v>
      </c>
    </row>
    <row r="14" spans="2:13" s="38" customFormat="1">
      <c r="B14" s="71"/>
      <c r="C14" s="76" t="s">
        <v>111</v>
      </c>
      <c r="J14" s="38" t="s">
        <v>39</v>
      </c>
      <c r="K14" s="38" t="s">
        <v>115</v>
      </c>
    </row>
    <row r="15" spans="2:13" s="38" customFormat="1">
      <c r="B15" s="71"/>
      <c r="C15" s="76" t="s">
        <v>110</v>
      </c>
      <c r="J15" s="38" t="s">
        <v>40</v>
      </c>
      <c r="K15" s="77">
        <v>45823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tr">
        <f>MRS!B6</f>
        <v>Light Driver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 t="s">
        <v>103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/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Azmal</v>
      </c>
    </row>
    <row r="60" spans="1:16" ht="18" customHeight="1">
      <c r="B60" s="26" t="s">
        <v>71</v>
      </c>
      <c r="J60" s="26" t="s">
        <v>72</v>
      </c>
      <c r="K60" s="22" t="s">
        <v>112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116</v>
      </c>
      <c r="J62" s="180" t="str">
        <f>C9</f>
        <v>EECE(Elegance East Contracting Est.)</v>
      </c>
      <c r="K62" s="180"/>
      <c r="L62" s="180"/>
      <c r="M62" s="180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topLeftCell="A7" zoomScaleSheetLayoutView="100" zoomScalePageLayoutView="55" workbookViewId="0">
      <selection activeCell="D16" sqref="D1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SAC2-DS-PO-0088</v>
      </c>
      <c r="C2" s="183" t="s">
        <v>77</v>
      </c>
      <c r="D2" s="183"/>
      <c r="E2" s="183"/>
      <c r="F2" s="183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45830</v>
      </c>
      <c r="C3" s="50"/>
      <c r="D3" s="51"/>
      <c r="E3" s="184" t="s">
        <v>79</v>
      </c>
      <c r="F3" s="184"/>
      <c r="G3" s="184"/>
      <c r="H3" s="184"/>
      <c r="I3" s="52"/>
    </row>
    <row r="4" spans="1:13" s="54" customFormat="1" ht="28.5" customHeight="1" thickTop="1">
      <c r="A4" s="185" t="s">
        <v>80</v>
      </c>
      <c r="B4" s="187" t="s">
        <v>81</v>
      </c>
      <c r="C4" s="188"/>
      <c r="D4" s="191" t="s">
        <v>82</v>
      </c>
      <c r="E4" s="191" t="s">
        <v>83</v>
      </c>
      <c r="F4" s="193" t="str">
        <f>'PO 1st page'!C9</f>
        <v>EECE(Elegance East Contracting Est.)</v>
      </c>
      <c r="G4" s="194"/>
      <c r="H4" s="195" t="s">
        <v>84</v>
      </c>
      <c r="K4" s="55"/>
      <c r="L4" s="55"/>
      <c r="M4" s="55"/>
    </row>
    <row r="5" spans="1:13" s="54" customFormat="1" ht="21.95" customHeight="1">
      <c r="A5" s="186"/>
      <c r="B5" s="189"/>
      <c r="C5" s="190"/>
      <c r="D5" s="192"/>
      <c r="E5" s="192"/>
      <c r="F5" s="56" t="s">
        <v>85</v>
      </c>
      <c r="G5" s="56" t="s">
        <v>51</v>
      </c>
      <c r="H5" s="196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1" t="str">
        <f>+'MRS LIST'!B6</f>
        <v>Light Driver</v>
      </c>
      <c r="C6" s="182"/>
      <c r="D6" s="85" t="str">
        <f>+'MRS LIST'!G6</f>
        <v>HR</v>
      </c>
      <c r="E6" s="86">
        <f>+'MRS LIST'!H6</f>
        <v>1</v>
      </c>
      <c r="F6" s="87">
        <f>+'MRS LIST'!I6</f>
        <v>15</v>
      </c>
      <c r="G6" s="88">
        <f>+'MRS LIST'!J6</f>
        <v>15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1"/>
      <c r="C7" s="182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1"/>
      <c r="C8" s="182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1"/>
      <c r="C9" s="182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1"/>
      <c r="C10" s="182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1"/>
      <c r="C11" s="182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1"/>
      <c r="C12" s="202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1"/>
      <c r="C13" s="202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1"/>
      <c r="C14" s="202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1"/>
      <c r="C15" s="202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1"/>
      <c r="C16" s="202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201"/>
      <c r="C17" s="202"/>
      <c r="D17" s="93"/>
      <c r="E17" s="94"/>
      <c r="F17" s="95"/>
      <c r="G17" s="96"/>
      <c r="H17" s="97"/>
    </row>
    <row r="18" spans="1:13" s="54" customFormat="1" ht="23.1" customHeight="1">
      <c r="A18" s="197" t="s">
        <v>86</v>
      </c>
      <c r="B18" s="198"/>
      <c r="C18" s="198"/>
      <c r="D18" s="198"/>
      <c r="E18" s="198"/>
      <c r="F18" s="198"/>
      <c r="G18" s="57">
        <f>SUM(G6:G17)</f>
        <v>15</v>
      </c>
      <c r="H18" s="58"/>
    </row>
    <row r="19" spans="1:13" s="54" customFormat="1" ht="23.1" customHeight="1">
      <c r="A19" s="197" t="s">
        <v>50</v>
      </c>
      <c r="B19" s="198"/>
      <c r="C19" s="198"/>
      <c r="D19" s="198"/>
      <c r="E19" s="198"/>
      <c r="F19" s="198"/>
      <c r="G19" s="57">
        <f>+G18*0.15</f>
        <v>2.25</v>
      </c>
      <c r="H19" s="58"/>
    </row>
    <row r="20" spans="1:13" s="54" customFormat="1" ht="24.95" customHeight="1" thickBot="1">
      <c r="A20" s="199" t="s">
        <v>87</v>
      </c>
      <c r="B20" s="200"/>
      <c r="C20" s="200"/>
      <c r="D20" s="200"/>
      <c r="E20" s="200"/>
      <c r="F20" s="200"/>
      <c r="G20" s="59">
        <f>G19+G18</f>
        <v>17.25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ELEGANCE 25/0202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2025-06-22T12:21:13Z</cp:lastPrinted>
  <dcterms:created xsi:type="dcterms:W3CDTF">2024-10-20T11:50:19Z</dcterms:created>
  <dcterms:modified xsi:type="dcterms:W3CDTF">2025-06-25T05:03:28Z</dcterms:modified>
</cp:coreProperties>
</file>