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0534426C-9566-436D-94D4-8179351D1AA3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54" i="3" l="1"/>
  <c r="H7" i="4" l="1"/>
  <c r="H6" i="4"/>
  <c r="K67" i="3"/>
  <c r="E3" i="1"/>
  <c r="E7" i="4"/>
  <c r="D7" i="4"/>
  <c r="H7" i="2"/>
  <c r="G7" i="2"/>
  <c r="D7" i="2"/>
  <c r="B7" i="2"/>
  <c r="B7" i="4" s="1"/>
  <c r="J7" i="1"/>
  <c r="J6" i="1" l="1"/>
  <c r="K10" i="3"/>
  <c r="A21" i="4" l="1"/>
  <c r="J7" i="2"/>
  <c r="G7" i="4" s="1"/>
  <c r="I7" i="2"/>
  <c r="F7" i="4" s="1"/>
  <c r="I6" i="2"/>
  <c r="F6" i="4" s="1"/>
  <c r="H6" i="2"/>
  <c r="E6" i="4" s="1"/>
  <c r="G6" i="2"/>
  <c r="D6" i="4" s="1"/>
  <c r="D6" i="2"/>
  <c r="B6" i="2"/>
  <c r="B6" i="4" s="1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<sst xmlns="http://schemas.openxmlformats.org/spreadsheetml/2006/main" count="178" uniqueCount="137">
  <si>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</si>
  <si>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</si>
  <si>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</si>
  <si>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</si>
  <si>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</si>
  <si>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</si>
  <si>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</si>
  <si>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</si>
  <si>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</si>
  <si>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</si>
  <si>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</si>
  <si>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</si>
  <si>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</si>
  <si>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</si>
  <si>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</si>
  <si>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</si>
  <si>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</si>
  <si>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</si>
  <si>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</si>
  <si>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</si>
  <si>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</si>
  <si>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</si>
  <si>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</si>
  <si>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</si>
  <si>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</si>
  <si>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</si>
  <si>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</si>
  <si>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</si>
  <si>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</si>
  <si>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</si>
  <si>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</si>
  <si>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</si>
  <si>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</si>
  <si>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</si>
  <si>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</si>
  <si>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</si>
  <si>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</si>
  <si>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</si>
  <si>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</si>
  <si>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</si>
  <si>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</si>
  <si>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</si>
  <si>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</si>
  <si>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</si>
  <si>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</si>
  <si>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</si>
  <si>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</si>
  <si>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</si>
  <si>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</si>
  <si>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</si>
  <si>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</si>
  <si>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</si>
  <si>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</si>
  <si>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</si>
  <si>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</si>
  <si>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</si>
  <si>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</si>
  <si>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</si>
  <si>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</si>
  <si>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</si>
  <si>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</si>
  <si>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</si>
  <si>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</si>
  <si>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</si>
  <si>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</si>
  <si>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</si>
  <si>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</si>
  <si>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</si>
  <si>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</si>
  <si>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</si>
  <si>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</si>
  <si>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</si>
  <si>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</si>
  <si>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</si>
  <si>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</si>
  <si>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</si>
  <si>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6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</si>
  <si>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</si>
  <si>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</si>
  <si>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</si>
  <si>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</si>
  <si>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</si>
  <si>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</si>
  <si>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</si>
  <si>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</si>
  <si>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</si>
  <si>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</si>
  <si>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</si>
  <si>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</si>
  <si>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</si>
  <si>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</si>
  <si>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</si>
  <si>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</si>
  <si>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Month</t>
    <phoneticPr fontId="10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</si>
  <si>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</si>
  <si>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</si>
  <si>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</si>
  <si>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</si>
  <si>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</si>
  <si>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t>Business Development Manager</t>
  </si>
  <si>
    <t>Mob. &amp; De-Mob. / per unit - lump sum</t>
    <phoneticPr fontId="3" type="noConversion"/>
  </si>
  <si>
    <t>L / S</t>
    <phoneticPr fontId="10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</si>
  <si>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</si>
  <si>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UTCC</t>
  </si>
  <si>
    <t>UTCC(United Technology Contracting Co. Ltd.)</t>
  </si>
  <si>
    <t>Muhammed Huzaifa</t>
  </si>
  <si>
    <t>2055009069</t>
  </si>
  <si>
    <t>Landline: +966 136 6080 / Mobile : +966 54 6313999</t>
  </si>
  <si>
    <t>Bldg No . 9278 King Abdul Aziz Street,Tebah District , Al Jubail</t>
  </si>
  <si>
    <t>+966 54 631 3999 / Email:operation@unitedco.uk</t>
  </si>
  <si>
    <t>Monthly based</t>
  </si>
  <si>
    <t>Monthly Based</t>
  </si>
  <si>
    <t>One Time</t>
  </si>
  <si>
    <t>Crane</t>
  </si>
  <si>
    <t>Crane Mob &amp; De-Mob. Charge</t>
  </si>
  <si>
    <t>Subcontract name (SAC2-SC-IK-SMP-01)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</si>
  <si>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</si>
  <si>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Division (In charge Name) : ADMIN MANAGER (Dong Chang Kim)</t>
  </si>
  <si>
    <t xml:space="preserve">  Delivery &amp; Payment : Dong Chang Kim / Daeshin Admin. [ Mobile No. : +966 53 748 5762 / Email : kdchjs@daeshinplant.com ]</t>
  </si>
  <si>
    <t>310157378500003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</si>
  <si>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-MRS-0176</t>
    </r>
  </si>
  <si>
    <t>RT Crane 80 Ton</t>
  </si>
  <si>
    <t>UT-EQUO-25-3639</t>
  </si>
  <si>
    <t>80 Ton RT Crane with Operator - Aramco Certified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</si>
  <si>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</si>
  <si>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</si>
  <si>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</si>
  <si>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</si>
  <si>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</si>
  <si>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</si>
  <si>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</si>
  <si>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</si>
  <si>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</si>
  <si>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UNITED TECHNOLOGY CONTRACTING CO. LTD.</t>
  </si>
  <si>
    <t>SA3745000000836010116001</t>
  </si>
  <si>
    <t>SABB</t>
  </si>
  <si>
    <t>SABBSARI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</si>
</sst>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6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9"/>
      <color theme="1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10"/>
      <color rgb="FF0000FF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5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9" fillId="0" borderId="0" applyBorder="0"/>
    <xf numFmtId="0" fontId="38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6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9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2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2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4" fillId="2" borderId="0" xfId="1" applyFont="1" applyFill="1" applyAlignment="1">
      <alignment vertical="center"/>
    </xf>
    <xf numFmtId="0" fontId="49" fillId="3" borderId="0" xfId="5" applyFont="1" applyFill="1"/>
    <xf numFmtId="0" fontId="50" fillId="2" borderId="0" xfId="1" applyFont="1" applyFill="1" applyAlignment="1">
      <alignment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  <xf numFmtId="0" fontId="55" fillId="3" borderId="0" xfId="5" applyFont="1" applyFill="1"/>
    <xf numFmtId="0" fontId="18" fillId="3" borderId="0" xfId="5" quotePrefix="1" applyFont="1" applyFill="1"/>
  </cellXfs>
  <cellStyles count="15">
    <cellStyle name="Comma [0]" xfId="10" builtinId="6"/>
    <cellStyle name="Normal" xfId="0" builtinId="0"/>
    <cellStyle name="쉼표 [0] 2 2" xfId="4" xr:uid="{95D71F5C-65D6-4E85-84FE-774413508E1E}"/>
    <cellStyle name="쉼표 [0] 2 2 2" xfId="12" xr:uid="{FC4F5859-1642-4A5E-9D4F-8B998B2D65DC}"/>
    <cellStyle name="쉼표 2" xfId="9" xr:uid="{F2A3A689-A30F-4FCA-9C51-F28F11796A46}"/>
    <cellStyle name="쉼표 2 2" xfId="14" xr:uid="{31735F8C-8A25-4F7E-870C-A852BB5972AE}"/>
    <cellStyle name="표준 2 2" xfId="2" xr:uid="{12B761D3-4229-4E14-8168-D5975293A996}"/>
    <cellStyle name="표준 2 2 2" xfId="11" xr:uid="{DDC358A7-52FB-42BA-9761-C1397E913397}"/>
    <cellStyle name="표준 2 3 2 2" xfId="5" xr:uid="{BD51BFCC-3D36-446B-BE80-7856DF8371E9}"/>
    <cellStyle name="표준 2 3 2 2 2" xfId="13" xr:uid="{995CDC77-06B6-408A-90E5-9B92116D3346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10026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5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326605" y="4983079"/>
              <a:ext cx="3780423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K7" sqref="K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5" t="s">
        <v>116</v>
      </c>
      <c r="B1" s="110"/>
      <c r="C1" s="110"/>
      <c r="D1" s="110"/>
      <c r="E1" s="110"/>
      <c r="F1" s="110"/>
      <c r="G1" s="1"/>
      <c r="J1" s="142" t="s">
        <v>92</v>
      </c>
      <c r="K1" s="143"/>
      <c r="L1" s="144"/>
    </row>
    <row r="2" spans="1:19" ht="20.100000000000001" customHeight="1">
      <c r="A2" s="3" t="s">
        <v>1</v>
      </c>
      <c r="B2" s="101"/>
      <c r="C2" s="101"/>
      <c r="D2" s="3" t="s">
        <v>117</v>
      </c>
      <c r="E2" s="101"/>
      <c r="F2" s="101"/>
      <c r="G2" s="101"/>
      <c r="H2" s="101"/>
      <c r="I2" s="4"/>
      <c r="J2" s="158" t="s">
        <v>115</v>
      </c>
      <c r="K2" s="159"/>
      <c r="L2" s="160"/>
    </row>
    <row r="3" spans="1:19" ht="20.100000000000001" customHeight="1">
      <c r="A3" s="3" t="s">
        <v>120</v>
      </c>
      <c r="B3" s="101"/>
      <c r="C3" s="101"/>
      <c r="D3" s="101"/>
      <c r="E3" s="145">
        <f>+L3</f>
        <v>45999</v>
      </c>
      <c r="F3" s="145"/>
      <c r="G3" s="145"/>
      <c r="H3" s="145"/>
      <c r="I3" s="145"/>
      <c r="J3" s="101"/>
      <c r="K3" s="101"/>
      <c r="L3" s="122">
        <v>45999</v>
      </c>
      <c r="M3" s="4"/>
    </row>
    <row r="4" spans="1:19" ht="15.95" customHeight="1">
      <c r="A4" s="146" t="s">
        <v>2</v>
      </c>
      <c r="B4" s="147" t="s">
        <v>3</v>
      </c>
      <c r="C4" s="147"/>
      <c r="D4" s="148" t="s">
        <v>4</v>
      </c>
      <c r="E4" s="149"/>
      <c r="F4" s="150"/>
      <c r="G4" s="154" t="s">
        <v>5</v>
      </c>
      <c r="H4" s="156" t="s">
        <v>6</v>
      </c>
      <c r="I4" s="156" t="s">
        <v>97</v>
      </c>
      <c r="J4" s="146" t="s">
        <v>98</v>
      </c>
      <c r="K4" s="156" t="s">
        <v>0</v>
      </c>
      <c r="L4" s="147" t="s">
        <v>7</v>
      </c>
    </row>
    <row r="5" spans="1:19" ht="15.95" customHeight="1">
      <c r="A5" s="146"/>
      <c r="B5" s="147"/>
      <c r="C5" s="147"/>
      <c r="D5" s="151"/>
      <c r="E5" s="152"/>
      <c r="F5" s="153"/>
      <c r="G5" s="155"/>
      <c r="H5" s="157"/>
      <c r="I5" s="157"/>
      <c r="J5" s="146"/>
      <c r="K5" s="157"/>
      <c r="L5" s="147"/>
    </row>
    <row r="6" spans="1:19" ht="22.5" customHeight="1">
      <c r="A6" s="5">
        <f t="shared" ref="A6:A15" si="0">ROW(A1)</f>
        <v>1</v>
      </c>
      <c r="B6" s="130" t="s">
        <v>113</v>
      </c>
      <c r="C6" s="131"/>
      <c r="D6" s="132" t="s">
        <v>121</v>
      </c>
      <c r="E6" s="133"/>
      <c r="F6" s="134"/>
      <c r="G6" s="111" t="s">
        <v>93</v>
      </c>
      <c r="H6" s="112">
        <v>1</v>
      </c>
      <c r="I6" s="113">
        <v>80000</v>
      </c>
      <c r="J6" s="113">
        <f>H6*I6</f>
        <v>80000</v>
      </c>
      <c r="K6" s="114" t="s">
        <v>103</v>
      </c>
      <c r="L6" s="115" t="s">
        <v>111</v>
      </c>
      <c r="S6" s="106"/>
    </row>
    <row r="7" spans="1:19" ht="22.5" customHeight="1">
      <c r="A7" s="5">
        <f t="shared" si="0"/>
        <v>2</v>
      </c>
      <c r="B7" s="130" t="s">
        <v>114</v>
      </c>
      <c r="C7" s="131"/>
      <c r="D7" s="141" t="s">
        <v>100</v>
      </c>
      <c r="E7" s="133"/>
      <c r="F7" s="134"/>
      <c r="G7" s="111" t="s">
        <v>101</v>
      </c>
      <c r="H7" s="112">
        <v>1</v>
      </c>
      <c r="I7" s="113">
        <v>8000</v>
      </c>
      <c r="J7" s="113">
        <f>H7*I7</f>
        <v>8000</v>
      </c>
      <c r="K7" s="114" t="s">
        <v>103</v>
      </c>
      <c r="L7" s="115" t="s">
        <v>112</v>
      </c>
      <c r="S7" s="106"/>
    </row>
    <row r="8" spans="1:19" ht="22.5" customHeight="1">
      <c r="A8" s="5">
        <f t="shared" si="0"/>
        <v>3</v>
      </c>
      <c r="B8" s="130"/>
      <c r="C8" s="131"/>
      <c r="D8" s="132"/>
      <c r="E8" s="133"/>
      <c r="F8" s="134"/>
      <c r="G8" s="111"/>
      <c r="H8" s="112"/>
      <c r="I8" s="113"/>
      <c r="J8" s="113"/>
      <c r="K8" s="114"/>
      <c r="L8" s="115"/>
      <c r="S8" s="106"/>
    </row>
    <row r="9" spans="1:19" ht="22.5" customHeight="1">
      <c r="A9" s="5">
        <f t="shared" si="0"/>
        <v>4</v>
      </c>
      <c r="B9" s="130"/>
      <c r="C9" s="131"/>
      <c r="D9" s="132"/>
      <c r="E9" s="133"/>
      <c r="F9" s="134"/>
      <c r="G9" s="111"/>
      <c r="H9" s="112"/>
      <c r="I9" s="113"/>
      <c r="J9" s="113"/>
      <c r="K9" s="114"/>
      <c r="L9" s="115"/>
      <c r="S9" s="106"/>
    </row>
    <row r="10" spans="1:19" ht="22.5" customHeight="1">
      <c r="A10" s="5">
        <f t="shared" si="0"/>
        <v>5</v>
      </c>
      <c r="B10" s="139"/>
      <c r="C10" s="139"/>
      <c r="D10" s="140"/>
      <c r="E10" s="140"/>
      <c r="F10" s="140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30"/>
      <c r="C11" s="131"/>
      <c r="D11" s="132"/>
      <c r="E11" s="133"/>
      <c r="F11" s="134"/>
      <c r="G11" s="111"/>
      <c r="H11" s="112"/>
      <c r="I11" s="113"/>
      <c r="J11" s="113"/>
      <c r="K11" s="114"/>
      <c r="L11" s="115"/>
      <c r="S11" s="106"/>
    </row>
    <row r="12" spans="1:19" ht="22.5" customHeight="1">
      <c r="A12" s="5">
        <f t="shared" si="0"/>
        <v>7</v>
      </c>
      <c r="B12" s="139"/>
      <c r="C12" s="139"/>
      <c r="D12" s="140"/>
      <c r="E12" s="140"/>
      <c r="F12" s="140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30"/>
      <c r="C13" s="131"/>
      <c r="D13" s="132"/>
      <c r="E13" s="133"/>
      <c r="F13" s="134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30"/>
      <c r="C14" s="131"/>
      <c r="D14" s="132"/>
      <c r="E14" s="133"/>
      <c r="F14" s="134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30"/>
      <c r="C15" s="131"/>
      <c r="D15" s="132"/>
      <c r="E15" s="133"/>
      <c r="F15" s="134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35" t="s">
        <v>8</v>
      </c>
      <c r="B16" s="136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88000</v>
      </c>
      <c r="K16" s="113"/>
      <c r="L16" s="121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37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38"/>
      <c r="T19" s="14"/>
      <c r="U19" s="15"/>
      <c r="V19" s="14"/>
    </row>
    <row r="20" spans="1:22" ht="17.100000000000001" customHeight="1">
      <c r="O20" s="11"/>
      <c r="P20" s="11"/>
      <c r="Q20" s="11"/>
      <c r="S20" s="127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26" t="s">
        <v>17</v>
      </c>
      <c r="Q21" s="126" t="s">
        <v>18</v>
      </c>
    </row>
    <row r="22" spans="1:22" ht="18" customHeight="1">
      <c r="O22" s="18" t="s">
        <v>19</v>
      </c>
      <c r="P22" s="128"/>
      <c r="Q22" s="128"/>
      <c r="S22" s="137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38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27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29"/>
      <c r="P27" s="129"/>
      <c r="Q27" s="129"/>
    </row>
    <row r="28" spans="1:22" ht="19.899999999999999" customHeight="1">
      <c r="O28" s="129"/>
      <c r="P28" s="129"/>
      <c r="Q28" s="129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26" t="s">
        <v>21</v>
      </c>
    </row>
    <row r="41" spans="15:22" ht="19.899999999999999" customHeight="1">
      <c r="T41" s="128"/>
    </row>
    <row r="42" spans="15:22" ht="64.900000000000006" customHeight="1">
      <c r="T42" s="14"/>
    </row>
    <row r="46" spans="15:22" ht="21" customHeight="1">
      <c r="O46" s="126" t="s">
        <v>21</v>
      </c>
      <c r="P46" s="126" t="s">
        <v>21</v>
      </c>
      <c r="Q46" s="126" t="s">
        <v>21</v>
      </c>
      <c r="T46" s="126" t="s">
        <v>22</v>
      </c>
      <c r="U46" s="126" t="s">
        <v>13</v>
      </c>
      <c r="V46" s="126" t="s">
        <v>21</v>
      </c>
    </row>
    <row r="47" spans="15:22" ht="21" customHeight="1">
      <c r="O47" s="128"/>
      <c r="P47" s="128"/>
      <c r="Q47" s="128"/>
      <c r="T47" s="127"/>
      <c r="U47" s="127"/>
      <c r="V47" s="128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26" t="s">
        <v>21</v>
      </c>
      <c r="P50" s="126" t="s">
        <v>21</v>
      </c>
      <c r="Q50" s="126" t="s">
        <v>21</v>
      </c>
      <c r="T50" s="126" t="s">
        <v>13</v>
      </c>
      <c r="U50" s="126" t="s">
        <v>22</v>
      </c>
      <c r="V50" s="126" t="s">
        <v>21</v>
      </c>
    </row>
    <row r="51" spans="15:22" ht="21" customHeight="1">
      <c r="O51" s="128"/>
      <c r="P51" s="128"/>
      <c r="Q51" s="128"/>
      <c r="T51" s="127"/>
      <c r="U51" s="127"/>
      <c r="V51" s="128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O9" sqref="O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102</v>
      </c>
      <c r="B1" s="100"/>
      <c r="C1" s="100"/>
      <c r="D1" s="100"/>
      <c r="E1" s="100"/>
      <c r="F1" s="100"/>
      <c r="G1" s="1"/>
      <c r="J1" s="142" t="str">
        <f>+MRS!J1</f>
        <v>DAESHIN PLANT</v>
      </c>
      <c r="K1" s="144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58" t="str">
        <f>+MRS!J2</f>
        <v>Subcontract name (SAC2-SC-IK-SMP-01)</v>
      </c>
      <c r="K2" s="160"/>
    </row>
    <row r="3" spans="1:18" ht="24.95" customHeight="1">
      <c r="A3" s="3" t="str">
        <f>+MRS!A3</f>
        <v xml:space="preserve">  MRS No : SAC2-DS-MRS-0176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45999</v>
      </c>
    </row>
    <row r="4" spans="1:18" ht="15.95" customHeight="1">
      <c r="A4" s="171" t="s">
        <v>2</v>
      </c>
      <c r="B4" s="172" t="s">
        <v>23</v>
      </c>
      <c r="C4" s="172"/>
      <c r="D4" s="171" t="s">
        <v>4</v>
      </c>
      <c r="E4" s="171"/>
      <c r="F4" s="171"/>
      <c r="G4" s="172" t="s">
        <v>5</v>
      </c>
      <c r="H4" s="171" t="s">
        <v>94</v>
      </c>
      <c r="I4" s="171" t="s">
        <v>24</v>
      </c>
      <c r="J4" s="171" t="s">
        <v>25</v>
      </c>
      <c r="K4" s="172" t="s">
        <v>7</v>
      </c>
    </row>
    <row r="5" spans="1:18" ht="15.95" customHeight="1">
      <c r="A5" s="171"/>
      <c r="B5" s="172"/>
      <c r="C5" s="172"/>
      <c r="D5" s="171"/>
      <c r="E5" s="171"/>
      <c r="F5" s="171"/>
      <c r="G5" s="172"/>
      <c r="H5" s="171"/>
      <c r="I5" s="171"/>
      <c r="J5" s="171"/>
      <c r="K5" s="172"/>
    </row>
    <row r="6" spans="1:18" ht="105" customHeight="1">
      <c r="A6" s="21">
        <f>+MRS!A6</f>
        <v>1</v>
      </c>
      <c r="B6" s="166" t="str">
        <f>MRS!B6</f>
        <v>Crane</v>
      </c>
      <c r="C6" s="167"/>
      <c r="D6" s="168" t="str">
        <f>MRS!D6</f>
        <v>RT Crane 80 Ton</v>
      </c>
      <c r="E6" s="169"/>
      <c r="F6" s="170"/>
      <c r="G6" s="103" t="str">
        <f>MRS!G6</f>
        <v>Month</v>
      </c>
      <c r="H6" s="103">
        <f>MRS!H6</f>
        <v>1</v>
      </c>
      <c r="I6" s="104">
        <f>MRS!I6</f>
        <v>80000</v>
      </c>
      <c r="J6" s="104">
        <f>MRS!J6</f>
        <v>80000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6" t="str">
        <f>MRS!B7</f>
        <v>Crane Mob &amp; De-Mob. Charge</v>
      </c>
      <c r="C7" s="167"/>
      <c r="D7" s="168" t="str">
        <f>MRS!D7</f>
        <v>Mob. &amp; De-Mob. / per unit - lump sum</v>
      </c>
      <c r="E7" s="169"/>
      <c r="F7" s="170"/>
      <c r="G7" s="103" t="str">
        <f>MRS!G7</f>
        <v>L / S</v>
      </c>
      <c r="H7" s="103">
        <f>MRS!H7</f>
        <v>1</v>
      </c>
      <c r="I7" s="104">
        <f>MRS!I7</f>
        <v>8000</v>
      </c>
      <c r="J7" s="104">
        <f>MRS!J7</f>
        <v>8000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1"/>
      <c r="C8" s="162"/>
      <c r="D8" s="163"/>
      <c r="E8" s="164"/>
      <c r="F8" s="165"/>
      <c r="G8" s="107"/>
      <c r="H8" s="108"/>
      <c r="I8" s="109"/>
      <c r="J8" s="109"/>
      <c r="K8" s="105"/>
      <c r="O8" s="106"/>
      <c r="P8" s="106"/>
      <c r="R8" s="106"/>
    </row>
    <row r="9" spans="1:18" ht="105" customHeight="1">
      <c r="A9" s="21">
        <f>+MRS!A9</f>
        <v>4</v>
      </c>
      <c r="B9" s="161"/>
      <c r="C9" s="162"/>
      <c r="D9" s="163"/>
      <c r="E9" s="164"/>
      <c r="F9" s="165"/>
      <c r="G9" s="107"/>
      <c r="H9" s="108"/>
      <c r="I9" s="109"/>
      <c r="J9" s="109"/>
      <c r="K9" s="105"/>
      <c r="O9" s="106"/>
      <c r="P9" s="106"/>
      <c r="R9" s="106"/>
    </row>
    <row r="10" spans="1:18" ht="105" customHeight="1">
      <c r="A10" s="21">
        <f>+MRS!A10</f>
        <v>5</v>
      </c>
      <c r="B10" s="161"/>
      <c r="C10" s="162"/>
      <c r="D10" s="163"/>
      <c r="E10" s="164"/>
      <c r="F10" s="165"/>
      <c r="G10" s="107"/>
      <c r="H10" s="108"/>
      <c r="I10" s="109"/>
      <c r="J10" s="109"/>
      <c r="K10" s="105"/>
      <c r="O10" s="106"/>
      <c r="P10" s="106"/>
      <c r="R10" s="106"/>
    </row>
    <row r="11" spans="1:18" ht="105" customHeight="1">
      <c r="A11" s="21">
        <f>+MRS!A11</f>
        <v>6</v>
      </c>
      <c r="B11" s="161"/>
      <c r="C11" s="162"/>
      <c r="D11" s="163"/>
      <c r="E11" s="164"/>
      <c r="F11" s="165"/>
      <c r="G11" s="107"/>
      <c r="H11" s="108"/>
      <c r="I11" s="109"/>
      <c r="J11" s="109"/>
      <c r="K11" s="105"/>
      <c r="O11" s="106"/>
      <c r="P11" s="106"/>
      <c r="R11" s="106"/>
    </row>
    <row r="12" spans="1:18" ht="105" customHeight="1">
      <c r="A12" s="21">
        <f>+MRS!A12</f>
        <v>7</v>
      </c>
      <c r="B12" s="161"/>
      <c r="C12" s="162"/>
      <c r="D12" s="163"/>
      <c r="E12" s="164"/>
      <c r="F12" s="165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61"/>
      <c r="C13" s="162"/>
      <c r="D13" s="163"/>
      <c r="E13" s="164"/>
      <c r="F13" s="165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61"/>
      <c r="C14" s="162"/>
      <c r="D14" s="163"/>
      <c r="E14" s="164"/>
      <c r="F14" s="165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61"/>
      <c r="C15" s="162"/>
      <c r="D15" s="163"/>
      <c r="E15" s="164"/>
      <c r="F15" s="165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61"/>
      <c r="C16" s="162"/>
      <c r="D16" s="163"/>
      <c r="E16" s="164"/>
      <c r="F16" s="165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61"/>
      <c r="C17" s="162"/>
      <c r="D17" s="163"/>
      <c r="E17" s="164"/>
      <c r="F17" s="165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SheetLayoutView="130" workbookViewId="0">
      <selection activeCell="F67" sqref="F67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26</v>
      </c>
    </row>
    <row r="3" spans="2:13" s="22" customFormat="1">
      <c r="M3" s="24" t="s">
        <v>27</v>
      </c>
    </row>
    <row r="4" spans="2:13" s="22" customFormat="1">
      <c r="M4" s="24" t="s">
        <v>28</v>
      </c>
    </row>
    <row r="5" spans="2:13" s="22" customFormat="1">
      <c r="B5" s="25" t="s">
        <v>29</v>
      </c>
      <c r="M5" s="24" t="s">
        <v>30</v>
      </c>
    </row>
    <row r="6" spans="2:13" s="22" customFormat="1">
      <c r="M6" s="24" t="s">
        <v>31</v>
      </c>
    </row>
    <row r="7" spans="2:13">
      <c r="M7" s="27"/>
    </row>
    <row r="8" spans="2:13">
      <c r="M8" s="27"/>
    </row>
    <row r="9" spans="2:13" s="74" customFormat="1" ht="13.5">
      <c r="B9" s="72" t="s">
        <v>32</v>
      </c>
      <c r="C9" s="73" t="s">
        <v>104</v>
      </c>
      <c r="D9" s="39"/>
      <c r="E9" s="39"/>
    </row>
    <row r="10" spans="2:13" s="39" customFormat="1">
      <c r="B10" s="72"/>
      <c r="C10" s="39" t="s">
        <v>33</v>
      </c>
      <c r="D10" s="76" t="s">
        <v>106</v>
      </c>
      <c r="J10" s="39" t="s">
        <v>34</v>
      </c>
      <c r="K10" s="174">
        <f>MRS!L3</f>
        <v>45999</v>
      </c>
      <c r="L10" s="175"/>
      <c r="M10" s="175"/>
    </row>
    <row r="11" spans="2:13" s="39" customFormat="1">
      <c r="B11" s="72"/>
      <c r="C11" s="75" t="s">
        <v>35</v>
      </c>
      <c r="D11" s="76" t="s">
        <v>119</v>
      </c>
      <c r="J11" s="39" t="s">
        <v>36</v>
      </c>
      <c r="K11" s="176" t="str">
        <f>SUBSTITUTE(SUBSTITUTE(+MRS!A3,"  MRS No : ",""),"-MRS","-PO")</f>
        <v>SAC2-DS-PO-0176</v>
      </c>
      <c r="L11" s="176"/>
      <c r="M11" s="176"/>
    </row>
    <row r="12" spans="2:13" s="39" customFormat="1">
      <c r="B12" s="72"/>
      <c r="C12" s="75" t="s">
        <v>37</v>
      </c>
      <c r="D12" s="39" t="s">
        <v>105</v>
      </c>
      <c r="J12" s="39" t="s">
        <v>38</v>
      </c>
    </row>
    <row r="13" spans="2:13" s="39" customFormat="1">
      <c r="B13" s="72"/>
      <c r="C13" s="77"/>
      <c r="D13" s="76" t="s">
        <v>109</v>
      </c>
      <c r="J13" s="39" t="s">
        <v>39</v>
      </c>
    </row>
    <row r="14" spans="2:13" s="39" customFormat="1">
      <c r="B14" s="72"/>
      <c r="C14" s="77" t="s">
        <v>108</v>
      </c>
      <c r="J14" s="39" t="s">
        <v>40</v>
      </c>
      <c r="K14" s="39" t="s">
        <v>122</v>
      </c>
    </row>
    <row r="15" spans="2:13" s="39" customFormat="1">
      <c r="B15" s="72"/>
      <c r="C15" s="77" t="s">
        <v>107</v>
      </c>
      <c r="J15" s="39" t="s">
        <v>41</v>
      </c>
      <c r="K15" s="78">
        <v>45998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7" t="s">
        <v>42</v>
      </c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</row>
    <row r="19" spans="2:13" ht="12" customHeight="1"/>
    <row r="20" spans="2:13" s="31" customFormat="1" ht="12" customHeight="1">
      <c r="B20" s="178" t="s">
        <v>43</v>
      </c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s="178"/>
    </row>
    <row r="21" spans="2:13" s="31" customFormat="1" ht="12" customHeight="1">
      <c r="B21" s="178" t="s">
        <v>44</v>
      </c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178"/>
    </row>
    <row r="22" spans="2:13" s="31" customFormat="1" ht="12" customHeight="1">
      <c r="B22" s="178" t="s">
        <v>45</v>
      </c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</row>
    <row r="23" spans="2:13" ht="6.95" customHeight="1"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</row>
    <row r="24" spans="2:13" ht="6.95" customHeight="1">
      <c r="B24" s="180"/>
      <c r="C24" s="180"/>
      <c r="D24" s="180"/>
      <c r="E24" s="180"/>
      <c r="F24" s="180"/>
      <c r="G24" s="180"/>
      <c r="H24" s="180"/>
      <c r="I24" s="180"/>
      <c r="J24" s="180"/>
      <c r="K24" s="180"/>
      <c r="L24" s="180"/>
      <c r="M24" s="180"/>
    </row>
    <row r="25" spans="2:13" s="32" customFormat="1" ht="15" customHeight="1">
      <c r="B25" s="32">
        <v>1</v>
      </c>
      <c r="C25" s="32" t="s">
        <v>46</v>
      </c>
    </row>
    <row r="26" spans="2:13" s="39" customFormat="1" ht="12" customHeight="1">
      <c r="B26" s="73"/>
      <c r="C26" s="76" t="s">
        <v>123</v>
      </c>
      <c r="M26" s="79" t="s">
        <v>47</v>
      </c>
    </row>
    <row r="27" spans="2:13" ht="11.1" customHeight="1">
      <c r="B27" s="32"/>
    </row>
    <row r="28" spans="2:13" ht="15" customHeight="1">
      <c r="B28" s="32">
        <v>2</v>
      </c>
      <c r="C28" s="32" t="s">
        <v>48</v>
      </c>
    </row>
    <row r="29" spans="2:13" ht="12" customHeight="1">
      <c r="B29" s="32"/>
      <c r="C29" s="26" t="s">
        <v>49</v>
      </c>
      <c r="E29" s="26" t="s">
        <v>50</v>
      </c>
      <c r="F29" s="181" t="s">
        <v>110</v>
      </c>
      <c r="G29" s="181"/>
      <c r="H29" s="33"/>
      <c r="M29" s="34"/>
    </row>
    <row r="30" spans="2:13" ht="12" customHeight="1">
      <c r="B30" s="32"/>
      <c r="C30" s="26" t="s">
        <v>51</v>
      </c>
      <c r="E30" s="26" t="s">
        <v>50</v>
      </c>
      <c r="F30" s="181"/>
      <c r="G30" s="181"/>
    </row>
    <row r="31" spans="2:13" ht="12" customHeight="1">
      <c r="B31" s="32"/>
      <c r="C31" s="26" t="s">
        <v>52</v>
      </c>
      <c r="D31" s="35"/>
      <c r="E31" s="26" t="s">
        <v>50</v>
      </c>
      <c r="F31" s="181"/>
      <c r="G31" s="181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53</v>
      </c>
    </row>
    <row r="34" spans="2:13" ht="12" customHeight="1">
      <c r="B34" s="32"/>
      <c r="C34" s="22" t="s">
        <v>54</v>
      </c>
    </row>
    <row r="35" spans="2:13" ht="12" customHeight="1">
      <c r="B35" s="32"/>
      <c r="C35" s="22" t="s">
        <v>55</v>
      </c>
    </row>
    <row r="36" spans="2:13" ht="12" customHeight="1">
      <c r="B36" s="32"/>
      <c r="C36" s="22" t="s">
        <v>56</v>
      </c>
    </row>
    <row r="37" spans="2:13" ht="11.1" customHeight="1">
      <c r="B37" s="32"/>
    </row>
    <row r="38" spans="2:13" ht="15" customHeight="1">
      <c r="B38" s="32">
        <v>4</v>
      </c>
      <c r="C38" s="32" t="s">
        <v>57</v>
      </c>
    </row>
    <row r="39" spans="2:13" ht="12" customHeight="1">
      <c r="B39" s="32"/>
      <c r="C39" s="26" t="s">
        <v>58</v>
      </c>
    </row>
    <row r="40" spans="2:13" ht="11.1" customHeight="1">
      <c r="B40" s="32"/>
    </row>
    <row r="41" spans="2:13" ht="15" customHeight="1">
      <c r="B41" s="32">
        <v>5</v>
      </c>
      <c r="C41" s="32" t="s">
        <v>59</v>
      </c>
    </row>
    <row r="42" spans="2:13" ht="12" customHeight="1">
      <c r="B42" s="32"/>
      <c r="C42" s="36" t="s">
        <v>60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61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62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63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64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11.1" customHeight="1">
      <c r="B47" s="32"/>
    </row>
    <row r="48" spans="2:13" ht="15" customHeight="1">
      <c r="B48" s="32">
        <v>6</v>
      </c>
      <c r="C48" s="32" t="s">
        <v>65</v>
      </c>
    </row>
    <row r="49" spans="2:16" s="39" customFormat="1" ht="12" customHeight="1">
      <c r="B49" s="80" t="s">
        <v>66</v>
      </c>
      <c r="C49" s="81" t="s">
        <v>118</v>
      </c>
      <c r="P49" s="82"/>
    </row>
    <row r="50" spans="2:16" s="83" customFormat="1" ht="12" customHeight="1">
      <c r="B50" s="84" t="s">
        <v>66</v>
      </c>
      <c r="C50" s="81" t="s">
        <v>96</v>
      </c>
    </row>
    <row r="51" spans="2:16" s="83" customFormat="1" ht="12" customHeight="1">
      <c r="B51" s="84" t="s">
        <v>66</v>
      </c>
      <c r="C51" s="81" t="s">
        <v>95</v>
      </c>
    </row>
    <row r="52" spans="2:16" s="83" customFormat="1" ht="6" customHeight="1">
      <c r="B52" s="84"/>
      <c r="C52" s="81"/>
    </row>
    <row r="53" spans="2:16" ht="15" customHeight="1">
      <c r="B53" s="42">
        <v>7</v>
      </c>
      <c r="C53" s="32" t="s">
        <v>124</v>
      </c>
    </row>
    <row r="54" spans="2:16" ht="12" customHeight="1">
      <c r="B54" s="84" t="s">
        <v>66</v>
      </c>
      <c r="C54" s="204" t="s">
        <v>125</v>
      </c>
      <c r="F54" s="26" t="s">
        <v>133</v>
      </c>
      <c r="P54" s="26" t="str">
        <f>UPPER(F54)</f>
        <v>UNITED TECHNOLOGY CONTRACTING CO. LTD.</v>
      </c>
    </row>
    <row r="55" spans="2:16" ht="12" customHeight="1">
      <c r="B55" s="84" t="s">
        <v>66</v>
      </c>
      <c r="C55" s="204" t="s">
        <v>126</v>
      </c>
      <c r="F55" s="205" t="s">
        <v>134</v>
      </c>
    </row>
    <row r="56" spans="2:16" ht="12" customHeight="1">
      <c r="B56" s="84" t="s">
        <v>66</v>
      </c>
      <c r="C56" s="204" t="s">
        <v>127</v>
      </c>
      <c r="F56" s="205" t="s">
        <v>134</v>
      </c>
    </row>
    <row r="57" spans="2:16" ht="12" customHeight="1">
      <c r="B57" s="84" t="s">
        <v>66</v>
      </c>
      <c r="C57" s="204" t="s">
        <v>128</v>
      </c>
      <c r="F57" s="26" t="s">
        <v>135</v>
      </c>
    </row>
    <row r="58" spans="2:16" ht="12" customHeight="1">
      <c r="B58" s="84" t="s">
        <v>66</v>
      </c>
      <c r="C58" s="204" t="s">
        <v>129</v>
      </c>
      <c r="F58" s="26" t="s">
        <v>136</v>
      </c>
    </row>
    <row r="59" spans="2:16" ht="12" customHeight="1">
      <c r="B59" s="84" t="s">
        <v>66</v>
      </c>
      <c r="C59" s="204" t="s">
        <v>130</v>
      </c>
      <c r="F59" s="26" t="s">
        <v>131</v>
      </c>
    </row>
    <row r="60" spans="2:16" ht="12" customHeight="1">
      <c r="B60" s="84"/>
      <c r="C60" s="204" t="s">
        <v>132</v>
      </c>
    </row>
    <row r="61" spans="2:16" ht="3" customHeight="1"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2:16" ht="3" customHeight="1">
      <c r="B62" s="32"/>
    </row>
    <row r="63" spans="2:16" ht="11.1" customHeight="1">
      <c r="B63" s="42"/>
    </row>
    <row r="64" spans="2:16">
      <c r="B64" s="32" t="s">
        <v>67</v>
      </c>
      <c r="J64" s="32" t="s">
        <v>68</v>
      </c>
    </row>
    <row r="65" spans="1:13" ht="45.75" customHeight="1"/>
    <row r="66" spans="1:13" ht="18" customHeight="1">
      <c r="B66" s="26" t="s">
        <v>69</v>
      </c>
      <c r="J66" s="26" t="s">
        <v>69</v>
      </c>
    </row>
    <row r="67" spans="1:13" ht="18" customHeight="1">
      <c r="B67" s="26" t="s">
        <v>70</v>
      </c>
      <c r="J67" s="26" t="s">
        <v>71</v>
      </c>
      <c r="K67" s="22" t="str">
        <f>D12</f>
        <v>Muhammed Huzaifa</v>
      </c>
    </row>
    <row r="68" spans="1:13" ht="18" customHeight="1">
      <c r="B68" s="26" t="s">
        <v>72</v>
      </c>
      <c r="J68" s="26" t="s">
        <v>73</v>
      </c>
      <c r="K68" s="22" t="s">
        <v>99</v>
      </c>
    </row>
    <row r="69" spans="1:13" ht="15" customHeight="1">
      <c r="B69" s="26" t="s">
        <v>74</v>
      </c>
      <c r="J69" s="26" t="s">
        <v>75</v>
      </c>
    </row>
    <row r="70" spans="1:13" s="28" customFormat="1" ht="15" customHeight="1">
      <c r="B70" s="25" t="s">
        <v>76</v>
      </c>
      <c r="J70" s="124" t="str">
        <f>C9</f>
        <v>UTCC(United Technology Contracting Co. Ltd.)</v>
      </c>
    </row>
    <row r="71" spans="1:13" ht="27.95" customHeight="1">
      <c r="A71" s="173" t="s">
        <v>77</v>
      </c>
      <c r="B71" s="173"/>
      <c r="C71" s="173"/>
      <c r="D71" s="173"/>
      <c r="E71" s="173"/>
      <c r="F71" s="173"/>
      <c r="G71" s="173"/>
      <c r="H71" s="173"/>
      <c r="I71" s="173"/>
      <c r="J71" s="173"/>
      <c r="K71" s="173"/>
      <c r="L71" s="173"/>
      <c r="M71" s="173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2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ignoredErrors>
    <ignoredError sqref="D10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6" sqref="B6:C6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78</v>
      </c>
      <c r="B2" s="47" t="str">
        <f>+'PO 1st page'!K11</f>
        <v>SAC2-DS-PO-0176</v>
      </c>
      <c r="C2" s="188" t="s">
        <v>79</v>
      </c>
      <c r="D2" s="188"/>
      <c r="E2" s="188"/>
      <c r="F2" s="188"/>
      <c r="G2" s="48"/>
      <c r="H2" s="48"/>
    </row>
    <row r="3" spans="1:13" s="54" customFormat="1" ht="28.5" customHeight="1" thickBot="1">
      <c r="A3" s="49" t="s">
        <v>80</v>
      </c>
      <c r="B3" s="50">
        <f>+'PO 1st page'!K10</f>
        <v>45999</v>
      </c>
      <c r="C3" s="51"/>
      <c r="D3" s="52"/>
      <c r="E3" s="189" t="s">
        <v>81</v>
      </c>
      <c r="F3" s="189"/>
      <c r="G3" s="189"/>
      <c r="H3" s="189"/>
      <c r="I3" s="53"/>
    </row>
    <row r="4" spans="1:13" s="55" customFormat="1" ht="28.5" customHeight="1" thickTop="1">
      <c r="A4" s="190" t="s">
        <v>82</v>
      </c>
      <c r="B4" s="192" t="s">
        <v>83</v>
      </c>
      <c r="C4" s="193"/>
      <c r="D4" s="196" t="s">
        <v>84</v>
      </c>
      <c r="E4" s="196" t="s">
        <v>85</v>
      </c>
      <c r="F4" s="198" t="str">
        <f>'PO 1st page'!C9</f>
        <v>UTCC(United Technology Contracting Co. Ltd.)</v>
      </c>
      <c r="G4" s="199"/>
      <c r="H4" s="200" t="s">
        <v>86</v>
      </c>
      <c r="K4" s="56"/>
      <c r="L4" s="56"/>
      <c r="M4" s="56"/>
    </row>
    <row r="5" spans="1:13" s="55" customFormat="1" ht="21.95" customHeight="1">
      <c r="A5" s="191"/>
      <c r="B5" s="194"/>
      <c r="C5" s="195"/>
      <c r="D5" s="197"/>
      <c r="E5" s="197"/>
      <c r="F5" s="57" t="s">
        <v>87</v>
      </c>
      <c r="G5" s="57" t="s">
        <v>52</v>
      </c>
      <c r="H5" s="201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202" t="str">
        <f>+'MRS LIST'!B6</f>
        <v>Crane</v>
      </c>
      <c r="C6" s="203"/>
      <c r="D6" s="86" t="str">
        <f>+'MRS LIST'!G6</f>
        <v>Month</v>
      </c>
      <c r="E6" s="87">
        <f>+'MRS LIST'!H6</f>
        <v>1</v>
      </c>
      <c r="F6" s="88">
        <f>+'MRS LIST'!I6</f>
        <v>80000</v>
      </c>
      <c r="G6" s="89">
        <f>+'MRS LIST'!J6</f>
        <v>80000</v>
      </c>
      <c r="H6" s="90" t="str">
        <f>MRS!L6</f>
        <v>Monthly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202" t="str">
        <f>+'MRS LIST'!B7</f>
        <v>Crane Mob &amp; De-Mob. Charge</v>
      </c>
      <c r="C7" s="203"/>
      <c r="D7" s="86" t="str">
        <f>+'MRS LIST'!G7</f>
        <v>L / S</v>
      </c>
      <c r="E7" s="87">
        <f>+'MRS LIST'!H7</f>
        <v>1</v>
      </c>
      <c r="F7" s="88">
        <f>+'MRS LIST'!I7</f>
        <v>8000</v>
      </c>
      <c r="G7" s="89">
        <f>+'MRS LIST'!J7</f>
        <v>8000</v>
      </c>
      <c r="H7" s="90" t="str">
        <f>MRS!L7</f>
        <v>One Time</v>
      </c>
      <c r="K7" s="91"/>
      <c r="L7" s="92"/>
      <c r="M7" s="56"/>
    </row>
    <row r="8" spans="1:13" s="55" customFormat="1" ht="32.1" customHeight="1">
      <c r="A8" s="93">
        <f t="shared" si="0"/>
        <v>3</v>
      </c>
      <c r="B8" s="186"/>
      <c r="C8" s="187"/>
      <c r="D8" s="94"/>
      <c r="E8" s="95"/>
      <c r="F8" s="96"/>
      <c r="G8" s="97"/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6"/>
      <c r="C9" s="187"/>
      <c r="D9" s="94"/>
      <c r="E9" s="95"/>
      <c r="F9" s="96"/>
      <c r="G9" s="97"/>
      <c r="H9" s="98"/>
    </row>
    <row r="10" spans="1:13" s="55" customFormat="1" ht="32.1" customHeight="1">
      <c r="A10" s="93">
        <f t="shared" si="0"/>
        <v>5</v>
      </c>
      <c r="B10" s="186"/>
      <c r="C10" s="187"/>
      <c r="D10" s="94"/>
      <c r="E10" s="95"/>
      <c r="F10" s="96"/>
      <c r="G10" s="97"/>
      <c r="H10" s="98"/>
    </row>
    <row r="11" spans="1:13" s="55" customFormat="1" ht="32.1" customHeight="1">
      <c r="A11" s="93">
        <f t="shared" si="0"/>
        <v>6</v>
      </c>
      <c r="B11" s="186"/>
      <c r="C11" s="187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86"/>
      <c r="C12" s="187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6"/>
      <c r="C13" s="187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6"/>
      <c r="C14" s="187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6"/>
      <c r="C15" s="187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6"/>
      <c r="C16" s="187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6"/>
      <c r="C17" s="187"/>
      <c r="D17" s="94"/>
      <c r="E17" s="95"/>
      <c r="F17" s="96"/>
      <c r="G17" s="97"/>
      <c r="H17" s="98"/>
    </row>
    <row r="18" spans="1:13" s="55" customFormat="1" ht="23.1" customHeight="1">
      <c r="A18" s="182" t="s">
        <v>88</v>
      </c>
      <c r="B18" s="183"/>
      <c r="C18" s="183"/>
      <c r="D18" s="183"/>
      <c r="E18" s="183"/>
      <c r="F18" s="183"/>
      <c r="G18" s="58">
        <f>SUM(G6:G17)</f>
        <v>88000</v>
      </c>
      <c r="H18" s="59"/>
    </row>
    <row r="19" spans="1:13" s="55" customFormat="1" ht="23.1" customHeight="1">
      <c r="A19" s="182" t="s">
        <v>51</v>
      </c>
      <c r="B19" s="183"/>
      <c r="C19" s="183"/>
      <c r="D19" s="183"/>
      <c r="E19" s="183"/>
      <c r="F19" s="183"/>
      <c r="G19" s="58">
        <f>+G18*0.15</f>
        <v>13200</v>
      </c>
      <c r="H19" s="59"/>
    </row>
    <row r="20" spans="1:13" s="55" customFormat="1" ht="24.95" customHeight="1" thickBot="1">
      <c r="A20" s="184" t="s">
        <v>89</v>
      </c>
      <c r="B20" s="185"/>
      <c r="C20" s="185"/>
      <c r="D20" s="185"/>
      <c r="E20" s="185"/>
      <c r="F20" s="185"/>
      <c r="G20" s="60">
        <f>G19+G18</f>
        <v>101200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UT-EQUO-25-3639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90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3" t="s">
        <v>91</v>
      </c>
      <c r="B24" s="173"/>
      <c r="C24" s="173"/>
      <c r="D24" s="173"/>
      <c r="E24" s="173"/>
      <c r="F24" s="173"/>
      <c r="G24" s="173"/>
      <c r="H24" s="173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2025-12-08T13:12:52Z</cp:lastPrinted>
  <dcterms:created xsi:type="dcterms:W3CDTF">2024-10-20T11:50:19Z</dcterms:created>
  <dcterms:modified xsi:type="dcterms:W3CDTF">2025-12-08T13:13:14Z</dcterms:modified>
</cp:coreProperties>
</file>