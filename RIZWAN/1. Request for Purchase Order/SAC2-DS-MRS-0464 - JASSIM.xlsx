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8F319682-79F8-454E-97CE-CADDFA15571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MRS!$A$1:$M$103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page'!$A$1:$H$101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5" i="4" l="1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G6" i="4"/>
  <c r="F6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24" i="4"/>
  <c r="A25" i="4"/>
  <c r="A26" i="4"/>
  <c r="A27" i="4"/>
  <c r="J95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J53" i="2" l="1"/>
  <c r="I53" i="2"/>
  <c r="H53" i="2"/>
  <c r="G53" i="2"/>
  <c r="J52" i="2"/>
  <c r="I52" i="2"/>
  <c r="H52" i="2"/>
  <c r="G52" i="2"/>
  <c r="J51" i="2"/>
  <c r="I51" i="2"/>
  <c r="H51" i="2"/>
  <c r="G51" i="2"/>
  <c r="J50" i="2"/>
  <c r="I50" i="2"/>
  <c r="H50" i="2"/>
  <c r="G50" i="2"/>
  <c r="J49" i="2"/>
  <c r="I49" i="2"/>
  <c r="H49" i="2"/>
  <c r="G49" i="2"/>
  <c r="J48" i="2"/>
  <c r="I48" i="2"/>
  <c r="H48" i="2"/>
  <c r="G48" i="2"/>
  <c r="J47" i="2"/>
  <c r="I47" i="2"/>
  <c r="H47" i="2"/>
  <c r="G47" i="2"/>
  <c r="J46" i="2"/>
  <c r="I46" i="2"/>
  <c r="H46" i="2"/>
  <c r="G46" i="2"/>
  <c r="J45" i="2"/>
  <c r="I45" i="2"/>
  <c r="H45" i="2"/>
  <c r="G45" i="2"/>
  <c r="J44" i="2"/>
  <c r="I44" i="2"/>
  <c r="H44" i="2"/>
  <c r="G44" i="2"/>
  <c r="J43" i="2"/>
  <c r="I43" i="2"/>
  <c r="H43" i="2"/>
  <c r="G43" i="2"/>
  <c r="J42" i="2"/>
  <c r="I42" i="2"/>
  <c r="H42" i="2"/>
  <c r="G42" i="2"/>
  <c r="J41" i="2"/>
  <c r="I41" i="2"/>
  <c r="H41" i="2"/>
  <c r="G41" i="2"/>
  <c r="J40" i="2"/>
  <c r="I40" i="2"/>
  <c r="H40" i="2"/>
  <c r="G40" i="2"/>
  <c r="J39" i="2"/>
  <c r="I39" i="2"/>
  <c r="H39" i="2"/>
  <c r="G39" i="2"/>
  <c r="J38" i="2"/>
  <c r="I38" i="2"/>
  <c r="H38" i="2"/>
  <c r="G38" i="2"/>
  <c r="J37" i="2"/>
  <c r="I37" i="2"/>
  <c r="H37" i="2"/>
  <c r="G37" i="2"/>
  <c r="J36" i="2"/>
  <c r="I36" i="2"/>
  <c r="H36" i="2"/>
  <c r="G36" i="2"/>
  <c r="J35" i="2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A23" i="4"/>
  <c r="A22" i="4"/>
  <c r="A21" i="4"/>
  <c r="A20" i="4"/>
  <c r="A19" i="4"/>
  <c r="A18" i="4"/>
  <c r="A17" i="4"/>
  <c r="A16" i="4"/>
  <c r="A15" i="4"/>
  <c r="A14" i="4"/>
  <c r="A13" i="4"/>
  <c r="E3" i="1"/>
  <c r="J27" i="2" l="1"/>
  <c r="J26" i="2"/>
  <c r="J25" i="2"/>
  <c r="J24" i="2"/>
  <c r="J23" i="1"/>
  <c r="J23" i="2" s="1"/>
  <c r="J22" i="1"/>
  <c r="J22" i="2" s="1"/>
  <c r="J21" i="1"/>
  <c r="J21" i="2" s="1"/>
  <c r="J20" i="1"/>
  <c r="J20" i="2" s="1"/>
  <c r="J19" i="1"/>
  <c r="J19" i="2" s="1"/>
  <c r="J18" i="1"/>
  <c r="J18" i="2" s="1"/>
  <c r="J17" i="1"/>
  <c r="J17" i="2" s="1"/>
  <c r="J16" i="1"/>
  <c r="J16" i="2" s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H6" i="2" l="1"/>
  <c r="G6" i="2"/>
  <c r="D6" i="2"/>
  <c r="B7" i="2"/>
  <c r="B6" i="2"/>
  <c r="E6" i="4"/>
  <c r="D6" i="4"/>
  <c r="A12" i="4"/>
  <c r="A9" i="2"/>
  <c r="A10" i="2"/>
  <c r="A11" i="2"/>
  <c r="A12" i="2"/>
  <c r="A13" i="2"/>
  <c r="A14" i="2"/>
  <c r="A15" i="2"/>
  <c r="J6" i="1"/>
  <c r="J6" i="2" s="1"/>
  <c r="K67" i="3" l="1"/>
  <c r="K10" i="3" l="1"/>
  <c r="A98" i="4" l="1"/>
  <c r="I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F29" i="3" l="1"/>
  <c r="G96" i="4" l="1"/>
  <c r="F30" i="3" s="1"/>
  <c r="G97" i="4" l="1"/>
  <c r="F31" i="3" s="1"/>
</calcChain>
</file>

<file path=xl/sharedStrings.xml><?xml version="1.0" encoding="utf-8"?>
<sst xmlns="http://schemas.openxmlformats.org/spreadsheetml/2006/main" count="334" uniqueCount="227">
  <si>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</si>
  <si>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</si>
  <si>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</si>
  <si>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</si>
  <si>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</si>
  <si>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</si>
  <si>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</si>
  <si>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</si>
  <si>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</si>
  <si>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</si>
  <si>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</si>
  <si>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</si>
  <si>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</si>
  <si>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</si>
  <si>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</si>
  <si>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</si>
  <si>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</si>
  <si>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</si>
  <si>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</si>
  <si>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</si>
  <si>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</si>
  <si>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</si>
  <si>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</si>
  <si>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</si>
  <si>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</si>
  <si>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</si>
  <si>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</si>
  <si>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</si>
  <si>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</si>
  <si>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</si>
  <si>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</si>
  <si>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</si>
  <si>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</si>
  <si>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</si>
  <si>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</si>
  <si>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</si>
  <si>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</si>
  <si>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</si>
  <si>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</si>
  <si>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</si>
  <si>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</si>
  <si>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</si>
  <si>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</si>
  <si>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</si>
  <si>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</si>
  <si>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</si>
  <si>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</si>
  <si>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</si>
  <si>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</si>
  <si>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</si>
  <si>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</si>
  <si>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</si>
  <si>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</si>
  <si>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</si>
  <si>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</si>
  <si>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</si>
  <si>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</si>
  <si>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</si>
  <si>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</si>
  <si>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</si>
  <si>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</si>
  <si>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</si>
  <si>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</si>
  <si>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</si>
  <si>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</si>
  <si>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</si>
  <si>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</si>
  <si>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</si>
  <si>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</si>
  <si>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</si>
  <si>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</si>
  <si>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</si>
  <si>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</si>
  <si>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</si>
  <si>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</si>
  <si>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</si>
  <si>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</si>
  <si>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</si>
  <si>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</si>
  <si>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</si>
  <si>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</si>
  <si>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</si>
  <si>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</si>
  <si>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</si>
  <si>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</si>
  <si>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</si>
  <si>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</si>
  <si>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</si>
  <si>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</si>
  <si>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</si>
  <si>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</si>
  <si>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</si>
  <si>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</si>
  <si>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</si>
  <si>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</si>
  <si>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</si>
  <si>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</si>
  <si>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</si>
  <si>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</si>
  <si>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</si>
  <si>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</si>
  <si>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</si>
  <si>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</si>
  <si>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</si>
  <si>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</si>
  <si>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</si>
  <si>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</si>
  <si>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</si>
  <si>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</si>
  <si>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</si>
  <si>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</si>
  <si>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</si>
  <si>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</si>
  <si>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</si>
  <si>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</si>
  <si>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</si>
  <si>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</si>
  <si>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</si>
  <si>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</si>
  <si>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</si>
  <si>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</si>
  <si>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</si>
  <si>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</si>
  <si>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</si>
  <si>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</si>
  <si>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</si>
  <si>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</si>
  <si>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</si>
  <si>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</si>
  <si>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</si>
  <si>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Site Tools &amp; Materials</t>
  </si>
  <si>
    <t>Box</t>
  </si>
  <si>
    <t>Roll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</si>
  <si>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-MRS-0464</t>
    </r>
  </si>
  <si>
    <t>Wire End Brush S/S 2"x6mm</t>
  </si>
  <si>
    <t>Grease Nipple 1/4"</t>
  </si>
  <si>
    <t>Taper Gauge 15mm</t>
  </si>
  <si>
    <t>Impact Socket 1/2"dr x 27mm x 50mmL</t>
  </si>
  <si>
    <t>Impact Socket 3/8"dr x 13mm x 28mmL</t>
  </si>
  <si>
    <t>Two Way Radio VHF GPS DP4401 EX Motorola ATEX/IECEx Ex-Proof</t>
  </si>
  <si>
    <t>Cutting Disc C/S 4"x3mm Maks</t>
  </si>
  <si>
    <t>LED Torch Light Rechargeable GFL4658Z Geepas</t>
  </si>
  <si>
    <t>Polyester Rope TS8100M 8mmx100mtr</t>
  </si>
  <si>
    <t>Anchorage Wire Rope Sling 6FT with TPI Certificate</t>
  </si>
  <si>
    <t>HDPE Bucket Heavy Duty 5Ltr</t>
  </si>
  <si>
    <t>Impact Socket 3/8"dr x 13mm x 50mmL</t>
  </si>
  <si>
    <t>Concrete Drill Bit 18mmx500mm</t>
  </si>
  <si>
    <t>Magnetic Drill Bit TCT 22x100mm</t>
  </si>
  <si>
    <t>Coated Plywood 4'x8'x18mm</t>
  </si>
  <si>
    <t>Latex Half Coated Gloves Green Crinkled</t>
  </si>
  <si>
    <t>Zinc Spray Paint Weicon</t>
  </si>
  <si>
    <t>Sponge Foam Sheet 900x1900x100mm</t>
  </si>
  <si>
    <t>Tig Collet Body 350A 2.4mm</t>
  </si>
  <si>
    <t>Tig Collet Body 250A 2.4mm</t>
  </si>
  <si>
    <t>Tig Collet Pin 350A 3.2mm</t>
  </si>
  <si>
    <t>Tig Torch Head with Handle</t>
  </si>
  <si>
    <t>Tig Torch Switch</t>
  </si>
  <si>
    <t>Ceramic Nozzle 350A #5</t>
  </si>
  <si>
    <t>Ceramic Nozzle 350A #7</t>
  </si>
  <si>
    <t>Ceramic Nozzle 350A #8</t>
  </si>
  <si>
    <t>Waterproof Pigtail Connector (Tig Torch Connector Male &amp; Female)</t>
  </si>
  <si>
    <t>Fitting for Welding Shield Mask and Safety Helmet</t>
  </si>
  <si>
    <t>Welding Glass Clear 108x50x2mm Kasweld</t>
  </si>
  <si>
    <t>Digital Vernier Caliper 150mm</t>
  </si>
  <si>
    <t>Cotton Gloves 40GSM</t>
  </si>
  <si>
    <t>Corrugated Sheet White 0.32mmx1mtrx3mtr</t>
  </si>
  <si>
    <t>Laser Pointer Green Dot Long Range 50-500Mtr</t>
  </si>
  <si>
    <t>Pipe Threading Machine 1/2"-2" NPT Supertronic 2SE Rothenberger</t>
  </si>
  <si>
    <t>Threading Dies 1/2"-3/4" NPT 56373 Rothenberger</t>
  </si>
  <si>
    <t>Threading Dies 1"-2" NPT 56374 Rothenberger</t>
  </si>
  <si>
    <t>Magnifying Glass 50mm</t>
  </si>
  <si>
    <t>AC Clamp Meter 600V AC/DC 600A TRMS UT202A+ UNI-T</t>
  </si>
  <si>
    <t>Die Grinder 6mm 220V with Paddle Switch GD0600 Makita</t>
  </si>
  <si>
    <t>Metal Whistle</t>
  </si>
  <si>
    <t>Impact Socket 3/4"dr x 27mm x 50mmL</t>
  </si>
  <si>
    <t>Impact Socket 3/4"dr x 32mm x 50mmL</t>
  </si>
  <si>
    <t>Impact Socket 3/4"dr x 36mm x 50mmL</t>
  </si>
  <si>
    <t>Thread Dies 1/2"-3/4" NPT 89101 Asada</t>
  </si>
  <si>
    <t>Thread Dies 1"-2" NPT 89102 Asada</t>
  </si>
  <si>
    <t>Thread Dies 2-1/2"-4" NPT for Asada</t>
  </si>
  <si>
    <t>Magnetic Drill Bit TCT 22x200mm</t>
  </si>
  <si>
    <t>Weld Purge Oxygen Monitor PurgEye100</t>
  </si>
  <si>
    <t>Diamond Cutting Wheel 4"</t>
  </si>
  <si>
    <t>Diamond Grinding Wheel 4"</t>
  </si>
  <si>
    <t>Rubber Chemical Gloves XL Heavy Duty Red Color</t>
  </si>
  <si>
    <t>Safety Whipcheck Cable 1/8"x550mm</t>
  </si>
  <si>
    <t>Aluminum Foil Insulation 1x50mtr x 10mm thickness</t>
  </si>
  <si>
    <t>Multi Gas Detector Max XT with Pump Honeywell</t>
  </si>
  <si>
    <t>Industrial Mist Fan 26" 220V</t>
  </si>
  <si>
    <t>Low Chloride Paint Marker Black</t>
  </si>
  <si>
    <t>Low Chloride Paint Marker Yellow</t>
  </si>
  <si>
    <t>Hi-Lo Welding Gauge</t>
  </si>
  <si>
    <t>Carbide Burr Cone Shape G1225x06</t>
  </si>
  <si>
    <t>PVC Coated Orange Fire Blanket 1x50mtr</t>
  </si>
  <si>
    <t>Wrapping Film Roll 50cm 50mtr 3Kg</t>
  </si>
  <si>
    <t>Tig Collet Pin 350A 2.4mm</t>
  </si>
  <si>
    <t>Tig Collet Pin 250A 2.4mm</t>
  </si>
  <si>
    <t>Split Level 300mm</t>
  </si>
  <si>
    <t>Masking Tape 2"x20yard (24ea/box)</t>
  </si>
  <si>
    <t>Cutting Disc S/S 4"x1mm Maks</t>
  </si>
  <si>
    <t>Cup Brush C/S Crimped M10x75mm</t>
  </si>
  <si>
    <t>Tig Torch Back Cap Long (57Y02)</t>
  </si>
  <si>
    <t>Tig Torch Back Cap Short (57Y04)</t>
  </si>
  <si>
    <t>Argon Regulator Connector Nut &amp; Nipple 9/16"-1/4"</t>
  </si>
  <si>
    <t>Tig Torch Set Fixed Type 5mtr</t>
  </si>
  <si>
    <t>Tube Cutter 3-30mm Super Ego Spain</t>
  </si>
  <si>
    <t>Tube Cutter 12-50mm Super Ego Spain</t>
  </si>
  <si>
    <t>Tube Cutting Wheel 5mm ID, 18mm OD, Super Ego Spain</t>
  </si>
  <si>
    <t>Combination Spanner 22mm</t>
  </si>
  <si>
    <t>Combination Spanner 27mm</t>
  </si>
  <si>
    <t>Combination Spanner 32mm</t>
  </si>
  <si>
    <t>Suspension Trauma Strap</t>
  </si>
  <si>
    <t>WD-40 330ml (24pcs/box)</t>
  </si>
  <si>
    <t>Hole Saw Cutter TCT 50x50mm</t>
  </si>
  <si>
    <t>Paint Scraper 3"</t>
  </si>
  <si>
    <t>Cutting Disc C/S 5"x1mm Maks</t>
  </si>
  <si>
    <t>Tig Torch Set 4mtr WP-9V-4M with Hose &amp; Cable</t>
  </si>
  <si>
    <t>Tig Torch Back Cap Long 9V-41V24</t>
  </si>
  <si>
    <t>Tig Torch Back Cap Short 9V-41V33</t>
  </si>
  <si>
    <t>Tig Collet Pin 2.4mm 13N23</t>
  </si>
  <si>
    <t>Tig Collet Body 2.4mm 13N28</t>
  </si>
  <si>
    <t>Tig Torch Head Flexible 9FV</t>
  </si>
  <si>
    <t>Ceramic Nozzle 9V #6 13N10</t>
  </si>
  <si>
    <t>Nos</t>
  </si>
  <si>
    <t>Set</t>
  </si>
  <si>
    <t>Pair</t>
  </si>
  <si>
    <t>Q-20263234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</si>
</sst>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0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0" xfId="6" applyFont="1" applyFill="1" applyBorder="1" applyAlignment="1">
      <alignment horizontal="center" vertical="center" wrapText="1"/>
    </xf>
    <xf numFmtId="43" fontId="12" fillId="0" borderId="20" xfId="6" quotePrefix="1" applyNumberFormat="1" applyFont="1" applyBorder="1" applyAlignment="1">
      <alignment vertical="center" wrapText="1"/>
    </xf>
    <xf numFmtId="0" fontId="7" fillId="0" borderId="34" xfId="6" applyFont="1" applyBorder="1"/>
    <xf numFmtId="170" fontId="9" fillId="0" borderId="39" xfId="6" applyNumberFormat="1" applyFont="1" applyBorder="1" applyAlignment="1">
      <alignment horizontal="center" vertical="center" wrapText="1"/>
    </xf>
    <xf numFmtId="0" fontId="7" fillId="0" borderId="40" xfId="6" applyFont="1" applyBorder="1"/>
    <xf numFmtId="0" fontId="9" fillId="0" borderId="0" xfId="6" applyFont="1" applyAlignment="1">
      <alignment vertical="center"/>
    </xf>
    <xf numFmtId="0" fontId="25" fillId="0" borderId="41" xfId="6" applyFont="1" applyBorder="1" applyAlignment="1">
      <alignment vertical="center"/>
    </xf>
    <xf numFmtId="0" fontId="25" fillId="0" borderId="41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5" xfId="6" quotePrefix="1" applyFont="1" applyBorder="1" applyAlignment="1">
      <alignment horizontal="center" vertical="center"/>
    </xf>
    <xf numFmtId="0" fontId="5" fillId="2" borderId="36" xfId="7" applyFont="1" applyFill="1" applyBorder="1" applyAlignment="1">
      <alignment horizontal="center" vertical="center" wrapText="1"/>
    </xf>
    <xf numFmtId="0" fontId="5" fillId="2" borderId="36" xfId="8" applyFont="1" applyFill="1" applyBorder="1" applyAlignment="1">
      <alignment horizontal="center" vertical="center"/>
    </xf>
    <xf numFmtId="43" fontId="5" fillId="0" borderId="36" xfId="9" quotePrefix="1" applyFont="1" applyFill="1" applyBorder="1" applyAlignment="1">
      <alignment vertical="center"/>
    </xf>
    <xf numFmtId="0" fontId="2" fillId="0" borderId="37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3" xfId="6" quotePrefix="1" applyFont="1" applyBorder="1" applyAlignment="1">
      <alignment horizontal="center" vertical="center"/>
    </xf>
    <xf numFmtId="0" fontId="2" fillId="0" borderId="34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0" xfId="0" applyFont="1" applyBorder="1" applyAlignment="1">
      <alignment horizontal="center" vertical="center"/>
    </xf>
    <xf numFmtId="172" fontId="41" fillId="0" borderId="20" xfId="10" applyNumberFormat="1" applyFont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4" xfId="0" applyNumberFormat="1" applyFont="1" applyBorder="1" applyAlignment="1">
      <alignment horizontal="right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18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0" fontId="2" fillId="2" borderId="16" xfId="1" applyFill="1" applyBorder="1" applyAlignment="1">
      <alignment vertical="center"/>
    </xf>
    <xf numFmtId="0" fontId="2" fillId="2" borderId="16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2" xfId="5" applyFont="1" applyFill="1" applyBorder="1"/>
    <xf numFmtId="0" fontId="17" fillId="3" borderId="42" xfId="5" applyFont="1" applyFill="1" applyBorder="1"/>
    <xf numFmtId="0" fontId="5" fillId="2" borderId="19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3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8" fontId="56" fillId="0" borderId="7" xfId="3" applyNumberFormat="1" applyFont="1" applyBorder="1" applyAlignment="1">
      <alignment horizontal="right"/>
    </xf>
    <xf numFmtId="0" fontId="13" fillId="0" borderId="8" xfId="0" applyFont="1" applyBorder="1" applyAlignment="1">
      <alignment horizontal="center" vertical="center"/>
    </xf>
    <xf numFmtId="40" fontId="13" fillId="0" borderId="8" xfId="0" applyNumberFormat="1" applyFont="1" applyBorder="1">
      <alignment vertical="center"/>
    </xf>
    <xf numFmtId="167" fontId="2" fillId="0" borderId="8" xfId="0" applyNumberFormat="1" applyFont="1" applyBorder="1" applyAlignment="1">
      <alignment horizontal="right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2" fillId="2" borderId="14" xfId="1" applyFill="1" applyBorder="1" applyAlignment="1">
      <alignment horizontal="center" vertical="center" wrapText="1"/>
    </xf>
    <xf numFmtId="0" fontId="2" fillId="2" borderId="17" xfId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44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43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2" xfId="0" applyFont="1" applyFill="1" applyBorder="1" applyAlignment="1">
      <alignment horizontal="center" vertical="center" wrapText="1"/>
    </xf>
    <xf numFmtId="0" fontId="41" fillId="0" borderId="21" xfId="0" applyFont="1" applyBorder="1" applyAlignment="1">
      <alignment horizontal="left" vertical="center" wrapText="1"/>
    </xf>
    <xf numFmtId="0" fontId="41" fillId="0" borderId="22" xfId="0" applyFont="1" applyBorder="1" applyAlignment="1">
      <alignment horizontal="left" vertical="center" wrapText="1"/>
    </xf>
    <xf numFmtId="0" fontId="14" fillId="2" borderId="20" xfId="1" applyFont="1" applyFill="1" applyBorder="1" applyAlignment="1">
      <alignment horizontal="center" vertical="center"/>
    </xf>
    <xf numFmtId="0" fontId="14" fillId="2" borderId="20" xfId="1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4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41" fillId="3" borderId="21" xfId="5" applyFont="1" applyFill="1" applyBorder="1" applyAlignment="1">
      <alignment horizontal="left" vertical="center" wrapText="1"/>
    </xf>
    <xf numFmtId="0" fontId="41" fillId="3" borderId="22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5" xfId="6" applyFont="1" applyBorder="1" applyAlignment="1">
      <alignment horizontal="right" vertical="center"/>
    </xf>
    <xf numFmtId="0" fontId="7" fillId="4" borderId="26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27" xfId="6" applyFont="1" applyFill="1" applyBorder="1" applyAlignment="1">
      <alignment horizontal="center" vertical="center" wrapText="1"/>
    </xf>
    <xf numFmtId="0" fontId="7" fillId="4" borderId="28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12" fillId="0" borderId="33" xfId="6" quotePrefix="1" applyFont="1" applyBorder="1" applyAlignment="1">
      <alignment horizontal="right" vertical="center"/>
    </xf>
    <xf numFmtId="0" fontId="12" fillId="0" borderId="20" xfId="6" quotePrefix="1" applyFont="1" applyBorder="1" applyAlignment="1">
      <alignment horizontal="right" vertical="center"/>
    </xf>
    <xf numFmtId="0" fontId="9" fillId="0" borderId="38" xfId="6" quotePrefix="1" applyFont="1" applyBorder="1" applyAlignment="1">
      <alignment horizontal="right" vertical="center"/>
    </xf>
    <xf numFmtId="0" fontId="9" fillId="0" borderId="39" xfId="6" quotePrefix="1" applyFont="1" applyBorder="1" applyAlignment="1">
      <alignment horizontal="right" vertical="center"/>
    </xf>
    <xf numFmtId="0" fontId="2" fillId="3" borderId="14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vertical="center" wrapText="1"/>
    </xf>
    <xf numFmtId="0" fontId="2" fillId="3" borderId="15" xfId="0" applyFont="1" applyFill="1" applyBorder="1" applyAlignment="1">
      <alignment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1559593</xdr:colOff>
          <xdr:row>96</xdr:row>
          <xdr:rowOff>45619</xdr:rowOff>
        </xdr:from>
        <xdr:to>
          <xdr:col>11</xdr:col>
          <xdr:colOff>1675397</xdr:colOff>
          <xdr:row>102</xdr:row>
          <xdr:rowOff>283744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E086B2F-AB31-E0D2-8CD8-9D9ED6A2D9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99:$Y$104" spid="_x0000_s13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51672" y="10593303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131"/>
  <sheetViews>
    <sheetView showGridLines="0" tabSelected="1" view="pageBreakPreview" topLeftCell="A11" zoomScale="95" zoomScaleNormal="95" zoomScaleSheetLayoutView="95" workbookViewId="0">
      <selection activeCell="I24" sqref="I24"/>
    </sheetView>
  </sheetViews>
  <sheetFormatPr defaultColWidth="9" defaultRowHeight="21" customHeight="1"/>
  <cols>
    <col min="1" max="1" width="3.7109375" style="2" customWidth="1"/>
    <col min="2" max="3" width="30.7109375" style="2" customWidth="1"/>
    <col min="4" max="4" width="12.7109375" style="2" customWidth="1"/>
    <col min="5" max="5" width="6" style="2" customWidth="1"/>
    <col min="6" max="6" width="14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7" t="s">
        <v>128</v>
      </c>
      <c r="B1" s="118"/>
      <c r="C1" s="94"/>
      <c r="D1" s="94"/>
      <c r="E1" s="94"/>
      <c r="F1" s="94"/>
      <c r="G1" s="1"/>
      <c r="J1" s="139" t="s">
        <v>81</v>
      </c>
      <c r="K1" s="140"/>
      <c r="L1" s="141"/>
    </row>
    <row r="2" spans="1:18" ht="20.100000000000001" customHeight="1">
      <c r="A2" s="3" t="s">
        <v>1</v>
      </c>
      <c r="B2" s="88"/>
      <c r="C2" s="88"/>
      <c r="D2" s="3" t="s">
        <v>129</v>
      </c>
      <c r="E2" s="88"/>
      <c r="F2" s="88"/>
      <c r="G2" s="88"/>
      <c r="H2" s="88"/>
      <c r="I2" s="4"/>
      <c r="J2" s="142" t="s">
        <v>88</v>
      </c>
      <c r="K2" s="143"/>
      <c r="L2" s="144"/>
    </row>
    <row r="3" spans="1:18" ht="20.100000000000001" customHeight="1">
      <c r="A3" s="3" t="s">
        <v>133</v>
      </c>
      <c r="B3" s="88"/>
      <c r="C3" s="88"/>
      <c r="D3" s="88"/>
      <c r="E3" s="145">
        <f>+L3+3</f>
        <v>46283</v>
      </c>
      <c r="F3" s="145"/>
      <c r="G3" s="145"/>
      <c r="H3" s="145"/>
      <c r="I3" s="145"/>
      <c r="J3" s="88"/>
      <c r="K3" s="88"/>
      <c r="L3" s="119">
        <v>46280</v>
      </c>
      <c r="M3" s="4"/>
    </row>
    <row r="4" spans="1:18" ht="15.95" customHeight="1">
      <c r="A4" s="148" t="s">
        <v>2</v>
      </c>
      <c r="B4" s="149" t="s">
        <v>3</v>
      </c>
      <c r="C4" s="149"/>
      <c r="D4" s="153" t="s">
        <v>4</v>
      </c>
      <c r="E4" s="154"/>
      <c r="F4" s="155"/>
      <c r="G4" s="150" t="s">
        <v>5</v>
      </c>
      <c r="H4" s="146" t="s">
        <v>6</v>
      </c>
      <c r="I4" s="146" t="s">
        <v>85</v>
      </c>
      <c r="J4" s="148" t="s">
        <v>86</v>
      </c>
      <c r="K4" s="146" t="s">
        <v>0</v>
      </c>
      <c r="L4" s="149" t="s">
        <v>7</v>
      </c>
    </row>
    <row r="5" spans="1:18" ht="15.95" customHeight="1">
      <c r="A5" s="146"/>
      <c r="B5" s="150"/>
      <c r="C5" s="150"/>
      <c r="D5" s="156"/>
      <c r="E5" s="157"/>
      <c r="F5" s="158"/>
      <c r="G5" s="159"/>
      <c r="H5" s="147"/>
      <c r="I5" s="147"/>
      <c r="J5" s="146"/>
      <c r="K5" s="147"/>
      <c r="L5" s="150"/>
    </row>
    <row r="6" spans="1:18" ht="27" customHeight="1">
      <c r="A6" s="5">
        <f t="shared" ref="A6:A69" si="0">ROW(A1)</f>
        <v>1</v>
      </c>
      <c r="B6" s="137" t="s">
        <v>134</v>
      </c>
      <c r="C6" s="138"/>
      <c r="D6" s="197"/>
      <c r="E6" s="198"/>
      <c r="F6" s="199"/>
      <c r="G6" s="120" t="s">
        <v>223</v>
      </c>
      <c r="H6" s="120">
        <v>100</v>
      </c>
      <c r="I6" s="121">
        <v>16.3</v>
      </c>
      <c r="J6" s="122">
        <f>H6*I6</f>
        <v>1630</v>
      </c>
      <c r="K6" s="123" t="s">
        <v>90</v>
      </c>
      <c r="L6" s="96" t="s">
        <v>98</v>
      </c>
      <c r="R6" s="93"/>
    </row>
    <row r="7" spans="1:18" ht="27" customHeight="1">
      <c r="A7" s="5">
        <f t="shared" si="0"/>
        <v>2</v>
      </c>
      <c r="B7" s="137" t="s">
        <v>135</v>
      </c>
      <c r="C7" s="138"/>
      <c r="D7" s="197"/>
      <c r="E7" s="198"/>
      <c r="F7" s="199"/>
      <c r="G7" s="120" t="s">
        <v>223</v>
      </c>
      <c r="H7" s="120">
        <v>10</v>
      </c>
      <c r="I7" s="121">
        <v>6.25</v>
      </c>
      <c r="J7" s="122">
        <f t="shared" ref="J7:J70" si="1">H7*I7</f>
        <v>62.5</v>
      </c>
      <c r="K7" s="123"/>
      <c r="L7" s="96"/>
      <c r="R7" s="93"/>
    </row>
    <row r="8" spans="1:18" ht="27" customHeight="1">
      <c r="A8" s="5">
        <f t="shared" si="0"/>
        <v>3</v>
      </c>
      <c r="B8" s="137" t="s">
        <v>136</v>
      </c>
      <c r="C8" s="138"/>
      <c r="D8" s="197"/>
      <c r="E8" s="198"/>
      <c r="F8" s="199"/>
      <c r="G8" s="120" t="s">
        <v>223</v>
      </c>
      <c r="H8" s="120">
        <v>35</v>
      </c>
      <c r="I8" s="121">
        <v>22.5</v>
      </c>
      <c r="J8" s="122">
        <f t="shared" si="1"/>
        <v>787.5</v>
      </c>
      <c r="K8" s="123"/>
      <c r="L8" s="96"/>
      <c r="R8" s="93"/>
    </row>
    <row r="9" spans="1:18" ht="27" customHeight="1">
      <c r="A9" s="5">
        <f t="shared" si="0"/>
        <v>4</v>
      </c>
      <c r="B9" s="137" t="s">
        <v>137</v>
      </c>
      <c r="C9" s="138"/>
      <c r="D9" s="197"/>
      <c r="E9" s="198"/>
      <c r="F9" s="199"/>
      <c r="G9" s="120" t="s">
        <v>223</v>
      </c>
      <c r="H9" s="120">
        <v>10</v>
      </c>
      <c r="I9" s="121">
        <v>24</v>
      </c>
      <c r="J9" s="122">
        <f t="shared" si="1"/>
        <v>240</v>
      </c>
      <c r="K9" s="123"/>
      <c r="L9" s="96"/>
      <c r="R9" s="93"/>
    </row>
    <row r="10" spans="1:18" ht="27" customHeight="1">
      <c r="A10" s="5">
        <f t="shared" si="0"/>
        <v>5</v>
      </c>
      <c r="B10" s="137" t="s">
        <v>138</v>
      </c>
      <c r="C10" s="138"/>
      <c r="D10" s="197"/>
      <c r="E10" s="198"/>
      <c r="F10" s="199"/>
      <c r="G10" s="120" t="s">
        <v>223</v>
      </c>
      <c r="H10" s="120">
        <v>30</v>
      </c>
      <c r="I10" s="121">
        <v>11.5</v>
      </c>
      <c r="J10" s="122">
        <f t="shared" si="1"/>
        <v>345</v>
      </c>
      <c r="K10" s="123"/>
      <c r="L10" s="96"/>
      <c r="R10" s="93"/>
    </row>
    <row r="11" spans="1:18" ht="27" customHeight="1">
      <c r="A11" s="5">
        <f t="shared" si="0"/>
        <v>6</v>
      </c>
      <c r="B11" s="137" t="s">
        <v>139</v>
      </c>
      <c r="C11" s="138"/>
      <c r="D11" s="197"/>
      <c r="E11" s="198"/>
      <c r="F11" s="199"/>
      <c r="G11" s="120" t="s">
        <v>224</v>
      </c>
      <c r="H11" s="120">
        <v>12</v>
      </c>
      <c r="I11" s="121">
        <v>5985</v>
      </c>
      <c r="J11" s="122">
        <f t="shared" si="1"/>
        <v>71820</v>
      </c>
      <c r="K11" s="123"/>
      <c r="L11" s="96"/>
      <c r="R11" s="93"/>
    </row>
    <row r="12" spans="1:18" ht="27" customHeight="1">
      <c r="A12" s="5">
        <f t="shared" si="0"/>
        <v>7</v>
      </c>
      <c r="B12" s="137" t="s">
        <v>140</v>
      </c>
      <c r="C12" s="138"/>
      <c r="D12" s="197"/>
      <c r="E12" s="198"/>
      <c r="F12" s="199"/>
      <c r="G12" s="120" t="s">
        <v>223</v>
      </c>
      <c r="H12" s="120">
        <v>300</v>
      </c>
      <c r="I12" s="121">
        <v>1.45</v>
      </c>
      <c r="J12" s="122">
        <f t="shared" si="1"/>
        <v>435</v>
      </c>
      <c r="K12" s="123"/>
      <c r="L12" s="96"/>
      <c r="R12" s="93"/>
    </row>
    <row r="13" spans="1:18" ht="27" customHeight="1">
      <c r="A13" s="5">
        <f t="shared" si="0"/>
        <v>8</v>
      </c>
      <c r="B13" s="137" t="s">
        <v>141</v>
      </c>
      <c r="C13" s="138"/>
      <c r="D13" s="197"/>
      <c r="E13" s="198"/>
      <c r="F13" s="199"/>
      <c r="G13" s="120" t="s">
        <v>223</v>
      </c>
      <c r="H13" s="120">
        <v>24</v>
      </c>
      <c r="I13" s="121">
        <v>46</v>
      </c>
      <c r="J13" s="122">
        <f t="shared" si="1"/>
        <v>1104</v>
      </c>
      <c r="K13" s="123"/>
      <c r="L13" s="96"/>
      <c r="R13" s="93"/>
    </row>
    <row r="14" spans="1:18" ht="27" customHeight="1">
      <c r="A14" s="5">
        <f t="shared" si="0"/>
        <v>9</v>
      </c>
      <c r="B14" s="137" t="s">
        <v>142</v>
      </c>
      <c r="C14" s="138"/>
      <c r="D14" s="197"/>
      <c r="E14" s="198"/>
      <c r="F14" s="199"/>
      <c r="G14" s="120" t="s">
        <v>132</v>
      </c>
      <c r="H14" s="120">
        <v>10</v>
      </c>
      <c r="I14" s="121">
        <v>95</v>
      </c>
      <c r="J14" s="122">
        <f t="shared" si="1"/>
        <v>950</v>
      </c>
      <c r="K14" s="123"/>
      <c r="L14" s="96"/>
      <c r="R14" s="93"/>
    </row>
    <row r="15" spans="1:18" ht="27" customHeight="1">
      <c r="A15" s="5">
        <f t="shared" si="0"/>
        <v>10</v>
      </c>
      <c r="B15" s="137" t="s">
        <v>143</v>
      </c>
      <c r="C15" s="138"/>
      <c r="D15" s="197"/>
      <c r="E15" s="198"/>
      <c r="F15" s="199"/>
      <c r="G15" s="120" t="s">
        <v>223</v>
      </c>
      <c r="H15" s="120">
        <v>8</v>
      </c>
      <c r="I15" s="121">
        <v>150</v>
      </c>
      <c r="J15" s="122">
        <f t="shared" si="1"/>
        <v>1200</v>
      </c>
      <c r="K15" s="123"/>
      <c r="L15" s="96"/>
      <c r="R15" s="93"/>
    </row>
    <row r="16" spans="1:18" ht="27" customHeight="1">
      <c r="A16" s="5">
        <f t="shared" si="0"/>
        <v>11</v>
      </c>
      <c r="B16" s="137" t="s">
        <v>144</v>
      </c>
      <c r="C16" s="138"/>
      <c r="D16" s="197"/>
      <c r="E16" s="198"/>
      <c r="F16" s="199"/>
      <c r="G16" s="120" t="s">
        <v>223</v>
      </c>
      <c r="H16" s="120">
        <v>20</v>
      </c>
      <c r="I16" s="121">
        <v>8</v>
      </c>
      <c r="J16" s="122">
        <f t="shared" si="1"/>
        <v>160</v>
      </c>
      <c r="K16" s="123"/>
      <c r="L16" s="96"/>
      <c r="R16" s="93"/>
    </row>
    <row r="17" spans="1:18" ht="27" customHeight="1">
      <c r="A17" s="5">
        <f t="shared" si="0"/>
        <v>12</v>
      </c>
      <c r="B17" s="137" t="s">
        <v>145</v>
      </c>
      <c r="C17" s="138"/>
      <c r="D17" s="197"/>
      <c r="E17" s="198"/>
      <c r="F17" s="199"/>
      <c r="G17" s="120" t="s">
        <v>223</v>
      </c>
      <c r="H17" s="120">
        <v>20</v>
      </c>
      <c r="I17" s="121">
        <v>11</v>
      </c>
      <c r="J17" s="122">
        <f t="shared" si="1"/>
        <v>220</v>
      </c>
      <c r="K17" s="123"/>
      <c r="L17" s="96"/>
      <c r="R17" s="93"/>
    </row>
    <row r="18" spans="1:18" ht="27" customHeight="1">
      <c r="A18" s="5">
        <f t="shared" si="0"/>
        <v>13</v>
      </c>
      <c r="B18" s="137" t="s">
        <v>146</v>
      </c>
      <c r="C18" s="138"/>
      <c r="D18" s="197"/>
      <c r="E18" s="198"/>
      <c r="F18" s="199"/>
      <c r="G18" s="120" t="s">
        <v>223</v>
      </c>
      <c r="H18" s="120">
        <v>4</v>
      </c>
      <c r="I18" s="121">
        <v>68</v>
      </c>
      <c r="J18" s="122">
        <f t="shared" si="1"/>
        <v>272</v>
      </c>
      <c r="K18" s="123"/>
      <c r="L18" s="96"/>
      <c r="R18" s="93"/>
    </row>
    <row r="19" spans="1:18" ht="27" customHeight="1">
      <c r="A19" s="5">
        <f t="shared" si="0"/>
        <v>14</v>
      </c>
      <c r="B19" s="137" t="s">
        <v>147</v>
      </c>
      <c r="C19" s="138"/>
      <c r="D19" s="197"/>
      <c r="E19" s="198"/>
      <c r="F19" s="199"/>
      <c r="G19" s="120" t="s">
        <v>223</v>
      </c>
      <c r="H19" s="120">
        <v>5</v>
      </c>
      <c r="I19" s="121">
        <v>278</v>
      </c>
      <c r="J19" s="122">
        <f t="shared" si="1"/>
        <v>1390</v>
      </c>
      <c r="K19" s="123"/>
      <c r="L19" s="96"/>
      <c r="R19" s="93"/>
    </row>
    <row r="20" spans="1:18" ht="27" customHeight="1">
      <c r="A20" s="5">
        <f t="shared" si="0"/>
        <v>15</v>
      </c>
      <c r="B20" s="137" t="s">
        <v>148</v>
      </c>
      <c r="C20" s="138"/>
      <c r="D20" s="197"/>
      <c r="E20" s="198"/>
      <c r="F20" s="199"/>
      <c r="G20" s="120" t="s">
        <v>223</v>
      </c>
      <c r="H20" s="120">
        <v>100</v>
      </c>
      <c r="I20" s="121">
        <v>102</v>
      </c>
      <c r="J20" s="122">
        <f t="shared" si="1"/>
        <v>10200</v>
      </c>
      <c r="K20" s="123"/>
      <c r="L20" s="96"/>
      <c r="R20" s="93"/>
    </row>
    <row r="21" spans="1:18" ht="27" customHeight="1">
      <c r="A21" s="5">
        <f t="shared" si="0"/>
        <v>16</v>
      </c>
      <c r="B21" s="137" t="s">
        <v>149</v>
      </c>
      <c r="C21" s="138"/>
      <c r="D21" s="197"/>
      <c r="E21" s="198"/>
      <c r="F21" s="199"/>
      <c r="G21" s="120" t="s">
        <v>225</v>
      </c>
      <c r="H21" s="120">
        <v>6500</v>
      </c>
      <c r="I21" s="121">
        <v>1.3</v>
      </c>
      <c r="J21" s="122">
        <f t="shared" si="1"/>
        <v>8450</v>
      </c>
      <c r="K21" s="123"/>
      <c r="L21" s="96"/>
      <c r="R21" s="93"/>
    </row>
    <row r="22" spans="1:18" ht="27" customHeight="1">
      <c r="A22" s="5">
        <f t="shared" si="0"/>
        <v>17</v>
      </c>
      <c r="B22" s="137" t="s">
        <v>150</v>
      </c>
      <c r="C22" s="138"/>
      <c r="D22" s="197"/>
      <c r="E22" s="198"/>
      <c r="F22" s="199"/>
      <c r="G22" s="120" t="s">
        <v>223</v>
      </c>
      <c r="H22" s="120">
        <v>84</v>
      </c>
      <c r="I22" s="121">
        <v>32</v>
      </c>
      <c r="J22" s="122">
        <f t="shared" si="1"/>
        <v>2688</v>
      </c>
      <c r="K22" s="123"/>
      <c r="L22" s="96"/>
      <c r="R22" s="93"/>
    </row>
    <row r="23" spans="1:18" ht="27" customHeight="1">
      <c r="A23" s="5">
        <f t="shared" si="0"/>
        <v>18</v>
      </c>
      <c r="B23" s="137" t="s">
        <v>151</v>
      </c>
      <c r="C23" s="138"/>
      <c r="D23" s="197"/>
      <c r="E23" s="198"/>
      <c r="F23" s="199"/>
      <c r="G23" s="120" t="s">
        <v>223</v>
      </c>
      <c r="H23" s="120">
        <v>5</v>
      </c>
      <c r="I23" s="121">
        <v>97</v>
      </c>
      <c r="J23" s="122">
        <f t="shared" si="1"/>
        <v>485</v>
      </c>
      <c r="K23" s="123"/>
      <c r="L23" s="96"/>
      <c r="R23" s="93"/>
    </row>
    <row r="24" spans="1:18" ht="27" customHeight="1">
      <c r="A24" s="5">
        <f t="shared" si="0"/>
        <v>19</v>
      </c>
      <c r="B24" s="137" t="s">
        <v>152</v>
      </c>
      <c r="C24" s="138"/>
      <c r="D24" s="197"/>
      <c r="E24" s="198"/>
      <c r="F24" s="199"/>
      <c r="G24" s="120" t="s">
        <v>223</v>
      </c>
      <c r="H24" s="120">
        <v>400</v>
      </c>
      <c r="I24" s="121">
        <v>11.8</v>
      </c>
      <c r="J24" s="122">
        <f t="shared" si="1"/>
        <v>4720</v>
      </c>
      <c r="K24" s="123"/>
      <c r="L24" s="96"/>
      <c r="R24" s="93"/>
    </row>
    <row r="25" spans="1:18" ht="27" customHeight="1">
      <c r="A25" s="5">
        <f t="shared" si="0"/>
        <v>20</v>
      </c>
      <c r="B25" s="137" t="s">
        <v>153</v>
      </c>
      <c r="C25" s="138"/>
      <c r="D25" s="197"/>
      <c r="E25" s="198"/>
      <c r="F25" s="199"/>
      <c r="G25" s="120" t="s">
        <v>223</v>
      </c>
      <c r="H25" s="120">
        <v>150</v>
      </c>
      <c r="I25" s="121">
        <v>2.6</v>
      </c>
      <c r="J25" s="122">
        <f t="shared" si="1"/>
        <v>390</v>
      </c>
      <c r="K25" s="123"/>
      <c r="L25" s="96"/>
      <c r="R25" s="93"/>
    </row>
    <row r="26" spans="1:18" ht="27" customHeight="1">
      <c r="A26" s="5">
        <f t="shared" si="0"/>
        <v>21</v>
      </c>
      <c r="B26" s="137" t="s">
        <v>154</v>
      </c>
      <c r="C26" s="138"/>
      <c r="D26" s="197"/>
      <c r="E26" s="198"/>
      <c r="F26" s="199"/>
      <c r="G26" s="120" t="s">
        <v>223</v>
      </c>
      <c r="H26" s="120">
        <v>100</v>
      </c>
      <c r="I26" s="121">
        <v>6</v>
      </c>
      <c r="J26" s="122">
        <f t="shared" si="1"/>
        <v>600</v>
      </c>
      <c r="K26" s="123"/>
      <c r="L26" s="96"/>
      <c r="R26" s="93"/>
    </row>
    <row r="27" spans="1:18" ht="27" customHeight="1">
      <c r="A27" s="5">
        <f t="shared" si="0"/>
        <v>22</v>
      </c>
      <c r="B27" s="137" t="s">
        <v>155</v>
      </c>
      <c r="C27" s="138"/>
      <c r="D27" s="197"/>
      <c r="E27" s="198"/>
      <c r="F27" s="199"/>
      <c r="G27" s="120" t="s">
        <v>223</v>
      </c>
      <c r="H27" s="120">
        <v>50</v>
      </c>
      <c r="I27" s="121">
        <v>35</v>
      </c>
      <c r="J27" s="122">
        <f t="shared" si="1"/>
        <v>1750</v>
      </c>
      <c r="K27" s="123"/>
      <c r="L27" s="96"/>
      <c r="R27" s="93"/>
    </row>
    <row r="28" spans="1:18" ht="27" customHeight="1">
      <c r="A28" s="5">
        <f t="shared" si="0"/>
        <v>23</v>
      </c>
      <c r="B28" s="137" t="s">
        <v>156</v>
      </c>
      <c r="C28" s="138"/>
      <c r="D28" s="197"/>
      <c r="E28" s="198"/>
      <c r="F28" s="199"/>
      <c r="G28" s="120" t="s">
        <v>223</v>
      </c>
      <c r="H28" s="120">
        <v>330</v>
      </c>
      <c r="I28" s="121">
        <v>10.5</v>
      </c>
      <c r="J28" s="122">
        <f t="shared" si="1"/>
        <v>3465</v>
      </c>
      <c r="K28" s="123"/>
      <c r="L28" s="96"/>
      <c r="R28" s="93"/>
    </row>
    <row r="29" spans="1:18" ht="27" customHeight="1">
      <c r="A29" s="5">
        <f t="shared" si="0"/>
        <v>24</v>
      </c>
      <c r="B29" s="137" t="s">
        <v>157</v>
      </c>
      <c r="C29" s="138"/>
      <c r="D29" s="197"/>
      <c r="E29" s="198"/>
      <c r="F29" s="199"/>
      <c r="G29" s="120" t="s">
        <v>223</v>
      </c>
      <c r="H29" s="120">
        <v>250</v>
      </c>
      <c r="I29" s="121">
        <v>11.8</v>
      </c>
      <c r="J29" s="122">
        <f t="shared" si="1"/>
        <v>2950</v>
      </c>
      <c r="K29" s="123"/>
      <c r="L29" s="96"/>
      <c r="R29" s="93"/>
    </row>
    <row r="30" spans="1:18" ht="27" customHeight="1">
      <c r="A30" s="5">
        <f t="shared" si="0"/>
        <v>25</v>
      </c>
      <c r="B30" s="137" t="s">
        <v>158</v>
      </c>
      <c r="C30" s="138"/>
      <c r="D30" s="197"/>
      <c r="E30" s="198"/>
      <c r="F30" s="199"/>
      <c r="G30" s="120" t="s">
        <v>223</v>
      </c>
      <c r="H30" s="120">
        <v>150</v>
      </c>
      <c r="I30" s="121">
        <v>11.8</v>
      </c>
      <c r="J30" s="122">
        <f t="shared" si="1"/>
        <v>1770</v>
      </c>
      <c r="K30" s="123"/>
      <c r="L30" s="96"/>
      <c r="R30" s="93"/>
    </row>
    <row r="31" spans="1:18" ht="27" customHeight="1">
      <c r="A31" s="5">
        <f t="shared" si="0"/>
        <v>26</v>
      </c>
      <c r="B31" s="137" t="s">
        <v>159</v>
      </c>
      <c r="C31" s="138"/>
      <c r="D31" s="197"/>
      <c r="E31" s="198"/>
      <c r="F31" s="199"/>
      <c r="G31" s="120" t="s">
        <v>223</v>
      </c>
      <c r="H31" s="120">
        <v>500</v>
      </c>
      <c r="I31" s="121">
        <v>11.8</v>
      </c>
      <c r="J31" s="122">
        <f t="shared" si="1"/>
        <v>5900</v>
      </c>
      <c r="K31" s="123"/>
      <c r="L31" s="96"/>
      <c r="R31" s="93"/>
    </row>
    <row r="32" spans="1:18" ht="27" customHeight="1">
      <c r="A32" s="5">
        <f t="shared" si="0"/>
        <v>27</v>
      </c>
      <c r="B32" s="137" t="s">
        <v>160</v>
      </c>
      <c r="C32" s="138"/>
      <c r="D32" s="197"/>
      <c r="E32" s="198"/>
      <c r="F32" s="199"/>
      <c r="G32" s="120" t="s">
        <v>224</v>
      </c>
      <c r="H32" s="120">
        <v>200</v>
      </c>
      <c r="I32" s="121">
        <v>11.8</v>
      </c>
      <c r="J32" s="122">
        <f t="shared" si="1"/>
        <v>2360</v>
      </c>
      <c r="K32" s="123"/>
      <c r="L32" s="96"/>
      <c r="R32" s="93"/>
    </row>
    <row r="33" spans="1:18" ht="27" customHeight="1">
      <c r="A33" s="5">
        <f t="shared" si="0"/>
        <v>28</v>
      </c>
      <c r="B33" s="137" t="s">
        <v>161</v>
      </c>
      <c r="C33" s="138"/>
      <c r="D33" s="197"/>
      <c r="E33" s="198"/>
      <c r="F33" s="199"/>
      <c r="G33" s="120" t="s">
        <v>223</v>
      </c>
      <c r="H33" s="120">
        <v>100</v>
      </c>
      <c r="I33" s="121">
        <v>11.5</v>
      </c>
      <c r="J33" s="122">
        <f t="shared" si="1"/>
        <v>1150</v>
      </c>
      <c r="K33" s="123"/>
      <c r="L33" s="96"/>
      <c r="R33" s="93"/>
    </row>
    <row r="34" spans="1:18" ht="27" customHeight="1">
      <c r="A34" s="5">
        <f t="shared" si="0"/>
        <v>29</v>
      </c>
      <c r="B34" s="137" t="s">
        <v>162</v>
      </c>
      <c r="C34" s="138"/>
      <c r="D34" s="197"/>
      <c r="E34" s="198"/>
      <c r="F34" s="199"/>
      <c r="G34" s="120" t="s">
        <v>223</v>
      </c>
      <c r="H34" s="120">
        <v>2000</v>
      </c>
      <c r="I34" s="121">
        <v>0.33</v>
      </c>
      <c r="J34" s="122">
        <f t="shared" si="1"/>
        <v>660</v>
      </c>
      <c r="K34" s="123"/>
      <c r="L34" s="96"/>
      <c r="R34" s="93"/>
    </row>
    <row r="35" spans="1:18" ht="27" customHeight="1">
      <c r="A35" s="5">
        <f t="shared" si="0"/>
        <v>30</v>
      </c>
      <c r="B35" s="137" t="s">
        <v>163</v>
      </c>
      <c r="C35" s="138"/>
      <c r="D35" s="197"/>
      <c r="E35" s="198"/>
      <c r="F35" s="199"/>
      <c r="G35" s="120" t="s">
        <v>223</v>
      </c>
      <c r="H35" s="120">
        <v>1</v>
      </c>
      <c r="I35" s="121">
        <v>125</v>
      </c>
      <c r="J35" s="122">
        <f t="shared" si="1"/>
        <v>125</v>
      </c>
      <c r="K35" s="123"/>
      <c r="L35" s="96"/>
      <c r="R35" s="93"/>
    </row>
    <row r="36" spans="1:18" ht="27" customHeight="1">
      <c r="A36" s="5">
        <f t="shared" si="0"/>
        <v>31</v>
      </c>
      <c r="B36" s="137" t="s">
        <v>164</v>
      </c>
      <c r="C36" s="138"/>
      <c r="D36" s="197"/>
      <c r="E36" s="198"/>
      <c r="F36" s="199"/>
      <c r="G36" s="120" t="s">
        <v>225</v>
      </c>
      <c r="H36" s="120">
        <v>400</v>
      </c>
      <c r="I36" s="121">
        <v>0.6</v>
      </c>
      <c r="J36" s="122">
        <f t="shared" si="1"/>
        <v>240</v>
      </c>
      <c r="K36" s="123"/>
      <c r="L36" s="96"/>
      <c r="R36" s="93"/>
    </row>
    <row r="37" spans="1:18" ht="27" customHeight="1">
      <c r="A37" s="5">
        <f t="shared" si="0"/>
        <v>32</v>
      </c>
      <c r="B37" s="137" t="s">
        <v>165</v>
      </c>
      <c r="C37" s="138"/>
      <c r="D37" s="197"/>
      <c r="E37" s="198"/>
      <c r="F37" s="199"/>
      <c r="G37" s="120" t="s">
        <v>223</v>
      </c>
      <c r="H37" s="120">
        <v>200</v>
      </c>
      <c r="I37" s="121">
        <v>45</v>
      </c>
      <c r="J37" s="122">
        <f t="shared" si="1"/>
        <v>9000</v>
      </c>
      <c r="K37" s="123"/>
      <c r="L37" s="96"/>
      <c r="R37" s="93"/>
    </row>
    <row r="38" spans="1:18" ht="27" customHeight="1">
      <c r="A38" s="5">
        <f t="shared" si="0"/>
        <v>33</v>
      </c>
      <c r="B38" s="137" t="s">
        <v>166</v>
      </c>
      <c r="C38" s="138"/>
      <c r="D38" s="197"/>
      <c r="E38" s="198"/>
      <c r="F38" s="199"/>
      <c r="G38" s="120" t="s">
        <v>223</v>
      </c>
      <c r="H38" s="120">
        <v>5</v>
      </c>
      <c r="I38" s="121">
        <v>55</v>
      </c>
      <c r="J38" s="122">
        <f t="shared" si="1"/>
        <v>275</v>
      </c>
      <c r="K38" s="123"/>
      <c r="L38" s="96"/>
      <c r="R38" s="93"/>
    </row>
    <row r="39" spans="1:18" ht="27" customHeight="1">
      <c r="A39" s="5">
        <f t="shared" si="0"/>
        <v>34</v>
      </c>
      <c r="B39" s="137" t="s">
        <v>167</v>
      </c>
      <c r="C39" s="138"/>
      <c r="D39" s="197"/>
      <c r="E39" s="198"/>
      <c r="F39" s="199"/>
      <c r="G39" s="120" t="s">
        <v>224</v>
      </c>
      <c r="H39" s="120">
        <v>1</v>
      </c>
      <c r="I39" s="121">
        <v>11950</v>
      </c>
      <c r="J39" s="122">
        <f t="shared" si="1"/>
        <v>11950</v>
      </c>
      <c r="K39" s="123"/>
      <c r="L39" s="96"/>
      <c r="R39" s="93"/>
    </row>
    <row r="40" spans="1:18" ht="27" customHeight="1">
      <c r="A40" s="5">
        <f t="shared" si="0"/>
        <v>35</v>
      </c>
      <c r="B40" s="137" t="s">
        <v>168</v>
      </c>
      <c r="C40" s="138"/>
      <c r="D40" s="197"/>
      <c r="E40" s="198"/>
      <c r="F40" s="199"/>
      <c r="G40" s="120" t="s">
        <v>224</v>
      </c>
      <c r="H40" s="120">
        <v>2</v>
      </c>
      <c r="I40" s="121">
        <v>675</v>
      </c>
      <c r="J40" s="122">
        <f t="shared" si="1"/>
        <v>1350</v>
      </c>
      <c r="K40" s="123"/>
      <c r="L40" s="96"/>
      <c r="R40" s="93"/>
    </row>
    <row r="41" spans="1:18" ht="27" customHeight="1">
      <c r="A41" s="5">
        <f t="shared" si="0"/>
        <v>36</v>
      </c>
      <c r="B41" s="137" t="s">
        <v>169</v>
      </c>
      <c r="C41" s="138"/>
      <c r="D41" s="197"/>
      <c r="E41" s="198"/>
      <c r="F41" s="199"/>
      <c r="G41" s="120" t="s">
        <v>224</v>
      </c>
      <c r="H41" s="120">
        <v>2</v>
      </c>
      <c r="I41" s="121">
        <v>675</v>
      </c>
      <c r="J41" s="122">
        <f t="shared" si="1"/>
        <v>1350</v>
      </c>
      <c r="K41" s="123"/>
      <c r="L41" s="96"/>
      <c r="R41" s="93"/>
    </row>
    <row r="42" spans="1:18" ht="27" customHeight="1">
      <c r="A42" s="5">
        <f t="shared" si="0"/>
        <v>37</v>
      </c>
      <c r="B42" s="137" t="s">
        <v>170</v>
      </c>
      <c r="C42" s="138"/>
      <c r="D42" s="197"/>
      <c r="E42" s="198"/>
      <c r="F42" s="199"/>
      <c r="G42" s="120" t="s">
        <v>223</v>
      </c>
      <c r="H42" s="120">
        <v>5</v>
      </c>
      <c r="I42" s="121">
        <v>51</v>
      </c>
      <c r="J42" s="122">
        <f t="shared" si="1"/>
        <v>255</v>
      </c>
      <c r="K42" s="123"/>
      <c r="L42" s="96"/>
      <c r="R42" s="93"/>
    </row>
    <row r="43" spans="1:18" ht="27" customHeight="1">
      <c r="A43" s="5">
        <f t="shared" si="0"/>
        <v>38</v>
      </c>
      <c r="B43" s="137" t="s">
        <v>171</v>
      </c>
      <c r="C43" s="138"/>
      <c r="D43" s="197"/>
      <c r="E43" s="198"/>
      <c r="F43" s="199"/>
      <c r="G43" s="120" t="s">
        <v>223</v>
      </c>
      <c r="H43" s="120">
        <v>1</v>
      </c>
      <c r="I43" s="121">
        <v>160</v>
      </c>
      <c r="J43" s="122">
        <f t="shared" si="1"/>
        <v>160</v>
      </c>
      <c r="K43" s="123"/>
      <c r="L43" s="96"/>
      <c r="R43" s="93"/>
    </row>
    <row r="44" spans="1:18" ht="27" customHeight="1">
      <c r="A44" s="5">
        <f t="shared" si="0"/>
        <v>39</v>
      </c>
      <c r="B44" s="137" t="s">
        <v>172</v>
      </c>
      <c r="C44" s="138"/>
      <c r="D44" s="197"/>
      <c r="E44" s="198"/>
      <c r="F44" s="199"/>
      <c r="G44" s="120" t="s">
        <v>223</v>
      </c>
      <c r="H44" s="120">
        <v>10</v>
      </c>
      <c r="I44" s="121">
        <v>420</v>
      </c>
      <c r="J44" s="122">
        <f t="shared" si="1"/>
        <v>4200</v>
      </c>
      <c r="K44" s="123"/>
      <c r="L44" s="96"/>
      <c r="R44" s="93"/>
    </row>
    <row r="45" spans="1:18" ht="27" customHeight="1">
      <c r="A45" s="5">
        <f t="shared" si="0"/>
        <v>40</v>
      </c>
      <c r="B45" s="137" t="s">
        <v>173</v>
      </c>
      <c r="C45" s="138"/>
      <c r="D45" s="197"/>
      <c r="E45" s="198"/>
      <c r="F45" s="199"/>
      <c r="G45" s="120" t="s">
        <v>223</v>
      </c>
      <c r="H45" s="120">
        <v>5</v>
      </c>
      <c r="I45" s="121">
        <v>2.8</v>
      </c>
      <c r="J45" s="122">
        <f t="shared" si="1"/>
        <v>14</v>
      </c>
      <c r="K45" s="123"/>
      <c r="L45" s="96"/>
      <c r="R45" s="93"/>
    </row>
    <row r="46" spans="1:18" ht="27" customHeight="1">
      <c r="A46" s="5">
        <f t="shared" si="0"/>
        <v>41</v>
      </c>
      <c r="B46" s="137" t="s">
        <v>174</v>
      </c>
      <c r="C46" s="138"/>
      <c r="D46" s="197"/>
      <c r="E46" s="198"/>
      <c r="F46" s="199"/>
      <c r="G46" s="120" t="s">
        <v>223</v>
      </c>
      <c r="H46" s="120">
        <v>15</v>
      </c>
      <c r="I46" s="121">
        <v>30</v>
      </c>
      <c r="J46" s="122">
        <f t="shared" si="1"/>
        <v>450</v>
      </c>
      <c r="K46" s="123"/>
      <c r="L46" s="96"/>
      <c r="R46" s="93"/>
    </row>
    <row r="47" spans="1:18" ht="27" customHeight="1">
      <c r="A47" s="5">
        <f t="shared" si="0"/>
        <v>42</v>
      </c>
      <c r="B47" s="137" t="s">
        <v>175</v>
      </c>
      <c r="C47" s="138"/>
      <c r="D47" s="197"/>
      <c r="E47" s="198"/>
      <c r="F47" s="199"/>
      <c r="G47" s="120" t="s">
        <v>223</v>
      </c>
      <c r="H47" s="120">
        <v>15</v>
      </c>
      <c r="I47" s="121">
        <v>36.5</v>
      </c>
      <c r="J47" s="122">
        <f t="shared" si="1"/>
        <v>547.5</v>
      </c>
      <c r="K47" s="123"/>
      <c r="L47" s="96"/>
      <c r="R47" s="93"/>
    </row>
    <row r="48" spans="1:18" ht="27" customHeight="1">
      <c r="A48" s="5">
        <f t="shared" si="0"/>
        <v>43</v>
      </c>
      <c r="B48" s="137" t="s">
        <v>176</v>
      </c>
      <c r="C48" s="138"/>
      <c r="D48" s="197"/>
      <c r="E48" s="198"/>
      <c r="F48" s="199"/>
      <c r="G48" s="120" t="s">
        <v>223</v>
      </c>
      <c r="H48" s="120">
        <v>15</v>
      </c>
      <c r="I48" s="121">
        <v>39</v>
      </c>
      <c r="J48" s="122">
        <f t="shared" si="1"/>
        <v>585</v>
      </c>
      <c r="K48" s="123"/>
      <c r="L48" s="96"/>
      <c r="R48" s="93"/>
    </row>
    <row r="49" spans="1:18" ht="27" customHeight="1">
      <c r="A49" s="5">
        <f t="shared" si="0"/>
        <v>44</v>
      </c>
      <c r="B49" s="137" t="s">
        <v>177</v>
      </c>
      <c r="C49" s="138"/>
      <c r="D49" s="197"/>
      <c r="E49" s="198"/>
      <c r="F49" s="199"/>
      <c r="G49" s="120" t="s">
        <v>223</v>
      </c>
      <c r="H49" s="120">
        <v>10</v>
      </c>
      <c r="I49" s="121">
        <v>670</v>
      </c>
      <c r="J49" s="122">
        <f t="shared" si="1"/>
        <v>6700</v>
      </c>
      <c r="K49" s="123"/>
      <c r="L49" s="96"/>
      <c r="R49" s="93"/>
    </row>
    <row r="50" spans="1:18" ht="27" customHeight="1">
      <c r="A50" s="5">
        <f t="shared" si="0"/>
        <v>45</v>
      </c>
      <c r="B50" s="137" t="s">
        <v>178</v>
      </c>
      <c r="C50" s="138"/>
      <c r="D50" s="197"/>
      <c r="E50" s="198"/>
      <c r="F50" s="199"/>
      <c r="G50" s="120" t="s">
        <v>223</v>
      </c>
      <c r="H50" s="120">
        <v>10</v>
      </c>
      <c r="I50" s="121">
        <v>705</v>
      </c>
      <c r="J50" s="122">
        <f t="shared" si="1"/>
        <v>7050</v>
      </c>
      <c r="K50" s="123"/>
      <c r="L50" s="96"/>
      <c r="R50" s="93"/>
    </row>
    <row r="51" spans="1:18" ht="27" customHeight="1">
      <c r="A51" s="5">
        <f t="shared" si="0"/>
        <v>46</v>
      </c>
      <c r="B51" s="137" t="s">
        <v>179</v>
      </c>
      <c r="C51" s="138"/>
      <c r="D51" s="197"/>
      <c r="E51" s="198"/>
      <c r="F51" s="199"/>
      <c r="G51" s="120" t="s">
        <v>223</v>
      </c>
      <c r="H51" s="120">
        <v>7</v>
      </c>
      <c r="I51" s="121">
        <v>965</v>
      </c>
      <c r="J51" s="122">
        <f t="shared" si="1"/>
        <v>6755</v>
      </c>
      <c r="K51" s="123"/>
      <c r="L51" s="96"/>
      <c r="R51" s="93"/>
    </row>
    <row r="52" spans="1:18" ht="27" customHeight="1">
      <c r="A52" s="5">
        <f t="shared" si="0"/>
        <v>47</v>
      </c>
      <c r="B52" s="137" t="s">
        <v>180</v>
      </c>
      <c r="C52" s="138"/>
      <c r="D52" s="197"/>
      <c r="E52" s="198"/>
      <c r="F52" s="199"/>
      <c r="G52" s="120" t="s">
        <v>223</v>
      </c>
      <c r="H52" s="120">
        <v>4</v>
      </c>
      <c r="I52" s="121">
        <v>1055</v>
      </c>
      <c r="J52" s="122">
        <f t="shared" si="1"/>
        <v>4220</v>
      </c>
      <c r="K52" s="123"/>
      <c r="L52" s="96"/>
      <c r="R52" s="93"/>
    </row>
    <row r="53" spans="1:18" ht="27" customHeight="1">
      <c r="A53" s="5">
        <f t="shared" si="0"/>
        <v>48</v>
      </c>
      <c r="B53" s="137" t="s">
        <v>181</v>
      </c>
      <c r="C53" s="138"/>
      <c r="D53" s="197"/>
      <c r="E53" s="198"/>
      <c r="F53" s="199"/>
      <c r="G53" s="120" t="s">
        <v>223</v>
      </c>
      <c r="H53" s="120">
        <v>3</v>
      </c>
      <c r="I53" s="121">
        <v>3200</v>
      </c>
      <c r="J53" s="122">
        <f t="shared" si="1"/>
        <v>9600</v>
      </c>
      <c r="K53" s="123"/>
      <c r="L53" s="96"/>
      <c r="R53" s="93"/>
    </row>
    <row r="54" spans="1:18" ht="27" customHeight="1">
      <c r="A54" s="5">
        <f t="shared" si="0"/>
        <v>49</v>
      </c>
      <c r="B54" s="137" t="s">
        <v>182</v>
      </c>
      <c r="C54" s="138"/>
      <c r="D54" s="197"/>
      <c r="E54" s="198"/>
      <c r="F54" s="199"/>
      <c r="G54" s="120" t="s">
        <v>223</v>
      </c>
      <c r="H54" s="120">
        <v>15</v>
      </c>
      <c r="I54" s="121">
        <v>6.2</v>
      </c>
      <c r="J54" s="122">
        <f t="shared" si="1"/>
        <v>93</v>
      </c>
      <c r="K54" s="123"/>
      <c r="L54" s="96"/>
      <c r="R54" s="93"/>
    </row>
    <row r="55" spans="1:18" ht="27" customHeight="1">
      <c r="A55" s="5">
        <f t="shared" si="0"/>
        <v>50</v>
      </c>
      <c r="B55" s="137" t="s">
        <v>183</v>
      </c>
      <c r="C55" s="138"/>
      <c r="D55" s="197"/>
      <c r="E55" s="198"/>
      <c r="F55" s="199"/>
      <c r="G55" s="120" t="s">
        <v>223</v>
      </c>
      <c r="H55" s="120">
        <v>15</v>
      </c>
      <c r="I55" s="121">
        <v>24</v>
      </c>
      <c r="J55" s="122">
        <f t="shared" si="1"/>
        <v>360</v>
      </c>
      <c r="K55" s="123"/>
      <c r="L55" s="96"/>
      <c r="R55" s="93"/>
    </row>
    <row r="56" spans="1:18" ht="27" customHeight="1">
      <c r="A56" s="5">
        <f t="shared" si="0"/>
        <v>51</v>
      </c>
      <c r="B56" s="137" t="s">
        <v>184</v>
      </c>
      <c r="C56" s="138"/>
      <c r="D56" s="197"/>
      <c r="E56" s="198"/>
      <c r="F56" s="199"/>
      <c r="G56" s="120" t="s">
        <v>225</v>
      </c>
      <c r="H56" s="120">
        <v>150</v>
      </c>
      <c r="I56" s="121">
        <v>4</v>
      </c>
      <c r="J56" s="122">
        <f t="shared" si="1"/>
        <v>600</v>
      </c>
      <c r="K56" s="123"/>
      <c r="L56" s="96"/>
      <c r="R56" s="93"/>
    </row>
    <row r="57" spans="1:18" ht="27" customHeight="1">
      <c r="A57" s="5">
        <f t="shared" si="0"/>
        <v>52</v>
      </c>
      <c r="B57" s="137" t="s">
        <v>185</v>
      </c>
      <c r="C57" s="138"/>
      <c r="D57" s="197"/>
      <c r="E57" s="198"/>
      <c r="F57" s="199"/>
      <c r="G57" s="120" t="s">
        <v>223</v>
      </c>
      <c r="H57" s="120">
        <v>20</v>
      </c>
      <c r="I57" s="121">
        <v>9.5</v>
      </c>
      <c r="J57" s="122">
        <f t="shared" si="1"/>
        <v>190</v>
      </c>
      <c r="K57" s="123"/>
      <c r="L57" s="96"/>
      <c r="R57" s="93"/>
    </row>
    <row r="58" spans="1:18" ht="27" customHeight="1">
      <c r="A58" s="5">
        <f t="shared" si="0"/>
        <v>53</v>
      </c>
      <c r="B58" s="137" t="s">
        <v>186</v>
      </c>
      <c r="C58" s="138"/>
      <c r="D58" s="197"/>
      <c r="E58" s="198"/>
      <c r="F58" s="199"/>
      <c r="G58" s="120" t="s">
        <v>223</v>
      </c>
      <c r="H58" s="120">
        <v>1</v>
      </c>
      <c r="I58" s="121">
        <v>250</v>
      </c>
      <c r="J58" s="122">
        <f t="shared" si="1"/>
        <v>250</v>
      </c>
      <c r="K58" s="123"/>
      <c r="L58" s="96"/>
      <c r="R58" s="93"/>
    </row>
    <row r="59" spans="1:18" ht="27" customHeight="1">
      <c r="A59" s="5">
        <f t="shared" si="0"/>
        <v>54</v>
      </c>
      <c r="B59" s="137" t="s">
        <v>187</v>
      </c>
      <c r="C59" s="138"/>
      <c r="D59" s="197"/>
      <c r="E59" s="198"/>
      <c r="F59" s="199"/>
      <c r="G59" s="120" t="s">
        <v>223</v>
      </c>
      <c r="H59" s="120">
        <v>1</v>
      </c>
      <c r="I59" s="121">
        <v>2625</v>
      </c>
      <c r="J59" s="122">
        <f t="shared" si="1"/>
        <v>2625</v>
      </c>
      <c r="K59" s="123"/>
      <c r="L59" s="96"/>
      <c r="R59" s="93"/>
    </row>
    <row r="60" spans="1:18" ht="27" customHeight="1">
      <c r="A60" s="5">
        <f t="shared" si="0"/>
        <v>55</v>
      </c>
      <c r="B60" s="137" t="s">
        <v>188</v>
      </c>
      <c r="C60" s="138"/>
      <c r="D60" s="197"/>
      <c r="E60" s="198"/>
      <c r="F60" s="199"/>
      <c r="G60" s="120" t="s">
        <v>223</v>
      </c>
      <c r="H60" s="120">
        <v>5</v>
      </c>
      <c r="I60" s="121">
        <v>580</v>
      </c>
      <c r="J60" s="122">
        <f t="shared" si="1"/>
        <v>2900</v>
      </c>
      <c r="K60" s="123"/>
      <c r="L60" s="96"/>
      <c r="R60" s="93"/>
    </row>
    <row r="61" spans="1:18" ht="27" customHeight="1">
      <c r="A61" s="5">
        <f t="shared" si="0"/>
        <v>56</v>
      </c>
      <c r="B61" s="137" t="s">
        <v>189</v>
      </c>
      <c r="C61" s="138"/>
      <c r="D61" s="197"/>
      <c r="E61" s="198"/>
      <c r="F61" s="199"/>
      <c r="G61" s="120" t="s">
        <v>223</v>
      </c>
      <c r="H61" s="120">
        <v>24</v>
      </c>
      <c r="I61" s="121">
        <v>12.6</v>
      </c>
      <c r="J61" s="122">
        <f t="shared" si="1"/>
        <v>302.39999999999998</v>
      </c>
      <c r="K61" s="123"/>
      <c r="L61" s="96"/>
      <c r="R61" s="93"/>
    </row>
    <row r="62" spans="1:18" ht="27" customHeight="1">
      <c r="A62" s="5">
        <f t="shared" si="0"/>
        <v>57</v>
      </c>
      <c r="B62" s="137" t="s">
        <v>190</v>
      </c>
      <c r="C62" s="138"/>
      <c r="D62" s="197"/>
      <c r="E62" s="198"/>
      <c r="F62" s="199"/>
      <c r="G62" s="120" t="s">
        <v>223</v>
      </c>
      <c r="H62" s="120">
        <v>24</v>
      </c>
      <c r="I62" s="121">
        <v>12.6</v>
      </c>
      <c r="J62" s="122">
        <f t="shared" si="1"/>
        <v>302.39999999999998</v>
      </c>
      <c r="K62" s="123"/>
      <c r="L62" s="96"/>
      <c r="R62" s="93"/>
    </row>
    <row r="63" spans="1:18" ht="27" customHeight="1">
      <c r="A63" s="5">
        <f t="shared" si="0"/>
        <v>58</v>
      </c>
      <c r="B63" s="137" t="s">
        <v>191</v>
      </c>
      <c r="C63" s="138"/>
      <c r="D63" s="197"/>
      <c r="E63" s="198"/>
      <c r="F63" s="199"/>
      <c r="G63" s="120" t="s">
        <v>223</v>
      </c>
      <c r="H63" s="120">
        <v>5</v>
      </c>
      <c r="I63" s="121">
        <v>118</v>
      </c>
      <c r="J63" s="122">
        <f t="shared" si="1"/>
        <v>590</v>
      </c>
      <c r="K63" s="123"/>
      <c r="L63" s="96"/>
      <c r="R63" s="93"/>
    </row>
    <row r="64" spans="1:18" ht="27" customHeight="1">
      <c r="A64" s="5">
        <f t="shared" si="0"/>
        <v>59</v>
      </c>
      <c r="B64" s="137" t="s">
        <v>192</v>
      </c>
      <c r="C64" s="138"/>
      <c r="D64" s="197"/>
      <c r="E64" s="198"/>
      <c r="F64" s="199"/>
      <c r="G64" s="120" t="s">
        <v>223</v>
      </c>
      <c r="H64" s="120">
        <v>50</v>
      </c>
      <c r="I64" s="121">
        <v>46</v>
      </c>
      <c r="J64" s="122">
        <f t="shared" si="1"/>
        <v>2300</v>
      </c>
      <c r="K64" s="123"/>
      <c r="L64" s="96"/>
      <c r="R64" s="93"/>
    </row>
    <row r="65" spans="1:18" ht="27" customHeight="1">
      <c r="A65" s="5">
        <f t="shared" si="0"/>
        <v>60</v>
      </c>
      <c r="B65" s="137" t="s">
        <v>193</v>
      </c>
      <c r="C65" s="138"/>
      <c r="D65" s="197"/>
      <c r="E65" s="198"/>
      <c r="F65" s="199"/>
      <c r="G65" s="120" t="s">
        <v>132</v>
      </c>
      <c r="H65" s="120">
        <v>30</v>
      </c>
      <c r="I65" s="121">
        <v>450</v>
      </c>
      <c r="J65" s="122">
        <f t="shared" si="1"/>
        <v>13500</v>
      </c>
      <c r="K65" s="123"/>
      <c r="L65" s="96"/>
      <c r="R65" s="93"/>
    </row>
    <row r="66" spans="1:18" ht="27" customHeight="1">
      <c r="A66" s="5">
        <f t="shared" si="0"/>
        <v>61</v>
      </c>
      <c r="B66" s="137" t="s">
        <v>194</v>
      </c>
      <c r="C66" s="138"/>
      <c r="D66" s="197"/>
      <c r="E66" s="198"/>
      <c r="F66" s="199"/>
      <c r="G66" s="120" t="s">
        <v>132</v>
      </c>
      <c r="H66" s="120">
        <v>20</v>
      </c>
      <c r="I66" s="121">
        <v>20</v>
      </c>
      <c r="J66" s="122">
        <f t="shared" si="1"/>
        <v>400</v>
      </c>
      <c r="K66" s="123"/>
      <c r="L66" s="96"/>
      <c r="R66" s="93"/>
    </row>
    <row r="67" spans="1:18" ht="27" customHeight="1">
      <c r="A67" s="5">
        <f t="shared" si="0"/>
        <v>62</v>
      </c>
      <c r="B67" s="137" t="s">
        <v>195</v>
      </c>
      <c r="C67" s="138"/>
      <c r="D67" s="197"/>
      <c r="E67" s="198"/>
      <c r="F67" s="199"/>
      <c r="G67" s="120" t="s">
        <v>223</v>
      </c>
      <c r="H67" s="120">
        <v>300</v>
      </c>
      <c r="I67" s="121">
        <v>5.5</v>
      </c>
      <c r="J67" s="122">
        <f t="shared" si="1"/>
        <v>1650</v>
      </c>
      <c r="K67" s="123"/>
      <c r="L67" s="96"/>
      <c r="R67" s="93"/>
    </row>
    <row r="68" spans="1:18" ht="27" customHeight="1">
      <c r="A68" s="5">
        <f t="shared" si="0"/>
        <v>63</v>
      </c>
      <c r="B68" s="137" t="s">
        <v>196</v>
      </c>
      <c r="C68" s="138"/>
      <c r="D68" s="197"/>
      <c r="E68" s="198"/>
      <c r="F68" s="199"/>
      <c r="G68" s="120" t="s">
        <v>223</v>
      </c>
      <c r="H68" s="120">
        <v>150</v>
      </c>
      <c r="I68" s="121">
        <v>2.2000000000000002</v>
      </c>
      <c r="J68" s="122">
        <f t="shared" si="1"/>
        <v>330</v>
      </c>
      <c r="K68" s="123"/>
      <c r="L68" s="96"/>
      <c r="R68" s="93"/>
    </row>
    <row r="69" spans="1:18" ht="27" customHeight="1">
      <c r="A69" s="5">
        <f t="shared" si="0"/>
        <v>64</v>
      </c>
      <c r="B69" s="137" t="s">
        <v>197</v>
      </c>
      <c r="C69" s="138"/>
      <c r="D69" s="197"/>
      <c r="E69" s="198"/>
      <c r="F69" s="199"/>
      <c r="G69" s="120" t="s">
        <v>223</v>
      </c>
      <c r="H69" s="120">
        <v>25</v>
      </c>
      <c r="I69" s="121">
        <v>15.5</v>
      </c>
      <c r="J69" s="122">
        <f t="shared" si="1"/>
        <v>387.5</v>
      </c>
      <c r="K69" s="123"/>
      <c r="L69" s="96"/>
      <c r="R69" s="93"/>
    </row>
    <row r="70" spans="1:18" ht="27" customHeight="1">
      <c r="A70" s="5">
        <f t="shared" ref="A70:A94" si="2">ROW(A65)</f>
        <v>65</v>
      </c>
      <c r="B70" s="137" t="s">
        <v>198</v>
      </c>
      <c r="C70" s="138"/>
      <c r="D70" s="197"/>
      <c r="E70" s="198"/>
      <c r="F70" s="199"/>
      <c r="G70" s="120" t="s">
        <v>131</v>
      </c>
      <c r="H70" s="120">
        <v>40</v>
      </c>
      <c r="I70" s="121">
        <v>43</v>
      </c>
      <c r="J70" s="122">
        <f t="shared" si="1"/>
        <v>1720</v>
      </c>
      <c r="K70" s="123"/>
      <c r="L70" s="96"/>
      <c r="R70" s="93"/>
    </row>
    <row r="71" spans="1:18" ht="27" customHeight="1">
      <c r="A71" s="5">
        <f t="shared" si="2"/>
        <v>66</v>
      </c>
      <c r="B71" s="137" t="s">
        <v>199</v>
      </c>
      <c r="C71" s="138"/>
      <c r="D71" s="197"/>
      <c r="E71" s="198"/>
      <c r="F71" s="199"/>
      <c r="G71" s="120" t="s">
        <v>223</v>
      </c>
      <c r="H71" s="120">
        <v>2000</v>
      </c>
      <c r="I71" s="121">
        <v>1.25</v>
      </c>
      <c r="J71" s="122">
        <f t="shared" ref="J71:J94" si="3">H71*I71</f>
        <v>2500</v>
      </c>
      <c r="K71" s="123"/>
      <c r="L71" s="96"/>
      <c r="R71" s="93"/>
    </row>
    <row r="72" spans="1:18" ht="27" customHeight="1">
      <c r="A72" s="5">
        <f t="shared" si="2"/>
        <v>67</v>
      </c>
      <c r="B72" s="137" t="s">
        <v>200</v>
      </c>
      <c r="C72" s="138"/>
      <c r="D72" s="197"/>
      <c r="E72" s="198"/>
      <c r="F72" s="199"/>
      <c r="G72" s="120" t="s">
        <v>223</v>
      </c>
      <c r="H72" s="120">
        <v>300</v>
      </c>
      <c r="I72" s="121">
        <v>8.8000000000000007</v>
      </c>
      <c r="J72" s="122">
        <f t="shared" si="3"/>
        <v>2640</v>
      </c>
      <c r="K72" s="123"/>
      <c r="L72" s="96"/>
      <c r="R72" s="93"/>
    </row>
    <row r="73" spans="1:18" ht="27" customHeight="1">
      <c r="A73" s="5">
        <f t="shared" si="2"/>
        <v>68</v>
      </c>
      <c r="B73" s="137" t="s">
        <v>201</v>
      </c>
      <c r="C73" s="138"/>
      <c r="D73" s="197"/>
      <c r="E73" s="198"/>
      <c r="F73" s="199"/>
      <c r="G73" s="120" t="s">
        <v>223</v>
      </c>
      <c r="H73" s="120">
        <v>100</v>
      </c>
      <c r="I73" s="121">
        <v>3.8</v>
      </c>
      <c r="J73" s="122">
        <f t="shared" si="3"/>
        <v>380</v>
      </c>
      <c r="K73" s="123"/>
      <c r="L73" s="96"/>
      <c r="R73" s="93"/>
    </row>
    <row r="74" spans="1:18" ht="27" customHeight="1">
      <c r="A74" s="5">
        <f t="shared" si="2"/>
        <v>69</v>
      </c>
      <c r="B74" s="137" t="s">
        <v>202</v>
      </c>
      <c r="C74" s="138"/>
      <c r="D74" s="197"/>
      <c r="E74" s="198"/>
      <c r="F74" s="199"/>
      <c r="G74" s="120" t="s">
        <v>223</v>
      </c>
      <c r="H74" s="120">
        <v>100</v>
      </c>
      <c r="I74" s="121">
        <v>3.2</v>
      </c>
      <c r="J74" s="122">
        <f t="shared" si="3"/>
        <v>320</v>
      </c>
      <c r="K74" s="123"/>
      <c r="L74" s="96"/>
      <c r="R74" s="93"/>
    </row>
    <row r="75" spans="1:18" ht="27" customHeight="1">
      <c r="A75" s="5">
        <f t="shared" si="2"/>
        <v>70</v>
      </c>
      <c r="B75" s="137" t="s">
        <v>203</v>
      </c>
      <c r="C75" s="138"/>
      <c r="D75" s="197"/>
      <c r="E75" s="198"/>
      <c r="F75" s="199"/>
      <c r="G75" s="120" t="s">
        <v>223</v>
      </c>
      <c r="H75" s="120">
        <v>100</v>
      </c>
      <c r="I75" s="121">
        <v>9</v>
      </c>
      <c r="J75" s="122">
        <f t="shared" si="3"/>
        <v>900</v>
      </c>
      <c r="K75" s="123"/>
      <c r="L75" s="96"/>
      <c r="R75" s="93"/>
    </row>
    <row r="76" spans="1:18" ht="27" customHeight="1">
      <c r="A76" s="5">
        <f t="shared" si="2"/>
        <v>71</v>
      </c>
      <c r="B76" s="137" t="s">
        <v>204</v>
      </c>
      <c r="C76" s="138"/>
      <c r="D76" s="197"/>
      <c r="E76" s="198"/>
      <c r="F76" s="199"/>
      <c r="G76" s="120" t="s">
        <v>224</v>
      </c>
      <c r="H76" s="120">
        <v>1</v>
      </c>
      <c r="I76" s="121">
        <v>380</v>
      </c>
      <c r="J76" s="122">
        <f t="shared" si="3"/>
        <v>380</v>
      </c>
      <c r="K76" s="123"/>
      <c r="L76" s="96"/>
      <c r="R76" s="93"/>
    </row>
    <row r="77" spans="1:18" ht="27" customHeight="1">
      <c r="A77" s="5">
        <f t="shared" si="2"/>
        <v>72</v>
      </c>
      <c r="B77" s="137" t="s">
        <v>205</v>
      </c>
      <c r="C77" s="138"/>
      <c r="D77" s="197"/>
      <c r="E77" s="198"/>
      <c r="F77" s="199"/>
      <c r="G77" s="120" t="s">
        <v>223</v>
      </c>
      <c r="H77" s="120">
        <v>50</v>
      </c>
      <c r="I77" s="121">
        <v>92</v>
      </c>
      <c r="J77" s="122">
        <f t="shared" si="3"/>
        <v>4600</v>
      </c>
      <c r="K77" s="123"/>
      <c r="L77" s="96"/>
      <c r="R77" s="93"/>
    </row>
    <row r="78" spans="1:18" ht="27" customHeight="1">
      <c r="A78" s="5">
        <f t="shared" si="2"/>
        <v>73</v>
      </c>
      <c r="B78" s="137" t="s">
        <v>206</v>
      </c>
      <c r="C78" s="138"/>
      <c r="D78" s="197"/>
      <c r="E78" s="198"/>
      <c r="F78" s="199"/>
      <c r="G78" s="120" t="s">
        <v>223</v>
      </c>
      <c r="H78" s="120">
        <v>13</v>
      </c>
      <c r="I78" s="121">
        <v>170</v>
      </c>
      <c r="J78" s="122">
        <f t="shared" si="3"/>
        <v>2210</v>
      </c>
      <c r="K78" s="123"/>
      <c r="L78" s="96"/>
      <c r="R78" s="93"/>
    </row>
    <row r="79" spans="1:18" ht="27" customHeight="1">
      <c r="A79" s="5">
        <f t="shared" si="2"/>
        <v>74</v>
      </c>
      <c r="B79" s="137" t="s">
        <v>207</v>
      </c>
      <c r="C79" s="138"/>
      <c r="D79" s="197"/>
      <c r="E79" s="198"/>
      <c r="F79" s="199"/>
      <c r="G79" s="120" t="s">
        <v>223</v>
      </c>
      <c r="H79" s="120">
        <v>300</v>
      </c>
      <c r="I79" s="121">
        <v>23</v>
      </c>
      <c r="J79" s="122">
        <f t="shared" si="3"/>
        <v>6900</v>
      </c>
      <c r="K79" s="123"/>
      <c r="L79" s="96"/>
      <c r="R79" s="93"/>
    </row>
    <row r="80" spans="1:18" ht="27" customHeight="1">
      <c r="A80" s="5">
        <f t="shared" si="2"/>
        <v>75</v>
      </c>
      <c r="B80" s="137" t="s">
        <v>208</v>
      </c>
      <c r="C80" s="138"/>
      <c r="D80" s="197"/>
      <c r="E80" s="198"/>
      <c r="F80" s="199"/>
      <c r="G80" s="120" t="s">
        <v>223</v>
      </c>
      <c r="H80" s="120">
        <v>20</v>
      </c>
      <c r="I80" s="121">
        <v>14</v>
      </c>
      <c r="J80" s="122">
        <f t="shared" si="3"/>
        <v>280</v>
      </c>
      <c r="K80" s="123"/>
      <c r="L80" s="96"/>
      <c r="R80" s="93"/>
    </row>
    <row r="81" spans="1:18" ht="27" customHeight="1">
      <c r="A81" s="5">
        <f t="shared" si="2"/>
        <v>76</v>
      </c>
      <c r="B81" s="137" t="s">
        <v>209</v>
      </c>
      <c r="C81" s="138"/>
      <c r="D81" s="197"/>
      <c r="E81" s="198"/>
      <c r="F81" s="199"/>
      <c r="G81" s="120" t="s">
        <v>223</v>
      </c>
      <c r="H81" s="120">
        <v>20</v>
      </c>
      <c r="I81" s="121">
        <v>20.5</v>
      </c>
      <c r="J81" s="122">
        <f t="shared" si="3"/>
        <v>410</v>
      </c>
      <c r="K81" s="123"/>
      <c r="L81" s="96"/>
      <c r="R81" s="93"/>
    </row>
    <row r="82" spans="1:18" ht="27" customHeight="1">
      <c r="A82" s="5">
        <f t="shared" si="2"/>
        <v>77</v>
      </c>
      <c r="B82" s="137" t="s">
        <v>210</v>
      </c>
      <c r="C82" s="138"/>
      <c r="D82" s="197"/>
      <c r="E82" s="198"/>
      <c r="F82" s="199"/>
      <c r="G82" s="120" t="s">
        <v>223</v>
      </c>
      <c r="H82" s="120">
        <v>20</v>
      </c>
      <c r="I82" s="121">
        <v>25</v>
      </c>
      <c r="J82" s="122">
        <f t="shared" si="3"/>
        <v>500</v>
      </c>
      <c r="K82" s="123"/>
      <c r="L82" s="96"/>
      <c r="R82" s="93"/>
    </row>
    <row r="83" spans="1:18" ht="27" customHeight="1">
      <c r="A83" s="5">
        <f t="shared" si="2"/>
        <v>78</v>
      </c>
      <c r="B83" s="137" t="s">
        <v>211</v>
      </c>
      <c r="C83" s="138"/>
      <c r="D83" s="197"/>
      <c r="E83" s="198"/>
      <c r="F83" s="199"/>
      <c r="G83" s="120" t="s">
        <v>223</v>
      </c>
      <c r="H83" s="120">
        <v>20</v>
      </c>
      <c r="I83" s="121">
        <v>13</v>
      </c>
      <c r="J83" s="122">
        <f t="shared" si="3"/>
        <v>260</v>
      </c>
      <c r="K83" s="123"/>
      <c r="L83" s="96"/>
      <c r="R83" s="93"/>
    </row>
    <row r="84" spans="1:18" ht="27" customHeight="1">
      <c r="A84" s="5">
        <f t="shared" si="2"/>
        <v>79</v>
      </c>
      <c r="B84" s="137" t="s">
        <v>212</v>
      </c>
      <c r="C84" s="138"/>
      <c r="D84" s="197"/>
      <c r="E84" s="198"/>
      <c r="F84" s="199"/>
      <c r="G84" s="120" t="s">
        <v>131</v>
      </c>
      <c r="H84" s="120">
        <v>25</v>
      </c>
      <c r="I84" s="121">
        <v>445</v>
      </c>
      <c r="J84" s="122">
        <f t="shared" si="3"/>
        <v>11125</v>
      </c>
      <c r="K84" s="123"/>
      <c r="L84" s="96"/>
      <c r="R84" s="93"/>
    </row>
    <row r="85" spans="1:18" ht="27" customHeight="1">
      <c r="A85" s="5">
        <f t="shared" si="2"/>
        <v>80</v>
      </c>
      <c r="B85" s="137" t="s">
        <v>213</v>
      </c>
      <c r="C85" s="138"/>
      <c r="D85" s="197"/>
      <c r="E85" s="198"/>
      <c r="F85" s="199"/>
      <c r="G85" s="120" t="s">
        <v>223</v>
      </c>
      <c r="H85" s="120">
        <v>2</v>
      </c>
      <c r="I85" s="121">
        <v>41</v>
      </c>
      <c r="J85" s="122">
        <f t="shared" si="3"/>
        <v>82</v>
      </c>
      <c r="K85" s="123"/>
      <c r="L85" s="96"/>
      <c r="R85" s="93"/>
    </row>
    <row r="86" spans="1:18" ht="27" customHeight="1">
      <c r="A86" s="5">
        <f t="shared" si="2"/>
        <v>81</v>
      </c>
      <c r="B86" s="137" t="s">
        <v>214</v>
      </c>
      <c r="C86" s="138"/>
      <c r="D86" s="197"/>
      <c r="E86" s="198"/>
      <c r="F86" s="199"/>
      <c r="G86" s="120" t="s">
        <v>223</v>
      </c>
      <c r="H86" s="120">
        <v>24</v>
      </c>
      <c r="I86" s="121">
        <v>1.9</v>
      </c>
      <c r="J86" s="122">
        <f t="shared" si="3"/>
        <v>45.599999999999994</v>
      </c>
      <c r="K86" s="123"/>
      <c r="L86" s="96"/>
      <c r="R86" s="93"/>
    </row>
    <row r="87" spans="1:18" ht="27" customHeight="1">
      <c r="A87" s="5">
        <f t="shared" si="2"/>
        <v>82</v>
      </c>
      <c r="B87" s="137" t="s">
        <v>215</v>
      </c>
      <c r="C87" s="138"/>
      <c r="D87" s="197"/>
      <c r="E87" s="198"/>
      <c r="F87" s="199"/>
      <c r="G87" s="120" t="s">
        <v>223</v>
      </c>
      <c r="H87" s="120">
        <v>500</v>
      </c>
      <c r="I87" s="121">
        <v>1.3</v>
      </c>
      <c r="J87" s="122">
        <f t="shared" si="3"/>
        <v>650</v>
      </c>
      <c r="K87" s="123"/>
      <c r="L87" s="96"/>
      <c r="R87" s="93"/>
    </row>
    <row r="88" spans="1:18" ht="27" customHeight="1">
      <c r="A88" s="5">
        <f t="shared" si="2"/>
        <v>83</v>
      </c>
      <c r="B88" s="137" t="s">
        <v>216</v>
      </c>
      <c r="C88" s="138"/>
      <c r="D88" s="197"/>
      <c r="E88" s="198"/>
      <c r="F88" s="199"/>
      <c r="G88" s="120" t="s">
        <v>224</v>
      </c>
      <c r="H88" s="120">
        <v>1</v>
      </c>
      <c r="I88" s="121">
        <v>350</v>
      </c>
      <c r="J88" s="122">
        <f t="shared" si="3"/>
        <v>350</v>
      </c>
      <c r="K88" s="123"/>
      <c r="L88" s="96"/>
      <c r="R88" s="93"/>
    </row>
    <row r="89" spans="1:18" ht="27" customHeight="1">
      <c r="A89" s="5">
        <f t="shared" si="2"/>
        <v>84</v>
      </c>
      <c r="B89" s="137" t="s">
        <v>217</v>
      </c>
      <c r="C89" s="138"/>
      <c r="D89" s="197"/>
      <c r="E89" s="198"/>
      <c r="F89" s="199"/>
      <c r="G89" s="120" t="s">
        <v>223</v>
      </c>
      <c r="H89" s="120">
        <v>1</v>
      </c>
      <c r="I89" s="121">
        <v>5.5</v>
      </c>
      <c r="J89" s="122">
        <f t="shared" si="3"/>
        <v>5.5</v>
      </c>
      <c r="K89" s="123"/>
      <c r="L89" s="96"/>
      <c r="R89" s="93"/>
    </row>
    <row r="90" spans="1:18" ht="27" customHeight="1">
      <c r="A90" s="5">
        <f t="shared" si="2"/>
        <v>85</v>
      </c>
      <c r="B90" s="137" t="s">
        <v>218</v>
      </c>
      <c r="C90" s="138"/>
      <c r="D90" s="197"/>
      <c r="E90" s="198"/>
      <c r="F90" s="199"/>
      <c r="G90" s="120" t="s">
        <v>223</v>
      </c>
      <c r="H90" s="120">
        <v>1</v>
      </c>
      <c r="I90" s="121">
        <v>5</v>
      </c>
      <c r="J90" s="122">
        <f t="shared" si="3"/>
        <v>5</v>
      </c>
      <c r="K90" s="123"/>
      <c r="L90" s="96"/>
      <c r="R90" s="93"/>
    </row>
    <row r="91" spans="1:18" ht="27" customHeight="1">
      <c r="A91" s="5">
        <f t="shared" si="2"/>
        <v>86</v>
      </c>
      <c r="B91" s="137" t="s">
        <v>219</v>
      </c>
      <c r="C91" s="138"/>
      <c r="D91" s="197"/>
      <c r="E91" s="198"/>
      <c r="F91" s="199"/>
      <c r="G91" s="120" t="s">
        <v>223</v>
      </c>
      <c r="H91" s="120">
        <v>1</v>
      </c>
      <c r="I91" s="121">
        <v>4.5</v>
      </c>
      <c r="J91" s="122">
        <f t="shared" si="3"/>
        <v>4.5</v>
      </c>
      <c r="K91" s="123"/>
      <c r="L91" s="96"/>
      <c r="R91" s="93"/>
    </row>
    <row r="92" spans="1:18" ht="27" customHeight="1">
      <c r="A92" s="5">
        <f t="shared" si="2"/>
        <v>87</v>
      </c>
      <c r="B92" s="137" t="s">
        <v>220</v>
      </c>
      <c r="C92" s="138"/>
      <c r="D92" s="197"/>
      <c r="E92" s="198"/>
      <c r="F92" s="199"/>
      <c r="G92" s="120" t="s">
        <v>223</v>
      </c>
      <c r="H92" s="120">
        <v>1</v>
      </c>
      <c r="I92" s="121">
        <v>5</v>
      </c>
      <c r="J92" s="122">
        <f t="shared" si="3"/>
        <v>5</v>
      </c>
      <c r="K92" s="123"/>
      <c r="L92" s="96"/>
      <c r="R92" s="93"/>
    </row>
    <row r="93" spans="1:18" ht="27" customHeight="1">
      <c r="A93" s="5">
        <f t="shared" si="2"/>
        <v>88</v>
      </c>
      <c r="B93" s="137" t="s">
        <v>221</v>
      </c>
      <c r="C93" s="138"/>
      <c r="D93" s="197"/>
      <c r="E93" s="198"/>
      <c r="F93" s="199"/>
      <c r="G93" s="120" t="s">
        <v>223</v>
      </c>
      <c r="H93" s="120">
        <v>1</v>
      </c>
      <c r="I93" s="121">
        <v>52</v>
      </c>
      <c r="J93" s="122">
        <f t="shared" si="3"/>
        <v>52</v>
      </c>
      <c r="K93" s="123"/>
      <c r="L93" s="96"/>
      <c r="R93" s="93"/>
    </row>
    <row r="94" spans="1:18" ht="27" customHeight="1">
      <c r="A94" s="5">
        <f t="shared" si="2"/>
        <v>89</v>
      </c>
      <c r="B94" s="137" t="s">
        <v>222</v>
      </c>
      <c r="C94" s="138"/>
      <c r="D94" s="197"/>
      <c r="E94" s="198"/>
      <c r="F94" s="199"/>
      <c r="G94" s="120" t="s">
        <v>223</v>
      </c>
      <c r="H94" s="120">
        <v>1</v>
      </c>
      <c r="I94" s="121">
        <v>3.6</v>
      </c>
      <c r="J94" s="122">
        <f t="shared" si="3"/>
        <v>3.6</v>
      </c>
      <c r="K94" s="123"/>
      <c r="L94" s="96"/>
      <c r="R94" s="93"/>
    </row>
    <row r="95" spans="1:18" ht="30" customHeight="1">
      <c r="A95" s="151" t="s">
        <v>8</v>
      </c>
      <c r="B95" s="152"/>
      <c r="C95" s="97"/>
      <c r="D95" s="101"/>
      <c r="E95" s="101"/>
      <c r="F95" s="101"/>
      <c r="G95" s="102"/>
      <c r="H95" s="102"/>
      <c r="I95" s="103" t="s">
        <v>9</v>
      </c>
      <c r="J95" s="95">
        <f>SUM(J6:J94)</f>
        <v>256089</v>
      </c>
      <c r="K95" s="95"/>
      <c r="L95" s="98"/>
    </row>
    <row r="96" spans="1:18" ht="20.100000000000001" customHeight="1">
      <c r="A96" s="6" t="s">
        <v>10</v>
      </c>
      <c r="B96" s="7"/>
      <c r="C96" s="7"/>
      <c r="D96" s="7"/>
      <c r="E96" s="7"/>
      <c r="F96" s="7"/>
      <c r="G96" s="7"/>
      <c r="H96" s="7"/>
      <c r="I96" s="7"/>
      <c r="J96" s="7"/>
      <c r="K96" s="8"/>
      <c r="L96" s="9"/>
    </row>
    <row r="97" spans="1:26" ht="18" customHeight="1">
      <c r="A97" s="10"/>
      <c r="J97" s="1"/>
      <c r="K97" s="1"/>
      <c r="O97" s="11"/>
      <c r="P97" s="11"/>
      <c r="Q97" s="11"/>
      <c r="R97" s="11"/>
      <c r="S97" s="11"/>
      <c r="T97" s="11"/>
      <c r="U97" s="11"/>
      <c r="V97" s="11"/>
      <c r="W97" s="11"/>
      <c r="Y97" s="128"/>
      <c r="Z97" s="11"/>
    </row>
    <row r="98" spans="1:26" ht="50.1" customHeight="1">
      <c r="Y98" s="129"/>
    </row>
    <row r="99" spans="1:26" ht="15" customHeight="1">
      <c r="O99" s="124" t="s">
        <v>116</v>
      </c>
      <c r="P99" s="130"/>
      <c r="Q99" s="130"/>
      <c r="R99" s="125"/>
      <c r="S99" s="110"/>
      <c r="T99" s="124" t="s">
        <v>117</v>
      </c>
      <c r="U99" s="130"/>
      <c r="V99" s="130"/>
      <c r="W99" s="130"/>
      <c r="X99" s="130"/>
      <c r="Y99" s="125"/>
    </row>
    <row r="100" spans="1:26" ht="15" customHeight="1">
      <c r="O100" s="131" t="s">
        <v>118</v>
      </c>
      <c r="P100" s="133" t="s">
        <v>119</v>
      </c>
      <c r="Q100" s="131" t="s">
        <v>120</v>
      </c>
      <c r="R100" s="133" t="s">
        <v>121</v>
      </c>
      <c r="S100" s="110"/>
      <c r="T100" s="131" t="s">
        <v>122</v>
      </c>
      <c r="U100" s="133" t="s">
        <v>123</v>
      </c>
      <c r="V100" s="124" t="s">
        <v>124</v>
      </c>
      <c r="W100" s="130"/>
      <c r="X100" s="125"/>
      <c r="Y100" s="133" t="s">
        <v>125</v>
      </c>
    </row>
    <row r="101" spans="1:26" ht="18" customHeight="1">
      <c r="O101" s="132"/>
      <c r="P101" s="134"/>
      <c r="Q101" s="132"/>
      <c r="R101" s="134"/>
      <c r="S101" s="111"/>
      <c r="T101" s="132"/>
      <c r="U101" s="134"/>
      <c r="V101" s="13" t="s">
        <v>118</v>
      </c>
      <c r="W101" s="135" t="s">
        <v>126</v>
      </c>
      <c r="X101" s="136"/>
      <c r="Y101" s="134"/>
    </row>
    <row r="102" spans="1:26" ht="50.1" customHeight="1">
      <c r="O102" s="14"/>
      <c r="P102" s="14"/>
      <c r="Q102" s="14"/>
      <c r="R102" s="14"/>
      <c r="S102" s="110"/>
      <c r="T102" s="14"/>
      <c r="U102" s="14"/>
      <c r="V102" s="14"/>
      <c r="W102" s="124"/>
      <c r="X102" s="125"/>
      <c r="Y102" s="112"/>
    </row>
    <row r="103" spans="1:26" ht="36" customHeight="1">
      <c r="W103" s="113"/>
      <c r="X103" s="126" t="s">
        <v>127</v>
      </c>
      <c r="Y103" s="12" t="s">
        <v>125</v>
      </c>
    </row>
    <row r="104" spans="1:26" ht="50.1" customHeight="1">
      <c r="O104" s="114"/>
      <c r="P104" s="114"/>
      <c r="Q104" s="114"/>
      <c r="R104" s="114"/>
      <c r="S104" s="114"/>
      <c r="T104" s="114"/>
      <c r="U104" s="114"/>
      <c r="V104" s="114"/>
      <c r="W104" s="115"/>
      <c r="X104" s="127"/>
      <c r="Y104" s="116"/>
    </row>
    <row r="105" spans="1:26" ht="19.899999999999999" customHeight="1"/>
    <row r="106" spans="1:26" ht="17.45" customHeight="1">
      <c r="O106" s="160"/>
      <c r="P106" s="160"/>
    </row>
    <row r="107" spans="1:26" ht="19.899999999999999" customHeight="1">
      <c r="O107" s="160"/>
      <c r="P107" s="160"/>
    </row>
    <row r="108" spans="1:26" ht="14.25">
      <c r="O108" s="11"/>
      <c r="P108" s="11"/>
    </row>
    <row r="109" spans="1:26" ht="65.099999999999994" customHeight="1"/>
    <row r="110" spans="1:26" ht="14.25">
      <c r="O110" s="11"/>
      <c r="P110" s="11"/>
    </row>
    <row r="111" spans="1:26" ht="19.899999999999999" customHeight="1"/>
    <row r="112" spans="1:26" ht="14.25"/>
    <row r="113" spans="15:19" ht="19.899999999999999" customHeight="1"/>
    <row r="114" spans="15:19" ht="14.25"/>
    <row r="115" spans="15:19" ht="19.899999999999999" customHeight="1"/>
    <row r="116" spans="15:19" ht="19.899999999999999" customHeight="1"/>
    <row r="117" spans="15:19" ht="64.900000000000006" customHeight="1"/>
    <row r="119" spans="15:19" ht="19.899999999999999" customHeight="1"/>
    <row r="120" spans="15:19" ht="19.899999999999999" customHeight="1"/>
    <row r="121" spans="15:19" ht="64.900000000000006" customHeight="1"/>
    <row r="125" spans="15:19" ht="21" customHeight="1">
      <c r="O125" s="133" t="s">
        <v>12</v>
      </c>
      <c r="P125" s="133" t="s">
        <v>12</v>
      </c>
      <c r="S125" s="133" t="s">
        <v>11</v>
      </c>
    </row>
    <row r="126" spans="15:19" ht="21" customHeight="1">
      <c r="O126" s="134"/>
      <c r="P126" s="134"/>
      <c r="S126" s="132"/>
    </row>
    <row r="127" spans="15:19" ht="64.900000000000006" customHeight="1">
      <c r="O127" s="14"/>
      <c r="P127" s="14"/>
      <c r="S127" s="15"/>
    </row>
    <row r="128" spans="15:19" ht="7.15" customHeight="1"/>
    <row r="129" spans="15:19" ht="21" customHeight="1">
      <c r="O129" s="133" t="s">
        <v>12</v>
      </c>
      <c r="P129" s="133" t="s">
        <v>12</v>
      </c>
      <c r="S129" s="133" t="s">
        <v>13</v>
      </c>
    </row>
    <row r="130" spans="15:19" ht="21" customHeight="1">
      <c r="O130" s="134"/>
      <c r="P130" s="134"/>
      <c r="S130" s="132"/>
    </row>
    <row r="131" spans="15:19" ht="64.900000000000006" customHeight="1">
      <c r="O131" s="14"/>
      <c r="P131" s="14"/>
      <c r="S131" s="14"/>
    </row>
  </sheetData>
  <mergeCells count="124">
    <mergeCell ref="B93:C93"/>
    <mergeCell ref="B94:C94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S125:S126"/>
    <mergeCell ref="O129:O130"/>
    <mergeCell ref="P129:P130"/>
    <mergeCell ref="S129:S130"/>
    <mergeCell ref="O106:O107"/>
    <mergeCell ref="P106:P107"/>
    <mergeCell ref="O125:O126"/>
    <mergeCell ref="P125:P126"/>
    <mergeCell ref="A4:A5"/>
    <mergeCell ref="B4:C5"/>
    <mergeCell ref="D4:F5"/>
    <mergeCell ref="G4:G5"/>
    <mergeCell ref="H4:H5"/>
    <mergeCell ref="A95:B95"/>
    <mergeCell ref="P100:P101"/>
    <mergeCell ref="B13:C13"/>
    <mergeCell ref="B14:C14"/>
    <mergeCell ref="B15:C15"/>
    <mergeCell ref="B16:C16"/>
    <mergeCell ref="B17:C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J1:L1"/>
    <mergeCell ref="J2:L2"/>
    <mergeCell ref="E3:I3"/>
    <mergeCell ref="I4:I5"/>
    <mergeCell ref="J4:J5"/>
    <mergeCell ref="K4:K5"/>
    <mergeCell ref="L4:L5"/>
    <mergeCell ref="B6:C6"/>
    <mergeCell ref="B7:C7"/>
    <mergeCell ref="B8:C8"/>
    <mergeCell ref="B9:C9"/>
    <mergeCell ref="B10:C10"/>
    <mergeCell ref="B11:C11"/>
    <mergeCell ref="B12:C12"/>
    <mergeCell ref="B18:C18"/>
    <mergeCell ref="W102:X102"/>
    <mergeCell ref="X103:X104"/>
    <mergeCell ref="Y97:Y98"/>
    <mergeCell ref="O99:R99"/>
    <mergeCell ref="T99:Y99"/>
    <mergeCell ref="O100:O101"/>
    <mergeCell ref="Q100:Q101"/>
    <mergeCell ref="R100:R101"/>
    <mergeCell ref="T100:T101"/>
    <mergeCell ref="U100:U101"/>
    <mergeCell ref="V100:X100"/>
    <mergeCell ref="Y100:Y101"/>
    <mergeCell ref="W101:X101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7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8"/>
  <sheetViews>
    <sheetView showGridLines="0" zoomScale="95" zoomScaleNormal="95" zoomScaleSheetLayoutView="70" workbookViewId="0">
      <pane ySplit="5" topLeftCell="A42" activePane="bottomLeft" state="frozen"/>
      <selection activeCell="D30" sqref="D30"/>
      <selection pane="bottomLeft" activeCell="I56" sqref="I5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87</v>
      </c>
      <c r="B1" s="87"/>
      <c r="C1" s="87"/>
      <c r="D1" s="87"/>
      <c r="E1" s="87"/>
      <c r="F1" s="87"/>
      <c r="G1" s="1"/>
      <c r="J1" s="139" t="str">
        <f>+MRS!J1</f>
        <v>DAESHIN PLANT</v>
      </c>
      <c r="K1" s="141"/>
    </row>
    <row r="2" spans="1:18" ht="24.95" customHeight="1">
      <c r="A2" s="3" t="str">
        <f>+MRS!A2</f>
        <v xml:space="preserve">  PJT :  SACE2           </v>
      </c>
      <c r="B2" s="88"/>
      <c r="C2" s="88"/>
      <c r="D2" s="3" t="str">
        <f>+MRS!D2</f>
        <v>Division (In charge Name) : ADMIN MANAGER (Dong Chang Kim)</v>
      </c>
      <c r="E2" s="88"/>
      <c r="F2" s="88"/>
      <c r="G2" s="16"/>
      <c r="H2" s="16"/>
      <c r="I2" s="16"/>
      <c r="J2" s="142" t="str">
        <f>+MRS!J2</f>
        <v>Subcontract name (SAC2-SC-IK-SMP-01)</v>
      </c>
      <c r="K2" s="144"/>
    </row>
    <row r="3" spans="1:18" ht="24.95" customHeight="1">
      <c r="A3" s="3" t="str">
        <f>+MRS!A3</f>
        <v xml:space="preserve">  MRS No : SAC2-DS-MRS-0464</v>
      </c>
      <c r="B3" s="88"/>
      <c r="C3" s="88"/>
      <c r="D3" s="88"/>
      <c r="E3" s="88"/>
      <c r="F3" s="88"/>
      <c r="G3" s="88"/>
      <c r="H3" s="88"/>
      <c r="I3" s="88"/>
      <c r="J3" s="88"/>
      <c r="K3" s="89">
        <f>+MRS!L3</f>
        <v>46280</v>
      </c>
    </row>
    <row r="4" spans="1:18" ht="15.95" customHeight="1">
      <c r="A4" s="167" t="s">
        <v>2</v>
      </c>
      <c r="B4" s="166" t="s">
        <v>14</v>
      </c>
      <c r="C4" s="166"/>
      <c r="D4" s="167" t="s">
        <v>4</v>
      </c>
      <c r="E4" s="167"/>
      <c r="F4" s="167"/>
      <c r="G4" s="166" t="s">
        <v>5</v>
      </c>
      <c r="H4" s="167" t="s">
        <v>82</v>
      </c>
      <c r="I4" s="167" t="s">
        <v>15</v>
      </c>
      <c r="J4" s="167" t="s">
        <v>16</v>
      </c>
      <c r="K4" s="166" t="s">
        <v>7</v>
      </c>
    </row>
    <row r="5" spans="1:18" ht="15.95" customHeight="1">
      <c r="A5" s="167"/>
      <c r="B5" s="166"/>
      <c r="C5" s="166"/>
      <c r="D5" s="167"/>
      <c r="E5" s="167"/>
      <c r="F5" s="167"/>
      <c r="G5" s="166"/>
      <c r="H5" s="167"/>
      <c r="I5" s="167"/>
      <c r="J5" s="167"/>
      <c r="K5" s="166"/>
    </row>
    <row r="6" spans="1:18" ht="105" customHeight="1">
      <c r="A6" s="17">
        <f>+MRS!A6</f>
        <v>1</v>
      </c>
      <c r="B6" s="164" t="str">
        <f>MRS!B6</f>
        <v>Wire End Brush S/S 2"x6mm</v>
      </c>
      <c r="C6" s="165"/>
      <c r="D6" s="161">
        <f>MRS!D6</f>
        <v>0</v>
      </c>
      <c r="E6" s="162"/>
      <c r="F6" s="163"/>
      <c r="G6" s="90" t="str">
        <f>MRS!G6</f>
        <v>Nos</v>
      </c>
      <c r="H6" s="90">
        <f>MRS!H6</f>
        <v>100</v>
      </c>
      <c r="I6" s="91">
        <f>MRS!I6</f>
        <v>16.3</v>
      </c>
      <c r="J6" s="91">
        <f>MRS!J6</f>
        <v>1630</v>
      </c>
      <c r="K6" s="92"/>
      <c r="O6" s="93"/>
      <c r="P6" s="93"/>
      <c r="R6" s="93"/>
    </row>
    <row r="7" spans="1:18" ht="105" customHeight="1">
      <c r="A7" s="17">
        <f>+MRS!A7</f>
        <v>2</v>
      </c>
      <c r="B7" s="164" t="str">
        <f>MRS!B7</f>
        <v>Grease Nipple 1/4"</v>
      </c>
      <c r="C7" s="165"/>
      <c r="D7" s="161">
        <f>MRS!D7</f>
        <v>0</v>
      </c>
      <c r="E7" s="162"/>
      <c r="F7" s="163"/>
      <c r="G7" s="90" t="str">
        <f>MRS!G7</f>
        <v>Nos</v>
      </c>
      <c r="H7" s="90">
        <f>MRS!H7</f>
        <v>10</v>
      </c>
      <c r="I7" s="91">
        <f>MRS!I7</f>
        <v>6.25</v>
      </c>
      <c r="J7" s="91">
        <f>MRS!J7</f>
        <v>62.5</v>
      </c>
      <c r="K7" s="92"/>
      <c r="O7" s="93"/>
      <c r="P7" s="93"/>
      <c r="R7" s="93"/>
    </row>
    <row r="8" spans="1:18" ht="105" customHeight="1">
      <c r="A8" s="17" t="e">
        <f>+MRS!#REF!</f>
        <v>#REF!</v>
      </c>
      <c r="B8" s="164" t="str">
        <f>MRS!B8</f>
        <v>Taper Gauge 15mm</v>
      </c>
      <c r="C8" s="165"/>
      <c r="D8" s="161">
        <f>MRS!D8</f>
        <v>0</v>
      </c>
      <c r="E8" s="162"/>
      <c r="F8" s="163"/>
      <c r="G8" s="90" t="str">
        <f>MRS!G8</f>
        <v>Nos</v>
      </c>
      <c r="H8" s="90">
        <f>MRS!H8</f>
        <v>35</v>
      </c>
      <c r="I8" s="91">
        <f>MRS!I8</f>
        <v>22.5</v>
      </c>
      <c r="J8" s="91">
        <f>MRS!J8</f>
        <v>787.5</v>
      </c>
      <c r="K8" s="92"/>
      <c r="O8" s="93"/>
      <c r="P8" s="93"/>
      <c r="R8" s="93"/>
    </row>
    <row r="9" spans="1:18" ht="105" customHeight="1">
      <c r="A9" s="17" t="e">
        <f>+MRS!#REF!</f>
        <v>#REF!</v>
      </c>
      <c r="B9" s="164" t="str">
        <f>MRS!B9</f>
        <v>Impact Socket 1/2"dr x 27mm x 50mmL</v>
      </c>
      <c r="C9" s="165"/>
      <c r="D9" s="161">
        <f>MRS!D9</f>
        <v>0</v>
      </c>
      <c r="E9" s="162"/>
      <c r="F9" s="163"/>
      <c r="G9" s="90" t="str">
        <f>MRS!G9</f>
        <v>Nos</v>
      </c>
      <c r="H9" s="90">
        <f>MRS!H9</f>
        <v>10</v>
      </c>
      <c r="I9" s="91">
        <f>MRS!I9</f>
        <v>24</v>
      </c>
      <c r="J9" s="91">
        <f>MRS!J9</f>
        <v>240</v>
      </c>
      <c r="K9" s="92"/>
      <c r="O9" s="93"/>
      <c r="P9" s="93"/>
      <c r="R9" s="93"/>
    </row>
    <row r="10" spans="1:18" ht="105" customHeight="1">
      <c r="A10" s="17" t="e">
        <f>+MRS!#REF!</f>
        <v>#REF!</v>
      </c>
      <c r="B10" s="164" t="str">
        <f>MRS!B10</f>
        <v>Impact Socket 3/8"dr x 13mm x 28mmL</v>
      </c>
      <c r="C10" s="165"/>
      <c r="D10" s="161">
        <f>MRS!D10</f>
        <v>0</v>
      </c>
      <c r="E10" s="162"/>
      <c r="F10" s="163"/>
      <c r="G10" s="90" t="str">
        <f>MRS!G10</f>
        <v>Nos</v>
      </c>
      <c r="H10" s="90">
        <f>MRS!H10</f>
        <v>30</v>
      </c>
      <c r="I10" s="91">
        <f>MRS!I10</f>
        <v>11.5</v>
      </c>
      <c r="J10" s="91">
        <f>MRS!J10</f>
        <v>345</v>
      </c>
      <c r="K10" s="92"/>
      <c r="O10" s="93"/>
      <c r="P10" s="93"/>
      <c r="R10" s="93"/>
    </row>
    <row r="11" spans="1:18" ht="105" customHeight="1">
      <c r="A11" s="17" t="e">
        <f>+MRS!#REF!</f>
        <v>#REF!</v>
      </c>
      <c r="B11" s="164" t="str">
        <f>MRS!B11</f>
        <v>Two Way Radio VHF GPS DP4401 EX Motorola ATEX/IECEx Ex-Proof</v>
      </c>
      <c r="C11" s="165"/>
      <c r="D11" s="161">
        <f>MRS!D11</f>
        <v>0</v>
      </c>
      <c r="E11" s="162"/>
      <c r="F11" s="163"/>
      <c r="G11" s="90" t="str">
        <f>MRS!G11</f>
        <v>Set</v>
      </c>
      <c r="H11" s="90">
        <f>MRS!H11</f>
        <v>12</v>
      </c>
      <c r="I11" s="91">
        <f>MRS!I11</f>
        <v>5985</v>
      </c>
      <c r="J11" s="91">
        <f>MRS!J11</f>
        <v>71820</v>
      </c>
      <c r="K11" s="92"/>
      <c r="O11" s="93"/>
      <c r="P11" s="93"/>
      <c r="R11" s="93"/>
    </row>
    <row r="12" spans="1:18" ht="105" customHeight="1">
      <c r="A12" s="17" t="e">
        <f>+MRS!#REF!</f>
        <v>#REF!</v>
      </c>
      <c r="B12" s="164" t="str">
        <f>MRS!B12</f>
        <v>Cutting Disc C/S 4"x3mm Maks</v>
      </c>
      <c r="C12" s="165"/>
      <c r="D12" s="161">
        <f>MRS!D12</f>
        <v>0</v>
      </c>
      <c r="E12" s="162"/>
      <c r="F12" s="163"/>
      <c r="G12" s="90" t="str">
        <f>MRS!G12</f>
        <v>Nos</v>
      </c>
      <c r="H12" s="90">
        <f>MRS!H12</f>
        <v>300</v>
      </c>
      <c r="I12" s="91">
        <f>MRS!I12</f>
        <v>1.45</v>
      </c>
      <c r="J12" s="91">
        <f>MRS!J12</f>
        <v>435</v>
      </c>
      <c r="K12" s="92"/>
      <c r="O12" s="93"/>
      <c r="P12" s="93"/>
      <c r="R12" s="93"/>
    </row>
    <row r="13" spans="1:18" ht="105" customHeight="1">
      <c r="A13" s="17" t="e">
        <f>+MRS!#REF!</f>
        <v>#REF!</v>
      </c>
      <c r="B13" s="164" t="str">
        <f>MRS!B13</f>
        <v>LED Torch Light Rechargeable GFL4658Z Geepas</v>
      </c>
      <c r="C13" s="165"/>
      <c r="D13" s="161">
        <f>MRS!D13</f>
        <v>0</v>
      </c>
      <c r="E13" s="162"/>
      <c r="F13" s="163"/>
      <c r="G13" s="90" t="str">
        <f>MRS!G13</f>
        <v>Nos</v>
      </c>
      <c r="H13" s="90">
        <f>MRS!H13</f>
        <v>24</v>
      </c>
      <c r="I13" s="91">
        <f>MRS!I13</f>
        <v>46</v>
      </c>
      <c r="J13" s="91">
        <f>MRS!J13</f>
        <v>1104</v>
      </c>
      <c r="K13" s="92"/>
      <c r="O13" s="93"/>
      <c r="P13" s="93"/>
      <c r="R13" s="93"/>
    </row>
    <row r="14" spans="1:18" ht="105" customHeight="1">
      <c r="A14" s="17" t="e">
        <f>+MRS!#REF!</f>
        <v>#REF!</v>
      </c>
      <c r="B14" s="164" t="str">
        <f>MRS!B14</f>
        <v>Polyester Rope TS8100M 8mmx100mtr</v>
      </c>
      <c r="C14" s="165"/>
      <c r="D14" s="161">
        <f>MRS!D14</f>
        <v>0</v>
      </c>
      <c r="E14" s="162"/>
      <c r="F14" s="163"/>
      <c r="G14" s="90" t="str">
        <f>MRS!G14</f>
        <v>Roll</v>
      </c>
      <c r="H14" s="90">
        <f>MRS!H14</f>
        <v>10</v>
      </c>
      <c r="I14" s="91">
        <f>MRS!I14</f>
        <v>95</v>
      </c>
      <c r="J14" s="91">
        <f>MRS!J14</f>
        <v>950</v>
      </c>
      <c r="K14" s="92"/>
      <c r="O14" s="93"/>
      <c r="P14" s="93"/>
      <c r="R14" s="93"/>
    </row>
    <row r="15" spans="1:18" ht="105" customHeight="1">
      <c r="A15" s="17" t="e">
        <f>+MRS!#REF!</f>
        <v>#REF!</v>
      </c>
      <c r="B15" s="164" t="str">
        <f>MRS!B15</f>
        <v>Anchorage Wire Rope Sling 6FT with TPI Certificate</v>
      </c>
      <c r="C15" s="165"/>
      <c r="D15" s="161">
        <f>MRS!D15</f>
        <v>0</v>
      </c>
      <c r="E15" s="162"/>
      <c r="F15" s="163"/>
      <c r="G15" s="90" t="str">
        <f>MRS!G15</f>
        <v>Nos</v>
      </c>
      <c r="H15" s="90">
        <f>MRS!H15</f>
        <v>8</v>
      </c>
      <c r="I15" s="91">
        <f>MRS!I15</f>
        <v>150</v>
      </c>
      <c r="J15" s="91">
        <f>MRS!J15</f>
        <v>1200</v>
      </c>
      <c r="K15" s="92"/>
      <c r="O15" s="93"/>
      <c r="P15" s="93"/>
      <c r="R15" s="93"/>
    </row>
    <row r="16" spans="1:18" ht="105" customHeight="1">
      <c r="A16" s="17"/>
      <c r="B16" s="164" t="str">
        <f>MRS!B16</f>
        <v>HDPE Bucket Heavy Duty 5Ltr</v>
      </c>
      <c r="C16" s="165"/>
      <c r="D16" s="161">
        <f>MRS!D16</f>
        <v>0</v>
      </c>
      <c r="E16" s="162"/>
      <c r="F16" s="163"/>
      <c r="G16" s="90" t="str">
        <f>MRS!G16</f>
        <v>Nos</v>
      </c>
      <c r="H16" s="90">
        <f>MRS!H16</f>
        <v>20</v>
      </c>
      <c r="I16" s="91">
        <f>MRS!I16</f>
        <v>8</v>
      </c>
      <c r="J16" s="91">
        <f>MRS!J16</f>
        <v>160</v>
      </c>
      <c r="K16" s="92"/>
      <c r="O16" s="93"/>
      <c r="P16" s="93"/>
      <c r="R16" s="93"/>
    </row>
    <row r="17" spans="1:18" ht="105" customHeight="1">
      <c r="A17" s="17"/>
      <c r="B17" s="164" t="str">
        <f>MRS!B17</f>
        <v>Impact Socket 3/8"dr x 13mm x 50mmL</v>
      </c>
      <c r="C17" s="165"/>
      <c r="D17" s="161">
        <f>MRS!D17</f>
        <v>0</v>
      </c>
      <c r="E17" s="162"/>
      <c r="F17" s="163"/>
      <c r="G17" s="90" t="str">
        <f>MRS!G17</f>
        <v>Nos</v>
      </c>
      <c r="H17" s="90">
        <f>MRS!H17</f>
        <v>20</v>
      </c>
      <c r="I17" s="91">
        <f>MRS!I17</f>
        <v>11</v>
      </c>
      <c r="J17" s="91">
        <f>MRS!J17</f>
        <v>220</v>
      </c>
      <c r="K17" s="92"/>
      <c r="O17" s="93"/>
      <c r="P17" s="93"/>
      <c r="R17" s="93"/>
    </row>
    <row r="18" spans="1:18" ht="105" customHeight="1">
      <c r="A18" s="17"/>
      <c r="B18" s="164" t="str">
        <f>MRS!B18</f>
        <v>Concrete Drill Bit 18mmx500mm</v>
      </c>
      <c r="C18" s="165"/>
      <c r="D18" s="161">
        <f>MRS!D18</f>
        <v>0</v>
      </c>
      <c r="E18" s="162"/>
      <c r="F18" s="163"/>
      <c r="G18" s="90" t="str">
        <f>MRS!G18</f>
        <v>Nos</v>
      </c>
      <c r="H18" s="90">
        <f>MRS!H18</f>
        <v>4</v>
      </c>
      <c r="I18" s="91">
        <f>MRS!I18</f>
        <v>68</v>
      </c>
      <c r="J18" s="91">
        <f>MRS!J18</f>
        <v>272</v>
      </c>
      <c r="K18" s="92"/>
      <c r="O18" s="93"/>
      <c r="P18" s="93"/>
      <c r="R18" s="93"/>
    </row>
    <row r="19" spans="1:18" ht="105" customHeight="1">
      <c r="A19" s="17"/>
      <c r="B19" s="164" t="str">
        <f>MRS!B19</f>
        <v>Magnetic Drill Bit TCT 22x100mm</v>
      </c>
      <c r="C19" s="165"/>
      <c r="D19" s="161">
        <f>MRS!D19</f>
        <v>0</v>
      </c>
      <c r="E19" s="162"/>
      <c r="F19" s="163"/>
      <c r="G19" s="90" t="str">
        <f>MRS!G19</f>
        <v>Nos</v>
      </c>
      <c r="H19" s="90">
        <f>MRS!H19</f>
        <v>5</v>
      </c>
      <c r="I19" s="91">
        <f>MRS!I19</f>
        <v>278</v>
      </c>
      <c r="J19" s="91">
        <f>MRS!J19</f>
        <v>1390</v>
      </c>
      <c r="K19" s="92"/>
      <c r="O19" s="93"/>
      <c r="P19" s="93"/>
      <c r="R19" s="93"/>
    </row>
    <row r="20" spans="1:18" ht="105" customHeight="1">
      <c r="A20" s="17"/>
      <c r="B20" s="164" t="str">
        <f>MRS!B20</f>
        <v>Coated Plywood 4'x8'x18mm</v>
      </c>
      <c r="C20" s="165"/>
      <c r="D20" s="161">
        <f>MRS!D20</f>
        <v>0</v>
      </c>
      <c r="E20" s="162"/>
      <c r="F20" s="163"/>
      <c r="G20" s="90" t="str">
        <f>MRS!G20</f>
        <v>Nos</v>
      </c>
      <c r="H20" s="90">
        <f>MRS!H20</f>
        <v>100</v>
      </c>
      <c r="I20" s="91">
        <f>MRS!I20</f>
        <v>102</v>
      </c>
      <c r="J20" s="91">
        <f>MRS!J20</f>
        <v>10200</v>
      </c>
      <c r="K20" s="92"/>
      <c r="O20" s="93"/>
      <c r="P20" s="93"/>
      <c r="R20" s="93"/>
    </row>
    <row r="21" spans="1:18" ht="105" customHeight="1">
      <c r="A21" s="17"/>
      <c r="B21" s="164" t="str">
        <f>MRS!B21</f>
        <v>Latex Half Coated Gloves Green Crinkled</v>
      </c>
      <c r="C21" s="165"/>
      <c r="D21" s="161">
        <f>MRS!D21</f>
        <v>0</v>
      </c>
      <c r="E21" s="162"/>
      <c r="F21" s="163"/>
      <c r="G21" s="90" t="str">
        <f>MRS!G21</f>
        <v>Pair</v>
      </c>
      <c r="H21" s="90">
        <f>MRS!H21</f>
        <v>6500</v>
      </c>
      <c r="I21" s="91">
        <f>MRS!I21</f>
        <v>1.3</v>
      </c>
      <c r="J21" s="91">
        <f>MRS!J21</f>
        <v>8450</v>
      </c>
      <c r="K21" s="92"/>
      <c r="O21" s="93"/>
      <c r="P21" s="93"/>
      <c r="R21" s="93"/>
    </row>
    <row r="22" spans="1:18" ht="21" customHeight="1">
      <c r="B22" s="164" t="str">
        <f>MRS!B22</f>
        <v>Zinc Spray Paint Weicon</v>
      </c>
      <c r="C22" s="165"/>
      <c r="D22" s="161">
        <f>MRS!D22</f>
        <v>0</v>
      </c>
      <c r="E22" s="162"/>
      <c r="F22" s="163"/>
      <c r="G22" s="90" t="str">
        <f>MRS!G22</f>
        <v>Nos</v>
      </c>
      <c r="H22" s="90">
        <f>MRS!H22</f>
        <v>84</v>
      </c>
      <c r="I22" s="91">
        <f>MRS!I22</f>
        <v>32</v>
      </c>
      <c r="J22" s="91">
        <f>MRS!J22</f>
        <v>2688</v>
      </c>
    </row>
    <row r="23" spans="1:18" ht="21" customHeight="1">
      <c r="B23" s="164" t="str">
        <f>MRS!B23</f>
        <v>Sponge Foam Sheet 900x1900x100mm</v>
      </c>
      <c r="C23" s="165"/>
      <c r="D23" s="161">
        <f>MRS!D23</f>
        <v>0</v>
      </c>
      <c r="E23" s="162"/>
      <c r="F23" s="163"/>
      <c r="G23" s="90" t="str">
        <f>MRS!G23</f>
        <v>Nos</v>
      </c>
      <c r="H23" s="90">
        <f>MRS!H23</f>
        <v>5</v>
      </c>
      <c r="I23" s="91">
        <f>MRS!I23</f>
        <v>97</v>
      </c>
      <c r="J23" s="91">
        <f>MRS!J23</f>
        <v>485</v>
      </c>
    </row>
    <row r="24" spans="1:18" ht="21" customHeight="1">
      <c r="B24" s="164" t="e">
        <f>MRS!#REF!</f>
        <v>#REF!</v>
      </c>
      <c r="C24" s="165"/>
      <c r="D24" s="161" t="e">
        <f>MRS!#REF!</f>
        <v>#REF!</v>
      </c>
      <c r="E24" s="162"/>
      <c r="F24" s="163"/>
      <c r="G24" s="90" t="e">
        <f>MRS!#REF!</f>
        <v>#REF!</v>
      </c>
      <c r="H24" s="90" t="e">
        <f>MRS!#REF!</f>
        <v>#REF!</v>
      </c>
      <c r="I24" s="91" t="e">
        <f>MRS!#REF!</f>
        <v>#REF!</v>
      </c>
      <c r="J24" s="91" t="e">
        <f>MRS!#REF!</f>
        <v>#REF!</v>
      </c>
    </row>
    <row r="25" spans="1:18" ht="21" customHeight="1">
      <c r="B25" s="164" t="e">
        <f>MRS!#REF!</f>
        <v>#REF!</v>
      </c>
      <c r="C25" s="165"/>
      <c r="D25" s="161" t="e">
        <f>MRS!#REF!</f>
        <v>#REF!</v>
      </c>
      <c r="E25" s="162"/>
      <c r="F25" s="163"/>
      <c r="G25" s="90" t="e">
        <f>MRS!#REF!</f>
        <v>#REF!</v>
      </c>
      <c r="H25" s="90" t="e">
        <f>MRS!#REF!</f>
        <v>#REF!</v>
      </c>
      <c r="I25" s="91" t="e">
        <f>MRS!#REF!</f>
        <v>#REF!</v>
      </c>
      <c r="J25" s="91" t="e">
        <f>MRS!#REF!</f>
        <v>#REF!</v>
      </c>
    </row>
    <row r="26" spans="1:18" ht="21" customHeight="1">
      <c r="B26" s="164" t="e">
        <f>MRS!#REF!</f>
        <v>#REF!</v>
      </c>
      <c r="C26" s="165"/>
      <c r="D26" s="161" t="e">
        <f>MRS!#REF!</f>
        <v>#REF!</v>
      </c>
      <c r="E26" s="162"/>
      <c r="F26" s="163"/>
      <c r="G26" s="90" t="e">
        <f>MRS!#REF!</f>
        <v>#REF!</v>
      </c>
      <c r="H26" s="90" t="e">
        <f>MRS!#REF!</f>
        <v>#REF!</v>
      </c>
      <c r="I26" s="91" t="e">
        <f>MRS!#REF!</f>
        <v>#REF!</v>
      </c>
      <c r="J26" s="91" t="e">
        <f>MRS!#REF!</f>
        <v>#REF!</v>
      </c>
    </row>
    <row r="27" spans="1:18" ht="21" customHeight="1">
      <c r="B27" s="164" t="e">
        <f>MRS!#REF!</f>
        <v>#REF!</v>
      </c>
      <c r="C27" s="165"/>
      <c r="D27" s="161" t="e">
        <f>MRS!#REF!</f>
        <v>#REF!</v>
      </c>
      <c r="E27" s="162"/>
      <c r="F27" s="163"/>
      <c r="G27" s="90" t="e">
        <f>MRS!#REF!</f>
        <v>#REF!</v>
      </c>
      <c r="H27" s="90" t="e">
        <f>MRS!#REF!</f>
        <v>#REF!</v>
      </c>
      <c r="I27" s="91" t="e">
        <f>MRS!#REF!</f>
        <v>#REF!</v>
      </c>
      <c r="J27" s="91" t="e">
        <f>MRS!#REF!</f>
        <v>#REF!</v>
      </c>
    </row>
    <row r="28" spans="1:18" ht="21" customHeight="1">
      <c r="B28" s="164" t="e">
        <f>MRS!#REF!</f>
        <v>#REF!</v>
      </c>
      <c r="C28" s="165"/>
      <c r="D28" s="161" t="e">
        <f>MRS!#REF!</f>
        <v>#REF!</v>
      </c>
      <c r="E28" s="162"/>
      <c r="F28" s="163"/>
      <c r="G28" s="90" t="e">
        <f>MRS!#REF!</f>
        <v>#REF!</v>
      </c>
      <c r="H28" s="90" t="e">
        <f>MRS!#REF!</f>
        <v>#REF!</v>
      </c>
      <c r="I28" s="91" t="e">
        <f>MRS!#REF!</f>
        <v>#REF!</v>
      </c>
      <c r="J28" s="91" t="e">
        <f>MRS!#REF!</f>
        <v>#REF!</v>
      </c>
    </row>
    <row r="29" spans="1:18" ht="21" customHeight="1">
      <c r="B29" s="164" t="e">
        <f>MRS!#REF!</f>
        <v>#REF!</v>
      </c>
      <c r="C29" s="165"/>
      <c r="D29" s="161" t="e">
        <f>MRS!#REF!</f>
        <v>#REF!</v>
      </c>
      <c r="E29" s="162"/>
      <c r="F29" s="163"/>
      <c r="G29" s="90" t="e">
        <f>MRS!#REF!</f>
        <v>#REF!</v>
      </c>
      <c r="H29" s="90" t="e">
        <f>MRS!#REF!</f>
        <v>#REF!</v>
      </c>
      <c r="I29" s="91" t="e">
        <f>MRS!#REF!</f>
        <v>#REF!</v>
      </c>
      <c r="J29" s="91" t="e">
        <f>MRS!#REF!</f>
        <v>#REF!</v>
      </c>
    </row>
    <row r="30" spans="1:18" ht="21" customHeight="1">
      <c r="B30" s="164" t="e">
        <f>MRS!#REF!</f>
        <v>#REF!</v>
      </c>
      <c r="C30" s="165"/>
      <c r="D30" s="161" t="e">
        <f>MRS!#REF!</f>
        <v>#REF!</v>
      </c>
      <c r="E30" s="162"/>
      <c r="F30" s="163"/>
      <c r="G30" s="90" t="e">
        <f>MRS!#REF!</f>
        <v>#REF!</v>
      </c>
      <c r="H30" s="90" t="e">
        <f>MRS!#REF!</f>
        <v>#REF!</v>
      </c>
      <c r="I30" s="91" t="e">
        <f>MRS!#REF!</f>
        <v>#REF!</v>
      </c>
      <c r="J30" s="91" t="e">
        <f>MRS!#REF!</f>
        <v>#REF!</v>
      </c>
    </row>
    <row r="31" spans="1:18" ht="21" customHeight="1">
      <c r="B31" s="164" t="e">
        <f>MRS!#REF!</f>
        <v>#REF!</v>
      </c>
      <c r="C31" s="165"/>
      <c r="D31" s="161" t="e">
        <f>MRS!#REF!</f>
        <v>#REF!</v>
      </c>
      <c r="E31" s="162"/>
      <c r="F31" s="163"/>
      <c r="G31" s="90" t="e">
        <f>MRS!#REF!</f>
        <v>#REF!</v>
      </c>
      <c r="H31" s="90" t="e">
        <f>MRS!#REF!</f>
        <v>#REF!</v>
      </c>
      <c r="I31" s="91" t="e">
        <f>MRS!#REF!</f>
        <v>#REF!</v>
      </c>
      <c r="J31" s="91" t="e">
        <f>MRS!#REF!</f>
        <v>#REF!</v>
      </c>
    </row>
    <row r="32" spans="1:18" ht="21" customHeight="1">
      <c r="B32" s="164" t="e">
        <f>MRS!#REF!</f>
        <v>#REF!</v>
      </c>
      <c r="C32" s="165"/>
      <c r="D32" s="161" t="e">
        <f>MRS!#REF!</f>
        <v>#REF!</v>
      </c>
      <c r="E32" s="162"/>
      <c r="F32" s="163"/>
      <c r="G32" s="90" t="e">
        <f>MRS!#REF!</f>
        <v>#REF!</v>
      </c>
      <c r="H32" s="90" t="e">
        <f>MRS!#REF!</f>
        <v>#REF!</v>
      </c>
      <c r="I32" s="91" t="e">
        <f>MRS!#REF!</f>
        <v>#REF!</v>
      </c>
      <c r="J32" s="91" t="e">
        <f>MRS!#REF!</f>
        <v>#REF!</v>
      </c>
    </row>
    <row r="33" spans="2:10" ht="21" customHeight="1">
      <c r="B33" s="164" t="e">
        <f>MRS!#REF!</f>
        <v>#REF!</v>
      </c>
      <c r="C33" s="165"/>
      <c r="D33" s="161" t="e">
        <f>MRS!#REF!</f>
        <v>#REF!</v>
      </c>
      <c r="E33" s="162"/>
      <c r="F33" s="163"/>
      <c r="G33" s="90" t="e">
        <f>MRS!#REF!</f>
        <v>#REF!</v>
      </c>
      <c r="H33" s="90" t="e">
        <f>MRS!#REF!</f>
        <v>#REF!</v>
      </c>
      <c r="I33" s="91" t="e">
        <f>MRS!#REF!</f>
        <v>#REF!</v>
      </c>
      <c r="J33" s="91" t="e">
        <f>MRS!#REF!</f>
        <v>#REF!</v>
      </c>
    </row>
    <row r="34" spans="2:10" ht="21" customHeight="1">
      <c r="B34" s="164" t="e">
        <f>MRS!#REF!</f>
        <v>#REF!</v>
      </c>
      <c r="C34" s="165"/>
      <c r="D34" s="161" t="e">
        <f>MRS!#REF!</f>
        <v>#REF!</v>
      </c>
      <c r="E34" s="162"/>
      <c r="F34" s="163"/>
      <c r="G34" s="90" t="e">
        <f>MRS!#REF!</f>
        <v>#REF!</v>
      </c>
      <c r="H34" s="90" t="e">
        <f>MRS!#REF!</f>
        <v>#REF!</v>
      </c>
      <c r="I34" s="91" t="e">
        <f>MRS!#REF!</f>
        <v>#REF!</v>
      </c>
      <c r="J34" s="91" t="e">
        <f>MRS!#REF!</f>
        <v>#REF!</v>
      </c>
    </row>
    <row r="35" spans="2:10" ht="21" customHeight="1">
      <c r="B35" s="164" t="e">
        <f>MRS!#REF!</f>
        <v>#REF!</v>
      </c>
      <c r="C35" s="165"/>
      <c r="D35" s="161" t="e">
        <f>MRS!#REF!</f>
        <v>#REF!</v>
      </c>
      <c r="E35" s="162"/>
      <c r="F35" s="163"/>
      <c r="G35" s="90" t="e">
        <f>MRS!#REF!</f>
        <v>#REF!</v>
      </c>
      <c r="H35" s="90" t="e">
        <f>MRS!#REF!</f>
        <v>#REF!</v>
      </c>
      <c r="I35" s="91" t="e">
        <f>MRS!#REF!</f>
        <v>#REF!</v>
      </c>
      <c r="J35" s="91" t="e">
        <f>MRS!#REF!</f>
        <v>#REF!</v>
      </c>
    </row>
    <row r="36" spans="2:10" ht="21" customHeight="1">
      <c r="B36" s="164" t="e">
        <f>MRS!#REF!</f>
        <v>#REF!</v>
      </c>
      <c r="C36" s="165"/>
      <c r="D36" s="161" t="e">
        <f>MRS!#REF!</f>
        <v>#REF!</v>
      </c>
      <c r="E36" s="162"/>
      <c r="F36" s="163"/>
      <c r="G36" s="90" t="e">
        <f>MRS!#REF!</f>
        <v>#REF!</v>
      </c>
      <c r="H36" s="90" t="e">
        <f>MRS!#REF!</f>
        <v>#REF!</v>
      </c>
      <c r="I36" s="91" t="e">
        <f>MRS!#REF!</f>
        <v>#REF!</v>
      </c>
      <c r="J36" s="91" t="e">
        <f>MRS!#REF!</f>
        <v>#REF!</v>
      </c>
    </row>
    <row r="37" spans="2:10" ht="21" customHeight="1">
      <c r="B37" s="164" t="e">
        <f>MRS!#REF!</f>
        <v>#REF!</v>
      </c>
      <c r="C37" s="165"/>
      <c r="D37" s="161" t="e">
        <f>MRS!#REF!</f>
        <v>#REF!</v>
      </c>
      <c r="E37" s="162"/>
      <c r="F37" s="163"/>
      <c r="G37" s="90" t="e">
        <f>MRS!#REF!</f>
        <v>#REF!</v>
      </c>
      <c r="H37" s="90" t="e">
        <f>MRS!#REF!</f>
        <v>#REF!</v>
      </c>
      <c r="I37" s="91" t="e">
        <f>MRS!#REF!</f>
        <v>#REF!</v>
      </c>
      <c r="J37" s="91" t="e">
        <f>MRS!#REF!</f>
        <v>#REF!</v>
      </c>
    </row>
    <row r="38" spans="2:10" ht="21" customHeight="1">
      <c r="B38" s="164" t="e">
        <f>MRS!#REF!</f>
        <v>#REF!</v>
      </c>
      <c r="C38" s="165"/>
      <c r="D38" s="161" t="e">
        <f>MRS!#REF!</f>
        <v>#REF!</v>
      </c>
      <c r="E38" s="162"/>
      <c r="F38" s="163"/>
      <c r="G38" s="90" t="e">
        <f>MRS!#REF!</f>
        <v>#REF!</v>
      </c>
      <c r="H38" s="90" t="e">
        <f>MRS!#REF!</f>
        <v>#REF!</v>
      </c>
      <c r="I38" s="91" t="e">
        <f>MRS!#REF!</f>
        <v>#REF!</v>
      </c>
      <c r="J38" s="91" t="e">
        <f>MRS!#REF!</f>
        <v>#REF!</v>
      </c>
    </row>
    <row r="39" spans="2:10" ht="21" customHeight="1">
      <c r="B39" s="164" t="e">
        <f>MRS!#REF!</f>
        <v>#REF!</v>
      </c>
      <c r="C39" s="165"/>
      <c r="D39" s="161" t="e">
        <f>MRS!#REF!</f>
        <v>#REF!</v>
      </c>
      <c r="E39" s="162"/>
      <c r="F39" s="163"/>
      <c r="G39" s="90" t="e">
        <f>MRS!#REF!</f>
        <v>#REF!</v>
      </c>
      <c r="H39" s="90" t="e">
        <f>MRS!#REF!</f>
        <v>#REF!</v>
      </c>
      <c r="I39" s="91" t="e">
        <f>MRS!#REF!</f>
        <v>#REF!</v>
      </c>
      <c r="J39" s="91" t="e">
        <f>MRS!#REF!</f>
        <v>#REF!</v>
      </c>
    </row>
    <row r="40" spans="2:10" ht="21" customHeight="1">
      <c r="B40" s="164" t="e">
        <f>MRS!#REF!</f>
        <v>#REF!</v>
      </c>
      <c r="C40" s="165"/>
      <c r="D40" s="161" t="e">
        <f>MRS!#REF!</f>
        <v>#REF!</v>
      </c>
      <c r="E40" s="162"/>
      <c r="F40" s="163"/>
      <c r="G40" s="90" t="e">
        <f>MRS!#REF!</f>
        <v>#REF!</v>
      </c>
      <c r="H40" s="90" t="e">
        <f>MRS!#REF!</f>
        <v>#REF!</v>
      </c>
      <c r="I40" s="91" t="e">
        <f>MRS!#REF!</f>
        <v>#REF!</v>
      </c>
      <c r="J40" s="91" t="e">
        <f>MRS!#REF!</f>
        <v>#REF!</v>
      </c>
    </row>
    <row r="41" spans="2:10" ht="21" customHeight="1">
      <c r="B41" s="164" t="e">
        <f>MRS!#REF!</f>
        <v>#REF!</v>
      </c>
      <c r="C41" s="165"/>
      <c r="D41" s="161" t="e">
        <f>MRS!#REF!</f>
        <v>#REF!</v>
      </c>
      <c r="E41" s="162"/>
      <c r="F41" s="163"/>
      <c r="G41" s="90" t="e">
        <f>MRS!#REF!</f>
        <v>#REF!</v>
      </c>
      <c r="H41" s="90" t="e">
        <f>MRS!#REF!</f>
        <v>#REF!</v>
      </c>
      <c r="I41" s="91" t="e">
        <f>MRS!#REF!</f>
        <v>#REF!</v>
      </c>
      <c r="J41" s="91" t="e">
        <f>MRS!#REF!</f>
        <v>#REF!</v>
      </c>
    </row>
    <row r="42" spans="2:10" ht="21" customHeight="1">
      <c r="B42" s="164" t="e">
        <f>MRS!#REF!</f>
        <v>#REF!</v>
      </c>
      <c r="C42" s="165"/>
      <c r="D42" s="161" t="e">
        <f>MRS!#REF!</f>
        <v>#REF!</v>
      </c>
      <c r="E42" s="162"/>
      <c r="F42" s="163"/>
      <c r="G42" s="90" t="e">
        <f>MRS!#REF!</f>
        <v>#REF!</v>
      </c>
      <c r="H42" s="90" t="e">
        <f>MRS!#REF!</f>
        <v>#REF!</v>
      </c>
      <c r="I42" s="91" t="e">
        <f>MRS!#REF!</f>
        <v>#REF!</v>
      </c>
      <c r="J42" s="91" t="e">
        <f>MRS!#REF!</f>
        <v>#REF!</v>
      </c>
    </row>
    <row r="43" spans="2:10" ht="21" customHeight="1">
      <c r="B43" s="164" t="e">
        <f>MRS!#REF!</f>
        <v>#REF!</v>
      </c>
      <c r="C43" s="165"/>
      <c r="D43" s="161" t="e">
        <f>MRS!#REF!</f>
        <v>#REF!</v>
      </c>
      <c r="E43" s="162"/>
      <c r="F43" s="163"/>
      <c r="G43" s="90" t="e">
        <f>MRS!#REF!</f>
        <v>#REF!</v>
      </c>
      <c r="H43" s="90" t="e">
        <f>MRS!#REF!</f>
        <v>#REF!</v>
      </c>
      <c r="I43" s="91" t="e">
        <f>MRS!#REF!</f>
        <v>#REF!</v>
      </c>
      <c r="J43" s="91" t="e">
        <f>MRS!#REF!</f>
        <v>#REF!</v>
      </c>
    </row>
    <row r="44" spans="2:10" ht="21" customHeight="1">
      <c r="B44" s="164" t="e">
        <f>MRS!#REF!</f>
        <v>#REF!</v>
      </c>
      <c r="C44" s="165"/>
      <c r="D44" s="161" t="e">
        <f>MRS!#REF!</f>
        <v>#REF!</v>
      </c>
      <c r="E44" s="162"/>
      <c r="F44" s="163"/>
      <c r="G44" s="90" t="e">
        <f>MRS!#REF!</f>
        <v>#REF!</v>
      </c>
      <c r="H44" s="90" t="e">
        <f>MRS!#REF!</f>
        <v>#REF!</v>
      </c>
      <c r="I44" s="91" t="e">
        <f>MRS!#REF!</f>
        <v>#REF!</v>
      </c>
      <c r="J44" s="91" t="e">
        <f>MRS!#REF!</f>
        <v>#REF!</v>
      </c>
    </row>
    <row r="45" spans="2:10" ht="21" customHeight="1">
      <c r="B45" s="164" t="e">
        <f>MRS!#REF!</f>
        <v>#REF!</v>
      </c>
      <c r="C45" s="165"/>
      <c r="D45" s="161" t="e">
        <f>MRS!#REF!</f>
        <v>#REF!</v>
      </c>
      <c r="E45" s="162"/>
      <c r="F45" s="163"/>
      <c r="G45" s="90" t="e">
        <f>MRS!#REF!</f>
        <v>#REF!</v>
      </c>
      <c r="H45" s="90" t="e">
        <f>MRS!#REF!</f>
        <v>#REF!</v>
      </c>
      <c r="I45" s="91" t="e">
        <f>MRS!#REF!</f>
        <v>#REF!</v>
      </c>
      <c r="J45" s="91" t="e">
        <f>MRS!#REF!</f>
        <v>#REF!</v>
      </c>
    </row>
    <row r="46" spans="2:10" ht="21" customHeight="1">
      <c r="B46" s="164" t="e">
        <f>MRS!#REF!</f>
        <v>#REF!</v>
      </c>
      <c r="C46" s="165"/>
      <c r="D46" s="161" t="e">
        <f>MRS!#REF!</f>
        <v>#REF!</v>
      </c>
      <c r="E46" s="162"/>
      <c r="F46" s="163"/>
      <c r="G46" s="90" t="e">
        <f>MRS!#REF!</f>
        <v>#REF!</v>
      </c>
      <c r="H46" s="90" t="e">
        <f>MRS!#REF!</f>
        <v>#REF!</v>
      </c>
      <c r="I46" s="91" t="e">
        <f>MRS!#REF!</f>
        <v>#REF!</v>
      </c>
      <c r="J46" s="91" t="e">
        <f>MRS!#REF!</f>
        <v>#REF!</v>
      </c>
    </row>
    <row r="47" spans="2:10" ht="21" customHeight="1">
      <c r="B47" s="164" t="e">
        <f>MRS!#REF!</f>
        <v>#REF!</v>
      </c>
      <c r="C47" s="165"/>
      <c r="D47" s="161" t="e">
        <f>MRS!#REF!</f>
        <v>#REF!</v>
      </c>
      <c r="E47" s="162"/>
      <c r="F47" s="163"/>
      <c r="G47" s="90" t="e">
        <f>MRS!#REF!</f>
        <v>#REF!</v>
      </c>
      <c r="H47" s="90" t="e">
        <f>MRS!#REF!</f>
        <v>#REF!</v>
      </c>
      <c r="I47" s="91" t="e">
        <f>MRS!#REF!</f>
        <v>#REF!</v>
      </c>
      <c r="J47" s="91" t="e">
        <f>MRS!#REF!</f>
        <v>#REF!</v>
      </c>
    </row>
    <row r="48" spans="2:10" ht="21" customHeight="1">
      <c r="B48" s="164" t="e">
        <f>MRS!#REF!</f>
        <v>#REF!</v>
      </c>
      <c r="C48" s="165"/>
      <c r="D48" s="161" t="e">
        <f>MRS!#REF!</f>
        <v>#REF!</v>
      </c>
      <c r="E48" s="162"/>
      <c r="F48" s="163"/>
      <c r="G48" s="90" t="e">
        <f>MRS!#REF!</f>
        <v>#REF!</v>
      </c>
      <c r="H48" s="90" t="e">
        <f>MRS!#REF!</f>
        <v>#REF!</v>
      </c>
      <c r="I48" s="91" t="e">
        <f>MRS!#REF!</f>
        <v>#REF!</v>
      </c>
      <c r="J48" s="91" t="e">
        <f>MRS!#REF!</f>
        <v>#REF!</v>
      </c>
    </row>
    <row r="49" spans="2:10" ht="21" customHeight="1">
      <c r="B49" s="164" t="e">
        <f>MRS!#REF!</f>
        <v>#REF!</v>
      </c>
      <c r="C49" s="165"/>
      <c r="D49" s="161" t="e">
        <f>MRS!#REF!</f>
        <v>#REF!</v>
      </c>
      <c r="E49" s="162"/>
      <c r="F49" s="163"/>
      <c r="G49" s="90" t="e">
        <f>MRS!#REF!</f>
        <v>#REF!</v>
      </c>
      <c r="H49" s="90" t="e">
        <f>MRS!#REF!</f>
        <v>#REF!</v>
      </c>
      <c r="I49" s="91" t="e">
        <f>MRS!#REF!</f>
        <v>#REF!</v>
      </c>
      <c r="J49" s="91" t="e">
        <f>MRS!#REF!</f>
        <v>#REF!</v>
      </c>
    </row>
    <row r="50" spans="2:10" ht="21" customHeight="1">
      <c r="B50" s="164" t="e">
        <f>MRS!#REF!</f>
        <v>#REF!</v>
      </c>
      <c r="C50" s="165"/>
      <c r="D50" s="161" t="e">
        <f>MRS!#REF!</f>
        <v>#REF!</v>
      </c>
      <c r="E50" s="162"/>
      <c r="F50" s="163"/>
      <c r="G50" s="90" t="e">
        <f>MRS!#REF!</f>
        <v>#REF!</v>
      </c>
      <c r="H50" s="90" t="e">
        <f>MRS!#REF!</f>
        <v>#REF!</v>
      </c>
      <c r="I50" s="91" t="e">
        <f>MRS!#REF!</f>
        <v>#REF!</v>
      </c>
      <c r="J50" s="91" t="e">
        <f>MRS!#REF!</f>
        <v>#REF!</v>
      </c>
    </row>
    <row r="51" spans="2:10" ht="21" customHeight="1">
      <c r="B51" s="164" t="e">
        <f>MRS!#REF!</f>
        <v>#REF!</v>
      </c>
      <c r="C51" s="165"/>
      <c r="D51" s="161" t="e">
        <f>MRS!#REF!</f>
        <v>#REF!</v>
      </c>
      <c r="E51" s="162"/>
      <c r="F51" s="163"/>
      <c r="G51" s="90" t="e">
        <f>MRS!#REF!</f>
        <v>#REF!</v>
      </c>
      <c r="H51" s="90" t="e">
        <f>MRS!#REF!</f>
        <v>#REF!</v>
      </c>
      <c r="I51" s="91" t="e">
        <f>MRS!#REF!</f>
        <v>#REF!</v>
      </c>
      <c r="J51" s="91" t="e">
        <f>MRS!#REF!</f>
        <v>#REF!</v>
      </c>
    </row>
    <row r="52" spans="2:10" ht="21" customHeight="1">
      <c r="B52" s="164" t="e">
        <f>MRS!#REF!</f>
        <v>#REF!</v>
      </c>
      <c r="C52" s="165"/>
      <c r="D52" s="161" t="e">
        <f>MRS!#REF!</f>
        <v>#REF!</v>
      </c>
      <c r="E52" s="162"/>
      <c r="F52" s="163"/>
      <c r="G52" s="90" t="e">
        <f>MRS!#REF!</f>
        <v>#REF!</v>
      </c>
      <c r="H52" s="90" t="e">
        <f>MRS!#REF!</f>
        <v>#REF!</v>
      </c>
      <c r="I52" s="91" t="e">
        <f>MRS!#REF!</f>
        <v>#REF!</v>
      </c>
      <c r="J52" s="91" t="e">
        <f>MRS!#REF!</f>
        <v>#REF!</v>
      </c>
    </row>
    <row r="53" spans="2:10" ht="21" customHeight="1">
      <c r="B53" s="164" t="e">
        <f>MRS!#REF!</f>
        <v>#REF!</v>
      </c>
      <c r="C53" s="165"/>
      <c r="D53" s="161" t="e">
        <f>MRS!#REF!</f>
        <v>#REF!</v>
      </c>
      <c r="E53" s="162"/>
      <c r="F53" s="163"/>
      <c r="G53" s="90" t="e">
        <f>MRS!#REF!</f>
        <v>#REF!</v>
      </c>
      <c r="H53" s="90" t="e">
        <f>MRS!#REF!</f>
        <v>#REF!</v>
      </c>
      <c r="I53" s="91" t="e">
        <f>MRS!#REF!</f>
        <v>#REF!</v>
      </c>
      <c r="J53" s="91" t="e">
        <f>MRS!#REF!</f>
        <v>#REF!</v>
      </c>
    </row>
    <row r="54" spans="2:10" ht="21" customHeight="1">
      <c r="B54" s="164" t="e">
        <f>MRS!#REF!</f>
        <v>#REF!</v>
      </c>
      <c r="C54" s="165"/>
    </row>
    <row r="55" spans="2:10" ht="21" customHeight="1">
      <c r="B55" s="164" t="e">
        <f>MRS!#REF!</f>
        <v>#REF!</v>
      </c>
      <c r="C55" s="165"/>
    </row>
    <row r="56" spans="2:10" ht="21" customHeight="1">
      <c r="B56" s="164" t="e">
        <f>MRS!#REF!</f>
        <v>#REF!</v>
      </c>
      <c r="C56" s="165"/>
    </row>
    <row r="57" spans="2:10" ht="21" customHeight="1">
      <c r="B57" s="164" t="e">
        <f>MRS!#REF!</f>
        <v>#REF!</v>
      </c>
      <c r="C57" s="165"/>
    </row>
    <row r="58" spans="2:10" ht="21" customHeight="1">
      <c r="B58" s="164">
        <f>MRS!B95</f>
        <v>0</v>
      </c>
      <c r="C58" s="165"/>
    </row>
  </sheetData>
  <mergeCells count="111">
    <mergeCell ref="A4:A5"/>
    <mergeCell ref="B4:C5"/>
    <mergeCell ref="D4:F5"/>
    <mergeCell ref="B21:C21"/>
    <mergeCell ref="D21:F21"/>
    <mergeCell ref="B18:C18"/>
    <mergeCell ref="D18:F18"/>
    <mergeCell ref="B19:C19"/>
    <mergeCell ref="D19:F19"/>
    <mergeCell ref="B20:C20"/>
    <mergeCell ref="D20:F2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J1:K1"/>
    <mergeCell ref="J2:K2"/>
    <mergeCell ref="B7:C7"/>
    <mergeCell ref="D7:F7"/>
    <mergeCell ref="B8:C8"/>
    <mergeCell ref="D8:F8"/>
    <mergeCell ref="B9:C9"/>
    <mergeCell ref="D9:F9"/>
    <mergeCell ref="B10:C10"/>
    <mergeCell ref="D10:F10"/>
    <mergeCell ref="G4:G5"/>
    <mergeCell ref="H4:H5"/>
    <mergeCell ref="I4:I5"/>
    <mergeCell ref="J4:J5"/>
    <mergeCell ref="K4:K5"/>
    <mergeCell ref="B6:C6"/>
    <mergeCell ref="D6:F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D36:F36"/>
    <mergeCell ref="D37:F37"/>
    <mergeCell ref="D38:F38"/>
    <mergeCell ref="D39:F39"/>
    <mergeCell ref="D40:F40"/>
    <mergeCell ref="B57:C57"/>
    <mergeCell ref="B58:C58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B52:C52"/>
    <mergeCell ref="B53:C53"/>
    <mergeCell ref="B54:C54"/>
    <mergeCell ref="D51:F51"/>
    <mergeCell ref="D52:F52"/>
    <mergeCell ref="D53:F53"/>
    <mergeCell ref="D46:F46"/>
    <mergeCell ref="D47:F47"/>
    <mergeCell ref="D48:F48"/>
    <mergeCell ref="D49:F49"/>
    <mergeCell ref="D50:F50"/>
    <mergeCell ref="D41:F41"/>
    <mergeCell ref="D42:F42"/>
    <mergeCell ref="D43:F43"/>
    <mergeCell ref="D44:F44"/>
    <mergeCell ref="D45:F4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4" sqref="K14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101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91</v>
      </c>
      <c r="D9" s="34"/>
      <c r="E9" s="34"/>
    </row>
    <row r="10" spans="2:13" s="34" customFormat="1">
      <c r="B10" s="65"/>
      <c r="C10" s="34" t="s">
        <v>23</v>
      </c>
      <c r="D10" s="69" t="s">
        <v>92</v>
      </c>
      <c r="J10" s="34" t="s">
        <v>24</v>
      </c>
      <c r="K10" s="169">
        <f>MRS!L3</f>
        <v>46280</v>
      </c>
      <c r="L10" s="170"/>
      <c r="M10" s="170"/>
    </row>
    <row r="11" spans="2:13" s="34" customFormat="1">
      <c r="B11" s="65"/>
      <c r="C11" s="68" t="s">
        <v>25</v>
      </c>
      <c r="D11" s="69" t="s">
        <v>93</v>
      </c>
      <c r="J11" s="34" t="s">
        <v>26</v>
      </c>
      <c r="K11" s="171" t="str">
        <f>SUBSTITUTE(SUBSTITUTE(+MRS!A3,"  MRS No : ",""),"-MRS","-PO")</f>
        <v>SAC2-DS-PO-0464</v>
      </c>
      <c r="L11" s="171"/>
      <c r="M11" s="171"/>
    </row>
    <row r="12" spans="2:13" s="34" customFormat="1">
      <c r="B12" s="65"/>
      <c r="C12" s="68" t="s">
        <v>27</v>
      </c>
      <c r="D12" s="34" t="s">
        <v>94</v>
      </c>
      <c r="J12" s="34" t="s">
        <v>28</v>
      </c>
    </row>
    <row r="13" spans="2:13" s="34" customFormat="1">
      <c r="B13" s="65"/>
      <c r="C13" s="70"/>
      <c r="D13" s="69" t="s">
        <v>95</v>
      </c>
      <c r="J13" s="34" t="s">
        <v>29</v>
      </c>
    </row>
    <row r="14" spans="2:13" s="34" customFormat="1">
      <c r="B14" s="65"/>
      <c r="C14" s="104" t="s">
        <v>100</v>
      </c>
      <c r="J14" s="34" t="s">
        <v>30</v>
      </c>
      <c r="K14" s="34" t="s">
        <v>226</v>
      </c>
    </row>
    <row r="15" spans="2:13" s="34" customFormat="1">
      <c r="B15" s="65"/>
      <c r="C15" s="68" t="s">
        <v>96</v>
      </c>
      <c r="J15" s="34" t="s">
        <v>31</v>
      </c>
      <c r="K15" s="71">
        <v>46277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72" t="s">
        <v>32</v>
      </c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</row>
    <row r="19" spans="2:13" ht="12" customHeight="1"/>
    <row r="20" spans="2:13" s="27" customFormat="1" ht="12" customHeight="1">
      <c r="B20" s="173" t="s">
        <v>33</v>
      </c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</row>
    <row r="21" spans="2:13" s="27" customFormat="1" ht="12" customHeight="1">
      <c r="B21" s="173" t="s">
        <v>34</v>
      </c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</row>
    <row r="22" spans="2:13" s="27" customFormat="1" ht="12" customHeight="1">
      <c r="B22" s="173" t="s">
        <v>35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</row>
    <row r="23" spans="2:13" ht="3.75" customHeight="1"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2:13" ht="6.95" customHeight="1"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">
        <v>130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5">
        <f>'PO 2nd page'!G95</f>
        <v>256089</v>
      </c>
      <c r="G29" s="100"/>
      <c r="H29" s="100"/>
      <c r="M29" s="29"/>
    </row>
    <row r="30" spans="2:13" ht="15" customHeight="1">
      <c r="B30" s="28"/>
      <c r="C30" s="22" t="s">
        <v>41</v>
      </c>
      <c r="E30" s="22" t="s">
        <v>40</v>
      </c>
      <c r="F30" s="105">
        <f>'PO 2nd page'!G96</f>
        <v>38413.35</v>
      </c>
      <c r="G30" s="100"/>
      <c r="H30" s="100"/>
    </row>
    <row r="31" spans="2:13" ht="15" customHeight="1">
      <c r="B31" s="28"/>
      <c r="C31" s="22" t="s">
        <v>42</v>
      </c>
      <c r="D31" s="30"/>
      <c r="E31" s="22" t="s">
        <v>40</v>
      </c>
      <c r="F31" s="105">
        <f>'PO 2nd page'!G97</f>
        <v>294502.34999999998</v>
      </c>
      <c r="G31" s="100"/>
      <c r="H31" s="100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89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102</v>
      </c>
    </row>
    <row r="54" spans="2:16" ht="12" customHeight="1">
      <c r="B54" s="77" t="s">
        <v>56</v>
      </c>
      <c r="C54" s="106" t="s">
        <v>108</v>
      </c>
      <c r="F54" s="22" t="s">
        <v>103</v>
      </c>
    </row>
    <row r="55" spans="2:16" ht="12" customHeight="1">
      <c r="B55" s="77" t="s">
        <v>56</v>
      </c>
      <c r="C55" s="106" t="s">
        <v>109</v>
      </c>
      <c r="F55" s="107" t="s">
        <v>104</v>
      </c>
    </row>
    <row r="56" spans="2:16" ht="12" customHeight="1">
      <c r="B56" s="77" t="s">
        <v>56</v>
      </c>
      <c r="C56" s="106" t="s">
        <v>110</v>
      </c>
      <c r="F56" s="22" t="s">
        <v>115</v>
      </c>
    </row>
    <row r="57" spans="2:16" ht="12" customHeight="1">
      <c r="B57" s="77" t="s">
        <v>56</v>
      </c>
      <c r="C57" s="106" t="s">
        <v>111</v>
      </c>
      <c r="F57" s="22" t="s">
        <v>105</v>
      </c>
    </row>
    <row r="58" spans="2:16" ht="12" customHeight="1">
      <c r="B58" s="77" t="s">
        <v>56</v>
      </c>
      <c r="C58" s="106" t="s">
        <v>112</v>
      </c>
      <c r="F58" s="22" t="s">
        <v>106</v>
      </c>
    </row>
    <row r="59" spans="2:16" ht="12" customHeight="1">
      <c r="B59" s="77" t="s">
        <v>56</v>
      </c>
      <c r="C59" s="106" t="s">
        <v>113</v>
      </c>
      <c r="F59" s="22" t="s">
        <v>107</v>
      </c>
    </row>
    <row r="60" spans="2:16" ht="12" customHeight="1">
      <c r="B60" s="77"/>
      <c r="C60" s="106" t="s">
        <v>114</v>
      </c>
    </row>
    <row r="61" spans="2:16" ht="6.75" customHeight="1">
      <c r="B61" s="77"/>
      <c r="C61" s="106"/>
    </row>
    <row r="62" spans="2:16" ht="6" customHeight="1">
      <c r="B62" s="108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Shashank Kamra</v>
      </c>
    </row>
    <row r="68" spans="1:13" ht="13.5" customHeight="1">
      <c r="B68" s="22" t="s">
        <v>62</v>
      </c>
      <c r="J68" s="22" t="s">
        <v>63</v>
      </c>
      <c r="K68" s="18" t="s">
        <v>97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99</v>
      </c>
      <c r="J70" s="176" t="str">
        <f>C9</f>
        <v>JSAJ(Jassim Saif Amer Aljaberi Trading Est.)</v>
      </c>
      <c r="K70" s="176"/>
      <c r="L70" s="176"/>
      <c r="M70" s="176"/>
    </row>
    <row r="71" spans="1:13" ht="27.95" customHeight="1">
      <c r="A71" s="168" t="s">
        <v>66</v>
      </c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105"/>
  <sheetViews>
    <sheetView showGridLines="0" view="pageBreakPreview" topLeftCell="A81" zoomScaleSheetLayoutView="100" zoomScalePageLayoutView="55" workbookViewId="0">
      <selection activeCell="G95" sqref="G95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SAC2-DS-PO-0464</v>
      </c>
      <c r="C2" s="179" t="s">
        <v>68</v>
      </c>
      <c r="D2" s="179"/>
      <c r="E2" s="179"/>
      <c r="F2" s="179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46280</v>
      </c>
      <c r="C3" s="44"/>
      <c r="D3" s="45"/>
      <c r="E3" s="180" t="s">
        <v>70</v>
      </c>
      <c r="F3" s="180"/>
      <c r="G3" s="180"/>
      <c r="H3" s="180"/>
      <c r="I3" s="46"/>
    </row>
    <row r="4" spans="1:13" s="48" customFormat="1" ht="28.5" customHeight="1" thickTop="1">
      <c r="A4" s="181" t="s">
        <v>71</v>
      </c>
      <c r="B4" s="183" t="s">
        <v>72</v>
      </c>
      <c r="C4" s="184"/>
      <c r="D4" s="187" t="s">
        <v>73</v>
      </c>
      <c r="E4" s="187" t="s">
        <v>74</v>
      </c>
      <c r="F4" s="189" t="str">
        <f>'PO 1st page'!C9</f>
        <v>JSAJ(Jassim Saif Amer Aljaberi Trading Est.)</v>
      </c>
      <c r="G4" s="190"/>
      <c r="H4" s="191" t="s">
        <v>75</v>
      </c>
      <c r="K4" s="49"/>
      <c r="L4" s="49"/>
      <c r="M4" s="49"/>
    </row>
    <row r="5" spans="1:13" s="48" customFormat="1" ht="21.95" customHeight="1">
      <c r="A5" s="182"/>
      <c r="B5" s="185"/>
      <c r="C5" s="186"/>
      <c r="D5" s="188"/>
      <c r="E5" s="188"/>
      <c r="F5" s="50" t="s">
        <v>76</v>
      </c>
      <c r="G5" s="50" t="s">
        <v>42</v>
      </c>
      <c r="H5" s="192"/>
      <c r="K5" s="49"/>
      <c r="L5" s="49"/>
      <c r="M5" s="49"/>
    </row>
    <row r="6" spans="1:13" s="48" customFormat="1" ht="32.1" customHeight="1">
      <c r="A6" s="78">
        <f t="shared" ref="A6:A69" si="0">ROW(A1)</f>
        <v>1</v>
      </c>
      <c r="B6" s="177" t="str">
        <f>MRS!B6&amp;" "&amp;MRS!D6</f>
        <v xml:space="preserve">Wire End Brush S/S 2"x6mm </v>
      </c>
      <c r="C6" s="178"/>
      <c r="D6" s="79" t="str">
        <f>MRS!G6</f>
        <v>Nos</v>
      </c>
      <c r="E6" s="80">
        <f>MRS!H6</f>
        <v>100</v>
      </c>
      <c r="F6" s="81">
        <f>MRS!I6</f>
        <v>16.3</v>
      </c>
      <c r="G6" s="81">
        <f>MRS!J6</f>
        <v>1630</v>
      </c>
      <c r="H6" s="82" t="s">
        <v>98</v>
      </c>
      <c r="K6" s="83"/>
      <c r="L6" s="84"/>
      <c r="M6" s="49"/>
    </row>
    <row r="7" spans="1:13" s="48" customFormat="1" ht="32.1" customHeight="1">
      <c r="A7" s="78">
        <f t="shared" si="0"/>
        <v>2</v>
      </c>
      <c r="B7" s="177" t="str">
        <f>MRS!B7&amp;" "&amp;MRS!D7</f>
        <v xml:space="preserve">Grease Nipple 1/4" </v>
      </c>
      <c r="C7" s="178"/>
      <c r="D7" s="79" t="str">
        <f>MRS!G7</f>
        <v>Nos</v>
      </c>
      <c r="E7" s="80">
        <f>MRS!H7</f>
        <v>10</v>
      </c>
      <c r="F7" s="81">
        <f>MRS!I7</f>
        <v>6.25</v>
      </c>
      <c r="G7" s="81">
        <f>MRS!J7</f>
        <v>62.5</v>
      </c>
      <c r="H7" s="82"/>
      <c r="K7" s="83"/>
      <c r="L7" s="84"/>
      <c r="M7" s="49"/>
    </row>
    <row r="8" spans="1:13" s="48" customFormat="1" ht="32.1" customHeight="1">
      <c r="A8" s="85">
        <f t="shared" si="0"/>
        <v>3</v>
      </c>
      <c r="B8" s="177" t="str">
        <f>MRS!B8&amp;" "&amp;MRS!D8</f>
        <v xml:space="preserve">Taper Gauge 15mm </v>
      </c>
      <c r="C8" s="178"/>
      <c r="D8" s="79" t="str">
        <f>MRS!G8</f>
        <v>Nos</v>
      </c>
      <c r="E8" s="80">
        <f>MRS!H8</f>
        <v>35</v>
      </c>
      <c r="F8" s="81">
        <f>MRS!I8</f>
        <v>22.5</v>
      </c>
      <c r="G8" s="81">
        <f>MRS!J8</f>
        <v>787.5</v>
      </c>
      <c r="H8" s="82"/>
      <c r="K8" s="49"/>
      <c r="L8" s="49"/>
      <c r="M8" s="49"/>
    </row>
    <row r="9" spans="1:13" s="48" customFormat="1" ht="32.1" customHeight="1">
      <c r="A9" s="85">
        <f t="shared" si="0"/>
        <v>4</v>
      </c>
      <c r="B9" s="177" t="str">
        <f>MRS!B9&amp;" "&amp;MRS!D9</f>
        <v xml:space="preserve">Impact Socket 1/2"dr x 27mm x 50mmL </v>
      </c>
      <c r="C9" s="178"/>
      <c r="D9" s="79" t="str">
        <f>MRS!G9</f>
        <v>Nos</v>
      </c>
      <c r="E9" s="80">
        <f>MRS!H9</f>
        <v>10</v>
      </c>
      <c r="F9" s="81">
        <f>MRS!I9</f>
        <v>24</v>
      </c>
      <c r="G9" s="81">
        <f>MRS!J9</f>
        <v>240</v>
      </c>
      <c r="H9" s="86"/>
    </row>
    <row r="10" spans="1:13" s="48" customFormat="1" ht="32.1" customHeight="1">
      <c r="A10" s="85">
        <f t="shared" si="0"/>
        <v>5</v>
      </c>
      <c r="B10" s="177" t="str">
        <f>MRS!B10&amp;" "&amp;MRS!D10</f>
        <v xml:space="preserve">Impact Socket 3/8"dr x 13mm x 28mmL </v>
      </c>
      <c r="C10" s="178"/>
      <c r="D10" s="79" t="str">
        <f>MRS!G10</f>
        <v>Nos</v>
      </c>
      <c r="E10" s="80">
        <f>MRS!H10</f>
        <v>30</v>
      </c>
      <c r="F10" s="81">
        <f>MRS!I10</f>
        <v>11.5</v>
      </c>
      <c r="G10" s="81">
        <f>MRS!J10</f>
        <v>345</v>
      </c>
      <c r="H10" s="86"/>
    </row>
    <row r="11" spans="1:13" s="48" customFormat="1" ht="32.1" customHeight="1">
      <c r="A11" s="85">
        <f t="shared" si="0"/>
        <v>6</v>
      </c>
      <c r="B11" s="177" t="str">
        <f>MRS!B11&amp;" "&amp;MRS!D11</f>
        <v xml:space="preserve">Two Way Radio VHF GPS DP4401 EX Motorola ATEX/IECEx Ex-Proof </v>
      </c>
      <c r="C11" s="178"/>
      <c r="D11" s="79" t="str">
        <f>MRS!G11</f>
        <v>Set</v>
      </c>
      <c r="E11" s="80">
        <f>MRS!H11</f>
        <v>12</v>
      </c>
      <c r="F11" s="81">
        <f>MRS!I11</f>
        <v>5985</v>
      </c>
      <c r="G11" s="81">
        <f>MRS!J11</f>
        <v>71820</v>
      </c>
      <c r="H11" s="86"/>
    </row>
    <row r="12" spans="1:13" s="48" customFormat="1" ht="32.1" customHeight="1">
      <c r="A12" s="85">
        <f t="shared" si="0"/>
        <v>7</v>
      </c>
      <c r="B12" s="177" t="str">
        <f>MRS!B12&amp;" "&amp;MRS!D12</f>
        <v xml:space="preserve">Cutting Disc C/S 4"x3mm Maks </v>
      </c>
      <c r="C12" s="178"/>
      <c r="D12" s="79" t="str">
        <f>MRS!G12</f>
        <v>Nos</v>
      </c>
      <c r="E12" s="80">
        <f>MRS!H12</f>
        <v>300</v>
      </c>
      <c r="F12" s="81">
        <f>MRS!I12</f>
        <v>1.45</v>
      </c>
      <c r="G12" s="81">
        <f>MRS!J12</f>
        <v>435</v>
      </c>
      <c r="H12" s="86"/>
    </row>
    <row r="13" spans="1:13" s="48" customFormat="1" ht="32.1" customHeight="1">
      <c r="A13" s="85">
        <f t="shared" si="0"/>
        <v>8</v>
      </c>
      <c r="B13" s="177" t="str">
        <f>MRS!B13&amp;" "&amp;MRS!D13</f>
        <v xml:space="preserve">LED Torch Light Rechargeable GFL4658Z Geepas </v>
      </c>
      <c r="C13" s="178"/>
      <c r="D13" s="79" t="str">
        <f>MRS!G13</f>
        <v>Nos</v>
      </c>
      <c r="E13" s="80">
        <f>MRS!H13</f>
        <v>24</v>
      </c>
      <c r="F13" s="81">
        <f>MRS!I13</f>
        <v>46</v>
      </c>
      <c r="G13" s="81">
        <f>MRS!J13</f>
        <v>1104</v>
      </c>
      <c r="H13" s="86"/>
    </row>
    <row r="14" spans="1:13" s="48" customFormat="1" ht="32.1" customHeight="1">
      <c r="A14" s="85">
        <f t="shared" si="0"/>
        <v>9</v>
      </c>
      <c r="B14" s="177" t="str">
        <f>MRS!B14&amp;" "&amp;MRS!D14</f>
        <v xml:space="preserve">Polyester Rope TS8100M 8mmx100mtr </v>
      </c>
      <c r="C14" s="178"/>
      <c r="D14" s="79" t="str">
        <f>MRS!G14</f>
        <v>Roll</v>
      </c>
      <c r="E14" s="80">
        <f>MRS!H14</f>
        <v>10</v>
      </c>
      <c r="F14" s="81">
        <f>MRS!I14</f>
        <v>95</v>
      </c>
      <c r="G14" s="81">
        <f>MRS!J14</f>
        <v>950</v>
      </c>
      <c r="H14" s="86"/>
    </row>
    <row r="15" spans="1:13" s="48" customFormat="1" ht="32.1" customHeight="1">
      <c r="A15" s="85">
        <f t="shared" si="0"/>
        <v>10</v>
      </c>
      <c r="B15" s="177" t="str">
        <f>MRS!B15&amp;" "&amp;MRS!D15</f>
        <v xml:space="preserve">Anchorage Wire Rope Sling 6FT with TPI Certificate </v>
      </c>
      <c r="C15" s="178"/>
      <c r="D15" s="79" t="str">
        <f>MRS!G15</f>
        <v>Nos</v>
      </c>
      <c r="E15" s="80">
        <f>MRS!H15</f>
        <v>8</v>
      </c>
      <c r="F15" s="81">
        <f>MRS!I15</f>
        <v>150</v>
      </c>
      <c r="G15" s="81">
        <f>MRS!J15</f>
        <v>1200</v>
      </c>
      <c r="H15" s="86"/>
    </row>
    <row r="16" spans="1:13" s="48" customFormat="1" ht="32.1" customHeight="1">
      <c r="A16" s="85">
        <f t="shared" si="0"/>
        <v>11</v>
      </c>
      <c r="B16" s="177" t="str">
        <f>MRS!B16&amp;" "&amp;MRS!D16</f>
        <v xml:space="preserve">HDPE Bucket Heavy Duty 5Ltr </v>
      </c>
      <c r="C16" s="178"/>
      <c r="D16" s="79" t="str">
        <f>MRS!G16</f>
        <v>Nos</v>
      </c>
      <c r="E16" s="80">
        <f>MRS!H16</f>
        <v>20</v>
      </c>
      <c r="F16" s="81">
        <f>MRS!I16</f>
        <v>8</v>
      </c>
      <c r="G16" s="81">
        <f>MRS!J16</f>
        <v>160</v>
      </c>
      <c r="H16" s="86"/>
    </row>
    <row r="17" spans="1:8" s="48" customFormat="1" ht="32.1" customHeight="1">
      <c r="A17" s="85">
        <f t="shared" si="0"/>
        <v>12</v>
      </c>
      <c r="B17" s="177" t="str">
        <f>MRS!B17&amp;" "&amp;MRS!D17</f>
        <v xml:space="preserve">Impact Socket 3/8"dr x 13mm x 50mmL </v>
      </c>
      <c r="C17" s="178"/>
      <c r="D17" s="79" t="str">
        <f>MRS!G17</f>
        <v>Nos</v>
      </c>
      <c r="E17" s="80">
        <f>MRS!H17</f>
        <v>20</v>
      </c>
      <c r="F17" s="81">
        <f>MRS!I17</f>
        <v>11</v>
      </c>
      <c r="G17" s="81">
        <f>MRS!J17</f>
        <v>220</v>
      </c>
      <c r="H17" s="86"/>
    </row>
    <row r="18" spans="1:8" s="48" customFormat="1" ht="32.1" customHeight="1">
      <c r="A18" s="85">
        <f t="shared" si="0"/>
        <v>13</v>
      </c>
      <c r="B18" s="177" t="str">
        <f>MRS!B18&amp;" "&amp;MRS!D18</f>
        <v xml:space="preserve">Concrete Drill Bit 18mmx500mm </v>
      </c>
      <c r="C18" s="178"/>
      <c r="D18" s="79" t="str">
        <f>MRS!G18</f>
        <v>Nos</v>
      </c>
      <c r="E18" s="80">
        <f>MRS!H18</f>
        <v>4</v>
      </c>
      <c r="F18" s="81">
        <f>MRS!I18</f>
        <v>68</v>
      </c>
      <c r="G18" s="81">
        <f>MRS!J18</f>
        <v>272</v>
      </c>
      <c r="H18" s="86"/>
    </row>
    <row r="19" spans="1:8" s="48" customFormat="1" ht="32.1" customHeight="1">
      <c r="A19" s="85">
        <f t="shared" si="0"/>
        <v>14</v>
      </c>
      <c r="B19" s="177" t="str">
        <f>MRS!B19&amp;" "&amp;MRS!D19</f>
        <v xml:space="preserve">Magnetic Drill Bit TCT 22x100mm </v>
      </c>
      <c r="C19" s="178"/>
      <c r="D19" s="79" t="str">
        <f>MRS!G19</f>
        <v>Nos</v>
      </c>
      <c r="E19" s="80">
        <f>MRS!H19</f>
        <v>5</v>
      </c>
      <c r="F19" s="81">
        <f>MRS!I19</f>
        <v>278</v>
      </c>
      <c r="G19" s="81">
        <f>MRS!J19</f>
        <v>1390</v>
      </c>
      <c r="H19" s="86"/>
    </row>
    <row r="20" spans="1:8" s="48" customFormat="1" ht="32.1" customHeight="1">
      <c r="A20" s="85">
        <f t="shared" si="0"/>
        <v>15</v>
      </c>
      <c r="B20" s="177" t="str">
        <f>MRS!B20&amp;" "&amp;MRS!D20</f>
        <v xml:space="preserve">Coated Plywood 4'x8'x18mm </v>
      </c>
      <c r="C20" s="178"/>
      <c r="D20" s="79" t="str">
        <f>MRS!G20</f>
        <v>Nos</v>
      </c>
      <c r="E20" s="80">
        <f>MRS!H20</f>
        <v>100</v>
      </c>
      <c r="F20" s="81">
        <f>MRS!I20</f>
        <v>102</v>
      </c>
      <c r="G20" s="81">
        <f>MRS!J20</f>
        <v>10200</v>
      </c>
      <c r="H20" s="86"/>
    </row>
    <row r="21" spans="1:8" s="48" customFormat="1" ht="32.1" customHeight="1">
      <c r="A21" s="85">
        <f t="shared" si="0"/>
        <v>16</v>
      </c>
      <c r="B21" s="177" t="str">
        <f>MRS!B21&amp;" "&amp;MRS!D21</f>
        <v xml:space="preserve">Latex Half Coated Gloves Green Crinkled </v>
      </c>
      <c r="C21" s="178"/>
      <c r="D21" s="79" t="str">
        <f>MRS!G21</f>
        <v>Pair</v>
      </c>
      <c r="E21" s="80">
        <f>MRS!H21</f>
        <v>6500</v>
      </c>
      <c r="F21" s="81">
        <f>MRS!I21</f>
        <v>1.3</v>
      </c>
      <c r="G21" s="81">
        <f>MRS!J21</f>
        <v>8450</v>
      </c>
      <c r="H21" s="86"/>
    </row>
    <row r="22" spans="1:8" s="48" customFormat="1" ht="32.1" customHeight="1">
      <c r="A22" s="85">
        <f t="shared" si="0"/>
        <v>17</v>
      </c>
      <c r="B22" s="177" t="str">
        <f>MRS!B22&amp;" "&amp;MRS!D22</f>
        <v xml:space="preserve">Zinc Spray Paint Weicon </v>
      </c>
      <c r="C22" s="178"/>
      <c r="D22" s="79" t="str">
        <f>MRS!G22</f>
        <v>Nos</v>
      </c>
      <c r="E22" s="80">
        <f>MRS!H22</f>
        <v>84</v>
      </c>
      <c r="F22" s="81">
        <f>MRS!I22</f>
        <v>32</v>
      </c>
      <c r="G22" s="81">
        <f>MRS!J22</f>
        <v>2688</v>
      </c>
      <c r="H22" s="86"/>
    </row>
    <row r="23" spans="1:8" s="48" customFormat="1" ht="32.1" customHeight="1">
      <c r="A23" s="85">
        <f t="shared" si="0"/>
        <v>18</v>
      </c>
      <c r="B23" s="177" t="str">
        <f>MRS!B23&amp;" "&amp;MRS!D23</f>
        <v xml:space="preserve">Sponge Foam Sheet 900x1900x100mm </v>
      </c>
      <c r="C23" s="178"/>
      <c r="D23" s="79" t="str">
        <f>MRS!G23</f>
        <v>Nos</v>
      </c>
      <c r="E23" s="80">
        <f>MRS!H23</f>
        <v>5</v>
      </c>
      <c r="F23" s="81">
        <f>MRS!I23</f>
        <v>97</v>
      </c>
      <c r="G23" s="81">
        <f>MRS!J23</f>
        <v>485</v>
      </c>
      <c r="H23" s="86"/>
    </row>
    <row r="24" spans="1:8" s="48" customFormat="1" ht="32.1" customHeight="1">
      <c r="A24" s="85">
        <f t="shared" si="0"/>
        <v>19</v>
      </c>
      <c r="B24" s="177" t="str">
        <f>MRS!B24&amp;" "&amp;MRS!D24</f>
        <v xml:space="preserve">Tig Collet Body 350A 2.4mm </v>
      </c>
      <c r="C24" s="178"/>
      <c r="D24" s="79" t="str">
        <f>MRS!G24</f>
        <v>Nos</v>
      </c>
      <c r="E24" s="80">
        <f>MRS!H24</f>
        <v>400</v>
      </c>
      <c r="F24" s="81">
        <f>MRS!I24</f>
        <v>11.8</v>
      </c>
      <c r="G24" s="81">
        <f>MRS!J24</f>
        <v>4720</v>
      </c>
      <c r="H24" s="86"/>
    </row>
    <row r="25" spans="1:8" s="48" customFormat="1" ht="32.1" customHeight="1">
      <c r="A25" s="85">
        <f t="shared" si="0"/>
        <v>20</v>
      </c>
      <c r="B25" s="177" t="str">
        <f>MRS!B25&amp;" "&amp;MRS!D25</f>
        <v xml:space="preserve">Tig Collet Body 250A 2.4mm </v>
      </c>
      <c r="C25" s="178"/>
      <c r="D25" s="79" t="str">
        <f>MRS!G25</f>
        <v>Nos</v>
      </c>
      <c r="E25" s="80">
        <f>MRS!H25</f>
        <v>150</v>
      </c>
      <c r="F25" s="81">
        <f>MRS!I25</f>
        <v>2.6</v>
      </c>
      <c r="G25" s="81">
        <f>MRS!J25</f>
        <v>390</v>
      </c>
      <c r="H25" s="86"/>
    </row>
    <row r="26" spans="1:8" s="48" customFormat="1" ht="32.1" customHeight="1">
      <c r="A26" s="85">
        <f t="shared" si="0"/>
        <v>21</v>
      </c>
      <c r="B26" s="177" t="str">
        <f>MRS!B26&amp;" "&amp;MRS!D26</f>
        <v xml:space="preserve">Tig Collet Pin 350A 3.2mm </v>
      </c>
      <c r="C26" s="178"/>
      <c r="D26" s="79" t="str">
        <f>MRS!G26</f>
        <v>Nos</v>
      </c>
      <c r="E26" s="80">
        <f>MRS!H26</f>
        <v>100</v>
      </c>
      <c r="F26" s="81">
        <f>MRS!I26</f>
        <v>6</v>
      </c>
      <c r="G26" s="81">
        <f>MRS!J26</f>
        <v>600</v>
      </c>
      <c r="H26" s="86"/>
    </row>
    <row r="27" spans="1:8" s="48" customFormat="1" ht="32.1" customHeight="1">
      <c r="A27" s="85">
        <f t="shared" si="0"/>
        <v>22</v>
      </c>
      <c r="B27" s="177" t="str">
        <f>MRS!B27&amp;" "&amp;MRS!D27</f>
        <v xml:space="preserve">Tig Torch Head with Handle </v>
      </c>
      <c r="C27" s="178"/>
      <c r="D27" s="79" t="str">
        <f>MRS!G27</f>
        <v>Nos</v>
      </c>
      <c r="E27" s="80">
        <f>MRS!H27</f>
        <v>50</v>
      </c>
      <c r="F27" s="81">
        <f>MRS!I27</f>
        <v>35</v>
      </c>
      <c r="G27" s="81">
        <f>MRS!J27</f>
        <v>1750</v>
      </c>
      <c r="H27" s="86"/>
    </row>
    <row r="28" spans="1:8" s="48" customFormat="1" ht="32.1" customHeight="1">
      <c r="A28" s="85">
        <f t="shared" si="0"/>
        <v>23</v>
      </c>
      <c r="B28" s="177" t="str">
        <f>MRS!B28&amp;" "&amp;MRS!D28</f>
        <v xml:space="preserve">Tig Torch Switch </v>
      </c>
      <c r="C28" s="178"/>
      <c r="D28" s="79" t="str">
        <f>MRS!G28</f>
        <v>Nos</v>
      </c>
      <c r="E28" s="80">
        <f>MRS!H28</f>
        <v>330</v>
      </c>
      <c r="F28" s="81">
        <f>MRS!I28</f>
        <v>10.5</v>
      </c>
      <c r="G28" s="81">
        <f>MRS!J28</f>
        <v>3465</v>
      </c>
      <c r="H28" s="86"/>
    </row>
    <row r="29" spans="1:8" s="48" customFormat="1" ht="32.1" customHeight="1">
      <c r="A29" s="85">
        <f t="shared" si="0"/>
        <v>24</v>
      </c>
      <c r="B29" s="177" t="str">
        <f>MRS!B29&amp;" "&amp;MRS!D29</f>
        <v xml:space="preserve">Ceramic Nozzle 350A #5 </v>
      </c>
      <c r="C29" s="178"/>
      <c r="D29" s="79" t="str">
        <f>MRS!G29</f>
        <v>Nos</v>
      </c>
      <c r="E29" s="80">
        <f>MRS!H29</f>
        <v>250</v>
      </c>
      <c r="F29" s="81">
        <f>MRS!I29</f>
        <v>11.8</v>
      </c>
      <c r="G29" s="81">
        <f>MRS!J29</f>
        <v>2950</v>
      </c>
      <c r="H29" s="86"/>
    </row>
    <row r="30" spans="1:8" s="48" customFormat="1" ht="32.1" customHeight="1">
      <c r="A30" s="85">
        <f t="shared" si="0"/>
        <v>25</v>
      </c>
      <c r="B30" s="177" t="str">
        <f>MRS!B30&amp;" "&amp;MRS!D30</f>
        <v xml:space="preserve">Ceramic Nozzle 350A #7 </v>
      </c>
      <c r="C30" s="178"/>
      <c r="D30" s="79" t="str">
        <f>MRS!G30</f>
        <v>Nos</v>
      </c>
      <c r="E30" s="80">
        <f>MRS!H30</f>
        <v>150</v>
      </c>
      <c r="F30" s="81">
        <f>MRS!I30</f>
        <v>11.8</v>
      </c>
      <c r="G30" s="81">
        <f>MRS!J30</f>
        <v>1770</v>
      </c>
      <c r="H30" s="86"/>
    </row>
    <row r="31" spans="1:8" s="48" customFormat="1" ht="32.1" customHeight="1">
      <c r="A31" s="85">
        <f t="shared" si="0"/>
        <v>26</v>
      </c>
      <c r="B31" s="177" t="str">
        <f>MRS!B31&amp;" "&amp;MRS!D31</f>
        <v xml:space="preserve">Ceramic Nozzle 350A #8 </v>
      </c>
      <c r="C31" s="178"/>
      <c r="D31" s="79" t="str">
        <f>MRS!G31</f>
        <v>Nos</v>
      </c>
      <c r="E31" s="80">
        <f>MRS!H31</f>
        <v>500</v>
      </c>
      <c r="F31" s="81">
        <f>MRS!I31</f>
        <v>11.8</v>
      </c>
      <c r="G31" s="81">
        <f>MRS!J31</f>
        <v>5900</v>
      </c>
      <c r="H31" s="86"/>
    </row>
    <row r="32" spans="1:8" s="48" customFormat="1" ht="32.1" customHeight="1">
      <c r="A32" s="85">
        <f t="shared" si="0"/>
        <v>27</v>
      </c>
      <c r="B32" s="177" t="str">
        <f>MRS!B32&amp;" "&amp;MRS!D32</f>
        <v xml:space="preserve">Waterproof Pigtail Connector (Tig Torch Connector Male &amp; Female) </v>
      </c>
      <c r="C32" s="178"/>
      <c r="D32" s="79" t="str">
        <f>MRS!G32</f>
        <v>Set</v>
      </c>
      <c r="E32" s="80">
        <f>MRS!H32</f>
        <v>200</v>
      </c>
      <c r="F32" s="81">
        <f>MRS!I32</f>
        <v>11.8</v>
      </c>
      <c r="G32" s="81">
        <f>MRS!J32</f>
        <v>2360</v>
      </c>
      <c r="H32" s="86"/>
    </row>
    <row r="33" spans="1:8" s="48" customFormat="1" ht="32.1" customHeight="1">
      <c r="A33" s="85">
        <f t="shared" si="0"/>
        <v>28</v>
      </c>
      <c r="B33" s="177" t="str">
        <f>MRS!B33&amp;" "&amp;MRS!D33</f>
        <v xml:space="preserve">Fitting for Welding Shield Mask and Safety Helmet </v>
      </c>
      <c r="C33" s="178"/>
      <c r="D33" s="79" t="str">
        <f>MRS!G33</f>
        <v>Nos</v>
      </c>
      <c r="E33" s="80">
        <f>MRS!H33</f>
        <v>100</v>
      </c>
      <c r="F33" s="81">
        <f>MRS!I33</f>
        <v>11.5</v>
      </c>
      <c r="G33" s="81">
        <f>MRS!J33</f>
        <v>1150</v>
      </c>
      <c r="H33" s="86"/>
    </row>
    <row r="34" spans="1:8" s="48" customFormat="1" ht="32.1" customHeight="1">
      <c r="A34" s="85">
        <f t="shared" si="0"/>
        <v>29</v>
      </c>
      <c r="B34" s="177" t="str">
        <f>MRS!B34&amp;" "&amp;MRS!D34</f>
        <v xml:space="preserve">Welding Glass Clear 108x50x2mm Kasweld </v>
      </c>
      <c r="C34" s="178"/>
      <c r="D34" s="79" t="str">
        <f>MRS!G34</f>
        <v>Nos</v>
      </c>
      <c r="E34" s="80">
        <f>MRS!H34</f>
        <v>2000</v>
      </c>
      <c r="F34" s="81">
        <f>MRS!I34</f>
        <v>0.33</v>
      </c>
      <c r="G34" s="81">
        <f>MRS!J34</f>
        <v>660</v>
      </c>
      <c r="H34" s="86"/>
    </row>
    <row r="35" spans="1:8" s="48" customFormat="1" ht="32.1" customHeight="1">
      <c r="A35" s="85">
        <f t="shared" si="0"/>
        <v>30</v>
      </c>
      <c r="B35" s="177" t="str">
        <f>MRS!B35&amp;" "&amp;MRS!D35</f>
        <v xml:space="preserve">Digital Vernier Caliper 150mm </v>
      </c>
      <c r="C35" s="178"/>
      <c r="D35" s="79" t="str">
        <f>MRS!G35</f>
        <v>Nos</v>
      </c>
      <c r="E35" s="80">
        <f>MRS!H35</f>
        <v>1</v>
      </c>
      <c r="F35" s="81">
        <f>MRS!I35</f>
        <v>125</v>
      </c>
      <c r="G35" s="81">
        <f>MRS!J35</f>
        <v>125</v>
      </c>
      <c r="H35" s="86"/>
    </row>
    <row r="36" spans="1:8" s="48" customFormat="1" ht="32.1" customHeight="1">
      <c r="A36" s="85">
        <f t="shared" si="0"/>
        <v>31</v>
      </c>
      <c r="B36" s="177" t="str">
        <f>MRS!B36&amp;" "&amp;MRS!D36</f>
        <v xml:space="preserve">Cotton Gloves 40GSM </v>
      </c>
      <c r="C36" s="178"/>
      <c r="D36" s="79" t="str">
        <f>MRS!G36</f>
        <v>Pair</v>
      </c>
      <c r="E36" s="80">
        <f>MRS!H36</f>
        <v>400</v>
      </c>
      <c r="F36" s="81">
        <f>MRS!I36</f>
        <v>0.6</v>
      </c>
      <c r="G36" s="81">
        <f>MRS!J36</f>
        <v>240</v>
      </c>
      <c r="H36" s="86"/>
    </row>
    <row r="37" spans="1:8" s="48" customFormat="1" ht="32.1" customHeight="1">
      <c r="A37" s="85">
        <f t="shared" si="0"/>
        <v>32</v>
      </c>
      <c r="B37" s="177" t="str">
        <f>MRS!B37&amp;" "&amp;MRS!D37</f>
        <v xml:space="preserve">Corrugated Sheet White 0.32mmx1mtrx3mtr </v>
      </c>
      <c r="C37" s="178"/>
      <c r="D37" s="79" t="str">
        <f>MRS!G37</f>
        <v>Nos</v>
      </c>
      <c r="E37" s="80">
        <f>MRS!H37</f>
        <v>200</v>
      </c>
      <c r="F37" s="81">
        <f>MRS!I37</f>
        <v>45</v>
      </c>
      <c r="G37" s="81">
        <f>MRS!J37</f>
        <v>9000</v>
      </c>
      <c r="H37" s="86"/>
    </row>
    <row r="38" spans="1:8" s="48" customFormat="1" ht="32.1" customHeight="1">
      <c r="A38" s="85">
        <f t="shared" si="0"/>
        <v>33</v>
      </c>
      <c r="B38" s="177" t="str">
        <f>MRS!B38&amp;" "&amp;MRS!D38</f>
        <v xml:space="preserve">Laser Pointer Green Dot Long Range 50-500Mtr </v>
      </c>
      <c r="C38" s="178"/>
      <c r="D38" s="79" t="str">
        <f>MRS!G38</f>
        <v>Nos</v>
      </c>
      <c r="E38" s="80">
        <f>MRS!H38</f>
        <v>5</v>
      </c>
      <c r="F38" s="81">
        <f>MRS!I38</f>
        <v>55</v>
      </c>
      <c r="G38" s="81">
        <f>MRS!J38</f>
        <v>275</v>
      </c>
      <c r="H38" s="86"/>
    </row>
    <row r="39" spans="1:8" s="48" customFormat="1" ht="32.1" customHeight="1">
      <c r="A39" s="85">
        <f t="shared" si="0"/>
        <v>34</v>
      </c>
      <c r="B39" s="177" t="str">
        <f>MRS!B39&amp;" "&amp;MRS!D39</f>
        <v xml:space="preserve">Pipe Threading Machine 1/2"-2" NPT Supertronic 2SE Rothenberger </v>
      </c>
      <c r="C39" s="178"/>
      <c r="D39" s="79" t="str">
        <f>MRS!G39</f>
        <v>Set</v>
      </c>
      <c r="E39" s="80">
        <f>MRS!H39</f>
        <v>1</v>
      </c>
      <c r="F39" s="81">
        <f>MRS!I39</f>
        <v>11950</v>
      </c>
      <c r="G39" s="81">
        <f>MRS!J39</f>
        <v>11950</v>
      </c>
      <c r="H39" s="86"/>
    </row>
    <row r="40" spans="1:8" s="48" customFormat="1" ht="32.1" customHeight="1">
      <c r="A40" s="85">
        <f t="shared" si="0"/>
        <v>35</v>
      </c>
      <c r="B40" s="177" t="str">
        <f>MRS!B40&amp;" "&amp;MRS!D40</f>
        <v xml:space="preserve">Threading Dies 1/2"-3/4" NPT 56373 Rothenberger </v>
      </c>
      <c r="C40" s="178"/>
      <c r="D40" s="79" t="str">
        <f>MRS!G40</f>
        <v>Set</v>
      </c>
      <c r="E40" s="80">
        <f>MRS!H40</f>
        <v>2</v>
      </c>
      <c r="F40" s="81">
        <f>MRS!I40</f>
        <v>675</v>
      </c>
      <c r="G40" s="81">
        <f>MRS!J40</f>
        <v>1350</v>
      </c>
      <c r="H40" s="86"/>
    </row>
    <row r="41" spans="1:8" s="48" customFormat="1" ht="32.1" customHeight="1">
      <c r="A41" s="85">
        <f t="shared" si="0"/>
        <v>36</v>
      </c>
      <c r="B41" s="177" t="str">
        <f>MRS!B41&amp;" "&amp;MRS!D41</f>
        <v xml:space="preserve">Threading Dies 1"-2" NPT 56374 Rothenberger </v>
      </c>
      <c r="C41" s="178"/>
      <c r="D41" s="79" t="str">
        <f>MRS!G41</f>
        <v>Set</v>
      </c>
      <c r="E41" s="80">
        <f>MRS!H41</f>
        <v>2</v>
      </c>
      <c r="F41" s="81">
        <f>MRS!I41</f>
        <v>675</v>
      </c>
      <c r="G41" s="81">
        <f>MRS!J41</f>
        <v>1350</v>
      </c>
      <c r="H41" s="86"/>
    </row>
    <row r="42" spans="1:8" s="48" customFormat="1" ht="32.1" customHeight="1">
      <c r="A42" s="85">
        <f t="shared" si="0"/>
        <v>37</v>
      </c>
      <c r="B42" s="177" t="str">
        <f>MRS!B42&amp;" "&amp;MRS!D42</f>
        <v xml:space="preserve">Magnifying Glass 50mm </v>
      </c>
      <c r="C42" s="178"/>
      <c r="D42" s="79" t="str">
        <f>MRS!G42</f>
        <v>Nos</v>
      </c>
      <c r="E42" s="80">
        <f>MRS!H42</f>
        <v>5</v>
      </c>
      <c r="F42" s="81">
        <f>MRS!I42</f>
        <v>51</v>
      </c>
      <c r="G42" s="81">
        <f>MRS!J42</f>
        <v>255</v>
      </c>
      <c r="H42" s="86"/>
    </row>
    <row r="43" spans="1:8" s="48" customFormat="1" ht="32.1" customHeight="1">
      <c r="A43" s="85">
        <f t="shared" si="0"/>
        <v>38</v>
      </c>
      <c r="B43" s="177" t="str">
        <f>MRS!B43&amp;" "&amp;MRS!D43</f>
        <v xml:space="preserve">AC Clamp Meter 600V AC/DC 600A TRMS UT202A+ UNI-T </v>
      </c>
      <c r="C43" s="178"/>
      <c r="D43" s="79" t="str">
        <f>MRS!G43</f>
        <v>Nos</v>
      </c>
      <c r="E43" s="80">
        <f>MRS!H43</f>
        <v>1</v>
      </c>
      <c r="F43" s="81">
        <f>MRS!I43</f>
        <v>160</v>
      </c>
      <c r="G43" s="81">
        <f>MRS!J43</f>
        <v>160</v>
      </c>
      <c r="H43" s="86"/>
    </row>
    <row r="44" spans="1:8" s="48" customFormat="1" ht="32.1" customHeight="1">
      <c r="A44" s="85">
        <f t="shared" si="0"/>
        <v>39</v>
      </c>
      <c r="B44" s="177" t="str">
        <f>MRS!B44&amp;" "&amp;MRS!D44</f>
        <v xml:space="preserve">Die Grinder 6mm 220V with Paddle Switch GD0600 Makita </v>
      </c>
      <c r="C44" s="178"/>
      <c r="D44" s="79" t="str">
        <f>MRS!G44</f>
        <v>Nos</v>
      </c>
      <c r="E44" s="80">
        <f>MRS!H44</f>
        <v>10</v>
      </c>
      <c r="F44" s="81">
        <f>MRS!I44</f>
        <v>420</v>
      </c>
      <c r="G44" s="81">
        <f>MRS!J44</f>
        <v>4200</v>
      </c>
      <c r="H44" s="86"/>
    </row>
    <row r="45" spans="1:8" s="48" customFormat="1" ht="32.1" customHeight="1">
      <c r="A45" s="85">
        <f t="shared" si="0"/>
        <v>40</v>
      </c>
      <c r="B45" s="177" t="str">
        <f>MRS!B45&amp;" "&amp;MRS!D45</f>
        <v xml:space="preserve">Metal Whistle </v>
      </c>
      <c r="C45" s="178"/>
      <c r="D45" s="79" t="str">
        <f>MRS!G45</f>
        <v>Nos</v>
      </c>
      <c r="E45" s="80">
        <f>MRS!H45</f>
        <v>5</v>
      </c>
      <c r="F45" s="81">
        <f>MRS!I45</f>
        <v>2.8</v>
      </c>
      <c r="G45" s="81">
        <f>MRS!J45</f>
        <v>14</v>
      </c>
      <c r="H45" s="86"/>
    </row>
    <row r="46" spans="1:8" s="48" customFormat="1" ht="32.1" customHeight="1">
      <c r="A46" s="85">
        <f t="shared" si="0"/>
        <v>41</v>
      </c>
      <c r="B46" s="177" t="str">
        <f>MRS!B46&amp;" "&amp;MRS!D46</f>
        <v xml:space="preserve">Impact Socket 3/4"dr x 27mm x 50mmL </v>
      </c>
      <c r="C46" s="178"/>
      <c r="D46" s="79" t="str">
        <f>MRS!G46</f>
        <v>Nos</v>
      </c>
      <c r="E46" s="80">
        <f>MRS!H46</f>
        <v>15</v>
      </c>
      <c r="F46" s="81">
        <f>MRS!I46</f>
        <v>30</v>
      </c>
      <c r="G46" s="81">
        <f>MRS!J46</f>
        <v>450</v>
      </c>
      <c r="H46" s="86"/>
    </row>
    <row r="47" spans="1:8" s="48" customFormat="1" ht="32.1" customHeight="1">
      <c r="A47" s="85">
        <f t="shared" si="0"/>
        <v>42</v>
      </c>
      <c r="B47" s="177" t="str">
        <f>MRS!B47&amp;" "&amp;MRS!D47</f>
        <v xml:space="preserve">Impact Socket 3/4"dr x 32mm x 50mmL </v>
      </c>
      <c r="C47" s="178"/>
      <c r="D47" s="79" t="str">
        <f>MRS!G47</f>
        <v>Nos</v>
      </c>
      <c r="E47" s="80">
        <f>MRS!H47</f>
        <v>15</v>
      </c>
      <c r="F47" s="81">
        <f>MRS!I47</f>
        <v>36.5</v>
      </c>
      <c r="G47" s="81">
        <f>MRS!J47</f>
        <v>547.5</v>
      </c>
      <c r="H47" s="86"/>
    </row>
    <row r="48" spans="1:8" s="48" customFormat="1" ht="32.1" customHeight="1">
      <c r="A48" s="85">
        <f t="shared" si="0"/>
        <v>43</v>
      </c>
      <c r="B48" s="177" t="str">
        <f>MRS!B48&amp;" "&amp;MRS!D48</f>
        <v xml:space="preserve">Impact Socket 3/4"dr x 36mm x 50mmL </v>
      </c>
      <c r="C48" s="178"/>
      <c r="D48" s="79" t="str">
        <f>MRS!G48</f>
        <v>Nos</v>
      </c>
      <c r="E48" s="80">
        <f>MRS!H48</f>
        <v>15</v>
      </c>
      <c r="F48" s="81">
        <f>MRS!I48</f>
        <v>39</v>
      </c>
      <c r="G48" s="81">
        <f>MRS!J48</f>
        <v>585</v>
      </c>
      <c r="H48" s="86"/>
    </row>
    <row r="49" spans="1:8" s="48" customFormat="1" ht="32.1" customHeight="1">
      <c r="A49" s="85">
        <f t="shared" si="0"/>
        <v>44</v>
      </c>
      <c r="B49" s="177" t="str">
        <f>MRS!B49&amp;" "&amp;MRS!D49</f>
        <v xml:space="preserve">Thread Dies 1/2"-3/4" NPT 89101 Asada </v>
      </c>
      <c r="C49" s="178"/>
      <c r="D49" s="79" t="str">
        <f>MRS!G49</f>
        <v>Nos</v>
      </c>
      <c r="E49" s="80">
        <f>MRS!H49</f>
        <v>10</v>
      </c>
      <c r="F49" s="81">
        <f>MRS!I49</f>
        <v>670</v>
      </c>
      <c r="G49" s="81">
        <f>MRS!J49</f>
        <v>6700</v>
      </c>
      <c r="H49" s="86"/>
    </row>
    <row r="50" spans="1:8" s="48" customFormat="1" ht="32.1" customHeight="1">
      <c r="A50" s="85">
        <f t="shared" si="0"/>
        <v>45</v>
      </c>
      <c r="B50" s="177" t="str">
        <f>MRS!B50&amp;" "&amp;MRS!D50</f>
        <v xml:space="preserve">Thread Dies 1"-2" NPT 89102 Asada </v>
      </c>
      <c r="C50" s="178"/>
      <c r="D50" s="79" t="str">
        <f>MRS!G50</f>
        <v>Nos</v>
      </c>
      <c r="E50" s="80">
        <f>MRS!H50</f>
        <v>10</v>
      </c>
      <c r="F50" s="81">
        <f>MRS!I50</f>
        <v>705</v>
      </c>
      <c r="G50" s="81">
        <f>MRS!J50</f>
        <v>7050</v>
      </c>
      <c r="H50" s="86"/>
    </row>
    <row r="51" spans="1:8" s="48" customFormat="1" ht="32.1" customHeight="1">
      <c r="A51" s="85">
        <f t="shared" si="0"/>
        <v>46</v>
      </c>
      <c r="B51" s="177" t="str">
        <f>MRS!B51&amp;" "&amp;MRS!D51</f>
        <v xml:space="preserve">Thread Dies 2-1/2"-4" NPT for Asada </v>
      </c>
      <c r="C51" s="178"/>
      <c r="D51" s="79" t="str">
        <f>MRS!G51</f>
        <v>Nos</v>
      </c>
      <c r="E51" s="80">
        <f>MRS!H51</f>
        <v>7</v>
      </c>
      <c r="F51" s="81">
        <f>MRS!I51</f>
        <v>965</v>
      </c>
      <c r="G51" s="81">
        <f>MRS!J51</f>
        <v>6755</v>
      </c>
      <c r="H51" s="86"/>
    </row>
    <row r="52" spans="1:8" s="48" customFormat="1" ht="32.1" customHeight="1">
      <c r="A52" s="85">
        <f t="shared" si="0"/>
        <v>47</v>
      </c>
      <c r="B52" s="177" t="str">
        <f>MRS!B52&amp;" "&amp;MRS!D52</f>
        <v xml:space="preserve">Magnetic Drill Bit TCT 22x200mm </v>
      </c>
      <c r="C52" s="178"/>
      <c r="D52" s="79" t="str">
        <f>MRS!G52</f>
        <v>Nos</v>
      </c>
      <c r="E52" s="80">
        <f>MRS!H52</f>
        <v>4</v>
      </c>
      <c r="F52" s="81">
        <f>MRS!I52</f>
        <v>1055</v>
      </c>
      <c r="G52" s="81">
        <f>MRS!J52</f>
        <v>4220</v>
      </c>
      <c r="H52" s="86"/>
    </row>
    <row r="53" spans="1:8" s="48" customFormat="1" ht="32.1" customHeight="1">
      <c r="A53" s="85">
        <f t="shared" si="0"/>
        <v>48</v>
      </c>
      <c r="B53" s="177" t="str">
        <f>MRS!B53&amp;" "&amp;MRS!D53</f>
        <v xml:space="preserve">Weld Purge Oxygen Monitor PurgEye100 </v>
      </c>
      <c r="C53" s="178"/>
      <c r="D53" s="79" t="str">
        <f>MRS!G53</f>
        <v>Nos</v>
      </c>
      <c r="E53" s="80">
        <f>MRS!H53</f>
        <v>3</v>
      </c>
      <c r="F53" s="81">
        <f>MRS!I53</f>
        <v>3200</v>
      </c>
      <c r="G53" s="81">
        <f>MRS!J53</f>
        <v>9600</v>
      </c>
      <c r="H53" s="86"/>
    </row>
    <row r="54" spans="1:8" s="48" customFormat="1" ht="32.1" customHeight="1">
      <c r="A54" s="85">
        <f t="shared" si="0"/>
        <v>49</v>
      </c>
      <c r="B54" s="177" t="str">
        <f>MRS!B54&amp;" "&amp;MRS!D54</f>
        <v xml:space="preserve">Diamond Cutting Wheel 4" </v>
      </c>
      <c r="C54" s="178"/>
      <c r="D54" s="79" t="str">
        <f>MRS!G54</f>
        <v>Nos</v>
      </c>
      <c r="E54" s="80">
        <f>MRS!H54</f>
        <v>15</v>
      </c>
      <c r="F54" s="81">
        <f>MRS!I54</f>
        <v>6.2</v>
      </c>
      <c r="G54" s="81">
        <f>MRS!J54</f>
        <v>93</v>
      </c>
      <c r="H54" s="86"/>
    </row>
    <row r="55" spans="1:8" s="48" customFormat="1" ht="32.1" customHeight="1">
      <c r="A55" s="85">
        <f t="shared" si="0"/>
        <v>50</v>
      </c>
      <c r="B55" s="177" t="str">
        <f>MRS!B55&amp;" "&amp;MRS!D55</f>
        <v xml:space="preserve">Diamond Grinding Wheel 4" </v>
      </c>
      <c r="C55" s="178"/>
      <c r="D55" s="79" t="str">
        <f>MRS!G55</f>
        <v>Nos</v>
      </c>
      <c r="E55" s="80">
        <f>MRS!H55</f>
        <v>15</v>
      </c>
      <c r="F55" s="81">
        <f>MRS!I55</f>
        <v>24</v>
      </c>
      <c r="G55" s="81">
        <f>MRS!J55</f>
        <v>360</v>
      </c>
      <c r="H55" s="86"/>
    </row>
    <row r="56" spans="1:8" s="48" customFormat="1" ht="32.1" customHeight="1">
      <c r="A56" s="85">
        <f t="shared" si="0"/>
        <v>51</v>
      </c>
      <c r="B56" s="177" t="str">
        <f>MRS!B56&amp;" "&amp;MRS!D56</f>
        <v xml:space="preserve">Rubber Chemical Gloves XL Heavy Duty Red Color </v>
      </c>
      <c r="C56" s="178"/>
      <c r="D56" s="79" t="str">
        <f>MRS!G56</f>
        <v>Pair</v>
      </c>
      <c r="E56" s="80">
        <f>MRS!H56</f>
        <v>150</v>
      </c>
      <c r="F56" s="81">
        <f>MRS!I56</f>
        <v>4</v>
      </c>
      <c r="G56" s="81">
        <f>MRS!J56</f>
        <v>600</v>
      </c>
      <c r="H56" s="86"/>
    </row>
    <row r="57" spans="1:8" s="48" customFormat="1" ht="32.1" customHeight="1">
      <c r="A57" s="85">
        <f t="shared" si="0"/>
        <v>52</v>
      </c>
      <c r="B57" s="177" t="str">
        <f>MRS!B57&amp;" "&amp;MRS!D57</f>
        <v xml:space="preserve">Safety Whipcheck Cable 1/8"x550mm </v>
      </c>
      <c r="C57" s="178"/>
      <c r="D57" s="79" t="str">
        <f>MRS!G57</f>
        <v>Nos</v>
      </c>
      <c r="E57" s="80">
        <f>MRS!H57</f>
        <v>20</v>
      </c>
      <c r="F57" s="81">
        <f>MRS!I57</f>
        <v>9.5</v>
      </c>
      <c r="G57" s="81">
        <f>MRS!J57</f>
        <v>190</v>
      </c>
      <c r="H57" s="86"/>
    </row>
    <row r="58" spans="1:8" s="48" customFormat="1" ht="32.1" customHeight="1">
      <c r="A58" s="85">
        <f t="shared" si="0"/>
        <v>53</v>
      </c>
      <c r="B58" s="177" t="str">
        <f>MRS!B58&amp;" "&amp;MRS!D58</f>
        <v xml:space="preserve">Aluminum Foil Insulation 1x50mtr x 10mm thickness </v>
      </c>
      <c r="C58" s="178"/>
      <c r="D58" s="79" t="str">
        <f>MRS!G58</f>
        <v>Nos</v>
      </c>
      <c r="E58" s="80">
        <f>MRS!H58</f>
        <v>1</v>
      </c>
      <c r="F58" s="81">
        <f>MRS!I58</f>
        <v>250</v>
      </c>
      <c r="G58" s="81">
        <f>MRS!J58</f>
        <v>250</v>
      </c>
      <c r="H58" s="86"/>
    </row>
    <row r="59" spans="1:8" s="48" customFormat="1" ht="32.1" customHeight="1">
      <c r="A59" s="85">
        <f t="shared" si="0"/>
        <v>54</v>
      </c>
      <c r="B59" s="177" t="str">
        <f>MRS!B59&amp;" "&amp;MRS!D59</f>
        <v xml:space="preserve">Multi Gas Detector Max XT with Pump Honeywell </v>
      </c>
      <c r="C59" s="178"/>
      <c r="D59" s="79" t="str">
        <f>MRS!G59</f>
        <v>Nos</v>
      </c>
      <c r="E59" s="80">
        <f>MRS!H59</f>
        <v>1</v>
      </c>
      <c r="F59" s="81">
        <f>MRS!I59</f>
        <v>2625</v>
      </c>
      <c r="G59" s="81">
        <f>MRS!J59</f>
        <v>2625</v>
      </c>
      <c r="H59" s="86"/>
    </row>
    <row r="60" spans="1:8" s="48" customFormat="1" ht="32.1" customHeight="1">
      <c r="A60" s="85">
        <f t="shared" si="0"/>
        <v>55</v>
      </c>
      <c r="B60" s="177" t="str">
        <f>MRS!B60&amp;" "&amp;MRS!D60</f>
        <v xml:space="preserve">Industrial Mist Fan 26" 220V </v>
      </c>
      <c r="C60" s="178"/>
      <c r="D60" s="79" t="str">
        <f>MRS!G60</f>
        <v>Nos</v>
      </c>
      <c r="E60" s="80">
        <f>MRS!H60</f>
        <v>5</v>
      </c>
      <c r="F60" s="81">
        <f>MRS!I60</f>
        <v>580</v>
      </c>
      <c r="G60" s="81">
        <f>MRS!J60</f>
        <v>2900</v>
      </c>
      <c r="H60" s="86"/>
    </row>
    <row r="61" spans="1:8" s="48" customFormat="1" ht="32.1" customHeight="1">
      <c r="A61" s="85">
        <f t="shared" si="0"/>
        <v>56</v>
      </c>
      <c r="B61" s="177" t="str">
        <f>MRS!B61&amp;" "&amp;MRS!D61</f>
        <v xml:space="preserve">Low Chloride Paint Marker Black </v>
      </c>
      <c r="C61" s="178"/>
      <c r="D61" s="79" t="str">
        <f>MRS!G61</f>
        <v>Nos</v>
      </c>
      <c r="E61" s="80">
        <f>MRS!H61</f>
        <v>24</v>
      </c>
      <c r="F61" s="81">
        <f>MRS!I61</f>
        <v>12.6</v>
      </c>
      <c r="G61" s="81">
        <f>MRS!J61</f>
        <v>302.39999999999998</v>
      </c>
      <c r="H61" s="86"/>
    </row>
    <row r="62" spans="1:8" s="48" customFormat="1" ht="32.1" customHeight="1">
      <c r="A62" s="85">
        <f t="shared" si="0"/>
        <v>57</v>
      </c>
      <c r="B62" s="177" t="str">
        <f>MRS!B62&amp;" "&amp;MRS!D62</f>
        <v xml:space="preserve">Low Chloride Paint Marker Yellow </v>
      </c>
      <c r="C62" s="178"/>
      <c r="D62" s="79" t="str">
        <f>MRS!G62</f>
        <v>Nos</v>
      </c>
      <c r="E62" s="80">
        <f>MRS!H62</f>
        <v>24</v>
      </c>
      <c r="F62" s="81">
        <f>MRS!I62</f>
        <v>12.6</v>
      </c>
      <c r="G62" s="81">
        <f>MRS!J62</f>
        <v>302.39999999999998</v>
      </c>
      <c r="H62" s="86"/>
    </row>
    <row r="63" spans="1:8" s="48" customFormat="1" ht="32.1" customHeight="1">
      <c r="A63" s="85">
        <f t="shared" si="0"/>
        <v>58</v>
      </c>
      <c r="B63" s="177" t="str">
        <f>MRS!B63&amp;" "&amp;MRS!D63</f>
        <v xml:space="preserve">Hi-Lo Welding Gauge </v>
      </c>
      <c r="C63" s="178"/>
      <c r="D63" s="79" t="str">
        <f>MRS!G63</f>
        <v>Nos</v>
      </c>
      <c r="E63" s="80">
        <f>MRS!H63</f>
        <v>5</v>
      </c>
      <c r="F63" s="81">
        <f>MRS!I63</f>
        <v>118</v>
      </c>
      <c r="G63" s="81">
        <f>MRS!J63</f>
        <v>590</v>
      </c>
      <c r="H63" s="86"/>
    </row>
    <row r="64" spans="1:8" s="48" customFormat="1" ht="32.1" customHeight="1">
      <c r="A64" s="85">
        <f t="shared" si="0"/>
        <v>59</v>
      </c>
      <c r="B64" s="177" t="str">
        <f>MRS!B64&amp;" "&amp;MRS!D64</f>
        <v xml:space="preserve">Carbide Burr Cone Shape G1225x06 </v>
      </c>
      <c r="C64" s="178"/>
      <c r="D64" s="79" t="str">
        <f>MRS!G64</f>
        <v>Nos</v>
      </c>
      <c r="E64" s="80">
        <f>MRS!H64</f>
        <v>50</v>
      </c>
      <c r="F64" s="81">
        <f>MRS!I64</f>
        <v>46</v>
      </c>
      <c r="G64" s="81">
        <f>MRS!J64</f>
        <v>2300</v>
      </c>
      <c r="H64" s="86"/>
    </row>
    <row r="65" spans="1:8" s="48" customFormat="1" ht="32.1" customHeight="1">
      <c r="A65" s="85">
        <f t="shared" si="0"/>
        <v>60</v>
      </c>
      <c r="B65" s="177" t="str">
        <f>MRS!B65&amp;" "&amp;MRS!D65</f>
        <v xml:space="preserve">PVC Coated Orange Fire Blanket 1x50mtr </v>
      </c>
      <c r="C65" s="178"/>
      <c r="D65" s="79" t="str">
        <f>MRS!G65</f>
        <v>Roll</v>
      </c>
      <c r="E65" s="80">
        <f>MRS!H65</f>
        <v>30</v>
      </c>
      <c r="F65" s="81">
        <f>MRS!I65</f>
        <v>450</v>
      </c>
      <c r="G65" s="81">
        <f>MRS!J65</f>
        <v>13500</v>
      </c>
      <c r="H65" s="86"/>
    </row>
    <row r="66" spans="1:8" s="48" customFormat="1" ht="32.1" customHeight="1">
      <c r="A66" s="85">
        <f t="shared" si="0"/>
        <v>61</v>
      </c>
      <c r="B66" s="177" t="str">
        <f>MRS!B66&amp;" "&amp;MRS!D66</f>
        <v xml:space="preserve">Wrapping Film Roll 50cm 50mtr 3Kg </v>
      </c>
      <c r="C66" s="178"/>
      <c r="D66" s="79" t="str">
        <f>MRS!G66</f>
        <v>Roll</v>
      </c>
      <c r="E66" s="80">
        <f>MRS!H66</f>
        <v>20</v>
      </c>
      <c r="F66" s="81">
        <f>MRS!I66</f>
        <v>20</v>
      </c>
      <c r="G66" s="81">
        <f>MRS!J66</f>
        <v>400</v>
      </c>
      <c r="H66" s="86"/>
    </row>
    <row r="67" spans="1:8" s="48" customFormat="1" ht="32.1" customHeight="1">
      <c r="A67" s="85">
        <f t="shared" si="0"/>
        <v>62</v>
      </c>
      <c r="B67" s="177" t="str">
        <f>MRS!B67&amp;" "&amp;MRS!D67</f>
        <v xml:space="preserve">Tig Collet Pin 350A 2.4mm </v>
      </c>
      <c r="C67" s="178"/>
      <c r="D67" s="79" t="str">
        <f>MRS!G67</f>
        <v>Nos</v>
      </c>
      <c r="E67" s="80">
        <f>MRS!H67</f>
        <v>300</v>
      </c>
      <c r="F67" s="81">
        <f>MRS!I67</f>
        <v>5.5</v>
      </c>
      <c r="G67" s="81">
        <f>MRS!J67</f>
        <v>1650</v>
      </c>
      <c r="H67" s="86"/>
    </row>
    <row r="68" spans="1:8" s="48" customFormat="1" ht="32.1" customHeight="1">
      <c r="A68" s="85">
        <f t="shared" si="0"/>
        <v>63</v>
      </c>
      <c r="B68" s="177" t="str">
        <f>MRS!B68&amp;" "&amp;MRS!D68</f>
        <v xml:space="preserve">Tig Collet Pin 250A 2.4mm </v>
      </c>
      <c r="C68" s="178"/>
      <c r="D68" s="79" t="str">
        <f>MRS!G68</f>
        <v>Nos</v>
      </c>
      <c r="E68" s="80">
        <f>MRS!H68</f>
        <v>150</v>
      </c>
      <c r="F68" s="81">
        <f>MRS!I68</f>
        <v>2.2000000000000002</v>
      </c>
      <c r="G68" s="81">
        <f>MRS!J68</f>
        <v>330</v>
      </c>
      <c r="H68" s="86"/>
    </row>
    <row r="69" spans="1:8" s="48" customFormat="1" ht="32.1" customHeight="1">
      <c r="A69" s="85">
        <f t="shared" si="0"/>
        <v>64</v>
      </c>
      <c r="B69" s="177" t="str">
        <f>MRS!B69&amp;" "&amp;MRS!D69</f>
        <v xml:space="preserve">Split Level 300mm </v>
      </c>
      <c r="C69" s="178"/>
      <c r="D69" s="79" t="str">
        <f>MRS!G69</f>
        <v>Nos</v>
      </c>
      <c r="E69" s="80">
        <f>MRS!H69</f>
        <v>25</v>
      </c>
      <c r="F69" s="81">
        <f>MRS!I69</f>
        <v>15.5</v>
      </c>
      <c r="G69" s="81">
        <f>MRS!J69</f>
        <v>387.5</v>
      </c>
      <c r="H69" s="86"/>
    </row>
    <row r="70" spans="1:8" s="48" customFormat="1" ht="32.1" customHeight="1">
      <c r="A70" s="85">
        <f t="shared" ref="A70:A94" si="1">ROW(A65)</f>
        <v>65</v>
      </c>
      <c r="B70" s="177" t="str">
        <f>MRS!B70&amp;" "&amp;MRS!D70</f>
        <v xml:space="preserve">Masking Tape 2"x20yard (24ea/box) </v>
      </c>
      <c r="C70" s="178"/>
      <c r="D70" s="79" t="str">
        <f>MRS!G70</f>
        <v>Box</v>
      </c>
      <c r="E70" s="80">
        <f>MRS!H70</f>
        <v>40</v>
      </c>
      <c r="F70" s="81">
        <f>MRS!I70</f>
        <v>43</v>
      </c>
      <c r="G70" s="81">
        <f>MRS!J70</f>
        <v>1720</v>
      </c>
      <c r="H70" s="86"/>
    </row>
    <row r="71" spans="1:8" s="48" customFormat="1" ht="32.1" customHeight="1">
      <c r="A71" s="85">
        <f t="shared" si="1"/>
        <v>66</v>
      </c>
      <c r="B71" s="177" t="str">
        <f>MRS!B71&amp;" "&amp;MRS!D71</f>
        <v xml:space="preserve">Cutting Disc S/S 4"x1mm Maks </v>
      </c>
      <c r="C71" s="178"/>
      <c r="D71" s="79" t="str">
        <f>MRS!G71</f>
        <v>Nos</v>
      </c>
      <c r="E71" s="80">
        <f>MRS!H71</f>
        <v>2000</v>
      </c>
      <c r="F71" s="81">
        <f>MRS!I71</f>
        <v>1.25</v>
      </c>
      <c r="G71" s="81">
        <f>MRS!J71</f>
        <v>2500</v>
      </c>
      <c r="H71" s="86"/>
    </row>
    <row r="72" spans="1:8" s="48" customFormat="1" ht="32.1" customHeight="1">
      <c r="A72" s="85">
        <f t="shared" si="1"/>
        <v>67</v>
      </c>
      <c r="B72" s="177" t="str">
        <f>MRS!B72&amp;" "&amp;MRS!D72</f>
        <v xml:space="preserve">Cup Brush C/S Crimped M10x75mm </v>
      </c>
      <c r="C72" s="178"/>
      <c r="D72" s="79" t="str">
        <f>MRS!G72</f>
        <v>Nos</v>
      </c>
      <c r="E72" s="80">
        <f>MRS!H72</f>
        <v>300</v>
      </c>
      <c r="F72" s="81">
        <f>MRS!I72</f>
        <v>8.8000000000000007</v>
      </c>
      <c r="G72" s="81">
        <f>MRS!J72</f>
        <v>2640</v>
      </c>
      <c r="H72" s="86"/>
    </row>
    <row r="73" spans="1:8" s="48" customFormat="1" ht="32.1" customHeight="1">
      <c r="A73" s="85">
        <f t="shared" si="1"/>
        <v>68</v>
      </c>
      <c r="B73" s="177" t="str">
        <f>MRS!B73&amp;" "&amp;MRS!D73</f>
        <v xml:space="preserve">Tig Torch Back Cap Long (57Y02) </v>
      </c>
      <c r="C73" s="178"/>
      <c r="D73" s="79" t="str">
        <f>MRS!G73</f>
        <v>Nos</v>
      </c>
      <c r="E73" s="80">
        <f>MRS!H73</f>
        <v>100</v>
      </c>
      <c r="F73" s="81">
        <f>MRS!I73</f>
        <v>3.8</v>
      </c>
      <c r="G73" s="81">
        <f>MRS!J73</f>
        <v>380</v>
      </c>
      <c r="H73" s="86"/>
    </row>
    <row r="74" spans="1:8" s="48" customFormat="1" ht="32.1" customHeight="1">
      <c r="A74" s="85">
        <f t="shared" si="1"/>
        <v>69</v>
      </c>
      <c r="B74" s="177" t="str">
        <f>MRS!B74&amp;" "&amp;MRS!D74</f>
        <v xml:space="preserve">Tig Torch Back Cap Short (57Y04) </v>
      </c>
      <c r="C74" s="178"/>
      <c r="D74" s="79" t="str">
        <f>MRS!G74</f>
        <v>Nos</v>
      </c>
      <c r="E74" s="80">
        <f>MRS!H74</f>
        <v>100</v>
      </c>
      <c r="F74" s="81">
        <f>MRS!I74</f>
        <v>3.2</v>
      </c>
      <c r="G74" s="81">
        <f>MRS!J74</f>
        <v>320</v>
      </c>
      <c r="H74" s="86"/>
    </row>
    <row r="75" spans="1:8" s="48" customFormat="1" ht="32.1" customHeight="1">
      <c r="A75" s="85">
        <f t="shared" si="1"/>
        <v>70</v>
      </c>
      <c r="B75" s="177" t="str">
        <f>MRS!B75&amp;" "&amp;MRS!D75</f>
        <v xml:space="preserve">Argon Regulator Connector Nut &amp; Nipple 9/16"-1/4" </v>
      </c>
      <c r="C75" s="178"/>
      <c r="D75" s="79" t="str">
        <f>MRS!G75</f>
        <v>Nos</v>
      </c>
      <c r="E75" s="80">
        <f>MRS!H75</f>
        <v>100</v>
      </c>
      <c r="F75" s="81">
        <f>MRS!I75</f>
        <v>9</v>
      </c>
      <c r="G75" s="81">
        <f>MRS!J75</f>
        <v>900</v>
      </c>
      <c r="H75" s="86"/>
    </row>
    <row r="76" spans="1:8" s="48" customFormat="1" ht="32.1" customHeight="1">
      <c r="A76" s="85">
        <f t="shared" si="1"/>
        <v>71</v>
      </c>
      <c r="B76" s="177" t="str">
        <f>MRS!B76&amp;" "&amp;MRS!D76</f>
        <v xml:space="preserve">Tig Torch Set Fixed Type 5mtr </v>
      </c>
      <c r="C76" s="178"/>
      <c r="D76" s="79" t="str">
        <f>MRS!G76</f>
        <v>Set</v>
      </c>
      <c r="E76" s="80">
        <f>MRS!H76</f>
        <v>1</v>
      </c>
      <c r="F76" s="81">
        <f>MRS!I76</f>
        <v>380</v>
      </c>
      <c r="G76" s="81">
        <f>MRS!J76</f>
        <v>380</v>
      </c>
      <c r="H76" s="86"/>
    </row>
    <row r="77" spans="1:8" s="48" customFormat="1" ht="32.1" customHeight="1">
      <c r="A77" s="85">
        <f t="shared" si="1"/>
        <v>72</v>
      </c>
      <c r="B77" s="177" t="str">
        <f>MRS!B77&amp;" "&amp;MRS!D77</f>
        <v xml:space="preserve">Tube Cutter 3-30mm Super Ego Spain </v>
      </c>
      <c r="C77" s="178"/>
      <c r="D77" s="79" t="str">
        <f>MRS!G77</f>
        <v>Nos</v>
      </c>
      <c r="E77" s="80">
        <f>MRS!H77</f>
        <v>50</v>
      </c>
      <c r="F77" s="81">
        <f>MRS!I77</f>
        <v>92</v>
      </c>
      <c r="G77" s="81">
        <f>MRS!J77</f>
        <v>4600</v>
      </c>
      <c r="H77" s="86"/>
    </row>
    <row r="78" spans="1:8" s="48" customFormat="1" ht="32.1" customHeight="1">
      <c r="A78" s="85">
        <f t="shared" si="1"/>
        <v>73</v>
      </c>
      <c r="B78" s="177" t="str">
        <f>MRS!B78&amp;" "&amp;MRS!D78</f>
        <v xml:space="preserve">Tube Cutter 12-50mm Super Ego Spain </v>
      </c>
      <c r="C78" s="178"/>
      <c r="D78" s="79" t="str">
        <f>MRS!G78</f>
        <v>Nos</v>
      </c>
      <c r="E78" s="80">
        <f>MRS!H78</f>
        <v>13</v>
      </c>
      <c r="F78" s="81">
        <f>MRS!I78</f>
        <v>170</v>
      </c>
      <c r="G78" s="81">
        <f>MRS!J78</f>
        <v>2210</v>
      </c>
      <c r="H78" s="86"/>
    </row>
    <row r="79" spans="1:8" s="48" customFormat="1" ht="32.1" customHeight="1">
      <c r="A79" s="85">
        <f t="shared" si="1"/>
        <v>74</v>
      </c>
      <c r="B79" s="177" t="str">
        <f>MRS!B79&amp;" "&amp;MRS!D79</f>
        <v xml:space="preserve">Tube Cutting Wheel 5mm ID, 18mm OD, Super Ego Spain </v>
      </c>
      <c r="C79" s="178"/>
      <c r="D79" s="79" t="str">
        <f>MRS!G79</f>
        <v>Nos</v>
      </c>
      <c r="E79" s="80">
        <f>MRS!H79</f>
        <v>300</v>
      </c>
      <c r="F79" s="81">
        <f>MRS!I79</f>
        <v>23</v>
      </c>
      <c r="G79" s="81">
        <f>MRS!J79</f>
        <v>6900</v>
      </c>
      <c r="H79" s="86"/>
    </row>
    <row r="80" spans="1:8" s="48" customFormat="1" ht="32.1" customHeight="1">
      <c r="A80" s="85">
        <f t="shared" si="1"/>
        <v>75</v>
      </c>
      <c r="B80" s="177" t="str">
        <f>MRS!B80&amp;" "&amp;MRS!D80</f>
        <v xml:space="preserve">Combination Spanner 22mm </v>
      </c>
      <c r="C80" s="178"/>
      <c r="D80" s="79" t="str">
        <f>MRS!G80</f>
        <v>Nos</v>
      </c>
      <c r="E80" s="80">
        <f>MRS!H80</f>
        <v>20</v>
      </c>
      <c r="F80" s="81">
        <f>MRS!I80</f>
        <v>14</v>
      </c>
      <c r="G80" s="81">
        <f>MRS!J80</f>
        <v>280</v>
      </c>
      <c r="H80" s="86"/>
    </row>
    <row r="81" spans="1:8" s="48" customFormat="1" ht="32.1" customHeight="1">
      <c r="A81" s="85">
        <f t="shared" si="1"/>
        <v>76</v>
      </c>
      <c r="B81" s="177" t="str">
        <f>MRS!B81&amp;" "&amp;MRS!D81</f>
        <v xml:space="preserve">Combination Spanner 27mm </v>
      </c>
      <c r="C81" s="178"/>
      <c r="D81" s="79" t="str">
        <f>MRS!G81</f>
        <v>Nos</v>
      </c>
      <c r="E81" s="80">
        <f>MRS!H81</f>
        <v>20</v>
      </c>
      <c r="F81" s="81">
        <f>MRS!I81</f>
        <v>20.5</v>
      </c>
      <c r="G81" s="81">
        <f>MRS!J81</f>
        <v>410</v>
      </c>
      <c r="H81" s="86"/>
    </row>
    <row r="82" spans="1:8" s="48" customFormat="1" ht="32.1" customHeight="1">
      <c r="A82" s="85">
        <f t="shared" si="1"/>
        <v>77</v>
      </c>
      <c r="B82" s="177" t="str">
        <f>MRS!B82&amp;" "&amp;MRS!D82</f>
        <v xml:space="preserve">Combination Spanner 32mm </v>
      </c>
      <c r="C82" s="178"/>
      <c r="D82" s="79" t="str">
        <f>MRS!G82</f>
        <v>Nos</v>
      </c>
      <c r="E82" s="80">
        <f>MRS!H82</f>
        <v>20</v>
      </c>
      <c r="F82" s="81">
        <f>MRS!I82</f>
        <v>25</v>
      </c>
      <c r="G82" s="81">
        <f>MRS!J82</f>
        <v>500</v>
      </c>
      <c r="H82" s="86"/>
    </row>
    <row r="83" spans="1:8" s="48" customFormat="1" ht="32.1" customHeight="1">
      <c r="A83" s="85">
        <f t="shared" si="1"/>
        <v>78</v>
      </c>
      <c r="B83" s="177" t="str">
        <f>MRS!B83&amp;" "&amp;MRS!D83</f>
        <v xml:space="preserve">Suspension Trauma Strap </v>
      </c>
      <c r="C83" s="178"/>
      <c r="D83" s="79" t="str">
        <f>MRS!G83</f>
        <v>Nos</v>
      </c>
      <c r="E83" s="80">
        <f>MRS!H83</f>
        <v>20</v>
      </c>
      <c r="F83" s="81">
        <f>MRS!I83</f>
        <v>13</v>
      </c>
      <c r="G83" s="81">
        <f>MRS!J83</f>
        <v>260</v>
      </c>
      <c r="H83" s="86"/>
    </row>
    <row r="84" spans="1:8" s="48" customFormat="1" ht="32.1" customHeight="1">
      <c r="A84" s="85">
        <f t="shared" si="1"/>
        <v>79</v>
      </c>
      <c r="B84" s="177" t="str">
        <f>MRS!B84&amp;" "&amp;MRS!D84</f>
        <v xml:space="preserve">WD-40 330ml (24pcs/box) </v>
      </c>
      <c r="C84" s="178"/>
      <c r="D84" s="79" t="str">
        <f>MRS!G84</f>
        <v>Box</v>
      </c>
      <c r="E84" s="80">
        <f>MRS!H84</f>
        <v>25</v>
      </c>
      <c r="F84" s="81">
        <f>MRS!I84</f>
        <v>445</v>
      </c>
      <c r="G84" s="81">
        <f>MRS!J84</f>
        <v>11125</v>
      </c>
      <c r="H84" s="86"/>
    </row>
    <row r="85" spans="1:8" s="48" customFormat="1" ht="32.1" customHeight="1">
      <c r="A85" s="85">
        <f t="shared" si="1"/>
        <v>80</v>
      </c>
      <c r="B85" s="177" t="str">
        <f>MRS!B85&amp;" "&amp;MRS!D85</f>
        <v xml:space="preserve">Hole Saw Cutter TCT 50x50mm </v>
      </c>
      <c r="C85" s="178"/>
      <c r="D85" s="79" t="str">
        <f>MRS!G85</f>
        <v>Nos</v>
      </c>
      <c r="E85" s="80">
        <f>MRS!H85</f>
        <v>2</v>
      </c>
      <c r="F85" s="81">
        <f>MRS!I85</f>
        <v>41</v>
      </c>
      <c r="G85" s="81">
        <f>MRS!J85</f>
        <v>82</v>
      </c>
      <c r="H85" s="86"/>
    </row>
    <row r="86" spans="1:8" s="48" customFormat="1" ht="32.1" customHeight="1">
      <c r="A86" s="85">
        <f t="shared" si="1"/>
        <v>81</v>
      </c>
      <c r="B86" s="177" t="str">
        <f>MRS!B86&amp;" "&amp;MRS!D86</f>
        <v xml:space="preserve">Paint Scraper 3" </v>
      </c>
      <c r="C86" s="178"/>
      <c r="D86" s="79" t="str">
        <f>MRS!G86</f>
        <v>Nos</v>
      </c>
      <c r="E86" s="80">
        <f>MRS!H86</f>
        <v>24</v>
      </c>
      <c r="F86" s="81">
        <f>MRS!I86</f>
        <v>1.9</v>
      </c>
      <c r="G86" s="81">
        <f>MRS!J86</f>
        <v>45.599999999999994</v>
      </c>
      <c r="H86" s="86"/>
    </row>
    <row r="87" spans="1:8" s="48" customFormat="1" ht="32.1" customHeight="1">
      <c r="A87" s="85">
        <f t="shared" si="1"/>
        <v>82</v>
      </c>
      <c r="B87" s="177" t="str">
        <f>MRS!B87&amp;" "&amp;MRS!D87</f>
        <v xml:space="preserve">Cutting Disc C/S 5"x1mm Maks </v>
      </c>
      <c r="C87" s="178"/>
      <c r="D87" s="79" t="str">
        <f>MRS!G87</f>
        <v>Nos</v>
      </c>
      <c r="E87" s="80">
        <f>MRS!H87</f>
        <v>500</v>
      </c>
      <c r="F87" s="81">
        <f>MRS!I87</f>
        <v>1.3</v>
      </c>
      <c r="G87" s="81">
        <f>MRS!J87</f>
        <v>650</v>
      </c>
      <c r="H87" s="86"/>
    </row>
    <row r="88" spans="1:8" s="48" customFormat="1" ht="32.1" customHeight="1">
      <c r="A88" s="85">
        <f t="shared" si="1"/>
        <v>83</v>
      </c>
      <c r="B88" s="177" t="str">
        <f>MRS!B88&amp;" "&amp;MRS!D88</f>
        <v xml:space="preserve">Tig Torch Set 4mtr WP-9V-4M with Hose &amp; Cable </v>
      </c>
      <c r="C88" s="178"/>
      <c r="D88" s="79" t="str">
        <f>MRS!G88</f>
        <v>Set</v>
      </c>
      <c r="E88" s="80">
        <f>MRS!H88</f>
        <v>1</v>
      </c>
      <c r="F88" s="81">
        <f>MRS!I88</f>
        <v>350</v>
      </c>
      <c r="G88" s="81">
        <f>MRS!J88</f>
        <v>350</v>
      </c>
      <c r="H88" s="86"/>
    </row>
    <row r="89" spans="1:8" s="48" customFormat="1" ht="32.1" customHeight="1">
      <c r="A89" s="85">
        <f t="shared" si="1"/>
        <v>84</v>
      </c>
      <c r="B89" s="177" t="str">
        <f>MRS!B89&amp;" "&amp;MRS!D89</f>
        <v xml:space="preserve">Tig Torch Back Cap Long 9V-41V24 </v>
      </c>
      <c r="C89" s="178"/>
      <c r="D89" s="79" t="str">
        <f>MRS!G89</f>
        <v>Nos</v>
      </c>
      <c r="E89" s="80">
        <f>MRS!H89</f>
        <v>1</v>
      </c>
      <c r="F89" s="81">
        <f>MRS!I89</f>
        <v>5.5</v>
      </c>
      <c r="G89" s="81">
        <f>MRS!J89</f>
        <v>5.5</v>
      </c>
      <c r="H89" s="86"/>
    </row>
    <row r="90" spans="1:8" s="48" customFormat="1" ht="32.1" customHeight="1">
      <c r="A90" s="85">
        <f t="shared" si="1"/>
        <v>85</v>
      </c>
      <c r="B90" s="177" t="str">
        <f>MRS!B90&amp;" "&amp;MRS!D90</f>
        <v xml:space="preserve">Tig Torch Back Cap Short 9V-41V33 </v>
      </c>
      <c r="C90" s="178"/>
      <c r="D90" s="79" t="str">
        <f>MRS!G90</f>
        <v>Nos</v>
      </c>
      <c r="E90" s="80">
        <f>MRS!H90</f>
        <v>1</v>
      </c>
      <c r="F90" s="81">
        <f>MRS!I90</f>
        <v>5</v>
      </c>
      <c r="G90" s="81">
        <f>MRS!J90</f>
        <v>5</v>
      </c>
      <c r="H90" s="86"/>
    </row>
    <row r="91" spans="1:8" s="48" customFormat="1" ht="32.1" customHeight="1">
      <c r="A91" s="85">
        <f t="shared" si="1"/>
        <v>86</v>
      </c>
      <c r="B91" s="177" t="str">
        <f>MRS!B91&amp;" "&amp;MRS!D91</f>
        <v xml:space="preserve">Tig Collet Pin 2.4mm 13N23 </v>
      </c>
      <c r="C91" s="178"/>
      <c r="D91" s="79" t="str">
        <f>MRS!G91</f>
        <v>Nos</v>
      </c>
      <c r="E91" s="80">
        <f>MRS!H91</f>
        <v>1</v>
      </c>
      <c r="F91" s="81">
        <f>MRS!I91</f>
        <v>4.5</v>
      </c>
      <c r="G91" s="81">
        <f>MRS!J91</f>
        <v>4.5</v>
      </c>
      <c r="H91" s="86"/>
    </row>
    <row r="92" spans="1:8" s="48" customFormat="1" ht="32.1" customHeight="1">
      <c r="A92" s="85">
        <f t="shared" si="1"/>
        <v>87</v>
      </c>
      <c r="B92" s="177" t="str">
        <f>MRS!B92&amp;" "&amp;MRS!D92</f>
        <v xml:space="preserve">Tig Collet Body 2.4mm 13N28 </v>
      </c>
      <c r="C92" s="178"/>
      <c r="D92" s="79" t="str">
        <f>MRS!G92</f>
        <v>Nos</v>
      </c>
      <c r="E92" s="80">
        <f>MRS!H92</f>
        <v>1</v>
      </c>
      <c r="F92" s="81">
        <f>MRS!I92</f>
        <v>5</v>
      </c>
      <c r="G92" s="81">
        <f>MRS!J92</f>
        <v>5</v>
      </c>
      <c r="H92" s="86"/>
    </row>
    <row r="93" spans="1:8" s="48" customFormat="1" ht="32.1" customHeight="1">
      <c r="A93" s="85">
        <f t="shared" si="1"/>
        <v>88</v>
      </c>
      <c r="B93" s="177" t="str">
        <f>MRS!B93&amp;" "&amp;MRS!D93</f>
        <v xml:space="preserve">Tig Torch Head Flexible 9FV </v>
      </c>
      <c r="C93" s="178"/>
      <c r="D93" s="79" t="str">
        <f>MRS!G93</f>
        <v>Nos</v>
      </c>
      <c r="E93" s="80">
        <f>MRS!H93</f>
        <v>1</v>
      </c>
      <c r="F93" s="81">
        <f>MRS!I93</f>
        <v>52</v>
      </c>
      <c r="G93" s="81">
        <f>MRS!J93</f>
        <v>52</v>
      </c>
      <c r="H93" s="86"/>
    </row>
    <row r="94" spans="1:8" s="48" customFormat="1" ht="32.1" customHeight="1">
      <c r="A94" s="85">
        <f t="shared" si="1"/>
        <v>89</v>
      </c>
      <c r="B94" s="177" t="str">
        <f>MRS!B94&amp;" "&amp;MRS!D94</f>
        <v xml:space="preserve">Ceramic Nozzle 9V #6 13N10 </v>
      </c>
      <c r="C94" s="178"/>
      <c r="D94" s="79" t="str">
        <f>MRS!G94</f>
        <v>Nos</v>
      </c>
      <c r="E94" s="80">
        <f>MRS!H94</f>
        <v>1</v>
      </c>
      <c r="F94" s="81">
        <f>MRS!I94</f>
        <v>3.6</v>
      </c>
      <c r="G94" s="81">
        <f>MRS!J94</f>
        <v>3.6</v>
      </c>
      <c r="H94" s="86"/>
    </row>
    <row r="95" spans="1:8" s="48" customFormat="1" ht="23.1" customHeight="1">
      <c r="A95" s="193" t="s">
        <v>77</v>
      </c>
      <c r="B95" s="194"/>
      <c r="C95" s="194"/>
      <c r="D95" s="194"/>
      <c r="E95" s="194"/>
      <c r="F95" s="194"/>
      <c r="G95" s="51">
        <f>SUM(G6:G94)</f>
        <v>256089</v>
      </c>
      <c r="H95" s="52"/>
    </row>
    <row r="96" spans="1:8" s="48" customFormat="1" ht="23.1" customHeight="1">
      <c r="A96" s="193" t="s">
        <v>41</v>
      </c>
      <c r="B96" s="194"/>
      <c r="C96" s="194"/>
      <c r="D96" s="194"/>
      <c r="E96" s="194"/>
      <c r="F96" s="194"/>
      <c r="G96" s="51">
        <f>+G95*0.15</f>
        <v>38413.35</v>
      </c>
      <c r="H96" s="52"/>
    </row>
    <row r="97" spans="1:13" s="48" customFormat="1" ht="24.95" customHeight="1" thickBot="1">
      <c r="A97" s="195" t="s">
        <v>78</v>
      </c>
      <c r="B97" s="196"/>
      <c r="C97" s="196"/>
      <c r="D97" s="196"/>
      <c r="E97" s="196"/>
      <c r="F97" s="196"/>
      <c r="G97" s="53">
        <f>G96+G95</f>
        <v>294502.34999999998</v>
      </c>
      <c r="H97" s="54"/>
    </row>
    <row r="98" spans="1:13" ht="15.75" thickTop="1">
      <c r="A98" s="55" t="str">
        <f>" 1) Above Price are as per your quotation with ref "&amp;'PO 1st page'!K14</f>
        <v xml:space="preserve"> 1) Above Price are as per your quotation with ref Q-20263234</v>
      </c>
      <c r="B98" s="56"/>
      <c r="C98" s="56"/>
      <c r="D98" s="57"/>
      <c r="E98" s="57"/>
      <c r="F98" s="57"/>
      <c r="G98" s="57"/>
      <c r="H98" s="57"/>
    </row>
    <row r="99" spans="1:13" ht="15">
      <c r="A99" s="58" t="s">
        <v>79</v>
      </c>
      <c r="B99" s="59"/>
      <c r="C99" s="59"/>
      <c r="D99" s="60"/>
      <c r="E99" s="60"/>
      <c r="F99" s="60"/>
      <c r="G99" s="60"/>
      <c r="H99" s="60"/>
      <c r="I99" s="61"/>
    </row>
    <row r="100" spans="1:13" ht="15.75">
      <c r="A100" s="62"/>
    </row>
    <row r="101" spans="1:13">
      <c r="A101" s="168" t="s">
        <v>80</v>
      </c>
      <c r="B101" s="168"/>
      <c r="C101" s="168"/>
      <c r="D101" s="168"/>
      <c r="E101" s="168"/>
      <c r="F101" s="168"/>
      <c r="G101" s="168"/>
      <c r="H101" s="168"/>
      <c r="I101" s="63"/>
      <c r="J101" s="63"/>
      <c r="K101" s="63"/>
      <c r="L101" s="63"/>
      <c r="M101" s="63"/>
    </row>
    <row r="102" spans="1:13" ht="15.75">
      <c r="A102" s="62"/>
      <c r="C102" s="64"/>
    </row>
    <row r="103" spans="1:13" ht="15.75">
      <c r="A103" s="62"/>
      <c r="C103" s="64"/>
    </row>
    <row r="105" spans="1:13" ht="12" customHeight="1"/>
  </sheetData>
  <mergeCells count="101">
    <mergeCell ref="B93:C93"/>
    <mergeCell ref="B94:C94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17:C17"/>
    <mergeCell ref="B13:C13"/>
    <mergeCell ref="B16:C16"/>
    <mergeCell ref="B15:C15"/>
    <mergeCell ref="B14:C14"/>
    <mergeCell ref="A95:F95"/>
    <mergeCell ref="A96:F96"/>
    <mergeCell ref="A97:F97"/>
    <mergeCell ref="A101:H101"/>
    <mergeCell ref="B11:C11"/>
    <mergeCell ref="B24:C24"/>
    <mergeCell ref="B25:C25"/>
    <mergeCell ref="B26:C26"/>
    <mergeCell ref="B27:C27"/>
    <mergeCell ref="B23:C23"/>
    <mergeCell ref="B22:C22"/>
    <mergeCell ref="B21:C21"/>
    <mergeCell ref="B20:C20"/>
    <mergeCell ref="B19:C19"/>
    <mergeCell ref="B12:C12"/>
    <mergeCell ref="B18:C18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2026-09-15T05:45:39Z</cp:lastPrinted>
  <dcterms:created xsi:type="dcterms:W3CDTF">2024-10-20T11:50:19Z</dcterms:created>
  <dcterms:modified xsi:type="dcterms:W3CDTF">2026-09-15T06:49:03Z</dcterms:modified>
</cp:coreProperties>
</file>