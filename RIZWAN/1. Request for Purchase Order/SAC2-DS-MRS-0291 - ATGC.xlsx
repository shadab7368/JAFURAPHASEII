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3E7D7F5-FBBD-42A2-8F77-8A89606D5EA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MRS!$A$1:$L$77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page'!$A$1:$H$75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67" i="4"/>
  <c r="E67" i="4"/>
  <c r="F67" i="4"/>
  <c r="G67" i="4"/>
  <c r="D68" i="4"/>
  <c r="E68" i="4"/>
  <c r="F68" i="4"/>
  <c r="G68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1" i="4"/>
  <c r="A32" i="4"/>
  <c r="A33" i="4"/>
  <c r="A34" i="4"/>
  <c r="A35" i="4"/>
  <c r="A36" i="4"/>
  <c r="A23" i="4"/>
  <c r="A24" i="4"/>
  <c r="A25" i="4"/>
  <c r="A26" i="4"/>
  <c r="A27" i="4"/>
  <c r="A28" i="4"/>
  <c r="A29" i="4"/>
  <c r="A30" i="4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F6" i="4" l="1"/>
  <c r="E6" i="4"/>
  <c r="D6" i="4"/>
  <c r="B6" i="4"/>
  <c r="J23" i="2"/>
  <c r="J24" i="2"/>
  <c r="J25" i="2"/>
  <c r="J26" i="2"/>
  <c r="J27" i="2"/>
  <c r="J28" i="2"/>
  <c r="J29" i="2"/>
  <c r="J3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D30" i="2"/>
  <c r="D29" i="2"/>
  <c r="D28" i="2"/>
  <c r="D27" i="2"/>
  <c r="D26" i="2"/>
  <c r="D22" i="2"/>
  <c r="D23" i="2"/>
  <c r="D24" i="2"/>
  <c r="D25" i="2"/>
  <c r="D21" i="2"/>
  <c r="D19" i="2"/>
  <c r="D20" i="2"/>
  <c r="D18" i="2"/>
  <c r="D17" i="2"/>
  <c r="D16" i="2"/>
  <c r="A24" i="2"/>
  <c r="A25" i="2"/>
  <c r="A26" i="2"/>
  <c r="A27" i="2"/>
  <c r="A29" i="2"/>
  <c r="A30" i="2"/>
  <c r="B30" i="2"/>
  <c r="B29" i="2"/>
  <c r="B28" i="2"/>
  <c r="B27" i="2"/>
  <c r="B16" i="2"/>
  <c r="B17" i="2"/>
  <c r="B18" i="2"/>
  <c r="B19" i="2"/>
  <c r="B20" i="2"/>
  <c r="B21" i="2"/>
  <c r="B22" i="2"/>
  <c r="B23" i="2"/>
  <c r="B24" i="2"/>
  <c r="B25" i="2"/>
  <c r="B26" i="2"/>
  <c r="A17" i="4"/>
  <c r="A18" i="4"/>
  <c r="A19" i="4"/>
  <c r="A20" i="4"/>
  <c r="A21" i="4"/>
  <c r="A22" i="4"/>
  <c r="P54" i="3"/>
  <c r="G6" i="4" l="1"/>
  <c r="J22" i="1"/>
  <c r="J22" i="2" s="1"/>
  <c r="J21" i="1"/>
  <c r="J21" i="2" s="1"/>
  <c r="J20" i="1"/>
  <c r="J20" i="2" s="1"/>
  <c r="J19" i="1"/>
  <c r="J19" i="2" s="1"/>
  <c r="J18" i="1"/>
  <c r="J18" i="2" s="1"/>
  <c r="J17" i="1"/>
  <c r="J17" i="2" s="1"/>
  <c r="J16" i="1"/>
  <c r="J16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2"/>
  <c r="A28" i="2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A12" i="4"/>
  <c r="J12" i="1"/>
  <c r="J12" i="2" s="1"/>
  <c r="J13" i="1"/>
  <c r="J13" i="2" s="1"/>
  <c r="J14" i="1"/>
  <c r="J14" i="2" s="1"/>
  <c r="J15" i="1"/>
  <c r="J15" i="2" s="1"/>
  <c r="G69" i="4" l="1"/>
  <c r="J10" i="1"/>
  <c r="J10" i="2" s="1"/>
  <c r="J9" i="1"/>
  <c r="J9" i="2" s="1"/>
  <c r="J8" i="1"/>
  <c r="J8" i="2" s="1"/>
  <c r="J7" i="1"/>
  <c r="J7" i="2" s="1"/>
  <c r="J11" i="1" l="1"/>
  <c r="J11" i="2" s="1"/>
  <c r="K67" i="3"/>
  <c r="E3" i="1"/>
  <c r="J6" i="1" l="1"/>
  <c r="J69" i="1" s="1"/>
  <c r="K10" i="3"/>
  <c r="A72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6" i="2" l="1"/>
  <c r="G70" i="4" l="1"/>
  <c r="F30" i="3" s="1"/>
  <c r="F29" i="3"/>
  <c r="G71" i="4" l="1"/>
  <c r="F31" i="3" s="1"/>
</calcChain>
</file>

<file path=xl/sharedStrings.xml><?xml version="1.0" encoding="utf-8"?>
<sst xmlns="http://schemas.openxmlformats.org/spreadsheetml/2006/main" count="348" uniqueCount="240">
  <si>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</si>
  <si>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</si>
  <si>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</si>
  <si>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</si>
  <si>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</si>
  <si>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</si>
  <si>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</si>
  <si>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</si>
  <si>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</si>
  <si>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</si>
  <si>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</si>
  <si>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</si>
  <si>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</si>
  <si>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</si>
  <si>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</si>
  <si>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</si>
  <si>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</si>
  <si>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</si>
  <si>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</si>
  <si>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</si>
  <si>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</si>
  <si>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</si>
  <si>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</si>
  <si>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</si>
  <si>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</si>
  <si>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</si>
  <si>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</si>
  <si>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</si>
  <si>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</si>
  <si>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</si>
  <si>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</si>
  <si>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</si>
  <si>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</si>
  <si>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</si>
  <si>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</si>
  <si>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</si>
  <si>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</si>
  <si>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</si>
  <si>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</si>
  <si>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</si>
  <si>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</si>
  <si>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</si>
  <si>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</si>
  <si>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</si>
  <si>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</si>
  <si>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</si>
  <si>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</si>
  <si>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</si>
  <si>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</si>
  <si>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</si>
  <si>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</si>
  <si>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</si>
  <si>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</si>
  <si>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</si>
  <si>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</si>
  <si>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</si>
  <si>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</si>
  <si>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</si>
  <si>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</si>
  <si>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</si>
  <si>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</si>
  <si>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</si>
  <si>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</si>
  <si>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</si>
  <si>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</si>
  <si>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</si>
  <si>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</si>
  <si>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</si>
  <si>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</si>
  <si>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</si>
  <si>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</si>
  <si>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</si>
  <si>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</si>
  <si>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</si>
  <si>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</si>
  <si>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</si>
  <si>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</si>
  <si>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</si>
  <si>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</si>
  <si>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</si>
  <si>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</si>
  <si>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</si>
  <si>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</si>
  <si>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</si>
  <si>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</si>
  <si>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</si>
  <si>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</si>
  <si>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</si>
  <si>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</si>
  <si>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</si>
  <si>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</si>
  <si>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</si>
  <si>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</si>
  <si>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</si>
  <si>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</si>
  <si>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</si>
  <si>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</si>
  <si>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</si>
  <si>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</si>
  <si>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</si>
  <si>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</si>
  <si>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</si>
  <si>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</si>
  <si>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</si>
  <si>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</si>
  <si>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</si>
  <si>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</si>
  <si>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</si>
  <si>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</si>
  <si>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</si>
  <si>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</si>
  <si>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</si>
  <si>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</si>
  <si>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</si>
  <si>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</si>
  <si>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</si>
  <si>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</si>
  <si>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</si>
  <si>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</si>
  <si>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</si>
  <si>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</si>
  <si>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</si>
  <si>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</si>
  <si>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</si>
  <si>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</si>
  <si>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THE NATIONAL COMMERCIAL BANK</t>
  </si>
  <si>
    <t>04161114000110</t>
  </si>
  <si>
    <t>PKT</t>
  </si>
  <si>
    <t>BOX</t>
  </si>
  <si>
    <t>SA61 1000 0004 1611 1400 0110</t>
  </si>
  <si>
    <t>BDL</t>
  </si>
  <si>
    <t>QUO-MAT-26031014</t>
  </si>
  <si>
    <t>DELL PC</t>
  </si>
  <si>
    <t>DELL MONITOR</t>
  </si>
  <si>
    <t>SAFETY FLAG</t>
  </si>
  <si>
    <t>SAFETY HELMET</t>
  </si>
  <si>
    <t>1/2 HP WATER PUMP</t>
  </si>
  <si>
    <t>2 HOLE PAPER PUNCH</t>
  </si>
  <si>
    <t>HEAVY DUTY PUNCH</t>
  </si>
  <si>
    <t>OFFICE CHAIR</t>
  </si>
  <si>
    <t>SAFETY SHOES ROTO</t>
  </si>
  <si>
    <t>A3 PAPER</t>
  </si>
  <si>
    <t>A4 PAPER</t>
  </si>
  <si>
    <t>BOARD MARKER</t>
  </si>
  <si>
    <t>HEAVY DUTY STAPLER</t>
  </si>
  <si>
    <t>STAPE PIN</t>
  </si>
  <si>
    <t>WATER BOTTLE</t>
  </si>
  <si>
    <t>TRASH BAG</t>
  </si>
  <si>
    <t>TEA CUP</t>
  </si>
  <si>
    <t>RUBBER BOOT BLACK</t>
  </si>
  <si>
    <t>PORTABLE SPEAKER</t>
  </si>
  <si>
    <t>MIC</t>
  </si>
  <si>
    <t>SAFETY VEST WITH LOGO</t>
  </si>
  <si>
    <t>MICROPHONE</t>
  </si>
  <si>
    <t>BATTERY</t>
  </si>
  <si>
    <t>FIRE EXTINGUISHER TAG</t>
  </si>
  <si>
    <t>NOTE BOOK</t>
  </si>
  <si>
    <t>ENVELOPE</t>
  </si>
  <si>
    <t>ELECTRICAL TAPE</t>
  </si>
  <si>
    <t>DURACELL BATTERY</t>
  </si>
  <si>
    <t>A3 LAMINATION POUCH</t>
  </si>
  <si>
    <t>FIRE WATCHER VEST RED WITH  
POCKET</t>
  </si>
  <si>
    <t>BINDER CLIP</t>
  </si>
  <si>
    <t>STICKY NOTE</t>
  </si>
  <si>
    <t>PERMANENT MARKER</t>
  </si>
  <si>
    <t>RECORD BOOK</t>
  </si>
  <si>
    <t>TRIANGE STICKER</t>
  </si>
  <si>
    <t>ROUND STICKER</t>
  </si>
  <si>
    <t>CROISANT BREAD</t>
  </si>
  <si>
    <t>ROUND MOP</t>
  </si>
  <si>
    <t>TIME RECORD MACHINE</t>
  </si>
  <si>
    <t>SAFEETY SHOES</t>
  </si>
  <si>
    <t>RICOH WASTE TONER</t>
  </si>
  <si>
    <t>PAPER BASKET</t>
  </si>
  <si>
    <t>CLIP BOARD</t>
  </si>
  <si>
    <t>PAPER PUNCH</t>
  </si>
  <si>
    <t>STEEL RULER</t>
  </si>
  <si>
    <t>STAPLER</t>
  </si>
  <si>
    <t>BALL PEN</t>
  </si>
  <si>
    <t>CALCULATOR</t>
  </si>
  <si>
    <t>WET WIPES</t>
  </si>
  <si>
    <t>USB SANDISK</t>
  </si>
  <si>
    <t>TROLLEY SPEAKER</t>
  </si>
  <si>
    <t>AL RAI JUICE COCKTAIL</t>
  </si>
  <si>
    <t>CAKE</t>
  </si>
  <si>
    <t>512GB-KB+MOUSE-BT</t>
  </si>
  <si>
    <t>24"</t>
  </si>
  <si>
    <t>RED</t>
  </si>
  <si>
    <t>GREEN</t>
  </si>
  <si>
    <t>3M,YELLOW</t>
  </si>
  <si>
    <t>1"*1",HYUNDI</t>
  </si>
  <si>
    <t>35SHEET</t>
  </si>
  <si>
    <t>DELI,100 PAGE CAPSITY</t>
  </si>
  <si>
    <t>WITHOUT NECK</t>
  </si>
  <si>
    <t>ASORTED SIZE</t>
  </si>
  <si>
    <t>ROCO,80GSM</t>
  </si>
  <si>
    <t>DOUBLE A 80GSM</t>
  </si>
  <si>
    <t>FABER CASTELL</t>
  </si>
  <si>
    <t>210 SHEETS</t>
  </si>
  <si>
    <t>DELI,23/23,210 SHEET</t>
  </si>
  <si>
    <t>DELI 23/17 120 SHEET</t>
  </si>
  <si>
    <t>1050ML,HI-TEX</t>
  </si>
  <si>
    <t>100GLN</t>
  </si>
  <si>
    <t>9OZ 20*50PCS</t>
  </si>
  <si>
    <t>WITHOUT STEEL,SIZE 42</t>
  </si>
  <si>
    <t>M-50/L-50/XL-50/XXL-50</t>
  </si>
  <si>
    <t>C2,DURACELL</t>
  </si>
  <si>
    <t>YELLOW 100/PKT</t>
  </si>
  <si>
    <t>A5</t>
  </si>
  <si>
    <t>C TYPE</t>
  </si>
  <si>
    <t>AAA</t>
  </si>
  <si>
    <t>RED-200/YELLOW-200/BLUE- 
200/GREEN-200</t>
  </si>
  <si>
    <t>10GLN,4KG</t>
  </si>
  <si>
    <t>C2,ALKALINE 1.5V</t>
  </si>
  <si>
    <t>BRAND LEENA</t>
  </si>
  <si>
    <t>M-50/L-50</t>
  </si>
  <si>
    <t>15MM</t>
  </si>
  <si>
    <t>FANTASTIC,SMALL</t>
  </si>
  <si>
    <t>FANTASTIC,MEDIUM</t>
  </si>
  <si>
    <t>DOUBLE SIDE</t>
  </si>
  <si>
    <t>RED SMP 1</t>
  </si>
  <si>
    <t>GREEN SMP 1</t>
  </si>
  <si>
    <t>WITHOUT STICK</t>
  </si>
  <si>
    <t>K7,41-50</t>
  </si>
  <si>
    <t>C 6003</t>
  </si>
  <si>
    <t>SMALL</t>
  </si>
  <si>
    <t>20PAGE,DELI</t>
  </si>
  <si>
    <t>30CM</t>
  </si>
  <si>
    <t>25MM</t>
  </si>
  <si>
    <t>MAX,SMALL</t>
  </si>
  <si>
    <t>RED 10/PKT</t>
  </si>
  <si>
    <t>CASIL FX 82MS 2ND EDITION</t>
  </si>
  <si>
    <t>8GB</t>
  </si>
  <si>
    <t>IMPEX</t>
  </si>
  <si>
    <t>27*250ML</t>
  </si>
  <si>
    <t>C2</t>
  </si>
  <si>
    <t>PAIR</t>
  </si>
  <si>
    <t>CTN</t>
  </si>
  <si>
    <t>0.16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</si>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</sst>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26" fillId="3" borderId="0" xfId="5" quotePrefix="1" applyFont="1" applyFill="1" applyAlignment="1">
      <alignment horizontal="left"/>
    </xf>
    <xf numFmtId="171" fontId="55" fillId="3" borderId="0" xfId="5" applyNumberFormat="1" applyFont="1" applyFill="1"/>
    <xf numFmtId="0" fontId="56" fillId="0" borderId="13" xfId="0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14" xfId="0" applyFont="1" applyBorder="1" applyAlignment="1">
      <alignment horizontal="center" vertical="center" wrapText="1"/>
    </xf>
    <xf numFmtId="0" fontId="56" fillId="0" borderId="13" xfId="0" applyFont="1" applyBorder="1" applyAlignment="1">
      <alignment horizontal="left" vertical="center" wrapText="1"/>
    </xf>
    <xf numFmtId="0" fontId="56" fillId="0" borderId="14" xfId="0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2" fillId="2" borderId="12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4" fillId="3" borderId="0" xfId="5" applyFont="1" applyFill="1" applyAlignment="1">
      <alignment horizontal="left" wrapText="1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70</xdr:row>
          <xdr:rowOff>0</xdr:rowOff>
        </xdr:from>
        <xdr:to>
          <xdr:col>12</xdr:col>
          <xdr:colOff>502</xdr:colOff>
          <xdr:row>77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71:$V$77" spid="_x0000_s12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105"/>
  <sheetViews>
    <sheetView showGridLines="0" tabSelected="1" view="pageBreakPreview" topLeftCell="A2" zoomScale="95" zoomScaleNormal="95" zoomScaleSheetLayoutView="95" workbookViewId="0">
      <selection activeCell="J16" sqref="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28" t="s">
        <v>101</v>
      </c>
      <c r="K2" s="129"/>
      <c r="L2" s="130"/>
    </row>
    <row r="3" spans="1:19" ht="20.100000000000001" customHeight="1">
      <c r="A3" s="3" t="s">
        <v>239</v>
      </c>
      <c r="B3" s="92"/>
      <c r="C3" s="92"/>
      <c r="D3" s="92"/>
      <c r="E3" s="131">
        <f>+L3</f>
        <v>46134</v>
      </c>
      <c r="F3" s="131"/>
      <c r="G3" s="131"/>
      <c r="H3" s="131"/>
      <c r="I3" s="131"/>
      <c r="J3" s="92"/>
      <c r="K3" s="92"/>
      <c r="L3" s="102">
        <v>46134</v>
      </c>
      <c r="M3" s="4"/>
    </row>
    <row r="4" spans="1:19" ht="21.75" customHeight="1">
      <c r="A4" s="132" t="s">
        <v>2</v>
      </c>
      <c r="B4" s="133" t="s">
        <v>3</v>
      </c>
      <c r="C4" s="133"/>
      <c r="D4" s="132" t="s">
        <v>4</v>
      </c>
      <c r="E4" s="132"/>
      <c r="F4" s="132"/>
      <c r="G4" s="133" t="s">
        <v>5</v>
      </c>
      <c r="H4" s="132" t="s">
        <v>6</v>
      </c>
      <c r="I4" s="132" t="s">
        <v>94</v>
      </c>
      <c r="J4" s="132" t="s">
        <v>95</v>
      </c>
      <c r="K4" s="132" t="s">
        <v>0</v>
      </c>
      <c r="L4" s="133" t="s">
        <v>7</v>
      </c>
    </row>
    <row r="5" spans="1:19" ht="21.75" customHeight="1">
      <c r="A5" s="132"/>
      <c r="B5" s="133"/>
      <c r="C5" s="133"/>
      <c r="D5" s="132"/>
      <c r="E5" s="132"/>
      <c r="F5" s="132"/>
      <c r="G5" s="133"/>
      <c r="H5" s="132"/>
      <c r="I5" s="132"/>
      <c r="J5" s="132"/>
      <c r="K5" s="132"/>
      <c r="L5" s="133"/>
    </row>
    <row r="6" spans="1:19" ht="22.5" customHeight="1">
      <c r="A6" s="104">
        <f t="shared" ref="A6:A68" si="0">ROW(A1)</f>
        <v>1</v>
      </c>
      <c r="B6" s="123" t="s">
        <v>132</v>
      </c>
      <c r="C6" s="124"/>
      <c r="D6" s="120" t="s">
        <v>185</v>
      </c>
      <c r="E6" s="121"/>
      <c r="F6" s="122"/>
      <c r="G6" s="105" t="s">
        <v>97</v>
      </c>
      <c r="H6" s="106">
        <v>5</v>
      </c>
      <c r="I6" s="107">
        <v>2218</v>
      </c>
      <c r="J6" s="107">
        <f>H6*I6</f>
        <v>11090</v>
      </c>
      <c r="K6" s="108" t="s">
        <v>98</v>
      </c>
      <c r="L6" s="109" t="s">
        <v>105</v>
      </c>
      <c r="S6" s="97"/>
    </row>
    <row r="7" spans="1:19" ht="22.5" customHeight="1">
      <c r="A7" s="104">
        <f t="shared" si="0"/>
        <v>2</v>
      </c>
      <c r="B7" s="123" t="s">
        <v>133</v>
      </c>
      <c r="C7" s="124"/>
      <c r="D7" s="120" t="s">
        <v>186</v>
      </c>
      <c r="E7" s="121"/>
      <c r="F7" s="122"/>
      <c r="G7" s="105" t="s">
        <v>97</v>
      </c>
      <c r="H7" s="106">
        <v>4</v>
      </c>
      <c r="I7" s="107">
        <v>465</v>
      </c>
      <c r="J7" s="107">
        <f t="shared" ref="J7:J10" si="1">H7*I7</f>
        <v>1860</v>
      </c>
      <c r="K7" s="108"/>
      <c r="L7" s="109"/>
      <c r="S7" s="97"/>
    </row>
    <row r="8" spans="1:19" ht="22.5" customHeight="1">
      <c r="A8" s="104">
        <f t="shared" si="0"/>
        <v>3</v>
      </c>
      <c r="B8" s="123" t="s">
        <v>134</v>
      </c>
      <c r="C8" s="124"/>
      <c r="D8" s="120" t="s">
        <v>187</v>
      </c>
      <c r="E8" s="121"/>
      <c r="F8" s="122"/>
      <c r="G8" s="105" t="s">
        <v>97</v>
      </c>
      <c r="H8" s="106">
        <v>10</v>
      </c>
      <c r="I8" s="107">
        <v>3.8</v>
      </c>
      <c r="J8" s="107">
        <f t="shared" si="1"/>
        <v>38</v>
      </c>
      <c r="K8" s="108"/>
      <c r="L8" s="109"/>
      <c r="S8" s="97"/>
    </row>
    <row r="9" spans="1:19" ht="22.5" customHeight="1">
      <c r="A9" s="104">
        <f t="shared" si="0"/>
        <v>4</v>
      </c>
      <c r="B9" s="123" t="s">
        <v>134</v>
      </c>
      <c r="C9" s="124"/>
      <c r="D9" s="120" t="s">
        <v>188</v>
      </c>
      <c r="E9" s="121"/>
      <c r="F9" s="122"/>
      <c r="G9" s="105" t="s">
        <v>97</v>
      </c>
      <c r="H9" s="106">
        <v>10</v>
      </c>
      <c r="I9" s="107">
        <v>3.8</v>
      </c>
      <c r="J9" s="107">
        <f t="shared" si="1"/>
        <v>38</v>
      </c>
      <c r="K9" s="108"/>
      <c r="L9" s="109"/>
      <c r="S9" s="97"/>
    </row>
    <row r="10" spans="1:19" ht="22.5" customHeight="1">
      <c r="A10" s="104">
        <f t="shared" si="0"/>
        <v>5</v>
      </c>
      <c r="B10" s="123" t="s">
        <v>135</v>
      </c>
      <c r="C10" s="124"/>
      <c r="D10" s="120" t="s">
        <v>189</v>
      </c>
      <c r="E10" s="121"/>
      <c r="F10" s="122"/>
      <c r="G10" s="105" t="s">
        <v>97</v>
      </c>
      <c r="H10" s="106">
        <v>60</v>
      </c>
      <c r="I10" s="107">
        <v>44</v>
      </c>
      <c r="J10" s="107">
        <f t="shared" si="1"/>
        <v>2640</v>
      </c>
      <c r="K10" s="108"/>
      <c r="L10" s="105"/>
      <c r="S10" s="97"/>
    </row>
    <row r="11" spans="1:19" ht="22.5" customHeight="1">
      <c r="A11" s="104">
        <f t="shared" si="0"/>
        <v>6</v>
      </c>
      <c r="B11" s="123" t="s">
        <v>136</v>
      </c>
      <c r="C11" s="124"/>
      <c r="D11" s="120" t="s">
        <v>190</v>
      </c>
      <c r="E11" s="121"/>
      <c r="F11" s="122"/>
      <c r="G11" s="105" t="s">
        <v>97</v>
      </c>
      <c r="H11" s="106">
        <v>1</v>
      </c>
      <c r="I11" s="107">
        <v>175</v>
      </c>
      <c r="J11" s="107">
        <f t="shared" ref="J11:J68" si="2">H11*I11</f>
        <v>175</v>
      </c>
      <c r="K11" s="108"/>
      <c r="L11" s="109"/>
      <c r="S11" s="97"/>
    </row>
    <row r="12" spans="1:19" ht="22.5" customHeight="1">
      <c r="A12" s="104">
        <f t="shared" si="0"/>
        <v>7</v>
      </c>
      <c r="B12" s="123" t="s">
        <v>137</v>
      </c>
      <c r="C12" s="124"/>
      <c r="D12" s="120" t="s">
        <v>191</v>
      </c>
      <c r="E12" s="121"/>
      <c r="F12" s="122"/>
      <c r="G12" s="105" t="s">
        <v>97</v>
      </c>
      <c r="H12" s="106">
        <v>2</v>
      </c>
      <c r="I12" s="107">
        <v>24</v>
      </c>
      <c r="J12" s="107">
        <f t="shared" si="2"/>
        <v>48</v>
      </c>
      <c r="K12" s="108"/>
      <c r="L12" s="109"/>
      <c r="S12" s="97"/>
    </row>
    <row r="13" spans="1:19" ht="22.5" customHeight="1">
      <c r="A13" s="104">
        <f t="shared" si="0"/>
        <v>8</v>
      </c>
      <c r="B13" s="123" t="s">
        <v>138</v>
      </c>
      <c r="C13" s="124"/>
      <c r="D13" s="120" t="s">
        <v>192</v>
      </c>
      <c r="E13" s="121"/>
      <c r="F13" s="122"/>
      <c r="G13" s="105" t="s">
        <v>97</v>
      </c>
      <c r="H13" s="106">
        <v>1</v>
      </c>
      <c r="I13" s="107">
        <v>146</v>
      </c>
      <c r="J13" s="107">
        <f t="shared" si="2"/>
        <v>146</v>
      </c>
      <c r="K13" s="108"/>
      <c r="L13" s="109"/>
      <c r="S13" s="97"/>
    </row>
    <row r="14" spans="1:19" ht="22.5" customHeight="1">
      <c r="A14" s="104">
        <f t="shared" si="0"/>
        <v>9</v>
      </c>
      <c r="B14" s="123" t="s">
        <v>139</v>
      </c>
      <c r="C14" s="124"/>
      <c r="D14" s="120" t="s">
        <v>193</v>
      </c>
      <c r="E14" s="121"/>
      <c r="F14" s="122"/>
      <c r="G14" s="105" t="s">
        <v>97</v>
      </c>
      <c r="H14" s="106">
        <v>5</v>
      </c>
      <c r="I14" s="107">
        <v>156</v>
      </c>
      <c r="J14" s="107">
        <f t="shared" si="2"/>
        <v>780</v>
      </c>
      <c r="K14" s="108"/>
      <c r="L14" s="109"/>
      <c r="S14" s="97"/>
    </row>
    <row r="15" spans="1:19" ht="22.5" customHeight="1">
      <c r="A15" s="104">
        <f t="shared" si="0"/>
        <v>10</v>
      </c>
      <c r="B15" s="123" t="s">
        <v>140</v>
      </c>
      <c r="C15" s="124"/>
      <c r="D15" s="120" t="s">
        <v>194</v>
      </c>
      <c r="E15" s="121"/>
      <c r="F15" s="122"/>
      <c r="G15" s="105" t="s">
        <v>236</v>
      </c>
      <c r="H15" s="106">
        <v>382</v>
      </c>
      <c r="I15" s="107">
        <v>63.5</v>
      </c>
      <c r="J15" s="107">
        <f t="shared" si="2"/>
        <v>24257</v>
      </c>
      <c r="K15" s="108"/>
      <c r="L15" s="105"/>
      <c r="S15" s="97"/>
    </row>
    <row r="16" spans="1:19" ht="22.5" customHeight="1">
      <c r="A16" s="104">
        <f t="shared" si="0"/>
        <v>11</v>
      </c>
      <c r="B16" s="123" t="s">
        <v>141</v>
      </c>
      <c r="C16" s="124"/>
      <c r="D16" s="120" t="s">
        <v>195</v>
      </c>
      <c r="E16" s="121"/>
      <c r="F16" s="122"/>
      <c r="G16" s="105" t="s">
        <v>128</v>
      </c>
      <c r="H16" s="106">
        <v>10</v>
      </c>
      <c r="I16" s="107">
        <v>172</v>
      </c>
      <c r="J16" s="107">
        <f t="shared" si="2"/>
        <v>1720</v>
      </c>
      <c r="K16" s="108"/>
      <c r="L16" s="105"/>
      <c r="S16" s="97"/>
    </row>
    <row r="17" spans="1:19" ht="22.5" customHeight="1">
      <c r="A17" s="104">
        <f t="shared" si="0"/>
        <v>12</v>
      </c>
      <c r="B17" s="123" t="s">
        <v>142</v>
      </c>
      <c r="C17" s="124"/>
      <c r="D17" s="120" t="s">
        <v>196</v>
      </c>
      <c r="E17" s="121"/>
      <c r="F17" s="122"/>
      <c r="G17" s="105" t="s">
        <v>128</v>
      </c>
      <c r="H17" s="106">
        <v>10</v>
      </c>
      <c r="I17" s="107">
        <v>76</v>
      </c>
      <c r="J17" s="107">
        <f t="shared" si="2"/>
        <v>760</v>
      </c>
      <c r="K17" s="108"/>
      <c r="L17" s="105"/>
      <c r="S17" s="97"/>
    </row>
    <row r="18" spans="1:19" ht="22.5" customHeight="1">
      <c r="A18" s="104">
        <f t="shared" si="0"/>
        <v>13</v>
      </c>
      <c r="B18" s="123" t="s">
        <v>143</v>
      </c>
      <c r="C18" s="124"/>
      <c r="D18" s="120" t="s">
        <v>197</v>
      </c>
      <c r="E18" s="121"/>
      <c r="F18" s="122"/>
      <c r="G18" s="105" t="s">
        <v>127</v>
      </c>
      <c r="H18" s="106">
        <v>10</v>
      </c>
      <c r="I18" s="107">
        <v>21</v>
      </c>
      <c r="J18" s="107">
        <f t="shared" si="2"/>
        <v>210</v>
      </c>
      <c r="K18" s="108"/>
      <c r="L18" s="105"/>
      <c r="S18" s="97"/>
    </row>
    <row r="19" spans="1:19" ht="22.5" customHeight="1">
      <c r="A19" s="104">
        <f t="shared" si="0"/>
        <v>14</v>
      </c>
      <c r="B19" s="123" t="s">
        <v>144</v>
      </c>
      <c r="C19" s="124"/>
      <c r="D19" s="120" t="s">
        <v>198</v>
      </c>
      <c r="E19" s="121"/>
      <c r="F19" s="122"/>
      <c r="G19" s="105" t="s">
        <v>97</v>
      </c>
      <c r="H19" s="106">
        <v>1</v>
      </c>
      <c r="I19" s="107">
        <v>110</v>
      </c>
      <c r="J19" s="107">
        <f t="shared" si="2"/>
        <v>110</v>
      </c>
      <c r="K19" s="108"/>
      <c r="L19" s="105"/>
      <c r="S19" s="97"/>
    </row>
    <row r="20" spans="1:19" ht="22.5" customHeight="1">
      <c r="A20" s="104">
        <f t="shared" si="0"/>
        <v>15</v>
      </c>
      <c r="B20" s="123" t="s">
        <v>145</v>
      </c>
      <c r="C20" s="124"/>
      <c r="D20" s="120" t="s">
        <v>199</v>
      </c>
      <c r="E20" s="121"/>
      <c r="F20" s="122"/>
      <c r="G20" s="105" t="s">
        <v>97</v>
      </c>
      <c r="H20" s="106">
        <v>3</v>
      </c>
      <c r="I20" s="107">
        <v>6.7</v>
      </c>
      <c r="J20" s="107">
        <f t="shared" si="2"/>
        <v>20.100000000000001</v>
      </c>
      <c r="K20" s="108"/>
      <c r="L20" s="105"/>
      <c r="S20" s="97"/>
    </row>
    <row r="21" spans="1:19" ht="22.5" customHeight="1">
      <c r="A21" s="104">
        <f t="shared" si="0"/>
        <v>16</v>
      </c>
      <c r="B21" s="123" t="s">
        <v>145</v>
      </c>
      <c r="C21" s="124"/>
      <c r="D21" s="120" t="s">
        <v>200</v>
      </c>
      <c r="E21" s="121"/>
      <c r="F21" s="122"/>
      <c r="G21" s="105" t="s">
        <v>97</v>
      </c>
      <c r="H21" s="106">
        <v>1</v>
      </c>
      <c r="I21" s="107">
        <v>4.25</v>
      </c>
      <c r="J21" s="107">
        <f t="shared" si="2"/>
        <v>4.25</v>
      </c>
      <c r="K21" s="108"/>
      <c r="L21" s="105"/>
      <c r="S21" s="97"/>
    </row>
    <row r="22" spans="1:19" ht="22.5" customHeight="1">
      <c r="A22" s="104">
        <f t="shared" si="0"/>
        <v>17</v>
      </c>
      <c r="B22" s="123" t="s">
        <v>146</v>
      </c>
      <c r="C22" s="124"/>
      <c r="D22" s="120" t="s">
        <v>201</v>
      </c>
      <c r="E22" s="121"/>
      <c r="F22" s="122"/>
      <c r="G22" s="105" t="s">
        <v>97</v>
      </c>
      <c r="H22" s="106">
        <v>48</v>
      </c>
      <c r="I22" s="107">
        <v>8</v>
      </c>
      <c r="J22" s="107">
        <f t="shared" si="2"/>
        <v>384</v>
      </c>
      <c r="K22" s="108"/>
      <c r="L22" s="105"/>
      <c r="S22" s="97"/>
    </row>
    <row r="23" spans="1:19" ht="22.5" customHeight="1">
      <c r="A23" s="104">
        <f t="shared" si="0"/>
        <v>18</v>
      </c>
      <c r="B23" s="123" t="s">
        <v>147</v>
      </c>
      <c r="C23" s="124"/>
      <c r="D23" s="120" t="s">
        <v>202</v>
      </c>
      <c r="E23" s="121"/>
      <c r="F23" s="122"/>
      <c r="G23" s="105" t="s">
        <v>130</v>
      </c>
      <c r="H23" s="106">
        <v>50</v>
      </c>
      <c r="I23" s="107">
        <v>46</v>
      </c>
      <c r="J23" s="107">
        <f t="shared" si="2"/>
        <v>2300</v>
      </c>
      <c r="K23" s="108"/>
      <c r="L23" s="105"/>
      <c r="S23" s="97"/>
    </row>
    <row r="24" spans="1:19" ht="22.5" customHeight="1">
      <c r="A24" s="104">
        <f t="shared" si="0"/>
        <v>19</v>
      </c>
      <c r="B24" s="123" t="s">
        <v>148</v>
      </c>
      <c r="C24" s="124"/>
      <c r="D24" s="120" t="s">
        <v>203</v>
      </c>
      <c r="E24" s="121"/>
      <c r="F24" s="122"/>
      <c r="G24" s="105" t="s">
        <v>237</v>
      </c>
      <c r="H24" s="106">
        <v>4</v>
      </c>
      <c r="I24" s="107">
        <v>68</v>
      </c>
      <c r="J24" s="107">
        <f t="shared" si="2"/>
        <v>272</v>
      </c>
      <c r="K24" s="108"/>
      <c r="L24" s="105"/>
      <c r="S24" s="97"/>
    </row>
    <row r="25" spans="1:19" ht="22.5" customHeight="1">
      <c r="A25" s="104">
        <f t="shared" si="0"/>
        <v>20</v>
      </c>
      <c r="B25" s="123" t="s">
        <v>149</v>
      </c>
      <c r="C25" s="124"/>
      <c r="D25" s="120" t="s">
        <v>204</v>
      </c>
      <c r="E25" s="121"/>
      <c r="F25" s="122"/>
      <c r="G25" s="105" t="s">
        <v>236</v>
      </c>
      <c r="H25" s="106">
        <v>7</v>
      </c>
      <c r="I25" s="107">
        <v>19</v>
      </c>
      <c r="J25" s="107">
        <f t="shared" si="2"/>
        <v>133</v>
      </c>
      <c r="K25" s="108"/>
      <c r="L25" s="105"/>
      <c r="S25" s="97"/>
    </row>
    <row r="26" spans="1:19" ht="22.5" customHeight="1">
      <c r="A26" s="104">
        <f t="shared" si="0"/>
        <v>21</v>
      </c>
      <c r="B26" s="123" t="s">
        <v>150</v>
      </c>
      <c r="C26" s="124"/>
      <c r="D26" s="120"/>
      <c r="E26" s="121"/>
      <c r="F26" s="122"/>
      <c r="G26" s="105" t="s">
        <v>97</v>
      </c>
      <c r="H26" s="106">
        <v>1</v>
      </c>
      <c r="I26" s="107">
        <v>256</v>
      </c>
      <c r="J26" s="107">
        <f t="shared" si="2"/>
        <v>256</v>
      </c>
      <c r="K26" s="108"/>
      <c r="L26" s="105"/>
      <c r="S26" s="97"/>
    </row>
    <row r="27" spans="1:19" ht="22.5" customHeight="1">
      <c r="A27" s="104">
        <f t="shared" si="0"/>
        <v>22</v>
      </c>
      <c r="B27" s="123" t="s">
        <v>151</v>
      </c>
      <c r="C27" s="124"/>
      <c r="D27" s="120"/>
      <c r="E27" s="121"/>
      <c r="F27" s="122"/>
      <c r="G27" s="105" t="s">
        <v>97</v>
      </c>
      <c r="H27" s="106">
        <v>1</v>
      </c>
      <c r="I27" s="107">
        <v>127</v>
      </c>
      <c r="J27" s="107">
        <f t="shared" si="2"/>
        <v>127</v>
      </c>
      <c r="K27" s="108"/>
      <c r="L27" s="105"/>
      <c r="S27" s="97"/>
    </row>
    <row r="28" spans="1:19" ht="22.5" customHeight="1">
      <c r="A28" s="104">
        <f t="shared" si="0"/>
        <v>23</v>
      </c>
      <c r="B28" s="123" t="s">
        <v>152</v>
      </c>
      <c r="C28" s="124"/>
      <c r="D28" s="120" t="s">
        <v>205</v>
      </c>
      <c r="E28" s="121"/>
      <c r="F28" s="122"/>
      <c r="G28" s="105" t="s">
        <v>97</v>
      </c>
      <c r="H28" s="106">
        <v>380</v>
      </c>
      <c r="I28" s="107">
        <v>16</v>
      </c>
      <c r="J28" s="107">
        <f t="shared" si="2"/>
        <v>6080</v>
      </c>
      <c r="K28" s="108"/>
      <c r="L28" s="105"/>
      <c r="S28" s="97"/>
    </row>
    <row r="29" spans="1:19" ht="22.5" customHeight="1">
      <c r="A29" s="104">
        <f t="shared" si="0"/>
        <v>24</v>
      </c>
      <c r="B29" s="123" t="s">
        <v>153</v>
      </c>
      <c r="C29" s="124"/>
      <c r="D29" s="120" t="s">
        <v>97</v>
      </c>
      <c r="E29" s="121"/>
      <c r="F29" s="122"/>
      <c r="G29" s="105" t="s">
        <v>97</v>
      </c>
      <c r="H29" s="106">
        <v>6</v>
      </c>
      <c r="I29" s="107">
        <v>90</v>
      </c>
      <c r="J29" s="107">
        <f t="shared" si="2"/>
        <v>540</v>
      </c>
      <c r="K29" s="108"/>
      <c r="L29" s="105"/>
      <c r="S29" s="97"/>
    </row>
    <row r="30" spans="1:19" ht="22.5" customHeight="1">
      <c r="A30" s="104">
        <f t="shared" si="0"/>
        <v>25</v>
      </c>
      <c r="B30" s="123" t="s">
        <v>154</v>
      </c>
      <c r="C30" s="124"/>
      <c r="D30" s="120" t="s">
        <v>206</v>
      </c>
      <c r="E30" s="121"/>
      <c r="F30" s="122"/>
      <c r="G30" s="105" t="s">
        <v>236</v>
      </c>
      <c r="H30" s="106">
        <v>36</v>
      </c>
      <c r="I30" s="107">
        <v>18.3</v>
      </c>
      <c r="J30" s="107">
        <f t="shared" si="2"/>
        <v>658.80000000000007</v>
      </c>
      <c r="K30" s="108"/>
      <c r="L30" s="105"/>
      <c r="S30" s="97"/>
    </row>
    <row r="31" spans="1:19" ht="22.5" customHeight="1">
      <c r="A31" s="104">
        <f t="shared" si="0"/>
        <v>26</v>
      </c>
      <c r="B31" s="123" t="s">
        <v>155</v>
      </c>
      <c r="C31" s="124"/>
      <c r="D31" s="120" t="s">
        <v>207</v>
      </c>
      <c r="E31" s="121"/>
      <c r="F31" s="122"/>
      <c r="G31" s="105" t="s">
        <v>97</v>
      </c>
      <c r="H31" s="106">
        <v>300</v>
      </c>
      <c r="I31" s="107" t="s">
        <v>238</v>
      </c>
      <c r="J31" s="107">
        <f t="shared" si="2"/>
        <v>48</v>
      </c>
      <c r="K31" s="108"/>
      <c r="L31" s="105"/>
      <c r="S31" s="97"/>
    </row>
    <row r="32" spans="1:19" ht="22.5" customHeight="1">
      <c r="A32" s="104">
        <f t="shared" si="0"/>
        <v>27</v>
      </c>
      <c r="B32" s="123" t="s">
        <v>156</v>
      </c>
      <c r="C32" s="124"/>
      <c r="D32" s="120" t="s">
        <v>208</v>
      </c>
      <c r="E32" s="121"/>
      <c r="F32" s="122"/>
      <c r="G32" s="105" t="s">
        <v>97</v>
      </c>
      <c r="H32" s="106">
        <v>10</v>
      </c>
      <c r="I32" s="107">
        <v>5.25</v>
      </c>
      <c r="J32" s="107">
        <f t="shared" si="2"/>
        <v>52.5</v>
      </c>
      <c r="K32" s="108"/>
      <c r="L32" s="105"/>
      <c r="S32" s="97"/>
    </row>
    <row r="33" spans="1:19" ht="22.5" customHeight="1">
      <c r="A33" s="104">
        <f t="shared" si="0"/>
        <v>28</v>
      </c>
      <c r="B33" s="123" t="s">
        <v>157</v>
      </c>
      <c r="C33" s="124"/>
      <c r="D33" s="120"/>
      <c r="E33" s="121"/>
      <c r="F33" s="122"/>
      <c r="G33" s="105" t="s">
        <v>127</v>
      </c>
      <c r="H33" s="106">
        <v>20</v>
      </c>
      <c r="I33" s="107">
        <v>4.25</v>
      </c>
      <c r="J33" s="107">
        <f t="shared" si="2"/>
        <v>85</v>
      </c>
      <c r="K33" s="108"/>
      <c r="L33" s="105"/>
      <c r="S33" s="97"/>
    </row>
    <row r="34" spans="1:19" ht="22.5" customHeight="1">
      <c r="A34" s="104">
        <f t="shared" si="0"/>
        <v>29</v>
      </c>
      <c r="B34" s="123" t="s">
        <v>154</v>
      </c>
      <c r="C34" s="124"/>
      <c r="D34" s="120" t="s">
        <v>209</v>
      </c>
      <c r="E34" s="121"/>
      <c r="F34" s="122"/>
      <c r="G34" s="105" t="s">
        <v>97</v>
      </c>
      <c r="H34" s="106">
        <v>12</v>
      </c>
      <c r="I34" s="107">
        <v>18.3</v>
      </c>
      <c r="J34" s="107">
        <f t="shared" si="2"/>
        <v>219.60000000000002</v>
      </c>
      <c r="K34" s="108"/>
      <c r="L34" s="105"/>
      <c r="S34" s="97"/>
    </row>
    <row r="35" spans="1:19" ht="22.5" customHeight="1">
      <c r="A35" s="104">
        <f t="shared" si="0"/>
        <v>30</v>
      </c>
      <c r="B35" s="123" t="s">
        <v>154</v>
      </c>
      <c r="C35" s="124"/>
      <c r="D35" s="120" t="s">
        <v>210</v>
      </c>
      <c r="E35" s="121"/>
      <c r="F35" s="122"/>
      <c r="G35" s="105" t="s">
        <v>127</v>
      </c>
      <c r="H35" s="106">
        <v>20</v>
      </c>
      <c r="I35" s="107">
        <v>21.5</v>
      </c>
      <c r="J35" s="107">
        <f t="shared" si="2"/>
        <v>430</v>
      </c>
      <c r="K35" s="108"/>
      <c r="L35" s="105"/>
      <c r="S35" s="97"/>
    </row>
    <row r="36" spans="1:19" ht="22.5" customHeight="1">
      <c r="A36" s="104">
        <f t="shared" si="0"/>
        <v>31</v>
      </c>
      <c r="B36" s="123" t="s">
        <v>158</v>
      </c>
      <c r="C36" s="124"/>
      <c r="D36" s="120" t="s">
        <v>211</v>
      </c>
      <c r="E36" s="121"/>
      <c r="F36" s="122"/>
      <c r="G36" s="105" t="s">
        <v>97</v>
      </c>
      <c r="H36" s="106">
        <v>800</v>
      </c>
      <c r="I36" s="107">
        <v>2.2200000000000002</v>
      </c>
      <c r="J36" s="107">
        <f t="shared" si="2"/>
        <v>1776.0000000000002</v>
      </c>
      <c r="K36" s="108"/>
      <c r="L36" s="105"/>
      <c r="S36" s="97"/>
    </row>
    <row r="37" spans="1:19" ht="22.5" customHeight="1">
      <c r="A37" s="104">
        <f t="shared" si="0"/>
        <v>32</v>
      </c>
      <c r="B37" s="123" t="s">
        <v>147</v>
      </c>
      <c r="C37" s="124"/>
      <c r="D37" s="120" t="s">
        <v>212</v>
      </c>
      <c r="E37" s="121"/>
      <c r="F37" s="122"/>
      <c r="G37" s="105" t="s">
        <v>130</v>
      </c>
      <c r="H37" s="106">
        <v>1</v>
      </c>
      <c r="I37" s="107">
        <v>50</v>
      </c>
      <c r="J37" s="107">
        <f t="shared" si="2"/>
        <v>50</v>
      </c>
      <c r="K37" s="108"/>
      <c r="L37" s="105"/>
      <c r="S37" s="97"/>
    </row>
    <row r="38" spans="1:19" ht="22.5" customHeight="1">
      <c r="A38" s="104">
        <f t="shared" si="0"/>
        <v>33</v>
      </c>
      <c r="B38" s="123" t="s">
        <v>159</v>
      </c>
      <c r="C38" s="124"/>
      <c r="D38" s="120" t="s">
        <v>213</v>
      </c>
      <c r="E38" s="121"/>
      <c r="F38" s="122"/>
      <c r="G38" s="105" t="s">
        <v>97</v>
      </c>
      <c r="H38" s="106">
        <v>12</v>
      </c>
      <c r="I38" s="107">
        <v>18.3</v>
      </c>
      <c r="J38" s="107">
        <f t="shared" si="2"/>
        <v>219.60000000000002</v>
      </c>
      <c r="K38" s="108"/>
      <c r="L38" s="105"/>
      <c r="S38" s="97"/>
    </row>
    <row r="39" spans="1:19" ht="22.5" customHeight="1">
      <c r="A39" s="104">
        <f t="shared" si="0"/>
        <v>34</v>
      </c>
      <c r="B39" s="123" t="s">
        <v>160</v>
      </c>
      <c r="C39" s="124"/>
      <c r="D39" s="120" t="s">
        <v>214</v>
      </c>
      <c r="E39" s="121"/>
      <c r="F39" s="122"/>
      <c r="G39" s="105" t="s">
        <v>127</v>
      </c>
      <c r="H39" s="106">
        <v>10</v>
      </c>
      <c r="I39" s="107">
        <v>60</v>
      </c>
      <c r="J39" s="107">
        <f t="shared" si="2"/>
        <v>600</v>
      </c>
      <c r="K39" s="108"/>
      <c r="L39" s="105"/>
      <c r="S39" s="97"/>
    </row>
    <row r="40" spans="1:19" ht="22.5" customHeight="1">
      <c r="A40" s="104">
        <f t="shared" si="0"/>
        <v>35</v>
      </c>
      <c r="B40" s="123" t="s">
        <v>161</v>
      </c>
      <c r="C40" s="124"/>
      <c r="D40" s="120" t="s">
        <v>215</v>
      </c>
      <c r="E40" s="121"/>
      <c r="F40" s="122"/>
      <c r="G40" s="105" t="s">
        <v>97</v>
      </c>
      <c r="H40" s="106">
        <v>100</v>
      </c>
      <c r="I40" s="107">
        <v>10</v>
      </c>
      <c r="J40" s="107">
        <f t="shared" si="2"/>
        <v>1000</v>
      </c>
      <c r="K40" s="108"/>
      <c r="L40" s="105"/>
      <c r="S40" s="97"/>
    </row>
    <row r="41" spans="1:19" ht="22.5" customHeight="1">
      <c r="A41" s="104">
        <f t="shared" si="0"/>
        <v>36</v>
      </c>
      <c r="B41" s="123" t="s">
        <v>162</v>
      </c>
      <c r="C41" s="124"/>
      <c r="D41" s="120" t="s">
        <v>216</v>
      </c>
      <c r="E41" s="121"/>
      <c r="F41" s="122"/>
      <c r="G41" s="105" t="s">
        <v>127</v>
      </c>
      <c r="H41" s="106">
        <v>50</v>
      </c>
      <c r="I41" s="107">
        <v>1</v>
      </c>
      <c r="J41" s="107">
        <f t="shared" si="2"/>
        <v>50</v>
      </c>
      <c r="K41" s="108"/>
      <c r="L41" s="105"/>
      <c r="S41" s="97"/>
    </row>
    <row r="42" spans="1:19" ht="22.5" customHeight="1">
      <c r="A42" s="104">
        <f t="shared" si="0"/>
        <v>37</v>
      </c>
      <c r="B42" s="123" t="s">
        <v>163</v>
      </c>
      <c r="C42" s="124"/>
      <c r="D42" s="120" t="s">
        <v>217</v>
      </c>
      <c r="E42" s="121"/>
      <c r="F42" s="122"/>
      <c r="G42" s="105" t="s">
        <v>127</v>
      </c>
      <c r="H42" s="106">
        <v>5</v>
      </c>
      <c r="I42" s="107">
        <v>7.32</v>
      </c>
      <c r="J42" s="107">
        <f t="shared" si="2"/>
        <v>36.6</v>
      </c>
      <c r="K42" s="108"/>
      <c r="L42" s="105"/>
      <c r="S42" s="97"/>
    </row>
    <row r="43" spans="1:19" ht="22.5" customHeight="1">
      <c r="A43" s="104">
        <f t="shared" si="0"/>
        <v>38</v>
      </c>
      <c r="B43" s="123" t="s">
        <v>163</v>
      </c>
      <c r="C43" s="124"/>
      <c r="D43" s="120" t="s">
        <v>218</v>
      </c>
      <c r="E43" s="121"/>
      <c r="F43" s="122"/>
      <c r="G43" s="105" t="s">
        <v>127</v>
      </c>
      <c r="H43" s="106">
        <v>5</v>
      </c>
      <c r="I43" s="107">
        <v>11.23</v>
      </c>
      <c r="J43" s="107">
        <f t="shared" si="2"/>
        <v>56.150000000000006</v>
      </c>
      <c r="K43" s="108"/>
      <c r="L43" s="105"/>
      <c r="S43" s="97"/>
    </row>
    <row r="44" spans="1:19" ht="22.5" customHeight="1">
      <c r="A44" s="104">
        <f t="shared" si="0"/>
        <v>39</v>
      </c>
      <c r="B44" s="123" t="s">
        <v>164</v>
      </c>
      <c r="C44" s="124"/>
      <c r="D44" s="120" t="s">
        <v>219</v>
      </c>
      <c r="E44" s="121"/>
      <c r="F44" s="122"/>
      <c r="G44" s="105" t="s">
        <v>127</v>
      </c>
      <c r="H44" s="106">
        <v>10</v>
      </c>
      <c r="I44" s="107">
        <v>33</v>
      </c>
      <c r="J44" s="107">
        <f t="shared" si="2"/>
        <v>330</v>
      </c>
      <c r="K44" s="108"/>
      <c r="L44" s="105"/>
      <c r="S44" s="97"/>
    </row>
    <row r="45" spans="1:19" ht="22.5" customHeight="1">
      <c r="A45" s="104">
        <f t="shared" si="0"/>
        <v>40</v>
      </c>
      <c r="B45" s="123" t="s">
        <v>165</v>
      </c>
      <c r="C45" s="124"/>
      <c r="D45" s="120" t="s">
        <v>208</v>
      </c>
      <c r="E45" s="121"/>
      <c r="F45" s="122"/>
      <c r="G45" s="105" t="s">
        <v>97</v>
      </c>
      <c r="H45" s="106">
        <v>5</v>
      </c>
      <c r="I45" s="107">
        <v>5.25</v>
      </c>
      <c r="J45" s="107">
        <f t="shared" si="2"/>
        <v>26.25</v>
      </c>
      <c r="K45" s="108"/>
      <c r="L45" s="105"/>
      <c r="S45" s="97"/>
    </row>
    <row r="46" spans="1:19" ht="22.5" customHeight="1">
      <c r="A46" s="104">
        <f t="shared" si="0"/>
        <v>41</v>
      </c>
      <c r="B46" s="123" t="s">
        <v>166</v>
      </c>
      <c r="C46" s="124"/>
      <c r="D46" s="120"/>
      <c r="E46" s="121"/>
      <c r="F46" s="122"/>
      <c r="G46" s="105" t="s">
        <v>97</v>
      </c>
      <c r="H46" s="106">
        <v>1000</v>
      </c>
      <c r="I46" s="107">
        <v>1</v>
      </c>
      <c r="J46" s="107">
        <f t="shared" si="2"/>
        <v>1000</v>
      </c>
      <c r="K46" s="108"/>
      <c r="L46" s="105"/>
      <c r="S46" s="97"/>
    </row>
    <row r="47" spans="1:19" ht="22.5" customHeight="1">
      <c r="A47" s="104">
        <f t="shared" si="0"/>
        <v>42</v>
      </c>
      <c r="B47" s="123" t="s">
        <v>167</v>
      </c>
      <c r="C47" s="124"/>
      <c r="D47" s="120" t="s">
        <v>220</v>
      </c>
      <c r="E47" s="121"/>
      <c r="F47" s="122"/>
      <c r="G47" s="105" t="s">
        <v>97</v>
      </c>
      <c r="H47" s="106">
        <v>1000</v>
      </c>
      <c r="I47" s="107">
        <v>1</v>
      </c>
      <c r="J47" s="107">
        <f t="shared" si="2"/>
        <v>1000</v>
      </c>
      <c r="K47" s="108"/>
      <c r="L47" s="105"/>
      <c r="S47" s="97"/>
    </row>
    <row r="48" spans="1:19" ht="22.5" customHeight="1">
      <c r="A48" s="104">
        <f t="shared" si="0"/>
        <v>43</v>
      </c>
      <c r="B48" s="123" t="s">
        <v>167</v>
      </c>
      <c r="C48" s="124"/>
      <c r="D48" s="120" t="s">
        <v>221</v>
      </c>
      <c r="E48" s="121"/>
      <c r="F48" s="122"/>
      <c r="G48" s="105" t="s">
        <v>97</v>
      </c>
      <c r="H48" s="106">
        <v>500</v>
      </c>
      <c r="I48" s="107">
        <v>1</v>
      </c>
      <c r="J48" s="107">
        <f t="shared" si="2"/>
        <v>500</v>
      </c>
      <c r="K48" s="108"/>
      <c r="L48" s="105"/>
      <c r="S48" s="97"/>
    </row>
    <row r="49" spans="1:19" ht="22.5" customHeight="1">
      <c r="A49" s="104">
        <f t="shared" si="0"/>
        <v>44</v>
      </c>
      <c r="B49" s="123" t="s">
        <v>168</v>
      </c>
      <c r="C49" s="124"/>
      <c r="D49" s="120"/>
      <c r="E49" s="121"/>
      <c r="F49" s="122"/>
      <c r="G49" s="105" t="s">
        <v>97</v>
      </c>
      <c r="H49" s="106">
        <v>1000</v>
      </c>
      <c r="I49" s="107">
        <v>1.25</v>
      </c>
      <c r="J49" s="107">
        <f t="shared" si="2"/>
        <v>1250</v>
      </c>
      <c r="K49" s="108"/>
      <c r="L49" s="105"/>
      <c r="S49" s="97"/>
    </row>
    <row r="50" spans="1:19" ht="22.5" customHeight="1">
      <c r="A50" s="104">
        <f t="shared" si="0"/>
        <v>45</v>
      </c>
      <c r="B50" s="123" t="s">
        <v>169</v>
      </c>
      <c r="C50" s="124"/>
      <c r="D50" s="120" t="s">
        <v>222</v>
      </c>
      <c r="E50" s="121"/>
      <c r="F50" s="122"/>
      <c r="G50" s="105" t="s">
        <v>97</v>
      </c>
      <c r="H50" s="106">
        <v>11</v>
      </c>
      <c r="I50" s="107">
        <v>12.5</v>
      </c>
      <c r="J50" s="107">
        <f t="shared" si="2"/>
        <v>137.5</v>
      </c>
      <c r="K50" s="108"/>
      <c r="L50" s="105"/>
      <c r="S50" s="97"/>
    </row>
    <row r="51" spans="1:19" ht="22.5" customHeight="1">
      <c r="A51" s="104">
        <f t="shared" si="0"/>
        <v>46</v>
      </c>
      <c r="B51" s="123" t="s">
        <v>170</v>
      </c>
      <c r="C51" s="124"/>
      <c r="D51" s="120"/>
      <c r="E51" s="121"/>
      <c r="F51" s="122"/>
      <c r="G51" s="105" t="s">
        <v>97</v>
      </c>
      <c r="H51" s="106">
        <v>4</v>
      </c>
      <c r="I51" s="107">
        <v>610</v>
      </c>
      <c r="J51" s="107">
        <f t="shared" si="2"/>
        <v>2440</v>
      </c>
      <c r="K51" s="108"/>
      <c r="L51" s="105"/>
      <c r="S51" s="97"/>
    </row>
    <row r="52" spans="1:19" ht="22.5" customHeight="1">
      <c r="A52" s="104">
        <f t="shared" si="0"/>
        <v>47</v>
      </c>
      <c r="B52" s="123" t="s">
        <v>171</v>
      </c>
      <c r="C52" s="124"/>
      <c r="D52" s="120" t="s">
        <v>223</v>
      </c>
      <c r="E52" s="121"/>
      <c r="F52" s="122"/>
      <c r="G52" s="105" t="s">
        <v>236</v>
      </c>
      <c r="H52" s="106">
        <v>50</v>
      </c>
      <c r="I52" s="107">
        <v>63.5</v>
      </c>
      <c r="J52" s="107">
        <f t="shared" si="2"/>
        <v>3175</v>
      </c>
      <c r="K52" s="108"/>
      <c r="L52" s="105"/>
      <c r="S52" s="97"/>
    </row>
    <row r="53" spans="1:19" ht="22.5" customHeight="1">
      <c r="A53" s="104">
        <f t="shared" si="0"/>
        <v>48</v>
      </c>
      <c r="B53" s="123" t="s">
        <v>172</v>
      </c>
      <c r="C53" s="124"/>
      <c r="D53" s="120" t="s">
        <v>224</v>
      </c>
      <c r="E53" s="121"/>
      <c r="F53" s="122"/>
      <c r="G53" s="105" t="s">
        <v>97</v>
      </c>
      <c r="H53" s="106">
        <v>1</v>
      </c>
      <c r="I53" s="107">
        <v>110</v>
      </c>
      <c r="J53" s="107">
        <f t="shared" si="2"/>
        <v>110</v>
      </c>
      <c r="K53" s="108"/>
      <c r="L53" s="105"/>
      <c r="S53" s="97"/>
    </row>
    <row r="54" spans="1:19" ht="22.5" customHeight="1">
      <c r="A54" s="104">
        <f t="shared" si="0"/>
        <v>49</v>
      </c>
      <c r="B54" s="123" t="s">
        <v>173</v>
      </c>
      <c r="C54" s="124"/>
      <c r="D54" s="120" t="s">
        <v>225</v>
      </c>
      <c r="E54" s="121"/>
      <c r="F54" s="122"/>
      <c r="G54" s="105" t="s">
        <v>97</v>
      </c>
      <c r="H54" s="106">
        <v>5</v>
      </c>
      <c r="I54" s="107">
        <v>8</v>
      </c>
      <c r="J54" s="107">
        <f t="shared" si="2"/>
        <v>40</v>
      </c>
      <c r="K54" s="108"/>
      <c r="L54" s="105"/>
      <c r="S54" s="97"/>
    </row>
    <row r="55" spans="1:19" ht="22.5" customHeight="1">
      <c r="A55" s="104">
        <f t="shared" si="0"/>
        <v>50</v>
      </c>
      <c r="B55" s="123" t="s">
        <v>174</v>
      </c>
      <c r="C55" s="124"/>
      <c r="D55" s="120"/>
      <c r="E55" s="121"/>
      <c r="F55" s="122"/>
      <c r="G55" s="105" t="s">
        <v>97</v>
      </c>
      <c r="H55" s="106">
        <v>30</v>
      </c>
      <c r="I55" s="107">
        <v>5</v>
      </c>
      <c r="J55" s="107">
        <f t="shared" si="2"/>
        <v>150</v>
      </c>
      <c r="K55" s="108"/>
      <c r="L55" s="105"/>
      <c r="S55" s="97"/>
    </row>
    <row r="56" spans="1:19" ht="22.5" customHeight="1">
      <c r="A56" s="104">
        <f t="shared" si="0"/>
        <v>51</v>
      </c>
      <c r="B56" s="123" t="s">
        <v>175</v>
      </c>
      <c r="C56" s="124"/>
      <c r="D56" s="120" t="s">
        <v>226</v>
      </c>
      <c r="E56" s="121"/>
      <c r="F56" s="122"/>
      <c r="G56" s="105" t="s">
        <v>97</v>
      </c>
      <c r="H56" s="106">
        <v>5</v>
      </c>
      <c r="I56" s="107">
        <v>10</v>
      </c>
      <c r="J56" s="107">
        <f t="shared" si="2"/>
        <v>50</v>
      </c>
      <c r="K56" s="108"/>
      <c r="L56" s="105"/>
      <c r="S56" s="97"/>
    </row>
    <row r="57" spans="1:19" ht="22.5" customHeight="1">
      <c r="A57" s="104">
        <f t="shared" si="0"/>
        <v>52</v>
      </c>
      <c r="B57" s="123" t="s">
        <v>176</v>
      </c>
      <c r="C57" s="124"/>
      <c r="D57" s="120" t="s">
        <v>227</v>
      </c>
      <c r="E57" s="121"/>
      <c r="F57" s="122"/>
      <c r="G57" s="105" t="s">
        <v>97</v>
      </c>
      <c r="H57" s="106">
        <v>20</v>
      </c>
      <c r="I57" s="107">
        <v>3.5</v>
      </c>
      <c r="J57" s="107">
        <f t="shared" si="2"/>
        <v>70</v>
      </c>
      <c r="K57" s="108"/>
      <c r="L57" s="105"/>
      <c r="S57" s="97"/>
    </row>
    <row r="58" spans="1:19" ht="22.5" customHeight="1">
      <c r="A58" s="104">
        <f t="shared" si="0"/>
        <v>53</v>
      </c>
      <c r="B58" s="123" t="s">
        <v>162</v>
      </c>
      <c r="C58" s="124"/>
      <c r="D58" s="120" t="s">
        <v>228</v>
      </c>
      <c r="E58" s="121"/>
      <c r="F58" s="122"/>
      <c r="G58" s="105" t="s">
        <v>128</v>
      </c>
      <c r="H58" s="106">
        <v>5</v>
      </c>
      <c r="I58" s="107">
        <v>16</v>
      </c>
      <c r="J58" s="107">
        <f t="shared" si="2"/>
        <v>80</v>
      </c>
      <c r="K58" s="108"/>
      <c r="L58" s="105"/>
      <c r="S58" s="97"/>
    </row>
    <row r="59" spans="1:19" ht="22.5" customHeight="1">
      <c r="A59" s="104">
        <f t="shared" si="0"/>
        <v>54</v>
      </c>
      <c r="B59" s="123" t="s">
        <v>177</v>
      </c>
      <c r="C59" s="124"/>
      <c r="D59" s="120" t="s">
        <v>229</v>
      </c>
      <c r="E59" s="121"/>
      <c r="F59" s="122"/>
      <c r="G59" s="105" t="s">
        <v>97</v>
      </c>
      <c r="H59" s="106">
        <v>5</v>
      </c>
      <c r="I59" s="107">
        <v>47</v>
      </c>
      <c r="J59" s="107">
        <f t="shared" si="2"/>
        <v>235</v>
      </c>
      <c r="K59" s="108"/>
      <c r="L59" s="105"/>
      <c r="S59" s="97"/>
    </row>
    <row r="60" spans="1:19" ht="22.5" customHeight="1">
      <c r="A60" s="104">
        <f t="shared" si="0"/>
        <v>55</v>
      </c>
      <c r="B60" s="123" t="s">
        <v>178</v>
      </c>
      <c r="C60" s="124"/>
      <c r="D60" s="120" t="s">
        <v>230</v>
      </c>
      <c r="E60" s="121"/>
      <c r="F60" s="122"/>
      <c r="G60" s="105" t="s">
        <v>127</v>
      </c>
      <c r="H60" s="106">
        <v>10</v>
      </c>
      <c r="I60" s="107">
        <v>6.5</v>
      </c>
      <c r="J60" s="107">
        <f t="shared" si="2"/>
        <v>65</v>
      </c>
      <c r="K60" s="108"/>
      <c r="L60" s="105"/>
      <c r="S60" s="97"/>
    </row>
    <row r="61" spans="1:19" ht="22.5" customHeight="1">
      <c r="A61" s="104">
        <f t="shared" si="0"/>
        <v>56</v>
      </c>
      <c r="B61" s="123" t="s">
        <v>179</v>
      </c>
      <c r="C61" s="124"/>
      <c r="D61" s="120" t="s">
        <v>231</v>
      </c>
      <c r="E61" s="121"/>
      <c r="F61" s="122"/>
      <c r="G61" s="105" t="s">
        <v>97</v>
      </c>
      <c r="H61" s="106">
        <v>2</v>
      </c>
      <c r="I61" s="107">
        <v>48</v>
      </c>
      <c r="J61" s="107">
        <f t="shared" si="2"/>
        <v>96</v>
      </c>
      <c r="K61" s="108"/>
      <c r="L61" s="105"/>
      <c r="S61" s="97"/>
    </row>
    <row r="62" spans="1:19" ht="22.5" customHeight="1">
      <c r="A62" s="104">
        <f t="shared" si="0"/>
        <v>57</v>
      </c>
      <c r="B62" s="123" t="s">
        <v>180</v>
      </c>
      <c r="C62" s="124"/>
      <c r="D62" s="120"/>
      <c r="E62" s="121"/>
      <c r="F62" s="122"/>
      <c r="G62" s="105" t="s">
        <v>97</v>
      </c>
      <c r="H62" s="106">
        <v>12</v>
      </c>
      <c r="I62" s="107">
        <v>10</v>
      </c>
      <c r="J62" s="107">
        <f t="shared" si="2"/>
        <v>120</v>
      </c>
      <c r="K62" s="108"/>
      <c r="L62" s="105"/>
      <c r="S62" s="97"/>
    </row>
    <row r="63" spans="1:19" ht="22.5" customHeight="1">
      <c r="A63" s="104">
        <f t="shared" si="0"/>
        <v>58</v>
      </c>
      <c r="B63" s="123" t="s">
        <v>181</v>
      </c>
      <c r="C63" s="124"/>
      <c r="D63" s="120" t="s">
        <v>232</v>
      </c>
      <c r="E63" s="121"/>
      <c r="F63" s="122"/>
      <c r="G63" s="105" t="s">
        <v>97</v>
      </c>
      <c r="H63" s="106">
        <v>2</v>
      </c>
      <c r="I63" s="107">
        <v>36</v>
      </c>
      <c r="J63" s="107">
        <f t="shared" si="2"/>
        <v>72</v>
      </c>
      <c r="K63" s="108"/>
      <c r="L63" s="105"/>
      <c r="S63" s="97"/>
    </row>
    <row r="64" spans="1:19" ht="22.5" customHeight="1">
      <c r="A64" s="104">
        <f t="shared" si="0"/>
        <v>59</v>
      </c>
      <c r="B64" s="123" t="s">
        <v>151</v>
      </c>
      <c r="C64" s="124"/>
      <c r="D64" s="120"/>
      <c r="E64" s="121"/>
      <c r="F64" s="122"/>
      <c r="G64" s="105" t="s">
        <v>97</v>
      </c>
      <c r="H64" s="106">
        <v>1</v>
      </c>
      <c r="I64" s="107">
        <v>127</v>
      </c>
      <c r="J64" s="107">
        <f t="shared" si="2"/>
        <v>127</v>
      </c>
      <c r="K64" s="108"/>
      <c r="L64" s="105"/>
      <c r="S64" s="97"/>
    </row>
    <row r="65" spans="1:22" ht="22.5" customHeight="1">
      <c r="A65" s="104">
        <f t="shared" si="0"/>
        <v>60</v>
      </c>
      <c r="B65" s="123" t="s">
        <v>182</v>
      </c>
      <c r="C65" s="124"/>
      <c r="D65" s="120" t="s">
        <v>233</v>
      </c>
      <c r="E65" s="121"/>
      <c r="F65" s="122"/>
      <c r="G65" s="105" t="s">
        <v>97</v>
      </c>
      <c r="H65" s="106">
        <v>1</v>
      </c>
      <c r="I65" s="107">
        <v>256</v>
      </c>
      <c r="J65" s="107">
        <f t="shared" si="2"/>
        <v>256</v>
      </c>
      <c r="K65" s="108"/>
      <c r="L65" s="105"/>
      <c r="S65" s="97"/>
    </row>
    <row r="66" spans="1:22" ht="22.5" customHeight="1">
      <c r="A66" s="104">
        <f t="shared" si="0"/>
        <v>61</v>
      </c>
      <c r="B66" s="123" t="s">
        <v>183</v>
      </c>
      <c r="C66" s="124"/>
      <c r="D66" s="120" t="s">
        <v>234</v>
      </c>
      <c r="E66" s="121"/>
      <c r="F66" s="122"/>
      <c r="G66" s="105" t="s">
        <v>237</v>
      </c>
      <c r="H66" s="106">
        <v>4</v>
      </c>
      <c r="I66" s="107">
        <v>33.75</v>
      </c>
      <c r="J66" s="107">
        <f t="shared" si="2"/>
        <v>135</v>
      </c>
      <c r="K66" s="108"/>
      <c r="L66" s="105"/>
      <c r="S66" s="97"/>
    </row>
    <row r="67" spans="1:22" ht="22.5" customHeight="1">
      <c r="A67" s="104">
        <f t="shared" si="0"/>
        <v>62</v>
      </c>
      <c r="B67" s="123" t="s">
        <v>184</v>
      </c>
      <c r="C67" s="124"/>
      <c r="D67" s="120"/>
      <c r="E67" s="121"/>
      <c r="F67" s="122"/>
      <c r="G67" s="105" t="s">
        <v>97</v>
      </c>
      <c r="H67" s="106">
        <v>100</v>
      </c>
      <c r="I67" s="107">
        <v>1.25</v>
      </c>
      <c r="J67" s="107">
        <f t="shared" si="2"/>
        <v>125</v>
      </c>
      <c r="K67" s="108"/>
      <c r="L67" s="105"/>
      <c r="S67" s="97"/>
    </row>
    <row r="68" spans="1:22" ht="22.5" customHeight="1">
      <c r="A68" s="104">
        <f t="shared" si="0"/>
        <v>63</v>
      </c>
      <c r="B68" s="123" t="s">
        <v>159</v>
      </c>
      <c r="C68" s="124"/>
      <c r="D68" s="120" t="s">
        <v>235</v>
      </c>
      <c r="E68" s="121"/>
      <c r="F68" s="122"/>
      <c r="G68" s="105" t="s">
        <v>236</v>
      </c>
      <c r="H68" s="106">
        <v>100</v>
      </c>
      <c r="I68" s="107">
        <v>18.3</v>
      </c>
      <c r="J68" s="107">
        <f t="shared" si="2"/>
        <v>1830</v>
      </c>
      <c r="K68" s="108"/>
      <c r="L68" s="105"/>
      <c r="S68" s="97"/>
    </row>
    <row r="69" spans="1:22" ht="24.75" customHeight="1">
      <c r="A69" s="134" t="s">
        <v>8</v>
      </c>
      <c r="B69" s="134"/>
      <c r="C69" s="112"/>
      <c r="D69" s="113"/>
      <c r="E69" s="113"/>
      <c r="F69" s="113"/>
      <c r="G69" s="114"/>
      <c r="H69" s="115"/>
      <c r="I69" s="111" t="s">
        <v>9</v>
      </c>
      <c r="J69" s="107">
        <f>SUM(J6:J68)</f>
        <v>72690.350000000006</v>
      </c>
      <c r="K69" s="107"/>
      <c r="L69" s="110"/>
    </row>
    <row r="70" spans="1:22" ht="25.5" customHeight="1">
      <c r="A70" s="103" t="s">
        <v>10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</row>
    <row r="71" spans="1:22" ht="18" customHeight="1">
      <c r="A71" s="7"/>
      <c r="J71" s="1"/>
      <c r="K71" s="1"/>
      <c r="O71" s="8"/>
      <c r="P71" s="8"/>
      <c r="Q71" s="8"/>
      <c r="S71" s="138" t="s">
        <v>11</v>
      </c>
      <c r="T71" s="9" t="s">
        <v>12</v>
      </c>
      <c r="U71" s="10" t="s">
        <v>13</v>
      </c>
      <c r="V71" s="9" t="s">
        <v>14</v>
      </c>
    </row>
    <row r="72" spans="1:22" ht="50.1" customHeight="1">
      <c r="S72" s="139"/>
      <c r="T72" s="11"/>
      <c r="U72" s="12"/>
      <c r="V72" s="11"/>
    </row>
    <row r="73" spans="1:22" ht="17.100000000000001" customHeight="1">
      <c r="O73" s="8"/>
      <c r="P73" s="8"/>
      <c r="Q73" s="8"/>
      <c r="S73" s="136"/>
      <c r="T73" s="12" t="s">
        <v>15</v>
      </c>
      <c r="U73" s="12" t="s">
        <v>15</v>
      </c>
      <c r="V73" s="13" t="s">
        <v>15</v>
      </c>
    </row>
    <row r="74" spans="1:22" ht="15" customHeight="1">
      <c r="O74" s="14" t="s">
        <v>16</v>
      </c>
      <c r="P74" s="135" t="s">
        <v>17</v>
      </c>
      <c r="Q74" s="135" t="s">
        <v>18</v>
      </c>
    </row>
    <row r="75" spans="1:22" ht="18" customHeight="1">
      <c r="O75" s="15" t="s">
        <v>19</v>
      </c>
      <c r="P75" s="137"/>
      <c r="Q75" s="137"/>
      <c r="S75" s="138" t="s">
        <v>20</v>
      </c>
      <c r="T75" s="9" t="s">
        <v>12</v>
      </c>
      <c r="U75" s="9" t="s">
        <v>13</v>
      </c>
      <c r="V75" s="9" t="s">
        <v>14</v>
      </c>
    </row>
    <row r="76" spans="1:22" ht="50.1" customHeight="1">
      <c r="O76" s="11"/>
      <c r="P76" s="11"/>
      <c r="Q76" s="11"/>
      <c r="S76" s="139"/>
      <c r="T76" s="16"/>
      <c r="U76" s="16"/>
      <c r="V76" s="11"/>
    </row>
    <row r="77" spans="1:22" ht="17.100000000000001" customHeight="1">
      <c r="O77" s="13" t="s">
        <v>15</v>
      </c>
      <c r="P77" s="13" t="s">
        <v>15</v>
      </c>
      <c r="Q77" s="13" t="s">
        <v>15</v>
      </c>
      <c r="S77" s="136"/>
      <c r="T77" s="12" t="s">
        <v>15</v>
      </c>
      <c r="U77" s="12" t="s">
        <v>15</v>
      </c>
      <c r="V77" s="13" t="s">
        <v>15</v>
      </c>
    </row>
    <row r="78" spans="1:22" ht="9.9499999999999993" customHeight="1"/>
    <row r="79" spans="1:22" ht="19.899999999999999" customHeight="1"/>
    <row r="80" spans="1:22" ht="17.45" customHeight="1">
      <c r="O80" s="140"/>
      <c r="P80" s="140"/>
      <c r="Q80" s="140"/>
    </row>
    <row r="81" spans="15:20" ht="19.899999999999999" customHeight="1">
      <c r="O81" s="140"/>
      <c r="P81" s="140"/>
      <c r="Q81" s="140"/>
    </row>
    <row r="82" spans="15:20" ht="14.25">
      <c r="O82" s="8"/>
      <c r="P82" s="8"/>
      <c r="Q82" s="8"/>
    </row>
    <row r="83" spans="15:20" ht="65.099999999999994" customHeight="1"/>
    <row r="84" spans="15:20" ht="14.25">
      <c r="O84" s="8"/>
      <c r="P84" s="8"/>
      <c r="Q84" s="8"/>
    </row>
    <row r="85" spans="15:20" ht="19.899999999999999" customHeight="1"/>
    <row r="86" spans="15:20" ht="14.25"/>
    <row r="87" spans="15:20" ht="19.899999999999999" customHeight="1"/>
    <row r="88" spans="15:20" ht="14.25"/>
    <row r="89" spans="15:20" ht="19.899999999999999" customHeight="1"/>
    <row r="90" spans="15:20" ht="19.899999999999999" customHeight="1"/>
    <row r="91" spans="15:20" ht="64.900000000000006" customHeight="1"/>
    <row r="93" spans="15:20" ht="19.899999999999999" customHeight="1">
      <c r="T93" s="135" t="s">
        <v>21</v>
      </c>
    </row>
    <row r="94" spans="15:20" ht="19.899999999999999" customHeight="1">
      <c r="T94" s="137"/>
    </row>
    <row r="95" spans="15:20" ht="64.900000000000006" customHeight="1">
      <c r="T95" s="11"/>
    </row>
    <row r="99" spans="15:22" ht="21" customHeight="1">
      <c r="O99" s="135" t="s">
        <v>21</v>
      </c>
      <c r="P99" s="135" t="s">
        <v>21</v>
      </c>
      <c r="Q99" s="135" t="s">
        <v>21</v>
      </c>
      <c r="T99" s="135" t="s">
        <v>22</v>
      </c>
      <c r="U99" s="135" t="s">
        <v>13</v>
      </c>
      <c r="V99" s="135" t="s">
        <v>21</v>
      </c>
    </row>
    <row r="100" spans="15:22" ht="21" customHeight="1">
      <c r="O100" s="137"/>
      <c r="P100" s="137"/>
      <c r="Q100" s="137"/>
      <c r="T100" s="136"/>
      <c r="U100" s="136"/>
      <c r="V100" s="137"/>
    </row>
    <row r="101" spans="15:22" ht="64.900000000000006" customHeight="1">
      <c r="O101" s="11"/>
      <c r="P101" s="11"/>
      <c r="Q101" s="11"/>
      <c r="T101" s="11"/>
      <c r="U101" s="12"/>
      <c r="V101" s="11"/>
    </row>
    <row r="102" spans="15:22" ht="7.15" customHeight="1"/>
    <row r="103" spans="15:22" ht="21" customHeight="1">
      <c r="O103" s="135" t="s">
        <v>21</v>
      </c>
      <c r="P103" s="135" t="s">
        <v>21</v>
      </c>
      <c r="Q103" s="135" t="s">
        <v>21</v>
      </c>
      <c r="T103" s="135" t="s">
        <v>13</v>
      </c>
      <c r="U103" s="135" t="s">
        <v>22</v>
      </c>
      <c r="V103" s="135" t="s">
        <v>21</v>
      </c>
    </row>
    <row r="104" spans="15:22" ht="21" customHeight="1">
      <c r="O104" s="137"/>
      <c r="P104" s="137"/>
      <c r="Q104" s="137"/>
      <c r="T104" s="136"/>
      <c r="U104" s="136"/>
      <c r="V104" s="137"/>
    </row>
    <row r="105" spans="15:22" ht="64.900000000000006" customHeight="1">
      <c r="O105" s="11"/>
      <c r="P105" s="11"/>
      <c r="Q105" s="11"/>
      <c r="T105" s="12"/>
      <c r="U105" s="11"/>
      <c r="V105" s="11"/>
    </row>
  </sheetData>
  <mergeCells count="159">
    <mergeCell ref="B24:C24"/>
    <mergeCell ref="B25:C25"/>
    <mergeCell ref="B26:C26"/>
    <mergeCell ref="B27:C27"/>
    <mergeCell ref="S71:S73"/>
    <mergeCell ref="P74:P75"/>
    <mergeCell ref="Q74:Q75"/>
    <mergeCell ref="S75:S77"/>
    <mergeCell ref="O80:O81"/>
    <mergeCell ref="P80:P81"/>
    <mergeCell ref="B18:C18"/>
    <mergeCell ref="B19:C19"/>
    <mergeCell ref="B20:C20"/>
    <mergeCell ref="B21:C21"/>
    <mergeCell ref="B22:C22"/>
    <mergeCell ref="B32:C32"/>
    <mergeCell ref="B66:C66"/>
    <mergeCell ref="B67:C67"/>
    <mergeCell ref="B68:C68"/>
    <mergeCell ref="B33:C33"/>
    <mergeCell ref="B34:C34"/>
    <mergeCell ref="B35:C35"/>
    <mergeCell ref="B36:C36"/>
    <mergeCell ref="B37:C37"/>
    <mergeCell ref="Q80:Q81"/>
    <mergeCell ref="D35:F35"/>
    <mergeCell ref="D30:F30"/>
    <mergeCell ref="D31:F31"/>
    <mergeCell ref="U99:U100"/>
    <mergeCell ref="V99:V100"/>
    <mergeCell ref="O103:O104"/>
    <mergeCell ref="P103:P104"/>
    <mergeCell ref="Q103:Q104"/>
    <mergeCell ref="T103:T104"/>
    <mergeCell ref="U103:U104"/>
    <mergeCell ref="V103:V104"/>
    <mergeCell ref="T93:T94"/>
    <mergeCell ref="O99:O100"/>
    <mergeCell ref="P99:P100"/>
    <mergeCell ref="Q99:Q100"/>
    <mergeCell ref="T99:T100"/>
    <mergeCell ref="A69:B69"/>
    <mergeCell ref="D16:F16"/>
    <mergeCell ref="D17:F17"/>
    <mergeCell ref="D18:F18"/>
    <mergeCell ref="D19:F19"/>
    <mergeCell ref="D20:F20"/>
    <mergeCell ref="D21:F21"/>
    <mergeCell ref="D23:F23"/>
    <mergeCell ref="D22:F22"/>
    <mergeCell ref="D27:F27"/>
    <mergeCell ref="D28:F28"/>
    <mergeCell ref="D29:F29"/>
    <mergeCell ref="D24:F24"/>
    <mergeCell ref="D25:F25"/>
    <mergeCell ref="D26:F26"/>
    <mergeCell ref="D33:F33"/>
    <mergeCell ref="D34:F34"/>
    <mergeCell ref="B16:C16"/>
    <mergeCell ref="B17:C17"/>
    <mergeCell ref="B28:C28"/>
    <mergeCell ref="B29:C29"/>
    <mergeCell ref="B30:C30"/>
    <mergeCell ref="B31:C31"/>
    <mergeCell ref="B23:C23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52:C52"/>
    <mergeCell ref="B53:C53"/>
    <mergeCell ref="B54:C54"/>
    <mergeCell ref="B55:C55"/>
    <mergeCell ref="D6:F6"/>
    <mergeCell ref="D7:F7"/>
    <mergeCell ref="D8:F8"/>
    <mergeCell ref="D9:F9"/>
    <mergeCell ref="D10:F10"/>
    <mergeCell ref="B6:C6"/>
    <mergeCell ref="B7:C7"/>
    <mergeCell ref="B8:C8"/>
    <mergeCell ref="B9:C9"/>
    <mergeCell ref="B10:C10"/>
    <mergeCell ref="D11:F11"/>
    <mergeCell ref="D12:F12"/>
    <mergeCell ref="D13:F13"/>
    <mergeCell ref="D14:F14"/>
    <mergeCell ref="D15:F15"/>
    <mergeCell ref="B11:C11"/>
    <mergeCell ref="B12:C12"/>
    <mergeCell ref="B13:C13"/>
    <mergeCell ref="B14:C14"/>
    <mergeCell ref="B15:C15"/>
    <mergeCell ref="B61:C61"/>
    <mergeCell ref="B62:C62"/>
    <mergeCell ref="B63:C63"/>
    <mergeCell ref="B64:C64"/>
    <mergeCell ref="D32:F32"/>
    <mergeCell ref="D67:F67"/>
    <mergeCell ref="D68:F68"/>
    <mergeCell ref="D36:F36"/>
    <mergeCell ref="D37:F37"/>
    <mergeCell ref="D66:F66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D56:F56"/>
    <mergeCell ref="D57:F57"/>
    <mergeCell ref="D58:F58"/>
    <mergeCell ref="D59:F59"/>
    <mergeCell ref="D60:F60"/>
    <mergeCell ref="B56:C56"/>
    <mergeCell ref="B57:C57"/>
    <mergeCell ref="B58:C58"/>
    <mergeCell ref="B59:C59"/>
    <mergeCell ref="B60:C60"/>
    <mergeCell ref="D61:F61"/>
    <mergeCell ref="D62:F62"/>
    <mergeCell ref="D63:F63"/>
    <mergeCell ref="D64:F64"/>
    <mergeCell ref="D65:F65"/>
    <mergeCell ref="B65:C65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16" activePane="bottomLeft" state="frozen"/>
      <selection activeCell="D30" sqref="D30"/>
      <selection pane="bottomLeft" activeCell="D25" sqref="D25:F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SAC2-DS-MRS-0291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46134</v>
      </c>
    </row>
    <row r="4" spans="1:18" ht="15.95" customHeight="1">
      <c r="A4" s="146" t="s">
        <v>2</v>
      </c>
      <c r="B4" s="147" t="s">
        <v>23</v>
      </c>
      <c r="C4" s="147"/>
      <c r="D4" s="146" t="s">
        <v>4</v>
      </c>
      <c r="E4" s="146"/>
      <c r="F4" s="146"/>
      <c r="G4" s="147" t="s">
        <v>5</v>
      </c>
      <c r="H4" s="146" t="s">
        <v>91</v>
      </c>
      <c r="I4" s="146" t="s">
        <v>24</v>
      </c>
      <c r="J4" s="146" t="s">
        <v>25</v>
      </c>
      <c r="K4" s="147" t="s">
        <v>7</v>
      </c>
    </row>
    <row r="5" spans="1:18" ht="15.95" customHeight="1">
      <c r="A5" s="146"/>
      <c r="B5" s="147"/>
      <c r="C5" s="147"/>
      <c r="D5" s="146"/>
      <c r="E5" s="146"/>
      <c r="F5" s="146"/>
      <c r="G5" s="147"/>
      <c r="H5" s="146"/>
      <c r="I5" s="146"/>
      <c r="J5" s="146"/>
      <c r="K5" s="147"/>
    </row>
    <row r="6" spans="1:18" ht="74.25" customHeight="1">
      <c r="A6" s="18">
        <f>+MRS!A6</f>
        <v>1</v>
      </c>
      <c r="B6" s="141" t="str">
        <f>MRS!B6</f>
        <v>DELL PC</v>
      </c>
      <c r="C6" s="142"/>
      <c r="D6" s="143" t="str">
        <f>MRS!D6</f>
        <v>512GB-KB+MOUSE-BT</v>
      </c>
      <c r="E6" s="144"/>
      <c r="F6" s="145"/>
      <c r="G6" s="94" t="str">
        <f>MRS!G6</f>
        <v>EA</v>
      </c>
      <c r="H6" s="94">
        <f>MRS!H6</f>
        <v>5</v>
      </c>
      <c r="I6" s="95">
        <f>MRS!I6</f>
        <v>2218</v>
      </c>
      <c r="J6" s="95">
        <f>MRS!J6</f>
        <v>11090</v>
      </c>
      <c r="K6" s="96"/>
      <c r="O6" s="97"/>
      <c r="P6" s="97"/>
      <c r="R6" s="97"/>
    </row>
    <row r="7" spans="1:18" ht="74.25" customHeight="1">
      <c r="A7" s="18">
        <f>+MRS!A7</f>
        <v>2</v>
      </c>
      <c r="B7" s="141" t="str">
        <f>MRS!B7</f>
        <v>DELL MONITOR</v>
      </c>
      <c r="C7" s="142"/>
      <c r="D7" s="143" t="str">
        <f>MRS!D7</f>
        <v>24"</v>
      </c>
      <c r="E7" s="144"/>
      <c r="F7" s="145"/>
      <c r="G7" s="94" t="str">
        <f>MRS!G7</f>
        <v>EA</v>
      </c>
      <c r="H7" s="94">
        <f>MRS!H7</f>
        <v>4</v>
      </c>
      <c r="I7" s="95">
        <f>MRS!I7</f>
        <v>465</v>
      </c>
      <c r="J7" s="95">
        <f>MRS!J7</f>
        <v>1860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41" t="str">
        <f>MRS!B8</f>
        <v>SAFETY FLAG</v>
      </c>
      <c r="C8" s="142"/>
      <c r="D8" s="143" t="str">
        <f>MRS!D8</f>
        <v>RED</v>
      </c>
      <c r="E8" s="144"/>
      <c r="F8" s="145"/>
      <c r="G8" s="94" t="str">
        <f>MRS!G8</f>
        <v>EA</v>
      </c>
      <c r="H8" s="94">
        <f>MRS!H8</f>
        <v>10</v>
      </c>
      <c r="I8" s="95">
        <f>MRS!I8</f>
        <v>3.8</v>
      </c>
      <c r="J8" s="95">
        <f>MRS!J8</f>
        <v>38</v>
      </c>
      <c r="K8" s="96"/>
      <c r="O8" s="97"/>
      <c r="P8" s="97"/>
      <c r="R8" s="97"/>
    </row>
    <row r="9" spans="1:18" ht="74.25" customHeight="1">
      <c r="A9" s="18">
        <f>+MRS!A9</f>
        <v>4</v>
      </c>
      <c r="B9" s="141" t="str">
        <f>MRS!B9</f>
        <v>SAFETY FLAG</v>
      </c>
      <c r="C9" s="142"/>
      <c r="D9" s="143" t="str">
        <f>MRS!D9</f>
        <v>GREEN</v>
      </c>
      <c r="E9" s="144"/>
      <c r="F9" s="145"/>
      <c r="G9" s="94" t="str">
        <f>MRS!G9</f>
        <v>EA</v>
      </c>
      <c r="H9" s="94">
        <f>MRS!H9</f>
        <v>10</v>
      </c>
      <c r="I9" s="95">
        <f>MRS!I9</f>
        <v>3.8</v>
      </c>
      <c r="J9" s="95">
        <f>MRS!J9</f>
        <v>38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41" t="str">
        <f>MRS!B10</f>
        <v>SAFETY HELMET</v>
      </c>
      <c r="C10" s="142"/>
      <c r="D10" s="143" t="str">
        <f>MRS!D10</f>
        <v>3M,YELLOW</v>
      </c>
      <c r="E10" s="144"/>
      <c r="F10" s="145"/>
      <c r="G10" s="94" t="str">
        <f>MRS!G10</f>
        <v>EA</v>
      </c>
      <c r="H10" s="94">
        <f>MRS!H10</f>
        <v>60</v>
      </c>
      <c r="I10" s="95">
        <f>MRS!I10</f>
        <v>44</v>
      </c>
      <c r="J10" s="95">
        <f>MRS!J10</f>
        <v>2640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41" t="str">
        <f>MRS!B11</f>
        <v>1/2 HP WATER PUMP</v>
      </c>
      <c r="C11" s="142"/>
      <c r="D11" s="143" t="str">
        <f>MRS!D11</f>
        <v>1"*1",HYUNDI</v>
      </c>
      <c r="E11" s="144"/>
      <c r="F11" s="145"/>
      <c r="G11" s="94" t="str">
        <f>MRS!G11</f>
        <v>EA</v>
      </c>
      <c r="H11" s="94">
        <f>MRS!H11</f>
        <v>1</v>
      </c>
      <c r="I11" s="95">
        <f>MRS!I11</f>
        <v>175</v>
      </c>
      <c r="J11" s="95">
        <f>MRS!J11</f>
        <v>175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41" t="str">
        <f>MRS!B12</f>
        <v>2 HOLE PAPER PUNCH</v>
      </c>
      <c r="C12" s="142"/>
      <c r="D12" s="143" t="str">
        <f>MRS!D12</f>
        <v>35SHEET</v>
      </c>
      <c r="E12" s="144"/>
      <c r="F12" s="145"/>
      <c r="G12" s="94" t="str">
        <f>MRS!G12</f>
        <v>EA</v>
      </c>
      <c r="H12" s="94">
        <f>MRS!H12</f>
        <v>2</v>
      </c>
      <c r="I12" s="95">
        <f>MRS!I12</f>
        <v>24</v>
      </c>
      <c r="J12" s="95">
        <f>MRS!J12</f>
        <v>48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41" t="str">
        <f>MRS!B13</f>
        <v>HEAVY DUTY PUNCH</v>
      </c>
      <c r="C13" s="142"/>
      <c r="D13" s="143" t="str">
        <f>MRS!D13</f>
        <v>DELI,100 PAGE CAPSITY</v>
      </c>
      <c r="E13" s="144"/>
      <c r="F13" s="145"/>
      <c r="G13" s="94" t="str">
        <f>MRS!G13</f>
        <v>EA</v>
      </c>
      <c r="H13" s="94">
        <f>MRS!H13</f>
        <v>1</v>
      </c>
      <c r="I13" s="95">
        <f>MRS!I13</f>
        <v>146</v>
      </c>
      <c r="J13" s="95">
        <f>MRS!J13</f>
        <v>146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41" t="str">
        <f>MRS!B14</f>
        <v>OFFICE CHAIR</v>
      </c>
      <c r="C14" s="142"/>
      <c r="D14" s="143" t="str">
        <f>MRS!D14</f>
        <v>WITHOUT NECK</v>
      </c>
      <c r="E14" s="144"/>
      <c r="F14" s="145"/>
      <c r="G14" s="94" t="str">
        <f>MRS!G14</f>
        <v>EA</v>
      </c>
      <c r="H14" s="94">
        <f>MRS!H14</f>
        <v>5</v>
      </c>
      <c r="I14" s="95">
        <f>MRS!I14</f>
        <v>156</v>
      </c>
      <c r="J14" s="95">
        <f>MRS!J14</f>
        <v>780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41" t="str">
        <f>MRS!B15</f>
        <v>SAFETY SHOES ROTO</v>
      </c>
      <c r="C15" s="142"/>
      <c r="D15" s="143" t="str">
        <f>MRS!D15</f>
        <v>ASORTED SIZE</v>
      </c>
      <c r="E15" s="144"/>
      <c r="F15" s="145"/>
      <c r="G15" s="94" t="str">
        <f>MRS!G15</f>
        <v>PAIR</v>
      </c>
      <c r="H15" s="94">
        <f>MRS!H15</f>
        <v>382</v>
      </c>
      <c r="I15" s="95">
        <f>MRS!I15</f>
        <v>63.5</v>
      </c>
      <c r="J15" s="95">
        <f>MRS!J15</f>
        <v>24257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41" t="str">
        <f>MRS!B16</f>
        <v>A3 PAPER</v>
      </c>
      <c r="C16" s="142"/>
      <c r="D16" s="143" t="str">
        <f>MRS!D16</f>
        <v>ROCO,80GSM</v>
      </c>
      <c r="E16" s="144"/>
      <c r="F16" s="145"/>
      <c r="G16" s="94" t="str">
        <f>MRS!G16</f>
        <v>BOX</v>
      </c>
      <c r="H16" s="94">
        <f>MRS!H16</f>
        <v>10</v>
      </c>
      <c r="I16" s="95">
        <f>MRS!I16</f>
        <v>172</v>
      </c>
      <c r="J16" s="95">
        <f>MRS!J16</f>
        <v>1720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41" t="str">
        <f>MRS!B17</f>
        <v>A4 PAPER</v>
      </c>
      <c r="C17" s="142"/>
      <c r="D17" s="143" t="str">
        <f>MRS!D17</f>
        <v>DOUBLE A 80GSM</v>
      </c>
      <c r="E17" s="144"/>
      <c r="F17" s="145"/>
      <c r="G17" s="94" t="str">
        <f>MRS!G17</f>
        <v>BOX</v>
      </c>
      <c r="H17" s="94">
        <f>MRS!H17</f>
        <v>10</v>
      </c>
      <c r="I17" s="95">
        <f>MRS!I17</f>
        <v>76</v>
      </c>
      <c r="J17" s="95">
        <f>MRS!J17</f>
        <v>760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41" t="str">
        <f>MRS!B18</f>
        <v>BOARD MARKER</v>
      </c>
      <c r="C18" s="142"/>
      <c r="D18" s="143" t="str">
        <f>MRS!D18</f>
        <v>FABER CASTELL</v>
      </c>
      <c r="E18" s="144"/>
      <c r="F18" s="145"/>
      <c r="G18" s="94" t="str">
        <f>MRS!G18</f>
        <v>PKT</v>
      </c>
      <c r="H18" s="94">
        <f>MRS!H18</f>
        <v>10</v>
      </c>
      <c r="I18" s="95">
        <f>MRS!I18</f>
        <v>21</v>
      </c>
      <c r="J18" s="95">
        <f>MRS!J18</f>
        <v>210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41" t="str">
        <f>MRS!B19</f>
        <v>HEAVY DUTY STAPLER</v>
      </c>
      <c r="C19" s="142"/>
      <c r="D19" s="143" t="str">
        <f>MRS!D19</f>
        <v>210 SHEETS</v>
      </c>
      <c r="E19" s="144"/>
      <c r="F19" s="145"/>
      <c r="G19" s="94" t="str">
        <f>MRS!G19</f>
        <v>EA</v>
      </c>
      <c r="H19" s="94">
        <f>MRS!H19</f>
        <v>1</v>
      </c>
      <c r="I19" s="95">
        <f>MRS!I19</f>
        <v>110</v>
      </c>
      <c r="J19" s="95">
        <f>MRS!J19</f>
        <v>110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41" t="str">
        <f>MRS!B20</f>
        <v>STAPE PIN</v>
      </c>
      <c r="C20" s="142"/>
      <c r="D20" s="143" t="str">
        <f>MRS!D20</f>
        <v>DELI,23/23,210 SHEET</v>
      </c>
      <c r="E20" s="144"/>
      <c r="F20" s="145"/>
      <c r="G20" s="94" t="str">
        <f>MRS!G20</f>
        <v>EA</v>
      </c>
      <c r="H20" s="94">
        <f>MRS!H20</f>
        <v>3</v>
      </c>
      <c r="I20" s="95">
        <f>MRS!I20</f>
        <v>6.7</v>
      </c>
      <c r="J20" s="95">
        <f>MRS!J20</f>
        <v>20.100000000000001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41" t="str">
        <f>MRS!B21</f>
        <v>STAPE PIN</v>
      </c>
      <c r="C21" s="142"/>
      <c r="D21" s="143" t="str">
        <f>MRS!D21</f>
        <v>DELI 23/17 120 SHEET</v>
      </c>
      <c r="E21" s="144"/>
      <c r="F21" s="145"/>
      <c r="G21" s="94" t="str">
        <f>MRS!G21</f>
        <v>EA</v>
      </c>
      <c r="H21" s="94">
        <f>MRS!H21</f>
        <v>1</v>
      </c>
      <c r="I21" s="95">
        <f>MRS!I21</f>
        <v>4.25</v>
      </c>
      <c r="J21" s="95">
        <f>MRS!J21</f>
        <v>4.25</v>
      </c>
      <c r="K21" s="96"/>
      <c r="O21" s="97"/>
      <c r="P21" s="97"/>
      <c r="R21" s="97"/>
    </row>
    <row r="22" spans="1:18" ht="74.25" customHeight="1">
      <c r="A22" s="18">
        <f>+MRS!A22</f>
        <v>17</v>
      </c>
      <c r="B22" s="141" t="str">
        <f>MRS!B22</f>
        <v>WATER BOTTLE</v>
      </c>
      <c r="C22" s="142"/>
      <c r="D22" s="143" t="str">
        <f>MRS!D22</f>
        <v>1050ML,HI-TEX</v>
      </c>
      <c r="E22" s="144"/>
      <c r="F22" s="145"/>
      <c r="G22" s="94" t="str">
        <f>MRS!G22</f>
        <v>EA</v>
      </c>
      <c r="H22" s="94">
        <f>MRS!H22</f>
        <v>48</v>
      </c>
      <c r="I22" s="95">
        <f>MRS!I22</f>
        <v>8</v>
      </c>
      <c r="J22" s="95">
        <f>MRS!J22</f>
        <v>384</v>
      </c>
      <c r="K22" s="96"/>
      <c r="O22" s="97"/>
      <c r="P22" s="97"/>
      <c r="R22" s="97"/>
    </row>
    <row r="23" spans="1:18" ht="74.25" customHeight="1">
      <c r="A23" s="18" t="e">
        <f>+MRS!#REF!</f>
        <v>#REF!</v>
      </c>
      <c r="B23" s="141" t="e">
        <f>MRS!#REF!</f>
        <v>#REF!</v>
      </c>
      <c r="C23" s="142"/>
      <c r="D23" s="143" t="e">
        <f>MRS!#REF!</f>
        <v>#REF!</v>
      </c>
      <c r="E23" s="144"/>
      <c r="F23" s="145"/>
      <c r="G23" s="94" t="e">
        <f>MRS!#REF!</f>
        <v>#REF!</v>
      </c>
      <c r="H23" s="94" t="e">
        <f>MRS!#REF!</f>
        <v>#REF!</v>
      </c>
      <c r="I23" s="95" t="e">
        <f>MRS!#REF!</f>
        <v>#REF!</v>
      </c>
      <c r="J23" s="95" t="e">
        <f>MRS!#REF!</f>
        <v>#REF!</v>
      </c>
      <c r="K23" s="96"/>
      <c r="O23" s="97"/>
      <c r="P23" s="97"/>
      <c r="R23" s="97"/>
    </row>
    <row r="24" spans="1:18" ht="74.25" customHeight="1">
      <c r="A24" s="18" t="e">
        <f>+MRS!#REF!</f>
        <v>#REF!</v>
      </c>
      <c r="B24" s="141" t="e">
        <f>MRS!#REF!</f>
        <v>#REF!</v>
      </c>
      <c r="C24" s="142"/>
      <c r="D24" s="143" t="e">
        <f>MRS!#REF!</f>
        <v>#REF!</v>
      </c>
      <c r="E24" s="144"/>
      <c r="F24" s="145"/>
      <c r="G24" s="94" t="e">
        <f>MRS!#REF!</f>
        <v>#REF!</v>
      </c>
      <c r="H24" s="94" t="e">
        <f>MRS!#REF!</f>
        <v>#REF!</v>
      </c>
      <c r="I24" s="95" t="e">
        <f>MRS!#REF!</f>
        <v>#REF!</v>
      </c>
      <c r="J24" s="95" t="e">
        <f>MRS!#REF!</f>
        <v>#REF!</v>
      </c>
      <c r="K24" s="96"/>
      <c r="O24" s="97"/>
      <c r="P24" s="97"/>
      <c r="R24" s="97"/>
    </row>
    <row r="25" spans="1:18" ht="74.25" customHeight="1">
      <c r="A25" s="18" t="e">
        <f>+MRS!#REF!</f>
        <v>#REF!</v>
      </c>
      <c r="B25" s="141" t="e">
        <f>MRS!#REF!</f>
        <v>#REF!</v>
      </c>
      <c r="C25" s="142"/>
      <c r="D25" s="143" t="e">
        <f>MRS!#REF!</f>
        <v>#REF!</v>
      </c>
      <c r="E25" s="144"/>
      <c r="F25" s="145"/>
      <c r="G25" s="94" t="e">
        <f>MRS!#REF!</f>
        <v>#REF!</v>
      </c>
      <c r="H25" s="94" t="e">
        <f>MRS!#REF!</f>
        <v>#REF!</v>
      </c>
      <c r="I25" s="95" t="e">
        <f>MRS!#REF!</f>
        <v>#REF!</v>
      </c>
      <c r="J25" s="95" t="e">
        <f>MRS!#REF!</f>
        <v>#REF!</v>
      </c>
      <c r="K25" s="96"/>
      <c r="O25" s="97"/>
      <c r="P25" s="97"/>
      <c r="R25" s="97"/>
    </row>
    <row r="26" spans="1:18" ht="74.25" customHeight="1">
      <c r="A26" s="18" t="e">
        <f>+MRS!#REF!</f>
        <v>#REF!</v>
      </c>
      <c r="B26" s="141" t="e">
        <f>MRS!#REF!</f>
        <v>#REF!</v>
      </c>
      <c r="C26" s="142"/>
      <c r="D26" s="143" t="e">
        <f>MRS!#REF!</f>
        <v>#REF!</v>
      </c>
      <c r="E26" s="144"/>
      <c r="F26" s="145"/>
      <c r="G26" s="94" t="e">
        <f>MRS!#REF!</f>
        <v>#REF!</v>
      </c>
      <c r="H26" s="94" t="e">
        <f>MRS!#REF!</f>
        <v>#REF!</v>
      </c>
      <c r="I26" s="95" t="e">
        <f>MRS!#REF!</f>
        <v>#REF!</v>
      </c>
      <c r="J26" s="95" t="e">
        <f>MRS!#REF!</f>
        <v>#REF!</v>
      </c>
      <c r="K26" s="96"/>
      <c r="O26" s="97"/>
      <c r="P26" s="97"/>
      <c r="R26" s="97"/>
    </row>
    <row r="27" spans="1:18" ht="74.25" customHeight="1">
      <c r="A27" s="18" t="e">
        <f>+MRS!#REF!</f>
        <v>#REF!</v>
      </c>
      <c r="B27" s="141" t="e">
        <f>MRS!#REF!</f>
        <v>#REF!</v>
      </c>
      <c r="C27" s="142"/>
      <c r="D27" s="143" t="e">
        <f>MRS!#REF!</f>
        <v>#REF!</v>
      </c>
      <c r="E27" s="144"/>
      <c r="F27" s="145"/>
      <c r="G27" s="94" t="e">
        <f>MRS!#REF!</f>
        <v>#REF!</v>
      </c>
      <c r="H27" s="94" t="e">
        <f>MRS!#REF!</f>
        <v>#REF!</v>
      </c>
      <c r="I27" s="95" t="e">
        <f>MRS!#REF!</f>
        <v>#REF!</v>
      </c>
      <c r="J27" s="95" t="e">
        <f>MRS!#REF!</f>
        <v>#REF!</v>
      </c>
      <c r="K27" s="96"/>
      <c r="O27" s="97"/>
      <c r="P27" s="97"/>
      <c r="R27" s="97"/>
    </row>
    <row r="28" spans="1:18" ht="74.25" customHeight="1">
      <c r="A28" s="18" t="e">
        <f>+MRS!#REF!</f>
        <v>#REF!</v>
      </c>
      <c r="B28" s="141" t="e">
        <f>MRS!#REF!</f>
        <v>#REF!</v>
      </c>
      <c r="C28" s="142"/>
      <c r="D28" s="143" t="e">
        <f>MRS!#REF!</f>
        <v>#REF!</v>
      </c>
      <c r="E28" s="144"/>
      <c r="F28" s="145"/>
      <c r="G28" s="94" t="e">
        <f>MRS!#REF!</f>
        <v>#REF!</v>
      </c>
      <c r="H28" s="94" t="e">
        <f>MRS!#REF!</f>
        <v>#REF!</v>
      </c>
      <c r="I28" s="95" t="e">
        <f>MRS!#REF!</f>
        <v>#REF!</v>
      </c>
      <c r="J28" s="95" t="e">
        <f>MRS!#REF!</f>
        <v>#REF!</v>
      </c>
      <c r="K28" s="96"/>
      <c r="O28" s="97"/>
      <c r="P28" s="97"/>
      <c r="R28" s="97"/>
    </row>
    <row r="29" spans="1:18" ht="74.25" customHeight="1">
      <c r="A29" s="18" t="e">
        <f>+MRS!#REF!</f>
        <v>#REF!</v>
      </c>
      <c r="B29" s="141" t="e">
        <f>MRS!#REF!</f>
        <v>#REF!</v>
      </c>
      <c r="C29" s="142"/>
      <c r="D29" s="143" t="e">
        <f>MRS!#REF!</f>
        <v>#REF!</v>
      </c>
      <c r="E29" s="144"/>
      <c r="F29" s="145"/>
      <c r="G29" s="94" t="e">
        <f>MRS!#REF!</f>
        <v>#REF!</v>
      </c>
      <c r="H29" s="94" t="e">
        <f>MRS!#REF!</f>
        <v>#REF!</v>
      </c>
      <c r="I29" s="95" t="e">
        <f>MRS!#REF!</f>
        <v>#REF!</v>
      </c>
      <c r="J29" s="95" t="e">
        <f>MRS!#REF!</f>
        <v>#REF!</v>
      </c>
      <c r="K29" s="96"/>
      <c r="O29" s="97"/>
      <c r="P29" s="97"/>
      <c r="R29" s="97"/>
    </row>
    <row r="30" spans="1:18" ht="74.25" customHeight="1">
      <c r="A30" s="18" t="e">
        <f>+MRS!#REF!</f>
        <v>#REF!</v>
      </c>
      <c r="B30" s="141" t="e">
        <f>MRS!#REF!</f>
        <v>#REF!</v>
      </c>
      <c r="C30" s="142"/>
      <c r="D30" s="143" t="e">
        <f>MRS!#REF!</f>
        <v>#REF!</v>
      </c>
      <c r="E30" s="144"/>
      <c r="F30" s="145"/>
      <c r="G30" s="94" t="e">
        <f>MRS!#REF!</f>
        <v>#REF!</v>
      </c>
      <c r="H30" s="94" t="e">
        <f>MRS!#REF!</f>
        <v>#REF!</v>
      </c>
      <c r="I30" s="95" t="e">
        <f>MRS!#REF!</f>
        <v>#REF!</v>
      </c>
      <c r="J30" s="95" t="e">
        <f>MRS!#REF!</f>
        <v>#REF!</v>
      </c>
      <c r="K30" s="96"/>
      <c r="O30" s="97"/>
      <c r="P30" s="97"/>
      <c r="R30" s="97"/>
    </row>
  </sheetData>
  <mergeCells count="60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30:C30"/>
    <mergeCell ref="D30:F30"/>
    <mergeCell ref="B27:C27"/>
    <mergeCell ref="B28:C28"/>
    <mergeCell ref="B29:C29"/>
    <mergeCell ref="D27:F27"/>
    <mergeCell ref="D28:F28"/>
    <mergeCell ref="D29:F2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118">
        <v>2053026325</v>
      </c>
      <c r="J10" s="35" t="s">
        <v>33</v>
      </c>
      <c r="K10" s="149">
        <f>MRS!L3</f>
        <v>46134</v>
      </c>
      <c r="L10" s="150"/>
      <c r="M10" s="150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51" t="str">
        <f>SUBSTITUTE(SUBSTITUTE(+MRS!A3,"  MRS No : ",""),"-MRS","-PO")</f>
        <v>SAC2-DS-PO-0291</v>
      </c>
      <c r="L11" s="151"/>
      <c r="M11" s="151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131</v>
      </c>
    </row>
    <row r="15" spans="2:13" s="35" customFormat="1">
      <c r="B15" s="68"/>
      <c r="C15" s="73" t="s">
        <v>108</v>
      </c>
      <c r="J15" s="35" t="s">
        <v>40</v>
      </c>
      <c r="K15" s="74">
        <v>46092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52" t="s">
        <v>41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</row>
    <row r="19" spans="2:13" ht="12" customHeight="1"/>
    <row r="20" spans="2:13" s="28" customFormat="1" ht="12" customHeight="1">
      <c r="B20" s="153" t="s">
        <v>42</v>
      </c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</row>
    <row r="21" spans="2:13" s="28" customFormat="1" ht="12" customHeight="1">
      <c r="B21" s="153" t="s">
        <v>43</v>
      </c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</row>
    <row r="22" spans="2:13" s="28" customFormat="1" ht="12" customHeight="1">
      <c r="B22" s="153" t="s">
        <v>44</v>
      </c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</row>
    <row r="23" spans="2:13" ht="6.95" customHeight="1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ht="6.95" customHeight="1"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19">
        <f>'PO 2nd page'!G69</f>
        <v>72690.350000000006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19">
        <f>'PO 2nd page'!G70</f>
        <v>10903.5525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19">
        <f>'PO 2nd page'!G71</f>
        <v>83593.902500000011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114</v>
      </c>
    </row>
    <row r="54" spans="2:16" ht="12" customHeight="1">
      <c r="B54" s="80" t="s">
        <v>65</v>
      </c>
      <c r="C54" s="116" t="s">
        <v>115</v>
      </c>
      <c r="F54" s="23" t="s">
        <v>124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16" t="s">
        <v>116</v>
      </c>
      <c r="F55" s="117" t="s">
        <v>126</v>
      </c>
    </row>
    <row r="56" spans="2:16" ht="12" customHeight="1">
      <c r="B56" s="80" t="s">
        <v>65</v>
      </c>
      <c r="C56" s="116" t="s">
        <v>117</v>
      </c>
      <c r="F56" s="117" t="s">
        <v>129</v>
      </c>
    </row>
    <row r="57" spans="2:16" ht="12" customHeight="1">
      <c r="B57" s="80" t="s">
        <v>65</v>
      </c>
      <c r="C57" s="116" t="s">
        <v>118</v>
      </c>
      <c r="F57" s="23" t="s">
        <v>125</v>
      </c>
    </row>
    <row r="58" spans="2:16" ht="12" customHeight="1">
      <c r="B58" s="80" t="s">
        <v>65</v>
      </c>
      <c r="C58" s="116" t="s">
        <v>119</v>
      </c>
      <c r="F58" s="23" t="s">
        <v>120</v>
      </c>
    </row>
    <row r="59" spans="2:16" ht="12" customHeight="1">
      <c r="B59" s="80" t="s">
        <v>65</v>
      </c>
      <c r="C59" s="116" t="s">
        <v>121</v>
      </c>
      <c r="F59" s="23" t="s">
        <v>122</v>
      </c>
    </row>
    <row r="60" spans="2:16" ht="12" customHeight="1">
      <c r="B60" s="80"/>
      <c r="C60" s="116" t="s">
        <v>123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56" t="str">
        <f>C9</f>
        <v>ATGC(Alrmooz Technical for General Contracting Est.)</v>
      </c>
      <c r="K70" s="156"/>
      <c r="L70" s="156"/>
      <c r="M70" s="156"/>
    </row>
    <row r="71" spans="1:13" ht="27.95" customHeight="1">
      <c r="A71" s="148" t="s">
        <v>75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79"/>
  <sheetViews>
    <sheetView showGridLines="0" view="pageBreakPreview" zoomScaleSheetLayoutView="100" zoomScalePageLayoutView="55" workbookViewId="0">
      <selection activeCell="D6" sqref="D6:G6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SAC2-DS-PO-0291</v>
      </c>
      <c r="C2" s="159" t="s">
        <v>77</v>
      </c>
      <c r="D2" s="159"/>
      <c r="E2" s="159"/>
      <c r="F2" s="159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46134</v>
      </c>
      <c r="C3" s="47"/>
      <c r="D3" s="48"/>
      <c r="E3" s="160" t="s">
        <v>79</v>
      </c>
      <c r="F3" s="160"/>
      <c r="G3" s="160"/>
      <c r="H3" s="160"/>
      <c r="I3" s="49"/>
    </row>
    <row r="4" spans="1:13" s="51" customFormat="1" ht="28.5" customHeight="1" thickTop="1">
      <c r="A4" s="161" t="s">
        <v>80</v>
      </c>
      <c r="B4" s="163" t="s">
        <v>81</v>
      </c>
      <c r="C4" s="164"/>
      <c r="D4" s="167" t="s">
        <v>82</v>
      </c>
      <c r="E4" s="167" t="s">
        <v>83</v>
      </c>
      <c r="F4" s="169" t="str">
        <f>'PO 1st page'!C9</f>
        <v>ATGC(Alrmooz Technical for General Contracting Est.)</v>
      </c>
      <c r="G4" s="170"/>
      <c r="H4" s="171" t="s">
        <v>84</v>
      </c>
      <c r="K4" s="52"/>
      <c r="L4" s="52"/>
      <c r="M4" s="52"/>
    </row>
    <row r="5" spans="1:13" s="51" customFormat="1" ht="21.95" customHeight="1">
      <c r="A5" s="162"/>
      <c r="B5" s="165"/>
      <c r="C5" s="166"/>
      <c r="D5" s="168"/>
      <c r="E5" s="168"/>
      <c r="F5" s="53" t="s">
        <v>85</v>
      </c>
      <c r="G5" s="53" t="s">
        <v>51</v>
      </c>
      <c r="H5" s="172"/>
      <c r="K5" s="52"/>
      <c r="L5" s="52"/>
      <c r="M5" s="52"/>
    </row>
    <row r="6" spans="1:13" s="51" customFormat="1" ht="22.5" customHeight="1">
      <c r="A6" s="81">
        <f t="shared" ref="A6:A68" si="0">ROW(A1)</f>
        <v>1</v>
      </c>
      <c r="B6" s="157" t="str">
        <f>_xlfn.CONCAT(MRS!B6," ",MRS!D6)</f>
        <v>DELL PC 512GB-KB+MOUSE-BT</v>
      </c>
      <c r="C6" s="158"/>
      <c r="D6" s="82" t="str">
        <f>MRS!G6</f>
        <v>EA</v>
      </c>
      <c r="E6" s="83">
        <f>MRS!H6</f>
        <v>5</v>
      </c>
      <c r="F6" s="84">
        <f>MRS!I6</f>
        <v>2218</v>
      </c>
      <c r="G6" s="85">
        <f>F6*E6</f>
        <v>11090</v>
      </c>
      <c r="H6" s="86"/>
      <c r="K6" s="87"/>
      <c r="L6" s="88"/>
      <c r="M6" s="52"/>
    </row>
    <row r="7" spans="1:13" s="51" customFormat="1" ht="22.5" customHeight="1">
      <c r="A7" s="81">
        <f t="shared" si="0"/>
        <v>2</v>
      </c>
      <c r="B7" s="157" t="str">
        <f>_xlfn.CONCAT(MRS!B7," ",MRS!D7)</f>
        <v>DELL MONITOR 24"</v>
      </c>
      <c r="C7" s="158"/>
      <c r="D7" s="82" t="str">
        <f>MRS!G7</f>
        <v>EA</v>
      </c>
      <c r="E7" s="83">
        <f>MRS!H7</f>
        <v>4</v>
      </c>
      <c r="F7" s="84">
        <f>MRS!I7</f>
        <v>465</v>
      </c>
      <c r="G7" s="85">
        <f t="shared" ref="G7:G68" si="1">F7*E7</f>
        <v>1860</v>
      </c>
      <c r="H7" s="86"/>
      <c r="K7" s="87"/>
      <c r="L7" s="88"/>
      <c r="M7" s="52"/>
    </row>
    <row r="8" spans="1:13" s="51" customFormat="1" ht="22.5" customHeight="1">
      <c r="A8" s="89">
        <f t="shared" si="0"/>
        <v>3</v>
      </c>
      <c r="B8" s="157" t="str">
        <f>_xlfn.CONCAT(MRS!B8," ",MRS!D8)</f>
        <v>SAFETY FLAG RED</v>
      </c>
      <c r="C8" s="158"/>
      <c r="D8" s="82" t="str">
        <f>MRS!G8</f>
        <v>EA</v>
      </c>
      <c r="E8" s="83">
        <f>MRS!H8</f>
        <v>10</v>
      </c>
      <c r="F8" s="84">
        <f>MRS!I8</f>
        <v>3.8</v>
      </c>
      <c r="G8" s="85">
        <f t="shared" si="1"/>
        <v>38</v>
      </c>
      <c r="H8" s="90"/>
      <c r="K8" s="52"/>
      <c r="L8" s="52"/>
      <c r="M8" s="52"/>
    </row>
    <row r="9" spans="1:13" s="51" customFormat="1" ht="22.5" customHeight="1">
      <c r="A9" s="89">
        <f t="shared" si="0"/>
        <v>4</v>
      </c>
      <c r="B9" s="157" t="str">
        <f>_xlfn.CONCAT(MRS!B9," ",MRS!D9)</f>
        <v>SAFETY FLAG GREEN</v>
      </c>
      <c r="C9" s="158"/>
      <c r="D9" s="82" t="str">
        <f>MRS!G9</f>
        <v>EA</v>
      </c>
      <c r="E9" s="83">
        <f>MRS!H9</f>
        <v>10</v>
      </c>
      <c r="F9" s="84">
        <f>MRS!I9</f>
        <v>3.8</v>
      </c>
      <c r="G9" s="85">
        <f t="shared" si="1"/>
        <v>38</v>
      </c>
      <c r="H9" s="90"/>
    </row>
    <row r="10" spans="1:13" s="51" customFormat="1" ht="22.5" customHeight="1">
      <c r="A10" s="89">
        <f t="shared" si="0"/>
        <v>5</v>
      </c>
      <c r="B10" s="157" t="str">
        <f>_xlfn.CONCAT(MRS!B10," ",MRS!D10)</f>
        <v>SAFETY HELMET 3M,YELLOW</v>
      </c>
      <c r="C10" s="158"/>
      <c r="D10" s="82" t="str">
        <f>MRS!G10</f>
        <v>EA</v>
      </c>
      <c r="E10" s="83">
        <f>MRS!H10</f>
        <v>60</v>
      </c>
      <c r="F10" s="84">
        <f>MRS!I10</f>
        <v>44</v>
      </c>
      <c r="G10" s="85">
        <f t="shared" si="1"/>
        <v>2640</v>
      </c>
      <c r="H10" s="90"/>
    </row>
    <row r="11" spans="1:13" s="51" customFormat="1" ht="22.5" customHeight="1">
      <c r="A11" s="89">
        <f t="shared" si="0"/>
        <v>6</v>
      </c>
      <c r="B11" s="157" t="str">
        <f>_xlfn.CONCAT(MRS!B11," ",MRS!D11)</f>
        <v>1/2 HP WATER PUMP 1"*1",HYUNDI</v>
      </c>
      <c r="C11" s="158"/>
      <c r="D11" s="82" t="str">
        <f>MRS!G11</f>
        <v>EA</v>
      </c>
      <c r="E11" s="83">
        <f>MRS!H11</f>
        <v>1</v>
      </c>
      <c r="F11" s="84">
        <f>MRS!I11</f>
        <v>175</v>
      </c>
      <c r="G11" s="85">
        <f t="shared" si="1"/>
        <v>175</v>
      </c>
      <c r="H11" s="90"/>
    </row>
    <row r="12" spans="1:13" s="51" customFormat="1" ht="22.5" customHeight="1">
      <c r="A12" s="89">
        <f t="shared" si="0"/>
        <v>7</v>
      </c>
      <c r="B12" s="157" t="str">
        <f>_xlfn.CONCAT(MRS!B12," ",MRS!D12)</f>
        <v>2 HOLE PAPER PUNCH 35SHEET</v>
      </c>
      <c r="C12" s="158"/>
      <c r="D12" s="82" t="str">
        <f>MRS!G12</f>
        <v>EA</v>
      </c>
      <c r="E12" s="83">
        <f>MRS!H12</f>
        <v>2</v>
      </c>
      <c r="F12" s="84">
        <f>MRS!I12</f>
        <v>24</v>
      </c>
      <c r="G12" s="85">
        <f t="shared" si="1"/>
        <v>48</v>
      </c>
      <c r="H12" s="90"/>
    </row>
    <row r="13" spans="1:13" s="51" customFormat="1" ht="22.5" customHeight="1">
      <c r="A13" s="89">
        <f t="shared" si="0"/>
        <v>8</v>
      </c>
      <c r="B13" s="157" t="str">
        <f>_xlfn.CONCAT(MRS!B13," ",MRS!D13)</f>
        <v>HEAVY DUTY PUNCH DELI,100 PAGE CAPSITY</v>
      </c>
      <c r="C13" s="158"/>
      <c r="D13" s="82" t="str">
        <f>MRS!G13</f>
        <v>EA</v>
      </c>
      <c r="E13" s="83">
        <f>MRS!H13</f>
        <v>1</v>
      </c>
      <c r="F13" s="84">
        <f>MRS!I13</f>
        <v>146</v>
      </c>
      <c r="G13" s="85">
        <f t="shared" si="1"/>
        <v>146</v>
      </c>
      <c r="H13" s="90"/>
    </row>
    <row r="14" spans="1:13" s="51" customFormat="1" ht="22.5" customHeight="1">
      <c r="A14" s="89">
        <f t="shared" si="0"/>
        <v>9</v>
      </c>
      <c r="B14" s="157" t="str">
        <f>_xlfn.CONCAT(MRS!B14," ",MRS!D14)</f>
        <v>OFFICE CHAIR WITHOUT NECK</v>
      </c>
      <c r="C14" s="158"/>
      <c r="D14" s="82" t="str">
        <f>MRS!G14</f>
        <v>EA</v>
      </c>
      <c r="E14" s="83">
        <f>MRS!H14</f>
        <v>5</v>
      </c>
      <c r="F14" s="84">
        <f>MRS!I14</f>
        <v>156</v>
      </c>
      <c r="G14" s="85">
        <f t="shared" si="1"/>
        <v>780</v>
      </c>
      <c r="H14" s="90"/>
    </row>
    <row r="15" spans="1:13" s="51" customFormat="1" ht="22.5" customHeight="1">
      <c r="A15" s="89">
        <f t="shared" si="0"/>
        <v>10</v>
      </c>
      <c r="B15" s="157" t="str">
        <f>_xlfn.CONCAT(MRS!B15," ",MRS!D15)</f>
        <v>SAFETY SHOES ROTO ASORTED SIZE</v>
      </c>
      <c r="C15" s="158"/>
      <c r="D15" s="82" t="str">
        <f>MRS!G15</f>
        <v>PAIR</v>
      </c>
      <c r="E15" s="83">
        <f>MRS!H15</f>
        <v>382</v>
      </c>
      <c r="F15" s="84">
        <f>MRS!I15</f>
        <v>63.5</v>
      </c>
      <c r="G15" s="85">
        <f t="shared" si="1"/>
        <v>24257</v>
      </c>
      <c r="H15" s="90"/>
    </row>
    <row r="16" spans="1:13" s="51" customFormat="1" ht="22.5" customHeight="1">
      <c r="A16" s="89">
        <f t="shared" si="0"/>
        <v>11</v>
      </c>
      <c r="B16" s="157" t="str">
        <f>_xlfn.CONCAT(MRS!B16," ",MRS!D16)</f>
        <v>A3 PAPER ROCO,80GSM</v>
      </c>
      <c r="C16" s="158"/>
      <c r="D16" s="82" t="str">
        <f>MRS!G16</f>
        <v>BOX</v>
      </c>
      <c r="E16" s="83">
        <f>MRS!H16</f>
        <v>10</v>
      </c>
      <c r="F16" s="84">
        <f>MRS!I16</f>
        <v>172</v>
      </c>
      <c r="G16" s="85">
        <f t="shared" si="1"/>
        <v>1720</v>
      </c>
      <c r="H16" s="90"/>
    </row>
    <row r="17" spans="1:8" s="51" customFormat="1" ht="22.5" customHeight="1">
      <c r="A17" s="89">
        <f t="shared" si="0"/>
        <v>12</v>
      </c>
      <c r="B17" s="157" t="str">
        <f>_xlfn.CONCAT(MRS!B17," ",MRS!D17)</f>
        <v>A4 PAPER DOUBLE A 80GSM</v>
      </c>
      <c r="C17" s="158"/>
      <c r="D17" s="82" t="str">
        <f>MRS!G17</f>
        <v>BOX</v>
      </c>
      <c r="E17" s="83">
        <f>MRS!H17</f>
        <v>10</v>
      </c>
      <c r="F17" s="84">
        <f>MRS!I17</f>
        <v>76</v>
      </c>
      <c r="G17" s="85">
        <f t="shared" si="1"/>
        <v>760</v>
      </c>
      <c r="H17" s="90"/>
    </row>
    <row r="18" spans="1:8" s="51" customFormat="1" ht="22.5" customHeight="1">
      <c r="A18" s="89">
        <f t="shared" si="0"/>
        <v>13</v>
      </c>
      <c r="B18" s="157" t="str">
        <f>_xlfn.CONCAT(MRS!B18," ",MRS!D18)</f>
        <v>BOARD MARKER FABER CASTELL</v>
      </c>
      <c r="C18" s="158"/>
      <c r="D18" s="82" t="str">
        <f>MRS!G18</f>
        <v>PKT</v>
      </c>
      <c r="E18" s="83">
        <f>MRS!H18</f>
        <v>10</v>
      </c>
      <c r="F18" s="84">
        <f>MRS!I18</f>
        <v>21</v>
      </c>
      <c r="G18" s="85">
        <f t="shared" si="1"/>
        <v>210</v>
      </c>
      <c r="H18" s="90"/>
    </row>
    <row r="19" spans="1:8" s="51" customFormat="1" ht="22.5" customHeight="1">
      <c r="A19" s="89">
        <f t="shared" si="0"/>
        <v>14</v>
      </c>
      <c r="B19" s="157" t="str">
        <f>_xlfn.CONCAT(MRS!B19," ",MRS!D19)</f>
        <v>HEAVY DUTY STAPLER 210 SHEETS</v>
      </c>
      <c r="C19" s="158"/>
      <c r="D19" s="82" t="str">
        <f>MRS!G19</f>
        <v>EA</v>
      </c>
      <c r="E19" s="83">
        <f>MRS!H19</f>
        <v>1</v>
      </c>
      <c r="F19" s="84">
        <f>MRS!I19</f>
        <v>110</v>
      </c>
      <c r="G19" s="85">
        <f t="shared" si="1"/>
        <v>110</v>
      </c>
      <c r="H19" s="90"/>
    </row>
    <row r="20" spans="1:8" s="51" customFormat="1" ht="22.5" customHeight="1">
      <c r="A20" s="89">
        <f t="shared" si="0"/>
        <v>15</v>
      </c>
      <c r="B20" s="157" t="str">
        <f>_xlfn.CONCAT(MRS!B20," ",MRS!D20)</f>
        <v>STAPE PIN DELI,23/23,210 SHEET</v>
      </c>
      <c r="C20" s="158"/>
      <c r="D20" s="82" t="str">
        <f>MRS!G20</f>
        <v>EA</v>
      </c>
      <c r="E20" s="83">
        <f>MRS!H20</f>
        <v>3</v>
      </c>
      <c r="F20" s="84">
        <f>MRS!I20</f>
        <v>6.7</v>
      </c>
      <c r="G20" s="85">
        <f t="shared" si="1"/>
        <v>20.100000000000001</v>
      </c>
      <c r="H20" s="90"/>
    </row>
    <row r="21" spans="1:8" s="51" customFormat="1" ht="22.5" customHeight="1">
      <c r="A21" s="89">
        <f t="shared" si="0"/>
        <v>16</v>
      </c>
      <c r="B21" s="157" t="str">
        <f>_xlfn.CONCAT(MRS!B21," ",MRS!D21)</f>
        <v>STAPE PIN DELI 23/17 120 SHEET</v>
      </c>
      <c r="C21" s="158"/>
      <c r="D21" s="82" t="str">
        <f>MRS!G21</f>
        <v>EA</v>
      </c>
      <c r="E21" s="83">
        <f>MRS!H21</f>
        <v>1</v>
      </c>
      <c r="F21" s="84">
        <f>MRS!I21</f>
        <v>4.25</v>
      </c>
      <c r="G21" s="85">
        <f t="shared" si="1"/>
        <v>4.25</v>
      </c>
      <c r="H21" s="90"/>
    </row>
    <row r="22" spans="1:8" s="51" customFormat="1" ht="22.5" customHeight="1">
      <c r="A22" s="89">
        <f t="shared" si="0"/>
        <v>17</v>
      </c>
      <c r="B22" s="157" t="str">
        <f>_xlfn.CONCAT(MRS!B22," ",MRS!D22)</f>
        <v>WATER BOTTLE 1050ML,HI-TEX</v>
      </c>
      <c r="C22" s="158"/>
      <c r="D22" s="82" t="str">
        <f>MRS!G22</f>
        <v>EA</v>
      </c>
      <c r="E22" s="83">
        <f>MRS!H22</f>
        <v>48</v>
      </c>
      <c r="F22" s="84">
        <f>MRS!I22</f>
        <v>8</v>
      </c>
      <c r="G22" s="85">
        <f t="shared" si="1"/>
        <v>384</v>
      </c>
      <c r="H22" s="90"/>
    </row>
    <row r="23" spans="1:8" s="51" customFormat="1" ht="22.5" customHeight="1">
      <c r="A23" s="89">
        <f t="shared" si="0"/>
        <v>18</v>
      </c>
      <c r="B23" s="157" t="str">
        <f>_xlfn.CONCAT(MRS!B23," ",MRS!D23)</f>
        <v>TRASH BAG 100GLN</v>
      </c>
      <c r="C23" s="158"/>
      <c r="D23" s="82" t="str">
        <f>MRS!G23</f>
        <v>BDL</v>
      </c>
      <c r="E23" s="83">
        <f>MRS!H23</f>
        <v>50</v>
      </c>
      <c r="F23" s="84">
        <f>MRS!I23</f>
        <v>46</v>
      </c>
      <c r="G23" s="85">
        <f t="shared" si="1"/>
        <v>2300</v>
      </c>
      <c r="H23" s="90"/>
    </row>
    <row r="24" spans="1:8" s="51" customFormat="1" ht="22.5" customHeight="1">
      <c r="A24" s="89">
        <f t="shared" si="0"/>
        <v>19</v>
      </c>
      <c r="B24" s="157" t="str">
        <f>_xlfn.CONCAT(MRS!B24," ",MRS!D24)</f>
        <v>TEA CUP 9OZ 20*50PCS</v>
      </c>
      <c r="C24" s="158"/>
      <c r="D24" s="82" t="str">
        <f>MRS!G24</f>
        <v>CTN</v>
      </c>
      <c r="E24" s="83">
        <f>MRS!H24</f>
        <v>4</v>
      </c>
      <c r="F24" s="84">
        <f>MRS!I24</f>
        <v>68</v>
      </c>
      <c r="G24" s="85">
        <f t="shared" si="1"/>
        <v>272</v>
      </c>
      <c r="H24" s="90"/>
    </row>
    <row r="25" spans="1:8" s="51" customFormat="1" ht="22.5" customHeight="1">
      <c r="A25" s="89">
        <f t="shared" si="0"/>
        <v>20</v>
      </c>
      <c r="B25" s="157" t="str">
        <f>_xlfn.CONCAT(MRS!B25," ",MRS!D25)</f>
        <v>RUBBER BOOT BLACK WITHOUT STEEL,SIZE 42</v>
      </c>
      <c r="C25" s="158"/>
      <c r="D25" s="82" t="str">
        <f>MRS!G25</f>
        <v>PAIR</v>
      </c>
      <c r="E25" s="83">
        <f>MRS!H25</f>
        <v>7</v>
      </c>
      <c r="F25" s="84">
        <f>MRS!I25</f>
        <v>19</v>
      </c>
      <c r="G25" s="85">
        <f t="shared" si="1"/>
        <v>133</v>
      </c>
      <c r="H25" s="90"/>
    </row>
    <row r="26" spans="1:8" s="51" customFormat="1" ht="22.5" customHeight="1">
      <c r="A26" s="89">
        <f t="shared" si="0"/>
        <v>21</v>
      </c>
      <c r="B26" s="157" t="str">
        <f>_xlfn.CONCAT(MRS!B26," ",MRS!D26)</f>
        <v xml:space="preserve">PORTABLE SPEAKER </v>
      </c>
      <c r="C26" s="158"/>
      <c r="D26" s="82" t="str">
        <f>MRS!G26</f>
        <v>EA</v>
      </c>
      <c r="E26" s="83">
        <f>MRS!H26</f>
        <v>1</v>
      </c>
      <c r="F26" s="84">
        <f>MRS!I26</f>
        <v>256</v>
      </c>
      <c r="G26" s="85">
        <f t="shared" si="1"/>
        <v>256</v>
      </c>
      <c r="H26" s="90"/>
    </row>
    <row r="27" spans="1:8" s="51" customFormat="1" ht="22.5" customHeight="1">
      <c r="A27" s="89">
        <f t="shared" si="0"/>
        <v>22</v>
      </c>
      <c r="B27" s="157" t="str">
        <f>_xlfn.CONCAT(MRS!B27," ",MRS!D27)</f>
        <v xml:space="preserve">MIC </v>
      </c>
      <c r="C27" s="158"/>
      <c r="D27" s="82" t="str">
        <f>MRS!G27</f>
        <v>EA</v>
      </c>
      <c r="E27" s="83">
        <f>MRS!H27</f>
        <v>1</v>
      </c>
      <c r="F27" s="84">
        <f>MRS!I27</f>
        <v>127</v>
      </c>
      <c r="G27" s="85">
        <f t="shared" si="1"/>
        <v>127</v>
      </c>
      <c r="H27" s="90"/>
    </row>
    <row r="28" spans="1:8" s="51" customFormat="1" ht="22.5" customHeight="1">
      <c r="A28" s="89">
        <f t="shared" si="0"/>
        <v>23</v>
      </c>
      <c r="B28" s="157" t="str">
        <f>_xlfn.CONCAT(MRS!B28," ",MRS!D28)</f>
        <v>SAFETY VEST WITH LOGO M-50/L-50/XL-50/XXL-50</v>
      </c>
      <c r="C28" s="158"/>
      <c r="D28" s="82" t="str">
        <f>MRS!G28</f>
        <v>EA</v>
      </c>
      <c r="E28" s="83">
        <f>MRS!H28</f>
        <v>380</v>
      </c>
      <c r="F28" s="84">
        <f>MRS!I28</f>
        <v>16</v>
      </c>
      <c r="G28" s="85">
        <f t="shared" si="1"/>
        <v>6080</v>
      </c>
      <c r="H28" s="90"/>
    </row>
    <row r="29" spans="1:8" s="51" customFormat="1" ht="22.5" customHeight="1">
      <c r="A29" s="89">
        <f t="shared" si="0"/>
        <v>24</v>
      </c>
      <c r="B29" s="157" t="str">
        <f>_xlfn.CONCAT(MRS!B29," ",MRS!D29)</f>
        <v>MICROPHONE EA</v>
      </c>
      <c r="C29" s="158"/>
      <c r="D29" s="82" t="str">
        <f>MRS!G29</f>
        <v>EA</v>
      </c>
      <c r="E29" s="83">
        <f>MRS!H29</f>
        <v>6</v>
      </c>
      <c r="F29" s="84">
        <f>MRS!I29</f>
        <v>90</v>
      </c>
      <c r="G29" s="85">
        <f t="shared" si="1"/>
        <v>540</v>
      </c>
      <c r="H29" s="90"/>
    </row>
    <row r="30" spans="1:8" s="51" customFormat="1" ht="22.5" customHeight="1">
      <c r="A30" s="89">
        <f t="shared" si="0"/>
        <v>25</v>
      </c>
      <c r="B30" s="157" t="str">
        <f>_xlfn.CONCAT(MRS!B30," ",MRS!D30)</f>
        <v>BATTERY C2,DURACELL</v>
      </c>
      <c r="C30" s="158"/>
      <c r="D30" s="82" t="str">
        <f>MRS!G30</f>
        <v>PAIR</v>
      </c>
      <c r="E30" s="83">
        <f>MRS!H30</f>
        <v>36</v>
      </c>
      <c r="F30" s="84">
        <f>MRS!I30</f>
        <v>18.3</v>
      </c>
      <c r="G30" s="85">
        <f t="shared" si="1"/>
        <v>658.80000000000007</v>
      </c>
      <c r="H30" s="90"/>
    </row>
    <row r="31" spans="1:8" s="51" customFormat="1" ht="22.5" customHeight="1">
      <c r="A31" s="89">
        <f t="shared" si="0"/>
        <v>26</v>
      </c>
      <c r="B31" s="157" t="str">
        <f>_xlfn.CONCAT(MRS!B31," ",MRS!D31)</f>
        <v>FIRE EXTINGUISHER TAG YELLOW 100/PKT</v>
      </c>
      <c r="C31" s="158"/>
      <c r="D31" s="82" t="str">
        <f>MRS!G31</f>
        <v>EA</v>
      </c>
      <c r="E31" s="83">
        <f>MRS!H31</f>
        <v>300</v>
      </c>
      <c r="F31" s="84" t="str">
        <f>MRS!I31</f>
        <v>0.16</v>
      </c>
      <c r="G31" s="85">
        <f t="shared" si="1"/>
        <v>48</v>
      </c>
      <c r="H31" s="90"/>
    </row>
    <row r="32" spans="1:8" s="51" customFormat="1" ht="22.5" customHeight="1">
      <c r="A32" s="89">
        <f t="shared" si="0"/>
        <v>27</v>
      </c>
      <c r="B32" s="157" t="str">
        <f>_xlfn.CONCAT(MRS!B32," ",MRS!D32)</f>
        <v>NOTE BOOK A5</v>
      </c>
      <c r="C32" s="158"/>
      <c r="D32" s="82" t="str">
        <f>MRS!G32</f>
        <v>EA</v>
      </c>
      <c r="E32" s="83">
        <f>MRS!H32</f>
        <v>10</v>
      </c>
      <c r="F32" s="84">
        <f>MRS!I32</f>
        <v>5.25</v>
      </c>
      <c r="G32" s="85">
        <f t="shared" si="1"/>
        <v>52.5</v>
      </c>
      <c r="H32" s="90"/>
    </row>
    <row r="33" spans="1:8" s="51" customFormat="1" ht="22.5" customHeight="1">
      <c r="A33" s="89">
        <f t="shared" si="0"/>
        <v>28</v>
      </c>
      <c r="B33" s="157" t="str">
        <f>_xlfn.CONCAT(MRS!B33," ",MRS!D33)</f>
        <v xml:space="preserve">ENVELOPE </v>
      </c>
      <c r="C33" s="158"/>
      <c r="D33" s="82" t="str">
        <f>MRS!G33</f>
        <v>PKT</v>
      </c>
      <c r="E33" s="83">
        <f>MRS!H33</f>
        <v>20</v>
      </c>
      <c r="F33" s="84">
        <f>MRS!I33</f>
        <v>4.25</v>
      </c>
      <c r="G33" s="85">
        <f t="shared" si="1"/>
        <v>85</v>
      </c>
      <c r="H33" s="90"/>
    </row>
    <row r="34" spans="1:8" s="51" customFormat="1" ht="22.5" customHeight="1">
      <c r="A34" s="89">
        <f t="shared" si="0"/>
        <v>29</v>
      </c>
      <c r="B34" s="157" t="str">
        <f>_xlfn.CONCAT(MRS!B34," ",MRS!D34)</f>
        <v>BATTERY C TYPE</v>
      </c>
      <c r="C34" s="158"/>
      <c r="D34" s="82" t="str">
        <f>MRS!G34</f>
        <v>EA</v>
      </c>
      <c r="E34" s="83">
        <f>MRS!H34</f>
        <v>12</v>
      </c>
      <c r="F34" s="84">
        <f>MRS!I34</f>
        <v>18.3</v>
      </c>
      <c r="G34" s="85">
        <f t="shared" si="1"/>
        <v>219.60000000000002</v>
      </c>
      <c r="H34" s="90"/>
    </row>
    <row r="35" spans="1:8" s="51" customFormat="1" ht="22.5" customHeight="1">
      <c r="A35" s="89">
        <f t="shared" si="0"/>
        <v>30</v>
      </c>
      <c r="B35" s="157" t="str">
        <f>_xlfn.CONCAT(MRS!B35," ",MRS!D35)</f>
        <v>BATTERY AAA</v>
      </c>
      <c r="C35" s="158"/>
      <c r="D35" s="82" t="str">
        <f>MRS!G35</f>
        <v>PKT</v>
      </c>
      <c r="E35" s="83">
        <f>MRS!H35</f>
        <v>20</v>
      </c>
      <c r="F35" s="84">
        <f>MRS!I35</f>
        <v>21.5</v>
      </c>
      <c r="G35" s="85">
        <f t="shared" si="1"/>
        <v>430</v>
      </c>
      <c r="H35" s="90"/>
    </row>
    <row r="36" spans="1:8" s="51" customFormat="1" ht="22.5" customHeight="1">
      <c r="A36" s="89">
        <f t="shared" si="0"/>
        <v>31</v>
      </c>
      <c r="B36" s="157" t="str">
        <f>_xlfn.CONCAT(MRS!B36," ",MRS!D36)</f>
        <v>ELECTRICAL TAPE RED-200/YELLOW-200/BLUE- 
200/GREEN-200</v>
      </c>
      <c r="C36" s="158"/>
      <c r="D36" s="82" t="str">
        <f>MRS!G36</f>
        <v>EA</v>
      </c>
      <c r="E36" s="83">
        <f>MRS!H36</f>
        <v>800</v>
      </c>
      <c r="F36" s="84">
        <f>MRS!I36</f>
        <v>2.2200000000000002</v>
      </c>
      <c r="G36" s="85">
        <f t="shared" si="1"/>
        <v>1776.0000000000002</v>
      </c>
      <c r="H36" s="90"/>
    </row>
    <row r="37" spans="1:8" s="51" customFormat="1" ht="22.5" customHeight="1">
      <c r="A37" s="89">
        <f t="shared" si="0"/>
        <v>32</v>
      </c>
      <c r="B37" s="157" t="str">
        <f>_xlfn.CONCAT(MRS!B37," ",MRS!D37)</f>
        <v>TRASH BAG 10GLN,4KG</v>
      </c>
      <c r="C37" s="158"/>
      <c r="D37" s="82" t="str">
        <f>MRS!G37</f>
        <v>BDL</v>
      </c>
      <c r="E37" s="83">
        <f>MRS!H37</f>
        <v>1</v>
      </c>
      <c r="F37" s="84">
        <f>MRS!I37</f>
        <v>50</v>
      </c>
      <c r="G37" s="85">
        <f t="shared" si="1"/>
        <v>50</v>
      </c>
      <c r="H37" s="90"/>
    </row>
    <row r="38" spans="1:8" s="51" customFormat="1" ht="22.5" customHeight="1">
      <c r="A38" s="89">
        <f t="shared" si="0"/>
        <v>33</v>
      </c>
      <c r="B38" s="157" t="str">
        <f>_xlfn.CONCAT(MRS!B38," ",MRS!D38)</f>
        <v>DURACELL BATTERY C2,ALKALINE 1.5V</v>
      </c>
      <c r="C38" s="158"/>
      <c r="D38" s="82" t="str">
        <f>MRS!G38</f>
        <v>EA</v>
      </c>
      <c r="E38" s="83">
        <f>MRS!H38</f>
        <v>12</v>
      </c>
      <c r="F38" s="84">
        <f>MRS!I38</f>
        <v>18.3</v>
      </c>
      <c r="G38" s="85">
        <f t="shared" si="1"/>
        <v>219.60000000000002</v>
      </c>
      <c r="H38" s="90"/>
    </row>
    <row r="39" spans="1:8" s="51" customFormat="1" ht="22.5" customHeight="1">
      <c r="A39" s="89">
        <f t="shared" si="0"/>
        <v>34</v>
      </c>
      <c r="B39" s="157" t="str">
        <f>_xlfn.CONCAT(MRS!B39," ",MRS!D39)</f>
        <v>A3 LAMINATION POUCH BRAND LEENA</v>
      </c>
      <c r="C39" s="158"/>
      <c r="D39" s="82" t="str">
        <f>MRS!G39</f>
        <v>PKT</v>
      </c>
      <c r="E39" s="83">
        <f>MRS!H39</f>
        <v>10</v>
      </c>
      <c r="F39" s="84">
        <f>MRS!I39</f>
        <v>60</v>
      </c>
      <c r="G39" s="85">
        <f t="shared" si="1"/>
        <v>600</v>
      </c>
      <c r="H39" s="90"/>
    </row>
    <row r="40" spans="1:8" s="51" customFormat="1" ht="22.5" customHeight="1">
      <c r="A40" s="89">
        <f t="shared" si="0"/>
        <v>35</v>
      </c>
      <c r="B40" s="157" t="str">
        <f>_xlfn.CONCAT(MRS!B40," ",MRS!D40)</f>
        <v>FIRE WATCHER VEST RED WITH  
POCKET M-50/L-50</v>
      </c>
      <c r="C40" s="158"/>
      <c r="D40" s="82" t="str">
        <f>MRS!G40</f>
        <v>EA</v>
      </c>
      <c r="E40" s="83">
        <f>MRS!H40</f>
        <v>100</v>
      </c>
      <c r="F40" s="84">
        <f>MRS!I40</f>
        <v>10</v>
      </c>
      <c r="G40" s="85">
        <f t="shared" si="1"/>
        <v>1000</v>
      </c>
      <c r="H40" s="90"/>
    </row>
    <row r="41" spans="1:8" s="51" customFormat="1" ht="22.5" customHeight="1">
      <c r="A41" s="89">
        <f t="shared" si="0"/>
        <v>36</v>
      </c>
      <c r="B41" s="157" t="str">
        <f>_xlfn.CONCAT(MRS!B41," ",MRS!D41)</f>
        <v>BINDER CLIP 15MM</v>
      </c>
      <c r="C41" s="158"/>
      <c r="D41" s="82" t="str">
        <f>MRS!G41</f>
        <v>PKT</v>
      </c>
      <c r="E41" s="83">
        <f>MRS!H41</f>
        <v>50</v>
      </c>
      <c r="F41" s="84">
        <f>MRS!I41</f>
        <v>1</v>
      </c>
      <c r="G41" s="85">
        <f t="shared" si="1"/>
        <v>50</v>
      </c>
      <c r="H41" s="90"/>
    </row>
    <row r="42" spans="1:8" s="51" customFormat="1" ht="22.5" customHeight="1">
      <c r="A42" s="89">
        <f t="shared" si="0"/>
        <v>37</v>
      </c>
      <c r="B42" s="157" t="str">
        <f>_xlfn.CONCAT(MRS!B42," ",MRS!D42)</f>
        <v>STICKY NOTE FANTASTIC,SMALL</v>
      </c>
      <c r="C42" s="158"/>
      <c r="D42" s="82" t="str">
        <f>MRS!G42</f>
        <v>PKT</v>
      </c>
      <c r="E42" s="83">
        <f>MRS!H42</f>
        <v>5</v>
      </c>
      <c r="F42" s="84">
        <f>MRS!I42</f>
        <v>7.32</v>
      </c>
      <c r="G42" s="85">
        <f t="shared" si="1"/>
        <v>36.6</v>
      </c>
      <c r="H42" s="90"/>
    </row>
    <row r="43" spans="1:8" s="51" customFormat="1" ht="22.5" customHeight="1">
      <c r="A43" s="89">
        <f t="shared" si="0"/>
        <v>38</v>
      </c>
      <c r="B43" s="157" t="str">
        <f>_xlfn.CONCAT(MRS!B43," ",MRS!D43)</f>
        <v>STICKY NOTE FANTASTIC,MEDIUM</v>
      </c>
      <c r="C43" s="158"/>
      <c r="D43" s="82" t="str">
        <f>MRS!G43</f>
        <v>PKT</v>
      </c>
      <c r="E43" s="83">
        <f>MRS!H43</f>
        <v>5</v>
      </c>
      <c r="F43" s="84">
        <f>MRS!I43</f>
        <v>11.23</v>
      </c>
      <c r="G43" s="85">
        <f t="shared" si="1"/>
        <v>56.150000000000006</v>
      </c>
      <c r="H43" s="90"/>
    </row>
    <row r="44" spans="1:8" s="51" customFormat="1" ht="22.5" customHeight="1">
      <c r="A44" s="89">
        <f t="shared" si="0"/>
        <v>39</v>
      </c>
      <c r="B44" s="157" t="str">
        <f>_xlfn.CONCAT(MRS!B44," ",MRS!D44)</f>
        <v>PERMANENT MARKER DOUBLE SIDE</v>
      </c>
      <c r="C44" s="158"/>
      <c r="D44" s="82" t="str">
        <f>MRS!G44</f>
        <v>PKT</v>
      </c>
      <c r="E44" s="83">
        <f>MRS!H44</f>
        <v>10</v>
      </c>
      <c r="F44" s="84">
        <f>MRS!I44</f>
        <v>33</v>
      </c>
      <c r="G44" s="85">
        <f t="shared" si="1"/>
        <v>330</v>
      </c>
      <c r="H44" s="90"/>
    </row>
    <row r="45" spans="1:8" s="51" customFormat="1" ht="22.5" customHeight="1">
      <c r="A45" s="89">
        <f t="shared" si="0"/>
        <v>40</v>
      </c>
      <c r="B45" s="157" t="str">
        <f>_xlfn.CONCAT(MRS!B45," ",MRS!D45)</f>
        <v>RECORD BOOK A5</v>
      </c>
      <c r="C45" s="158"/>
      <c r="D45" s="82" t="str">
        <f>MRS!G45</f>
        <v>EA</v>
      </c>
      <c r="E45" s="83">
        <f>MRS!H45</f>
        <v>5</v>
      </c>
      <c r="F45" s="84">
        <f>MRS!I45</f>
        <v>5.25</v>
      </c>
      <c r="G45" s="85">
        <f t="shared" si="1"/>
        <v>26.25</v>
      </c>
      <c r="H45" s="90"/>
    </row>
    <row r="46" spans="1:8" s="51" customFormat="1" ht="22.5" customHeight="1">
      <c r="A46" s="89">
        <f t="shared" si="0"/>
        <v>41</v>
      </c>
      <c r="B46" s="157" t="str">
        <f>_xlfn.CONCAT(MRS!B46," ",MRS!D46)</f>
        <v xml:space="preserve">TRIANGE STICKER </v>
      </c>
      <c r="C46" s="158"/>
      <c r="D46" s="82" t="str">
        <f>MRS!G46</f>
        <v>EA</v>
      </c>
      <c r="E46" s="83">
        <f>MRS!H46</f>
        <v>1000</v>
      </c>
      <c r="F46" s="84">
        <f>MRS!I46</f>
        <v>1</v>
      </c>
      <c r="G46" s="85">
        <f t="shared" si="1"/>
        <v>1000</v>
      </c>
      <c r="H46" s="90"/>
    </row>
    <row r="47" spans="1:8" s="51" customFormat="1" ht="22.5" customHeight="1">
      <c r="A47" s="89">
        <f t="shared" si="0"/>
        <v>42</v>
      </c>
      <c r="B47" s="157" t="str">
        <f>_xlfn.CONCAT(MRS!B47," ",MRS!D47)</f>
        <v>ROUND STICKER RED SMP 1</v>
      </c>
      <c r="C47" s="158"/>
      <c r="D47" s="82" t="str">
        <f>MRS!G47</f>
        <v>EA</v>
      </c>
      <c r="E47" s="83">
        <f>MRS!H47</f>
        <v>1000</v>
      </c>
      <c r="F47" s="84">
        <f>MRS!I47</f>
        <v>1</v>
      </c>
      <c r="G47" s="85">
        <f t="shared" si="1"/>
        <v>1000</v>
      </c>
      <c r="H47" s="90"/>
    </row>
    <row r="48" spans="1:8" s="51" customFormat="1" ht="22.5" customHeight="1">
      <c r="A48" s="89">
        <f t="shared" si="0"/>
        <v>43</v>
      </c>
      <c r="B48" s="157" t="str">
        <f>_xlfn.CONCAT(MRS!B48," ",MRS!D48)</f>
        <v>ROUND STICKER GREEN SMP 1</v>
      </c>
      <c r="C48" s="158"/>
      <c r="D48" s="82" t="str">
        <f>MRS!G48</f>
        <v>EA</v>
      </c>
      <c r="E48" s="83">
        <f>MRS!H48</f>
        <v>500</v>
      </c>
      <c r="F48" s="84">
        <f>MRS!I48</f>
        <v>1</v>
      </c>
      <c r="G48" s="85">
        <f t="shared" si="1"/>
        <v>500</v>
      </c>
      <c r="H48" s="90"/>
    </row>
    <row r="49" spans="1:8" s="51" customFormat="1" ht="22.5" customHeight="1">
      <c r="A49" s="89">
        <f t="shared" si="0"/>
        <v>44</v>
      </c>
      <c r="B49" s="157" t="str">
        <f>_xlfn.CONCAT(MRS!B49," ",MRS!D49)</f>
        <v xml:space="preserve">CROISANT BREAD </v>
      </c>
      <c r="C49" s="158"/>
      <c r="D49" s="82" t="str">
        <f>MRS!G49</f>
        <v>EA</v>
      </c>
      <c r="E49" s="83">
        <f>MRS!H49</f>
        <v>1000</v>
      </c>
      <c r="F49" s="84">
        <f>MRS!I49</f>
        <v>1.25</v>
      </c>
      <c r="G49" s="85">
        <f t="shared" si="1"/>
        <v>1250</v>
      </c>
      <c r="H49" s="90"/>
    </row>
    <row r="50" spans="1:8" s="51" customFormat="1" ht="22.5" customHeight="1">
      <c r="A50" s="89">
        <f t="shared" si="0"/>
        <v>45</v>
      </c>
      <c r="B50" s="157" t="str">
        <f>_xlfn.CONCAT(MRS!B50," ",MRS!D50)</f>
        <v>ROUND MOP WITHOUT STICK</v>
      </c>
      <c r="C50" s="158"/>
      <c r="D50" s="82" t="str">
        <f>MRS!G50</f>
        <v>EA</v>
      </c>
      <c r="E50" s="83">
        <f>MRS!H50</f>
        <v>11</v>
      </c>
      <c r="F50" s="84">
        <f>MRS!I50</f>
        <v>12.5</v>
      </c>
      <c r="G50" s="85">
        <f t="shared" si="1"/>
        <v>137.5</v>
      </c>
      <c r="H50" s="90"/>
    </row>
    <row r="51" spans="1:8" s="51" customFormat="1" ht="22.5" customHeight="1">
      <c r="A51" s="89">
        <f t="shared" si="0"/>
        <v>46</v>
      </c>
      <c r="B51" s="157" t="str">
        <f>_xlfn.CONCAT(MRS!B51," ",MRS!D51)</f>
        <v xml:space="preserve">TIME RECORD MACHINE </v>
      </c>
      <c r="C51" s="158"/>
      <c r="D51" s="82" t="str">
        <f>MRS!G51</f>
        <v>EA</v>
      </c>
      <c r="E51" s="83">
        <f>MRS!H51</f>
        <v>4</v>
      </c>
      <c r="F51" s="84">
        <f>MRS!I51</f>
        <v>610</v>
      </c>
      <c r="G51" s="85">
        <f t="shared" si="1"/>
        <v>2440</v>
      </c>
      <c r="H51" s="90"/>
    </row>
    <row r="52" spans="1:8" s="51" customFormat="1" ht="22.5" customHeight="1">
      <c r="A52" s="89">
        <f t="shared" si="0"/>
        <v>47</v>
      </c>
      <c r="B52" s="157" t="str">
        <f>_xlfn.CONCAT(MRS!B52," ",MRS!D52)</f>
        <v>SAFEETY SHOES K7,41-50</v>
      </c>
      <c r="C52" s="158"/>
      <c r="D52" s="82" t="str">
        <f>MRS!G52</f>
        <v>PAIR</v>
      </c>
      <c r="E52" s="83">
        <f>MRS!H52</f>
        <v>50</v>
      </c>
      <c r="F52" s="84">
        <f>MRS!I52</f>
        <v>63.5</v>
      </c>
      <c r="G52" s="85">
        <f t="shared" si="1"/>
        <v>3175</v>
      </c>
      <c r="H52" s="90"/>
    </row>
    <row r="53" spans="1:8" s="51" customFormat="1" ht="22.5" customHeight="1">
      <c r="A53" s="89">
        <f t="shared" si="0"/>
        <v>48</v>
      </c>
      <c r="B53" s="157" t="str">
        <f>_xlfn.CONCAT(MRS!B53," ",MRS!D53)</f>
        <v>RICOH WASTE TONER C 6003</v>
      </c>
      <c r="C53" s="158"/>
      <c r="D53" s="82" t="str">
        <f>MRS!G53</f>
        <v>EA</v>
      </c>
      <c r="E53" s="83">
        <f>MRS!H53</f>
        <v>1</v>
      </c>
      <c r="F53" s="84">
        <f>MRS!I53</f>
        <v>110</v>
      </c>
      <c r="G53" s="85">
        <f t="shared" si="1"/>
        <v>110</v>
      </c>
      <c r="H53" s="90"/>
    </row>
    <row r="54" spans="1:8" s="51" customFormat="1" ht="22.5" customHeight="1">
      <c r="A54" s="89">
        <f t="shared" si="0"/>
        <v>49</v>
      </c>
      <c r="B54" s="157" t="str">
        <f>_xlfn.CONCAT(MRS!B54," ",MRS!D54)</f>
        <v>PAPER BASKET SMALL</v>
      </c>
      <c r="C54" s="158"/>
      <c r="D54" s="82" t="str">
        <f>MRS!G54</f>
        <v>EA</v>
      </c>
      <c r="E54" s="83">
        <f>MRS!H54</f>
        <v>5</v>
      </c>
      <c r="F54" s="84">
        <f>MRS!I54</f>
        <v>8</v>
      </c>
      <c r="G54" s="85">
        <f t="shared" si="1"/>
        <v>40</v>
      </c>
      <c r="H54" s="90"/>
    </row>
    <row r="55" spans="1:8" s="51" customFormat="1" ht="22.5" customHeight="1">
      <c r="A55" s="89">
        <f t="shared" si="0"/>
        <v>50</v>
      </c>
      <c r="B55" s="157" t="str">
        <f>_xlfn.CONCAT(MRS!B55," ",MRS!D55)</f>
        <v xml:space="preserve">CLIP BOARD </v>
      </c>
      <c r="C55" s="158"/>
      <c r="D55" s="82" t="str">
        <f>MRS!G55</f>
        <v>EA</v>
      </c>
      <c r="E55" s="83">
        <f>MRS!H55</f>
        <v>30</v>
      </c>
      <c r="F55" s="84">
        <f>MRS!I55</f>
        <v>5</v>
      </c>
      <c r="G55" s="85">
        <f t="shared" si="1"/>
        <v>150</v>
      </c>
      <c r="H55" s="90"/>
    </row>
    <row r="56" spans="1:8" s="51" customFormat="1" ht="22.5" customHeight="1">
      <c r="A56" s="89">
        <f t="shared" si="0"/>
        <v>51</v>
      </c>
      <c r="B56" s="157" t="str">
        <f>_xlfn.CONCAT(MRS!B56," ",MRS!D56)</f>
        <v>PAPER PUNCH 20PAGE,DELI</v>
      </c>
      <c r="C56" s="158"/>
      <c r="D56" s="82" t="str">
        <f>MRS!G56</f>
        <v>EA</v>
      </c>
      <c r="E56" s="83">
        <f>MRS!H56</f>
        <v>5</v>
      </c>
      <c r="F56" s="84">
        <f>MRS!I56</f>
        <v>10</v>
      </c>
      <c r="G56" s="85">
        <f t="shared" si="1"/>
        <v>50</v>
      </c>
      <c r="H56" s="90"/>
    </row>
    <row r="57" spans="1:8" s="51" customFormat="1" ht="22.5" customHeight="1">
      <c r="A57" s="89">
        <f t="shared" si="0"/>
        <v>52</v>
      </c>
      <c r="B57" s="157" t="str">
        <f>_xlfn.CONCAT(MRS!B57," ",MRS!D57)</f>
        <v>STEEL RULER 30CM</v>
      </c>
      <c r="C57" s="158"/>
      <c r="D57" s="82" t="str">
        <f>MRS!G57</f>
        <v>EA</v>
      </c>
      <c r="E57" s="83">
        <f>MRS!H57</f>
        <v>20</v>
      </c>
      <c r="F57" s="84">
        <f>MRS!I57</f>
        <v>3.5</v>
      </c>
      <c r="G57" s="85">
        <f t="shared" si="1"/>
        <v>70</v>
      </c>
      <c r="H57" s="90"/>
    </row>
    <row r="58" spans="1:8" s="51" customFormat="1" ht="22.5" customHeight="1">
      <c r="A58" s="89">
        <f t="shared" si="0"/>
        <v>53</v>
      </c>
      <c r="B58" s="157" t="str">
        <f>_xlfn.CONCAT(MRS!B58," ",MRS!D58)</f>
        <v>BINDER CLIP 25MM</v>
      </c>
      <c r="C58" s="158"/>
      <c r="D58" s="82" t="str">
        <f>MRS!G58</f>
        <v>BOX</v>
      </c>
      <c r="E58" s="83">
        <f>MRS!H58</f>
        <v>5</v>
      </c>
      <c r="F58" s="84">
        <f>MRS!I58</f>
        <v>16</v>
      </c>
      <c r="G58" s="85">
        <f t="shared" si="1"/>
        <v>80</v>
      </c>
      <c r="H58" s="90"/>
    </row>
    <row r="59" spans="1:8" s="51" customFormat="1" ht="22.5" customHeight="1">
      <c r="A59" s="89">
        <f t="shared" si="0"/>
        <v>54</v>
      </c>
      <c r="B59" s="157" t="str">
        <f>_xlfn.CONCAT(MRS!B59," ",MRS!D59)</f>
        <v>STAPLER MAX,SMALL</v>
      </c>
      <c r="C59" s="158"/>
      <c r="D59" s="82" t="str">
        <f>MRS!G59</f>
        <v>EA</v>
      </c>
      <c r="E59" s="83">
        <f>MRS!H59</f>
        <v>5</v>
      </c>
      <c r="F59" s="84">
        <f>MRS!I59</f>
        <v>47</v>
      </c>
      <c r="G59" s="85">
        <f t="shared" si="1"/>
        <v>235</v>
      </c>
      <c r="H59" s="90"/>
    </row>
    <row r="60" spans="1:8" s="51" customFormat="1" ht="22.5" customHeight="1">
      <c r="A60" s="89">
        <f t="shared" si="0"/>
        <v>55</v>
      </c>
      <c r="B60" s="157" t="str">
        <f>_xlfn.CONCAT(MRS!B60," ",MRS!D60)</f>
        <v>BALL PEN RED 10/PKT</v>
      </c>
      <c r="C60" s="158"/>
      <c r="D60" s="82" t="str">
        <f>MRS!G60</f>
        <v>PKT</v>
      </c>
      <c r="E60" s="83">
        <f>MRS!H60</f>
        <v>10</v>
      </c>
      <c r="F60" s="84">
        <f>MRS!I60</f>
        <v>6.5</v>
      </c>
      <c r="G60" s="85">
        <f t="shared" si="1"/>
        <v>65</v>
      </c>
      <c r="H60" s="90"/>
    </row>
    <row r="61" spans="1:8" s="51" customFormat="1" ht="22.5" customHeight="1">
      <c r="A61" s="89">
        <f t="shared" si="0"/>
        <v>56</v>
      </c>
      <c r="B61" s="157" t="str">
        <f>_xlfn.CONCAT(MRS!B61," ",MRS!D61)</f>
        <v>CALCULATOR CASIL FX 82MS 2ND EDITION</v>
      </c>
      <c r="C61" s="158"/>
      <c r="D61" s="82" t="str">
        <f>MRS!G61</f>
        <v>EA</v>
      </c>
      <c r="E61" s="83">
        <f>MRS!H61</f>
        <v>2</v>
      </c>
      <c r="F61" s="84">
        <f>MRS!I61</f>
        <v>48</v>
      </c>
      <c r="G61" s="85">
        <f t="shared" si="1"/>
        <v>96</v>
      </c>
      <c r="H61" s="90"/>
    </row>
    <row r="62" spans="1:8" s="51" customFormat="1" ht="22.5" customHeight="1">
      <c r="A62" s="89">
        <f t="shared" si="0"/>
        <v>57</v>
      </c>
      <c r="B62" s="157" t="str">
        <f>_xlfn.CONCAT(MRS!B62," ",MRS!D62)</f>
        <v xml:space="preserve">WET WIPES </v>
      </c>
      <c r="C62" s="158"/>
      <c r="D62" s="82" t="str">
        <f>MRS!G62</f>
        <v>EA</v>
      </c>
      <c r="E62" s="83">
        <f>MRS!H62</f>
        <v>12</v>
      </c>
      <c r="F62" s="84">
        <f>MRS!I62</f>
        <v>10</v>
      </c>
      <c r="G62" s="85">
        <f t="shared" si="1"/>
        <v>120</v>
      </c>
      <c r="H62" s="90"/>
    </row>
    <row r="63" spans="1:8" s="51" customFormat="1" ht="22.5" customHeight="1">
      <c r="A63" s="89">
        <f t="shared" si="0"/>
        <v>58</v>
      </c>
      <c r="B63" s="157" t="str">
        <f>_xlfn.CONCAT(MRS!B63," ",MRS!D63)</f>
        <v>USB SANDISK 8GB</v>
      </c>
      <c r="C63" s="158"/>
      <c r="D63" s="82" t="str">
        <f>MRS!G63</f>
        <v>EA</v>
      </c>
      <c r="E63" s="83">
        <f>MRS!H63</f>
        <v>2</v>
      </c>
      <c r="F63" s="84">
        <f>MRS!I63</f>
        <v>36</v>
      </c>
      <c r="G63" s="85">
        <f t="shared" si="1"/>
        <v>72</v>
      </c>
      <c r="H63" s="90"/>
    </row>
    <row r="64" spans="1:8" s="51" customFormat="1" ht="22.5" customHeight="1">
      <c r="A64" s="89">
        <f t="shared" si="0"/>
        <v>59</v>
      </c>
      <c r="B64" s="157" t="str">
        <f>_xlfn.CONCAT(MRS!B64," ",MRS!D64)</f>
        <v xml:space="preserve">MIC </v>
      </c>
      <c r="C64" s="158"/>
      <c r="D64" s="82" t="str">
        <f>MRS!G64</f>
        <v>EA</v>
      </c>
      <c r="E64" s="83">
        <f>MRS!H64</f>
        <v>1</v>
      </c>
      <c r="F64" s="84">
        <f>MRS!I64</f>
        <v>127</v>
      </c>
      <c r="G64" s="85">
        <f t="shared" si="1"/>
        <v>127</v>
      </c>
      <c r="H64" s="90"/>
    </row>
    <row r="65" spans="1:13" s="51" customFormat="1" ht="22.5" customHeight="1">
      <c r="A65" s="89">
        <f t="shared" si="0"/>
        <v>60</v>
      </c>
      <c r="B65" s="157" t="str">
        <f>_xlfn.CONCAT(MRS!B65," ",MRS!D65)</f>
        <v>TROLLEY SPEAKER IMPEX</v>
      </c>
      <c r="C65" s="158"/>
      <c r="D65" s="82" t="str">
        <f>MRS!G65</f>
        <v>EA</v>
      </c>
      <c r="E65" s="83">
        <f>MRS!H65</f>
        <v>1</v>
      </c>
      <c r="F65" s="84">
        <f>MRS!I65</f>
        <v>256</v>
      </c>
      <c r="G65" s="85">
        <f t="shared" si="1"/>
        <v>256</v>
      </c>
      <c r="H65" s="90"/>
    </row>
    <row r="66" spans="1:13" s="51" customFormat="1" ht="22.5" customHeight="1">
      <c r="A66" s="89">
        <f t="shared" si="0"/>
        <v>61</v>
      </c>
      <c r="B66" s="157" t="str">
        <f>_xlfn.CONCAT(MRS!B66," ",MRS!D66)</f>
        <v>AL RAI JUICE COCKTAIL 27*250ML</v>
      </c>
      <c r="C66" s="158"/>
      <c r="D66" s="82" t="str">
        <f>MRS!G66</f>
        <v>CTN</v>
      </c>
      <c r="E66" s="83">
        <f>MRS!H66</f>
        <v>4</v>
      </c>
      <c r="F66" s="84">
        <f>MRS!I66</f>
        <v>33.75</v>
      </c>
      <c r="G66" s="85">
        <f t="shared" si="1"/>
        <v>135</v>
      </c>
      <c r="H66" s="90"/>
    </row>
    <row r="67" spans="1:13" s="51" customFormat="1" ht="22.5" customHeight="1">
      <c r="A67" s="89">
        <f t="shared" si="0"/>
        <v>62</v>
      </c>
      <c r="B67" s="157" t="str">
        <f>_xlfn.CONCAT(MRS!B67," ",MRS!D67)</f>
        <v xml:space="preserve">CAKE </v>
      </c>
      <c r="C67" s="158"/>
      <c r="D67" s="82" t="str">
        <f>MRS!G67</f>
        <v>EA</v>
      </c>
      <c r="E67" s="83">
        <f>MRS!H67</f>
        <v>100</v>
      </c>
      <c r="F67" s="84">
        <f>MRS!I67</f>
        <v>1.25</v>
      </c>
      <c r="G67" s="85">
        <f t="shared" si="1"/>
        <v>125</v>
      </c>
      <c r="H67" s="90"/>
    </row>
    <row r="68" spans="1:13" s="51" customFormat="1" ht="22.5" customHeight="1">
      <c r="A68" s="89">
        <f t="shared" si="0"/>
        <v>63</v>
      </c>
      <c r="B68" s="157" t="str">
        <f>_xlfn.CONCAT(MRS!B68," ",MRS!D68)</f>
        <v>DURACELL BATTERY C2</v>
      </c>
      <c r="C68" s="158"/>
      <c r="D68" s="82" t="str">
        <f>MRS!G68</f>
        <v>PAIR</v>
      </c>
      <c r="E68" s="83">
        <f>MRS!H68</f>
        <v>100</v>
      </c>
      <c r="F68" s="84">
        <f>MRS!I68</f>
        <v>18.3</v>
      </c>
      <c r="G68" s="85">
        <f t="shared" si="1"/>
        <v>1830</v>
      </c>
      <c r="H68" s="90"/>
    </row>
    <row r="69" spans="1:13" s="51" customFormat="1" ht="23.1" customHeight="1">
      <c r="A69" s="173" t="s">
        <v>86</v>
      </c>
      <c r="B69" s="174"/>
      <c r="C69" s="174"/>
      <c r="D69" s="174"/>
      <c r="E69" s="174"/>
      <c r="F69" s="174"/>
      <c r="G69" s="54">
        <f>SUM(G6:G68)</f>
        <v>72690.350000000006</v>
      </c>
      <c r="H69" s="55"/>
    </row>
    <row r="70" spans="1:13" s="51" customFormat="1" ht="23.1" customHeight="1">
      <c r="A70" s="173" t="s">
        <v>50</v>
      </c>
      <c r="B70" s="174"/>
      <c r="C70" s="174"/>
      <c r="D70" s="174"/>
      <c r="E70" s="174"/>
      <c r="F70" s="174"/>
      <c r="G70" s="54">
        <f>+G69*0.15</f>
        <v>10903.5525</v>
      </c>
      <c r="H70" s="55"/>
    </row>
    <row r="71" spans="1:13" s="51" customFormat="1" ht="24.95" customHeight="1" thickBot="1">
      <c r="A71" s="175" t="s">
        <v>87</v>
      </c>
      <c r="B71" s="176"/>
      <c r="C71" s="176"/>
      <c r="D71" s="176"/>
      <c r="E71" s="176"/>
      <c r="F71" s="176"/>
      <c r="G71" s="56">
        <f>G70+G69</f>
        <v>83593.902500000011</v>
      </c>
      <c r="H71" s="57"/>
    </row>
    <row r="72" spans="1:13" ht="15.75" thickTop="1">
      <c r="A72" s="58" t="str">
        <f>" 1) Above Price are as per your quotation with ref "&amp;'PO 1st page'!K14</f>
        <v xml:space="preserve"> 1) Above Price are as per your quotation with ref QUO-MAT-26031014</v>
      </c>
      <c r="B72" s="59"/>
      <c r="C72" s="59"/>
      <c r="D72" s="60"/>
      <c r="E72" s="60"/>
      <c r="F72" s="60"/>
      <c r="G72" s="60"/>
      <c r="H72" s="60"/>
    </row>
    <row r="73" spans="1:13" ht="15">
      <c r="A73" s="61" t="s">
        <v>88</v>
      </c>
      <c r="B73" s="62"/>
      <c r="C73" s="62"/>
      <c r="D73" s="63"/>
      <c r="E73" s="63"/>
      <c r="F73" s="63"/>
      <c r="G73" s="63"/>
      <c r="H73" s="63"/>
      <c r="I73" s="64"/>
    </row>
    <row r="74" spans="1:13" ht="15.75">
      <c r="A74" s="65"/>
    </row>
    <row r="75" spans="1:13">
      <c r="A75" s="148" t="s">
        <v>89</v>
      </c>
      <c r="B75" s="148"/>
      <c r="C75" s="148"/>
      <c r="D75" s="148"/>
      <c r="E75" s="148"/>
      <c r="F75" s="148"/>
      <c r="G75" s="148"/>
      <c r="H75" s="148"/>
      <c r="I75" s="66"/>
      <c r="J75" s="66"/>
      <c r="K75" s="66"/>
      <c r="L75" s="66"/>
      <c r="M75" s="66"/>
    </row>
    <row r="76" spans="1:13" ht="15.75">
      <c r="A76" s="65"/>
      <c r="C76" s="67"/>
    </row>
    <row r="77" spans="1:13" ht="15.75">
      <c r="A77" s="65"/>
      <c r="C77" s="67"/>
    </row>
    <row r="79" spans="1:13" ht="12" customHeight="1"/>
  </sheetData>
  <mergeCells count="75">
    <mergeCell ref="A69:F69"/>
    <mergeCell ref="A70:F70"/>
    <mergeCell ref="A71:F71"/>
    <mergeCell ref="A75:H75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25:C25"/>
    <mergeCell ref="B29:C29"/>
    <mergeCell ref="B30:C30"/>
    <mergeCell ref="B11:C11"/>
    <mergeCell ref="B12:C12"/>
    <mergeCell ref="B26:C26"/>
    <mergeCell ref="B27:C27"/>
    <mergeCell ref="B28:C28"/>
    <mergeCell ref="B31:C31"/>
    <mergeCell ref="B32:C32"/>
    <mergeCell ref="B33:C33"/>
    <mergeCell ref="B34:C34"/>
    <mergeCell ref="B35:C35"/>
    <mergeCell ref="B36:C36"/>
    <mergeCell ref="B65:C65"/>
    <mergeCell ref="B66:C66"/>
    <mergeCell ref="B67:C67"/>
    <mergeCell ref="B68:C6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3:C63"/>
    <mergeCell ref="B64:C64"/>
    <mergeCell ref="B58:C58"/>
    <mergeCell ref="B59:C59"/>
    <mergeCell ref="B60:C60"/>
    <mergeCell ref="B61:C61"/>
    <mergeCell ref="B62:C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2026-04-22T15:17:18Z</cp:lastPrinted>
  <dcterms:created xsi:type="dcterms:W3CDTF">2024-10-20T11:50:19Z</dcterms:created>
  <dcterms:modified xsi:type="dcterms:W3CDTF">2026-04-22T15:17:22Z</dcterms:modified>
</cp:coreProperties>
</file>