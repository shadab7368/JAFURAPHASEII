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359B572-7DA6-49E8-85E2-E578C7C46F6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4" l="1"/>
  <c r="B8" i="4"/>
  <c r="B6" i="4"/>
  <c r="K59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<sst xmlns="http://schemas.openxmlformats.org/spreadsheetml/2006/main" count="154" uniqueCount="119">
  <si>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</si>
  <si>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</si>
  <si>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</si>
  <si>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</si>
  <si>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</si>
  <si>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</si>
  <si>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</si>
  <si>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</si>
  <si>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</si>
  <si>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</si>
  <si>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</si>
  <si>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</si>
  <si>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</si>
  <si>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</si>
  <si>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</si>
  <si>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</si>
  <si>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</si>
  <si>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</si>
  <si>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</si>
  <si>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</si>
  <si>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</si>
  <si>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</si>
  <si>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</si>
  <si>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</si>
  <si>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</si>
  <si>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</si>
  <si>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</si>
  <si>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</si>
  <si>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</si>
  <si>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</si>
  <si>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</si>
  <si>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</si>
  <si>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</si>
  <si>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</si>
  <si>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</si>
  <si>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</si>
  <si>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</si>
  <si>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</si>
  <si>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</si>
  <si>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</si>
  <si>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</si>
  <si>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</si>
  <si>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</si>
  <si>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</si>
  <si>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</si>
  <si>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</si>
  <si>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</si>
  <si>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</si>
  <si>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</si>
  <si>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</si>
  <si>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</si>
  <si>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</si>
  <si>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</si>
  <si>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</si>
  <si>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</si>
  <si>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</si>
  <si>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</si>
  <si>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</si>
  <si>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</si>
  <si>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</si>
  <si>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</si>
  <si>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</si>
  <si>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</si>
  <si>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</si>
  <si>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</si>
  <si>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</si>
  <si>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</si>
  <si>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</si>
  <si>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</si>
  <si>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</si>
  <si>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</si>
  <si>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</si>
  <si>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</si>
  <si>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</si>
  <si>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</si>
  <si>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</si>
  <si>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</si>
  <si>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</si>
  <si>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</si>
  <si>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</si>
  <si>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</si>
  <si>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</si>
  <si>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</si>
  <si>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</si>
  <si>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</si>
  <si>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</si>
  <si>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</si>
  <si>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</si>
  <si>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</si>
  <si>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</si>
  <si>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</si>
  <si>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</si>
  <si>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</si>
  <si>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</si>
  <si>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</si>
  <si>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</si>
  <si>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</si>
  <si>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</si>
  <si>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</si>
  <si>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</si>
  <si>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</si>
  <si>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</si>
  <si>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</si>
  <si>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</si>
  <si>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ALRWAD</t>
  </si>
  <si>
    <t>ALRWAD(Al Rwad Al Mohtarifeen Gen. Cont.Co.)</t>
  </si>
  <si>
    <t>2051058983</t>
  </si>
  <si>
    <t>310013749500003</t>
  </si>
  <si>
    <t>Murali Krishnan</t>
  </si>
  <si>
    <t>+966 (13) 8994996 / Email: info@rwad.org</t>
  </si>
  <si>
    <t>Building No. 6329, Al Shamaliyah Dist. 34429 Al Khobar, KSA</t>
  </si>
  <si>
    <t>Mobile :</t>
  </si>
  <si>
    <t>General 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</si>
  <si>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-MRS-0149</t>
    </r>
  </si>
  <si>
    <t>F.A.T. Allowance</t>
  </si>
  <si>
    <t>Food, Accommodation &amp; Transportation</t>
  </si>
  <si>
    <t>Daily</t>
  </si>
  <si>
    <t>HEC/QT/923782/Rev-01</t>
  </si>
  <si>
    <t>(Food, Accommodation &amp; Transportation)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</si>
</sst>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100</v>
      </c>
      <c r="B1" s="110"/>
      <c r="C1" s="110"/>
      <c r="D1" s="110"/>
      <c r="E1" s="110"/>
      <c r="F1" s="110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44" t="s">
        <v>99</v>
      </c>
      <c r="K2" s="145"/>
      <c r="L2" s="146"/>
    </row>
    <row r="3" spans="1:19" ht="20.100000000000001" customHeight="1">
      <c r="A3" s="3" t="s">
        <v>113</v>
      </c>
      <c r="B3" s="101"/>
      <c r="C3" s="101"/>
      <c r="D3" s="101"/>
      <c r="E3" s="147">
        <f>+L3</f>
        <v>45956</v>
      </c>
      <c r="F3" s="147"/>
      <c r="G3" s="147"/>
      <c r="H3" s="147"/>
      <c r="I3" s="147"/>
      <c r="J3" s="101"/>
      <c r="K3" s="101"/>
      <c r="L3" s="122">
        <v>45956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95</v>
      </c>
      <c r="J4" s="148" t="s">
        <v>96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30" t="s">
        <v>114</v>
      </c>
      <c r="C6" s="131"/>
      <c r="D6" s="132" t="s">
        <v>115</v>
      </c>
      <c r="E6" s="133"/>
      <c r="F6" s="134"/>
      <c r="G6" s="111" t="s">
        <v>116</v>
      </c>
      <c r="H6" s="112">
        <v>1</v>
      </c>
      <c r="I6" s="113">
        <v>130</v>
      </c>
      <c r="J6" s="113">
        <f>H6*I6</f>
        <v>130</v>
      </c>
      <c r="K6" s="114" t="s">
        <v>104</v>
      </c>
      <c r="L6" s="115" t="s">
        <v>101</v>
      </c>
      <c r="S6" s="106"/>
    </row>
    <row r="7" spans="1:19" ht="22.5" customHeight="1">
      <c r="A7" s="5">
        <f t="shared" si="0"/>
        <v>2</v>
      </c>
      <c r="B7" s="130"/>
      <c r="C7" s="131"/>
      <c r="D7" s="132"/>
      <c r="E7" s="133"/>
      <c r="F7" s="134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30"/>
      <c r="C8" s="131"/>
      <c r="D8" s="132"/>
      <c r="E8" s="133"/>
      <c r="F8" s="134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0"/>
      <c r="C9" s="131"/>
      <c r="D9" s="132"/>
      <c r="E9" s="133"/>
      <c r="F9" s="134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9"/>
      <c r="C10" s="139"/>
      <c r="D10" s="140"/>
      <c r="E10" s="140"/>
      <c r="F10" s="14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9"/>
      <c r="C12" s="139"/>
      <c r="D12" s="140"/>
      <c r="E12" s="140"/>
      <c r="F12" s="14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5" t="s">
        <v>8</v>
      </c>
      <c r="B16" s="13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130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SAC2-DS-MRS-0149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45956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F.A.T. Allowance</v>
      </c>
      <c r="C6" s="166"/>
      <c r="D6" s="167" t="str">
        <f>MRS!D6</f>
        <v>Food, Accommodation &amp; Transportation</v>
      </c>
      <c r="E6" s="168"/>
      <c r="F6" s="169"/>
      <c r="G6" s="103" t="str">
        <f>MRS!G6</f>
        <v>Daily</v>
      </c>
      <c r="H6" s="103">
        <f>MRS!H6</f>
        <v>1</v>
      </c>
      <c r="I6" s="104">
        <f>MRS!I6</f>
        <v>130</v>
      </c>
      <c r="J6" s="104">
        <f>MRS!J6</f>
        <v>130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2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B6" sqref="B6:C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105</v>
      </c>
      <c r="D9" s="39"/>
      <c r="E9" s="39"/>
    </row>
    <row r="10" spans="2:13" s="39" customFormat="1">
      <c r="B10" s="72"/>
      <c r="C10" s="39" t="s">
        <v>32</v>
      </c>
      <c r="D10" s="76" t="s">
        <v>106</v>
      </c>
      <c r="J10" s="39" t="s">
        <v>33</v>
      </c>
      <c r="K10" s="173">
        <f>MRS!L3</f>
        <v>45956</v>
      </c>
      <c r="L10" s="174"/>
      <c r="M10" s="174"/>
    </row>
    <row r="11" spans="2:13" s="39" customFormat="1">
      <c r="B11" s="72"/>
      <c r="C11" s="75" t="s">
        <v>34</v>
      </c>
      <c r="D11" s="76" t="s">
        <v>107</v>
      </c>
      <c r="J11" s="39" t="s">
        <v>35</v>
      </c>
      <c r="K11" s="175" t="str">
        <f>SUBSTITUTE(SUBSTITUTE(+MRS!A3,"  MRS No : ",""),"-MRS","-PO")</f>
        <v>SAC2-DS-PO-0149</v>
      </c>
      <c r="L11" s="175"/>
      <c r="M11" s="175"/>
    </row>
    <row r="12" spans="2:13" s="39" customFormat="1">
      <c r="B12" s="72"/>
      <c r="C12" s="75" t="s">
        <v>36</v>
      </c>
      <c r="D12" s="39" t="s">
        <v>108</v>
      </c>
      <c r="J12" s="39" t="s">
        <v>37</v>
      </c>
    </row>
    <row r="13" spans="2:13" s="39" customFormat="1">
      <c r="B13" s="72"/>
      <c r="C13" s="77"/>
      <c r="D13" s="76" t="s">
        <v>109</v>
      </c>
      <c r="J13" s="39" t="s">
        <v>38</v>
      </c>
    </row>
    <row r="14" spans="2:13" s="39" customFormat="1">
      <c r="B14" s="72"/>
      <c r="C14" s="77" t="s">
        <v>110</v>
      </c>
      <c r="J14" s="39" t="s">
        <v>39</v>
      </c>
      <c r="K14" s="39" t="s">
        <v>117</v>
      </c>
    </row>
    <row r="15" spans="2:13" s="39" customFormat="1">
      <c r="B15" s="72"/>
      <c r="C15" s="77" t="s">
        <v>111</v>
      </c>
      <c r="J15" s="39" t="s">
        <v>40</v>
      </c>
      <c r="K15" s="78">
        <v>45928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114</v>
      </c>
      <c r="M26" s="79" t="s">
        <v>46</v>
      </c>
    </row>
    <row r="27" spans="2:13" ht="12" customHeight="1">
      <c r="B27" s="32"/>
      <c r="C27" s="125" t="s">
        <v>118</v>
      </c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0" t="s">
        <v>101</v>
      </c>
      <c r="G29" s="180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0"/>
      <c r="G30" s="180"/>
    </row>
    <row r="31" spans="2:13" ht="15" customHeight="1">
      <c r="B31" s="32"/>
      <c r="C31" s="26" t="s">
        <v>51</v>
      </c>
      <c r="D31" s="35"/>
      <c r="E31" s="26" t="s">
        <v>49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93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Murali Krishnan</v>
      </c>
    </row>
    <row r="60" spans="1:16" ht="18" customHeight="1">
      <c r="B60" s="26" t="s">
        <v>71</v>
      </c>
      <c r="J60" s="26" t="s">
        <v>72</v>
      </c>
      <c r="K60" s="22" t="s">
        <v>112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102</v>
      </c>
      <c r="J62" s="181" t="str">
        <f>C9</f>
        <v>ALRWAD(Al Rwad Al Mohtarifeen Gen. Cont.Co.)</v>
      </c>
      <c r="K62" s="181"/>
      <c r="L62" s="181"/>
      <c r="M62" s="181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SAC2-DS-PO-0149</v>
      </c>
      <c r="C2" s="190" t="s">
        <v>77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45956</v>
      </c>
      <c r="C3" s="51"/>
      <c r="D3" s="52"/>
      <c r="E3" s="191" t="s">
        <v>79</v>
      </c>
      <c r="F3" s="191"/>
      <c r="G3" s="191"/>
      <c r="H3" s="191"/>
      <c r="I3" s="53"/>
    </row>
    <row r="4" spans="1:13" s="55" customFormat="1" ht="28.5" customHeight="1" thickTop="1">
      <c r="A4" s="192" t="s">
        <v>80</v>
      </c>
      <c r="B4" s="194" t="s">
        <v>81</v>
      </c>
      <c r="C4" s="195"/>
      <c r="D4" s="198" t="s">
        <v>82</v>
      </c>
      <c r="E4" s="198" t="s">
        <v>83</v>
      </c>
      <c r="F4" s="200" t="str">
        <f>'PO 1st page'!C9</f>
        <v>ALRWAD(Al Rwad Al Mohtarifeen Gen. Cont.Co.)</v>
      </c>
      <c r="G4" s="201"/>
      <c r="H4" s="202" t="s">
        <v>84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85</v>
      </c>
      <c r="G5" s="57" t="s">
        <v>51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8" t="str">
        <f>CONCATENATE(MRS!B6," ",MRS!D6)</f>
        <v>F.A.T. Allowance Food, Accommodation &amp; Transportation</v>
      </c>
      <c r="C6" s="189"/>
      <c r="D6" s="86" t="str">
        <f>+'MRS LIST'!G6</f>
        <v>Daily</v>
      </c>
      <c r="E6" s="87">
        <f>+'MRS LIST'!H6</f>
        <v>1</v>
      </c>
      <c r="F6" s="88">
        <f>+'MRS LIST'!I6</f>
        <v>130</v>
      </c>
      <c r="G6" s="89">
        <f>+'MRS LIST'!J6</f>
        <v>130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8" t="str">
        <f>CONCATENATE(MRS!B7," ",MRS!D7)</f>
        <v xml:space="preserve"> </v>
      </c>
      <c r="C7" s="18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8" t="str">
        <f>CONCATENATE(MRS!B8," ",MRS!D8)</f>
        <v xml:space="preserve"> </v>
      </c>
      <c r="C8" s="189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8"/>
      <c r="C9" s="189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8"/>
      <c r="C10" s="189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8"/>
      <c r="C11" s="189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86</v>
      </c>
      <c r="B18" s="183"/>
      <c r="C18" s="183"/>
      <c r="D18" s="183"/>
      <c r="E18" s="183"/>
      <c r="F18" s="183"/>
      <c r="G18" s="58">
        <f>SUM(G6:G17)</f>
        <v>130</v>
      </c>
      <c r="H18" s="59"/>
    </row>
    <row r="19" spans="1:13" s="55" customFormat="1" ht="23.1" customHeight="1">
      <c r="A19" s="182" t="s">
        <v>50</v>
      </c>
      <c r="B19" s="183"/>
      <c r="C19" s="183"/>
      <c r="D19" s="183"/>
      <c r="E19" s="183"/>
      <c r="F19" s="183"/>
      <c r="G19" s="58">
        <f>+G18*0.15</f>
        <v>19.5</v>
      </c>
      <c r="H19" s="59"/>
    </row>
    <row r="20" spans="1:13" s="55" customFormat="1" ht="24.95" customHeight="1" thickBot="1">
      <c r="A20" s="184" t="s">
        <v>87</v>
      </c>
      <c r="B20" s="185"/>
      <c r="C20" s="185"/>
      <c r="D20" s="185"/>
      <c r="E20" s="185"/>
      <c r="F20" s="185"/>
      <c r="G20" s="60">
        <f>G19+G18</f>
        <v>149.5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HEC/QT/923782/Rev-01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5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2025-10-26T05:41:13Z</cp:lastPrinted>
  <dcterms:created xsi:type="dcterms:W3CDTF">2024-10-20T11:50:19Z</dcterms:created>
  <dcterms:modified xsi:type="dcterms:W3CDTF">2025-10-26T05:41:18Z</dcterms:modified>
</cp:coreProperties>
</file>