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DFF9DA6-3FCC-4263-8BA9-2C9210D03C3C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4" l="1"/>
  <c r="F15" i="4"/>
  <c r="E15" i="4"/>
  <c r="D15" i="4"/>
  <c r="B15" i="4"/>
  <c r="A15" i="4"/>
  <c r="B14" i="4"/>
  <c r="B13" i="4"/>
  <c r="B12" i="4"/>
  <c r="B11" i="4"/>
  <c r="B10" i="4"/>
  <c r="B9" i="4"/>
  <c r="B8" i="4"/>
  <c r="B7" i="4"/>
  <c r="B6" i="4"/>
  <c r="I15" i="2"/>
  <c r="H15" i="2"/>
  <c r="G15" i="2"/>
  <c r="I14" i="2"/>
  <c r="H14" i="2"/>
  <c r="G14" i="2"/>
  <c r="D14" i="4" s="1"/>
  <c r="I13" i="2"/>
  <c r="F13" i="4" s="1"/>
  <c r="H13" i="2"/>
  <c r="G13" i="2"/>
  <c r="D13" i="4" s="1"/>
  <c r="I12" i="2"/>
  <c r="F12" i="4" s="1"/>
  <c r="H12" i="2"/>
  <c r="E12" i="4" s="1"/>
  <c r="G12" i="2"/>
  <c r="D12" i="4" s="1"/>
  <c r="I11" i="2"/>
  <c r="F11" i="4" s="1"/>
  <c r="H11" i="2"/>
  <c r="E11" i="4" s="1"/>
  <c r="G11" i="2"/>
  <c r="D11" i="4" s="1"/>
  <c r="I10" i="2"/>
  <c r="F10" i="4" s="1"/>
  <c r="H10" i="2"/>
  <c r="E10" i="4" s="1"/>
  <c r="G10" i="2"/>
  <c r="D10" i="4" s="1"/>
  <c r="I9" i="2"/>
  <c r="F9" i="4" s="1"/>
  <c r="H9" i="2"/>
  <c r="E9" i="4" s="1"/>
  <c r="G9" i="2"/>
  <c r="D9" i="4" s="1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F14" i="4"/>
  <c r="E14" i="4"/>
  <c r="E13" i="4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J7" i="1"/>
  <c r="J7" i="2" s="1"/>
  <c r="J6" i="1"/>
  <c r="J6" i="2" s="1"/>
  <c r="J16" i="1" l="1"/>
  <c r="F8" i="4"/>
  <c r="E8" i="4"/>
  <c r="D8" i="4"/>
  <c r="G8" i="4"/>
  <c r="K67" i="3"/>
  <c r="E3" i="1"/>
  <c r="E7" i="4"/>
  <c r="D7" i="4"/>
  <c r="K10" i="3" l="1"/>
  <c r="A25" i="4" l="1"/>
  <c r="G7" i="4"/>
  <c r="F7" i="4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<sst xmlns="http://schemas.openxmlformats.org/spreadsheetml/2006/main" count="183" uniqueCount="138">
  <si>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</si>
  <si>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</si>
  <si>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</si>
  <si>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</si>
  <si>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</si>
  <si>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</si>
  <si>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</si>
  <si>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</si>
  <si>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</si>
  <si>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</si>
  <si>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</si>
  <si>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</si>
  <si>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</si>
  <si>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</si>
  <si>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</si>
  <si>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</si>
  <si>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</si>
  <si>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</si>
  <si>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</si>
  <si>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</si>
  <si>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</si>
  <si>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</si>
  <si>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</si>
  <si>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</si>
  <si>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</si>
  <si>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</si>
  <si>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</si>
  <si>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</si>
  <si>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</si>
  <si>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</si>
  <si>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</si>
  <si>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</si>
  <si>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</si>
  <si>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</si>
  <si>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</si>
  <si>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</si>
  <si>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</si>
  <si>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</si>
  <si>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</si>
  <si>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</si>
  <si>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</si>
  <si>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</si>
  <si>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</si>
  <si>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</si>
  <si>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</si>
  <si>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</si>
  <si>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</si>
  <si>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</si>
  <si>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</si>
  <si>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</si>
  <si>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</si>
  <si>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</si>
  <si>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</si>
  <si>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</si>
  <si>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</si>
  <si>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</si>
  <si>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</si>
  <si>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</si>
  <si>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</si>
  <si>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</si>
  <si>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</si>
  <si>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</si>
  <si>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</si>
  <si>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</si>
  <si>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</si>
  <si>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</si>
  <si>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</si>
  <si>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</si>
  <si>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</si>
  <si>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</si>
  <si>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</si>
  <si>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</si>
  <si>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</si>
  <si>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</si>
  <si>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</si>
  <si>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</si>
  <si>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</si>
  <si>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</si>
  <si>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</si>
  <si>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</si>
  <si>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</si>
  <si>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</si>
  <si>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</si>
  <si>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</si>
  <si>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</si>
  <si>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</si>
  <si>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</si>
  <si>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</si>
  <si>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</si>
  <si>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</si>
  <si>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</si>
  <si>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</si>
  <si>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</si>
  <si>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</si>
  <si>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</si>
  <si>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</si>
  <si>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</si>
  <si>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</si>
  <si>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</si>
  <si>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</si>
  <si>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</si>
  <si>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</si>
  <si>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</si>
  <si>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</si>
  <si>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</si>
  <si>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</si>
  <si>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</si>
  <si>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</si>
  <si>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</si>
  <si>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</si>
  <si>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-MRS-0163</t>
    </r>
  </si>
  <si>
    <t>ST-50.3 2.4*1000*5 PVC ER70S-3 2.4mm Korea</t>
  </si>
  <si>
    <t>Welding Rod</t>
  </si>
  <si>
    <t xml:space="preserve">S-7018.1H 3.2*350 VAC (5KG*4) E7018 H4R E7018-1 H4R Korea </t>
  </si>
  <si>
    <t>ST-316L 2.4*1000*5 PVC ER316L Korea</t>
  </si>
  <si>
    <t>Kg</t>
  </si>
  <si>
    <t>S-316L.16N 2.6*300 PVC (2.5KG*4) E316L-16 Korea</t>
  </si>
  <si>
    <t>ST-1N 2.4*1000*5 PVC ER80S-Ni1 Korea</t>
  </si>
  <si>
    <t>S-8018.C3 2.6*350 VAC (5KG*4) E8018-C3 Korea</t>
  </si>
  <si>
    <t>S-8018.C3 3.2*350 VAC (5KG*4) E8018-C3 Korea</t>
  </si>
  <si>
    <t>SMT-625 2.4*1000*5 PVC ERNiCrMo-3 Korea</t>
  </si>
  <si>
    <t>SR-625 3.2*350 PVC (2.5KG*4) ENiCrMo-3 Korea</t>
  </si>
  <si>
    <t>ST309L 2.4*1000*5 PVC ER309L Korea</t>
  </si>
  <si>
    <t>Q-20253181</t>
  </si>
  <si>
    <t>Bank Account Details:</t>
  </si>
  <si>
    <t>JASSIM SAIF AMER ALJABERI TRADING EST.</t>
  </si>
  <si>
    <t>95400006184205</t>
  </si>
  <si>
    <t>SA9610000095400006184205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</si>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</sst>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4" fillId="3" borderId="0" xfId="5" applyFont="1" applyFill="1" applyBorder="1"/>
    <xf numFmtId="0" fontId="18" fillId="3" borderId="0" xfId="5" applyFont="1" applyFill="1" applyBorder="1"/>
    <xf numFmtId="0" fontId="21" fillId="3" borderId="46" xfId="5" applyFont="1" applyFill="1" applyBorder="1"/>
    <xf numFmtId="0" fontId="18" fillId="3" borderId="46" xfId="5" applyFont="1" applyFill="1" applyBorder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J16" sqref="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53" t="s">
        <v>87</v>
      </c>
      <c r="K1" s="154"/>
      <c r="L1" s="155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6" t="s">
        <v>94</v>
      </c>
      <c r="K2" s="157"/>
      <c r="L2" s="158"/>
    </row>
    <row r="3" spans="1:18" ht="20.100000000000001" customHeight="1">
      <c r="A3" s="3" t="s">
        <v>110</v>
      </c>
      <c r="B3" s="93"/>
      <c r="C3" s="93"/>
      <c r="D3" s="93"/>
      <c r="E3" s="159">
        <f>+L3</f>
        <v>45984</v>
      </c>
      <c r="F3" s="159"/>
      <c r="G3" s="159"/>
      <c r="H3" s="159"/>
      <c r="I3" s="159"/>
      <c r="J3" s="93"/>
      <c r="K3" s="93"/>
      <c r="L3" s="105">
        <v>45984</v>
      </c>
      <c r="M3" s="4"/>
    </row>
    <row r="4" spans="1:18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91</v>
      </c>
      <c r="J4" s="141" t="s">
        <v>92</v>
      </c>
      <c r="K4" s="151" t="s">
        <v>0</v>
      </c>
      <c r="L4" s="142" t="s">
        <v>7</v>
      </c>
    </row>
    <row r="5" spans="1:18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8" ht="23.25" customHeight="1">
      <c r="A6" s="5">
        <f t="shared" ref="A6:A15" si="0">ROW(A1)</f>
        <v>1</v>
      </c>
      <c r="B6" s="136" t="s">
        <v>112</v>
      </c>
      <c r="C6" s="137"/>
      <c r="D6" s="138" t="s">
        <v>111</v>
      </c>
      <c r="E6" s="139"/>
      <c r="F6" s="140"/>
      <c r="G6" s="112" t="s">
        <v>115</v>
      </c>
      <c r="H6" s="112">
        <v>3000</v>
      </c>
      <c r="I6" s="113">
        <v>16.3</v>
      </c>
      <c r="J6" s="100">
        <f>H6*I6</f>
        <v>48900</v>
      </c>
      <c r="K6" s="101" t="s">
        <v>98</v>
      </c>
      <c r="L6" s="102" t="s">
        <v>106</v>
      </c>
      <c r="R6" s="98"/>
    </row>
    <row r="7" spans="1:18" ht="23.25" customHeight="1">
      <c r="A7" s="5">
        <f t="shared" si="0"/>
        <v>2</v>
      </c>
      <c r="B7" s="136" t="s">
        <v>112</v>
      </c>
      <c r="C7" s="137"/>
      <c r="D7" s="138" t="s">
        <v>113</v>
      </c>
      <c r="E7" s="139"/>
      <c r="F7" s="140"/>
      <c r="G7" s="112" t="s">
        <v>115</v>
      </c>
      <c r="H7" s="112">
        <v>2000</v>
      </c>
      <c r="I7" s="113">
        <v>16.3</v>
      </c>
      <c r="J7" s="100">
        <f t="shared" ref="J7:J15" si="1">H7*I7</f>
        <v>32600</v>
      </c>
      <c r="K7" s="101"/>
      <c r="L7" s="102"/>
      <c r="R7" s="98"/>
    </row>
    <row r="8" spans="1:18" ht="23.25" customHeight="1">
      <c r="A8" s="5">
        <f t="shared" si="0"/>
        <v>3</v>
      </c>
      <c r="B8" s="136" t="s">
        <v>112</v>
      </c>
      <c r="C8" s="137"/>
      <c r="D8" s="138" t="s">
        <v>114</v>
      </c>
      <c r="E8" s="139"/>
      <c r="F8" s="140"/>
      <c r="G8" s="112" t="s">
        <v>115</v>
      </c>
      <c r="H8" s="112">
        <v>500</v>
      </c>
      <c r="I8" s="113">
        <v>80</v>
      </c>
      <c r="J8" s="100">
        <f t="shared" si="1"/>
        <v>40000</v>
      </c>
      <c r="K8" s="101"/>
      <c r="L8" s="102"/>
      <c r="R8" s="98"/>
    </row>
    <row r="9" spans="1:18" ht="23.25" customHeight="1">
      <c r="A9" s="5">
        <f t="shared" si="0"/>
        <v>4</v>
      </c>
      <c r="B9" s="136" t="s">
        <v>112</v>
      </c>
      <c r="C9" s="137"/>
      <c r="D9" s="138" t="s">
        <v>116</v>
      </c>
      <c r="E9" s="139"/>
      <c r="F9" s="140"/>
      <c r="G9" s="112" t="s">
        <v>115</v>
      </c>
      <c r="H9" s="112">
        <v>500</v>
      </c>
      <c r="I9" s="113">
        <v>74.5</v>
      </c>
      <c r="J9" s="100">
        <f t="shared" si="1"/>
        <v>37250</v>
      </c>
      <c r="K9" s="101"/>
      <c r="L9" s="102"/>
      <c r="R9" s="98"/>
    </row>
    <row r="10" spans="1:18" ht="23.25" customHeight="1">
      <c r="A10" s="5">
        <f t="shared" si="0"/>
        <v>5</v>
      </c>
      <c r="B10" s="136" t="s">
        <v>112</v>
      </c>
      <c r="C10" s="137"/>
      <c r="D10" s="138" t="s">
        <v>117</v>
      </c>
      <c r="E10" s="139"/>
      <c r="F10" s="140"/>
      <c r="G10" s="112" t="s">
        <v>115</v>
      </c>
      <c r="H10" s="112">
        <v>500</v>
      </c>
      <c r="I10" s="113">
        <v>27.8</v>
      </c>
      <c r="J10" s="100">
        <f t="shared" si="1"/>
        <v>13900</v>
      </c>
      <c r="K10" s="101"/>
      <c r="L10" s="102"/>
      <c r="R10" s="98"/>
    </row>
    <row r="11" spans="1:18" ht="23.25" customHeight="1">
      <c r="A11" s="5">
        <f t="shared" si="0"/>
        <v>6</v>
      </c>
      <c r="B11" s="136" t="s">
        <v>112</v>
      </c>
      <c r="C11" s="137"/>
      <c r="D11" s="138" t="s">
        <v>118</v>
      </c>
      <c r="E11" s="139"/>
      <c r="F11" s="140"/>
      <c r="G11" s="112" t="s">
        <v>115</v>
      </c>
      <c r="H11" s="112">
        <v>300</v>
      </c>
      <c r="I11" s="113">
        <v>26</v>
      </c>
      <c r="J11" s="100">
        <f t="shared" si="1"/>
        <v>7800</v>
      </c>
      <c r="K11" s="101"/>
      <c r="L11" s="102"/>
      <c r="R11" s="98"/>
    </row>
    <row r="12" spans="1:18" ht="23.25" customHeight="1">
      <c r="A12" s="5">
        <f t="shared" si="0"/>
        <v>7</v>
      </c>
      <c r="B12" s="136" t="s">
        <v>112</v>
      </c>
      <c r="C12" s="137"/>
      <c r="D12" s="138" t="s">
        <v>119</v>
      </c>
      <c r="E12" s="139"/>
      <c r="F12" s="140"/>
      <c r="G12" s="112" t="s">
        <v>115</v>
      </c>
      <c r="H12" s="112">
        <v>300</v>
      </c>
      <c r="I12" s="113">
        <v>25</v>
      </c>
      <c r="J12" s="100">
        <f t="shared" si="1"/>
        <v>7500</v>
      </c>
      <c r="K12" s="101"/>
      <c r="L12" s="102"/>
      <c r="R12" s="98"/>
    </row>
    <row r="13" spans="1:18" ht="23.25" customHeight="1">
      <c r="A13" s="5">
        <f t="shared" si="0"/>
        <v>8</v>
      </c>
      <c r="B13" s="136" t="s">
        <v>112</v>
      </c>
      <c r="C13" s="137"/>
      <c r="D13" s="138" t="s">
        <v>120</v>
      </c>
      <c r="E13" s="139"/>
      <c r="F13" s="140"/>
      <c r="G13" s="112" t="s">
        <v>115</v>
      </c>
      <c r="H13" s="112">
        <v>50</v>
      </c>
      <c r="I13" s="113">
        <v>297</v>
      </c>
      <c r="J13" s="100">
        <f t="shared" si="1"/>
        <v>14850</v>
      </c>
      <c r="K13" s="101"/>
      <c r="L13" s="102"/>
      <c r="R13" s="98"/>
    </row>
    <row r="14" spans="1:18" ht="23.25" customHeight="1">
      <c r="A14" s="5">
        <f t="shared" si="0"/>
        <v>9</v>
      </c>
      <c r="B14" s="136" t="s">
        <v>112</v>
      </c>
      <c r="C14" s="137"/>
      <c r="D14" s="138" t="s">
        <v>121</v>
      </c>
      <c r="E14" s="139"/>
      <c r="F14" s="140"/>
      <c r="G14" s="112" t="s">
        <v>115</v>
      </c>
      <c r="H14" s="112">
        <v>50</v>
      </c>
      <c r="I14" s="113">
        <v>280</v>
      </c>
      <c r="J14" s="100">
        <f t="shared" si="1"/>
        <v>14000</v>
      </c>
      <c r="K14" s="101"/>
      <c r="L14" s="102"/>
      <c r="R14" s="98"/>
    </row>
    <row r="15" spans="1:18" ht="23.25" customHeight="1">
      <c r="A15" s="5">
        <f t="shared" si="0"/>
        <v>10</v>
      </c>
      <c r="B15" s="136" t="s">
        <v>112</v>
      </c>
      <c r="C15" s="137"/>
      <c r="D15" s="138" t="s">
        <v>122</v>
      </c>
      <c r="E15" s="139"/>
      <c r="F15" s="140"/>
      <c r="G15" s="112" t="s">
        <v>115</v>
      </c>
      <c r="H15" s="112">
        <v>300</v>
      </c>
      <c r="I15" s="113">
        <v>81</v>
      </c>
      <c r="J15" s="100">
        <f t="shared" si="1"/>
        <v>24300</v>
      </c>
      <c r="K15" s="101"/>
      <c r="L15" s="102"/>
      <c r="R15" s="98"/>
    </row>
    <row r="16" spans="1:18" ht="23.25" customHeight="1">
      <c r="A16" s="132" t="s">
        <v>8</v>
      </c>
      <c r="B16" s="133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241100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4" t="s">
        <v>11</v>
      </c>
      <c r="S18" s="13" t="s">
        <v>12</v>
      </c>
    </row>
    <row r="19" spans="1:19" ht="50.1" customHeight="1">
      <c r="R19" s="135"/>
      <c r="S19" s="15"/>
    </row>
    <row r="20" spans="1:19" ht="17.100000000000001" customHeight="1">
      <c r="O20" s="11"/>
      <c r="P20" s="11"/>
      <c r="R20" s="129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30"/>
      <c r="R22" s="134" t="s">
        <v>17</v>
      </c>
      <c r="S22" s="12" t="s">
        <v>12</v>
      </c>
    </row>
    <row r="23" spans="1:19" ht="50.1" customHeight="1">
      <c r="O23" s="14"/>
      <c r="P23" s="14"/>
      <c r="R23" s="135"/>
      <c r="S23" s="19"/>
    </row>
    <row r="24" spans="1:19" ht="17.100000000000001" customHeight="1">
      <c r="O24" s="16" t="s">
        <v>13</v>
      </c>
      <c r="P24" s="16" t="s">
        <v>13</v>
      </c>
      <c r="R24" s="12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30"/>
      <c r="P47" s="130"/>
      <c r="S47" s="12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30"/>
      <c r="P51" s="130"/>
      <c r="S51" s="129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53" t="str">
        <f>+MRS!J1</f>
        <v>DAESHIN PLANT</v>
      </c>
      <c r="K1" s="155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6" t="str">
        <f>+MRS!J2</f>
        <v>Subcontract name (SAC2-SC-IK-SMP-01)</v>
      </c>
      <c r="K2" s="158"/>
    </row>
    <row r="3" spans="1:18" ht="24.95" customHeight="1">
      <c r="A3" s="3" t="str">
        <f>+MRS!A3</f>
        <v xml:space="preserve">  MRS No : SAC2-DS-MRS-0163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45984</v>
      </c>
    </row>
    <row r="4" spans="1:18" ht="15.95" customHeight="1">
      <c r="A4" s="165" t="s">
        <v>2</v>
      </c>
      <c r="B4" s="166" t="s">
        <v>20</v>
      </c>
      <c r="C4" s="166"/>
      <c r="D4" s="165" t="s">
        <v>4</v>
      </c>
      <c r="E4" s="165"/>
      <c r="F4" s="165"/>
      <c r="G4" s="166" t="s">
        <v>5</v>
      </c>
      <c r="H4" s="165" t="s">
        <v>88</v>
      </c>
      <c r="I4" s="165" t="s">
        <v>21</v>
      </c>
      <c r="J4" s="165" t="s">
        <v>22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21">
        <f>+MRS!A6</f>
        <v>1</v>
      </c>
      <c r="B6" s="160" t="str">
        <f>MRS!B6</f>
        <v>Welding Rod</v>
      </c>
      <c r="C6" s="161"/>
      <c r="D6" s="162" t="str">
        <f>MRS!D6</f>
        <v>ST-50.3 2.4*1000*5 PVC ER70S-3 2.4mm Korea</v>
      </c>
      <c r="E6" s="163"/>
      <c r="F6" s="164"/>
      <c r="G6" s="95" t="str">
        <f>MRS!G6</f>
        <v>Kg</v>
      </c>
      <c r="H6" s="95">
        <f>MRS!H6</f>
        <v>3000</v>
      </c>
      <c r="I6" s="96">
        <f>MRS!I6</f>
        <v>16.3</v>
      </c>
      <c r="J6" s="96">
        <f>MRS!J6</f>
        <v>48900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0" t="str">
        <f>MRS!B7</f>
        <v>Welding Rod</v>
      </c>
      <c r="C7" s="161"/>
      <c r="D7" s="162" t="str">
        <f>MRS!D7</f>
        <v xml:space="preserve">S-7018.1H 3.2*350 VAC (5KG*4) E7018 H4R E7018-1 H4R Korea </v>
      </c>
      <c r="E7" s="163"/>
      <c r="F7" s="164"/>
      <c r="G7" s="95" t="str">
        <f>MRS!G7</f>
        <v>Kg</v>
      </c>
      <c r="H7" s="95">
        <f>MRS!H7</f>
        <v>2000</v>
      </c>
      <c r="I7" s="96">
        <f>MRS!I7</f>
        <v>16.3</v>
      </c>
      <c r="J7" s="96">
        <f>MRS!J7</f>
        <v>32600</v>
      </c>
      <c r="K7" s="97"/>
      <c r="O7" s="98"/>
      <c r="P7" s="98"/>
      <c r="R7" s="98"/>
    </row>
    <row r="8" spans="1:18" ht="105" customHeight="1">
      <c r="A8" s="21">
        <f>+MRS!A8</f>
        <v>3</v>
      </c>
      <c r="B8" s="160" t="str">
        <f>MRS!B8</f>
        <v>Welding Rod</v>
      </c>
      <c r="C8" s="161"/>
      <c r="D8" s="162" t="str">
        <f>MRS!D8</f>
        <v>ST-316L 2.4*1000*5 PVC ER316L Korea</v>
      </c>
      <c r="E8" s="163"/>
      <c r="F8" s="164"/>
      <c r="G8" s="95" t="str">
        <f>MRS!G8</f>
        <v>Kg</v>
      </c>
      <c r="H8" s="95">
        <f>MRS!H8</f>
        <v>500</v>
      </c>
      <c r="I8" s="96">
        <f>MRS!I8</f>
        <v>80</v>
      </c>
      <c r="J8" s="96">
        <f>MRS!J8</f>
        <v>40000</v>
      </c>
      <c r="K8" s="97"/>
      <c r="O8" s="98"/>
      <c r="P8" s="98"/>
      <c r="R8" s="98"/>
    </row>
    <row r="9" spans="1:18" ht="105" customHeight="1">
      <c r="A9" s="21">
        <f>+MRS!A9</f>
        <v>4</v>
      </c>
      <c r="B9" s="160" t="str">
        <f>MRS!B9</f>
        <v>Welding Rod</v>
      </c>
      <c r="C9" s="161"/>
      <c r="D9" s="162" t="str">
        <f>MRS!D9</f>
        <v>S-316L.16N 2.6*300 PVC (2.5KG*4) E316L-16 Korea</v>
      </c>
      <c r="E9" s="163"/>
      <c r="F9" s="164"/>
      <c r="G9" s="95" t="str">
        <f>MRS!G9</f>
        <v>Kg</v>
      </c>
      <c r="H9" s="95">
        <f>MRS!H9</f>
        <v>500</v>
      </c>
      <c r="I9" s="96">
        <f>MRS!I9</f>
        <v>74.5</v>
      </c>
      <c r="J9" s="96">
        <f>MRS!J9</f>
        <v>37250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0" t="str">
        <f>MRS!B10</f>
        <v>Welding Rod</v>
      </c>
      <c r="C10" s="161"/>
      <c r="D10" s="162" t="str">
        <f>MRS!D10</f>
        <v>ST-1N 2.4*1000*5 PVC ER80S-Ni1 Korea</v>
      </c>
      <c r="E10" s="163"/>
      <c r="F10" s="164"/>
      <c r="G10" s="95" t="str">
        <f>MRS!G10</f>
        <v>Kg</v>
      </c>
      <c r="H10" s="95">
        <f>MRS!H10</f>
        <v>500</v>
      </c>
      <c r="I10" s="96">
        <f>MRS!I10</f>
        <v>27.8</v>
      </c>
      <c r="J10" s="96">
        <f>MRS!J10</f>
        <v>13900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0" t="str">
        <f>MRS!B11</f>
        <v>Welding Rod</v>
      </c>
      <c r="C11" s="161"/>
      <c r="D11" s="162" t="str">
        <f>MRS!D11</f>
        <v>S-8018.C3 2.6*350 VAC (5KG*4) E8018-C3 Korea</v>
      </c>
      <c r="E11" s="163"/>
      <c r="F11" s="164"/>
      <c r="G11" s="95" t="str">
        <f>MRS!G11</f>
        <v>Kg</v>
      </c>
      <c r="H11" s="95">
        <f>MRS!H11</f>
        <v>300</v>
      </c>
      <c r="I11" s="96">
        <f>MRS!I11</f>
        <v>26</v>
      </c>
      <c r="J11" s="96">
        <f>MRS!J11</f>
        <v>7800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0" t="str">
        <f>MRS!B12</f>
        <v>Welding Rod</v>
      </c>
      <c r="C12" s="161"/>
      <c r="D12" s="162" t="str">
        <f>MRS!D12</f>
        <v>S-8018.C3 3.2*350 VAC (5KG*4) E8018-C3 Korea</v>
      </c>
      <c r="E12" s="163"/>
      <c r="F12" s="164"/>
      <c r="G12" s="95" t="str">
        <f>MRS!G12</f>
        <v>Kg</v>
      </c>
      <c r="H12" s="95">
        <f>MRS!H12</f>
        <v>300</v>
      </c>
      <c r="I12" s="96">
        <f>MRS!I12</f>
        <v>25</v>
      </c>
      <c r="J12" s="96">
        <f>MRS!J12</f>
        <v>7500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0" t="str">
        <f>MRS!B13</f>
        <v>Welding Rod</v>
      </c>
      <c r="C13" s="161"/>
      <c r="D13" s="162" t="str">
        <f>MRS!D13</f>
        <v>SMT-625 2.4*1000*5 PVC ERNiCrMo-3 Korea</v>
      </c>
      <c r="E13" s="163"/>
      <c r="F13" s="164"/>
      <c r="G13" s="95" t="str">
        <f>MRS!G13</f>
        <v>Kg</v>
      </c>
      <c r="H13" s="95">
        <f>MRS!H13</f>
        <v>50</v>
      </c>
      <c r="I13" s="96">
        <f>MRS!I13</f>
        <v>297</v>
      </c>
      <c r="J13" s="96">
        <f>MRS!J13</f>
        <v>14850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0" t="str">
        <f>MRS!B14</f>
        <v>Welding Rod</v>
      </c>
      <c r="C14" s="161"/>
      <c r="D14" s="162" t="str">
        <f>MRS!D14</f>
        <v>SR-625 3.2*350 PVC (2.5KG*4) ENiCrMo-3 Korea</v>
      </c>
      <c r="E14" s="163"/>
      <c r="F14" s="164"/>
      <c r="G14" s="95" t="str">
        <f>MRS!G14</f>
        <v>Kg</v>
      </c>
      <c r="H14" s="95">
        <f>MRS!H14</f>
        <v>50</v>
      </c>
      <c r="I14" s="96">
        <f>MRS!I14</f>
        <v>280</v>
      </c>
      <c r="J14" s="96">
        <f>MRS!J14</f>
        <v>14000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0" t="str">
        <f>MRS!B15</f>
        <v>Welding Rod</v>
      </c>
      <c r="C15" s="161"/>
      <c r="D15" s="162" t="str">
        <f>MRS!D15</f>
        <v>ST309L 2.4*1000*5 PVC ER309L Korea</v>
      </c>
      <c r="E15" s="163"/>
      <c r="F15" s="164"/>
      <c r="G15" s="95" t="str">
        <f>MRS!G15</f>
        <v>Kg</v>
      </c>
      <c r="H15" s="95">
        <f>MRS!H15</f>
        <v>300</v>
      </c>
      <c r="I15" s="96">
        <f>MRS!I15</f>
        <v>81</v>
      </c>
      <c r="J15" s="96">
        <f>MRS!J15</f>
        <v>24300</v>
      </c>
      <c r="K15" s="97"/>
      <c r="O15" s="98"/>
      <c r="P15" s="98"/>
      <c r="R15" s="98"/>
    </row>
    <row r="16" spans="1:18" ht="105" customHeight="1">
      <c r="A16" s="21"/>
      <c r="B16" s="160"/>
      <c r="C16" s="161"/>
      <c r="D16" s="162"/>
      <c r="E16" s="163"/>
      <c r="F16" s="164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0"/>
      <c r="C17" s="161"/>
      <c r="D17" s="162"/>
      <c r="E17" s="163"/>
      <c r="F17" s="164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0"/>
      <c r="C18" s="161"/>
      <c r="D18" s="162"/>
      <c r="E18" s="163"/>
      <c r="F18" s="164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0"/>
      <c r="C19" s="161"/>
      <c r="D19" s="162"/>
      <c r="E19" s="163"/>
      <c r="F19" s="164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0"/>
      <c r="C20" s="161"/>
      <c r="D20" s="162"/>
      <c r="E20" s="163"/>
      <c r="F20" s="164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0"/>
      <c r="C21" s="161"/>
      <c r="D21" s="162"/>
      <c r="E21" s="163"/>
      <c r="F21" s="164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3" zoomScale="130" zoomScaleNormal="100" zoomScaleSheetLayoutView="130" workbookViewId="0">
      <selection activeCell="I65" sqref="I6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0">
        <f>MRS!L3</f>
        <v>45984</v>
      </c>
      <c r="L10" s="121"/>
      <c r="M10" s="121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2" t="str">
        <f>SUBSTITUTE(SUBSTITUTE(+MRS!A3,"  MRS No : ",""),"-MRS","-PO")</f>
        <v>SAC2-DS-PO-0163</v>
      </c>
      <c r="L11" s="122"/>
      <c r="M11" s="122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123</v>
      </c>
    </row>
    <row r="15" spans="2:13" s="38" customFormat="1">
      <c r="B15" s="69"/>
      <c r="C15" s="72" t="s">
        <v>104</v>
      </c>
      <c r="J15" s="38" t="s">
        <v>37</v>
      </c>
      <c r="K15" s="75">
        <v>45983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3" t="s">
        <v>38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</row>
    <row r="19" spans="2:13" ht="12" customHeight="1"/>
    <row r="20" spans="2:13" s="31" customFormat="1" ht="12" customHeight="1">
      <c r="B20" s="124" t="s">
        <v>39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</row>
    <row r="21" spans="2:13" s="31" customFormat="1" ht="12" customHeight="1">
      <c r="B21" s="124" t="s">
        <v>40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</row>
    <row r="22" spans="2:13" s="31" customFormat="1" ht="12" customHeight="1">
      <c r="B22" s="124" t="s">
        <v>41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</row>
    <row r="23" spans="2:13" ht="3.75" customHeight="1"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</row>
    <row r="24" spans="2:13" ht="6.95" customHeight="1"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112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241100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36165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277265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124</v>
      </c>
    </row>
    <row r="54" spans="2:16" ht="12" customHeight="1">
      <c r="B54" s="81" t="s">
        <v>62</v>
      </c>
      <c r="C54" s="117" t="s">
        <v>131</v>
      </c>
      <c r="F54" s="26" t="s">
        <v>125</v>
      </c>
    </row>
    <row r="55" spans="2:16" ht="12" customHeight="1">
      <c r="B55" s="81" t="s">
        <v>62</v>
      </c>
      <c r="C55" s="117" t="s">
        <v>132</v>
      </c>
      <c r="F55" s="118" t="s">
        <v>126</v>
      </c>
    </row>
    <row r="56" spans="2:16" ht="12" customHeight="1">
      <c r="B56" s="81" t="s">
        <v>62</v>
      </c>
      <c r="C56" s="117" t="s">
        <v>133</v>
      </c>
      <c r="F56" s="26" t="s">
        <v>127</v>
      </c>
    </row>
    <row r="57" spans="2:16" ht="12" customHeight="1">
      <c r="B57" s="81" t="s">
        <v>62</v>
      </c>
      <c r="C57" s="117" t="s">
        <v>134</v>
      </c>
      <c r="F57" s="26" t="s">
        <v>128</v>
      </c>
    </row>
    <row r="58" spans="2:16" ht="12" customHeight="1">
      <c r="B58" s="81" t="s">
        <v>62</v>
      </c>
      <c r="C58" s="117" t="s">
        <v>135</v>
      </c>
      <c r="F58" s="26" t="s">
        <v>129</v>
      </c>
    </row>
    <row r="59" spans="2:16" ht="12" customHeight="1">
      <c r="B59" s="81" t="s">
        <v>62</v>
      </c>
      <c r="C59" s="117" t="s">
        <v>136</v>
      </c>
      <c r="F59" s="26" t="s">
        <v>130</v>
      </c>
    </row>
    <row r="60" spans="2:16" ht="12" customHeight="1">
      <c r="B60" s="81"/>
      <c r="C60" s="187" t="s">
        <v>137</v>
      </c>
    </row>
    <row r="61" spans="2:16" ht="6.75" customHeight="1">
      <c r="B61" s="81"/>
      <c r="C61" s="187"/>
      <c r="D61" s="188"/>
      <c r="E61" s="188"/>
      <c r="F61" s="188"/>
      <c r="G61" s="188"/>
      <c r="H61" s="188"/>
      <c r="I61" s="188"/>
      <c r="J61" s="188"/>
      <c r="K61" s="188"/>
      <c r="L61" s="188"/>
      <c r="M61" s="188"/>
    </row>
    <row r="62" spans="2:16" ht="6" customHeight="1">
      <c r="B62" s="189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7" t="str">
        <f>C9</f>
        <v>JSAJ(Jassim Saif Amer Aljaberi Trading Est.)</v>
      </c>
      <c r="K70" s="127"/>
      <c r="L70" s="127"/>
      <c r="M70" s="127"/>
    </row>
    <row r="71" spans="1:13" ht="27.95" customHeight="1">
      <c r="A71" s="119" t="s">
        <v>72</v>
      </c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topLeftCell="A13" zoomScaleSheetLayoutView="100" zoomScalePageLayoutView="55" workbookViewId="0">
      <selection activeCell="F21" sqref="F21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SAC2-DS-PO-0163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45984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JSAJ(Jassim Saif Amer Aljaberi Trading Est.)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1" t="str">
        <f>MRS!B6&amp;" "&amp;MRS!D6</f>
        <v>Welding Rod ST-50.3 2.4*1000*5 PVC ER70S-3 2.4mm Korea</v>
      </c>
      <c r="C6" s="172"/>
      <c r="D6" s="83" t="str">
        <f>MRS!G6</f>
        <v>Kg</v>
      </c>
      <c r="E6" s="84">
        <f>MRS!H6</f>
        <v>3000</v>
      </c>
      <c r="F6" s="85">
        <f>+'MRS LIST'!I6</f>
        <v>16.3</v>
      </c>
      <c r="G6" s="86">
        <f>+'MRS LIST'!J6</f>
        <v>48900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1" t="str">
        <f>MRS!B7&amp;" "&amp;MRS!D7</f>
        <v xml:space="preserve">Welding Rod S-7018.1H 3.2*350 VAC (5KG*4) E7018 H4R E7018-1 H4R Korea </v>
      </c>
      <c r="C7" s="172"/>
      <c r="D7" s="83" t="str">
        <f>+'MRS LIST'!G7</f>
        <v>Kg</v>
      </c>
      <c r="E7" s="84">
        <f>+'MRS LIST'!H7</f>
        <v>2000</v>
      </c>
      <c r="F7" s="85">
        <f>+'MRS LIST'!I7</f>
        <v>16.3</v>
      </c>
      <c r="G7" s="86">
        <f>+'MRS LIST'!J7</f>
        <v>32600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1" t="str">
        <f>MRS!B8&amp;" "&amp;MRS!D8</f>
        <v>Welding Rod ST-316L 2.4*1000*5 PVC ER316L Korea</v>
      </c>
      <c r="C8" s="172"/>
      <c r="D8" s="83" t="str">
        <f>+'MRS LIST'!G8</f>
        <v>Kg</v>
      </c>
      <c r="E8" s="84">
        <f>+'MRS LIST'!H8</f>
        <v>500</v>
      </c>
      <c r="F8" s="85">
        <f>+'MRS LIST'!I8</f>
        <v>80</v>
      </c>
      <c r="G8" s="86">
        <f>+'MRS LIST'!J8</f>
        <v>40000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1" t="str">
        <f>MRS!B9&amp;" "&amp;MRS!D9</f>
        <v>Welding Rod S-316L.16N 2.6*300 PVC (2.5KG*4) E316L-16 Korea</v>
      </c>
      <c r="C9" s="172"/>
      <c r="D9" s="83" t="str">
        <f>+'MRS LIST'!G9</f>
        <v>Kg</v>
      </c>
      <c r="E9" s="84">
        <f>+'MRS LIST'!H9</f>
        <v>500</v>
      </c>
      <c r="F9" s="85">
        <f>+'MRS LIST'!I9</f>
        <v>74.5</v>
      </c>
      <c r="G9" s="86">
        <f>+'MRS LIST'!J9</f>
        <v>37250</v>
      </c>
      <c r="H9" s="91"/>
    </row>
    <row r="10" spans="1:13" s="52" customFormat="1" ht="32.1" customHeight="1">
      <c r="A10" s="90">
        <f t="shared" si="0"/>
        <v>5</v>
      </c>
      <c r="B10" s="171" t="str">
        <f>MRS!B10&amp;" "&amp;MRS!D10</f>
        <v>Welding Rod ST-1N 2.4*1000*5 PVC ER80S-Ni1 Korea</v>
      </c>
      <c r="C10" s="172"/>
      <c r="D10" s="83" t="str">
        <f>+'MRS LIST'!G10</f>
        <v>Kg</v>
      </c>
      <c r="E10" s="84">
        <f>+'MRS LIST'!H10</f>
        <v>500</v>
      </c>
      <c r="F10" s="85">
        <f>+'MRS LIST'!I10</f>
        <v>27.8</v>
      </c>
      <c r="G10" s="86">
        <f>+'MRS LIST'!J10</f>
        <v>13900</v>
      </c>
      <c r="H10" s="91"/>
    </row>
    <row r="11" spans="1:13" s="52" customFormat="1" ht="32.1" customHeight="1">
      <c r="A11" s="90">
        <f t="shared" si="0"/>
        <v>6</v>
      </c>
      <c r="B11" s="171" t="str">
        <f>MRS!B11&amp;" "&amp;MRS!D11</f>
        <v>Welding Rod S-8018.C3 2.6*350 VAC (5KG*4) E8018-C3 Korea</v>
      </c>
      <c r="C11" s="172"/>
      <c r="D11" s="83" t="str">
        <f>+'MRS LIST'!G11</f>
        <v>Kg</v>
      </c>
      <c r="E11" s="84">
        <f>+'MRS LIST'!H11</f>
        <v>300</v>
      </c>
      <c r="F11" s="85">
        <f>+'MRS LIST'!I11</f>
        <v>26</v>
      </c>
      <c r="G11" s="86">
        <f>+'MRS LIST'!J11</f>
        <v>7800</v>
      </c>
      <c r="H11" s="91"/>
    </row>
    <row r="12" spans="1:13" s="52" customFormat="1" ht="32.1" customHeight="1">
      <c r="A12" s="90">
        <f t="shared" si="0"/>
        <v>7</v>
      </c>
      <c r="B12" s="171" t="str">
        <f>MRS!B12&amp;" "&amp;MRS!D12</f>
        <v>Welding Rod S-8018.C3 3.2*350 VAC (5KG*4) E8018-C3 Korea</v>
      </c>
      <c r="C12" s="172"/>
      <c r="D12" s="83" t="str">
        <f>+'MRS LIST'!G12</f>
        <v>Kg</v>
      </c>
      <c r="E12" s="84">
        <f>+'MRS LIST'!H12</f>
        <v>300</v>
      </c>
      <c r="F12" s="85">
        <f>+'MRS LIST'!I12</f>
        <v>25</v>
      </c>
      <c r="G12" s="86">
        <f>+'MRS LIST'!J12</f>
        <v>7500</v>
      </c>
      <c r="H12" s="91"/>
    </row>
    <row r="13" spans="1:13" s="52" customFormat="1" ht="32.1" customHeight="1">
      <c r="A13" s="90">
        <f t="shared" si="0"/>
        <v>8</v>
      </c>
      <c r="B13" s="171" t="str">
        <f>MRS!B13&amp;" "&amp;MRS!D13</f>
        <v>Welding Rod SMT-625 2.4*1000*5 PVC ERNiCrMo-3 Korea</v>
      </c>
      <c r="C13" s="172"/>
      <c r="D13" s="83" t="str">
        <f>+'MRS LIST'!G13</f>
        <v>Kg</v>
      </c>
      <c r="E13" s="84">
        <f>+'MRS LIST'!H13</f>
        <v>50</v>
      </c>
      <c r="F13" s="85">
        <f>+'MRS LIST'!I13</f>
        <v>297</v>
      </c>
      <c r="G13" s="86">
        <f>+'MRS LIST'!J13</f>
        <v>14850</v>
      </c>
      <c r="H13" s="91"/>
    </row>
    <row r="14" spans="1:13" s="52" customFormat="1" ht="32.1" customHeight="1">
      <c r="A14" s="90">
        <f t="shared" si="0"/>
        <v>9</v>
      </c>
      <c r="B14" s="171" t="str">
        <f>MRS!B14&amp;" "&amp;MRS!D14</f>
        <v>Welding Rod SR-625 3.2*350 PVC (2.5KG*4) ENiCrMo-3 Korea</v>
      </c>
      <c r="C14" s="172"/>
      <c r="D14" s="83" t="str">
        <f>+'MRS LIST'!G14</f>
        <v>Kg</v>
      </c>
      <c r="E14" s="84">
        <f>+'MRS LIST'!H14</f>
        <v>50</v>
      </c>
      <c r="F14" s="85">
        <f>+'MRS LIST'!I14</f>
        <v>280</v>
      </c>
      <c r="G14" s="86">
        <f>+'MRS LIST'!J14</f>
        <v>14000</v>
      </c>
      <c r="H14" s="91"/>
    </row>
    <row r="15" spans="1:13" s="52" customFormat="1" ht="32.1" customHeight="1">
      <c r="A15" s="90">
        <f t="shared" si="0"/>
        <v>10</v>
      </c>
      <c r="B15" s="171" t="str">
        <f>MRS!B15&amp;" "&amp;MRS!D15</f>
        <v>Welding Rod ST309L 2.4*1000*5 PVC ER309L Korea</v>
      </c>
      <c r="C15" s="172"/>
      <c r="D15" s="83" t="str">
        <f>+'MRS LIST'!G15</f>
        <v>Kg</v>
      </c>
      <c r="E15" s="84">
        <f>+'MRS LIST'!H15</f>
        <v>300</v>
      </c>
      <c r="F15" s="85">
        <f>+'MRS LIST'!I15</f>
        <v>81</v>
      </c>
      <c r="G15" s="86">
        <f>+'MRS LIST'!J15</f>
        <v>24300</v>
      </c>
      <c r="H15" s="91"/>
    </row>
    <row r="16" spans="1:13" s="52" customFormat="1" ht="32.1" customHeight="1">
      <c r="A16" s="90"/>
      <c r="B16" s="171"/>
      <c r="C16" s="172"/>
      <c r="D16" s="83"/>
      <c r="E16" s="84"/>
      <c r="F16" s="85"/>
      <c r="G16" s="86"/>
      <c r="H16" s="91"/>
    </row>
    <row r="17" spans="1:13" s="52" customFormat="1" ht="32.1" customHeight="1">
      <c r="A17" s="90"/>
      <c r="B17" s="171"/>
      <c r="C17" s="172"/>
      <c r="D17" s="83"/>
      <c r="E17" s="84"/>
      <c r="F17" s="85"/>
      <c r="G17" s="86"/>
      <c r="H17" s="91"/>
    </row>
    <row r="18" spans="1:13" s="52" customFormat="1" ht="32.1" customHeight="1">
      <c r="A18" s="90"/>
      <c r="B18" s="171"/>
      <c r="C18" s="172"/>
      <c r="D18" s="83"/>
      <c r="E18" s="84"/>
      <c r="F18" s="85"/>
      <c r="G18" s="86"/>
      <c r="H18" s="91"/>
    </row>
    <row r="19" spans="1:13" s="52" customFormat="1" ht="32.1" customHeight="1">
      <c r="A19" s="90"/>
      <c r="B19" s="171"/>
      <c r="C19" s="172"/>
      <c r="D19" s="83"/>
      <c r="E19" s="84"/>
      <c r="F19" s="85"/>
      <c r="G19" s="86"/>
      <c r="H19" s="91"/>
    </row>
    <row r="20" spans="1:13" s="52" customFormat="1" ht="32.1" customHeight="1">
      <c r="A20" s="90"/>
      <c r="B20" s="171"/>
      <c r="C20" s="172"/>
      <c r="D20" s="83"/>
      <c r="E20" s="84"/>
      <c r="F20" s="85"/>
      <c r="G20" s="86"/>
      <c r="H20" s="91"/>
    </row>
    <row r="21" spans="1:13" s="52" customFormat="1" ht="32.1" customHeight="1">
      <c r="A21" s="90"/>
      <c r="B21" s="171"/>
      <c r="C21" s="172"/>
      <c r="D21" s="83"/>
      <c r="E21" s="84"/>
      <c r="F21" s="85"/>
      <c r="G21" s="86"/>
      <c r="H21" s="91"/>
    </row>
    <row r="22" spans="1:13" s="52" customFormat="1" ht="23.1" customHeight="1">
      <c r="A22" s="167" t="s">
        <v>83</v>
      </c>
      <c r="B22" s="168"/>
      <c r="C22" s="168"/>
      <c r="D22" s="168"/>
      <c r="E22" s="168"/>
      <c r="F22" s="168"/>
      <c r="G22" s="55">
        <f>SUM(G6:G21)</f>
        <v>241100</v>
      </c>
      <c r="H22" s="56"/>
    </row>
    <row r="23" spans="1:13" s="52" customFormat="1" ht="23.1" customHeight="1">
      <c r="A23" s="167" t="s">
        <v>47</v>
      </c>
      <c r="B23" s="168"/>
      <c r="C23" s="168"/>
      <c r="D23" s="168"/>
      <c r="E23" s="168"/>
      <c r="F23" s="168"/>
      <c r="G23" s="55">
        <f>+G22*0.15</f>
        <v>36165</v>
      </c>
      <c r="H23" s="56"/>
    </row>
    <row r="24" spans="1:13" s="52" customFormat="1" ht="24.95" customHeight="1" thickBot="1">
      <c r="A24" s="169" t="s">
        <v>84</v>
      </c>
      <c r="B24" s="170"/>
      <c r="C24" s="170"/>
      <c r="D24" s="170"/>
      <c r="E24" s="170"/>
      <c r="F24" s="170"/>
      <c r="G24" s="57">
        <f>G23+G22</f>
        <v>277265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Q-20253181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19" t="s">
        <v>86</v>
      </c>
      <c r="B28" s="119"/>
      <c r="C28" s="119"/>
      <c r="D28" s="119"/>
      <c r="E28" s="119"/>
      <c r="F28" s="119"/>
      <c r="G28" s="119"/>
      <c r="H28" s="119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2025-11-25T10:46:38Z</cp:lastPrinted>
  <dcterms:created xsi:type="dcterms:W3CDTF">2024-10-20T11:50:19Z</dcterms:created>
  <dcterms:modified xsi:type="dcterms:W3CDTF">2025-11-25T10:46:40Z</dcterms:modified>
</cp:coreProperties>
</file>