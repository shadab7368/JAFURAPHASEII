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E696759E-28F8-4861-A169-DC049CCBF2E2}" xr6:coauthVersionLast="47" xr6:coauthVersionMax="47" xr10:uidLastSave="{00000000-0000-0000-0000-000000000000}"/>
  <bookViews>
    <workbookView xWindow="-12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MRS!$A$1:$L$27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4" l="1"/>
  <c r="E6" i="4"/>
  <c r="D6" i="4"/>
  <c r="J6" i="1"/>
  <c r="G6" i="4" s="1"/>
  <c r="H6" i="4"/>
  <c r="A17" i="4"/>
  <c r="B16" i="4"/>
  <c r="B17" i="4"/>
  <c r="J16" i="1"/>
  <c r="A14" i="4"/>
  <c r="A15" i="4"/>
  <c r="A16" i="4"/>
  <c r="B12" i="4"/>
  <c r="B13" i="4"/>
  <c r="B14" i="4"/>
  <c r="B15" i="4"/>
  <c r="J9" i="2"/>
  <c r="J10" i="2"/>
  <c r="J11" i="2"/>
  <c r="J12" i="1"/>
  <c r="J13" i="1"/>
  <c r="J14" i="1"/>
  <c r="J15" i="1"/>
  <c r="J17" i="1"/>
  <c r="B6" i="4"/>
  <c r="A7" i="4"/>
  <c r="A8" i="4"/>
  <c r="A9" i="4"/>
  <c r="A10" i="4"/>
  <c r="A11" i="4"/>
  <c r="A12" i="4"/>
  <c r="A13" i="4"/>
  <c r="I11" i="2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68" i="3"/>
  <c r="E3" i="1"/>
  <c r="H7" i="2"/>
  <c r="G7" i="2"/>
  <c r="D7" i="2"/>
  <c r="B7" i="2"/>
  <c r="J8" i="2" l="1"/>
  <c r="K10" i="3"/>
  <c r="A21" i="4" l="1"/>
  <c r="J7" i="2"/>
  <c r="I7" i="2"/>
  <c r="I6" i="2"/>
  <c r="H6" i="2"/>
  <c r="G6" i="2"/>
  <c r="D6" i="2"/>
  <c r="B6" i="2"/>
  <c r="A6" i="4"/>
  <c r="F4" i="4"/>
  <c r="B3" i="4"/>
  <c r="J71" i="3"/>
  <c r="K11" i="3"/>
  <c r="B2" i="4" s="1"/>
  <c r="A17" i="2"/>
  <c r="K3" i="2"/>
  <c r="A3" i="2"/>
  <c r="J2" i="2"/>
  <c r="D2" i="2"/>
  <c r="A2" i="2"/>
  <c r="J1" i="2"/>
  <c r="A16" i="2"/>
  <c r="A15" i="2"/>
  <c r="A14" i="2"/>
  <c r="A13" i="2"/>
  <c r="A12" i="2"/>
  <c r="A11" i="2"/>
  <c r="A10" i="2"/>
  <c r="A9" i="2"/>
  <c r="A8" i="2"/>
  <c r="A7" i="2"/>
  <c r="A6" i="2"/>
  <c r="J18" i="1" l="1"/>
  <c r="J6" i="2"/>
  <c r="G18" i="4" s="1"/>
  <c r="G19" i="4" l="1"/>
  <c r="G20" i="4" l="1"/>
</calcChain>
</file>

<file path=xl/sharedStrings.xml><?xml version="1.0" encoding="utf-8"?>
<sst xmlns="http://schemas.openxmlformats.org/spreadsheetml/2006/main" count="155" uniqueCount="128">
  <si>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</si>
  <si>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</si>
  <si>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</si>
  <si>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</si>
  <si>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</si>
  <si>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</si>
  <si>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</si>
  <si>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</si>
  <si>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</si>
  <si>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</si>
  <si>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</si>
  <si>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HEC</t>
    <phoneticPr fontId="11" type="noConversion"/>
  </si>
  <si>
    <t>ADM</t>
    <phoneticPr fontId="4" type="noConversion"/>
  </si>
  <si>
    <t>/</t>
    <phoneticPr fontId="7" type="noConversion"/>
  </si>
  <si>
    <t>Requesting</t>
    <phoneticPr fontId="7" type="noConversion"/>
  </si>
  <si>
    <t>JV Area PIC</t>
    <phoneticPr fontId="7" type="noConversion"/>
  </si>
  <si>
    <t>Company</t>
    <phoneticPr fontId="7" type="noConversion"/>
  </si>
  <si>
    <t>HDEC</t>
    <phoneticPr fontId="11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</si>
  <si>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</si>
  <si>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</si>
  <si>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</si>
  <si>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</si>
  <si>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</si>
  <si>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</si>
  <si>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</si>
  <si>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</si>
  <si>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</si>
  <si>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</si>
  <si>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</si>
  <si>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</si>
  <si>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</si>
  <si>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</si>
  <si>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</si>
  <si>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</si>
  <si>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</si>
  <si>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</si>
  <si>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</si>
  <si>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</si>
  <si>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</si>
  <si>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</si>
  <si>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</si>
  <si>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</si>
  <si>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</si>
  <si>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</si>
  <si>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</si>
  <si>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</si>
  <si>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</si>
  <si>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</si>
  <si>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</si>
  <si>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</si>
  <si>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</si>
  <si>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</si>
  <si>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</si>
  <si>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</si>
  <si>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</si>
  <si>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</si>
  <si>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</si>
  <si>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</si>
  <si>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</si>
  <si>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</si>
  <si>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</si>
  <si>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</si>
  <si>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</si>
  <si>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</si>
  <si>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</si>
  <si>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</si>
  <si>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</si>
  <si>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3" type="noConversion"/>
  </si>
  <si>
    <t>Name      :</t>
  </si>
  <si>
    <t>Title        :  Administrative Manager</t>
    <phoneticPr fontId="23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</si>
  <si>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</si>
  <si>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</si>
  <si>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</si>
  <si>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7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</si>
  <si>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</si>
  <si>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</si>
  <si>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</si>
  <si>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</si>
  <si>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</si>
  <si>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</si>
  <si>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</si>
  <si>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</si>
  <si>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</si>
  <si>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</si>
  <si>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</si>
  <si>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</si>
  <si>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</si>
  <si>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</si>
  <si>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</si>
  <si>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</si>
  <si>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</si>
  <si>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</si>
  <si>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</si>
  <si>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</si>
  <si>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</si>
  <si>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</si>
  <si>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Mohammad Safwan</t>
  </si>
  <si>
    <t>Operation Manager</t>
  </si>
  <si>
    <t>Mobile : +966 59 1252163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</si>
  <si>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</si>
  <si>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Division (In charge Name) : ADMIN MANAGER (Dong Chang Kim)</t>
  </si>
  <si>
    <t>Subcontract name (SAC2-SC-IK-SMP-01)</t>
  </si>
  <si>
    <t xml:space="preserve">  Delivery &amp; Payment : Dong Chang Kim / Daeshin Admin. [ Mobile No. : +966 53 748 5762 / Email : kdchjs@daeshinplant.com ]</t>
  </si>
  <si>
    <t>SAMOO</t>
  </si>
  <si>
    <t>+966 59 1252163 / Email:samooalbahr@gmail.com</t>
  </si>
  <si>
    <t>P.O. Box 7063, Yanbu 46429, KSA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</si>
  <si>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</si>
  <si>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</si>
  <si>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</si>
  <si>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</si>
  <si>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</si>
  <si>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</si>
  <si>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</si>
  <si>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</si>
  <si>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</si>
  <si>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SAUDI NATIONAL BANK</t>
  </si>
  <si>
    <t>NCBKSAJE</t>
  </si>
  <si>
    <t>Monthly Based</t>
  </si>
  <si>
    <t>302169100900003</t>
  </si>
  <si>
    <t>4650183974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</si>
  <si>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-MRS-0362</t>
    </r>
  </si>
  <si>
    <t>Diesel Supply</t>
  </si>
  <si>
    <t>Ltr</t>
  </si>
  <si>
    <t>TAC/HYUNDAI/EQ-01-2026</t>
  </si>
  <si>
    <t>TAC(Thawabit Al-jazeera Contacting Est.)</t>
  </si>
  <si>
    <t>THAWABIT AL-JAZEERA CONTRACTING EST.</t>
  </si>
  <si>
    <t>0140 0016 6640 01</t>
  </si>
  <si>
    <t>SA60 1000 0001 4000 1666 4001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</si>
</sst>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7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3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30" fillId="0" borderId="0" applyBorder="0"/>
    <xf numFmtId="0" fontId="39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99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/>
    </xf>
    <xf numFmtId="0" fontId="6" fillId="2" borderId="15" xfId="1" applyFont="1" applyFill="1" applyBorder="1" applyAlignment="1">
      <alignment horizontal="center" vertical="top" wrapText="1"/>
    </xf>
    <xf numFmtId="0" fontId="15" fillId="2" borderId="8" xfId="1" applyFont="1" applyFill="1" applyBorder="1" applyAlignment="1">
      <alignment horizontal="left"/>
    </xf>
    <xf numFmtId="0" fontId="16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7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8" fillId="3" borderId="0" xfId="5" applyFont="1" applyFill="1"/>
    <xf numFmtId="0" fontId="19" fillId="3" borderId="0" xfId="5" applyFont="1" applyFill="1"/>
    <xf numFmtId="0" fontId="19" fillId="3" borderId="0" xfId="5" applyFont="1" applyFill="1" applyAlignment="1">
      <alignment horizontal="right"/>
    </xf>
    <xf numFmtId="0" fontId="20" fillId="3" borderId="0" xfId="5" applyFont="1" applyFill="1"/>
    <xf numFmtId="0" fontId="9" fillId="3" borderId="0" xfId="5" applyFont="1" applyFill="1" applyAlignment="1">
      <alignment horizontal="left" vertical="center"/>
    </xf>
    <xf numFmtId="171" fontId="21" fillId="3" borderId="0" xfId="5" applyNumberFormat="1" applyFont="1" applyFill="1"/>
    <xf numFmtId="0" fontId="25" fillId="3" borderId="0" xfId="5" applyFont="1" applyFill="1"/>
    <xf numFmtId="0" fontId="22" fillId="3" borderId="0" xfId="5" applyFont="1" applyFill="1"/>
    <xf numFmtId="0" fontId="26" fillId="3" borderId="0" xfId="5" applyFont="1" applyFill="1"/>
    <xf numFmtId="0" fontId="19" fillId="3" borderId="0" xfId="5" applyFont="1" applyFill="1" applyAlignment="1">
      <alignment horizontal="right" vertical="center"/>
    </xf>
    <xf numFmtId="0" fontId="27" fillId="3" borderId="0" xfId="5" applyFont="1" applyFill="1"/>
    <xf numFmtId="0" fontId="28" fillId="3" borderId="0" xfId="5" applyFont="1" applyFill="1" applyAlignment="1">
      <alignment horizontal="left"/>
    </xf>
    <xf numFmtId="0" fontId="28" fillId="3" borderId="0" xfId="5" applyFont="1" applyFill="1" applyAlignment="1">
      <alignment wrapText="1"/>
    </xf>
    <xf numFmtId="0" fontId="21" fillId="3" borderId="0" xfId="5" applyFont="1" applyFill="1" applyAlignment="1">
      <alignment wrapText="1"/>
    </xf>
    <xf numFmtId="0" fontId="28" fillId="3" borderId="0" xfId="5" applyFont="1" applyFill="1"/>
    <xf numFmtId="0" fontId="28" fillId="3" borderId="0" xfId="5" applyFont="1" applyFill="1" applyAlignment="1">
      <alignment horizontal="left" wrapText="1"/>
    </xf>
    <xf numFmtId="0" fontId="21" fillId="3" borderId="0" xfId="5" applyFont="1" applyFill="1" applyAlignment="1">
      <alignment horizontal="left" wrapText="1"/>
    </xf>
    <xf numFmtId="0" fontId="22" fillId="3" borderId="0" xfId="5" quotePrefix="1" applyFont="1" applyFill="1" applyAlignment="1">
      <alignment horizontal="right" vertical="center"/>
    </xf>
    <xf numFmtId="0" fontId="22" fillId="3" borderId="26" xfId="5" applyFont="1" applyFill="1" applyBorder="1"/>
    <xf numFmtId="0" fontId="19" fillId="3" borderId="26" xfId="5" applyFont="1" applyFill="1" applyBorder="1"/>
    <xf numFmtId="0" fontId="31" fillId="0" borderId="0" xfId="6" applyFont="1"/>
    <xf numFmtId="0" fontId="31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3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4" fillId="0" borderId="0" xfId="6" quotePrefix="1" applyNumberFormat="1" applyFont="1" applyAlignment="1">
      <alignment vertical="center"/>
    </xf>
    <xf numFmtId="0" fontId="28" fillId="0" borderId="0" xfId="6" applyFont="1" applyAlignment="1">
      <alignment vertical="top"/>
    </xf>
    <xf numFmtId="0" fontId="35" fillId="0" borderId="0" xfId="6" applyFont="1" applyBorder="1" applyAlignment="1">
      <alignment vertical="center"/>
    </xf>
    <xf numFmtId="0" fontId="36" fillId="0" borderId="0" xfId="6" applyFont="1" applyAlignment="1">
      <alignment vertical="top"/>
    </xf>
    <xf numFmtId="0" fontId="38" fillId="0" borderId="0" xfId="6" applyFont="1"/>
    <xf numFmtId="0" fontId="38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3" xfId="6" applyNumberFormat="1" applyFont="1" applyBorder="1" applyAlignment="1">
      <alignment horizontal="center" vertical="center" wrapText="1"/>
    </xf>
    <xf numFmtId="0" fontId="8" fillId="0" borderId="44" xfId="6" applyFont="1" applyBorder="1"/>
    <xf numFmtId="0" fontId="10" fillId="0" borderId="0" xfId="6" applyFont="1" applyAlignment="1">
      <alignment vertical="center"/>
    </xf>
    <xf numFmtId="0" fontId="28" fillId="0" borderId="45" xfId="6" applyFont="1" applyBorder="1" applyAlignment="1">
      <alignment vertical="center"/>
    </xf>
    <xf numFmtId="0" fontId="28" fillId="0" borderId="45" xfId="6" applyFont="1" applyBorder="1"/>
    <xf numFmtId="0" fontId="10" fillId="0" borderId="0" xfId="6" applyFont="1" applyBorder="1" applyAlignment="1">
      <alignment vertical="center"/>
    </xf>
    <xf numFmtId="0" fontId="28" fillId="0" borderId="0" xfId="6" applyFont="1" applyBorder="1" applyAlignment="1">
      <alignment vertical="center"/>
    </xf>
    <xf numFmtId="0" fontId="28" fillId="0" borderId="0" xfId="6" applyFont="1" applyBorder="1"/>
    <xf numFmtId="0" fontId="31" fillId="0" borderId="0" xfId="6" applyFont="1" applyBorder="1"/>
    <xf numFmtId="0" fontId="40" fillId="0" borderId="0" xfId="6" applyFont="1"/>
    <xf numFmtId="0" fontId="29" fillId="3" borderId="0" xfId="5" applyFont="1" applyFill="1"/>
    <xf numFmtId="0" fontId="40" fillId="0" borderId="0" xfId="6" applyFont="1" applyAlignment="1">
      <alignment vertical="center"/>
    </xf>
    <xf numFmtId="0" fontId="3" fillId="3" borderId="0" xfId="5" applyFont="1" applyFill="1"/>
    <xf numFmtId="0" fontId="34" fillId="3" borderId="0" xfId="5" applyFont="1" applyFill="1"/>
    <xf numFmtId="0" fontId="42" fillId="3" borderId="0" xfId="5" applyFont="1" applyFill="1"/>
    <xf numFmtId="0" fontId="3" fillId="3" borderId="0" xfId="5" applyFont="1" applyFill="1" applyAlignment="1">
      <alignment horizontal="left" vertical="center"/>
    </xf>
    <xf numFmtId="0" fontId="28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8" fillId="3" borderId="0" xfId="5" applyNumberFormat="1" applyFont="1" applyFill="1"/>
    <xf numFmtId="0" fontId="8" fillId="3" borderId="0" xfId="5" quotePrefix="1" applyFont="1" applyFill="1" applyAlignment="1">
      <alignment horizontal="right" vertical="center"/>
    </xf>
    <xf numFmtId="0" fontId="43" fillId="3" borderId="0" xfId="0" applyFont="1" applyFill="1" applyAlignment="1"/>
    <xf numFmtId="0" fontId="43" fillId="3" borderId="0" xfId="5" applyFont="1" applyFill="1"/>
    <xf numFmtId="0" fontId="28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0" fontId="6" fillId="2" borderId="40" xfId="8" applyFont="1" applyFill="1" applyBorder="1" applyAlignment="1">
      <alignment horizontal="center" vertical="center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3" fillId="0" borderId="41" xfId="6" quotePrefix="1" applyFont="1" applyBorder="1" applyAlignment="1">
      <alignment horizontal="center" vertical="center" wrapText="1"/>
    </xf>
    <xf numFmtId="0" fontId="44" fillId="3" borderId="0" xfId="5" applyFont="1" applyFill="1" applyAlignment="1">
      <alignment horizontal="left" vertical="center" wrapText="1"/>
    </xf>
    <xf numFmtId="0" fontId="44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3" fillId="0" borderId="36" xfId="6" quotePrefix="1" applyFont="1" applyBorder="1" applyAlignment="1">
      <alignment horizontal="center" vertical="center" wrapText="1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4" fillId="0" borderId="22" xfId="0" applyFont="1" applyBorder="1" applyAlignment="1">
      <alignment horizontal="center" vertical="center"/>
    </xf>
    <xf numFmtId="174" fontId="44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vertical="center" wrapText="1"/>
    </xf>
    <xf numFmtId="168" fontId="3" fillId="0" borderId="8" xfId="0" applyNumberFormat="1" applyFont="1" applyBorder="1" applyAlignment="1">
      <alignment horizontal="right"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170" fontId="10" fillId="0" borderId="7" xfId="3" applyNumberFormat="1" applyFont="1" applyBorder="1" applyAlignment="1">
      <alignment horizontal="right"/>
    </xf>
    <xf numFmtId="0" fontId="45" fillId="2" borderId="0" xfId="1" applyFont="1" applyFill="1" applyAlignment="1">
      <alignment vertical="center"/>
    </xf>
    <xf numFmtId="0" fontId="51" fillId="2" borderId="0" xfId="1" applyFont="1" applyFill="1" applyAlignment="1">
      <alignment vertical="center"/>
    </xf>
    <xf numFmtId="0" fontId="55" fillId="3" borderId="0" xfId="5" applyFont="1" applyFill="1"/>
    <xf numFmtId="0" fontId="19" fillId="3" borderId="0" xfId="5" quotePrefix="1" applyFont="1" applyFill="1"/>
    <xf numFmtId="0" fontId="43" fillId="3" borderId="0" xfId="5" quotePrefix="1" applyFont="1" applyFill="1"/>
    <xf numFmtId="0" fontId="15" fillId="3" borderId="0" xfId="5" applyFont="1" applyFill="1" applyAlignment="1">
      <alignment horizontal="right" vertical="center" indent="1"/>
    </xf>
    <xf numFmtId="0" fontId="29" fillId="3" borderId="0" xfId="5" applyFont="1" applyFill="1" applyAlignment="1">
      <alignment horizontal="center"/>
    </xf>
    <xf numFmtId="170" fontId="34" fillId="3" borderId="0" xfId="5" quotePrefix="1" applyNumberFormat="1" applyFont="1" applyFill="1" applyAlignment="1">
      <alignment horizontal="left" vertical="center"/>
    </xf>
    <xf numFmtId="170" fontId="34" fillId="3" borderId="0" xfId="5" applyNumberFormat="1" applyFont="1" applyFill="1" applyAlignment="1">
      <alignment horizontal="left" vertical="center"/>
    </xf>
    <xf numFmtId="0" fontId="34" fillId="3" borderId="0" xfId="5" applyFont="1" applyFill="1" applyAlignment="1">
      <alignment horizontal="left"/>
    </xf>
    <xf numFmtId="0" fontId="24" fillId="3" borderId="0" xfId="5" applyFont="1" applyFill="1" applyAlignment="1">
      <alignment horizontal="center"/>
    </xf>
    <xf numFmtId="0" fontId="25" fillId="3" borderId="0" xfId="5" applyFont="1" applyFill="1" applyAlignment="1">
      <alignment horizontal="left" vertical="center"/>
    </xf>
    <xf numFmtId="0" fontId="19" fillId="3" borderId="26" xfId="5" quotePrefix="1" applyFont="1" applyFill="1" applyBorder="1" applyAlignment="1">
      <alignment horizontal="center"/>
    </xf>
    <xf numFmtId="0" fontId="19" fillId="3" borderId="0" xfId="5" quotePrefix="1" applyFont="1" applyFill="1" applyAlignment="1">
      <alignment horizontal="center"/>
    </xf>
    <xf numFmtId="172" fontId="19" fillId="3" borderId="0" xfId="5" applyNumberFormat="1" applyFont="1" applyFill="1" applyAlignment="1">
      <alignment horizontal="center"/>
    </xf>
    <xf numFmtId="0" fontId="56" fillId="3" borderId="0" xfId="5" applyFont="1" applyFill="1" applyAlignment="1">
      <alignment horizontal="left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3" fillId="3" borderId="16" xfId="0" quotePrefix="1" applyFont="1" applyFill="1" applyBorder="1" applyAlignment="1">
      <alignment horizontal="center" vertical="center" wrapText="1"/>
    </xf>
    <xf numFmtId="0" fontId="48" fillId="2" borderId="1" xfId="1" applyFont="1" applyFill="1" applyBorder="1" applyAlignment="1">
      <alignment horizontal="center" vertical="center"/>
    </xf>
    <xf numFmtId="0" fontId="48" fillId="2" borderId="2" xfId="1" applyFont="1" applyFill="1" applyBorder="1" applyAlignment="1">
      <alignment horizontal="center" vertical="center"/>
    </xf>
    <xf numFmtId="0" fontId="48" fillId="2" borderId="3" xfId="1" applyFont="1" applyFill="1" applyBorder="1" applyAlignment="1">
      <alignment horizontal="center" vertical="center"/>
    </xf>
    <xf numFmtId="165" fontId="8" fillId="2" borderId="7" xfId="1" applyNumberFormat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49" fillId="2" borderId="4" xfId="1" applyFont="1" applyFill="1" applyBorder="1" applyAlignment="1">
      <alignment horizontal="center" vertical="center"/>
    </xf>
    <xf numFmtId="0" fontId="49" fillId="2" borderId="5" xfId="1" applyFont="1" applyFill="1" applyBorder="1" applyAlignment="1">
      <alignment horizontal="center" vertical="center"/>
    </xf>
    <xf numFmtId="0" fontId="49" fillId="2" borderId="6" xfId="1" applyFont="1" applyFill="1" applyBorder="1" applyAlignment="1">
      <alignment horizontal="center" vertical="center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44" fillId="0" borderId="23" xfId="0" applyFont="1" applyBorder="1" applyAlignment="1">
      <alignment horizontal="left" vertical="center" wrapText="1"/>
    </xf>
    <xf numFmtId="0" fontId="44" fillId="0" borderId="24" xfId="0" applyFont="1" applyBorder="1" applyAlignment="1">
      <alignment horizontal="left" vertical="center" wrapText="1"/>
    </xf>
    <xf numFmtId="0" fontId="44" fillId="3" borderId="23" xfId="0" applyFont="1" applyFill="1" applyBorder="1" applyAlignment="1">
      <alignment horizontal="center" vertical="center" wrapText="1"/>
    </xf>
    <xf numFmtId="0" fontId="44" fillId="3" borderId="25" xfId="0" applyFont="1" applyFill="1" applyBorder="1" applyAlignment="1">
      <alignment horizontal="center" vertical="center" wrapText="1"/>
    </xf>
    <xf numFmtId="0" fontId="44" fillId="3" borderId="24" xfId="0" applyFont="1" applyFill="1" applyBorder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10" fillId="0" borderId="43" xfId="6" quotePrefix="1" applyFont="1" applyBorder="1" applyAlignment="1">
      <alignment horizontal="right" vertical="center"/>
    </xf>
    <xf numFmtId="0" fontId="44" fillId="3" borderId="38" xfId="5" applyFont="1" applyFill="1" applyBorder="1" applyAlignment="1">
      <alignment horizontal="left" vertical="center" wrapText="1"/>
    </xf>
    <xf numFmtId="0" fontId="44" fillId="3" borderId="39" xfId="5" applyFont="1" applyFill="1" applyBorder="1" applyAlignment="1">
      <alignment horizontal="left" vertical="center" wrapText="1"/>
    </xf>
    <xf numFmtId="0" fontId="32" fillId="0" borderId="0" xfId="6" applyFont="1" applyAlignment="1">
      <alignment horizontal="center" vertical="center"/>
    </xf>
    <xf numFmtId="0" fontId="35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12" xr:uid="{C1BC8794-9761-452E-9B38-1FCFBE45E724}"/>
    <cellStyle name="쉼표 [0] 2 2 2 2" xfId="20" xr:uid="{D4C28376-5AFF-4631-886A-6E4DDE35B415}"/>
    <cellStyle name="쉼표 [0] 2 2 3" xfId="16" xr:uid="{FBE1F273-C3E2-4A03-892F-9C50868F4F24}"/>
    <cellStyle name="쉼표 2" xfId="9" xr:uid="{F2A3A689-A30F-4FCA-9C51-F28F11796A46}"/>
    <cellStyle name="쉼표 2 2" xfId="14" xr:uid="{6B2280AF-C50F-47FC-98AC-E1383F78873F}"/>
    <cellStyle name="쉼표 2 2 2" xfId="22" xr:uid="{5E20C4B9-10EA-4488-B11F-4C9CC000B736}"/>
    <cellStyle name="쉼표 2 3" xfId="18" xr:uid="{9325817A-B686-479F-8D46-5045674182E2}"/>
    <cellStyle name="표준 2 2" xfId="2" xr:uid="{12B761D3-4229-4E14-8168-D5975293A996}"/>
    <cellStyle name="표준 2 2 2" xfId="11" xr:uid="{5AAE3045-0003-4EF5-82EE-3F61803573C1}"/>
    <cellStyle name="표준 2 2 2 2" xfId="19" xr:uid="{34284892-815D-4ADC-A262-F0D0E87DDC9B}"/>
    <cellStyle name="표준 2 2 3" xfId="15" xr:uid="{11700922-3F87-45EC-87A1-2836ABF427DA}"/>
    <cellStyle name="표준 2 3 2 2" xfId="5" xr:uid="{BD51BFCC-3D36-446B-BE80-7856DF8371E9}"/>
    <cellStyle name="표준 2 3 2 2 2" xfId="13" xr:uid="{96447A54-999F-4976-A3CD-C67E976CCDC4}"/>
    <cellStyle name="표준 2 3 2 2 2 2" xfId="21" xr:uid="{ED8B1D17-BA03-4319-9E73-0BBFEC4DD2AD}"/>
    <cellStyle name="표준 2 3 2 2 3" xfId="17" xr:uid="{348CFD6E-43FF-417E-852B-C3B5F4369AD2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942474</xdr:colOff>
          <xdr:row>19</xdr:row>
          <xdr:rowOff>0</xdr:rowOff>
        </xdr:from>
        <xdr:to>
          <xdr:col>12</xdr:col>
          <xdr:colOff>502</xdr:colOff>
          <xdr:row>26</xdr:row>
          <xdr:rowOff>90239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S$26" spid="_x0000_s127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216316" y="4983079"/>
              <a:ext cx="3890712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4"/>
  <sheetViews>
    <sheetView showGridLines="0" tabSelected="1" view="pageBreakPreview" zoomScale="95" zoomScaleNormal="95" zoomScaleSheetLayoutView="95" workbookViewId="0">
      <selection activeCell="H21" sqref="H21"/>
    </sheetView>
  </sheetViews>
  <sheetFormatPr defaultColWidth="9" defaultRowHeight="21" customHeight="1"/>
  <cols>
    <col min="1" max="1" width="3.7109375" style="2" customWidth="1"/>
    <col min="2" max="3" width="22.140625" style="2" customWidth="1"/>
    <col min="4" max="4" width="16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18" t="s">
        <v>99</v>
      </c>
      <c r="B1" s="104"/>
      <c r="C1" s="104"/>
      <c r="D1" s="104"/>
      <c r="E1" s="104"/>
      <c r="F1" s="104"/>
      <c r="G1" s="1"/>
      <c r="J1" s="148" t="s">
        <v>89</v>
      </c>
      <c r="K1" s="149"/>
      <c r="L1" s="150"/>
    </row>
    <row r="2" spans="1:18" ht="20.100000000000001" customHeight="1">
      <c r="A2" s="3" t="s">
        <v>1</v>
      </c>
      <c r="B2" s="95"/>
      <c r="C2" s="95"/>
      <c r="D2" s="3" t="s">
        <v>100</v>
      </c>
      <c r="E2" s="95"/>
      <c r="F2" s="95"/>
      <c r="G2" s="95"/>
      <c r="H2" s="95"/>
      <c r="I2" s="4"/>
      <c r="J2" s="164" t="s">
        <v>101</v>
      </c>
      <c r="K2" s="165"/>
      <c r="L2" s="166"/>
    </row>
    <row r="3" spans="1:18" ht="20.100000000000001" customHeight="1">
      <c r="A3" s="3" t="s">
        <v>120</v>
      </c>
      <c r="B3" s="95"/>
      <c r="C3" s="95"/>
      <c r="D3" s="95"/>
      <c r="E3" s="151">
        <f>+L3</f>
        <v>46212</v>
      </c>
      <c r="F3" s="151"/>
      <c r="G3" s="151"/>
      <c r="H3" s="151"/>
      <c r="I3" s="151"/>
      <c r="J3" s="95"/>
      <c r="K3" s="95"/>
      <c r="L3" s="116">
        <v>46212</v>
      </c>
      <c r="M3" s="4"/>
    </row>
    <row r="4" spans="1:18" ht="15.95" customHeight="1">
      <c r="A4" s="152" t="s">
        <v>2</v>
      </c>
      <c r="B4" s="153" t="s">
        <v>3</v>
      </c>
      <c r="C4" s="153"/>
      <c r="D4" s="154" t="s">
        <v>4</v>
      </c>
      <c r="E4" s="155"/>
      <c r="F4" s="156"/>
      <c r="G4" s="160" t="s">
        <v>5</v>
      </c>
      <c r="H4" s="162" t="s">
        <v>6</v>
      </c>
      <c r="I4" s="162" t="s">
        <v>93</v>
      </c>
      <c r="J4" s="152" t="s">
        <v>94</v>
      </c>
      <c r="K4" s="162" t="s">
        <v>0</v>
      </c>
      <c r="L4" s="153" t="s">
        <v>7</v>
      </c>
    </row>
    <row r="5" spans="1:18" ht="15.95" customHeight="1">
      <c r="A5" s="152"/>
      <c r="B5" s="153"/>
      <c r="C5" s="153"/>
      <c r="D5" s="157"/>
      <c r="E5" s="158"/>
      <c r="F5" s="159"/>
      <c r="G5" s="161"/>
      <c r="H5" s="163"/>
      <c r="I5" s="163"/>
      <c r="J5" s="152"/>
      <c r="K5" s="163"/>
      <c r="L5" s="153"/>
    </row>
    <row r="6" spans="1:18" ht="32.25" customHeight="1">
      <c r="A6" s="5">
        <v>1</v>
      </c>
      <c r="B6" s="139" t="s">
        <v>121</v>
      </c>
      <c r="C6" s="140"/>
      <c r="D6" s="142"/>
      <c r="E6" s="143"/>
      <c r="F6" s="144"/>
      <c r="G6" s="105" t="s">
        <v>122</v>
      </c>
      <c r="H6" s="106">
        <v>1</v>
      </c>
      <c r="I6" s="107">
        <v>1.84</v>
      </c>
      <c r="J6" s="107">
        <f t="shared" ref="J6:J17" si="0">H6*I6</f>
        <v>1.84</v>
      </c>
      <c r="K6" s="108" t="s">
        <v>103</v>
      </c>
      <c r="L6" s="109" t="s">
        <v>117</v>
      </c>
      <c r="R6" s="100"/>
    </row>
    <row r="7" spans="1:18" ht="32.25" customHeight="1">
      <c r="A7" s="5"/>
      <c r="B7" s="139"/>
      <c r="C7" s="140"/>
      <c r="D7" s="147"/>
      <c r="E7" s="143"/>
      <c r="F7" s="144"/>
      <c r="G7" s="105"/>
      <c r="H7" s="106"/>
      <c r="I7" s="107"/>
      <c r="J7" s="107"/>
      <c r="K7" s="108"/>
      <c r="L7" s="109"/>
      <c r="R7" s="100"/>
    </row>
    <row r="8" spans="1:18" ht="32.25" customHeight="1">
      <c r="A8" s="5"/>
      <c r="B8" s="139"/>
      <c r="C8" s="140"/>
      <c r="D8" s="142"/>
      <c r="E8" s="143"/>
      <c r="F8" s="144"/>
      <c r="G8" s="105"/>
      <c r="H8" s="106"/>
      <c r="I8" s="107"/>
      <c r="J8" s="107"/>
      <c r="K8" s="108"/>
      <c r="L8" s="109"/>
      <c r="R8" s="100"/>
    </row>
    <row r="9" spans="1:18" ht="32.25" customHeight="1">
      <c r="A9" s="5"/>
      <c r="B9" s="139"/>
      <c r="C9" s="140"/>
      <c r="D9" s="142"/>
      <c r="E9" s="143"/>
      <c r="F9" s="144"/>
      <c r="G9" s="105"/>
      <c r="H9" s="106"/>
      <c r="I9" s="110"/>
      <c r="J9" s="107"/>
      <c r="K9" s="108"/>
      <c r="L9" s="109"/>
      <c r="R9" s="100"/>
    </row>
    <row r="10" spans="1:18" ht="32.25" customHeight="1">
      <c r="A10" s="5"/>
      <c r="B10" s="139"/>
      <c r="C10" s="140"/>
      <c r="D10" s="141"/>
      <c r="E10" s="141"/>
      <c r="F10" s="141"/>
      <c r="G10" s="105"/>
      <c r="H10" s="106"/>
      <c r="I10" s="107"/>
      <c r="J10" s="107"/>
      <c r="K10" s="108"/>
      <c r="L10" s="105"/>
      <c r="R10" s="100"/>
    </row>
    <row r="11" spans="1:18" ht="21" customHeight="1">
      <c r="A11" s="5"/>
      <c r="B11" s="139"/>
      <c r="C11" s="140"/>
      <c r="D11" s="142"/>
      <c r="E11" s="143"/>
      <c r="F11" s="144"/>
      <c r="G11" s="105"/>
      <c r="H11" s="106"/>
      <c r="I11" s="107"/>
      <c r="J11" s="107"/>
      <c r="K11" s="108"/>
      <c r="L11" s="109"/>
      <c r="R11" s="100"/>
    </row>
    <row r="12" spans="1:18" ht="21" hidden="1" customHeight="1">
      <c r="A12" s="5"/>
      <c r="B12" s="139"/>
      <c r="C12" s="140"/>
      <c r="D12" s="141"/>
      <c r="E12" s="141"/>
      <c r="F12" s="141"/>
      <c r="G12" s="105"/>
      <c r="H12" s="106"/>
      <c r="I12" s="110"/>
      <c r="J12" s="107">
        <f t="shared" si="0"/>
        <v>0</v>
      </c>
      <c r="K12" s="108"/>
      <c r="L12" s="105"/>
      <c r="R12" s="100"/>
    </row>
    <row r="13" spans="1:18" ht="21" hidden="1" customHeight="1">
      <c r="A13" s="5"/>
      <c r="B13" s="139"/>
      <c r="C13" s="140"/>
      <c r="D13" s="142"/>
      <c r="E13" s="143"/>
      <c r="F13" s="144"/>
      <c r="G13" s="105"/>
      <c r="H13" s="106"/>
      <c r="I13" s="107"/>
      <c r="J13" s="107">
        <f t="shared" si="0"/>
        <v>0</v>
      </c>
      <c r="K13" s="108"/>
      <c r="L13" s="109"/>
      <c r="R13" s="100"/>
    </row>
    <row r="14" spans="1:18" ht="21" customHeight="1">
      <c r="A14" s="5"/>
      <c r="B14" s="139"/>
      <c r="C14" s="140"/>
      <c r="D14" s="142"/>
      <c r="E14" s="143"/>
      <c r="F14" s="144"/>
      <c r="G14" s="105"/>
      <c r="H14" s="106"/>
      <c r="I14" s="107"/>
      <c r="J14" s="107">
        <f t="shared" si="0"/>
        <v>0</v>
      </c>
      <c r="K14" s="108"/>
      <c r="L14" s="109"/>
      <c r="R14" s="100"/>
    </row>
    <row r="15" spans="1:18" ht="21" customHeight="1">
      <c r="A15" s="5"/>
      <c r="B15" s="139"/>
      <c r="C15" s="140"/>
      <c r="D15" s="142"/>
      <c r="E15" s="143"/>
      <c r="F15" s="144"/>
      <c r="G15" s="105"/>
      <c r="H15" s="106"/>
      <c r="I15" s="107"/>
      <c r="J15" s="107">
        <f t="shared" si="0"/>
        <v>0</v>
      </c>
      <c r="K15" s="108"/>
      <c r="L15" s="109"/>
      <c r="R15" s="100"/>
    </row>
    <row r="16" spans="1:18" ht="21" customHeight="1">
      <c r="A16" s="5"/>
      <c r="B16" s="139"/>
      <c r="C16" s="140"/>
      <c r="D16" s="142"/>
      <c r="E16" s="143"/>
      <c r="F16" s="144"/>
      <c r="G16" s="105"/>
      <c r="H16" s="106"/>
      <c r="I16" s="107"/>
      <c r="J16" s="107">
        <f t="shared" si="0"/>
        <v>0</v>
      </c>
      <c r="K16" s="108"/>
      <c r="R16" s="100"/>
    </row>
    <row r="17" spans="1:19" ht="21" customHeight="1">
      <c r="A17" s="5"/>
      <c r="B17" s="139"/>
      <c r="C17" s="140"/>
      <c r="D17" s="142"/>
      <c r="E17" s="143"/>
      <c r="F17" s="144"/>
      <c r="G17" s="105"/>
      <c r="H17" s="106"/>
      <c r="I17" s="107"/>
      <c r="J17" s="107">
        <f t="shared" si="0"/>
        <v>0</v>
      </c>
      <c r="K17" s="108"/>
      <c r="L17" s="109"/>
      <c r="R17" s="100"/>
    </row>
    <row r="18" spans="1:19" ht="22.5" customHeight="1">
      <c r="A18" s="145" t="s">
        <v>8</v>
      </c>
      <c r="B18" s="146"/>
      <c r="C18" s="111"/>
      <c r="D18" s="112"/>
      <c r="E18" s="112"/>
      <c r="F18" s="112"/>
      <c r="G18" s="113"/>
      <c r="H18" s="113"/>
      <c r="I18" s="114" t="s">
        <v>9</v>
      </c>
      <c r="J18" s="107">
        <f>SUM(J6:J17)</f>
        <v>1.84</v>
      </c>
      <c r="K18" s="107"/>
      <c r="L18" s="115"/>
    </row>
    <row r="19" spans="1:19" ht="20.100000000000001" customHeight="1">
      <c r="A19" s="6" t="s">
        <v>10</v>
      </c>
      <c r="B19" s="7"/>
      <c r="C19" s="7"/>
      <c r="D19" s="7"/>
      <c r="E19" s="7"/>
      <c r="F19" s="7"/>
      <c r="G19" s="7"/>
      <c r="H19" s="7"/>
      <c r="I19" s="7"/>
      <c r="J19" s="7"/>
      <c r="K19" s="8"/>
      <c r="L19" s="9"/>
    </row>
    <row r="20" spans="1:19" ht="18" customHeight="1">
      <c r="A20" s="10"/>
      <c r="J20" s="1"/>
      <c r="K20" s="1"/>
      <c r="O20" s="11"/>
      <c r="P20" s="11"/>
      <c r="R20" s="137" t="s">
        <v>11</v>
      </c>
      <c r="S20" s="13" t="s">
        <v>12</v>
      </c>
    </row>
    <row r="21" spans="1:19" ht="42.75" customHeight="1">
      <c r="R21" s="138"/>
      <c r="S21" s="15"/>
    </row>
    <row r="22" spans="1:19" ht="17.100000000000001" customHeight="1">
      <c r="O22" s="11"/>
      <c r="P22" s="11"/>
      <c r="R22" s="135"/>
      <c r="S22" s="15" t="s">
        <v>13</v>
      </c>
    </row>
    <row r="23" spans="1:19" ht="15" customHeight="1">
      <c r="O23" s="17" t="s">
        <v>14</v>
      </c>
      <c r="P23" s="133" t="s">
        <v>15</v>
      </c>
    </row>
    <row r="24" spans="1:19" ht="18" customHeight="1">
      <c r="O24" s="18" t="s">
        <v>16</v>
      </c>
      <c r="P24" s="134"/>
      <c r="R24" s="137" t="s">
        <v>17</v>
      </c>
      <c r="S24" s="12" t="s">
        <v>12</v>
      </c>
    </row>
    <row r="25" spans="1:19" ht="50.1" customHeight="1">
      <c r="O25" s="14"/>
      <c r="P25" s="14"/>
      <c r="R25" s="138"/>
      <c r="S25" s="19"/>
    </row>
    <row r="26" spans="1:19" ht="17.100000000000001" customHeight="1">
      <c r="O26" s="16" t="s">
        <v>13</v>
      </c>
      <c r="P26" s="16" t="s">
        <v>13</v>
      </c>
      <c r="R26" s="135"/>
      <c r="S26" s="15" t="s">
        <v>13</v>
      </c>
    </row>
    <row r="27" spans="1:19" ht="9.9499999999999993" customHeight="1"/>
    <row r="28" spans="1:19" ht="19.899999999999999" customHeight="1"/>
    <row r="29" spans="1:19" ht="17.45" customHeight="1">
      <c r="O29" s="136"/>
      <c r="P29" s="136"/>
    </row>
    <row r="30" spans="1:19" ht="19.899999999999999" customHeight="1">
      <c r="O30" s="136"/>
      <c r="P30" s="136"/>
    </row>
    <row r="31" spans="1:19" ht="14.25">
      <c r="O31" s="11"/>
      <c r="P31" s="11"/>
    </row>
    <row r="32" spans="1:19" ht="65.099999999999994" customHeight="1"/>
    <row r="33" spans="15:19" ht="14.25">
      <c r="O33" s="11"/>
      <c r="P33" s="11"/>
    </row>
    <row r="34" spans="15:19" ht="19.899999999999999" customHeight="1"/>
    <row r="35" spans="15:19" ht="14.25"/>
    <row r="36" spans="15:19" ht="19.899999999999999" customHeight="1"/>
    <row r="37" spans="15:19" ht="14.25"/>
    <row r="38" spans="15:19" ht="19.899999999999999" customHeight="1"/>
    <row r="39" spans="15:19" ht="19.899999999999999" customHeight="1"/>
    <row r="40" spans="15:19" ht="64.900000000000006" customHeight="1"/>
    <row r="42" spans="15:19" ht="19.899999999999999" customHeight="1"/>
    <row r="43" spans="15:19" ht="19.899999999999999" customHeight="1"/>
    <row r="44" spans="15:19" ht="64.900000000000006" customHeight="1"/>
    <row r="48" spans="15:19" ht="21" customHeight="1">
      <c r="O48" s="133" t="s">
        <v>18</v>
      </c>
      <c r="P48" s="133" t="s">
        <v>18</v>
      </c>
      <c r="S48" s="133" t="s">
        <v>12</v>
      </c>
    </row>
    <row r="49" spans="15:19" ht="21" customHeight="1">
      <c r="O49" s="134"/>
      <c r="P49" s="134"/>
      <c r="S49" s="135"/>
    </row>
    <row r="50" spans="15:19" ht="64.900000000000006" customHeight="1">
      <c r="O50" s="14"/>
      <c r="P50" s="14"/>
      <c r="S50" s="15"/>
    </row>
    <row r="51" spans="15:19" ht="7.15" customHeight="1"/>
    <row r="52" spans="15:19" ht="21" customHeight="1">
      <c r="O52" s="133" t="s">
        <v>18</v>
      </c>
      <c r="P52" s="133" t="s">
        <v>18</v>
      </c>
      <c r="S52" s="133" t="s">
        <v>19</v>
      </c>
    </row>
    <row r="53" spans="15:19" ht="21" customHeight="1">
      <c r="O53" s="134"/>
      <c r="P53" s="134"/>
      <c r="S53" s="135"/>
    </row>
    <row r="54" spans="15:19" ht="64.900000000000006" customHeight="1">
      <c r="O54" s="14"/>
      <c r="P54" s="14"/>
      <c r="S54" s="14"/>
    </row>
  </sheetData>
  <mergeCells count="48"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R20:R22"/>
    <mergeCell ref="P23:P24"/>
    <mergeCell ref="R24:R26"/>
    <mergeCell ref="B12:C12"/>
    <mergeCell ref="D12:F12"/>
    <mergeCell ref="B13:C13"/>
    <mergeCell ref="D13:F13"/>
    <mergeCell ref="B14:C14"/>
    <mergeCell ref="D14:F14"/>
    <mergeCell ref="B16:C16"/>
    <mergeCell ref="D16:F16"/>
    <mergeCell ref="B15:C15"/>
    <mergeCell ref="D15:F15"/>
    <mergeCell ref="B17:C17"/>
    <mergeCell ref="D17:F17"/>
    <mergeCell ref="A18:B18"/>
    <mergeCell ref="P52:P53"/>
    <mergeCell ref="S52:S53"/>
    <mergeCell ref="O29:O30"/>
    <mergeCell ref="P29:P30"/>
    <mergeCell ref="O48:O49"/>
    <mergeCell ref="P48:P49"/>
    <mergeCell ref="S48:S49"/>
    <mergeCell ref="O52:O53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84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16" activePane="bottomLeft" state="frozen"/>
      <selection activeCell="D30" sqref="D30"/>
      <selection pane="bottomLeft" activeCell="J11" sqref="J11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7" t="s">
        <v>95</v>
      </c>
      <c r="B1" s="94"/>
      <c r="C1" s="94"/>
      <c r="D1" s="94"/>
      <c r="E1" s="94"/>
      <c r="F1" s="94"/>
      <c r="G1" s="1"/>
      <c r="J1" s="148" t="str">
        <f>+MRS!J1</f>
        <v>DAESHIN PLANT</v>
      </c>
      <c r="K1" s="150"/>
    </row>
    <row r="2" spans="1:18" ht="24.95" customHeight="1">
      <c r="A2" s="3" t="str">
        <f>+MRS!A2</f>
        <v xml:space="preserve">  PJT :  SACE2           </v>
      </c>
      <c r="B2" s="95"/>
      <c r="C2" s="95"/>
      <c r="D2" s="3" t="str">
        <f>+MRS!D2</f>
        <v>Division (In charge Name) : ADMIN MANAGER (Dong Chang Kim)</v>
      </c>
      <c r="E2" s="95"/>
      <c r="F2" s="95"/>
      <c r="G2" s="20"/>
      <c r="H2" s="20"/>
      <c r="I2" s="20"/>
      <c r="J2" s="164" t="str">
        <f>+MRS!J2</f>
        <v>Subcontract name (SAC2-SC-IK-SMP-01)</v>
      </c>
      <c r="K2" s="166"/>
    </row>
    <row r="3" spans="1:18" ht="24.95" customHeight="1">
      <c r="A3" s="3" t="str">
        <f>+MRS!A3</f>
        <v xml:space="preserve">  MRS No : SAC2-DS-MRS-0362</v>
      </c>
      <c r="B3" s="95"/>
      <c r="C3" s="95"/>
      <c r="D3" s="95"/>
      <c r="E3" s="95"/>
      <c r="F3" s="95"/>
      <c r="G3" s="95"/>
      <c r="H3" s="95"/>
      <c r="I3" s="95"/>
      <c r="J3" s="95"/>
      <c r="K3" s="96">
        <f>+MRS!L3</f>
        <v>46212</v>
      </c>
    </row>
    <row r="4" spans="1:18" ht="15.95" customHeight="1">
      <c r="A4" s="177" t="s">
        <v>2</v>
      </c>
      <c r="B4" s="178" t="s">
        <v>20</v>
      </c>
      <c r="C4" s="178"/>
      <c r="D4" s="177" t="s">
        <v>4</v>
      </c>
      <c r="E4" s="177"/>
      <c r="F4" s="177"/>
      <c r="G4" s="178" t="s">
        <v>5</v>
      </c>
      <c r="H4" s="177" t="s">
        <v>90</v>
      </c>
      <c r="I4" s="177" t="s">
        <v>21</v>
      </c>
      <c r="J4" s="177" t="s">
        <v>22</v>
      </c>
      <c r="K4" s="178" t="s">
        <v>7</v>
      </c>
    </row>
    <row r="5" spans="1:18" ht="15.95" customHeight="1">
      <c r="A5" s="177"/>
      <c r="B5" s="178"/>
      <c r="C5" s="178"/>
      <c r="D5" s="177"/>
      <c r="E5" s="177"/>
      <c r="F5" s="177"/>
      <c r="G5" s="178"/>
      <c r="H5" s="177"/>
      <c r="I5" s="177"/>
      <c r="J5" s="177"/>
      <c r="K5" s="178"/>
    </row>
    <row r="6" spans="1:18" ht="105" customHeight="1">
      <c r="A6" s="21">
        <f>+MRS!A6</f>
        <v>1</v>
      </c>
      <c r="B6" s="172" t="str">
        <f>MRS!B6</f>
        <v>Diesel Supply</v>
      </c>
      <c r="C6" s="173"/>
      <c r="D6" s="174">
        <f>MRS!D6</f>
        <v>0</v>
      </c>
      <c r="E6" s="175"/>
      <c r="F6" s="176"/>
      <c r="G6" s="97" t="str">
        <f>MRS!G6</f>
        <v>Ltr</v>
      </c>
      <c r="H6" s="97">
        <f>MRS!H6</f>
        <v>1</v>
      </c>
      <c r="I6" s="98">
        <f>MRS!I6</f>
        <v>1.84</v>
      </c>
      <c r="J6" s="98">
        <f>MRS!J6</f>
        <v>1.84</v>
      </c>
      <c r="K6" s="99"/>
      <c r="O6" s="100"/>
      <c r="P6" s="100"/>
      <c r="R6" s="100"/>
    </row>
    <row r="7" spans="1:18" ht="105" customHeight="1">
      <c r="A7" s="21">
        <f>+MRS!A7</f>
        <v>0</v>
      </c>
      <c r="B7" s="172">
        <f>MRS!B7</f>
        <v>0</v>
      </c>
      <c r="C7" s="173"/>
      <c r="D7" s="174">
        <f>MRS!D7</f>
        <v>0</v>
      </c>
      <c r="E7" s="175"/>
      <c r="F7" s="176"/>
      <c r="G7" s="97">
        <f>MRS!G7</f>
        <v>0</v>
      </c>
      <c r="H7" s="97">
        <f>MRS!H7</f>
        <v>0</v>
      </c>
      <c r="I7" s="98">
        <f>MRS!I7</f>
        <v>0</v>
      </c>
      <c r="J7" s="98">
        <f>MRS!J7</f>
        <v>0</v>
      </c>
      <c r="K7" s="99"/>
      <c r="O7" s="100"/>
      <c r="P7" s="100"/>
      <c r="R7" s="100"/>
    </row>
    <row r="8" spans="1:18" ht="105" customHeight="1">
      <c r="A8" s="21">
        <f>+MRS!A8</f>
        <v>0</v>
      </c>
      <c r="B8" s="172">
        <f>MRS!B8</f>
        <v>0</v>
      </c>
      <c r="C8" s="173"/>
      <c r="D8" s="174">
        <f>MRS!D8</f>
        <v>0</v>
      </c>
      <c r="E8" s="175"/>
      <c r="F8" s="176"/>
      <c r="G8" s="97">
        <f>MRS!G8</f>
        <v>0</v>
      </c>
      <c r="H8" s="97">
        <f>MRS!H8</f>
        <v>0</v>
      </c>
      <c r="I8" s="98">
        <f>MRS!I8</f>
        <v>0</v>
      </c>
      <c r="J8" s="98">
        <f>MRS!J8</f>
        <v>0</v>
      </c>
      <c r="K8" s="99"/>
      <c r="O8" s="100"/>
      <c r="P8" s="100"/>
      <c r="R8" s="100"/>
    </row>
    <row r="9" spans="1:18" ht="105" customHeight="1">
      <c r="A9" s="21">
        <f>+MRS!A9</f>
        <v>0</v>
      </c>
      <c r="B9" s="172">
        <f>MRS!B9</f>
        <v>0</v>
      </c>
      <c r="C9" s="173"/>
      <c r="D9" s="174">
        <f>MRS!D9</f>
        <v>0</v>
      </c>
      <c r="E9" s="175"/>
      <c r="F9" s="176"/>
      <c r="G9" s="97">
        <f>MRS!G9</f>
        <v>0</v>
      </c>
      <c r="H9" s="97">
        <f>MRS!H9</f>
        <v>0</v>
      </c>
      <c r="I9" s="98">
        <f>MRS!I9</f>
        <v>0</v>
      </c>
      <c r="J9" s="98">
        <f>MRS!J9</f>
        <v>0</v>
      </c>
      <c r="K9" s="99"/>
      <c r="O9" s="100"/>
      <c r="P9" s="100"/>
      <c r="R9" s="100"/>
    </row>
    <row r="10" spans="1:18" ht="105" customHeight="1">
      <c r="A10" s="21">
        <f>+MRS!A10</f>
        <v>0</v>
      </c>
      <c r="B10" s="172">
        <f>MRS!B10</f>
        <v>0</v>
      </c>
      <c r="C10" s="173"/>
      <c r="D10" s="174">
        <f>MRS!D10</f>
        <v>0</v>
      </c>
      <c r="E10" s="175"/>
      <c r="F10" s="176"/>
      <c r="G10" s="97">
        <f>MRS!G10</f>
        <v>0</v>
      </c>
      <c r="H10" s="97">
        <f>MRS!H10</f>
        <v>0</v>
      </c>
      <c r="I10" s="98">
        <f>MRS!I10</f>
        <v>0</v>
      </c>
      <c r="J10" s="98">
        <f>MRS!J10</f>
        <v>0</v>
      </c>
      <c r="K10" s="99"/>
      <c r="O10" s="100"/>
      <c r="P10" s="100"/>
      <c r="R10" s="100"/>
    </row>
    <row r="11" spans="1:18" ht="105" customHeight="1">
      <c r="A11" s="21">
        <f>+MRS!A11</f>
        <v>0</v>
      </c>
      <c r="B11" s="172">
        <f>MRS!B11</f>
        <v>0</v>
      </c>
      <c r="C11" s="173"/>
      <c r="D11" s="174">
        <f>MRS!D11</f>
        <v>0</v>
      </c>
      <c r="E11" s="175"/>
      <c r="F11" s="176"/>
      <c r="G11" s="97">
        <f>MRS!G11</f>
        <v>0</v>
      </c>
      <c r="H11" s="97">
        <f>MRS!H11</f>
        <v>0</v>
      </c>
      <c r="I11" s="98">
        <f>MRS!I11</f>
        <v>0</v>
      </c>
      <c r="J11" s="98">
        <f>MRS!J11</f>
        <v>0</v>
      </c>
      <c r="K11" s="99"/>
      <c r="O11" s="100"/>
      <c r="P11" s="100"/>
      <c r="R11" s="100"/>
    </row>
    <row r="12" spans="1:18" ht="105" customHeight="1">
      <c r="A12" s="21">
        <f>+MRS!A12</f>
        <v>0</v>
      </c>
      <c r="B12" s="167"/>
      <c r="C12" s="168"/>
      <c r="D12" s="169"/>
      <c r="E12" s="170"/>
      <c r="F12" s="171"/>
      <c r="G12" s="101"/>
      <c r="H12" s="102"/>
      <c r="I12" s="103"/>
      <c r="J12" s="103"/>
      <c r="K12" s="99"/>
      <c r="O12" s="100"/>
      <c r="P12" s="100"/>
      <c r="R12" s="100"/>
    </row>
    <row r="13" spans="1:18" ht="105" customHeight="1">
      <c r="A13" s="21">
        <f>+MRS!A13</f>
        <v>0</v>
      </c>
      <c r="B13" s="167"/>
      <c r="C13" s="168"/>
      <c r="D13" s="169"/>
      <c r="E13" s="170"/>
      <c r="F13" s="171"/>
      <c r="G13" s="101"/>
      <c r="H13" s="102"/>
      <c r="I13" s="103"/>
      <c r="J13" s="103"/>
      <c r="K13" s="99"/>
      <c r="O13" s="100"/>
      <c r="P13" s="100"/>
      <c r="R13" s="100"/>
    </row>
    <row r="14" spans="1:18" ht="105" customHeight="1">
      <c r="A14" s="21">
        <f>+MRS!A14</f>
        <v>0</v>
      </c>
      <c r="B14" s="167"/>
      <c r="C14" s="168"/>
      <c r="D14" s="169"/>
      <c r="E14" s="170"/>
      <c r="F14" s="171"/>
      <c r="G14" s="101"/>
      <c r="H14" s="102"/>
      <c r="I14" s="103"/>
      <c r="J14" s="103"/>
      <c r="K14" s="99"/>
      <c r="O14" s="100"/>
      <c r="P14" s="100"/>
      <c r="R14" s="100"/>
    </row>
    <row r="15" spans="1:18" ht="105" customHeight="1">
      <c r="A15" s="21">
        <f>+MRS!A17</f>
        <v>0</v>
      </c>
      <c r="B15" s="167"/>
      <c r="C15" s="168"/>
      <c r="D15" s="169"/>
      <c r="E15" s="170"/>
      <c r="F15" s="171"/>
      <c r="G15" s="101"/>
      <c r="H15" s="102"/>
      <c r="I15" s="103"/>
      <c r="J15" s="103"/>
      <c r="K15" s="99"/>
      <c r="O15" s="100"/>
      <c r="P15" s="100"/>
      <c r="R15" s="100"/>
    </row>
    <row r="16" spans="1:18" ht="105" customHeight="1">
      <c r="A16" s="21" t="e">
        <f>+MRS!#REF!</f>
        <v>#REF!</v>
      </c>
      <c r="B16" s="167"/>
      <c r="C16" s="168"/>
      <c r="D16" s="169"/>
      <c r="E16" s="170"/>
      <c r="F16" s="171"/>
      <c r="G16" s="101"/>
      <c r="H16" s="102"/>
      <c r="I16" s="103"/>
      <c r="J16" s="103"/>
      <c r="K16" s="99"/>
      <c r="O16" s="100"/>
      <c r="P16" s="100"/>
      <c r="R16" s="100"/>
    </row>
    <row r="17" spans="1:18" ht="105" customHeight="1">
      <c r="A17" s="21" t="e">
        <f>+MRS!#REF!</f>
        <v>#REF!</v>
      </c>
      <c r="B17" s="167"/>
      <c r="C17" s="168"/>
      <c r="D17" s="169"/>
      <c r="E17" s="170"/>
      <c r="F17" s="171"/>
      <c r="G17" s="101"/>
      <c r="H17" s="102"/>
      <c r="I17" s="103"/>
      <c r="J17" s="103"/>
      <c r="K17" s="99"/>
      <c r="O17" s="100"/>
      <c r="P17" s="100"/>
      <c r="R17" s="100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5"/>
  <sheetViews>
    <sheetView view="pageBreakPreview" topLeftCell="A38" zoomScale="130" zoomScaleNormal="100" zoomScaleSheetLayoutView="130" workbookViewId="0">
      <selection activeCell="P66" sqref="P6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710937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23</v>
      </c>
    </row>
    <row r="3" spans="2:13" s="22" customFormat="1">
      <c r="M3" s="24" t="s">
        <v>24</v>
      </c>
    </row>
    <row r="4" spans="2:13" s="22" customFormat="1">
      <c r="M4" s="24" t="s">
        <v>25</v>
      </c>
    </row>
    <row r="5" spans="2:13" s="22" customFormat="1">
      <c r="B5" s="25" t="s">
        <v>26</v>
      </c>
      <c r="M5" s="24" t="s">
        <v>27</v>
      </c>
    </row>
    <row r="6" spans="2:13" s="22" customFormat="1">
      <c r="M6" s="24" t="s">
        <v>28</v>
      </c>
    </row>
    <row r="7" spans="2:13">
      <c r="M7" s="27"/>
    </row>
    <row r="8" spans="2:13">
      <c r="M8" s="27"/>
    </row>
    <row r="9" spans="2:13" s="74" customFormat="1" ht="13.5">
      <c r="B9" s="72" t="s">
        <v>29</v>
      </c>
      <c r="C9" s="73" t="s">
        <v>124</v>
      </c>
      <c r="D9" s="39"/>
      <c r="E9" s="39"/>
    </row>
    <row r="10" spans="2:13" s="39" customFormat="1">
      <c r="B10" s="72"/>
      <c r="C10" s="39" t="s">
        <v>30</v>
      </c>
      <c r="D10" s="76" t="s">
        <v>119</v>
      </c>
      <c r="J10" s="39" t="s">
        <v>31</v>
      </c>
      <c r="K10" s="124">
        <f>MRS!L3</f>
        <v>46212</v>
      </c>
      <c r="L10" s="125"/>
      <c r="M10" s="125"/>
    </row>
    <row r="11" spans="2:13" s="39" customFormat="1">
      <c r="B11" s="72"/>
      <c r="C11" s="75" t="s">
        <v>32</v>
      </c>
      <c r="D11" s="76" t="s">
        <v>118</v>
      </c>
      <c r="J11" s="39" t="s">
        <v>33</v>
      </c>
      <c r="K11" s="126" t="str">
        <f>SUBSTITUTE(SUBSTITUTE(+MRS!A3,"  MRS No : ",""),"-MRS","-PO")</f>
        <v>SAC2-DS-PO-0362</v>
      </c>
      <c r="L11" s="126"/>
      <c r="M11" s="126"/>
    </row>
    <row r="12" spans="2:13" s="39" customFormat="1">
      <c r="B12" s="72"/>
      <c r="C12" s="75" t="s">
        <v>34</v>
      </c>
      <c r="D12" s="39" t="s">
        <v>96</v>
      </c>
      <c r="J12" s="39" t="s">
        <v>35</v>
      </c>
    </row>
    <row r="13" spans="2:13" s="39" customFormat="1">
      <c r="B13" s="72"/>
      <c r="C13" s="77"/>
      <c r="D13" s="76" t="s">
        <v>104</v>
      </c>
      <c r="J13" s="39" t="s">
        <v>36</v>
      </c>
    </row>
    <row r="14" spans="2:13" s="39" customFormat="1">
      <c r="B14" s="72"/>
      <c r="C14" s="77" t="s">
        <v>105</v>
      </c>
      <c r="J14" s="39" t="s">
        <v>37</v>
      </c>
      <c r="K14" s="39" t="s">
        <v>123</v>
      </c>
    </row>
    <row r="15" spans="2:13" s="39" customFormat="1">
      <c r="B15" s="72"/>
      <c r="C15" s="77" t="s">
        <v>98</v>
      </c>
      <c r="J15" s="39" t="s">
        <v>38</v>
      </c>
      <c r="K15" s="78">
        <v>46154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27" t="s">
        <v>39</v>
      </c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</row>
    <row r="19" spans="2:13" ht="12" customHeight="1"/>
    <row r="20" spans="2:13" s="31" customFormat="1" ht="12" customHeight="1">
      <c r="B20" s="128" t="s">
        <v>40</v>
      </c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</row>
    <row r="21" spans="2:13" s="31" customFormat="1" ht="12" customHeight="1">
      <c r="B21" s="128" t="s">
        <v>41</v>
      </c>
      <c r="C21" s="128"/>
      <c r="D21" s="128"/>
      <c r="E21" s="128"/>
      <c r="F21" s="128"/>
      <c r="G21" s="128"/>
      <c r="H21" s="128"/>
      <c r="I21" s="128"/>
      <c r="J21" s="128"/>
      <c r="K21" s="128"/>
      <c r="L21" s="128"/>
      <c r="M21" s="128"/>
    </row>
    <row r="22" spans="2:13" s="31" customFormat="1" ht="12" customHeight="1">
      <c r="B22" s="128" t="s">
        <v>42</v>
      </c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</row>
    <row r="23" spans="2:13" ht="6.95" customHeight="1"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</row>
    <row r="24" spans="2:13" ht="6.95" customHeight="1">
      <c r="B24" s="130"/>
      <c r="C24" s="130"/>
      <c r="D24" s="130"/>
      <c r="E24" s="130"/>
      <c r="F24" s="130"/>
      <c r="G24" s="130"/>
      <c r="H24" s="130"/>
      <c r="I24" s="130"/>
      <c r="J24" s="130"/>
      <c r="K24" s="130"/>
      <c r="L24" s="130"/>
      <c r="M24" s="130"/>
    </row>
    <row r="25" spans="2:13" s="32" customFormat="1" ht="15" customHeight="1">
      <c r="B25" s="32">
        <v>1</v>
      </c>
      <c r="C25" s="32" t="s">
        <v>43</v>
      </c>
    </row>
    <row r="26" spans="2:13" s="39" customFormat="1" ht="12" customHeight="1">
      <c r="B26" s="26"/>
      <c r="C26" s="121" t="s">
        <v>121</v>
      </c>
      <c r="M26" s="122" t="s">
        <v>44</v>
      </c>
    </row>
    <row r="27" spans="2:13" ht="11.1" customHeight="1">
      <c r="B27" s="32"/>
    </row>
    <row r="28" spans="2:13" ht="15" customHeight="1">
      <c r="B28" s="32">
        <v>2</v>
      </c>
      <c r="C28" s="32" t="s">
        <v>45</v>
      </c>
    </row>
    <row r="29" spans="2:13" ht="12" customHeight="1">
      <c r="B29" s="32"/>
      <c r="C29" s="26" t="s">
        <v>46</v>
      </c>
      <c r="E29" s="26" t="s">
        <v>47</v>
      </c>
      <c r="F29" s="131" t="s">
        <v>117</v>
      </c>
      <c r="G29" s="131"/>
      <c r="H29" s="33"/>
      <c r="M29" s="34"/>
    </row>
    <row r="30" spans="2:13" ht="12" customHeight="1">
      <c r="B30" s="32"/>
      <c r="C30" s="26" t="s">
        <v>48</v>
      </c>
      <c r="E30" s="26" t="s">
        <v>47</v>
      </c>
      <c r="F30" s="131"/>
      <c r="G30" s="131"/>
    </row>
    <row r="31" spans="2:13" ht="12" customHeight="1">
      <c r="B31" s="32"/>
      <c r="C31" s="26" t="s">
        <v>49</v>
      </c>
      <c r="D31" s="35"/>
      <c r="E31" s="26" t="s">
        <v>47</v>
      </c>
      <c r="F31" s="131"/>
      <c r="G31" s="131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50</v>
      </c>
    </row>
    <row r="34" spans="2:13" ht="12" customHeight="1">
      <c r="B34" s="32"/>
      <c r="C34" s="22" t="s">
        <v>51</v>
      </c>
    </row>
    <row r="35" spans="2:13" ht="12" customHeight="1">
      <c r="B35" s="32"/>
      <c r="C35" s="22" t="s">
        <v>52</v>
      </c>
    </row>
    <row r="36" spans="2:13" ht="12" customHeight="1">
      <c r="B36" s="32"/>
      <c r="C36" s="22" t="s">
        <v>53</v>
      </c>
    </row>
    <row r="37" spans="2:13" ht="6" customHeight="1">
      <c r="B37" s="32"/>
    </row>
    <row r="38" spans="2:13" ht="15" customHeight="1">
      <c r="B38" s="32">
        <v>4</v>
      </c>
      <c r="C38" s="32" t="s">
        <v>54</v>
      </c>
    </row>
    <row r="39" spans="2:13" ht="12" customHeight="1">
      <c r="B39" s="32"/>
      <c r="C39" s="26" t="s">
        <v>55</v>
      </c>
    </row>
    <row r="40" spans="2:13" ht="6" customHeight="1">
      <c r="B40" s="32"/>
    </row>
    <row r="41" spans="2:13" ht="15" customHeight="1">
      <c r="B41" s="32">
        <v>5</v>
      </c>
      <c r="C41" s="32" t="s">
        <v>56</v>
      </c>
    </row>
    <row r="42" spans="2:13" ht="12" customHeight="1">
      <c r="B42" s="32"/>
      <c r="C42" s="36" t="s">
        <v>57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58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59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60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61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62</v>
      </c>
    </row>
    <row r="49" spans="2:16" s="39" customFormat="1" ht="12" customHeight="1">
      <c r="B49" s="79" t="s">
        <v>63</v>
      </c>
      <c r="C49" s="80" t="s">
        <v>102</v>
      </c>
      <c r="P49" s="81"/>
    </row>
    <row r="50" spans="2:16" s="82" customFormat="1" ht="12" customHeight="1">
      <c r="B50" s="83" t="s">
        <v>63</v>
      </c>
      <c r="C50" s="80" t="s">
        <v>92</v>
      </c>
    </row>
    <row r="51" spans="2:16" s="82" customFormat="1" ht="12" customHeight="1">
      <c r="B51" s="83" t="s">
        <v>63</v>
      </c>
      <c r="C51" s="80" t="s">
        <v>91</v>
      </c>
    </row>
    <row r="52" spans="2:16" s="82" customFormat="1" ht="4.5" customHeight="1">
      <c r="B52" s="83"/>
      <c r="C52" s="80"/>
    </row>
    <row r="53" spans="2:16" ht="15" customHeight="1">
      <c r="B53" s="42">
        <v>7</v>
      </c>
      <c r="C53" s="32" t="s">
        <v>106</v>
      </c>
    </row>
    <row r="54" spans="2:16" ht="12" customHeight="1">
      <c r="B54" s="83" t="s">
        <v>63</v>
      </c>
      <c r="C54" s="119" t="s">
        <v>107</v>
      </c>
      <c r="F54" s="26" t="s">
        <v>125</v>
      </c>
    </row>
    <row r="55" spans="2:16" ht="12" customHeight="1">
      <c r="B55" s="83" t="s">
        <v>63</v>
      </c>
      <c r="C55" s="119" t="s">
        <v>108</v>
      </c>
      <c r="F55" s="120" t="s">
        <v>126</v>
      </c>
    </row>
    <row r="56" spans="2:16" ht="12" customHeight="1">
      <c r="B56" s="83" t="s">
        <v>63</v>
      </c>
      <c r="C56" s="119" t="s">
        <v>109</v>
      </c>
      <c r="F56" s="26" t="s">
        <v>127</v>
      </c>
    </row>
    <row r="57" spans="2:16" ht="12" customHeight="1">
      <c r="B57" s="83" t="s">
        <v>63</v>
      </c>
      <c r="C57" s="119" t="s">
        <v>110</v>
      </c>
      <c r="F57" s="26" t="s">
        <v>115</v>
      </c>
    </row>
    <row r="58" spans="2:16" ht="12" customHeight="1">
      <c r="B58" s="83" t="s">
        <v>63</v>
      </c>
      <c r="C58" s="119" t="s">
        <v>111</v>
      </c>
      <c r="F58" s="26" t="s">
        <v>116</v>
      </c>
    </row>
    <row r="59" spans="2:16" ht="12" customHeight="1">
      <c r="B59" s="83" t="s">
        <v>63</v>
      </c>
      <c r="C59" s="119" t="s">
        <v>112</v>
      </c>
      <c r="F59" s="26" t="s">
        <v>113</v>
      </c>
    </row>
    <row r="60" spans="2:16" ht="12" customHeight="1">
      <c r="B60" s="83"/>
      <c r="C60" s="119" t="s">
        <v>114</v>
      </c>
    </row>
    <row r="61" spans="2:16" ht="7.5" customHeight="1">
      <c r="B61" s="42"/>
    </row>
    <row r="62" spans="2:16" ht="3" customHeight="1">
      <c r="B62" s="43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</row>
    <row r="63" spans="2:16" ht="3" customHeight="1">
      <c r="B63" s="32"/>
    </row>
    <row r="64" spans="2:16" ht="7.5" customHeight="1">
      <c r="B64" s="42"/>
    </row>
    <row r="65" spans="1:13">
      <c r="B65" s="32" t="s">
        <v>64</v>
      </c>
      <c r="J65" s="32" t="s">
        <v>65</v>
      </c>
    </row>
    <row r="66" spans="1:13" ht="47.25" customHeight="1"/>
    <row r="67" spans="1:13" ht="18" customHeight="1">
      <c r="B67" s="26" t="s">
        <v>66</v>
      </c>
      <c r="J67" s="26" t="s">
        <v>66</v>
      </c>
    </row>
    <row r="68" spans="1:13" ht="18" customHeight="1">
      <c r="B68" s="26" t="s">
        <v>67</v>
      </c>
      <c r="J68" s="26" t="s">
        <v>68</v>
      </c>
      <c r="K68" s="22" t="str">
        <f>D12</f>
        <v>Mohammad Safwan</v>
      </c>
    </row>
    <row r="69" spans="1:13" ht="18" customHeight="1">
      <c r="B69" s="26" t="s">
        <v>69</v>
      </c>
      <c r="J69" s="26" t="s">
        <v>70</v>
      </c>
      <c r="K69" s="22" t="s">
        <v>97</v>
      </c>
    </row>
    <row r="70" spans="1:13" ht="15" customHeight="1">
      <c r="B70" s="26" t="s">
        <v>71</v>
      </c>
      <c r="J70" s="26" t="s">
        <v>72</v>
      </c>
    </row>
    <row r="71" spans="1:13" s="28" customFormat="1" ht="24.75" customHeight="1">
      <c r="B71" s="25" t="s">
        <v>73</v>
      </c>
      <c r="J71" s="132" t="str">
        <f>C9</f>
        <v>TAC(Thawabit Al-jazeera Contacting Est.)</v>
      </c>
      <c r="K71" s="132"/>
      <c r="L71" s="132"/>
      <c r="M71" s="132"/>
    </row>
    <row r="72" spans="1:13" ht="27.95" customHeight="1">
      <c r="A72" s="123" t="s">
        <v>74</v>
      </c>
      <c r="B72" s="123"/>
      <c r="C72" s="123"/>
      <c r="D72" s="123"/>
      <c r="E72" s="123"/>
      <c r="F72" s="123"/>
      <c r="G72" s="123"/>
      <c r="H72" s="123"/>
      <c r="I72" s="123"/>
      <c r="J72" s="123"/>
      <c r="K72" s="123"/>
      <c r="L72" s="123"/>
      <c r="M72" s="123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  <row r="95" spans="2:2">
      <c r="B95" s="32"/>
    </row>
  </sheetData>
  <mergeCells count="13">
    <mergeCell ref="A72:M72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1:M71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4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N11" sqref="N11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75</v>
      </c>
      <c r="B2" s="47" t="str">
        <f>+'PO 1st page'!K11</f>
        <v>SAC2-DS-PO-0362</v>
      </c>
      <c r="C2" s="185" t="s">
        <v>76</v>
      </c>
      <c r="D2" s="185"/>
      <c r="E2" s="185"/>
      <c r="F2" s="185"/>
      <c r="G2" s="48"/>
      <c r="H2" s="48"/>
    </row>
    <row r="3" spans="1:13" s="54" customFormat="1" ht="28.5" customHeight="1" thickBot="1">
      <c r="A3" s="49" t="s">
        <v>77</v>
      </c>
      <c r="B3" s="50">
        <f>+'PO 1st page'!K10</f>
        <v>46212</v>
      </c>
      <c r="C3" s="51"/>
      <c r="D3" s="52"/>
      <c r="E3" s="186" t="s">
        <v>78</v>
      </c>
      <c r="F3" s="186"/>
      <c r="G3" s="186"/>
      <c r="H3" s="186"/>
      <c r="I3" s="53"/>
    </row>
    <row r="4" spans="1:13" s="55" customFormat="1" ht="28.5" customHeight="1" thickTop="1">
      <c r="A4" s="187" t="s">
        <v>79</v>
      </c>
      <c r="B4" s="189" t="s">
        <v>80</v>
      </c>
      <c r="C4" s="190"/>
      <c r="D4" s="193" t="s">
        <v>81</v>
      </c>
      <c r="E4" s="193" t="s">
        <v>82</v>
      </c>
      <c r="F4" s="195" t="str">
        <f>'PO 1st page'!C9</f>
        <v>TAC(Thawabit Al-jazeera Contacting Est.)</v>
      </c>
      <c r="G4" s="196"/>
      <c r="H4" s="197" t="s">
        <v>83</v>
      </c>
      <c r="K4" s="56"/>
      <c r="L4" s="56"/>
      <c r="M4" s="56"/>
    </row>
    <row r="5" spans="1:13" s="55" customFormat="1" ht="21.95" customHeight="1">
      <c r="A5" s="188"/>
      <c r="B5" s="191"/>
      <c r="C5" s="192"/>
      <c r="D5" s="194"/>
      <c r="E5" s="194"/>
      <c r="F5" s="57" t="s">
        <v>84</v>
      </c>
      <c r="G5" s="57" t="s">
        <v>49</v>
      </c>
      <c r="H5" s="198"/>
      <c r="K5" s="56"/>
      <c r="L5" s="56"/>
      <c r="M5" s="56"/>
    </row>
    <row r="6" spans="1:13" s="55" customFormat="1" ht="32.1" customHeight="1">
      <c r="A6" s="84">
        <f t="shared" ref="A6:A17" si="0">ROW(A1)</f>
        <v>1</v>
      </c>
      <c r="B6" s="183" t="str">
        <f>CONCATENATE(MRS!B6," ",MRS!D6)</f>
        <v xml:space="preserve">Diesel Supply </v>
      </c>
      <c r="C6" s="184"/>
      <c r="D6" s="85" t="str">
        <f>MRS!G6</f>
        <v>Ltr</v>
      </c>
      <c r="E6" s="86">
        <f>MRS!H6</f>
        <v>1</v>
      </c>
      <c r="F6" s="87">
        <f>MRS!I6</f>
        <v>1.84</v>
      </c>
      <c r="G6" s="88">
        <f>MRS!J6</f>
        <v>1.84</v>
      </c>
      <c r="H6" s="89" t="str">
        <f>MRS!L6</f>
        <v>Monthly Based</v>
      </c>
      <c r="K6" s="90"/>
      <c r="L6" s="91"/>
      <c r="M6" s="56"/>
    </row>
    <row r="7" spans="1:13" s="55" customFormat="1" ht="32.1" customHeight="1">
      <c r="A7" s="84">
        <f t="shared" si="0"/>
        <v>2</v>
      </c>
      <c r="B7" s="183"/>
      <c r="C7" s="184"/>
      <c r="D7" s="85"/>
      <c r="E7" s="86"/>
      <c r="F7" s="87"/>
      <c r="G7" s="88"/>
      <c r="H7" s="89"/>
      <c r="K7" s="90"/>
      <c r="L7" s="91"/>
      <c r="M7" s="56"/>
    </row>
    <row r="8" spans="1:13" s="55" customFormat="1" ht="32.1" customHeight="1">
      <c r="A8" s="92">
        <f t="shared" si="0"/>
        <v>3</v>
      </c>
      <c r="B8" s="183"/>
      <c r="C8" s="184"/>
      <c r="D8" s="85"/>
      <c r="E8" s="86"/>
      <c r="F8" s="87"/>
      <c r="G8" s="88"/>
      <c r="H8" s="89"/>
      <c r="K8" s="56"/>
      <c r="L8" s="56"/>
      <c r="M8" s="56"/>
    </row>
    <row r="9" spans="1:13" s="55" customFormat="1" ht="32.1" customHeight="1">
      <c r="A9" s="92">
        <f t="shared" si="0"/>
        <v>4</v>
      </c>
      <c r="B9" s="183"/>
      <c r="C9" s="184"/>
      <c r="D9" s="85"/>
      <c r="E9" s="86"/>
      <c r="F9" s="87"/>
      <c r="G9" s="88"/>
      <c r="H9" s="89"/>
    </row>
    <row r="10" spans="1:13" s="55" customFormat="1" ht="32.1" customHeight="1">
      <c r="A10" s="92">
        <f t="shared" si="0"/>
        <v>5</v>
      </c>
      <c r="B10" s="183"/>
      <c r="C10" s="184"/>
      <c r="D10" s="85"/>
      <c r="E10" s="86"/>
      <c r="F10" s="87"/>
      <c r="G10" s="88"/>
      <c r="H10" s="93"/>
    </row>
    <row r="11" spans="1:13" s="55" customFormat="1" ht="32.1" customHeight="1">
      <c r="A11" s="92">
        <f t="shared" si="0"/>
        <v>6</v>
      </c>
      <c r="B11" s="183"/>
      <c r="C11" s="184"/>
      <c r="D11" s="85"/>
      <c r="E11" s="86"/>
      <c r="F11" s="87"/>
      <c r="G11" s="88"/>
      <c r="H11" s="93"/>
    </row>
    <row r="12" spans="1:13" s="55" customFormat="1" ht="32.1" customHeight="1">
      <c r="A12" s="92">
        <f t="shared" si="0"/>
        <v>7</v>
      </c>
      <c r="B12" s="183" t="str">
        <f>CONCATENATE(MRS!B12," ",MRS!D12)</f>
        <v xml:space="preserve"> </v>
      </c>
      <c r="C12" s="184"/>
      <c r="D12" s="85"/>
      <c r="E12" s="86"/>
      <c r="F12" s="87"/>
      <c r="G12" s="88"/>
      <c r="H12" s="93"/>
    </row>
    <row r="13" spans="1:13" s="55" customFormat="1" ht="32.1" customHeight="1">
      <c r="A13" s="92">
        <f t="shared" si="0"/>
        <v>8</v>
      </c>
      <c r="B13" s="183" t="str">
        <f>CONCATENATE(MRS!B13," ",MRS!D13)</f>
        <v xml:space="preserve"> </v>
      </c>
      <c r="C13" s="184"/>
      <c r="D13" s="85"/>
      <c r="E13" s="86"/>
      <c r="F13" s="87"/>
      <c r="G13" s="88"/>
      <c r="H13" s="93"/>
    </row>
    <row r="14" spans="1:13" s="55" customFormat="1" ht="32.1" customHeight="1">
      <c r="A14" s="92">
        <f t="shared" si="0"/>
        <v>9</v>
      </c>
      <c r="B14" s="183" t="str">
        <f>CONCATENATE(MRS!B14," ",MRS!D14)</f>
        <v xml:space="preserve"> </v>
      </c>
      <c r="C14" s="184"/>
      <c r="D14" s="85"/>
      <c r="E14" s="86"/>
      <c r="F14" s="87"/>
      <c r="G14" s="88"/>
      <c r="H14" s="93"/>
    </row>
    <row r="15" spans="1:13" s="55" customFormat="1" ht="32.1" customHeight="1">
      <c r="A15" s="92">
        <f t="shared" si="0"/>
        <v>10</v>
      </c>
      <c r="B15" s="183" t="str">
        <f>CONCATENATE(MRS!B15," ",MRS!D15)</f>
        <v xml:space="preserve"> </v>
      </c>
      <c r="C15" s="184"/>
      <c r="D15" s="85"/>
      <c r="E15" s="86"/>
      <c r="F15" s="87"/>
      <c r="G15" s="88"/>
      <c r="H15" s="93"/>
    </row>
    <row r="16" spans="1:13" s="55" customFormat="1" ht="32.1" customHeight="1">
      <c r="A16" s="92">
        <f t="shared" si="0"/>
        <v>11</v>
      </c>
      <c r="B16" s="183" t="str">
        <f>CONCATENATE(MRS!B16," ",MRS!D16)</f>
        <v xml:space="preserve"> </v>
      </c>
      <c r="C16" s="184"/>
      <c r="D16" s="85"/>
      <c r="E16" s="86"/>
      <c r="F16" s="87"/>
      <c r="G16" s="88"/>
      <c r="H16" s="93"/>
    </row>
    <row r="17" spans="1:13" s="55" customFormat="1" ht="32.1" customHeight="1">
      <c r="A17" s="92">
        <f t="shared" si="0"/>
        <v>12</v>
      </c>
      <c r="B17" s="183" t="str">
        <f>CONCATENATE(MRS!B17," ",MRS!D17)</f>
        <v xml:space="preserve"> </v>
      </c>
      <c r="C17" s="184"/>
      <c r="D17" s="85"/>
      <c r="E17" s="86"/>
      <c r="F17" s="87"/>
      <c r="G17" s="88"/>
      <c r="H17" s="93"/>
    </row>
    <row r="18" spans="1:13" s="55" customFormat="1" ht="23.1" customHeight="1">
      <c r="A18" s="179" t="s">
        <v>85</v>
      </c>
      <c r="B18" s="180"/>
      <c r="C18" s="180"/>
      <c r="D18" s="180"/>
      <c r="E18" s="180"/>
      <c r="F18" s="180"/>
      <c r="G18" s="58">
        <f>SUM(G6:G17)</f>
        <v>1.84</v>
      </c>
      <c r="H18" s="59"/>
    </row>
    <row r="19" spans="1:13" s="55" customFormat="1" ht="23.1" customHeight="1">
      <c r="A19" s="179" t="s">
        <v>48</v>
      </c>
      <c r="B19" s="180"/>
      <c r="C19" s="180"/>
      <c r="D19" s="180"/>
      <c r="E19" s="180"/>
      <c r="F19" s="180"/>
      <c r="G19" s="58">
        <f>+G18*0.15</f>
        <v>0.27600000000000002</v>
      </c>
      <c r="H19" s="59"/>
    </row>
    <row r="20" spans="1:13" s="55" customFormat="1" ht="24.95" customHeight="1" thickBot="1">
      <c r="A20" s="181" t="s">
        <v>86</v>
      </c>
      <c r="B20" s="182"/>
      <c r="C20" s="182"/>
      <c r="D20" s="182"/>
      <c r="E20" s="182"/>
      <c r="F20" s="182"/>
      <c r="G20" s="60">
        <f>G19+G18</f>
        <v>2.1160000000000001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TAC/HYUNDAI/EQ-01-2026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87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23" t="s">
        <v>88</v>
      </c>
      <c r="B24" s="123"/>
      <c r="C24" s="123"/>
      <c r="D24" s="123"/>
      <c r="E24" s="123"/>
      <c r="F24" s="123"/>
      <c r="G24" s="123"/>
      <c r="H24" s="123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2026-07-11T14:23:24Z</cp:lastPrinted>
  <dcterms:created xsi:type="dcterms:W3CDTF">2024-10-20T11:50:19Z</dcterms:created>
  <dcterms:modified xsi:type="dcterms:W3CDTF">2026-07-11T14:25:54Z</dcterms:modified>
</cp:coreProperties>
</file>