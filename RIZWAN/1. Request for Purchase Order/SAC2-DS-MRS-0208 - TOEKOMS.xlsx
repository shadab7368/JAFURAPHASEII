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61F2EBE-AA80-4080-A8D1-FB458D600E4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H7" i="4"/>
  <c r="J7" i="1"/>
  <c r="J7" i="2" s="1"/>
  <c r="G7" i="4" s="1"/>
  <c r="H6" i="4"/>
  <c r="J8" i="2"/>
  <c r="I8" i="2"/>
  <c r="H8" i="2"/>
  <c r="G8" i="2"/>
  <c r="I7" i="2"/>
  <c r="F7" i="4" s="1"/>
  <c r="H7" i="2"/>
  <c r="E7" i="4" s="1"/>
  <c r="G7" i="2"/>
  <c r="D7" i="4" s="1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<sst xmlns="http://schemas.openxmlformats.org/spreadsheetml/2006/main" count="177" uniqueCount="137">
  <si>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</si>
  <si>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</si>
  <si>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</si>
  <si>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</si>
  <si>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</si>
  <si>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</si>
  <si>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</si>
  <si>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</si>
  <si>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</si>
  <si>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</si>
  <si>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</si>
  <si>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</si>
  <si>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</si>
  <si>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</si>
  <si>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</si>
  <si>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</si>
  <si>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</si>
  <si>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</si>
  <si>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</si>
  <si>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</si>
  <si>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</si>
  <si>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</si>
  <si>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</si>
  <si>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</si>
  <si>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</si>
  <si>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</si>
  <si>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</si>
  <si>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</si>
  <si>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</si>
  <si>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</si>
  <si>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</si>
  <si>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</si>
  <si>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</si>
  <si>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</si>
  <si>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</si>
  <si>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</si>
  <si>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</si>
  <si>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</si>
  <si>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</si>
  <si>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</si>
  <si>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</si>
  <si>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</si>
  <si>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</si>
  <si>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</si>
  <si>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</si>
  <si>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</si>
  <si>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</si>
  <si>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</si>
  <si>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</si>
  <si>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</si>
  <si>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</si>
  <si>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</si>
  <si>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</si>
  <si>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</si>
  <si>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</si>
  <si>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</si>
  <si>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</si>
  <si>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</si>
  <si>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</si>
  <si>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</si>
  <si>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</si>
  <si>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</si>
  <si>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</si>
  <si>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</si>
  <si>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</si>
  <si>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</si>
  <si>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</si>
  <si>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</si>
  <si>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</si>
  <si>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</si>
  <si>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</si>
  <si>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</si>
  <si>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</si>
  <si>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</si>
  <si>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</si>
  <si>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</si>
  <si>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</si>
  <si>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</si>
  <si>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</si>
  <si>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</si>
  <si>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</si>
  <si>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</si>
  <si>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</si>
  <si>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</si>
  <si>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</si>
  <si>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</si>
  <si>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</si>
  <si>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</si>
  <si>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</si>
  <si>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</si>
  <si>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</si>
  <si>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</si>
  <si>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</si>
  <si>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</si>
  <si>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</si>
  <si>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</si>
  <si>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</si>
  <si>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</si>
  <si>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</si>
  <si>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</si>
  <si>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</si>
  <si>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</si>
  <si>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</si>
  <si>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</si>
  <si>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</si>
  <si>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</si>
  <si>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TCO</t>
  </si>
  <si>
    <t>TCO(Toekoms Contracting Company)</t>
  </si>
  <si>
    <t>Sales Manager</t>
  </si>
  <si>
    <t>2055104793</t>
  </si>
  <si>
    <t>+966 54 3677555 / email:nazar@toekomsksa.com</t>
  </si>
  <si>
    <t>Al Dakhal Al Mahdud Subdivision, Al Jubail, KSA 35513</t>
  </si>
  <si>
    <t>Mobile : +966 54 3677555</t>
  </si>
  <si>
    <t>Forklift</t>
  </si>
  <si>
    <t>Forklift Mob &amp; De-Mob. Charge</t>
  </si>
  <si>
    <t>BRANCH OF HYUNDAI ENG. &amp; CONST. CO., LTD.</t>
  </si>
  <si>
    <t>Branch of Hyundai Engineering and Const. Co., Ltd. (HDEC)</t>
  </si>
  <si>
    <t>311236456300003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</si>
  <si>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</si>
  <si>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</si>
  <si>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</si>
  <si>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</si>
  <si>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</si>
  <si>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</si>
  <si>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</si>
  <si>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</si>
  <si>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</si>
  <si>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</si>
  <si>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</si>
  <si>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TOEKOMS CONTRACTING COMPANY</t>
  </si>
  <si>
    <t>14748859000103</t>
  </si>
  <si>
    <t>SA0610000014748859000103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</si>
  <si>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-MRS-0208</t>
    </r>
  </si>
  <si>
    <t>10 Ton with Aramco Operator</t>
  </si>
  <si>
    <t>S10026</t>
  </si>
  <si>
    <t>10 ton Forklift with Aramco Operator</t>
  </si>
  <si>
    <t>Mudassar Nazar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</si>
</sst>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14" fillId="3" borderId="0" xfId="5" quotePrefix="1" applyFont="1" applyFill="1"/>
    <xf numFmtId="0" fontId="56" fillId="3" borderId="0" xfId="5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30" t="s">
        <v>98</v>
      </c>
      <c r="K1" s="131"/>
      <c r="L1" s="132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33" t="s">
        <v>101</v>
      </c>
      <c r="K2" s="134"/>
      <c r="L2" s="135"/>
    </row>
    <row r="3" spans="1:19" ht="20.100000000000001" customHeight="1">
      <c r="A3" s="3" t="s">
        <v>132</v>
      </c>
      <c r="B3" s="102"/>
      <c r="C3" s="102"/>
      <c r="D3" s="102"/>
      <c r="E3" s="136">
        <f>+L3</f>
        <v>46037</v>
      </c>
      <c r="F3" s="136"/>
      <c r="G3" s="136"/>
      <c r="H3" s="136"/>
      <c r="I3" s="136"/>
      <c r="J3" s="102"/>
      <c r="K3" s="102"/>
      <c r="L3" s="123">
        <v>46037</v>
      </c>
      <c r="M3" s="4"/>
    </row>
    <row r="4" spans="1:19" ht="15.95" customHeight="1">
      <c r="A4" s="137" t="s">
        <v>1</v>
      </c>
      <c r="B4" s="138" t="s">
        <v>2</v>
      </c>
      <c r="C4" s="138"/>
      <c r="D4" s="139" t="s">
        <v>3</v>
      </c>
      <c r="E4" s="140"/>
      <c r="F4" s="141"/>
      <c r="G4" s="145" t="s">
        <v>4</v>
      </c>
      <c r="H4" s="147" t="s">
        <v>5</v>
      </c>
      <c r="I4" s="147" t="s">
        <v>94</v>
      </c>
      <c r="J4" s="137" t="s">
        <v>95</v>
      </c>
      <c r="K4" s="147" t="s">
        <v>0</v>
      </c>
      <c r="L4" s="138" t="s">
        <v>6</v>
      </c>
    </row>
    <row r="5" spans="1:19" ht="15.95" customHeight="1">
      <c r="A5" s="137"/>
      <c r="B5" s="138"/>
      <c r="C5" s="138"/>
      <c r="D5" s="142"/>
      <c r="E5" s="143"/>
      <c r="F5" s="144"/>
      <c r="G5" s="146"/>
      <c r="H5" s="148"/>
      <c r="I5" s="148"/>
      <c r="J5" s="137"/>
      <c r="K5" s="148"/>
      <c r="L5" s="138"/>
    </row>
    <row r="6" spans="1:19" ht="22.5" customHeight="1">
      <c r="A6" s="5">
        <f t="shared" ref="A6:A15" si="0">ROW(A1)</f>
        <v>1</v>
      </c>
      <c r="B6" s="149" t="s">
        <v>113</v>
      </c>
      <c r="C6" s="150"/>
      <c r="D6" s="151" t="s">
        <v>133</v>
      </c>
      <c r="E6" s="152"/>
      <c r="F6" s="153"/>
      <c r="G6" s="112" t="s">
        <v>89</v>
      </c>
      <c r="H6" s="113">
        <v>1</v>
      </c>
      <c r="I6" s="114">
        <v>23000</v>
      </c>
      <c r="J6" s="114">
        <f>H6*I6</f>
        <v>23000</v>
      </c>
      <c r="K6" s="115" t="s">
        <v>106</v>
      </c>
      <c r="L6" s="116" t="s">
        <v>96</v>
      </c>
      <c r="S6" s="107"/>
    </row>
    <row r="7" spans="1:19" ht="22.5" customHeight="1">
      <c r="A7" s="5">
        <f t="shared" si="0"/>
        <v>2</v>
      </c>
      <c r="B7" s="149" t="s">
        <v>114</v>
      </c>
      <c r="C7" s="150"/>
      <c r="D7" s="154" t="s">
        <v>103</v>
      </c>
      <c r="E7" s="152"/>
      <c r="F7" s="153"/>
      <c r="G7" s="112" t="s">
        <v>104</v>
      </c>
      <c r="H7" s="113">
        <v>1</v>
      </c>
      <c r="I7" s="114">
        <v>5000</v>
      </c>
      <c r="J7" s="114">
        <f>H7*I7</f>
        <v>5000</v>
      </c>
      <c r="K7" s="115"/>
      <c r="L7" s="116" t="s">
        <v>105</v>
      </c>
      <c r="S7" s="107"/>
    </row>
    <row r="8" spans="1:19" ht="22.5" customHeight="1">
      <c r="A8" s="5">
        <f t="shared" si="0"/>
        <v>3</v>
      </c>
      <c r="B8" s="149"/>
      <c r="C8" s="150"/>
      <c r="D8" s="154"/>
      <c r="E8" s="152"/>
      <c r="F8" s="15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9"/>
      <c r="C9" s="150"/>
      <c r="D9" s="151"/>
      <c r="E9" s="152"/>
      <c r="F9" s="15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5"/>
      <c r="C10" s="155"/>
      <c r="D10" s="156"/>
      <c r="E10" s="156"/>
      <c r="F10" s="156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9"/>
      <c r="C11" s="150"/>
      <c r="D11" s="151"/>
      <c r="E11" s="152"/>
      <c r="F11" s="15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5"/>
      <c r="C12" s="155"/>
      <c r="D12" s="156"/>
      <c r="E12" s="156"/>
      <c r="F12" s="156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9"/>
      <c r="C13" s="150"/>
      <c r="D13" s="151"/>
      <c r="E13" s="152"/>
      <c r="F13" s="15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9"/>
      <c r="C14" s="150"/>
      <c r="D14" s="151"/>
      <c r="E14" s="152"/>
      <c r="F14" s="15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9"/>
      <c r="C15" s="150"/>
      <c r="D15" s="151"/>
      <c r="E15" s="152"/>
      <c r="F15" s="15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7" t="s">
        <v>7</v>
      </c>
      <c r="B16" s="158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28000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9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60"/>
      <c r="T19" s="14"/>
      <c r="U19" s="15"/>
      <c r="V19" s="14"/>
    </row>
    <row r="20" spans="1:22" ht="17.100000000000001" customHeight="1">
      <c r="O20" s="11"/>
      <c r="P20" s="11"/>
      <c r="Q20" s="11"/>
      <c r="S20" s="161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2" t="s">
        <v>16</v>
      </c>
      <c r="Q21" s="162" t="s">
        <v>17</v>
      </c>
    </row>
    <row r="22" spans="1:22" ht="18" customHeight="1">
      <c r="O22" s="18" t="s">
        <v>18</v>
      </c>
      <c r="P22" s="163"/>
      <c r="Q22" s="163"/>
      <c r="S22" s="159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60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61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4"/>
      <c r="P27" s="164"/>
      <c r="Q27" s="164"/>
    </row>
    <row r="28" spans="1:22" ht="19.899999999999999" customHeight="1">
      <c r="O28" s="164"/>
      <c r="P28" s="164"/>
      <c r="Q28" s="16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20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20</v>
      </c>
      <c r="P46" s="162" t="s">
        <v>20</v>
      </c>
      <c r="Q46" s="162" t="s">
        <v>20</v>
      </c>
      <c r="T46" s="162" t="s">
        <v>21</v>
      </c>
      <c r="U46" s="162" t="s">
        <v>12</v>
      </c>
      <c r="V46" s="162" t="s">
        <v>20</v>
      </c>
    </row>
    <row r="47" spans="15:22" ht="21" customHeight="1">
      <c r="O47" s="163"/>
      <c r="P47" s="163"/>
      <c r="Q47" s="163"/>
      <c r="T47" s="161"/>
      <c r="U47" s="161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20</v>
      </c>
      <c r="P50" s="162" t="s">
        <v>20</v>
      </c>
      <c r="Q50" s="162" t="s">
        <v>20</v>
      </c>
      <c r="T50" s="162" t="s">
        <v>12</v>
      </c>
      <c r="U50" s="162" t="s">
        <v>21</v>
      </c>
      <c r="V50" s="162" t="s">
        <v>20</v>
      </c>
    </row>
    <row r="51" spans="15:22" ht="21" customHeight="1">
      <c r="O51" s="163"/>
      <c r="P51" s="163"/>
      <c r="Q51" s="163"/>
      <c r="T51" s="161"/>
      <c r="U51" s="161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5" t="str">
        <f>+MRS!J1</f>
        <v>DAESHIN PLANT</v>
      </c>
      <c r="K1" s="166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7" t="str">
        <f>+MRS!J2</f>
        <v>Subcontract name (SAC2-SC-IK-SMP-01)</v>
      </c>
      <c r="K2" s="168"/>
    </row>
    <row r="3" spans="1:18" ht="24.95" customHeight="1">
      <c r="A3" s="3" t="str">
        <f>+MRS!A3</f>
        <v xml:space="preserve">  MRS No : SAC2-DS-MRS-0208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46037</v>
      </c>
    </row>
    <row r="4" spans="1:18" ht="15.95" customHeight="1">
      <c r="A4" s="169" t="s">
        <v>1</v>
      </c>
      <c r="B4" s="170" t="s">
        <v>22</v>
      </c>
      <c r="C4" s="170"/>
      <c r="D4" s="169" t="s">
        <v>3</v>
      </c>
      <c r="E4" s="169"/>
      <c r="F4" s="169"/>
      <c r="G4" s="170" t="s">
        <v>4</v>
      </c>
      <c r="H4" s="169" t="s">
        <v>90</v>
      </c>
      <c r="I4" s="169" t="s">
        <v>23</v>
      </c>
      <c r="J4" s="169" t="s">
        <v>24</v>
      </c>
      <c r="K4" s="170" t="s">
        <v>6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71" t="str">
        <f>MRS!B6</f>
        <v>Forklift</v>
      </c>
      <c r="C6" s="172"/>
      <c r="D6" s="173" t="str">
        <f>MRS!D6</f>
        <v>10 Ton with Aramco Operator</v>
      </c>
      <c r="E6" s="174"/>
      <c r="F6" s="175"/>
      <c r="G6" s="104" t="str">
        <f>MRS!G6</f>
        <v>Month</v>
      </c>
      <c r="H6" s="104">
        <f>MRS!H6</f>
        <v>1</v>
      </c>
      <c r="I6" s="105">
        <f>MRS!I6</f>
        <v>23000</v>
      </c>
      <c r="J6" s="105">
        <f>MRS!J6</f>
        <v>23000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71" t="str">
        <f>MRS!B7</f>
        <v>Forklift Mob &amp; De-Mob. Charge</v>
      </c>
      <c r="C7" s="172"/>
      <c r="D7" s="173" t="str">
        <f>MRS!D7</f>
        <v>Mob. &amp; De-Mob. / per unit - lump sum</v>
      </c>
      <c r="E7" s="174"/>
      <c r="F7" s="175"/>
      <c r="G7" s="104" t="str">
        <f>MRS!G7</f>
        <v>L / S</v>
      </c>
      <c r="H7" s="104">
        <f>MRS!H7</f>
        <v>1</v>
      </c>
      <c r="I7" s="105">
        <f>MRS!I7</f>
        <v>5000</v>
      </c>
      <c r="J7" s="105">
        <f>MRS!J7</f>
        <v>5000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71">
        <f>MRS!B8</f>
        <v>0</v>
      </c>
      <c r="C8" s="172"/>
      <c r="D8" s="173">
        <f>MRS!D8</f>
        <v>0</v>
      </c>
      <c r="E8" s="174"/>
      <c r="F8" s="175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6"/>
      <c r="C9" s="177"/>
      <c r="D9" s="178"/>
      <c r="E9" s="179"/>
      <c r="F9" s="180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6"/>
      <c r="C10" s="177"/>
      <c r="D10" s="178"/>
      <c r="E10" s="179"/>
      <c r="F10" s="180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6"/>
      <c r="C11" s="177"/>
      <c r="D11" s="178"/>
      <c r="E11" s="179"/>
      <c r="F11" s="180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6"/>
      <c r="C12" s="177"/>
      <c r="D12" s="178"/>
      <c r="E12" s="179"/>
      <c r="F12" s="180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6"/>
      <c r="C13" s="177"/>
      <c r="D13" s="178"/>
      <c r="E13" s="179"/>
      <c r="F13" s="180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6"/>
      <c r="C14" s="177"/>
      <c r="D14" s="178"/>
      <c r="E14" s="179"/>
      <c r="F14" s="180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6"/>
      <c r="C15" s="177"/>
      <c r="D15" s="178"/>
      <c r="E15" s="179"/>
      <c r="F15" s="180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6"/>
      <c r="C16" s="177"/>
      <c r="D16" s="178"/>
      <c r="E16" s="179"/>
      <c r="F16" s="180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6"/>
      <c r="C17" s="177"/>
      <c r="D17" s="178"/>
      <c r="E17" s="179"/>
      <c r="F17" s="180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C16" sqref="C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115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107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82">
        <f>MRS!L3</f>
        <v>46037</v>
      </c>
      <c r="L10" s="183"/>
      <c r="M10" s="183"/>
    </row>
    <row r="11" spans="2:13" s="39" customFormat="1">
      <c r="B11" s="72"/>
      <c r="C11" s="75" t="s">
        <v>33</v>
      </c>
      <c r="D11" s="76" t="s">
        <v>117</v>
      </c>
      <c r="J11" s="39" t="s">
        <v>34</v>
      </c>
      <c r="K11" s="184" t="str">
        <f>SUBSTITUTE(SUBSTITUTE(+MRS!A3,"  MRS No : ",""),"-MRS","-PO")</f>
        <v>SAC2-DS-PO-0208</v>
      </c>
      <c r="L11" s="184"/>
      <c r="M11" s="184"/>
    </row>
    <row r="12" spans="2:13" s="39" customFormat="1">
      <c r="B12" s="72"/>
      <c r="C12" s="75" t="s">
        <v>35</v>
      </c>
      <c r="D12" s="39" t="s">
        <v>136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111</v>
      </c>
      <c r="J14" s="39" t="s">
        <v>38</v>
      </c>
      <c r="K14" s="39" t="s">
        <v>134</v>
      </c>
    </row>
    <row r="15" spans="2:13" s="39" customFormat="1">
      <c r="B15" s="72"/>
      <c r="C15" s="77" t="s">
        <v>112</v>
      </c>
      <c r="J15" s="39" t="s">
        <v>39</v>
      </c>
      <c r="K15" s="78">
        <v>46036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5" t="s">
        <v>40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31" customFormat="1" ht="12" customHeight="1">
      <c r="B20" s="186" t="s">
        <v>41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31" customFormat="1" ht="12" customHeight="1">
      <c r="B21" s="186" t="s">
        <v>42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31" customFormat="1" ht="12" customHeight="1">
      <c r="B22" s="186" t="s">
        <v>43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5" t="s">
        <v>135</v>
      </c>
      <c r="H26" s="128"/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9" t="s">
        <v>96</v>
      </c>
      <c r="G29" s="189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9"/>
      <c r="G30" s="189"/>
    </row>
    <row r="31" spans="2:13" ht="12" customHeight="1">
      <c r="B31" s="32"/>
      <c r="C31" s="26" t="s">
        <v>50</v>
      </c>
      <c r="D31" s="35"/>
      <c r="E31" s="26" t="s">
        <v>48</v>
      </c>
      <c r="F31" s="189"/>
      <c r="G31" s="189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102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118</v>
      </c>
    </row>
    <row r="54" spans="2:16" ht="12" customHeight="1">
      <c r="B54" s="84" t="s">
        <v>64</v>
      </c>
      <c r="C54" s="126" t="s">
        <v>119</v>
      </c>
      <c r="F54" s="26" t="s">
        <v>129</v>
      </c>
      <c r="P54" s="26" t="str">
        <f>UPPER(F54)</f>
        <v>TOEKOMS CONTRACTING COMPANY</v>
      </c>
    </row>
    <row r="55" spans="2:16" ht="12" customHeight="1">
      <c r="B55" s="84" t="s">
        <v>64</v>
      </c>
      <c r="C55" s="126" t="s">
        <v>120</v>
      </c>
      <c r="F55" s="127" t="s">
        <v>130</v>
      </c>
    </row>
    <row r="56" spans="2:16" ht="12" customHeight="1">
      <c r="B56" s="84" t="s">
        <v>64</v>
      </c>
      <c r="C56" s="126" t="s">
        <v>121</v>
      </c>
      <c r="F56" s="127" t="s">
        <v>131</v>
      </c>
    </row>
    <row r="57" spans="2:16" ht="12" customHeight="1">
      <c r="B57" s="84" t="s">
        <v>64</v>
      </c>
      <c r="C57" s="126" t="s">
        <v>122</v>
      </c>
      <c r="F57" s="26" t="s">
        <v>123</v>
      </c>
    </row>
    <row r="58" spans="2:16" ht="12" customHeight="1">
      <c r="B58" s="84" t="s">
        <v>64</v>
      </c>
      <c r="C58" s="126" t="s">
        <v>124</v>
      </c>
      <c r="F58" s="26" t="s">
        <v>125</v>
      </c>
    </row>
    <row r="59" spans="2:16" ht="12" customHeight="1">
      <c r="B59" s="84" t="s">
        <v>64</v>
      </c>
      <c r="C59" s="126" t="s">
        <v>126</v>
      </c>
      <c r="F59" s="26" t="s">
        <v>127</v>
      </c>
    </row>
    <row r="60" spans="2:16" ht="12" customHeight="1">
      <c r="B60" s="84"/>
      <c r="C60" s="129" t="s">
        <v>128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5" customHeight="1">
      <c r="B67" s="26" t="s">
        <v>68</v>
      </c>
      <c r="J67" s="26" t="s">
        <v>69</v>
      </c>
      <c r="K67" s="22" t="str">
        <f>UPPER(D12)</f>
        <v>MUDASSAR NAZAR</v>
      </c>
    </row>
    <row r="68" spans="1:13" ht="15" customHeight="1">
      <c r="B68" s="26" t="s">
        <v>70</v>
      </c>
      <c r="J68" s="26" t="s">
        <v>71</v>
      </c>
      <c r="K68" s="22" t="s">
        <v>108</v>
      </c>
    </row>
    <row r="69" spans="1:13" ht="14.25" customHeight="1">
      <c r="B69" s="26" t="s">
        <v>72</v>
      </c>
      <c r="J69" s="26" t="s">
        <v>73</v>
      </c>
    </row>
    <row r="70" spans="1:13" s="28" customFormat="1" ht="15" customHeight="1">
      <c r="B70" s="25" t="s">
        <v>116</v>
      </c>
      <c r="J70" s="25" t="str">
        <f>C9</f>
        <v>TCO(Toekoms Contracting Company)</v>
      </c>
    </row>
    <row r="71" spans="1:13" ht="27.95" customHeight="1">
      <c r="A71" s="181" t="s">
        <v>74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SAC2-DS-PO-0208</v>
      </c>
      <c r="C2" s="192" t="s">
        <v>76</v>
      </c>
      <c r="D2" s="192"/>
      <c r="E2" s="192"/>
      <c r="F2" s="192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46037</v>
      </c>
      <c r="C3" s="51"/>
      <c r="D3" s="52"/>
      <c r="E3" s="193" t="s">
        <v>78</v>
      </c>
      <c r="F3" s="193"/>
      <c r="G3" s="193"/>
      <c r="H3" s="193"/>
      <c r="I3" s="53"/>
    </row>
    <row r="4" spans="1:13" s="55" customFormat="1" ht="28.5" customHeight="1" thickTop="1">
      <c r="A4" s="194" t="s">
        <v>79</v>
      </c>
      <c r="B4" s="196" t="s">
        <v>80</v>
      </c>
      <c r="C4" s="197"/>
      <c r="D4" s="200" t="s">
        <v>81</v>
      </c>
      <c r="E4" s="200" t="s">
        <v>82</v>
      </c>
      <c r="F4" s="202" t="str">
        <f>'PO 1st page'!C9</f>
        <v>TCO(Toekoms Contracting Company)</v>
      </c>
      <c r="G4" s="203"/>
      <c r="H4" s="204" t="s">
        <v>83</v>
      </c>
      <c r="K4" s="56"/>
      <c r="L4" s="56"/>
      <c r="M4" s="56"/>
    </row>
    <row r="5" spans="1:13" s="55" customFormat="1" ht="21.95" customHeight="1">
      <c r="A5" s="195"/>
      <c r="B5" s="198"/>
      <c r="C5" s="199"/>
      <c r="D5" s="201"/>
      <c r="E5" s="201"/>
      <c r="F5" s="57" t="s">
        <v>84</v>
      </c>
      <c r="G5" s="57" t="s">
        <v>50</v>
      </c>
      <c r="H5" s="20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6" t="str">
        <f>CONCATENATE(MRS!B6," ",MRS!D6)</f>
        <v>Forklift 10 Ton with Aramco Operator</v>
      </c>
      <c r="C6" s="207"/>
      <c r="D6" s="86" t="str">
        <f>+'MRS LIST'!G6</f>
        <v>Month</v>
      </c>
      <c r="E6" s="87">
        <f>+'MRS LIST'!H6</f>
        <v>1</v>
      </c>
      <c r="F6" s="88">
        <f>+'MRS LIST'!I6</f>
        <v>23000</v>
      </c>
      <c r="G6" s="89">
        <f>+'MRS LIST'!J6</f>
        <v>23000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6" t="str">
        <f>+'MRS LIST'!B7</f>
        <v>Forklift Mob &amp; De-Mob. Charge</v>
      </c>
      <c r="C7" s="207"/>
      <c r="D7" s="86" t="str">
        <f>+'MRS LIST'!G7</f>
        <v>L / S</v>
      </c>
      <c r="E7" s="87">
        <f>+'MRS LIST'!H7</f>
        <v>1</v>
      </c>
      <c r="F7" s="88">
        <f>+'MRS LIST'!I7</f>
        <v>5000</v>
      </c>
      <c r="G7" s="89">
        <f>+'MRS LIST'!J7</f>
        <v>5000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6"/>
      <c r="C8" s="20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0"/>
      <c r="C9" s="191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0"/>
      <c r="C10" s="191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0"/>
      <c r="C11" s="19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0"/>
      <c r="C12" s="19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0"/>
      <c r="C13" s="19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0"/>
      <c r="C14" s="19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0"/>
      <c r="C15" s="19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0"/>
      <c r="C16" s="19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0"/>
      <c r="C17" s="191"/>
      <c r="D17" s="94"/>
      <c r="E17" s="95"/>
      <c r="F17" s="96"/>
      <c r="G17" s="97"/>
      <c r="H17" s="98"/>
    </row>
    <row r="18" spans="1:13" s="55" customFormat="1" ht="23.1" customHeight="1">
      <c r="A18" s="208" t="s">
        <v>85</v>
      </c>
      <c r="B18" s="209"/>
      <c r="C18" s="209"/>
      <c r="D18" s="209"/>
      <c r="E18" s="209"/>
      <c r="F18" s="209"/>
      <c r="G18" s="58">
        <f>SUM(G6:G17)</f>
        <v>28000</v>
      </c>
      <c r="H18" s="59"/>
    </row>
    <row r="19" spans="1:13" s="55" customFormat="1" ht="23.1" customHeight="1">
      <c r="A19" s="208" t="s">
        <v>49</v>
      </c>
      <c r="B19" s="209"/>
      <c r="C19" s="209"/>
      <c r="D19" s="209"/>
      <c r="E19" s="209"/>
      <c r="F19" s="209"/>
      <c r="G19" s="58">
        <f>+G18*0.15</f>
        <v>4200</v>
      </c>
      <c r="H19" s="59"/>
    </row>
    <row r="20" spans="1:13" s="55" customFormat="1" ht="24.95" customHeight="1" thickBot="1">
      <c r="A20" s="210" t="s">
        <v>86</v>
      </c>
      <c r="B20" s="211"/>
      <c r="C20" s="211"/>
      <c r="D20" s="211"/>
      <c r="E20" s="211"/>
      <c r="F20" s="211"/>
      <c r="G20" s="60">
        <f>G19+G18</f>
        <v>32200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S10026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81" t="s">
        <v>88</v>
      </c>
      <c r="B24" s="181"/>
      <c r="C24" s="181"/>
      <c r="D24" s="181"/>
      <c r="E24" s="181"/>
      <c r="F24" s="181"/>
      <c r="G24" s="181"/>
      <c r="H24" s="18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2026-01-20T02:45:47Z</cp:lastPrinted>
  <dcterms:created xsi:type="dcterms:W3CDTF">2024-10-20T11:50:19Z</dcterms:created>
  <dcterms:modified xsi:type="dcterms:W3CDTF">2026-01-20T02:48:31Z</dcterms:modified>
</cp:coreProperties>
</file>