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EQUIPMENT LPO\"/>
    </mc:Choice>
  </mc:AlternateContent>
  <xr:revisionPtr revIDLastSave="0" documentId="13_ncr:1_{068247AB-BE21-49B3-9399-9998E5D187FB}" xr6:coauthVersionLast="47" xr6:coauthVersionMax="47" xr10:uidLastSave="{00000000-0000-0000-0000-000000000000}"/>
  <bookViews>
    <workbookView xWindow="-120" yWindow="-120" windowWidth="29040" windowHeight="1584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2" l="1"/>
  <c r="G8" i="4" s="1"/>
  <c r="I8" i="2"/>
  <c r="F8" i="4" s="1"/>
  <c r="H8" i="2"/>
  <c r="E8" i="4" s="1"/>
  <c r="G8" i="2"/>
  <c r="D8" i="4" s="1"/>
  <c r="D8" i="2"/>
  <c r="B8" i="2"/>
  <c r="B8" i="4" s="1"/>
  <c r="H8" i="4"/>
  <c r="J8" i="1"/>
  <c r="H7" i="4"/>
  <c r="H6" i="4"/>
  <c r="K59" i="3"/>
  <c r="E3" i="1"/>
  <c r="E7" i="4"/>
  <c r="H7" i="2"/>
  <c r="G7" i="2"/>
  <c r="D7" i="4" s="1"/>
  <c r="D7" i="2"/>
  <c r="B7" i="2"/>
  <c r="B7" i="4" s="1"/>
  <c r="J7" i="1"/>
  <c r="J6" i="1" l="1"/>
  <c r="K10" i="3"/>
  <c r="A21" i="4" l="1"/>
  <c r="J7" i="2"/>
  <c r="G7" i="4" s="1"/>
  <c r="I7" i="2"/>
  <c r="F7" i="4" s="1"/>
  <c r="I6" i="2"/>
  <c r="F6" i="4" s="1"/>
  <c r="H6" i="2"/>
  <c r="E6" i="4" s="1"/>
  <c r="G6" i="2"/>
  <c r="D6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<sst xmlns="http://schemas.openxmlformats.org/spreadsheetml/2006/main" count="163" uniqueCount="125">
  <si>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</si>
  <si>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</si>
  <si>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</si>
  <si>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</si>
  <si>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</si>
  <si>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</si>
  <si>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</si>
  <si>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</si>
  <si>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</si>
  <si>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</si>
  <si>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</si>
  <si>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</si>
  <si>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</si>
  <si>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</si>
  <si>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</si>
  <si>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</si>
  <si>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</si>
  <si>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</si>
  <si>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</si>
  <si>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</si>
  <si>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</si>
  <si>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</si>
  <si>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</si>
  <si>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</si>
  <si>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</si>
  <si>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</si>
  <si>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</si>
  <si>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</si>
  <si>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</si>
  <si>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</si>
  <si>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</si>
  <si>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</si>
  <si>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</si>
  <si>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</si>
  <si>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</si>
  <si>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</si>
  <si>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</si>
  <si>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</si>
  <si>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</si>
  <si>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</si>
  <si>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</si>
  <si>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</si>
  <si>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</si>
  <si>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</si>
  <si>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</si>
  <si>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</si>
  <si>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</si>
  <si>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</si>
  <si>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</si>
  <si>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</si>
  <si>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</si>
  <si>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</si>
  <si>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</si>
  <si>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</si>
  <si>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</si>
  <si>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</si>
  <si>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</si>
  <si>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</si>
  <si>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</si>
  <si>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</si>
  <si>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</si>
  <si>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</si>
  <si>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</si>
  <si>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</si>
  <si>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</si>
  <si>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</si>
  <si>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</si>
  <si>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</si>
  <si>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</si>
  <si>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</si>
  <si>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</si>
  <si>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</si>
  <si>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</si>
  <si>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</si>
  <si>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</si>
  <si>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</si>
  <si>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6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</si>
  <si>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</si>
  <si>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</si>
  <si>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</si>
  <si>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</si>
  <si>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</si>
  <si>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</si>
  <si>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</si>
  <si>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</si>
  <si>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</si>
  <si>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</si>
  <si>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</si>
  <si>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</si>
  <si>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</si>
  <si>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</si>
  <si>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</si>
  <si>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</si>
  <si>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Month</t>
    <phoneticPr fontId="10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</si>
  <si>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</si>
  <si>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</si>
  <si>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</si>
  <si>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</si>
  <si>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</si>
  <si>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t>Business Development Manager</t>
  </si>
  <si>
    <t>Mob. &amp; De-Mob. / per unit - lump sum</t>
    <phoneticPr fontId="3" type="noConversion"/>
  </si>
  <si>
    <t>L / S</t>
    <phoneticPr fontId="10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</si>
  <si>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</si>
  <si>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UTCC</t>
  </si>
  <si>
    <t>UTCC(United Technology Contracting Co. Ltd.)</t>
  </si>
  <si>
    <t>Muhammed Huzaifa</t>
  </si>
  <si>
    <t>2055009069</t>
  </si>
  <si>
    <t>Landline: +966 136 6080 / Mobile : +966 54 6313999</t>
  </si>
  <si>
    <t>Bldg No . 9278 King Abdul Aziz Street,Tebah District , Al Jubail</t>
  </si>
  <si>
    <t>+966 54 631 3999 / Email:operation@unitedco.uk</t>
  </si>
  <si>
    <t>Monthly based</t>
  </si>
  <si>
    <t>Monthly Based</t>
  </si>
  <si>
    <t>One Time</t>
  </si>
  <si>
    <t>Subcontract name (SAC2-SC-IK-SMP-01)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</si>
  <si>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</si>
  <si>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Division (In charge Name) : ADMIN MANAGER (Dong Chang Kim)</t>
  </si>
  <si>
    <t xml:space="preserve">  Delivery &amp; Payment : Dong Chang Kim / Daeshin Admin. [ Mobile No. : +966 53 748 5762 / Email : kdchjs@daeshinplant.com ]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</si>
  <si>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-MRS-0034</t>
    </r>
  </si>
  <si>
    <t>Manlift</t>
  </si>
  <si>
    <t>43 Mtr Articulated with One IPAP Operator</t>
  </si>
  <si>
    <t>Manlift Mob &amp; De-Mob. Charge</t>
  </si>
  <si>
    <t>43 Mtr Telescopic with One IPAP Operator</t>
  </si>
  <si>
    <t>UT-EQUO-25-2623-(R1)</t>
  </si>
  <si>
    <t>43 Mtr Articulated &amp; 43 Mtr Telescopic Manlift</t>
  </si>
  <si>
    <t>310157378500003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</si>
</sst>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9"/>
      <color theme="1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5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4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4" fillId="2" borderId="0" xfId="1" applyFont="1" applyFill="1" applyAlignment="1">
      <alignment vertical="center"/>
    </xf>
    <xf numFmtId="0" fontId="49" fillId="3" borderId="0" xfId="5" applyFont="1" applyFill="1"/>
    <xf numFmtId="0" fontId="50" fillId="2" borderId="0" xfId="1" applyFont="1" applyFill="1" applyAlignment="1">
      <alignment vertical="center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</cellXfs>
  <cellStyles count="15">
    <cellStyle name="Comma [0]" xfId="10" builtinId="6"/>
    <cellStyle name="Normal" xfId="0" builtinId="0"/>
    <cellStyle name="쉼표 [0] 2 2" xfId="4" xr:uid="{95D71F5C-65D6-4E85-84FE-774413508E1E}"/>
    <cellStyle name="쉼표 [0] 2 2 2" xfId="12" xr:uid="{FC4F5859-1642-4A5E-9D4F-8B998B2D65DC}"/>
    <cellStyle name="쉼표 2" xfId="9" xr:uid="{F2A3A689-A30F-4FCA-9C51-F28F11796A46}"/>
    <cellStyle name="쉼표 2 2" xfId="14" xr:uid="{31735F8C-8A25-4F7E-870C-A852BB5972AE}"/>
    <cellStyle name="표준 2 2" xfId="2" xr:uid="{12B761D3-4229-4E14-8168-D5975293A996}"/>
    <cellStyle name="표준 2 2 2" xfId="11" xr:uid="{DDC358A7-52FB-42BA-9761-C1397E913397}"/>
    <cellStyle name="표준 2 3 2 2" xfId="5" xr:uid="{BD51BFCC-3D36-446B-BE80-7856DF8371E9}"/>
    <cellStyle name="표준 2 3 2 2 2" xfId="13" xr:uid="{995CDC77-06B6-408A-90E5-9B92116D3346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17</xdr:row>
          <xdr:rowOff>0</xdr:rowOff>
        </xdr:from>
        <xdr:to>
          <xdr:col>12</xdr:col>
          <xdr:colOff>502</xdr:colOff>
          <xdr:row>24</xdr:row>
          <xdr:rowOff>2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5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830053" y="4983079"/>
              <a:ext cx="62769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P13" sqref="P13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25" t="s">
        <v>114</v>
      </c>
      <c r="B1" s="110"/>
      <c r="C1" s="110"/>
      <c r="D1" s="110"/>
      <c r="E1" s="110"/>
      <c r="F1" s="110"/>
      <c r="G1" s="1"/>
      <c r="J1" s="126" t="s">
        <v>92</v>
      </c>
      <c r="K1" s="127"/>
      <c r="L1" s="128"/>
    </row>
    <row r="2" spans="1:19" ht="20.100000000000001" customHeight="1">
      <c r="A2" s="3" t="s">
        <v>1</v>
      </c>
      <c r="B2" s="101"/>
      <c r="C2" s="101"/>
      <c r="D2" s="3" t="s">
        <v>115</v>
      </c>
      <c r="E2" s="101"/>
      <c r="F2" s="101"/>
      <c r="G2" s="101"/>
      <c r="H2" s="101"/>
      <c r="I2" s="4"/>
      <c r="J2" s="142" t="s">
        <v>113</v>
      </c>
      <c r="K2" s="143"/>
      <c r="L2" s="144"/>
    </row>
    <row r="3" spans="1:19" ht="20.100000000000001" customHeight="1">
      <c r="A3" s="3" t="s">
        <v>117</v>
      </c>
      <c r="B3" s="101"/>
      <c r="C3" s="101"/>
      <c r="D3" s="101"/>
      <c r="E3" s="129">
        <f>+L3</f>
        <v>45719</v>
      </c>
      <c r="F3" s="129"/>
      <c r="G3" s="129"/>
      <c r="H3" s="129"/>
      <c r="I3" s="129"/>
      <c r="J3" s="101"/>
      <c r="K3" s="101"/>
      <c r="L3" s="122">
        <v>45719</v>
      </c>
      <c r="M3" s="4"/>
    </row>
    <row r="4" spans="1:19" ht="15.95" customHeight="1">
      <c r="A4" s="130" t="s">
        <v>2</v>
      </c>
      <c r="B4" s="131" t="s">
        <v>3</v>
      </c>
      <c r="C4" s="131"/>
      <c r="D4" s="132" t="s">
        <v>4</v>
      </c>
      <c r="E4" s="133"/>
      <c r="F4" s="134"/>
      <c r="G4" s="138" t="s">
        <v>5</v>
      </c>
      <c r="H4" s="140" t="s">
        <v>6</v>
      </c>
      <c r="I4" s="140" t="s">
        <v>97</v>
      </c>
      <c r="J4" s="130" t="s">
        <v>98</v>
      </c>
      <c r="K4" s="140" t="s">
        <v>0</v>
      </c>
      <c r="L4" s="131" t="s">
        <v>7</v>
      </c>
    </row>
    <row r="5" spans="1:19" ht="15.95" customHeight="1">
      <c r="A5" s="130"/>
      <c r="B5" s="131"/>
      <c r="C5" s="131"/>
      <c r="D5" s="135"/>
      <c r="E5" s="136"/>
      <c r="F5" s="137"/>
      <c r="G5" s="139"/>
      <c r="H5" s="141"/>
      <c r="I5" s="141"/>
      <c r="J5" s="130"/>
      <c r="K5" s="141"/>
      <c r="L5" s="131"/>
    </row>
    <row r="6" spans="1:19" ht="31.5" customHeight="1">
      <c r="A6" s="5">
        <f t="shared" ref="A6:A15" si="0">ROW(A1)</f>
        <v>1</v>
      </c>
      <c r="B6" s="145" t="s">
        <v>118</v>
      </c>
      <c r="C6" s="146"/>
      <c r="D6" s="147" t="s">
        <v>119</v>
      </c>
      <c r="E6" s="148"/>
      <c r="F6" s="149"/>
      <c r="G6" s="111" t="s">
        <v>93</v>
      </c>
      <c r="H6" s="112">
        <v>1</v>
      </c>
      <c r="I6" s="113">
        <v>32000</v>
      </c>
      <c r="J6" s="113">
        <f>H6*I6</f>
        <v>32000</v>
      </c>
      <c r="K6" s="114" t="s">
        <v>103</v>
      </c>
      <c r="L6" s="115" t="s">
        <v>111</v>
      </c>
      <c r="S6" s="106"/>
    </row>
    <row r="7" spans="1:19" ht="28.5" customHeight="1">
      <c r="A7" s="5">
        <f t="shared" si="0"/>
        <v>2</v>
      </c>
      <c r="B7" s="145" t="s">
        <v>118</v>
      </c>
      <c r="C7" s="146"/>
      <c r="D7" s="150" t="s">
        <v>121</v>
      </c>
      <c r="E7" s="148"/>
      <c r="F7" s="149"/>
      <c r="G7" s="111" t="s">
        <v>93</v>
      </c>
      <c r="H7" s="112">
        <v>1</v>
      </c>
      <c r="I7" s="113">
        <v>32000</v>
      </c>
      <c r="J7" s="113">
        <f>H7*I7</f>
        <v>32000</v>
      </c>
      <c r="K7" s="114" t="s">
        <v>103</v>
      </c>
      <c r="L7" s="115" t="s">
        <v>111</v>
      </c>
      <c r="S7" s="106"/>
    </row>
    <row r="8" spans="1:19" ht="30.75" customHeight="1">
      <c r="A8" s="5">
        <f t="shared" si="0"/>
        <v>3</v>
      </c>
      <c r="B8" s="145" t="s">
        <v>120</v>
      </c>
      <c r="C8" s="146"/>
      <c r="D8" s="150" t="s">
        <v>100</v>
      </c>
      <c r="E8" s="148"/>
      <c r="F8" s="149"/>
      <c r="G8" s="111" t="s">
        <v>101</v>
      </c>
      <c r="H8" s="112">
        <v>2</v>
      </c>
      <c r="I8" s="113">
        <v>6000</v>
      </c>
      <c r="J8" s="113">
        <f>H8*I8</f>
        <v>12000</v>
      </c>
      <c r="K8" s="114" t="s">
        <v>103</v>
      </c>
      <c r="L8" s="115" t="s">
        <v>112</v>
      </c>
      <c r="S8" s="106"/>
    </row>
    <row r="9" spans="1:19" ht="22.5" customHeight="1">
      <c r="A9" s="5">
        <f t="shared" si="0"/>
        <v>4</v>
      </c>
      <c r="B9" s="145"/>
      <c r="C9" s="146"/>
      <c r="D9" s="147"/>
      <c r="E9" s="148"/>
      <c r="F9" s="149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51"/>
      <c r="C10" s="151"/>
      <c r="D10" s="152"/>
      <c r="E10" s="152"/>
      <c r="F10" s="152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45"/>
      <c r="C11" s="146"/>
      <c r="D11" s="147"/>
      <c r="E11" s="148"/>
      <c r="F11" s="149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51"/>
      <c r="C12" s="151"/>
      <c r="D12" s="152"/>
      <c r="E12" s="152"/>
      <c r="F12" s="152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45"/>
      <c r="C13" s="146"/>
      <c r="D13" s="147"/>
      <c r="E13" s="148"/>
      <c r="F13" s="149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45"/>
      <c r="C14" s="146"/>
      <c r="D14" s="147"/>
      <c r="E14" s="148"/>
      <c r="F14" s="149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45"/>
      <c r="C15" s="146"/>
      <c r="D15" s="147"/>
      <c r="E15" s="148"/>
      <c r="F15" s="149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53" t="s">
        <v>8</v>
      </c>
      <c r="B16" s="154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76000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5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56"/>
      <c r="T19" s="14"/>
      <c r="U19" s="15"/>
      <c r="V19" s="14"/>
    </row>
    <row r="20" spans="1:22" ht="17.100000000000001" customHeight="1">
      <c r="O20" s="11"/>
      <c r="P20" s="11"/>
      <c r="Q20" s="11"/>
      <c r="S20" s="157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58" t="s">
        <v>17</v>
      </c>
      <c r="Q21" s="158" t="s">
        <v>18</v>
      </c>
    </row>
    <row r="22" spans="1:22" ht="18" customHeight="1">
      <c r="O22" s="18" t="s">
        <v>19</v>
      </c>
      <c r="P22" s="159"/>
      <c r="Q22" s="159"/>
      <c r="S22" s="155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56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57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60"/>
      <c r="P27" s="160"/>
      <c r="Q27" s="160"/>
    </row>
    <row r="28" spans="1:22" ht="19.899999999999999" customHeight="1">
      <c r="O28" s="160"/>
      <c r="P28" s="160"/>
      <c r="Q28" s="160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8" t="s">
        <v>21</v>
      </c>
    </row>
    <row r="41" spans="15:22" ht="19.899999999999999" customHeight="1">
      <c r="T41" s="159"/>
    </row>
    <row r="42" spans="15:22" ht="64.900000000000006" customHeight="1">
      <c r="T42" s="14"/>
    </row>
    <row r="46" spans="15:22" ht="21" customHeight="1">
      <c r="O46" s="158" t="s">
        <v>21</v>
      </c>
      <c r="P46" s="158" t="s">
        <v>21</v>
      </c>
      <c r="Q46" s="158" t="s">
        <v>21</v>
      </c>
      <c r="T46" s="158" t="s">
        <v>22</v>
      </c>
      <c r="U46" s="158" t="s">
        <v>13</v>
      </c>
      <c r="V46" s="158" t="s">
        <v>21</v>
      </c>
    </row>
    <row r="47" spans="15:22" ht="21" customHeight="1">
      <c r="O47" s="159"/>
      <c r="P47" s="159"/>
      <c r="Q47" s="159"/>
      <c r="T47" s="157"/>
      <c r="U47" s="157"/>
      <c r="V47" s="159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8" t="s">
        <v>21</v>
      </c>
      <c r="P50" s="158" t="s">
        <v>21</v>
      </c>
      <c r="Q50" s="158" t="s">
        <v>21</v>
      </c>
      <c r="T50" s="158" t="s">
        <v>13</v>
      </c>
      <c r="U50" s="158" t="s">
        <v>22</v>
      </c>
      <c r="V50" s="158" t="s">
        <v>21</v>
      </c>
    </row>
    <row r="51" spans="15:22" ht="21" customHeight="1">
      <c r="O51" s="159"/>
      <c r="P51" s="159"/>
      <c r="Q51" s="159"/>
      <c r="T51" s="157"/>
      <c r="U51" s="157"/>
      <c r="V51" s="159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B8" sqref="B8:K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102</v>
      </c>
      <c r="B1" s="100"/>
      <c r="C1" s="100"/>
      <c r="D1" s="100"/>
      <c r="E1" s="100"/>
      <c r="F1" s="100"/>
      <c r="G1" s="1"/>
      <c r="J1" s="126" t="str">
        <f>+MRS!J1</f>
        <v>DAESHIN PLANT</v>
      </c>
      <c r="K1" s="128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42" t="str">
        <f>+MRS!J2</f>
        <v>Subcontract name (SAC2-SC-IK-SMP-01)</v>
      </c>
      <c r="K2" s="144"/>
    </row>
    <row r="3" spans="1:18" ht="24.95" customHeight="1">
      <c r="A3" s="3" t="str">
        <f>+MRS!A3</f>
        <v xml:space="preserve">  MRS No : SAC2-DS-MRS-0034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45719</v>
      </c>
    </row>
    <row r="4" spans="1:18" ht="15.95" customHeight="1">
      <c r="A4" s="161" t="s">
        <v>2</v>
      </c>
      <c r="B4" s="162" t="s">
        <v>23</v>
      </c>
      <c r="C4" s="162"/>
      <c r="D4" s="161" t="s">
        <v>4</v>
      </c>
      <c r="E4" s="161"/>
      <c r="F4" s="161"/>
      <c r="G4" s="162" t="s">
        <v>5</v>
      </c>
      <c r="H4" s="161" t="s">
        <v>94</v>
      </c>
      <c r="I4" s="161" t="s">
        <v>24</v>
      </c>
      <c r="J4" s="161" t="s">
        <v>25</v>
      </c>
      <c r="K4" s="162" t="s">
        <v>7</v>
      </c>
    </row>
    <row r="5" spans="1:18" ht="15.95" customHeight="1">
      <c r="A5" s="161"/>
      <c r="B5" s="162"/>
      <c r="C5" s="162"/>
      <c r="D5" s="161"/>
      <c r="E5" s="161"/>
      <c r="F5" s="161"/>
      <c r="G5" s="162"/>
      <c r="H5" s="161"/>
      <c r="I5" s="161"/>
      <c r="J5" s="161"/>
      <c r="K5" s="162"/>
    </row>
    <row r="6" spans="1:18" ht="105" customHeight="1">
      <c r="A6" s="21">
        <f>+MRS!A6</f>
        <v>1</v>
      </c>
      <c r="B6" s="163" t="str">
        <f>MRS!B6</f>
        <v>Manlift</v>
      </c>
      <c r="C6" s="164"/>
      <c r="D6" s="165" t="str">
        <f>MRS!D6</f>
        <v>43 Mtr Articulated with One IPAP Operator</v>
      </c>
      <c r="E6" s="166"/>
      <c r="F6" s="167"/>
      <c r="G6" s="103" t="str">
        <f>MRS!G6</f>
        <v>Month</v>
      </c>
      <c r="H6" s="103">
        <f>MRS!H6</f>
        <v>1</v>
      </c>
      <c r="I6" s="104">
        <f>MRS!I6</f>
        <v>32000</v>
      </c>
      <c r="J6" s="104">
        <f>MRS!J6</f>
        <v>32000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3" t="str">
        <f>MRS!B7</f>
        <v>Manlift</v>
      </c>
      <c r="C7" s="164"/>
      <c r="D7" s="165" t="str">
        <f>MRS!D7</f>
        <v>43 Mtr Telescopic with One IPAP Operator</v>
      </c>
      <c r="E7" s="166"/>
      <c r="F7" s="167"/>
      <c r="G7" s="103" t="str">
        <f>MRS!G7</f>
        <v>Month</v>
      </c>
      <c r="H7" s="103">
        <f>MRS!H7</f>
        <v>1</v>
      </c>
      <c r="I7" s="104">
        <f>MRS!I7</f>
        <v>32000</v>
      </c>
      <c r="J7" s="104">
        <f>MRS!J7</f>
        <v>32000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3" t="str">
        <f>MRS!B8</f>
        <v>Manlift Mob &amp; De-Mob. Charge</v>
      </c>
      <c r="C8" s="164"/>
      <c r="D8" s="165" t="str">
        <f>MRS!D8</f>
        <v>Mob. &amp; De-Mob. / per unit - lump sum</v>
      </c>
      <c r="E8" s="166"/>
      <c r="F8" s="167"/>
      <c r="G8" s="103" t="str">
        <f>MRS!G8</f>
        <v>L / S</v>
      </c>
      <c r="H8" s="103">
        <f>MRS!H8</f>
        <v>2</v>
      </c>
      <c r="I8" s="104">
        <f>MRS!I8</f>
        <v>6000</v>
      </c>
      <c r="J8" s="104">
        <f>MRS!J8</f>
        <v>12000</v>
      </c>
      <c r="K8" s="105"/>
      <c r="O8" s="106"/>
      <c r="P8" s="106"/>
      <c r="R8" s="106"/>
    </row>
    <row r="9" spans="1:18" ht="105" customHeight="1">
      <c r="A9" s="21">
        <f>+MRS!A9</f>
        <v>4</v>
      </c>
      <c r="B9" s="168"/>
      <c r="C9" s="169"/>
      <c r="D9" s="170"/>
      <c r="E9" s="171"/>
      <c r="F9" s="172"/>
      <c r="G9" s="107"/>
      <c r="H9" s="108"/>
      <c r="I9" s="109"/>
      <c r="J9" s="109"/>
      <c r="K9" s="105"/>
      <c r="O9" s="106"/>
      <c r="P9" s="106"/>
      <c r="R9" s="106"/>
    </row>
    <row r="10" spans="1:18" ht="105" customHeight="1">
      <c r="A10" s="21">
        <f>+MRS!A10</f>
        <v>5</v>
      </c>
      <c r="B10" s="168"/>
      <c r="C10" s="169"/>
      <c r="D10" s="170"/>
      <c r="E10" s="171"/>
      <c r="F10" s="172"/>
      <c r="G10" s="107"/>
      <c r="H10" s="108"/>
      <c r="I10" s="109"/>
      <c r="J10" s="109"/>
      <c r="K10" s="105"/>
      <c r="O10" s="106"/>
      <c r="P10" s="106"/>
      <c r="R10" s="106"/>
    </row>
    <row r="11" spans="1:18" ht="105" customHeight="1">
      <c r="A11" s="21">
        <f>+MRS!A11</f>
        <v>6</v>
      </c>
      <c r="B11" s="168"/>
      <c r="C11" s="169"/>
      <c r="D11" s="170"/>
      <c r="E11" s="171"/>
      <c r="F11" s="172"/>
      <c r="G11" s="107"/>
      <c r="H11" s="108"/>
      <c r="I11" s="109"/>
      <c r="J11" s="109"/>
      <c r="K11" s="105"/>
      <c r="O11" s="106"/>
      <c r="P11" s="106"/>
      <c r="R11" s="106"/>
    </row>
    <row r="12" spans="1:18" ht="105" customHeight="1">
      <c r="A12" s="21">
        <f>+MRS!A12</f>
        <v>7</v>
      </c>
      <c r="B12" s="168"/>
      <c r="C12" s="169"/>
      <c r="D12" s="170"/>
      <c r="E12" s="171"/>
      <c r="F12" s="172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8"/>
      <c r="C13" s="169"/>
      <c r="D13" s="170"/>
      <c r="E13" s="171"/>
      <c r="F13" s="172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8"/>
      <c r="C14" s="169"/>
      <c r="D14" s="170"/>
      <c r="E14" s="171"/>
      <c r="F14" s="172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8"/>
      <c r="C15" s="169"/>
      <c r="D15" s="170"/>
      <c r="E15" s="171"/>
      <c r="F15" s="172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8"/>
      <c r="C16" s="169"/>
      <c r="D16" s="170"/>
      <c r="E16" s="171"/>
      <c r="F16" s="172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8"/>
      <c r="C17" s="169"/>
      <c r="D17" s="170"/>
      <c r="E17" s="171"/>
      <c r="F17" s="172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tabSelected="1" view="pageBreakPreview" topLeftCell="A5" zoomScale="130" zoomScaleSheetLayoutView="130" workbookViewId="0">
      <selection activeCell="Q22" sqref="Q22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104</v>
      </c>
      <c r="D9" s="39"/>
      <c r="E9" s="39"/>
    </row>
    <row r="10" spans="2:13" s="39" customFormat="1">
      <c r="B10" s="72"/>
      <c r="C10" s="39" t="s">
        <v>33</v>
      </c>
      <c r="D10" s="76" t="s">
        <v>106</v>
      </c>
      <c r="J10" s="39" t="s">
        <v>34</v>
      </c>
      <c r="K10" s="174">
        <f>MRS!L3</f>
        <v>45719</v>
      </c>
      <c r="L10" s="175"/>
      <c r="M10" s="175"/>
    </row>
    <row r="11" spans="2:13" s="39" customFormat="1">
      <c r="B11" s="72"/>
      <c r="C11" s="75" t="s">
        <v>35</v>
      </c>
      <c r="D11" s="76" t="s">
        <v>124</v>
      </c>
      <c r="J11" s="39" t="s">
        <v>36</v>
      </c>
      <c r="K11" s="176" t="str">
        <f>SUBSTITUTE(SUBSTITUTE(+MRS!A3,"  MRS No : ",""),"-MRS","-PO")</f>
        <v>SAC2-DS-PO-0034</v>
      </c>
      <c r="L11" s="176"/>
      <c r="M11" s="176"/>
    </row>
    <row r="12" spans="2:13" s="39" customFormat="1">
      <c r="B12" s="72"/>
      <c r="C12" s="75" t="s">
        <v>37</v>
      </c>
      <c r="D12" s="39" t="s">
        <v>105</v>
      </c>
      <c r="J12" s="39" t="s">
        <v>38</v>
      </c>
    </row>
    <row r="13" spans="2:13" s="39" customFormat="1">
      <c r="B13" s="72"/>
      <c r="C13" s="77"/>
      <c r="D13" s="76" t="s">
        <v>109</v>
      </c>
      <c r="J13" s="39" t="s">
        <v>39</v>
      </c>
    </row>
    <row r="14" spans="2:13" s="39" customFormat="1">
      <c r="B14" s="72"/>
      <c r="C14" s="77" t="s">
        <v>108</v>
      </c>
      <c r="J14" s="39" t="s">
        <v>40</v>
      </c>
      <c r="K14" s="39" t="s">
        <v>122</v>
      </c>
    </row>
    <row r="15" spans="2:13" s="39" customFormat="1">
      <c r="B15" s="72"/>
      <c r="C15" s="77" t="s">
        <v>107</v>
      </c>
      <c r="J15" s="39" t="s">
        <v>41</v>
      </c>
      <c r="K15" s="78">
        <v>45719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7" t="s">
        <v>42</v>
      </c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</row>
    <row r="19" spans="2:13" ht="12" customHeight="1"/>
    <row r="20" spans="2:13" s="31" customFormat="1" ht="12" customHeight="1">
      <c r="B20" s="178" t="s">
        <v>43</v>
      </c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</row>
    <row r="21" spans="2:13" s="31" customFormat="1" ht="12" customHeight="1">
      <c r="B21" s="178" t="s">
        <v>44</v>
      </c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</row>
    <row r="22" spans="2:13" s="31" customFormat="1" ht="12" customHeight="1">
      <c r="B22" s="178" t="s">
        <v>45</v>
      </c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</row>
    <row r="23" spans="2:13" ht="6.95" customHeight="1"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</row>
    <row r="24" spans="2:13" ht="6.95" customHeight="1">
      <c r="B24" s="180"/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80"/>
    </row>
    <row r="25" spans="2:13" s="32" customFormat="1" ht="20.100000000000001" customHeight="1">
      <c r="B25" s="32">
        <v>1</v>
      </c>
      <c r="C25" s="32" t="s">
        <v>46</v>
      </c>
    </row>
    <row r="26" spans="2:13" s="39" customFormat="1" ht="15" customHeight="1">
      <c r="B26" s="73"/>
      <c r="C26" s="76" t="s">
        <v>123</v>
      </c>
      <c r="M26" s="79" t="s">
        <v>47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48</v>
      </c>
    </row>
    <row r="29" spans="2:13" ht="15" customHeight="1">
      <c r="B29" s="32"/>
      <c r="C29" s="26" t="s">
        <v>49</v>
      </c>
      <c r="E29" s="26" t="s">
        <v>50</v>
      </c>
      <c r="F29" s="181" t="s">
        <v>110</v>
      </c>
      <c r="G29" s="181"/>
      <c r="H29" s="33"/>
      <c r="M29" s="34"/>
    </row>
    <row r="30" spans="2:13" ht="15" customHeight="1">
      <c r="B30" s="32"/>
      <c r="C30" s="26" t="s">
        <v>51</v>
      </c>
      <c r="E30" s="26" t="s">
        <v>50</v>
      </c>
      <c r="F30" s="181"/>
      <c r="G30" s="181"/>
    </row>
    <row r="31" spans="2:13" ht="15" customHeight="1">
      <c r="B31" s="32"/>
      <c r="C31" s="26" t="s">
        <v>52</v>
      </c>
      <c r="D31" s="35"/>
      <c r="E31" s="26" t="s">
        <v>50</v>
      </c>
      <c r="F31" s="181"/>
      <c r="G31" s="181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53</v>
      </c>
    </row>
    <row r="34" spans="2:13" ht="15" customHeight="1">
      <c r="B34" s="32"/>
      <c r="C34" s="22" t="s">
        <v>54</v>
      </c>
    </row>
    <row r="35" spans="2:13" ht="15" customHeight="1">
      <c r="B35" s="32"/>
      <c r="C35" s="22" t="s">
        <v>55</v>
      </c>
    </row>
    <row r="36" spans="2:13" ht="15" customHeight="1">
      <c r="B36" s="32"/>
      <c r="C36" s="22" t="s">
        <v>56</v>
      </c>
    </row>
    <row r="37" spans="2:13" ht="11.1" customHeight="1">
      <c r="B37" s="32"/>
    </row>
    <row r="38" spans="2:13" ht="20.100000000000001" customHeight="1">
      <c r="B38" s="32">
        <v>4</v>
      </c>
      <c r="C38" s="32" t="s">
        <v>57</v>
      </c>
    </row>
    <row r="39" spans="2:13" ht="15" customHeight="1">
      <c r="B39" s="32"/>
      <c r="C39" s="26" t="s">
        <v>58</v>
      </c>
    </row>
    <row r="40" spans="2:13" ht="11.1" customHeight="1">
      <c r="B40" s="32"/>
    </row>
    <row r="41" spans="2:13" ht="20.100000000000001" customHeight="1">
      <c r="B41" s="32">
        <v>5</v>
      </c>
      <c r="C41" s="32" t="s">
        <v>59</v>
      </c>
    </row>
    <row r="42" spans="2:13" ht="15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63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64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11.1" customHeight="1">
      <c r="B47" s="32"/>
    </row>
    <row r="48" spans="2:13" ht="20.100000000000001" customHeight="1">
      <c r="B48" s="32">
        <v>6</v>
      </c>
      <c r="C48" s="32" t="s">
        <v>65</v>
      </c>
    </row>
    <row r="49" spans="1:16" s="39" customFormat="1" ht="15" customHeight="1">
      <c r="B49" s="80" t="s">
        <v>66</v>
      </c>
      <c r="C49" s="81" t="s">
        <v>116</v>
      </c>
      <c r="P49" s="82"/>
    </row>
    <row r="50" spans="1:16" s="83" customFormat="1" ht="15" customHeight="1">
      <c r="B50" s="84" t="s">
        <v>66</v>
      </c>
      <c r="C50" s="81" t="s">
        <v>96</v>
      </c>
    </row>
    <row r="51" spans="1:16" s="83" customFormat="1" ht="15" customHeight="1">
      <c r="B51" s="84" t="s">
        <v>66</v>
      </c>
      <c r="C51" s="81" t="s">
        <v>95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67</v>
      </c>
      <c r="J56" s="32" t="s">
        <v>68</v>
      </c>
    </row>
    <row r="57" spans="1:16" ht="50.1" customHeight="1"/>
    <row r="58" spans="1:16" ht="18" customHeight="1">
      <c r="B58" s="26" t="s">
        <v>69</v>
      </c>
      <c r="J58" s="26" t="s">
        <v>69</v>
      </c>
    </row>
    <row r="59" spans="1:16" ht="18" customHeight="1">
      <c r="B59" s="26" t="s">
        <v>70</v>
      </c>
      <c r="J59" s="26" t="s">
        <v>71</v>
      </c>
      <c r="K59" s="22" t="str">
        <f>D12</f>
        <v>Muhammed Huzaifa</v>
      </c>
    </row>
    <row r="60" spans="1:16" ht="18" customHeight="1">
      <c r="B60" s="26" t="s">
        <v>72</v>
      </c>
      <c r="J60" s="26" t="s">
        <v>73</v>
      </c>
      <c r="K60" s="22" t="s">
        <v>99</v>
      </c>
    </row>
    <row r="61" spans="1:16" ht="15" customHeight="1">
      <c r="B61" s="26" t="s">
        <v>74</v>
      </c>
      <c r="J61" s="26" t="s">
        <v>75</v>
      </c>
    </row>
    <row r="62" spans="1:16" s="28" customFormat="1" ht="15" customHeight="1">
      <c r="B62" s="25" t="s">
        <v>76</v>
      </c>
      <c r="J62" s="124" t="str">
        <f>C9</f>
        <v>UTCC(United Technology Contracting Co. Ltd.)</v>
      </c>
    </row>
    <row r="63" spans="1:16" ht="27.95" customHeight="1">
      <c r="A63" s="173" t="s">
        <v>77</v>
      </c>
      <c r="B63" s="173"/>
      <c r="C63" s="173"/>
      <c r="D63" s="173"/>
      <c r="E63" s="173"/>
      <c r="F63" s="173"/>
      <c r="G63" s="173"/>
      <c r="H63" s="173"/>
      <c r="I63" s="173"/>
      <c r="J63" s="173"/>
      <c r="K63" s="173"/>
      <c r="L63" s="173"/>
      <c r="M63" s="173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2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0" man="1"/>
  </colBreaks>
  <ignoredErrors>
    <ignoredError sqref="D10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G12" sqref="G12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78</v>
      </c>
      <c r="B2" s="47" t="str">
        <f>+'PO 1st page'!K11</f>
        <v>SAC2-DS-PO-0034</v>
      </c>
      <c r="C2" s="184" t="s">
        <v>79</v>
      </c>
      <c r="D2" s="184"/>
      <c r="E2" s="184"/>
      <c r="F2" s="184"/>
      <c r="G2" s="48"/>
      <c r="H2" s="48"/>
    </row>
    <row r="3" spans="1:13" s="54" customFormat="1" ht="28.5" customHeight="1" thickBot="1">
      <c r="A3" s="49" t="s">
        <v>80</v>
      </c>
      <c r="B3" s="50">
        <f>+'PO 1st page'!K10</f>
        <v>45719</v>
      </c>
      <c r="C3" s="51"/>
      <c r="D3" s="52"/>
      <c r="E3" s="185" t="s">
        <v>81</v>
      </c>
      <c r="F3" s="185"/>
      <c r="G3" s="185"/>
      <c r="H3" s="185"/>
      <c r="I3" s="53"/>
    </row>
    <row r="4" spans="1:13" s="55" customFormat="1" ht="28.5" customHeight="1" thickTop="1">
      <c r="A4" s="186" t="s">
        <v>82</v>
      </c>
      <c r="B4" s="188" t="s">
        <v>83</v>
      </c>
      <c r="C4" s="189"/>
      <c r="D4" s="192" t="s">
        <v>84</v>
      </c>
      <c r="E4" s="192" t="s">
        <v>85</v>
      </c>
      <c r="F4" s="194" t="str">
        <f>'PO 1st page'!C9</f>
        <v>UTCC(United Technology Contracting Co. Ltd.)</v>
      </c>
      <c r="G4" s="195"/>
      <c r="H4" s="196" t="s">
        <v>86</v>
      </c>
      <c r="K4" s="56"/>
      <c r="L4" s="56"/>
      <c r="M4" s="56"/>
    </row>
    <row r="5" spans="1:13" s="55" customFormat="1" ht="21.95" customHeight="1">
      <c r="A5" s="187"/>
      <c r="B5" s="190"/>
      <c r="C5" s="191"/>
      <c r="D5" s="193"/>
      <c r="E5" s="193"/>
      <c r="F5" s="57" t="s">
        <v>87</v>
      </c>
      <c r="G5" s="57" t="s">
        <v>52</v>
      </c>
      <c r="H5" s="197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98" t="str">
        <f>+'MRS LIST'!B6</f>
        <v>Manlift</v>
      </c>
      <c r="C6" s="199"/>
      <c r="D6" s="86" t="str">
        <f>+'MRS LIST'!G6</f>
        <v>Month</v>
      </c>
      <c r="E6" s="87">
        <f>+'MRS LIST'!H6</f>
        <v>1</v>
      </c>
      <c r="F6" s="88">
        <f>+'MRS LIST'!I6</f>
        <v>32000</v>
      </c>
      <c r="G6" s="89">
        <f>+'MRS LIST'!J6</f>
        <v>32000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198" t="str">
        <f>+'MRS LIST'!B7</f>
        <v>Manlift</v>
      </c>
      <c r="C7" s="199"/>
      <c r="D7" s="86" t="str">
        <f>+'MRS LIST'!G7</f>
        <v>Month</v>
      </c>
      <c r="E7" s="87">
        <f>+'MRS LIST'!H7</f>
        <v>1</v>
      </c>
      <c r="F7" s="88">
        <f>+'MRS LIST'!I7</f>
        <v>32000</v>
      </c>
      <c r="G7" s="89">
        <f>+'MRS LIST'!J7</f>
        <v>32000</v>
      </c>
      <c r="H7" s="90" t="str">
        <f>MRS!L7</f>
        <v>Monthly Based</v>
      </c>
      <c r="K7" s="91"/>
      <c r="L7" s="92"/>
      <c r="M7" s="56"/>
    </row>
    <row r="8" spans="1:13" s="55" customFormat="1" ht="32.1" customHeight="1">
      <c r="A8" s="93">
        <f t="shared" si="0"/>
        <v>3</v>
      </c>
      <c r="B8" s="198" t="str">
        <f>+'MRS LIST'!B8</f>
        <v>Manlift Mob &amp; De-Mob. Charge</v>
      </c>
      <c r="C8" s="199"/>
      <c r="D8" s="86" t="str">
        <f>+'MRS LIST'!G8</f>
        <v>L / S</v>
      </c>
      <c r="E8" s="87">
        <f>+'MRS LIST'!H8</f>
        <v>2</v>
      </c>
      <c r="F8" s="88">
        <f>+'MRS LIST'!I8</f>
        <v>6000</v>
      </c>
      <c r="G8" s="89">
        <f>+'MRS LIST'!J8</f>
        <v>12000</v>
      </c>
      <c r="H8" s="90" t="str">
        <f>MRS!L8</f>
        <v>One Time</v>
      </c>
      <c r="K8" s="56"/>
      <c r="L8" s="56"/>
      <c r="M8" s="56"/>
    </row>
    <row r="9" spans="1:13" s="55" customFormat="1" ht="32.1" customHeight="1">
      <c r="A9" s="93">
        <f t="shared" si="0"/>
        <v>4</v>
      </c>
      <c r="B9" s="182"/>
      <c r="C9" s="183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82"/>
      <c r="C10" s="183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2"/>
      <c r="C11" s="183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2"/>
      <c r="C12" s="183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2"/>
      <c r="C13" s="183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2"/>
      <c r="C14" s="183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2"/>
      <c r="C15" s="183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2"/>
      <c r="C16" s="183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2"/>
      <c r="C17" s="183"/>
      <c r="D17" s="94"/>
      <c r="E17" s="95"/>
      <c r="F17" s="96"/>
      <c r="G17" s="97"/>
      <c r="H17" s="98"/>
    </row>
    <row r="18" spans="1:13" s="55" customFormat="1" ht="23.1" customHeight="1">
      <c r="A18" s="200" t="s">
        <v>88</v>
      </c>
      <c r="B18" s="201"/>
      <c r="C18" s="201"/>
      <c r="D18" s="201"/>
      <c r="E18" s="201"/>
      <c r="F18" s="201"/>
      <c r="G18" s="58">
        <f>SUM(G6:G17)</f>
        <v>76000</v>
      </c>
      <c r="H18" s="59"/>
    </row>
    <row r="19" spans="1:13" s="55" customFormat="1" ht="23.1" customHeight="1">
      <c r="A19" s="200" t="s">
        <v>51</v>
      </c>
      <c r="B19" s="201"/>
      <c r="C19" s="201"/>
      <c r="D19" s="201"/>
      <c r="E19" s="201"/>
      <c r="F19" s="201"/>
      <c r="G19" s="58">
        <f>+G18*0.15</f>
        <v>11400</v>
      </c>
      <c r="H19" s="59"/>
    </row>
    <row r="20" spans="1:13" s="55" customFormat="1" ht="24.95" customHeight="1" thickBot="1">
      <c r="A20" s="202" t="s">
        <v>89</v>
      </c>
      <c r="B20" s="203"/>
      <c r="C20" s="203"/>
      <c r="D20" s="203"/>
      <c r="E20" s="203"/>
      <c r="F20" s="203"/>
      <c r="G20" s="60">
        <f>G19+G18</f>
        <v>87400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UT-EQUO-25-2623-(R1)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90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3" t="s">
        <v>91</v>
      </c>
      <c r="B24" s="173"/>
      <c r="C24" s="173"/>
      <c r="D24" s="173"/>
      <c r="E24" s="173"/>
      <c r="F24" s="173"/>
      <c r="G24" s="173"/>
      <c r="H24" s="173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2025-04-21T06:36:07Z</cp:lastPrinted>
  <dcterms:created xsi:type="dcterms:W3CDTF">2024-10-20T11:50:19Z</dcterms:created>
  <dcterms:modified xsi:type="dcterms:W3CDTF">2025-04-21T06:45:16Z</dcterms:modified>
</cp:coreProperties>
</file>