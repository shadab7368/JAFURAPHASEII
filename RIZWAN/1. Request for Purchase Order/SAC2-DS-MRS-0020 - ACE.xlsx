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37706C17-C426-4956-8ACC-979133C5A314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E7" i="4"/>
  <c r="J7" i="1"/>
  <c r="K59" i="3" l="1"/>
  <c r="E3" i="1"/>
  <c r="H7" i="2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<sst xmlns="http://schemas.openxmlformats.org/spreadsheetml/2006/main" count="156" uniqueCount="119">
  <si>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</si>
  <si>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</si>
  <si>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</si>
  <si>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</si>
  <si>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</si>
  <si>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</si>
  <si>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</si>
  <si>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</si>
  <si>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</si>
  <si>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</si>
  <si>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</si>
  <si>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</si>
  <si>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</si>
  <si>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</si>
  <si>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</si>
  <si>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</si>
  <si>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</si>
  <si>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</si>
  <si>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</si>
  <si>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</si>
  <si>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</si>
  <si>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</si>
  <si>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</si>
  <si>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</si>
  <si>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</si>
  <si>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</si>
  <si>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</si>
  <si>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</si>
  <si>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</si>
  <si>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</si>
  <si>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</si>
  <si>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</si>
  <si>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</si>
  <si>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</si>
  <si>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</si>
  <si>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</si>
  <si>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</si>
  <si>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</si>
  <si>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</si>
  <si>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</si>
  <si>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</si>
  <si>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</si>
  <si>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</si>
  <si>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</si>
  <si>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</si>
  <si>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</si>
  <si>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</si>
  <si>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</si>
  <si>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</si>
  <si>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</si>
  <si>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</si>
  <si>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</si>
  <si>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</si>
  <si>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</si>
  <si>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</si>
  <si>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</si>
  <si>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</si>
  <si>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</si>
  <si>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</si>
  <si>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</si>
  <si>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</si>
  <si>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</si>
  <si>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</si>
  <si>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</si>
  <si>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</si>
  <si>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</si>
  <si>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</si>
  <si>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</si>
  <si>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</si>
  <si>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</si>
  <si>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</si>
  <si>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</si>
  <si>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</si>
  <si>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</si>
  <si>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</si>
  <si>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</si>
  <si>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</si>
  <si>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</si>
  <si>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</si>
  <si>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</si>
  <si>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</si>
  <si>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</si>
  <si>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</si>
  <si>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</si>
  <si>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</si>
  <si>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</si>
  <si>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</si>
  <si>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</si>
  <si>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</si>
  <si>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</si>
  <si>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</si>
  <si>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</si>
  <si>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</si>
  <si>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</si>
  <si>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</si>
  <si>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</si>
  <si>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</si>
  <si>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</si>
  <si>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</si>
  <si>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</si>
  <si>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</si>
  <si>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</si>
  <si>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Structural Steel QC Supervisor</t>
  </si>
  <si>
    <t>Accomodation &amp; Transportation</t>
  </si>
  <si>
    <t>ACE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</si>
  <si>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-MRS-0020</t>
    </r>
  </si>
  <si>
    <t>Abhilash K.K.</t>
  </si>
  <si>
    <t>Operation Manager</t>
  </si>
  <si>
    <t>Bldg No . 4383 Prince Mishal Street, Dammam, KSA</t>
  </si>
  <si>
    <t>Landline: +966 138051540 / Mobile : +966 582136007</t>
  </si>
  <si>
    <t>QTN-MS-2-202</t>
  </si>
  <si>
    <t>EA</t>
  </si>
  <si>
    <t>Hourly Based</t>
  </si>
  <si>
    <t>Daily Based</t>
  </si>
  <si>
    <t>+966 58 2136007 / Email:info@acesaudi.me</t>
  </si>
  <si>
    <t>ACE(Advanced Start Trading &amp; General Contracting Est.)</t>
  </si>
  <si>
    <t>2050122560</t>
  </si>
  <si>
    <t>300380116700003</t>
  </si>
  <si>
    <t>Hourly Based , Accomodation &amp; Transportation (Daily 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</si>
</sst>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172" fontId="17" fillId="3" borderId="0" xfId="5" applyNumberFormat="1" applyFont="1" applyFill="1" applyAlignment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391027</xdr:colOff>
          <xdr:row>16</xdr:row>
          <xdr:rowOff>120316</xdr:rowOff>
        </xdr:from>
        <xdr:to>
          <xdr:col>11</xdr:col>
          <xdr:colOff>1694949</xdr:colOff>
          <xdr:row>23</xdr:row>
          <xdr:rowOff>80212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20027" y="4852737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101</v>
      </c>
      <c r="K2" s="128"/>
      <c r="L2" s="129"/>
    </row>
    <row r="3" spans="1:19" ht="20.100000000000001" customHeight="1">
      <c r="A3" s="3" t="s">
        <v>105</v>
      </c>
      <c r="B3" s="101"/>
      <c r="C3" s="101"/>
      <c r="D3" s="101"/>
      <c r="E3" s="130">
        <f>+L3</f>
        <v>45670</v>
      </c>
      <c r="F3" s="130"/>
      <c r="G3" s="130"/>
      <c r="H3" s="130"/>
      <c r="I3" s="130"/>
      <c r="J3" s="101"/>
      <c r="K3" s="101"/>
      <c r="L3" s="122">
        <v>45670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102</v>
      </c>
      <c r="C6" s="144"/>
      <c r="D6" s="145"/>
      <c r="E6" s="146"/>
      <c r="F6" s="147"/>
      <c r="G6" s="111" t="s">
        <v>111</v>
      </c>
      <c r="H6" s="112">
        <v>1</v>
      </c>
      <c r="I6" s="113">
        <v>111</v>
      </c>
      <c r="J6" s="113">
        <f>H6*I6</f>
        <v>111</v>
      </c>
      <c r="K6" s="114" t="s">
        <v>104</v>
      </c>
      <c r="L6" s="115" t="s">
        <v>112</v>
      </c>
      <c r="S6" s="106"/>
    </row>
    <row r="7" spans="1:19" ht="22.5" customHeight="1">
      <c r="A7" s="5">
        <f t="shared" si="0"/>
        <v>2</v>
      </c>
      <c r="B7" s="143" t="s">
        <v>103</v>
      </c>
      <c r="C7" s="144"/>
      <c r="D7" s="148"/>
      <c r="E7" s="146"/>
      <c r="F7" s="147"/>
      <c r="G7" s="111" t="s">
        <v>111</v>
      </c>
      <c r="H7" s="112">
        <v>1</v>
      </c>
      <c r="I7" s="113">
        <v>11</v>
      </c>
      <c r="J7" s="113">
        <f>I7</f>
        <v>11</v>
      </c>
      <c r="K7" s="114" t="s">
        <v>104</v>
      </c>
      <c r="L7" s="115" t="s">
        <v>113</v>
      </c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122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()</v>
      </c>
      <c r="K2" s="129"/>
    </row>
    <row r="3" spans="1:18" ht="24.95" customHeight="1">
      <c r="A3" s="3" t="str">
        <f>+MRS!A3</f>
        <v xml:space="preserve">  MRS No : SAC2-DS-MRS-0020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45670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Structural Steel QC Supervisor</v>
      </c>
      <c r="C6" s="162"/>
      <c r="D6" s="163">
        <f>MRS!D6</f>
        <v>0</v>
      </c>
      <c r="E6" s="164"/>
      <c r="F6" s="165"/>
      <c r="G6" s="103" t="str">
        <f>MRS!G6</f>
        <v>EA</v>
      </c>
      <c r="H6" s="103">
        <f>MRS!H6</f>
        <v>1</v>
      </c>
      <c r="I6" s="104">
        <f>MRS!I6</f>
        <v>111</v>
      </c>
      <c r="J6" s="104">
        <f>MRS!J6</f>
        <v>111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 t="str">
        <f>MRS!B7</f>
        <v>Accomodation &amp; Transportation</v>
      </c>
      <c r="C7" s="162"/>
      <c r="D7" s="163">
        <f>MRS!D7</f>
        <v>0</v>
      </c>
      <c r="E7" s="164"/>
      <c r="F7" s="165"/>
      <c r="G7" s="103" t="str">
        <f>MRS!G7</f>
        <v>EA</v>
      </c>
      <c r="H7" s="103">
        <f>MRS!H7</f>
        <v>1</v>
      </c>
      <c r="I7" s="104">
        <f>MRS!I7</f>
        <v>11</v>
      </c>
      <c r="J7" s="104">
        <f>MRS!J7</f>
        <v>11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6"/>
      <c r="C10" s="167"/>
      <c r="D10" s="168"/>
      <c r="E10" s="169"/>
      <c r="F10" s="170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6" zoomScale="130" zoomScaleNormal="100" zoomScaleSheetLayoutView="130" workbookViewId="0">
      <selection activeCell="P32" sqref="P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115</v>
      </c>
      <c r="D9" s="39"/>
      <c r="E9" s="39"/>
    </row>
    <row r="10" spans="2:13" s="39" customFormat="1">
      <c r="B10" s="72"/>
      <c r="C10" s="39" t="s">
        <v>33</v>
      </c>
      <c r="D10" s="76" t="s">
        <v>116</v>
      </c>
      <c r="J10" s="39" t="s">
        <v>34</v>
      </c>
      <c r="K10" s="172">
        <f>MRS!L3</f>
        <v>45670</v>
      </c>
      <c r="L10" s="173"/>
      <c r="M10" s="173"/>
    </row>
    <row r="11" spans="2:13" s="39" customFormat="1">
      <c r="B11" s="72"/>
      <c r="C11" s="75" t="s">
        <v>35</v>
      </c>
      <c r="D11" s="76" t="s">
        <v>117</v>
      </c>
      <c r="J11" s="39" t="s">
        <v>36</v>
      </c>
      <c r="K11" s="174" t="str">
        <f>SUBSTITUTE(SUBSTITUTE(+MRS!A3,"  MRS No : ",""),"-MRS","-PO")</f>
        <v>SAC2-DS-PO-0020</v>
      </c>
      <c r="L11" s="174"/>
      <c r="M11" s="174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114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110</v>
      </c>
    </row>
    <row r="15" spans="2:13" s="39" customFormat="1">
      <c r="B15" s="72"/>
      <c r="C15" s="77" t="s">
        <v>109</v>
      </c>
      <c r="J15" s="39" t="s">
        <v>41</v>
      </c>
      <c r="K15" s="78">
        <v>45670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102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203" t="s">
        <v>118</v>
      </c>
      <c r="G29" s="203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Abhilash K.K.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ACE(Advanced Start Trading &amp; General Contracting Est.)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SAC2-DS-PO-0020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45670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ACE(Advanced Start Trading &amp; General Contracting Est.)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7" t="str">
        <f>+'MRS LIST'!B6</f>
        <v>Structural Steel QC Supervisor</v>
      </c>
      <c r="C6" s="198"/>
      <c r="D6" s="86" t="str">
        <f>+'MRS LIST'!G6</f>
        <v>EA</v>
      </c>
      <c r="E6" s="87">
        <f>+'MRS LIST'!H6</f>
        <v>1</v>
      </c>
      <c r="F6" s="88">
        <f>+'MRS LIST'!I6</f>
        <v>111</v>
      </c>
      <c r="G6" s="89">
        <f>+'MRS LIST'!J6</f>
        <v>111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7" t="str">
        <f>+'MRS LIST'!B7</f>
        <v>Accomodation &amp; Transportation</v>
      </c>
      <c r="C7" s="198"/>
      <c r="D7" s="86" t="str">
        <f>+'MRS LIST'!G7</f>
        <v>EA</v>
      </c>
      <c r="E7" s="87">
        <f>+'MRS LIST'!H7</f>
        <v>1</v>
      </c>
      <c r="F7" s="88">
        <f>+'MRS LIST'!I7</f>
        <v>11</v>
      </c>
      <c r="G7" s="89">
        <f>+'MRS LIST'!J7</f>
        <v>11</v>
      </c>
      <c r="H7" s="90" t="str">
        <f>MRS!L7</f>
        <v>Daily Based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99" t="s">
        <v>88</v>
      </c>
      <c r="B18" s="200"/>
      <c r="C18" s="200"/>
      <c r="D18" s="200"/>
      <c r="E18" s="200"/>
      <c r="F18" s="200"/>
      <c r="G18" s="58">
        <f>SUM(G6:G17)</f>
        <v>122</v>
      </c>
      <c r="H18" s="59"/>
    </row>
    <row r="19" spans="1:13" s="55" customFormat="1" ht="23.1" customHeight="1">
      <c r="A19" s="199" t="s">
        <v>51</v>
      </c>
      <c r="B19" s="200"/>
      <c r="C19" s="200"/>
      <c r="D19" s="200"/>
      <c r="E19" s="200"/>
      <c r="F19" s="200"/>
      <c r="G19" s="58">
        <f>+G18*0.15</f>
        <v>18.3</v>
      </c>
      <c r="H19" s="59"/>
    </row>
    <row r="20" spans="1:13" s="55" customFormat="1" ht="24.95" customHeight="1" thickBot="1">
      <c r="A20" s="201" t="s">
        <v>89</v>
      </c>
      <c r="B20" s="202"/>
      <c r="C20" s="202"/>
      <c r="D20" s="202"/>
      <c r="E20" s="202"/>
      <c r="F20" s="202"/>
      <c r="G20" s="60">
        <f>G19+G18</f>
        <v>140.30000000000001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QTN-MS-2-202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2025-01-13T08:56:47Z</cp:lastPrinted>
  <dcterms:created xsi:type="dcterms:W3CDTF">2024-10-20T11:50:19Z</dcterms:created>
  <dcterms:modified xsi:type="dcterms:W3CDTF">2025-01-13T08:58:21Z</dcterms:modified>
</cp:coreProperties>
</file>