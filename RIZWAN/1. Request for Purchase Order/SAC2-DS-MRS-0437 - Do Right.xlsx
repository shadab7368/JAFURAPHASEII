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6BE69DA1-DA40-4FCF-B3DD-12E17E6F9EB9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MRS!$A$1:$L$46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page'!$A$1:$H$42</definedName>
    <definedName name="_xlnm.Print_Titles" localSheetId="0">MRS!$4:$5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3" l="1"/>
  <c r="F30" i="3"/>
  <c r="F29" i="3"/>
  <c r="G36" i="4"/>
  <c r="H35" i="4"/>
  <c r="G35" i="4"/>
  <c r="F35" i="4"/>
  <c r="E35" i="4"/>
  <c r="D35" i="4"/>
  <c r="H34" i="4"/>
  <c r="G34" i="4"/>
  <c r="F34" i="4"/>
  <c r="E34" i="4"/>
  <c r="D34" i="4"/>
  <c r="H33" i="4"/>
  <c r="G33" i="4"/>
  <c r="F33" i="4"/>
  <c r="E33" i="4"/>
  <c r="D33" i="4"/>
  <c r="H32" i="4"/>
  <c r="G32" i="4"/>
  <c r="F32" i="4"/>
  <c r="E32" i="4"/>
  <c r="D32" i="4"/>
  <c r="H31" i="4"/>
  <c r="G31" i="4"/>
  <c r="F31" i="4"/>
  <c r="E31" i="4"/>
  <c r="D31" i="4"/>
  <c r="H30" i="4"/>
  <c r="G30" i="4"/>
  <c r="F30" i="4"/>
  <c r="E30" i="4"/>
  <c r="D30" i="4"/>
  <c r="H29" i="4"/>
  <c r="G29" i="4"/>
  <c r="F29" i="4"/>
  <c r="E29" i="4"/>
  <c r="D29" i="4"/>
  <c r="H28" i="4"/>
  <c r="G28" i="4"/>
  <c r="F28" i="4"/>
  <c r="E28" i="4"/>
  <c r="D28" i="4"/>
  <c r="H27" i="4"/>
  <c r="G27" i="4"/>
  <c r="F27" i="4"/>
  <c r="E27" i="4"/>
  <c r="D27" i="4"/>
  <c r="H26" i="4"/>
  <c r="G26" i="4"/>
  <c r="F26" i="4"/>
  <c r="E26" i="4"/>
  <c r="D26" i="4"/>
  <c r="H25" i="4"/>
  <c r="G25" i="4"/>
  <c r="F25" i="4"/>
  <c r="E25" i="4"/>
  <c r="D25" i="4"/>
  <c r="H24" i="4"/>
  <c r="G24" i="4"/>
  <c r="F24" i="4"/>
  <c r="E24" i="4"/>
  <c r="D24" i="4"/>
  <c r="H23" i="4"/>
  <c r="G23" i="4"/>
  <c r="F23" i="4"/>
  <c r="E23" i="4"/>
  <c r="D23" i="4"/>
  <c r="H22" i="4"/>
  <c r="G22" i="4"/>
  <c r="F22" i="4"/>
  <c r="E22" i="4"/>
  <c r="D22" i="4"/>
  <c r="H21" i="4"/>
  <c r="G21" i="4"/>
  <c r="F21" i="4"/>
  <c r="E21" i="4"/>
  <c r="D21" i="4"/>
  <c r="H20" i="4"/>
  <c r="G20" i="4"/>
  <c r="F20" i="4"/>
  <c r="E20" i="4"/>
  <c r="D20" i="4"/>
  <c r="H19" i="4"/>
  <c r="G19" i="4"/>
  <c r="F19" i="4"/>
  <c r="E19" i="4"/>
  <c r="D19" i="4"/>
  <c r="H18" i="4"/>
  <c r="G18" i="4"/>
  <c r="F18" i="4"/>
  <c r="E18" i="4"/>
  <c r="D18" i="4"/>
  <c r="H17" i="4"/>
  <c r="G17" i="4"/>
  <c r="F17" i="4"/>
  <c r="E17" i="4"/>
  <c r="D17" i="4"/>
  <c r="H16" i="4"/>
  <c r="G16" i="4"/>
  <c r="F16" i="4"/>
  <c r="E16" i="4"/>
  <c r="D16" i="4"/>
  <c r="H15" i="4"/>
  <c r="G15" i="4"/>
  <c r="F15" i="4"/>
  <c r="E15" i="4"/>
  <c r="D15" i="4"/>
  <c r="H14" i="4"/>
  <c r="G14" i="4"/>
  <c r="F14" i="4"/>
  <c r="E14" i="4"/>
  <c r="D14" i="4"/>
  <c r="H13" i="4"/>
  <c r="G13" i="4"/>
  <c r="F13" i="4"/>
  <c r="E13" i="4"/>
  <c r="D13" i="4"/>
  <c r="H12" i="4"/>
  <c r="G12" i="4"/>
  <c r="F12" i="4"/>
  <c r="E12" i="4"/>
  <c r="D12" i="4"/>
  <c r="H11" i="4"/>
  <c r="G11" i="4"/>
  <c r="F11" i="4"/>
  <c r="E11" i="4"/>
  <c r="D11" i="4"/>
  <c r="H10" i="4"/>
  <c r="G10" i="4"/>
  <c r="F10" i="4"/>
  <c r="E10" i="4"/>
  <c r="D10" i="4"/>
  <c r="H9" i="4"/>
  <c r="G9" i="4"/>
  <c r="F9" i="4"/>
  <c r="E9" i="4"/>
  <c r="D9" i="4"/>
  <c r="H8" i="4"/>
  <c r="G8" i="4"/>
  <c r="F8" i="4"/>
  <c r="E8" i="4"/>
  <c r="D8" i="4"/>
  <c r="H7" i="4"/>
  <c r="G7" i="4"/>
  <c r="F7" i="4"/>
  <c r="E7" i="4"/>
  <c r="D7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A35" i="1" l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E3" i="1"/>
  <c r="E6" i="4" l="1"/>
  <c r="F6" i="4"/>
  <c r="D6" i="4"/>
  <c r="P54" i="3" l="1"/>
  <c r="B6" i="4" l="1"/>
  <c r="J7" i="2"/>
  <c r="H6" i="4"/>
  <c r="J8" i="2"/>
  <c r="I8" i="2"/>
  <c r="H8" i="2"/>
  <c r="G8" i="2"/>
  <c r="I7" i="2"/>
  <c r="H7" i="2"/>
  <c r="G7" i="2"/>
  <c r="D8" i="2"/>
  <c r="B8" i="2"/>
  <c r="D7" i="2"/>
  <c r="B7" i="2"/>
  <c r="J6" i="1" l="1"/>
  <c r="K10" i="3"/>
  <c r="G6" i="4" l="1"/>
  <c r="J38" i="1"/>
  <c r="A39" i="4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37" i="1"/>
  <c r="A15" i="2" s="1"/>
  <c r="A36" i="1"/>
  <c r="A14" i="2" s="1"/>
  <c r="A13" i="2"/>
  <c r="A12" i="2"/>
  <c r="A11" i="2"/>
  <c r="A10" i="2"/>
  <c r="A9" i="1"/>
  <c r="A9" i="2" s="1"/>
  <c r="A8" i="1"/>
  <c r="A8" i="2" s="1"/>
  <c r="A7" i="1"/>
  <c r="A7" i="2" s="1"/>
  <c r="A6" i="1"/>
  <c r="A6" i="2" s="1"/>
  <c r="J6" i="2" l="1"/>
  <c r="G37" i="4" l="1"/>
  <c r="G38" i="4" s="1"/>
</calcChain>
</file>

<file path=xl/sharedStrings.xml><?xml version="1.0" encoding="utf-8"?>
<sst xmlns="http://schemas.openxmlformats.org/spreadsheetml/2006/main" count="315" uniqueCount="182">
  <si>
    <t>Vendor Name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</si>
  <si>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</si>
  <si>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</si>
  <si>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</si>
  <si>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</si>
  <si>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</si>
  <si>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</si>
  <si>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</si>
  <si>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</si>
  <si>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</si>
  <si>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</si>
  <si>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</si>
  <si>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</si>
  <si>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</si>
  <si>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</si>
  <si>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</si>
  <si>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</si>
  <si>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</si>
  <si>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</si>
  <si>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</si>
  <si>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</si>
  <si>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</si>
  <si>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</si>
  <si>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</si>
  <si>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</si>
  <si>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</si>
  <si>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</si>
  <si>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</si>
  <si>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</si>
  <si>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</si>
  <si>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</si>
  <si>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</si>
  <si>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</si>
  <si>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</si>
  <si>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</si>
  <si>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</si>
  <si>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</si>
  <si>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</si>
  <si>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</si>
  <si>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</si>
  <si>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</si>
  <si>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</si>
  <si>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</si>
  <si>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</si>
  <si>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</si>
  <si>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</si>
  <si>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</si>
  <si>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</si>
  <si>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</si>
  <si>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</si>
  <si>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</si>
  <si>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</si>
  <si>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</si>
  <si>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</si>
  <si>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</si>
  <si>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</si>
  <si>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</si>
  <si>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</si>
  <si>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</si>
  <si>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</si>
  <si>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</si>
  <si>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</si>
  <si>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</si>
  <si>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</si>
  <si>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</si>
  <si>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</si>
  <si>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</si>
  <si>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</si>
  <si>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</si>
  <si>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</si>
  <si>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</si>
  <si>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</si>
  <si>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</si>
  <si>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</si>
  <si>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</si>
  <si>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</si>
  <si>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</si>
  <si>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</si>
  <si>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</si>
  <si>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</si>
  <si>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4" type="noConversion"/>
  </si>
  <si>
    <t>Unit Price (SAR)
(Exclude VAT)</t>
    <phoneticPr fontId="7" type="noConversion"/>
  </si>
  <si>
    <t>Total Price (SAR)
(Exclude VAT)</t>
    <phoneticPr fontId="7" type="noConversion"/>
  </si>
  <si>
    <t>DAESHIN PLANT</t>
    <phoneticPr fontId="8" type="noConversion"/>
  </si>
  <si>
    <t xml:space="preserve">  PJT :  SACE2           </t>
    <phoneticPr fontId="8" type="noConversion"/>
  </si>
  <si>
    <t>Subcontract name (SAC2-SC-IK-SMP-01)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</si>
  <si>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</si>
  <si>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</si>
  <si>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</si>
  <si>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</si>
  <si>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</si>
  <si>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</si>
  <si>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</si>
  <si>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</si>
  <si>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</si>
  <si>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</si>
  <si>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</si>
  <si>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</si>
  <si>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 xml:space="preserve"> CR No. :</t>
    <phoneticPr fontId="8" type="noConversion"/>
  </si>
  <si>
    <t xml:space="preserve"> VAT No. : </t>
    <phoneticPr fontId="8" type="noConversion"/>
  </si>
  <si>
    <t xml:space="preserve"> In Charge :</t>
    <phoneticPr fontId="8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</si>
  <si>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</si>
  <si>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</si>
  <si>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</si>
  <si>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</si>
  <si>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</si>
  <si>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</si>
  <si>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</si>
  <si>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</si>
  <si>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</si>
  <si>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</si>
  <si>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</si>
  <si>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</si>
  <si>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</si>
  <si>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</si>
  <si>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DRCE</t>
  </si>
  <si>
    <t>DRCE(Do Right Contracting Est)</t>
  </si>
  <si>
    <t>311663261800003</t>
  </si>
  <si>
    <t>Salman Farish</t>
  </si>
  <si>
    <t>+966 545977794 /  Email:info@doright.sa</t>
  </si>
  <si>
    <t>Mobile : +966 545977794</t>
  </si>
  <si>
    <t>4381 Janubiyyah , KSA</t>
  </si>
  <si>
    <t>1000789169940</t>
  </si>
  <si>
    <t>SA13 2000 0001 0007 8916 9940</t>
  </si>
  <si>
    <t>RIYAD BANK</t>
  </si>
  <si>
    <t>RIBLSARI</t>
  </si>
  <si>
    <t>Business Developer</t>
  </si>
  <si>
    <t>DORIGHT CONTRACTING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</si>
  <si>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-MRS-0437</t>
    </r>
  </si>
  <si>
    <t>Blue Pen</t>
  </si>
  <si>
    <t>Red Pen</t>
  </si>
  <si>
    <t>Black Pen</t>
  </si>
  <si>
    <t>Pencil</t>
  </si>
  <si>
    <t>Binder Clip - 51 Mm</t>
  </si>
  <si>
    <t>Binder Clip - 32Mm</t>
  </si>
  <si>
    <t>Binder Clip 19Mm</t>
  </si>
  <si>
    <t>Paper Clip - 32 Mm</t>
  </si>
  <si>
    <t>Paper Clip - 15 Mm</t>
  </si>
  <si>
    <t>Stapler</t>
  </si>
  <si>
    <t>Al Rai Juice Cocktail</t>
  </si>
  <si>
    <t>Smp 1 Stickers</t>
  </si>
  <si>
    <t>Hyundai Logo Sticker</t>
  </si>
  <si>
    <t>Safety Yellow Vest With Logo</t>
  </si>
  <si>
    <t>Frc Coverall</t>
  </si>
  <si>
    <t>Wired Keyboard</t>
  </si>
  <si>
    <t>Sticky Notes</t>
  </si>
  <si>
    <t>Facial Tissue</t>
  </si>
  <si>
    <t>Wet Tissue</t>
  </si>
  <si>
    <t>Paper Cups</t>
  </si>
  <si>
    <t>Clorex</t>
  </si>
  <si>
    <t>Cleaning Liquid</t>
  </si>
  <si>
    <t>Garbage Bag - 100 Gln</t>
  </si>
  <si>
    <t>Garbage Bag - Small Rolls</t>
  </si>
  <si>
    <t>Broom With Sticks</t>
  </si>
  <si>
    <t>Safety Helmet</t>
  </si>
  <si>
    <t>Firewatch Vest</t>
  </si>
  <si>
    <t/>
  </si>
  <si>
    <t>1*50/ Pkt</t>
  </si>
  <si>
    <t>1*12/Pkt</t>
  </si>
  <si>
    <t>1*12 Pkts/ Box</t>
  </si>
  <si>
    <t>Big,Deli</t>
  </si>
  <si>
    <t>27*250Ml</t>
  </si>
  <si>
    <t>Round Red</t>
  </si>
  <si>
    <t>Round Green</t>
  </si>
  <si>
    <t>Round Blue</t>
  </si>
  <si>
    <t>Cat - 2</t>
  </si>
  <si>
    <t xml:space="preserve">Hp </t>
  </si>
  <si>
    <t>Fantastic, Size 38.1*50.8 Mm12*1Pkt  36Pkt*1</t>
  </si>
  <si>
    <t>3 Layer - 1*10/Pkt</t>
  </si>
  <si>
    <t>9Oz</t>
  </si>
  <si>
    <t>3.78 Ltrs</t>
  </si>
  <si>
    <t>Dac 3 Ltr</t>
  </si>
  <si>
    <t>10 Rolls/ Pkt</t>
  </si>
  <si>
    <t>Gariox,White</t>
  </si>
  <si>
    <t>Gariox,Yellow</t>
  </si>
  <si>
    <t>PKT</t>
  </si>
  <si>
    <t>BOX</t>
  </si>
  <si>
    <t>EA</t>
  </si>
  <si>
    <t>SAL-QTN-2026-0038</t>
  </si>
  <si>
    <t>Office Consumables</t>
  </si>
  <si>
    <t>One Time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</si>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</sst>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31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0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42" fillId="3" borderId="0" xfId="5" quotePrefix="1" applyFont="1" applyFill="1"/>
    <xf numFmtId="0" fontId="53" fillId="3" borderId="0" xfId="5" applyFont="1" applyFill="1"/>
    <xf numFmtId="0" fontId="18" fillId="3" borderId="0" xfId="5" quotePrefix="1" applyFont="1" applyFill="1"/>
    <xf numFmtId="0" fontId="54" fillId="3" borderId="0" xfId="5" applyFont="1" applyFill="1"/>
    <xf numFmtId="0" fontId="6" fillId="2" borderId="12" xfId="1" applyFont="1" applyFill="1" applyBorder="1" applyAlignment="1">
      <alignment horizontal="center" vertical="center" wrapText="1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3" fillId="2" borderId="0" xfId="1" applyFill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6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3" fillId="0" borderId="8" xfId="0" quotePrefix="1" applyFont="1" applyBorder="1" applyAlignment="1">
      <alignment horizontal="center" vertical="center" wrapText="1"/>
    </xf>
    <xf numFmtId="168" fontId="3" fillId="0" borderId="16" xfId="0" quotePrefix="1" applyNumberFormat="1" applyFont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28" fillId="3" borderId="0" xfId="5" applyFont="1" applyFill="1" applyAlignment="1">
      <alignment horizontal="center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50" fillId="2" borderId="1" xfId="1" applyFont="1" applyFill="1" applyBorder="1" applyAlignment="1">
      <alignment horizontal="center" vertical="center"/>
    </xf>
    <xf numFmtId="0" fontId="50" fillId="2" borderId="2" xfId="1" applyFont="1" applyFill="1" applyBorder="1" applyAlignment="1">
      <alignment horizontal="center" vertical="center"/>
    </xf>
    <xf numFmtId="0" fontId="50" fillId="2" borderId="3" xfId="1" applyFont="1" applyFill="1" applyBorder="1" applyAlignment="1">
      <alignment horizontal="center" vertical="center"/>
    </xf>
    <xf numFmtId="0" fontId="51" fillId="2" borderId="4" xfId="1" applyFont="1" applyFill="1" applyBorder="1" applyAlignment="1">
      <alignment horizontal="center" vertical="center"/>
    </xf>
    <xf numFmtId="0" fontId="51" fillId="2" borderId="5" xfId="1" applyFont="1" applyFill="1" applyBorder="1" applyAlignment="1">
      <alignment horizontal="center" vertical="center"/>
    </xf>
    <xf numFmtId="0" fontId="51" fillId="2" borderId="6" xfId="1" applyFont="1" applyFill="1" applyBorder="1" applyAlignment="1">
      <alignment horizontal="center" vertical="center"/>
    </xf>
    <xf numFmtId="165" fontId="52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</cellXfs>
  <cellStyles count="31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2 2" xfId="28" xr:uid="{01578C3F-8F9E-42AD-A855-D81F0293BF0D}"/>
    <cellStyle name="쉼표 [0] 2 2 3" xfId="12" xr:uid="{9961464D-49CC-42FF-A79A-4236B21516A7}"/>
    <cellStyle name="쉼표 [0] 2 2 3 2" xfId="24" xr:uid="{D4D3392D-04F6-4083-BAEC-09B500E1C039}"/>
    <cellStyle name="쉼표 [0] 2 2 4" xfId="20" xr:uid="{0F1B4328-CAA3-47CA-A5A9-251113EF7B03}"/>
    <cellStyle name="쉼표 2" xfId="9" xr:uid="{F2A3A689-A30F-4FCA-9C51-F28F11796A46}"/>
    <cellStyle name="쉼표 2 2" xfId="18" xr:uid="{3B61A4FC-7502-4F0B-BBCD-9289E590F517}"/>
    <cellStyle name="쉼표 2 2 2" xfId="30" xr:uid="{A627ABC6-E455-4821-BB8F-DD7DA2F8BB75}"/>
    <cellStyle name="쉼표 2 3" xfId="14" xr:uid="{AD8851D0-F386-454F-9F4F-643E5BD4A6A6}"/>
    <cellStyle name="쉼표 2 3 2" xfId="26" xr:uid="{4142D74C-2291-4CAA-A3C3-9D57C0F95378}"/>
    <cellStyle name="쉼표 2 4" xfId="22" xr:uid="{BD9E04F6-3D7B-431B-8107-1C113D68F200}"/>
    <cellStyle name="표준 2 2" xfId="2" xr:uid="{12B761D3-4229-4E14-8168-D5975293A996}"/>
    <cellStyle name="표준 2 2 2" xfId="15" xr:uid="{F337407C-0FD2-46A6-95DF-C1E2DED6E687}"/>
    <cellStyle name="표준 2 2 2 2" xfId="27" xr:uid="{2E7253E1-7555-49F0-8C5D-CDDC14655E4E}"/>
    <cellStyle name="표준 2 2 3" xfId="11" xr:uid="{3AC3C823-B896-40EF-A224-30F2537C37BB}"/>
    <cellStyle name="표준 2 2 3 2" xfId="23" xr:uid="{14F2F017-6A11-4A8D-B344-72CF1A04601E}"/>
    <cellStyle name="표준 2 2 4" xfId="19" xr:uid="{DD3A8A31-41B6-4D2C-95C3-F0EC7D2D1131}"/>
    <cellStyle name="표준 2 3 2 2" xfId="5" xr:uid="{BD51BFCC-3D36-446B-BE80-7856DF8371E9}"/>
    <cellStyle name="표준 2 3 2 2 2" xfId="17" xr:uid="{B9B2D054-D5A8-450E-A1C1-80807A9BB7D4}"/>
    <cellStyle name="표준 2 3 2 2 2 2" xfId="29" xr:uid="{38CDDD11-AC1C-4F5F-8F0F-E0B6002A3F0E}"/>
    <cellStyle name="표준 2 3 2 2 3" xfId="13" xr:uid="{0947CE48-AB5D-4908-90F6-CDE2EB84A247}"/>
    <cellStyle name="표준 2 3 2 2 3 2" xfId="25" xr:uid="{3CDF9D11-62EB-40AE-81CC-8E0CF4656070}"/>
    <cellStyle name="표준 2 3 2 2 4" xfId="21" xr:uid="{A539C216-0DDC-46A6-BCC9-1355237D59B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902369</xdr:colOff>
          <xdr:row>38</xdr:row>
          <xdr:rowOff>229603</xdr:rowOff>
        </xdr:from>
        <xdr:to>
          <xdr:col>11</xdr:col>
          <xdr:colOff>1562100</xdr:colOff>
          <xdr:row>45</xdr:row>
          <xdr:rowOff>411194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124CF74F-9719-52F5-0BD8-4E4BFEB9CBF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42:$Y$48" spid="_x0000_s12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94448" y="4671261"/>
              <a:ext cx="8269705" cy="25377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74"/>
  <sheetViews>
    <sheetView showGridLines="0" view="pageBreakPreview" zoomScale="95" zoomScaleNormal="95" zoomScaleSheetLayoutView="95" workbookViewId="0">
      <selection activeCell="L13" sqref="L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11" t="s">
        <v>101</v>
      </c>
      <c r="B1" s="112"/>
      <c r="C1" s="97"/>
      <c r="D1" s="97"/>
      <c r="E1" s="97"/>
      <c r="F1" s="97"/>
      <c r="G1" s="1"/>
      <c r="J1" s="158" t="s">
        <v>83</v>
      </c>
      <c r="K1" s="159"/>
      <c r="L1" s="160"/>
    </row>
    <row r="2" spans="1:19" ht="20.100000000000001" customHeight="1">
      <c r="A2" s="3" t="s">
        <v>84</v>
      </c>
      <c r="B2" s="88"/>
      <c r="C2" s="88"/>
      <c r="D2" s="3" t="s">
        <v>102</v>
      </c>
      <c r="E2" s="88"/>
      <c r="F2" s="88"/>
      <c r="G2" s="88"/>
      <c r="H2" s="88"/>
      <c r="I2" s="4"/>
      <c r="J2" s="161" t="s">
        <v>85</v>
      </c>
      <c r="K2" s="162"/>
      <c r="L2" s="163"/>
    </row>
    <row r="3" spans="1:19" ht="20.100000000000001" customHeight="1">
      <c r="A3" s="3" t="s">
        <v>128</v>
      </c>
      <c r="B3" s="88"/>
      <c r="C3" s="88"/>
      <c r="D3" s="88"/>
      <c r="E3" s="164">
        <f>+L3+3</f>
        <v>46262</v>
      </c>
      <c r="F3" s="164"/>
      <c r="G3" s="164"/>
      <c r="H3" s="164"/>
      <c r="I3" s="164"/>
      <c r="J3" s="88"/>
      <c r="K3" s="88"/>
      <c r="L3" s="113">
        <v>46259</v>
      </c>
      <c r="M3" s="4"/>
    </row>
    <row r="4" spans="1:19" ht="15.95" customHeight="1">
      <c r="A4" s="165" t="s">
        <v>1</v>
      </c>
      <c r="B4" s="166" t="s">
        <v>2</v>
      </c>
      <c r="C4" s="166"/>
      <c r="D4" s="167" t="s">
        <v>3</v>
      </c>
      <c r="E4" s="168"/>
      <c r="F4" s="169"/>
      <c r="G4" s="173" t="s">
        <v>4</v>
      </c>
      <c r="H4" s="175" t="s">
        <v>5</v>
      </c>
      <c r="I4" s="175" t="s">
        <v>81</v>
      </c>
      <c r="J4" s="165" t="s">
        <v>82</v>
      </c>
      <c r="K4" s="175" t="s">
        <v>0</v>
      </c>
      <c r="L4" s="166" t="s">
        <v>6</v>
      </c>
    </row>
    <row r="5" spans="1:19" ht="15.95" customHeight="1">
      <c r="A5" s="165"/>
      <c r="B5" s="166"/>
      <c r="C5" s="166"/>
      <c r="D5" s="170"/>
      <c r="E5" s="171"/>
      <c r="F5" s="172"/>
      <c r="G5" s="174"/>
      <c r="H5" s="176"/>
      <c r="I5" s="176"/>
      <c r="J5" s="165"/>
      <c r="K5" s="176"/>
      <c r="L5" s="166"/>
    </row>
    <row r="6" spans="1:19" ht="22.5" customHeight="1">
      <c r="A6" s="5">
        <f t="shared" ref="A6:A35" si="0">ROW(A1)</f>
        <v>1</v>
      </c>
      <c r="B6" s="146" t="s">
        <v>129</v>
      </c>
      <c r="C6" s="147"/>
      <c r="D6" s="148" t="s">
        <v>157</v>
      </c>
      <c r="E6" s="149"/>
      <c r="F6" s="150"/>
      <c r="G6" s="98" t="s">
        <v>175</v>
      </c>
      <c r="H6" s="99">
        <v>20</v>
      </c>
      <c r="I6" s="100">
        <v>19.68</v>
      </c>
      <c r="J6" s="100">
        <f>H6*I6</f>
        <v>393.6</v>
      </c>
      <c r="K6" s="101" t="s">
        <v>115</v>
      </c>
      <c r="L6" s="123" t="s">
        <v>180</v>
      </c>
      <c r="S6" s="93"/>
    </row>
    <row r="7" spans="1:19" ht="22.5" customHeight="1">
      <c r="A7" s="5">
        <f t="shared" si="0"/>
        <v>2</v>
      </c>
      <c r="B7" s="146" t="s">
        <v>130</v>
      </c>
      <c r="C7" s="147"/>
      <c r="D7" s="148" t="s">
        <v>157</v>
      </c>
      <c r="E7" s="149"/>
      <c r="F7" s="150"/>
      <c r="G7" s="98" t="s">
        <v>175</v>
      </c>
      <c r="H7" s="99">
        <v>10</v>
      </c>
      <c r="I7" s="100">
        <v>19.68</v>
      </c>
      <c r="J7" s="100">
        <f t="shared" ref="J7:J35" si="1">H7*I7</f>
        <v>196.8</v>
      </c>
      <c r="K7" s="124" t="s">
        <v>181</v>
      </c>
      <c r="L7" s="123" t="s">
        <v>181</v>
      </c>
      <c r="S7" s="93"/>
    </row>
    <row r="8" spans="1:19" ht="22.5" customHeight="1">
      <c r="A8" s="5">
        <f t="shared" si="0"/>
        <v>3</v>
      </c>
      <c r="B8" s="146" t="s">
        <v>131</v>
      </c>
      <c r="C8" s="147"/>
      <c r="D8" s="148" t="s">
        <v>157</v>
      </c>
      <c r="E8" s="149"/>
      <c r="F8" s="150"/>
      <c r="G8" s="98" t="s">
        <v>175</v>
      </c>
      <c r="H8" s="99">
        <v>6</v>
      </c>
      <c r="I8" s="100">
        <v>19.68</v>
      </c>
      <c r="J8" s="100">
        <f t="shared" si="1"/>
        <v>118.08</v>
      </c>
      <c r="K8" s="124" t="s">
        <v>181</v>
      </c>
      <c r="L8" s="123" t="s">
        <v>181</v>
      </c>
      <c r="S8" s="93"/>
    </row>
    <row r="9" spans="1:19" ht="22.5" customHeight="1">
      <c r="A9" s="5">
        <f t="shared" si="0"/>
        <v>4</v>
      </c>
      <c r="B9" s="146" t="s">
        <v>132</v>
      </c>
      <c r="C9" s="147"/>
      <c r="D9" s="148" t="s">
        <v>158</v>
      </c>
      <c r="E9" s="149"/>
      <c r="F9" s="150"/>
      <c r="G9" s="98" t="s">
        <v>175</v>
      </c>
      <c r="H9" s="99">
        <v>50</v>
      </c>
      <c r="I9" s="100">
        <v>4.92</v>
      </c>
      <c r="J9" s="100">
        <f t="shared" si="1"/>
        <v>246</v>
      </c>
      <c r="K9" s="124" t="s">
        <v>181</v>
      </c>
      <c r="L9" s="123" t="s">
        <v>181</v>
      </c>
      <c r="S9" s="93"/>
    </row>
    <row r="10" spans="1:19" ht="22.5" customHeight="1">
      <c r="A10" s="5">
        <f t="shared" si="0"/>
        <v>5</v>
      </c>
      <c r="B10" s="146" t="s">
        <v>133</v>
      </c>
      <c r="C10" s="147"/>
      <c r="D10" s="148" t="s">
        <v>156</v>
      </c>
      <c r="E10" s="149"/>
      <c r="F10" s="150"/>
      <c r="G10" s="98" t="s">
        <v>175</v>
      </c>
      <c r="H10" s="99">
        <v>10</v>
      </c>
      <c r="I10" s="100">
        <v>5.54</v>
      </c>
      <c r="J10" s="100">
        <f t="shared" si="1"/>
        <v>55.4</v>
      </c>
      <c r="K10" s="124" t="s">
        <v>181</v>
      </c>
      <c r="L10" s="123" t="s">
        <v>181</v>
      </c>
      <c r="S10" s="93"/>
    </row>
    <row r="11" spans="1:19" ht="22.5" customHeight="1">
      <c r="A11" s="5">
        <f t="shared" si="0"/>
        <v>6</v>
      </c>
      <c r="B11" s="146" t="s">
        <v>134</v>
      </c>
      <c r="C11" s="147"/>
      <c r="D11" s="148" t="s">
        <v>159</v>
      </c>
      <c r="E11" s="149"/>
      <c r="F11" s="150"/>
      <c r="G11" s="98" t="s">
        <v>176</v>
      </c>
      <c r="H11" s="99">
        <v>10</v>
      </c>
      <c r="I11" s="100">
        <v>28.3</v>
      </c>
      <c r="J11" s="100">
        <f t="shared" si="1"/>
        <v>283</v>
      </c>
      <c r="K11" s="124" t="s">
        <v>181</v>
      </c>
      <c r="L11" s="123" t="s">
        <v>181</v>
      </c>
      <c r="S11" s="93"/>
    </row>
    <row r="12" spans="1:19" ht="22.5" customHeight="1">
      <c r="A12" s="5">
        <f t="shared" si="0"/>
        <v>7</v>
      </c>
      <c r="B12" s="146" t="s">
        <v>135</v>
      </c>
      <c r="C12" s="147"/>
      <c r="D12" s="148" t="s">
        <v>159</v>
      </c>
      <c r="E12" s="149"/>
      <c r="F12" s="150"/>
      <c r="G12" s="98" t="s">
        <v>176</v>
      </c>
      <c r="H12" s="99">
        <v>10</v>
      </c>
      <c r="I12" s="100">
        <v>17.25</v>
      </c>
      <c r="J12" s="100">
        <f t="shared" si="1"/>
        <v>172.5</v>
      </c>
      <c r="K12" s="124" t="s">
        <v>181</v>
      </c>
      <c r="L12" s="123" t="s">
        <v>181</v>
      </c>
      <c r="S12" s="93"/>
    </row>
    <row r="13" spans="1:19" ht="22.5" customHeight="1">
      <c r="A13" s="5">
        <f t="shared" si="0"/>
        <v>8</v>
      </c>
      <c r="B13" s="146" t="s">
        <v>136</v>
      </c>
      <c r="C13" s="147"/>
      <c r="D13" s="148" t="s">
        <v>159</v>
      </c>
      <c r="E13" s="149"/>
      <c r="F13" s="150"/>
      <c r="G13" s="98" t="s">
        <v>176</v>
      </c>
      <c r="H13" s="99">
        <v>10</v>
      </c>
      <c r="I13" s="100">
        <v>12.3</v>
      </c>
      <c r="J13" s="100">
        <f t="shared" si="1"/>
        <v>123</v>
      </c>
      <c r="K13" s="124" t="s">
        <v>181</v>
      </c>
      <c r="L13" s="123" t="s">
        <v>181</v>
      </c>
      <c r="S13" s="93"/>
    </row>
    <row r="14" spans="1:19" ht="22.5" customHeight="1">
      <c r="A14" s="5">
        <f t="shared" si="0"/>
        <v>9</v>
      </c>
      <c r="B14" s="146" t="s">
        <v>137</v>
      </c>
      <c r="C14" s="147"/>
      <c r="D14" s="148" t="s">
        <v>159</v>
      </c>
      <c r="E14" s="149"/>
      <c r="F14" s="150"/>
      <c r="G14" s="98" t="s">
        <v>176</v>
      </c>
      <c r="H14" s="99">
        <v>6</v>
      </c>
      <c r="I14" s="100">
        <v>9.85</v>
      </c>
      <c r="J14" s="100">
        <f t="shared" si="1"/>
        <v>59.099999999999994</v>
      </c>
      <c r="K14" s="124" t="s">
        <v>181</v>
      </c>
      <c r="L14" s="123" t="s">
        <v>181</v>
      </c>
      <c r="S14" s="93"/>
    </row>
    <row r="15" spans="1:19" ht="22.5" customHeight="1">
      <c r="A15" s="5">
        <f t="shared" si="0"/>
        <v>10</v>
      </c>
      <c r="B15" s="146" t="s">
        <v>138</v>
      </c>
      <c r="C15" s="147"/>
      <c r="D15" s="148" t="s">
        <v>160</v>
      </c>
      <c r="E15" s="149"/>
      <c r="F15" s="150"/>
      <c r="G15" s="98" t="s">
        <v>177</v>
      </c>
      <c r="H15" s="99">
        <v>10</v>
      </c>
      <c r="I15" s="100">
        <v>19.68</v>
      </c>
      <c r="J15" s="100">
        <f t="shared" si="1"/>
        <v>196.8</v>
      </c>
      <c r="K15" s="124" t="s">
        <v>181</v>
      </c>
      <c r="L15" s="123" t="s">
        <v>181</v>
      </c>
      <c r="S15" s="93"/>
    </row>
    <row r="16" spans="1:19" ht="22.5" customHeight="1">
      <c r="A16" s="5">
        <f t="shared" si="0"/>
        <v>11</v>
      </c>
      <c r="B16" s="146" t="s">
        <v>139</v>
      </c>
      <c r="C16" s="147"/>
      <c r="D16" s="148" t="s">
        <v>161</v>
      </c>
      <c r="E16" s="149"/>
      <c r="F16" s="150"/>
      <c r="G16" s="98" t="s">
        <v>177</v>
      </c>
      <c r="H16" s="99">
        <v>3000</v>
      </c>
      <c r="I16" s="100">
        <v>1.1000000000000001</v>
      </c>
      <c r="J16" s="100">
        <f t="shared" si="1"/>
        <v>3300.0000000000005</v>
      </c>
      <c r="K16" s="124" t="s">
        <v>181</v>
      </c>
      <c r="L16" s="123" t="s">
        <v>181</v>
      </c>
      <c r="S16" s="93"/>
    </row>
    <row r="17" spans="1:19" ht="22.5" customHeight="1">
      <c r="A17" s="5">
        <f t="shared" si="0"/>
        <v>12</v>
      </c>
      <c r="B17" s="146" t="s">
        <v>140</v>
      </c>
      <c r="C17" s="147"/>
      <c r="D17" s="148" t="s">
        <v>162</v>
      </c>
      <c r="E17" s="149"/>
      <c r="F17" s="150"/>
      <c r="G17" s="98" t="s">
        <v>177</v>
      </c>
      <c r="H17" s="99">
        <v>2000</v>
      </c>
      <c r="I17" s="100">
        <v>0.62</v>
      </c>
      <c r="J17" s="100">
        <f t="shared" si="1"/>
        <v>1240</v>
      </c>
      <c r="K17" s="124" t="s">
        <v>181</v>
      </c>
      <c r="L17" s="123" t="s">
        <v>181</v>
      </c>
      <c r="S17" s="93"/>
    </row>
    <row r="18" spans="1:19" ht="22.5" customHeight="1">
      <c r="A18" s="5">
        <f t="shared" si="0"/>
        <v>13</v>
      </c>
      <c r="B18" s="146" t="s">
        <v>140</v>
      </c>
      <c r="C18" s="147"/>
      <c r="D18" s="148" t="s">
        <v>163</v>
      </c>
      <c r="E18" s="149"/>
      <c r="F18" s="150"/>
      <c r="G18" s="98" t="s">
        <v>177</v>
      </c>
      <c r="H18" s="99">
        <v>1000</v>
      </c>
      <c r="I18" s="100">
        <v>0.62</v>
      </c>
      <c r="J18" s="100">
        <f t="shared" si="1"/>
        <v>620</v>
      </c>
      <c r="K18" s="124" t="s">
        <v>181</v>
      </c>
      <c r="L18" s="123" t="s">
        <v>181</v>
      </c>
      <c r="S18" s="93"/>
    </row>
    <row r="19" spans="1:19" ht="22.5" customHeight="1">
      <c r="A19" s="5">
        <f t="shared" si="0"/>
        <v>14</v>
      </c>
      <c r="B19" s="146" t="s">
        <v>140</v>
      </c>
      <c r="C19" s="147"/>
      <c r="D19" s="148" t="s">
        <v>164</v>
      </c>
      <c r="E19" s="149"/>
      <c r="F19" s="150"/>
      <c r="G19" s="98" t="s">
        <v>177</v>
      </c>
      <c r="H19" s="99">
        <v>1000</v>
      </c>
      <c r="I19" s="100">
        <v>0.62</v>
      </c>
      <c r="J19" s="100">
        <f t="shared" si="1"/>
        <v>620</v>
      </c>
      <c r="K19" s="124" t="s">
        <v>181</v>
      </c>
      <c r="L19" s="123" t="s">
        <v>181</v>
      </c>
      <c r="S19" s="93"/>
    </row>
    <row r="20" spans="1:19" ht="22.5" customHeight="1">
      <c r="A20" s="5">
        <f t="shared" si="0"/>
        <v>15</v>
      </c>
      <c r="B20" s="146" t="s">
        <v>141</v>
      </c>
      <c r="C20" s="147"/>
      <c r="D20" s="148" t="s">
        <v>156</v>
      </c>
      <c r="E20" s="149"/>
      <c r="F20" s="150"/>
      <c r="G20" s="98" t="s">
        <v>177</v>
      </c>
      <c r="H20" s="99">
        <v>2000</v>
      </c>
      <c r="I20" s="100">
        <v>0.74</v>
      </c>
      <c r="J20" s="100">
        <f t="shared" si="1"/>
        <v>1480</v>
      </c>
      <c r="K20" s="124" t="s">
        <v>181</v>
      </c>
      <c r="L20" s="123" t="s">
        <v>181</v>
      </c>
      <c r="S20" s="93"/>
    </row>
    <row r="21" spans="1:19" ht="22.5" customHeight="1">
      <c r="A21" s="5">
        <f t="shared" si="0"/>
        <v>16</v>
      </c>
      <c r="B21" s="146" t="s">
        <v>142</v>
      </c>
      <c r="C21" s="147"/>
      <c r="D21" s="148" t="s">
        <v>156</v>
      </c>
      <c r="E21" s="149"/>
      <c r="F21" s="150"/>
      <c r="G21" s="98" t="s">
        <v>177</v>
      </c>
      <c r="H21" s="99">
        <v>500</v>
      </c>
      <c r="I21" s="100">
        <v>14.15</v>
      </c>
      <c r="J21" s="100">
        <f t="shared" si="1"/>
        <v>7075</v>
      </c>
      <c r="K21" s="124" t="s">
        <v>181</v>
      </c>
      <c r="L21" s="123" t="s">
        <v>181</v>
      </c>
      <c r="S21" s="93"/>
    </row>
    <row r="22" spans="1:19" ht="22.5" customHeight="1">
      <c r="A22" s="5">
        <f t="shared" si="0"/>
        <v>17</v>
      </c>
      <c r="B22" s="146" t="s">
        <v>143</v>
      </c>
      <c r="C22" s="147"/>
      <c r="D22" s="148" t="s">
        <v>165</v>
      </c>
      <c r="E22" s="149"/>
      <c r="F22" s="150"/>
      <c r="G22" s="98" t="s">
        <v>177</v>
      </c>
      <c r="H22" s="99">
        <v>400</v>
      </c>
      <c r="I22" s="100">
        <v>77</v>
      </c>
      <c r="J22" s="100">
        <f t="shared" si="1"/>
        <v>30800</v>
      </c>
      <c r="K22" s="124" t="s">
        <v>181</v>
      </c>
      <c r="L22" s="123" t="s">
        <v>181</v>
      </c>
      <c r="S22" s="93"/>
    </row>
    <row r="23" spans="1:19" ht="22.5" customHeight="1">
      <c r="A23" s="5">
        <f t="shared" si="0"/>
        <v>18</v>
      </c>
      <c r="B23" s="146" t="s">
        <v>144</v>
      </c>
      <c r="C23" s="147"/>
      <c r="D23" s="148" t="s">
        <v>166</v>
      </c>
      <c r="E23" s="149"/>
      <c r="F23" s="150"/>
      <c r="G23" s="98" t="s">
        <v>177</v>
      </c>
      <c r="H23" s="99">
        <v>10</v>
      </c>
      <c r="I23" s="100">
        <v>61.5</v>
      </c>
      <c r="J23" s="100">
        <f t="shared" si="1"/>
        <v>615</v>
      </c>
      <c r="K23" s="124" t="s">
        <v>181</v>
      </c>
      <c r="L23" s="123" t="s">
        <v>181</v>
      </c>
      <c r="S23" s="93"/>
    </row>
    <row r="24" spans="1:19" ht="22.5" customHeight="1">
      <c r="A24" s="5">
        <f t="shared" si="0"/>
        <v>19</v>
      </c>
      <c r="B24" s="146" t="s">
        <v>145</v>
      </c>
      <c r="C24" s="147"/>
      <c r="D24" s="148" t="s">
        <v>167</v>
      </c>
      <c r="E24" s="149"/>
      <c r="F24" s="150"/>
      <c r="G24" s="98" t="s">
        <v>176</v>
      </c>
      <c r="H24" s="99">
        <v>1</v>
      </c>
      <c r="I24" s="100">
        <v>222</v>
      </c>
      <c r="J24" s="100">
        <f t="shared" si="1"/>
        <v>222</v>
      </c>
      <c r="K24" s="124" t="s">
        <v>181</v>
      </c>
      <c r="L24" s="123" t="s">
        <v>181</v>
      </c>
      <c r="S24" s="93"/>
    </row>
    <row r="25" spans="1:19" ht="22.5" customHeight="1">
      <c r="A25" s="5">
        <f t="shared" si="0"/>
        <v>20</v>
      </c>
      <c r="B25" s="146" t="s">
        <v>146</v>
      </c>
      <c r="C25" s="147"/>
      <c r="D25" s="148" t="s">
        <v>168</v>
      </c>
      <c r="E25" s="149"/>
      <c r="F25" s="150"/>
      <c r="G25" s="98" t="s">
        <v>175</v>
      </c>
      <c r="H25" s="99">
        <v>10</v>
      </c>
      <c r="I25" s="100">
        <v>11.1</v>
      </c>
      <c r="J25" s="100">
        <f t="shared" si="1"/>
        <v>111</v>
      </c>
      <c r="K25" s="124" t="s">
        <v>181</v>
      </c>
      <c r="L25" s="123" t="s">
        <v>181</v>
      </c>
      <c r="S25" s="93"/>
    </row>
    <row r="26" spans="1:19" ht="22.5" customHeight="1">
      <c r="A26" s="5">
        <f t="shared" si="0"/>
        <v>21</v>
      </c>
      <c r="B26" s="146" t="s">
        <v>147</v>
      </c>
      <c r="C26" s="147"/>
      <c r="D26" s="148" t="s">
        <v>156</v>
      </c>
      <c r="E26" s="149"/>
      <c r="F26" s="150"/>
      <c r="G26" s="98" t="s">
        <v>175</v>
      </c>
      <c r="H26" s="99">
        <v>50</v>
      </c>
      <c r="I26" s="100">
        <v>6.15</v>
      </c>
      <c r="J26" s="100">
        <f t="shared" si="1"/>
        <v>307.5</v>
      </c>
      <c r="K26" s="124" t="s">
        <v>181</v>
      </c>
      <c r="L26" s="123" t="s">
        <v>181</v>
      </c>
      <c r="S26" s="93"/>
    </row>
    <row r="27" spans="1:19" ht="22.5" customHeight="1">
      <c r="A27" s="5">
        <f t="shared" si="0"/>
        <v>22</v>
      </c>
      <c r="B27" s="146" t="s">
        <v>148</v>
      </c>
      <c r="C27" s="147"/>
      <c r="D27" s="148" t="s">
        <v>169</v>
      </c>
      <c r="E27" s="149"/>
      <c r="F27" s="150"/>
      <c r="G27" s="98" t="s">
        <v>176</v>
      </c>
      <c r="H27" s="99">
        <v>10</v>
      </c>
      <c r="I27" s="100">
        <v>57.81</v>
      </c>
      <c r="J27" s="100">
        <f t="shared" si="1"/>
        <v>578.1</v>
      </c>
      <c r="K27" s="124" t="s">
        <v>181</v>
      </c>
      <c r="L27" s="123" t="s">
        <v>181</v>
      </c>
      <c r="S27" s="93"/>
    </row>
    <row r="28" spans="1:19" ht="22.5" customHeight="1">
      <c r="A28" s="5">
        <f t="shared" si="0"/>
        <v>23</v>
      </c>
      <c r="B28" s="146" t="s">
        <v>149</v>
      </c>
      <c r="C28" s="147"/>
      <c r="D28" s="148" t="s">
        <v>170</v>
      </c>
      <c r="E28" s="149"/>
      <c r="F28" s="150"/>
      <c r="G28" s="98" t="s">
        <v>177</v>
      </c>
      <c r="H28" s="99">
        <v>6</v>
      </c>
      <c r="I28" s="100">
        <v>20.3</v>
      </c>
      <c r="J28" s="100">
        <f t="shared" si="1"/>
        <v>121.80000000000001</v>
      </c>
      <c r="K28" s="124" t="s">
        <v>181</v>
      </c>
      <c r="L28" s="123" t="s">
        <v>181</v>
      </c>
      <c r="S28" s="93"/>
    </row>
    <row r="29" spans="1:19" ht="22.5" customHeight="1">
      <c r="A29" s="5">
        <f t="shared" si="0"/>
        <v>24</v>
      </c>
      <c r="B29" s="146" t="s">
        <v>150</v>
      </c>
      <c r="C29" s="147"/>
      <c r="D29" s="148" t="s">
        <v>171</v>
      </c>
      <c r="E29" s="149"/>
      <c r="F29" s="150"/>
      <c r="G29" s="98" t="s">
        <v>177</v>
      </c>
      <c r="H29" s="99">
        <v>12</v>
      </c>
      <c r="I29" s="100">
        <v>16</v>
      </c>
      <c r="J29" s="100">
        <f t="shared" si="1"/>
        <v>192</v>
      </c>
      <c r="K29" s="124" t="s">
        <v>181</v>
      </c>
      <c r="L29" s="123" t="s">
        <v>181</v>
      </c>
      <c r="S29" s="93"/>
    </row>
    <row r="30" spans="1:19" ht="22.5" customHeight="1">
      <c r="A30" s="5">
        <f t="shared" si="0"/>
        <v>25</v>
      </c>
      <c r="B30" s="146" t="s">
        <v>151</v>
      </c>
      <c r="C30" s="147"/>
      <c r="D30" s="148" t="s">
        <v>156</v>
      </c>
      <c r="E30" s="149"/>
      <c r="F30" s="150"/>
      <c r="G30" s="98" t="s">
        <v>175</v>
      </c>
      <c r="H30" s="99">
        <v>100</v>
      </c>
      <c r="I30" s="100">
        <v>36.9</v>
      </c>
      <c r="J30" s="100">
        <f t="shared" si="1"/>
        <v>3690</v>
      </c>
      <c r="K30" s="124" t="s">
        <v>181</v>
      </c>
      <c r="L30" s="123" t="s">
        <v>181</v>
      </c>
      <c r="S30" s="93"/>
    </row>
    <row r="31" spans="1:19" ht="22.5" customHeight="1">
      <c r="A31" s="5">
        <f t="shared" si="0"/>
        <v>26</v>
      </c>
      <c r="B31" s="146" t="s">
        <v>152</v>
      </c>
      <c r="C31" s="147"/>
      <c r="D31" s="148" t="s">
        <v>172</v>
      </c>
      <c r="E31" s="149"/>
      <c r="F31" s="150"/>
      <c r="G31" s="98" t="s">
        <v>175</v>
      </c>
      <c r="H31" s="99">
        <v>10</v>
      </c>
      <c r="I31" s="100">
        <v>36.9</v>
      </c>
      <c r="J31" s="100">
        <f t="shared" si="1"/>
        <v>369</v>
      </c>
      <c r="K31" s="124" t="s">
        <v>181</v>
      </c>
      <c r="L31" s="123" t="s">
        <v>181</v>
      </c>
      <c r="S31" s="93"/>
    </row>
    <row r="32" spans="1:19" ht="22.5" customHeight="1">
      <c r="A32" s="5">
        <f t="shared" si="0"/>
        <v>27</v>
      </c>
      <c r="B32" s="146" t="s">
        <v>153</v>
      </c>
      <c r="C32" s="147"/>
      <c r="D32" s="148" t="s">
        <v>156</v>
      </c>
      <c r="E32" s="149"/>
      <c r="F32" s="150"/>
      <c r="G32" s="98" t="s">
        <v>177</v>
      </c>
      <c r="H32" s="99">
        <v>10</v>
      </c>
      <c r="I32" s="100">
        <v>10.5</v>
      </c>
      <c r="J32" s="100">
        <f t="shared" si="1"/>
        <v>105</v>
      </c>
      <c r="K32" s="124" t="s">
        <v>181</v>
      </c>
      <c r="L32" s="123" t="s">
        <v>181</v>
      </c>
      <c r="S32" s="93"/>
    </row>
    <row r="33" spans="1:26" ht="22.5" customHeight="1">
      <c r="A33" s="5">
        <f t="shared" si="0"/>
        <v>28</v>
      </c>
      <c r="B33" s="146" t="s">
        <v>154</v>
      </c>
      <c r="C33" s="147"/>
      <c r="D33" s="148" t="s">
        <v>173</v>
      </c>
      <c r="E33" s="149"/>
      <c r="F33" s="150"/>
      <c r="G33" s="98" t="s">
        <v>177</v>
      </c>
      <c r="H33" s="99">
        <v>100</v>
      </c>
      <c r="I33" s="100">
        <v>12</v>
      </c>
      <c r="J33" s="100">
        <f t="shared" si="1"/>
        <v>1200</v>
      </c>
      <c r="K33" s="124" t="s">
        <v>181</v>
      </c>
      <c r="L33" s="123" t="s">
        <v>181</v>
      </c>
      <c r="S33" s="93"/>
    </row>
    <row r="34" spans="1:26" ht="22.5" customHeight="1">
      <c r="A34" s="5">
        <f t="shared" si="0"/>
        <v>29</v>
      </c>
      <c r="B34" s="146" t="s">
        <v>154</v>
      </c>
      <c r="C34" s="147"/>
      <c r="D34" s="148" t="s">
        <v>174</v>
      </c>
      <c r="E34" s="149"/>
      <c r="F34" s="150"/>
      <c r="G34" s="98" t="s">
        <v>177</v>
      </c>
      <c r="H34" s="99">
        <v>300</v>
      </c>
      <c r="I34" s="100">
        <v>12</v>
      </c>
      <c r="J34" s="100">
        <f t="shared" si="1"/>
        <v>3600</v>
      </c>
      <c r="K34" s="124" t="s">
        <v>181</v>
      </c>
      <c r="L34" s="123" t="s">
        <v>181</v>
      </c>
      <c r="S34" s="93"/>
    </row>
    <row r="35" spans="1:26" ht="22.5" customHeight="1">
      <c r="A35" s="5">
        <f t="shared" si="0"/>
        <v>30</v>
      </c>
      <c r="B35" s="146" t="s">
        <v>155</v>
      </c>
      <c r="C35" s="147"/>
      <c r="D35" s="148" t="s">
        <v>156</v>
      </c>
      <c r="E35" s="149"/>
      <c r="F35" s="150"/>
      <c r="G35" s="98" t="s">
        <v>177</v>
      </c>
      <c r="H35" s="99">
        <v>200</v>
      </c>
      <c r="I35" s="100">
        <v>10.46</v>
      </c>
      <c r="J35" s="100">
        <f t="shared" si="1"/>
        <v>2092</v>
      </c>
      <c r="K35" s="124" t="s">
        <v>181</v>
      </c>
      <c r="L35" s="123" t="s">
        <v>181</v>
      </c>
      <c r="S35" s="93"/>
    </row>
    <row r="36" spans="1:26" ht="22.5" hidden="1" customHeight="1">
      <c r="A36" s="5">
        <f>ROW(A9)</f>
        <v>9</v>
      </c>
      <c r="B36" s="146"/>
      <c r="C36" s="147"/>
      <c r="D36" s="148"/>
      <c r="E36" s="149"/>
      <c r="F36" s="150"/>
      <c r="G36" s="98"/>
      <c r="H36" s="99"/>
      <c r="I36" s="100"/>
      <c r="J36" s="100"/>
      <c r="K36" s="124" t="s">
        <v>181</v>
      </c>
      <c r="L36" s="123" t="s">
        <v>181</v>
      </c>
      <c r="S36" s="93"/>
    </row>
    <row r="37" spans="1:26" ht="22.5" hidden="1" customHeight="1">
      <c r="A37" s="5" t="e">
        <f>ROW(#REF!)</f>
        <v>#REF!</v>
      </c>
      <c r="B37" s="146"/>
      <c r="C37" s="147"/>
      <c r="D37" s="148"/>
      <c r="E37" s="149"/>
      <c r="F37" s="150"/>
      <c r="G37" s="98"/>
      <c r="H37" s="99"/>
      <c r="I37" s="100"/>
      <c r="J37" s="100"/>
      <c r="K37" s="124" t="s">
        <v>181</v>
      </c>
      <c r="L37" s="123" t="s">
        <v>181</v>
      </c>
      <c r="S37" s="93"/>
    </row>
    <row r="38" spans="1:26" ht="22.5" customHeight="1">
      <c r="A38" s="155" t="s">
        <v>7</v>
      </c>
      <c r="B38" s="156"/>
      <c r="C38" s="102"/>
      <c r="D38" s="103"/>
      <c r="E38" s="103"/>
      <c r="F38" s="103"/>
      <c r="G38" s="104"/>
      <c r="H38" s="104"/>
      <c r="I38" s="105" t="s">
        <v>8</v>
      </c>
      <c r="J38" s="100">
        <f>SUM(J6:J35)</f>
        <v>60182.68</v>
      </c>
      <c r="K38" s="124" t="s">
        <v>181</v>
      </c>
      <c r="L38" s="123" t="s">
        <v>181</v>
      </c>
    </row>
    <row r="39" spans="1:26" ht="20.100000000000001" customHeight="1">
      <c r="A39" s="6" t="s">
        <v>9</v>
      </c>
      <c r="B39" s="7"/>
      <c r="C39" s="7"/>
      <c r="D39" s="7"/>
      <c r="E39" s="7"/>
      <c r="F39" s="7"/>
      <c r="G39" s="7"/>
      <c r="H39" s="7"/>
      <c r="I39" s="7"/>
      <c r="J39" s="7"/>
      <c r="K39" s="8"/>
      <c r="L39" s="9"/>
    </row>
    <row r="40" spans="1:26" ht="18" customHeight="1">
      <c r="A40" s="114"/>
      <c r="J40" s="1"/>
      <c r="K40" s="1"/>
      <c r="O40" s="10"/>
      <c r="P40" s="10"/>
      <c r="Q40" s="10"/>
      <c r="R40" s="10"/>
      <c r="S40" s="10"/>
      <c r="T40" s="10"/>
      <c r="U40" s="10"/>
      <c r="V40" s="10"/>
      <c r="W40" s="10"/>
      <c r="Y40" s="181"/>
      <c r="Z40" s="10"/>
    </row>
    <row r="41" spans="1:26" ht="50.1" customHeight="1">
      <c r="Y41" s="182"/>
    </row>
    <row r="42" spans="1:26" ht="15" customHeight="1">
      <c r="O42" s="177" t="s">
        <v>103</v>
      </c>
      <c r="P42" s="183"/>
      <c r="Q42" s="183"/>
      <c r="R42" s="178"/>
      <c r="S42" s="116"/>
      <c r="T42" s="177" t="s">
        <v>104</v>
      </c>
      <c r="U42" s="183"/>
      <c r="V42" s="183"/>
      <c r="W42" s="183"/>
      <c r="X42" s="183"/>
      <c r="Y42" s="178"/>
    </row>
    <row r="43" spans="1:26" ht="15" customHeight="1">
      <c r="O43" s="157" t="s">
        <v>105</v>
      </c>
      <c r="P43" s="151" t="s">
        <v>106</v>
      </c>
      <c r="Q43" s="157" t="s">
        <v>107</v>
      </c>
      <c r="R43" s="151" t="s">
        <v>108</v>
      </c>
      <c r="S43" s="116"/>
      <c r="T43" s="157" t="s">
        <v>109</v>
      </c>
      <c r="U43" s="151" t="s">
        <v>110</v>
      </c>
      <c r="V43" s="177" t="s">
        <v>111</v>
      </c>
      <c r="W43" s="183"/>
      <c r="X43" s="178"/>
      <c r="Y43" s="151" t="s">
        <v>112</v>
      </c>
    </row>
    <row r="44" spans="1:26" ht="18" customHeight="1">
      <c r="O44" s="152"/>
      <c r="P44" s="153"/>
      <c r="Q44" s="152"/>
      <c r="R44" s="153"/>
      <c r="S44" s="117"/>
      <c r="T44" s="152"/>
      <c r="U44" s="153"/>
      <c r="V44" s="115" t="s">
        <v>105</v>
      </c>
      <c r="W44" s="184" t="s">
        <v>113</v>
      </c>
      <c r="X44" s="185"/>
      <c r="Y44" s="153"/>
    </row>
    <row r="45" spans="1:26" ht="50.1" customHeight="1">
      <c r="O45" s="11"/>
      <c r="P45" s="11"/>
      <c r="Q45" s="11"/>
      <c r="R45" s="11"/>
      <c r="S45" s="116"/>
      <c r="T45" s="11"/>
      <c r="U45" s="11"/>
      <c r="V45" s="11"/>
      <c r="W45" s="177"/>
      <c r="X45" s="178"/>
      <c r="Y45" s="118"/>
    </row>
    <row r="46" spans="1:26" ht="36" customHeight="1">
      <c r="W46" s="119"/>
      <c r="X46" s="179" t="s">
        <v>114</v>
      </c>
      <c r="Y46" s="110" t="s">
        <v>112</v>
      </c>
    </row>
    <row r="47" spans="1:26" ht="50.1" customHeight="1">
      <c r="O47" s="120"/>
      <c r="P47" s="120"/>
      <c r="Q47" s="120"/>
      <c r="R47" s="120"/>
      <c r="S47" s="120"/>
      <c r="T47" s="120"/>
      <c r="U47" s="120"/>
      <c r="V47" s="120"/>
      <c r="W47" s="121"/>
      <c r="X47" s="180"/>
      <c r="Y47" s="122"/>
    </row>
    <row r="48" spans="1:26" ht="19.899999999999999" customHeight="1"/>
    <row r="49" spans="15:20" ht="17.45" customHeight="1">
      <c r="O49" s="154"/>
      <c r="P49" s="154"/>
      <c r="Q49" s="154"/>
    </row>
    <row r="50" spans="15:20" ht="19.899999999999999" customHeight="1">
      <c r="O50" s="154"/>
      <c r="P50" s="154"/>
      <c r="Q50" s="154"/>
    </row>
    <row r="51" spans="15:20" ht="14.25">
      <c r="O51" s="10"/>
      <c r="P51" s="10"/>
      <c r="Q51" s="10"/>
    </row>
    <row r="52" spans="15:20" ht="65.099999999999994" customHeight="1"/>
    <row r="53" spans="15:20" ht="14.25">
      <c r="O53" s="10"/>
      <c r="P53" s="10"/>
      <c r="Q53" s="10"/>
    </row>
    <row r="54" spans="15:20" ht="19.899999999999999" customHeight="1"/>
    <row r="55" spans="15:20" ht="14.25"/>
    <row r="56" spans="15:20" ht="19.899999999999999" customHeight="1"/>
    <row r="57" spans="15:20" ht="14.25"/>
    <row r="58" spans="15:20" ht="19.899999999999999" customHeight="1"/>
    <row r="59" spans="15:20" ht="19.899999999999999" customHeight="1"/>
    <row r="60" spans="15:20" ht="64.900000000000006" customHeight="1"/>
    <row r="62" spans="15:20" ht="19.899999999999999" customHeight="1">
      <c r="T62" s="151" t="s">
        <v>11</v>
      </c>
    </row>
    <row r="63" spans="15:20" ht="19.899999999999999" customHeight="1">
      <c r="T63" s="153"/>
    </row>
    <row r="64" spans="15:20" ht="64.900000000000006" customHeight="1">
      <c r="T64" s="11"/>
    </row>
    <row r="68" spans="15:22" ht="21" customHeight="1">
      <c r="O68" s="151" t="s">
        <v>11</v>
      </c>
      <c r="P68" s="151" t="s">
        <v>11</v>
      </c>
      <c r="Q68" s="151" t="s">
        <v>11</v>
      </c>
      <c r="T68" s="151" t="s">
        <v>12</v>
      </c>
      <c r="U68" s="151" t="s">
        <v>10</v>
      </c>
      <c r="V68" s="151" t="s">
        <v>11</v>
      </c>
    </row>
    <row r="69" spans="15:22" ht="21" customHeight="1">
      <c r="O69" s="153"/>
      <c r="P69" s="153"/>
      <c r="Q69" s="153"/>
      <c r="T69" s="152"/>
      <c r="U69" s="152"/>
      <c r="V69" s="153"/>
    </row>
    <row r="70" spans="15:22" ht="64.900000000000006" customHeight="1">
      <c r="O70" s="11"/>
      <c r="P70" s="11"/>
      <c r="Q70" s="11"/>
      <c r="T70" s="11"/>
      <c r="U70" s="12"/>
      <c r="V70" s="11"/>
    </row>
    <row r="71" spans="15:22" ht="7.15" customHeight="1"/>
    <row r="72" spans="15:22" ht="21" customHeight="1">
      <c r="O72" s="151" t="s">
        <v>11</v>
      </c>
      <c r="P72" s="151" t="s">
        <v>11</v>
      </c>
      <c r="Q72" s="151" t="s">
        <v>11</v>
      </c>
      <c r="T72" s="151" t="s">
        <v>10</v>
      </c>
      <c r="U72" s="151" t="s">
        <v>12</v>
      </c>
      <c r="V72" s="151" t="s">
        <v>11</v>
      </c>
    </row>
    <row r="73" spans="15:22" ht="21" customHeight="1">
      <c r="O73" s="153"/>
      <c r="P73" s="153"/>
      <c r="Q73" s="153"/>
      <c r="T73" s="152"/>
      <c r="U73" s="152"/>
      <c r="V73" s="153"/>
    </row>
    <row r="74" spans="15:22" ht="64.900000000000006" customHeight="1">
      <c r="O74" s="11"/>
      <c r="P74" s="11"/>
      <c r="Q74" s="11"/>
      <c r="T74" s="12"/>
      <c r="U74" s="11"/>
      <c r="V74" s="11"/>
    </row>
  </sheetData>
  <mergeCells count="107">
    <mergeCell ref="W45:X45"/>
    <mergeCell ref="X46:X47"/>
    <mergeCell ref="Y40:Y41"/>
    <mergeCell ref="O42:R42"/>
    <mergeCell ref="T42:Y42"/>
    <mergeCell ref="O43:O44"/>
    <mergeCell ref="R43:R44"/>
    <mergeCell ref="T43:T44"/>
    <mergeCell ref="U43:U44"/>
    <mergeCell ref="V43:X43"/>
    <mergeCell ref="Y43:Y44"/>
    <mergeCell ref="W44:X44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38:B38"/>
    <mergeCell ref="P43:P44"/>
    <mergeCell ref="Q43:Q44"/>
    <mergeCell ref="B36:C36"/>
    <mergeCell ref="D36:F36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U68:U69"/>
    <mergeCell ref="V68:V69"/>
    <mergeCell ref="O72:O73"/>
    <mergeCell ref="P72:P73"/>
    <mergeCell ref="Q72:Q73"/>
    <mergeCell ref="T72:T73"/>
    <mergeCell ref="U72:U73"/>
    <mergeCell ref="V72:V73"/>
    <mergeCell ref="O49:O50"/>
    <mergeCell ref="P49:P50"/>
    <mergeCell ref="Q49:Q50"/>
    <mergeCell ref="T62:T63"/>
    <mergeCell ref="O68:O69"/>
    <mergeCell ref="P68:P69"/>
    <mergeCell ref="Q68:Q69"/>
    <mergeCell ref="T68:T69"/>
    <mergeCell ref="B37:C37"/>
    <mergeCell ref="D37:F37"/>
    <mergeCell ref="B21:C21"/>
    <mergeCell ref="D21:F21"/>
    <mergeCell ref="B22:C22"/>
    <mergeCell ref="D22:F22"/>
    <mergeCell ref="B23:C23"/>
    <mergeCell ref="D23:F23"/>
    <mergeCell ref="B18:C18"/>
    <mergeCell ref="D18:F18"/>
    <mergeCell ref="B19:C19"/>
    <mergeCell ref="D19:F19"/>
    <mergeCell ref="B20:C20"/>
    <mergeCell ref="D20:F20"/>
    <mergeCell ref="B27:C27"/>
    <mergeCell ref="D27:F27"/>
    <mergeCell ref="B28:C28"/>
    <mergeCell ref="D28:F28"/>
    <mergeCell ref="B29:C29"/>
    <mergeCell ref="D29:F29"/>
    <mergeCell ref="B24:C24"/>
    <mergeCell ref="D24:F24"/>
    <mergeCell ref="B25:C25"/>
    <mergeCell ref="D25:F25"/>
    <mergeCell ref="B26:C26"/>
    <mergeCell ref="D26:F26"/>
    <mergeCell ref="B33:C33"/>
    <mergeCell ref="D33:F33"/>
    <mergeCell ref="B34:C34"/>
    <mergeCell ref="D34:F34"/>
    <mergeCell ref="B35:C35"/>
    <mergeCell ref="D35:F35"/>
    <mergeCell ref="B30:C30"/>
    <mergeCell ref="D30:F30"/>
    <mergeCell ref="B31:C31"/>
    <mergeCell ref="D31:F31"/>
    <mergeCell ref="B32:C32"/>
    <mergeCell ref="D32:F32"/>
  </mergeCells>
  <phoneticPr fontId="4" type="noConversion"/>
  <printOptions horizontalCentered="1"/>
  <pageMargins left="0.39370078740157499" right="0.39370078740157499" top="0.39370078740157499" bottom="0.39370078740157499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86" t="s">
        <v>80</v>
      </c>
      <c r="B1" s="87"/>
      <c r="C1" s="87"/>
      <c r="D1" s="87"/>
      <c r="E1" s="87"/>
      <c r="F1" s="87"/>
      <c r="G1" s="1"/>
      <c r="J1" s="196" t="str">
        <f>+MRS!J1</f>
        <v>DAESHIN PLANT</v>
      </c>
      <c r="K1" s="197"/>
    </row>
    <row r="2" spans="1:18" ht="24.95" customHeight="1">
      <c r="A2" s="3" t="str">
        <f>+MRS!A2</f>
        <v xml:space="preserve">  PJT :  SACE2           </v>
      </c>
      <c r="B2" s="88"/>
      <c r="C2" s="88"/>
      <c r="D2" s="3" t="str">
        <f>+MRS!D2</f>
        <v>Division (In charge Name) : ADMIN MANAGER (Dong Chang Kim)</v>
      </c>
      <c r="E2" s="88"/>
      <c r="F2" s="88"/>
      <c r="G2" s="13"/>
      <c r="H2" s="13"/>
      <c r="I2" s="13"/>
      <c r="J2" s="198" t="str">
        <f>+MRS!J2</f>
        <v>Subcontract name (SAC2-SC-IK-SMP-01)</v>
      </c>
      <c r="K2" s="199"/>
    </row>
    <row r="3" spans="1:18" ht="24.95" customHeight="1">
      <c r="A3" s="3" t="str">
        <f>+MRS!A3</f>
        <v xml:space="preserve">  MRS No : SAC2-DS-MRS-0437</v>
      </c>
      <c r="B3" s="88"/>
      <c r="C3" s="88"/>
      <c r="D3" s="88"/>
      <c r="E3" s="88"/>
      <c r="F3" s="88"/>
      <c r="G3" s="88"/>
      <c r="H3" s="88"/>
      <c r="I3" s="88"/>
      <c r="J3" s="88"/>
      <c r="K3" s="89">
        <f>+MRS!L3</f>
        <v>46259</v>
      </c>
    </row>
    <row r="4" spans="1:18" ht="15.95" customHeight="1">
      <c r="A4" s="200" t="s">
        <v>1</v>
      </c>
      <c r="B4" s="201" t="s">
        <v>13</v>
      </c>
      <c r="C4" s="201"/>
      <c r="D4" s="200" t="s">
        <v>3</v>
      </c>
      <c r="E4" s="200"/>
      <c r="F4" s="200"/>
      <c r="G4" s="201" t="s">
        <v>4</v>
      </c>
      <c r="H4" s="200" t="s">
        <v>77</v>
      </c>
      <c r="I4" s="200" t="s">
        <v>14</v>
      </c>
      <c r="J4" s="200" t="s">
        <v>15</v>
      </c>
      <c r="K4" s="201" t="s">
        <v>6</v>
      </c>
    </row>
    <row r="5" spans="1:18" ht="15.95" customHeight="1">
      <c r="A5" s="200"/>
      <c r="B5" s="201"/>
      <c r="C5" s="201"/>
      <c r="D5" s="200"/>
      <c r="E5" s="200"/>
      <c r="F5" s="200"/>
      <c r="G5" s="201"/>
      <c r="H5" s="200"/>
      <c r="I5" s="200"/>
      <c r="J5" s="200"/>
      <c r="K5" s="201"/>
    </row>
    <row r="6" spans="1:18" ht="105" customHeight="1">
      <c r="A6" s="14">
        <f>+MRS!A6</f>
        <v>1</v>
      </c>
      <c r="B6" s="191" t="str">
        <f>MRS!B6</f>
        <v>Blue Pen</v>
      </c>
      <c r="C6" s="192"/>
      <c r="D6" s="193" t="str">
        <f>MRS!D6</f>
        <v>1*50/ Pkt</v>
      </c>
      <c r="E6" s="194"/>
      <c r="F6" s="195"/>
      <c r="G6" s="90" t="str">
        <f>MRS!G6</f>
        <v>PKT</v>
      </c>
      <c r="H6" s="90">
        <f>MRS!H6</f>
        <v>20</v>
      </c>
      <c r="I6" s="91">
        <f>MRS!I6</f>
        <v>19.68</v>
      </c>
      <c r="J6" s="91">
        <f>MRS!J6</f>
        <v>393.6</v>
      </c>
      <c r="K6" s="92"/>
      <c r="O6" s="93"/>
      <c r="P6" s="93"/>
      <c r="R6" s="93"/>
    </row>
    <row r="7" spans="1:18" ht="105" customHeight="1">
      <c r="A7" s="14">
        <f>+MRS!A7</f>
        <v>2</v>
      </c>
      <c r="B7" s="191" t="str">
        <f>MRS!B7</f>
        <v>Red Pen</v>
      </c>
      <c r="C7" s="192"/>
      <c r="D7" s="193" t="str">
        <f>MRS!D7</f>
        <v>1*50/ Pkt</v>
      </c>
      <c r="E7" s="194"/>
      <c r="F7" s="195"/>
      <c r="G7" s="90" t="str">
        <f>MRS!G7</f>
        <v>PKT</v>
      </c>
      <c r="H7" s="90">
        <f>MRS!H7</f>
        <v>10</v>
      </c>
      <c r="I7" s="91">
        <f>MRS!I7</f>
        <v>19.68</v>
      </c>
      <c r="J7" s="91">
        <f>MRS!J7</f>
        <v>196.8</v>
      </c>
      <c r="K7" s="92"/>
      <c r="O7" s="93"/>
      <c r="P7" s="93"/>
      <c r="R7" s="93"/>
    </row>
    <row r="8" spans="1:18" ht="105" customHeight="1">
      <c r="A8" s="14">
        <f>+MRS!A8</f>
        <v>3</v>
      </c>
      <c r="B8" s="191" t="str">
        <f>MRS!B8</f>
        <v>Black Pen</v>
      </c>
      <c r="C8" s="192"/>
      <c r="D8" s="193" t="str">
        <f>MRS!D8</f>
        <v>1*50/ Pkt</v>
      </c>
      <c r="E8" s="194"/>
      <c r="F8" s="195"/>
      <c r="G8" s="90" t="str">
        <f>MRS!G8</f>
        <v>PKT</v>
      </c>
      <c r="H8" s="90">
        <f>MRS!H8</f>
        <v>6</v>
      </c>
      <c r="I8" s="91">
        <f>MRS!I8</f>
        <v>19.68</v>
      </c>
      <c r="J8" s="91">
        <f>MRS!J8</f>
        <v>118.08</v>
      </c>
      <c r="K8" s="92"/>
      <c r="O8" s="93"/>
      <c r="P8" s="93"/>
      <c r="R8" s="93"/>
    </row>
    <row r="9" spans="1:18" ht="105" customHeight="1">
      <c r="A9" s="14">
        <f>+MRS!A9</f>
        <v>4</v>
      </c>
      <c r="B9" s="186"/>
      <c r="C9" s="187"/>
      <c r="D9" s="188"/>
      <c r="E9" s="189"/>
      <c r="F9" s="190"/>
      <c r="G9" s="94"/>
      <c r="H9" s="95"/>
      <c r="I9" s="96"/>
      <c r="J9" s="96"/>
      <c r="K9" s="92"/>
      <c r="O9" s="93"/>
      <c r="P9" s="93"/>
      <c r="R9" s="93"/>
    </row>
    <row r="10" spans="1:18" ht="105" customHeight="1">
      <c r="A10" s="14" t="e">
        <f>+MRS!#REF!</f>
        <v>#REF!</v>
      </c>
      <c r="B10" s="186"/>
      <c r="C10" s="187"/>
      <c r="D10" s="188"/>
      <c r="E10" s="189"/>
      <c r="F10" s="190"/>
      <c r="G10" s="94"/>
      <c r="H10" s="95"/>
      <c r="I10" s="96"/>
      <c r="J10" s="96"/>
      <c r="K10" s="92"/>
      <c r="O10" s="93"/>
      <c r="P10" s="93"/>
      <c r="R10" s="93"/>
    </row>
    <row r="11" spans="1:18" ht="105" customHeight="1">
      <c r="A11" s="14" t="e">
        <f>+MRS!#REF!</f>
        <v>#REF!</v>
      </c>
      <c r="B11" s="186"/>
      <c r="C11" s="187"/>
      <c r="D11" s="188"/>
      <c r="E11" s="189"/>
      <c r="F11" s="190"/>
      <c r="G11" s="94"/>
      <c r="H11" s="95"/>
      <c r="I11" s="96"/>
      <c r="J11" s="96"/>
      <c r="K11" s="92"/>
      <c r="O11" s="93"/>
      <c r="P11" s="93"/>
      <c r="R11" s="93"/>
    </row>
    <row r="12" spans="1:18" ht="105" customHeight="1">
      <c r="A12" s="14" t="e">
        <f>+MRS!#REF!</f>
        <v>#REF!</v>
      </c>
      <c r="B12" s="186"/>
      <c r="C12" s="187"/>
      <c r="D12" s="188"/>
      <c r="E12" s="189"/>
      <c r="F12" s="190"/>
      <c r="G12" s="94"/>
      <c r="H12" s="95"/>
      <c r="I12" s="96"/>
      <c r="J12" s="96"/>
      <c r="K12" s="92"/>
      <c r="O12" s="93"/>
      <c r="P12" s="93"/>
      <c r="R12" s="93"/>
    </row>
    <row r="13" spans="1:18" ht="105" customHeight="1">
      <c r="A13" s="14" t="e">
        <f>+MRS!#REF!</f>
        <v>#REF!</v>
      </c>
      <c r="B13" s="186"/>
      <c r="C13" s="187"/>
      <c r="D13" s="188"/>
      <c r="E13" s="189"/>
      <c r="F13" s="190"/>
      <c r="G13" s="94"/>
      <c r="H13" s="95"/>
      <c r="I13" s="96"/>
      <c r="J13" s="96"/>
      <c r="K13" s="92"/>
      <c r="O13" s="93"/>
      <c r="P13" s="93"/>
      <c r="R13" s="93"/>
    </row>
    <row r="14" spans="1:18" ht="105" customHeight="1">
      <c r="A14" s="14">
        <f>+MRS!A36</f>
        <v>9</v>
      </c>
      <c r="B14" s="186"/>
      <c r="C14" s="187"/>
      <c r="D14" s="188"/>
      <c r="E14" s="189"/>
      <c r="F14" s="190"/>
      <c r="G14" s="94"/>
      <c r="H14" s="95"/>
      <c r="I14" s="96"/>
      <c r="J14" s="96"/>
      <c r="K14" s="92"/>
      <c r="O14" s="93"/>
      <c r="P14" s="93"/>
      <c r="R14" s="93"/>
    </row>
    <row r="15" spans="1:18" ht="105" customHeight="1">
      <c r="A15" s="14" t="e">
        <f>+MRS!A37</f>
        <v>#REF!</v>
      </c>
      <c r="B15" s="186"/>
      <c r="C15" s="187"/>
      <c r="D15" s="188"/>
      <c r="E15" s="189"/>
      <c r="F15" s="190"/>
      <c r="G15" s="94"/>
      <c r="H15" s="95"/>
      <c r="I15" s="96"/>
      <c r="J15" s="96"/>
      <c r="K15" s="92"/>
      <c r="O15" s="93"/>
      <c r="P15" s="93"/>
      <c r="R15" s="93"/>
    </row>
    <row r="16" spans="1:18" ht="105" customHeight="1">
      <c r="A16" s="14" t="e">
        <f>+MRS!#REF!</f>
        <v>#REF!</v>
      </c>
      <c r="B16" s="186"/>
      <c r="C16" s="187"/>
      <c r="D16" s="188"/>
      <c r="E16" s="189"/>
      <c r="F16" s="190"/>
      <c r="G16" s="94"/>
      <c r="H16" s="95"/>
      <c r="I16" s="96"/>
      <c r="J16" s="96"/>
      <c r="K16" s="92"/>
      <c r="O16" s="93"/>
      <c r="P16" s="93"/>
      <c r="R16" s="93"/>
    </row>
    <row r="17" spans="1:18" ht="105" customHeight="1">
      <c r="A17" s="14" t="e">
        <f>+MRS!#REF!</f>
        <v>#REF!</v>
      </c>
      <c r="B17" s="186"/>
      <c r="C17" s="187"/>
      <c r="D17" s="188"/>
      <c r="E17" s="189"/>
      <c r="F17" s="190"/>
      <c r="G17" s="94"/>
      <c r="H17" s="95"/>
      <c r="I17" s="96"/>
      <c r="J17" s="96"/>
      <c r="K17" s="92"/>
      <c r="O17" s="93"/>
      <c r="P17" s="93"/>
      <c r="R17" s="93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9" zoomScale="130" zoomScaleSheetLayoutView="130" workbookViewId="0">
      <selection activeCell="M34" sqref="M34"/>
    </sheetView>
  </sheetViews>
  <sheetFormatPr defaultColWidth="9.140625" defaultRowHeight="12.75"/>
  <cols>
    <col min="1" max="1" width="1.5703125" style="19" customWidth="1"/>
    <col min="2" max="2" width="4.28515625" style="19" customWidth="1"/>
    <col min="3" max="3" width="9.140625" style="19" customWidth="1"/>
    <col min="4" max="4" width="11.5703125" style="19" bestFit="1" customWidth="1"/>
    <col min="5" max="5" width="2.5703125" style="19" customWidth="1"/>
    <col min="6" max="10" width="9.140625" style="19"/>
    <col min="11" max="11" width="9.42578125" style="19" bestFit="1" customWidth="1"/>
    <col min="12" max="13" width="9.140625" style="19"/>
    <col min="14" max="14" width="1.5703125" style="19" customWidth="1"/>
    <col min="15" max="16384" width="9.140625" style="19"/>
  </cols>
  <sheetData>
    <row r="2" spans="2:13" s="15" customFormat="1" ht="13.5">
      <c r="M2" s="16" t="s">
        <v>88</v>
      </c>
    </row>
    <row r="3" spans="2:13" s="15" customFormat="1">
      <c r="M3" s="17" t="s">
        <v>16</v>
      </c>
    </row>
    <row r="4" spans="2:13" s="15" customFormat="1">
      <c r="M4" s="17" t="s">
        <v>17</v>
      </c>
    </row>
    <row r="5" spans="2:13" s="15" customFormat="1">
      <c r="B5" s="18" t="s">
        <v>18</v>
      </c>
      <c r="M5" s="17" t="s">
        <v>19</v>
      </c>
    </row>
    <row r="6" spans="2:13" s="15" customFormat="1">
      <c r="M6" s="17" t="s">
        <v>20</v>
      </c>
    </row>
    <row r="7" spans="2:13">
      <c r="M7" s="20"/>
    </row>
    <row r="8" spans="2:13">
      <c r="M8" s="20"/>
    </row>
    <row r="9" spans="2:13" s="67" customFormat="1" ht="13.5">
      <c r="B9" s="65" t="s">
        <v>21</v>
      </c>
      <c r="C9" s="66" t="s">
        <v>116</v>
      </c>
      <c r="D9" s="32"/>
      <c r="E9" s="32"/>
    </row>
    <row r="10" spans="2:13" s="32" customFormat="1">
      <c r="B10" s="65"/>
      <c r="C10" s="32" t="s">
        <v>98</v>
      </c>
      <c r="D10" s="69">
        <v>2051251124</v>
      </c>
      <c r="J10" s="32" t="s">
        <v>22</v>
      </c>
      <c r="K10" s="202">
        <f>MRS!L3</f>
        <v>46259</v>
      </c>
      <c r="L10" s="203"/>
      <c r="M10" s="203"/>
    </row>
    <row r="11" spans="2:13" s="32" customFormat="1">
      <c r="B11" s="65"/>
      <c r="C11" s="68" t="s">
        <v>99</v>
      </c>
      <c r="D11" s="69" t="s">
        <v>117</v>
      </c>
      <c r="J11" s="32" t="s">
        <v>23</v>
      </c>
      <c r="K11" s="204" t="str">
        <f>SUBSTITUTE(SUBSTITUTE(+MRS!A3,"  MRS No : ",""),"-MRS","-PO")</f>
        <v>SAC2-DS-PO-0437</v>
      </c>
      <c r="L11" s="204"/>
      <c r="M11" s="204"/>
    </row>
    <row r="12" spans="2:13" s="32" customFormat="1">
      <c r="B12" s="65"/>
      <c r="C12" s="68" t="s">
        <v>100</v>
      </c>
      <c r="D12" s="32" t="s">
        <v>118</v>
      </c>
      <c r="J12" s="32" t="s">
        <v>24</v>
      </c>
    </row>
    <row r="13" spans="2:13" s="32" customFormat="1">
      <c r="B13" s="65"/>
      <c r="C13" s="70"/>
      <c r="D13" s="69" t="s">
        <v>119</v>
      </c>
      <c r="J13" s="32" t="s">
        <v>25</v>
      </c>
    </row>
    <row r="14" spans="2:13" s="32" customFormat="1">
      <c r="B14" s="65"/>
      <c r="C14" s="70" t="s">
        <v>121</v>
      </c>
      <c r="J14" s="32" t="s">
        <v>26</v>
      </c>
      <c r="K14" s="32" t="s">
        <v>178</v>
      </c>
    </row>
    <row r="15" spans="2:13" s="32" customFormat="1">
      <c r="B15" s="65"/>
      <c r="C15" s="70" t="s">
        <v>120</v>
      </c>
      <c r="J15" s="32" t="s">
        <v>27</v>
      </c>
      <c r="K15" s="71">
        <v>46258</v>
      </c>
    </row>
    <row r="16" spans="2:13" s="32" customFormat="1">
      <c r="C16" s="70"/>
      <c r="K16" s="71"/>
    </row>
    <row r="17" spans="2:13" ht="12" customHeight="1">
      <c r="C17" s="22"/>
      <c r="K17" s="23"/>
    </row>
    <row r="18" spans="2:13" ht="20.25">
      <c r="B18" s="205" t="s">
        <v>28</v>
      </c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</row>
    <row r="19" spans="2:13" ht="12" customHeight="1"/>
    <row r="20" spans="2:13" s="24" customFormat="1" ht="12" customHeight="1">
      <c r="B20" s="206" t="s">
        <v>29</v>
      </c>
      <c r="C20" s="206"/>
      <c r="D20" s="206"/>
      <c r="E20" s="206"/>
      <c r="F20" s="206"/>
      <c r="G20" s="206"/>
      <c r="H20" s="206"/>
      <c r="I20" s="206"/>
      <c r="J20" s="206"/>
      <c r="K20" s="206"/>
      <c r="L20" s="206"/>
      <c r="M20" s="206"/>
    </row>
    <row r="21" spans="2:13" s="24" customFormat="1" ht="12" customHeight="1">
      <c r="B21" s="206" t="s">
        <v>30</v>
      </c>
      <c r="C21" s="206"/>
      <c r="D21" s="206"/>
      <c r="E21" s="206"/>
      <c r="F21" s="206"/>
      <c r="G21" s="206"/>
      <c r="H21" s="206"/>
      <c r="I21" s="206"/>
      <c r="J21" s="206"/>
      <c r="K21" s="206"/>
      <c r="L21" s="206"/>
      <c r="M21" s="206"/>
    </row>
    <row r="22" spans="2:13" s="24" customFormat="1" ht="12" customHeight="1">
      <c r="B22" s="206" t="s">
        <v>31</v>
      </c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</row>
    <row r="23" spans="2:13" ht="6.95" customHeight="1"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</row>
    <row r="24" spans="2:13" ht="6.95" customHeight="1"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  <c r="M24" s="208"/>
    </row>
    <row r="25" spans="2:13" s="25" customFormat="1" ht="15" customHeight="1">
      <c r="B25" s="25">
        <v>1</v>
      </c>
      <c r="C25" s="25" t="s">
        <v>32</v>
      </c>
    </row>
    <row r="26" spans="2:13" s="32" customFormat="1" ht="12" customHeight="1">
      <c r="B26" s="66"/>
      <c r="C26" s="106" t="s">
        <v>179</v>
      </c>
      <c r="M26" s="72" t="s">
        <v>33</v>
      </c>
    </row>
    <row r="27" spans="2:13" ht="11.1" customHeight="1">
      <c r="B27" s="25"/>
      <c r="C27" s="108"/>
    </row>
    <row r="28" spans="2:13" ht="15" customHeight="1">
      <c r="B28" s="25">
        <v>2</v>
      </c>
      <c r="C28" s="25" t="s">
        <v>34</v>
      </c>
    </row>
    <row r="29" spans="2:13" ht="12" customHeight="1">
      <c r="B29" s="25"/>
      <c r="C29" s="19" t="s">
        <v>35</v>
      </c>
      <c r="E29" s="19" t="s">
        <v>36</v>
      </c>
      <c r="F29" s="209">
        <f>'PO 2nd page'!G36</f>
        <v>60182.68</v>
      </c>
      <c r="G29" s="209"/>
      <c r="H29" s="26"/>
      <c r="M29" s="27"/>
    </row>
    <row r="30" spans="2:13" ht="12" customHeight="1">
      <c r="B30" s="25"/>
      <c r="C30" s="19" t="s">
        <v>37</v>
      </c>
      <c r="E30" s="19" t="s">
        <v>36</v>
      </c>
      <c r="F30" s="209">
        <f>'PO 2nd page'!G37</f>
        <v>9027.402</v>
      </c>
      <c r="G30" s="209"/>
    </row>
    <row r="31" spans="2:13" ht="12" customHeight="1">
      <c r="B31" s="25"/>
      <c r="C31" s="19" t="s">
        <v>38</v>
      </c>
      <c r="D31" s="28"/>
      <c r="E31" s="19" t="s">
        <v>36</v>
      </c>
      <c r="F31" s="209">
        <f>'PO 2nd page'!G38</f>
        <v>69210.081999999995</v>
      </c>
      <c r="G31" s="209"/>
      <c r="H31" s="26"/>
    </row>
    <row r="32" spans="2:13" ht="11.1" customHeight="1">
      <c r="B32" s="25"/>
    </row>
    <row r="33" spans="2:13" ht="15" customHeight="1">
      <c r="B33" s="25">
        <v>3</v>
      </c>
      <c r="C33" s="25" t="s">
        <v>39</v>
      </c>
    </row>
    <row r="34" spans="2:13" ht="12" customHeight="1">
      <c r="B34" s="25"/>
      <c r="C34" s="15" t="s">
        <v>40</v>
      </c>
    </row>
    <row r="35" spans="2:13" ht="12" customHeight="1">
      <c r="B35" s="25"/>
      <c r="C35" s="15" t="s">
        <v>41</v>
      </c>
    </row>
    <row r="36" spans="2:13" ht="12" customHeight="1">
      <c r="B36" s="25"/>
      <c r="C36" s="15" t="s">
        <v>42</v>
      </c>
    </row>
    <row r="37" spans="2:13" ht="11.1" customHeight="1">
      <c r="B37" s="25"/>
    </row>
    <row r="38" spans="2:13" ht="15" customHeight="1">
      <c r="B38" s="25">
        <v>4</v>
      </c>
      <c r="C38" s="25" t="s">
        <v>43</v>
      </c>
    </row>
    <row r="39" spans="2:13" ht="12" customHeight="1">
      <c r="B39" s="25"/>
      <c r="C39" s="19" t="s">
        <v>44</v>
      </c>
    </row>
    <row r="40" spans="2:13" ht="11.1" customHeight="1">
      <c r="B40" s="25"/>
    </row>
    <row r="41" spans="2:13" ht="15" customHeight="1">
      <c r="B41" s="25">
        <v>5</v>
      </c>
      <c r="C41" s="25" t="s">
        <v>45</v>
      </c>
    </row>
    <row r="42" spans="2:13" ht="12" customHeight="1">
      <c r="B42" s="25"/>
      <c r="C42" s="29" t="s">
        <v>46</v>
      </c>
      <c r="D42" s="30"/>
      <c r="E42" s="31"/>
      <c r="F42" s="31"/>
      <c r="G42" s="31"/>
      <c r="H42" s="31"/>
      <c r="I42" s="31"/>
      <c r="J42" s="31"/>
      <c r="K42" s="31"/>
      <c r="L42" s="31"/>
      <c r="M42" s="31"/>
    </row>
    <row r="43" spans="2:13" ht="12" customHeight="1">
      <c r="B43" s="25"/>
      <c r="C43" s="29" t="s">
        <v>47</v>
      </c>
      <c r="D43" s="30"/>
      <c r="E43" s="31"/>
      <c r="F43" s="31"/>
      <c r="G43" s="31"/>
      <c r="H43" s="31"/>
      <c r="I43" s="31"/>
      <c r="J43" s="31"/>
      <c r="K43" s="31"/>
      <c r="L43" s="31"/>
      <c r="M43" s="31"/>
    </row>
    <row r="44" spans="2:13" ht="12" customHeight="1">
      <c r="B44" s="25"/>
      <c r="C44" s="29" t="s">
        <v>48</v>
      </c>
      <c r="D44" s="30"/>
      <c r="E44" s="31"/>
      <c r="F44" s="31"/>
      <c r="G44" s="31"/>
      <c r="H44" s="31"/>
      <c r="I44" s="31"/>
      <c r="J44" s="31"/>
      <c r="K44" s="31"/>
      <c r="L44" s="31"/>
      <c r="M44" s="31"/>
    </row>
    <row r="45" spans="2:13" ht="12" customHeight="1">
      <c r="B45" s="25"/>
      <c r="C45" s="29" t="s">
        <v>49</v>
      </c>
      <c r="D45" s="30"/>
      <c r="E45" s="31"/>
      <c r="F45" s="31"/>
      <c r="G45" s="31"/>
      <c r="H45" s="31"/>
      <c r="I45" s="31"/>
      <c r="J45" s="31"/>
      <c r="K45" s="31"/>
      <c r="L45" s="31"/>
      <c r="M45" s="31"/>
    </row>
    <row r="46" spans="2:13" ht="12" customHeight="1">
      <c r="B46" s="25"/>
      <c r="C46" s="32" t="s">
        <v>50</v>
      </c>
      <c r="D46" s="33"/>
      <c r="E46" s="34"/>
      <c r="F46" s="34"/>
      <c r="G46" s="34"/>
      <c r="H46" s="34"/>
      <c r="I46" s="34"/>
      <c r="J46" s="34"/>
      <c r="K46" s="34"/>
      <c r="L46" s="34"/>
      <c r="M46" s="34"/>
    </row>
    <row r="47" spans="2:13" ht="11.1" customHeight="1">
      <c r="B47" s="25"/>
    </row>
    <row r="48" spans="2:13" ht="15" customHeight="1">
      <c r="B48" s="25">
        <v>6</v>
      </c>
      <c r="C48" s="25" t="s">
        <v>51</v>
      </c>
    </row>
    <row r="49" spans="2:16" s="32" customFormat="1" ht="12" customHeight="1">
      <c r="B49" s="73" t="s">
        <v>52</v>
      </c>
      <c r="C49" s="74" t="s">
        <v>86</v>
      </c>
      <c r="P49" s="75"/>
    </row>
    <row r="50" spans="2:16" s="76" customFormat="1" ht="12" customHeight="1">
      <c r="B50" s="77" t="s">
        <v>52</v>
      </c>
      <c r="C50" s="74" t="s">
        <v>79</v>
      </c>
    </row>
    <row r="51" spans="2:16" s="76" customFormat="1" ht="12" customHeight="1">
      <c r="B51" s="77" t="s">
        <v>52</v>
      </c>
      <c r="C51" s="74" t="s">
        <v>78</v>
      </c>
    </row>
    <row r="52" spans="2:16" s="76" customFormat="1" ht="6" customHeight="1">
      <c r="B52" s="77"/>
      <c r="C52" s="74"/>
    </row>
    <row r="53" spans="2:16" ht="15" customHeight="1">
      <c r="B53" s="35">
        <v>7</v>
      </c>
      <c r="C53" s="25" t="s">
        <v>89</v>
      </c>
    </row>
    <row r="54" spans="2:16" ht="12" customHeight="1">
      <c r="B54" s="77" t="s">
        <v>52</v>
      </c>
      <c r="C54" s="107" t="s">
        <v>90</v>
      </c>
      <c r="F54" s="19" t="s">
        <v>127</v>
      </c>
      <c r="P54" s="19" t="str">
        <f>UPPER(F54)</f>
        <v>DORIGHT CONTRACTING</v>
      </c>
    </row>
    <row r="55" spans="2:16" ht="12" customHeight="1">
      <c r="B55" s="77" t="s">
        <v>52</v>
      </c>
      <c r="C55" s="107" t="s">
        <v>91</v>
      </c>
      <c r="F55" s="108" t="s">
        <v>122</v>
      </c>
    </row>
    <row r="56" spans="2:16" ht="12" customHeight="1">
      <c r="B56" s="77" t="s">
        <v>52</v>
      </c>
      <c r="C56" s="107" t="s">
        <v>92</v>
      </c>
      <c r="F56" s="108" t="s">
        <v>123</v>
      </c>
    </row>
    <row r="57" spans="2:16" ht="12" customHeight="1">
      <c r="B57" s="77" t="s">
        <v>52</v>
      </c>
      <c r="C57" s="107" t="s">
        <v>93</v>
      </c>
      <c r="F57" s="19" t="s">
        <v>124</v>
      </c>
    </row>
    <row r="58" spans="2:16" ht="12" customHeight="1">
      <c r="B58" s="77" t="s">
        <v>52</v>
      </c>
      <c r="C58" s="107" t="s">
        <v>94</v>
      </c>
      <c r="F58" s="19" t="s">
        <v>125</v>
      </c>
    </row>
    <row r="59" spans="2:16" ht="12" customHeight="1">
      <c r="B59" s="77" t="s">
        <v>52</v>
      </c>
      <c r="C59" s="107" t="s">
        <v>95</v>
      </c>
      <c r="F59" s="19" t="s">
        <v>96</v>
      </c>
    </row>
    <row r="60" spans="2:16" ht="12" customHeight="1">
      <c r="B60" s="77"/>
      <c r="C60" s="107" t="s">
        <v>97</v>
      </c>
    </row>
    <row r="61" spans="2:16" ht="3" customHeight="1">
      <c r="B61" s="36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</row>
    <row r="62" spans="2:16" ht="3" customHeight="1">
      <c r="B62" s="25"/>
    </row>
    <row r="63" spans="2:16" ht="7.5" customHeight="1">
      <c r="B63" s="35"/>
    </row>
    <row r="64" spans="2:16">
      <c r="B64" s="25" t="s">
        <v>53</v>
      </c>
      <c r="J64" s="25" t="s">
        <v>54</v>
      </c>
    </row>
    <row r="65" spans="1:13" ht="42.75" customHeight="1"/>
    <row r="66" spans="1:13" ht="18" customHeight="1">
      <c r="B66" s="19" t="s">
        <v>55</v>
      </c>
      <c r="J66" s="19" t="s">
        <v>55</v>
      </c>
    </row>
    <row r="67" spans="1:13" ht="18" customHeight="1">
      <c r="B67" s="19" t="s">
        <v>56</v>
      </c>
      <c r="J67" s="19" t="s">
        <v>57</v>
      </c>
      <c r="K67" s="15" t="str">
        <f>UPPER(D12)</f>
        <v>SALMAN FARISH</v>
      </c>
    </row>
    <row r="68" spans="1:13" ht="18" customHeight="1">
      <c r="B68" s="19" t="s">
        <v>58</v>
      </c>
      <c r="J68" s="19" t="s">
        <v>59</v>
      </c>
      <c r="K68" s="15" t="s">
        <v>126</v>
      </c>
    </row>
    <row r="69" spans="1:13" ht="15" customHeight="1">
      <c r="B69" s="19" t="s">
        <v>60</v>
      </c>
      <c r="J69" s="19" t="s">
        <v>61</v>
      </c>
    </row>
    <row r="70" spans="1:13" s="21" customFormat="1" ht="15" customHeight="1">
      <c r="B70" s="18" t="s">
        <v>87</v>
      </c>
      <c r="J70" s="109" t="str">
        <f>C9</f>
        <v>DRCE(Do Right Contracting Est)</v>
      </c>
    </row>
    <row r="71" spans="1:13" ht="27.95" customHeight="1">
      <c r="A71" s="131" t="s">
        <v>62</v>
      </c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</row>
    <row r="78" spans="1:13">
      <c r="B78" s="25"/>
    </row>
    <row r="79" spans="1:13">
      <c r="B79" s="25"/>
    </row>
    <row r="80" spans="1:13">
      <c r="B80" s="25"/>
    </row>
    <row r="81" spans="2:2">
      <c r="B81" s="25"/>
    </row>
    <row r="82" spans="2:2">
      <c r="B82" s="25"/>
    </row>
    <row r="83" spans="2:2">
      <c r="B83" s="25"/>
    </row>
    <row r="84" spans="2:2">
      <c r="B84" s="25"/>
    </row>
    <row r="85" spans="2:2">
      <c r="B85" s="25"/>
    </row>
    <row r="86" spans="2:2">
      <c r="B86" s="25"/>
    </row>
    <row r="87" spans="2:2">
      <c r="B87" s="25"/>
    </row>
    <row r="88" spans="2:2">
      <c r="B88" s="25"/>
    </row>
    <row r="89" spans="2:2">
      <c r="B89" s="25"/>
    </row>
    <row r="90" spans="2:2">
      <c r="B90" s="25"/>
    </row>
    <row r="91" spans="2:2">
      <c r="B91" s="25"/>
    </row>
    <row r="92" spans="2:2">
      <c r="B92" s="25"/>
    </row>
    <row r="93" spans="2:2">
      <c r="B93" s="25"/>
    </row>
    <row r="94" spans="2:2">
      <c r="B94" s="25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46"/>
  <sheetViews>
    <sheetView showGridLines="0" view="pageBreakPreview" topLeftCell="A21" zoomScaleSheetLayoutView="100" zoomScalePageLayoutView="55" workbookViewId="0">
      <selection activeCell="K37" sqref="K37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63</v>
      </c>
      <c r="B2" s="40" t="str">
        <f>+'PO 1st page'!K11</f>
        <v>SAC2-DS-PO-0437</v>
      </c>
      <c r="C2" s="132" t="s">
        <v>64</v>
      </c>
      <c r="D2" s="132"/>
      <c r="E2" s="132"/>
      <c r="F2" s="132"/>
      <c r="G2" s="41"/>
      <c r="H2" s="41"/>
    </row>
    <row r="3" spans="1:13" s="47" customFormat="1" ht="28.5" customHeight="1" thickBot="1">
      <c r="A3" s="42" t="s">
        <v>65</v>
      </c>
      <c r="B3" s="43">
        <f>+'PO 1st page'!K10</f>
        <v>46259</v>
      </c>
      <c r="C3" s="44"/>
      <c r="D3" s="45"/>
      <c r="E3" s="133" t="s">
        <v>66</v>
      </c>
      <c r="F3" s="133"/>
      <c r="G3" s="133"/>
      <c r="H3" s="133"/>
      <c r="I3" s="46"/>
    </row>
    <row r="4" spans="1:13" s="48" customFormat="1" ht="28.5" customHeight="1" thickTop="1">
      <c r="A4" s="134" t="s">
        <v>67</v>
      </c>
      <c r="B4" s="136" t="s">
        <v>68</v>
      </c>
      <c r="C4" s="137"/>
      <c r="D4" s="140" t="s">
        <v>69</v>
      </c>
      <c r="E4" s="140" t="s">
        <v>70</v>
      </c>
      <c r="F4" s="142" t="str">
        <f>'PO 1st page'!C9</f>
        <v>DRCE(Do Right Contracting Est)</v>
      </c>
      <c r="G4" s="143"/>
      <c r="H4" s="144" t="s">
        <v>71</v>
      </c>
      <c r="K4" s="49"/>
      <c r="L4" s="49"/>
      <c r="M4" s="49"/>
    </row>
    <row r="5" spans="1:13" s="48" customFormat="1" ht="21.95" customHeight="1">
      <c r="A5" s="135"/>
      <c r="B5" s="138"/>
      <c r="C5" s="139"/>
      <c r="D5" s="141"/>
      <c r="E5" s="141"/>
      <c r="F5" s="50" t="s">
        <v>72</v>
      </c>
      <c r="G5" s="50" t="s">
        <v>38</v>
      </c>
      <c r="H5" s="145"/>
      <c r="K5" s="49"/>
      <c r="L5" s="49"/>
      <c r="M5" s="49"/>
    </row>
    <row r="6" spans="1:13" s="48" customFormat="1" ht="24.75" customHeight="1">
      <c r="A6" s="78">
        <f t="shared" ref="A6:A35" si="0">ROW(A1)</f>
        <v>1</v>
      </c>
      <c r="B6" s="125" t="str">
        <f>CONCATENATE(MRS!B6," ",MRS!D6)</f>
        <v>Blue Pen 1*50/ Pkt</v>
      </c>
      <c r="C6" s="126"/>
      <c r="D6" s="79" t="str">
        <f>MRS!G6</f>
        <v>PKT</v>
      </c>
      <c r="E6" s="79">
        <f>MRS!H6</f>
        <v>20</v>
      </c>
      <c r="F6" s="80">
        <f>MRS!I6</f>
        <v>19.68</v>
      </c>
      <c r="G6" s="81">
        <f>MRS!J6</f>
        <v>393.6</v>
      </c>
      <c r="H6" s="82" t="str">
        <f>MRS!L6</f>
        <v>One Time</v>
      </c>
      <c r="K6" s="83"/>
      <c r="L6" s="84"/>
      <c r="M6" s="49"/>
    </row>
    <row r="7" spans="1:13" s="48" customFormat="1" ht="24.75" customHeight="1">
      <c r="A7" s="78">
        <f t="shared" si="0"/>
        <v>2</v>
      </c>
      <c r="B7" s="125" t="str">
        <f>CONCATENATE(MRS!B7," ",MRS!D7)</f>
        <v>Red Pen 1*50/ Pkt</v>
      </c>
      <c r="C7" s="126"/>
      <c r="D7" s="79" t="str">
        <f>MRS!G7</f>
        <v>PKT</v>
      </c>
      <c r="E7" s="79">
        <f>MRS!H7</f>
        <v>10</v>
      </c>
      <c r="F7" s="80">
        <f>MRS!I7</f>
        <v>19.68</v>
      </c>
      <c r="G7" s="81">
        <f>MRS!J7</f>
        <v>196.8</v>
      </c>
      <c r="H7" s="82" t="str">
        <f>MRS!L7</f>
        <v>"</v>
      </c>
      <c r="K7" s="83"/>
      <c r="L7" s="84"/>
      <c r="M7" s="49"/>
    </row>
    <row r="8" spans="1:13" s="48" customFormat="1" ht="24.75" customHeight="1">
      <c r="A8" s="85">
        <f t="shared" si="0"/>
        <v>3</v>
      </c>
      <c r="B8" s="125" t="str">
        <f>CONCATENATE(MRS!B8," ",MRS!D8)</f>
        <v>Black Pen 1*50/ Pkt</v>
      </c>
      <c r="C8" s="126"/>
      <c r="D8" s="79" t="str">
        <f>MRS!G8</f>
        <v>PKT</v>
      </c>
      <c r="E8" s="79">
        <f>MRS!H8</f>
        <v>6</v>
      </c>
      <c r="F8" s="80">
        <f>MRS!I8</f>
        <v>19.68</v>
      </c>
      <c r="G8" s="81">
        <f>MRS!J8</f>
        <v>118.08</v>
      </c>
      <c r="H8" s="82" t="str">
        <f>MRS!L8</f>
        <v>"</v>
      </c>
      <c r="K8" s="49"/>
      <c r="L8" s="49"/>
      <c r="M8" s="49"/>
    </row>
    <row r="9" spans="1:13" s="48" customFormat="1" ht="24.75" customHeight="1">
      <c r="A9" s="85">
        <f t="shared" si="0"/>
        <v>4</v>
      </c>
      <c r="B9" s="125" t="str">
        <f>CONCATENATE(MRS!B9," ",MRS!D9)</f>
        <v>Pencil 1*12/Pkt</v>
      </c>
      <c r="C9" s="126"/>
      <c r="D9" s="79" t="str">
        <f>MRS!G9</f>
        <v>PKT</v>
      </c>
      <c r="E9" s="79">
        <f>MRS!H9</f>
        <v>50</v>
      </c>
      <c r="F9" s="80">
        <f>MRS!I9</f>
        <v>4.92</v>
      </c>
      <c r="G9" s="81">
        <f>MRS!J9</f>
        <v>246</v>
      </c>
      <c r="H9" s="82" t="str">
        <f>MRS!L9</f>
        <v>"</v>
      </c>
    </row>
    <row r="10" spans="1:13" s="48" customFormat="1" ht="24.75" customHeight="1">
      <c r="A10" s="85">
        <f t="shared" si="0"/>
        <v>5</v>
      </c>
      <c r="B10" s="125" t="str">
        <f>CONCATENATE(MRS!B10," ",MRS!D10)</f>
        <v xml:space="preserve">Binder Clip - 51 Mm </v>
      </c>
      <c r="C10" s="126"/>
      <c r="D10" s="79" t="str">
        <f>MRS!G10</f>
        <v>PKT</v>
      </c>
      <c r="E10" s="79">
        <f>MRS!H10</f>
        <v>10</v>
      </c>
      <c r="F10" s="80">
        <f>MRS!I10</f>
        <v>5.54</v>
      </c>
      <c r="G10" s="81">
        <f>MRS!J10</f>
        <v>55.4</v>
      </c>
      <c r="H10" s="82" t="str">
        <f>MRS!L10</f>
        <v>"</v>
      </c>
    </row>
    <row r="11" spans="1:13" s="48" customFormat="1" ht="24.75" customHeight="1">
      <c r="A11" s="85">
        <f t="shared" si="0"/>
        <v>6</v>
      </c>
      <c r="B11" s="125" t="str">
        <f>CONCATENATE(MRS!B11," ",MRS!D11)</f>
        <v>Binder Clip - 32Mm 1*12 Pkts/ Box</v>
      </c>
      <c r="C11" s="126"/>
      <c r="D11" s="79" t="str">
        <f>MRS!G11</f>
        <v>BOX</v>
      </c>
      <c r="E11" s="79">
        <f>MRS!H11</f>
        <v>10</v>
      </c>
      <c r="F11" s="80">
        <f>MRS!I11</f>
        <v>28.3</v>
      </c>
      <c r="G11" s="81">
        <f>MRS!J11</f>
        <v>283</v>
      </c>
      <c r="H11" s="82" t="str">
        <f>MRS!L11</f>
        <v>"</v>
      </c>
    </row>
    <row r="12" spans="1:13" s="48" customFormat="1" ht="24.75" customHeight="1">
      <c r="A12" s="85">
        <f t="shared" si="0"/>
        <v>7</v>
      </c>
      <c r="B12" s="125" t="str">
        <f>CONCATENATE(MRS!B12," ",MRS!D12)</f>
        <v>Binder Clip 19Mm 1*12 Pkts/ Box</v>
      </c>
      <c r="C12" s="126"/>
      <c r="D12" s="79" t="str">
        <f>MRS!G12</f>
        <v>BOX</v>
      </c>
      <c r="E12" s="79">
        <f>MRS!H12</f>
        <v>10</v>
      </c>
      <c r="F12" s="80">
        <f>MRS!I12</f>
        <v>17.25</v>
      </c>
      <c r="G12" s="81">
        <f>MRS!J12</f>
        <v>172.5</v>
      </c>
      <c r="H12" s="82" t="str">
        <f>MRS!L12</f>
        <v>"</v>
      </c>
    </row>
    <row r="13" spans="1:13" s="48" customFormat="1" ht="24.75" customHeight="1">
      <c r="A13" s="85">
        <f t="shared" si="0"/>
        <v>8</v>
      </c>
      <c r="B13" s="125" t="str">
        <f>CONCATENATE(MRS!B13," ",MRS!D13)</f>
        <v>Paper Clip - 32 Mm 1*12 Pkts/ Box</v>
      </c>
      <c r="C13" s="126"/>
      <c r="D13" s="79" t="str">
        <f>MRS!G13</f>
        <v>BOX</v>
      </c>
      <c r="E13" s="79">
        <f>MRS!H13</f>
        <v>10</v>
      </c>
      <c r="F13" s="80">
        <f>MRS!I13</f>
        <v>12.3</v>
      </c>
      <c r="G13" s="81">
        <f>MRS!J13</f>
        <v>123</v>
      </c>
      <c r="H13" s="82" t="str">
        <f>MRS!L13</f>
        <v>"</v>
      </c>
    </row>
    <row r="14" spans="1:13" s="48" customFormat="1" ht="24.75" customHeight="1">
      <c r="A14" s="85">
        <f t="shared" si="0"/>
        <v>9</v>
      </c>
      <c r="B14" s="125" t="str">
        <f>CONCATENATE(MRS!B14," ",MRS!D14)</f>
        <v>Paper Clip - 15 Mm 1*12 Pkts/ Box</v>
      </c>
      <c r="C14" s="126"/>
      <c r="D14" s="79" t="str">
        <f>MRS!G14</f>
        <v>BOX</v>
      </c>
      <c r="E14" s="79">
        <f>MRS!H14</f>
        <v>6</v>
      </c>
      <c r="F14" s="80">
        <f>MRS!I14</f>
        <v>9.85</v>
      </c>
      <c r="G14" s="81">
        <f>MRS!J14</f>
        <v>59.099999999999994</v>
      </c>
      <c r="H14" s="82" t="str">
        <f>MRS!L14</f>
        <v>"</v>
      </c>
    </row>
    <row r="15" spans="1:13" s="48" customFormat="1" ht="24.75" customHeight="1">
      <c r="A15" s="85">
        <f t="shared" si="0"/>
        <v>10</v>
      </c>
      <c r="B15" s="125" t="str">
        <f>CONCATENATE(MRS!B15," ",MRS!D15)</f>
        <v>Stapler Big,Deli</v>
      </c>
      <c r="C15" s="126"/>
      <c r="D15" s="79" t="str">
        <f>MRS!G15</f>
        <v>EA</v>
      </c>
      <c r="E15" s="79">
        <f>MRS!H15</f>
        <v>10</v>
      </c>
      <c r="F15" s="80">
        <f>MRS!I15</f>
        <v>19.68</v>
      </c>
      <c r="G15" s="81">
        <f>MRS!J15</f>
        <v>196.8</v>
      </c>
      <c r="H15" s="82" t="str">
        <f>MRS!L15</f>
        <v>"</v>
      </c>
    </row>
    <row r="16" spans="1:13" s="48" customFormat="1" ht="24.75" customHeight="1">
      <c r="A16" s="85">
        <f t="shared" si="0"/>
        <v>11</v>
      </c>
      <c r="B16" s="125" t="str">
        <f>CONCATENATE(MRS!B16," ",MRS!D16)</f>
        <v>Al Rai Juice Cocktail 27*250Ml</v>
      </c>
      <c r="C16" s="126"/>
      <c r="D16" s="79" t="str">
        <f>MRS!G16</f>
        <v>EA</v>
      </c>
      <c r="E16" s="79">
        <f>MRS!H16</f>
        <v>3000</v>
      </c>
      <c r="F16" s="80">
        <f>MRS!I16</f>
        <v>1.1000000000000001</v>
      </c>
      <c r="G16" s="81">
        <f>MRS!J16</f>
        <v>3300.0000000000005</v>
      </c>
      <c r="H16" s="82" t="str">
        <f>MRS!L16</f>
        <v>"</v>
      </c>
    </row>
    <row r="17" spans="1:8" s="48" customFormat="1" ht="24.75" customHeight="1">
      <c r="A17" s="85">
        <f t="shared" si="0"/>
        <v>12</v>
      </c>
      <c r="B17" s="125" t="str">
        <f>CONCATENATE(MRS!B17," ",MRS!D17)</f>
        <v>Smp 1 Stickers Round Red</v>
      </c>
      <c r="C17" s="126"/>
      <c r="D17" s="79" t="str">
        <f>MRS!G17</f>
        <v>EA</v>
      </c>
      <c r="E17" s="79">
        <f>MRS!H17</f>
        <v>2000</v>
      </c>
      <c r="F17" s="80">
        <f>MRS!I17</f>
        <v>0.62</v>
      </c>
      <c r="G17" s="81">
        <f>MRS!J17</f>
        <v>1240</v>
      </c>
      <c r="H17" s="82" t="str">
        <f>MRS!L17</f>
        <v>"</v>
      </c>
    </row>
    <row r="18" spans="1:8" s="48" customFormat="1" ht="24.75" customHeight="1">
      <c r="A18" s="85">
        <f t="shared" si="0"/>
        <v>13</v>
      </c>
      <c r="B18" s="125" t="str">
        <f>CONCATENATE(MRS!B18," ",MRS!D18)</f>
        <v>Smp 1 Stickers Round Green</v>
      </c>
      <c r="C18" s="126"/>
      <c r="D18" s="79" t="str">
        <f>MRS!G18</f>
        <v>EA</v>
      </c>
      <c r="E18" s="79">
        <f>MRS!H18</f>
        <v>1000</v>
      </c>
      <c r="F18" s="80">
        <f>MRS!I18</f>
        <v>0.62</v>
      </c>
      <c r="G18" s="81">
        <f>MRS!J18</f>
        <v>620</v>
      </c>
      <c r="H18" s="82" t="str">
        <f>MRS!L18</f>
        <v>"</v>
      </c>
    </row>
    <row r="19" spans="1:8" s="48" customFormat="1" ht="24.75" customHeight="1">
      <c r="A19" s="85">
        <f t="shared" si="0"/>
        <v>14</v>
      </c>
      <c r="B19" s="125" t="str">
        <f>CONCATENATE(MRS!B19," ",MRS!D19)</f>
        <v>Smp 1 Stickers Round Blue</v>
      </c>
      <c r="C19" s="126"/>
      <c r="D19" s="79" t="str">
        <f>MRS!G19</f>
        <v>EA</v>
      </c>
      <c r="E19" s="79">
        <f>MRS!H19</f>
        <v>1000</v>
      </c>
      <c r="F19" s="80">
        <f>MRS!I19</f>
        <v>0.62</v>
      </c>
      <c r="G19" s="81">
        <f>MRS!J19</f>
        <v>620</v>
      </c>
      <c r="H19" s="82" t="str">
        <f>MRS!L19</f>
        <v>"</v>
      </c>
    </row>
    <row r="20" spans="1:8" s="48" customFormat="1" ht="24.75" customHeight="1">
      <c r="A20" s="85">
        <f t="shared" si="0"/>
        <v>15</v>
      </c>
      <c r="B20" s="125" t="str">
        <f>CONCATENATE(MRS!B20," ",MRS!D20)</f>
        <v xml:space="preserve">Hyundai Logo Sticker </v>
      </c>
      <c r="C20" s="126"/>
      <c r="D20" s="79" t="str">
        <f>MRS!G20</f>
        <v>EA</v>
      </c>
      <c r="E20" s="79">
        <f>MRS!H20</f>
        <v>2000</v>
      </c>
      <c r="F20" s="80">
        <f>MRS!I20</f>
        <v>0.74</v>
      </c>
      <c r="G20" s="81">
        <f>MRS!J20</f>
        <v>1480</v>
      </c>
      <c r="H20" s="82" t="str">
        <f>MRS!L20</f>
        <v>"</v>
      </c>
    </row>
    <row r="21" spans="1:8" s="48" customFormat="1" ht="24.75" customHeight="1">
      <c r="A21" s="85">
        <f t="shared" si="0"/>
        <v>16</v>
      </c>
      <c r="B21" s="125" t="str">
        <f>CONCATENATE(MRS!B21," ",MRS!D21)</f>
        <v xml:space="preserve">Safety Yellow Vest With Logo </v>
      </c>
      <c r="C21" s="126"/>
      <c r="D21" s="79" t="str">
        <f>MRS!G21</f>
        <v>EA</v>
      </c>
      <c r="E21" s="79">
        <f>MRS!H21</f>
        <v>500</v>
      </c>
      <c r="F21" s="80">
        <f>MRS!I21</f>
        <v>14.15</v>
      </c>
      <c r="G21" s="81">
        <f>MRS!J21</f>
        <v>7075</v>
      </c>
      <c r="H21" s="82" t="str">
        <f>MRS!L21</f>
        <v>"</v>
      </c>
    </row>
    <row r="22" spans="1:8" s="48" customFormat="1" ht="24.75" customHeight="1">
      <c r="A22" s="85">
        <f t="shared" si="0"/>
        <v>17</v>
      </c>
      <c r="B22" s="125" t="str">
        <f>CONCATENATE(MRS!B22," ",MRS!D22)</f>
        <v>Frc Coverall Cat - 2</v>
      </c>
      <c r="C22" s="126"/>
      <c r="D22" s="79" t="str">
        <f>MRS!G22</f>
        <v>EA</v>
      </c>
      <c r="E22" s="79">
        <f>MRS!H22</f>
        <v>400</v>
      </c>
      <c r="F22" s="80">
        <f>MRS!I22</f>
        <v>77</v>
      </c>
      <c r="G22" s="81">
        <f>MRS!J22</f>
        <v>30800</v>
      </c>
      <c r="H22" s="82" t="str">
        <f>MRS!L22</f>
        <v>"</v>
      </c>
    </row>
    <row r="23" spans="1:8" s="48" customFormat="1" ht="24.75" customHeight="1">
      <c r="A23" s="85">
        <f t="shared" si="0"/>
        <v>18</v>
      </c>
      <c r="B23" s="125" t="str">
        <f>CONCATENATE(MRS!B23," ",MRS!D23)</f>
        <v xml:space="preserve">Wired Keyboard Hp </v>
      </c>
      <c r="C23" s="126"/>
      <c r="D23" s="79" t="str">
        <f>MRS!G23</f>
        <v>EA</v>
      </c>
      <c r="E23" s="79">
        <f>MRS!H23</f>
        <v>10</v>
      </c>
      <c r="F23" s="80">
        <f>MRS!I23</f>
        <v>61.5</v>
      </c>
      <c r="G23" s="81">
        <f>MRS!J23</f>
        <v>615</v>
      </c>
      <c r="H23" s="82" t="str">
        <f>MRS!L23</f>
        <v>"</v>
      </c>
    </row>
    <row r="24" spans="1:8" s="48" customFormat="1" ht="32.1" customHeight="1">
      <c r="A24" s="85">
        <f t="shared" si="0"/>
        <v>19</v>
      </c>
      <c r="B24" s="125" t="str">
        <f>CONCATENATE(MRS!B24," ",MRS!D24)</f>
        <v>Sticky Notes Fantastic, Size 38.1*50.8 Mm12*1Pkt  36Pkt*1</v>
      </c>
      <c r="C24" s="126"/>
      <c r="D24" s="79" t="str">
        <f>MRS!G24</f>
        <v>BOX</v>
      </c>
      <c r="E24" s="79">
        <f>MRS!H24</f>
        <v>1</v>
      </c>
      <c r="F24" s="80">
        <f>MRS!I24</f>
        <v>222</v>
      </c>
      <c r="G24" s="81">
        <f>MRS!J24</f>
        <v>222</v>
      </c>
      <c r="H24" s="82" t="str">
        <f>MRS!L24</f>
        <v>"</v>
      </c>
    </row>
    <row r="25" spans="1:8" s="48" customFormat="1" ht="24" customHeight="1">
      <c r="A25" s="85">
        <f t="shared" si="0"/>
        <v>20</v>
      </c>
      <c r="B25" s="125" t="str">
        <f>CONCATENATE(MRS!B25," ",MRS!D25)</f>
        <v>Facial Tissue 3 Layer - 1*10/Pkt</v>
      </c>
      <c r="C25" s="126"/>
      <c r="D25" s="79" t="str">
        <f>MRS!G25</f>
        <v>PKT</v>
      </c>
      <c r="E25" s="79">
        <f>MRS!H25</f>
        <v>10</v>
      </c>
      <c r="F25" s="80">
        <f>MRS!I25</f>
        <v>11.1</v>
      </c>
      <c r="G25" s="81">
        <f>MRS!J25</f>
        <v>111</v>
      </c>
      <c r="H25" s="82" t="str">
        <f>MRS!L25</f>
        <v>"</v>
      </c>
    </row>
    <row r="26" spans="1:8" s="48" customFormat="1" ht="24" customHeight="1">
      <c r="A26" s="85">
        <f t="shared" si="0"/>
        <v>21</v>
      </c>
      <c r="B26" s="125" t="str">
        <f>CONCATENATE(MRS!B26," ",MRS!D26)</f>
        <v xml:space="preserve">Wet Tissue </v>
      </c>
      <c r="C26" s="126"/>
      <c r="D26" s="79" t="str">
        <f>MRS!G26</f>
        <v>PKT</v>
      </c>
      <c r="E26" s="79">
        <f>MRS!H26</f>
        <v>50</v>
      </c>
      <c r="F26" s="80">
        <f>MRS!I26</f>
        <v>6.15</v>
      </c>
      <c r="G26" s="81">
        <f>MRS!J26</f>
        <v>307.5</v>
      </c>
      <c r="H26" s="82" t="str">
        <f>MRS!L26</f>
        <v>"</v>
      </c>
    </row>
    <row r="27" spans="1:8" s="48" customFormat="1" ht="24" customHeight="1">
      <c r="A27" s="85">
        <f t="shared" si="0"/>
        <v>22</v>
      </c>
      <c r="B27" s="125" t="str">
        <f>CONCATENATE(MRS!B27," ",MRS!D27)</f>
        <v>Paper Cups 9Oz</v>
      </c>
      <c r="C27" s="126"/>
      <c r="D27" s="79" t="str">
        <f>MRS!G27</f>
        <v>BOX</v>
      </c>
      <c r="E27" s="79">
        <f>MRS!H27</f>
        <v>10</v>
      </c>
      <c r="F27" s="80">
        <f>MRS!I27</f>
        <v>57.81</v>
      </c>
      <c r="G27" s="81">
        <f>MRS!J27</f>
        <v>578.1</v>
      </c>
      <c r="H27" s="82" t="str">
        <f>MRS!L27</f>
        <v>"</v>
      </c>
    </row>
    <row r="28" spans="1:8" s="48" customFormat="1" ht="24" customHeight="1">
      <c r="A28" s="85">
        <f t="shared" si="0"/>
        <v>23</v>
      </c>
      <c r="B28" s="125" t="str">
        <f>CONCATENATE(MRS!B28," ",MRS!D28)</f>
        <v>Clorex 3.78 Ltrs</v>
      </c>
      <c r="C28" s="126"/>
      <c r="D28" s="79" t="str">
        <f>MRS!G28</f>
        <v>EA</v>
      </c>
      <c r="E28" s="79">
        <f>MRS!H28</f>
        <v>6</v>
      </c>
      <c r="F28" s="80">
        <f>MRS!I28</f>
        <v>20.3</v>
      </c>
      <c r="G28" s="81">
        <f>MRS!J28</f>
        <v>121.80000000000001</v>
      </c>
      <c r="H28" s="82" t="str">
        <f>MRS!L28</f>
        <v>"</v>
      </c>
    </row>
    <row r="29" spans="1:8" s="48" customFormat="1" ht="24" customHeight="1">
      <c r="A29" s="85">
        <f t="shared" si="0"/>
        <v>24</v>
      </c>
      <c r="B29" s="125" t="str">
        <f>CONCATENATE(MRS!B29," ",MRS!D29)</f>
        <v>Cleaning Liquid Dac 3 Ltr</v>
      </c>
      <c r="C29" s="126"/>
      <c r="D29" s="79" t="str">
        <f>MRS!G29</f>
        <v>EA</v>
      </c>
      <c r="E29" s="79">
        <f>MRS!H29</f>
        <v>12</v>
      </c>
      <c r="F29" s="80">
        <f>MRS!I29</f>
        <v>16</v>
      </c>
      <c r="G29" s="81">
        <f>MRS!J29</f>
        <v>192</v>
      </c>
      <c r="H29" s="82" t="str">
        <f>MRS!L29</f>
        <v>"</v>
      </c>
    </row>
    <row r="30" spans="1:8" s="48" customFormat="1" ht="24" customHeight="1">
      <c r="A30" s="85">
        <f t="shared" si="0"/>
        <v>25</v>
      </c>
      <c r="B30" s="125" t="str">
        <f>CONCATENATE(MRS!B30," ",MRS!D30)</f>
        <v xml:space="preserve">Garbage Bag - 100 Gln </v>
      </c>
      <c r="C30" s="126"/>
      <c r="D30" s="79" t="str">
        <f>MRS!G30</f>
        <v>PKT</v>
      </c>
      <c r="E30" s="79">
        <f>MRS!H30</f>
        <v>100</v>
      </c>
      <c r="F30" s="80">
        <f>MRS!I30</f>
        <v>36.9</v>
      </c>
      <c r="G30" s="81">
        <f>MRS!J30</f>
        <v>3690</v>
      </c>
      <c r="H30" s="82" t="str">
        <f>MRS!L30</f>
        <v>"</v>
      </c>
    </row>
    <row r="31" spans="1:8" s="48" customFormat="1" ht="24" customHeight="1">
      <c r="A31" s="85">
        <f t="shared" si="0"/>
        <v>26</v>
      </c>
      <c r="B31" s="125" t="str">
        <f>CONCATENATE(MRS!B31," ",MRS!D31)</f>
        <v>Garbage Bag - Small Rolls 10 Rolls/ Pkt</v>
      </c>
      <c r="C31" s="126"/>
      <c r="D31" s="79" t="str">
        <f>MRS!G31</f>
        <v>PKT</v>
      </c>
      <c r="E31" s="79">
        <f>MRS!H31</f>
        <v>10</v>
      </c>
      <c r="F31" s="80">
        <f>MRS!I31</f>
        <v>36.9</v>
      </c>
      <c r="G31" s="81">
        <f>MRS!J31</f>
        <v>369</v>
      </c>
      <c r="H31" s="82" t="str">
        <f>MRS!L31</f>
        <v>"</v>
      </c>
    </row>
    <row r="32" spans="1:8" s="48" customFormat="1" ht="24" customHeight="1">
      <c r="A32" s="85">
        <f t="shared" si="0"/>
        <v>27</v>
      </c>
      <c r="B32" s="125" t="str">
        <f>CONCATENATE(MRS!B32," ",MRS!D32)</f>
        <v xml:space="preserve">Broom With Sticks </v>
      </c>
      <c r="C32" s="126"/>
      <c r="D32" s="79" t="str">
        <f>MRS!G32</f>
        <v>EA</v>
      </c>
      <c r="E32" s="79">
        <f>MRS!H32</f>
        <v>10</v>
      </c>
      <c r="F32" s="80">
        <f>MRS!I32</f>
        <v>10.5</v>
      </c>
      <c r="G32" s="81">
        <f>MRS!J32</f>
        <v>105</v>
      </c>
      <c r="H32" s="82" t="str">
        <f>MRS!L32</f>
        <v>"</v>
      </c>
    </row>
    <row r="33" spans="1:13" s="48" customFormat="1" ht="24" customHeight="1">
      <c r="A33" s="85">
        <f t="shared" si="0"/>
        <v>28</v>
      </c>
      <c r="B33" s="125" t="str">
        <f>CONCATENATE(MRS!B33," ",MRS!D33)</f>
        <v>Safety Helmet Gariox,White</v>
      </c>
      <c r="C33" s="126"/>
      <c r="D33" s="79" t="str">
        <f>MRS!G33</f>
        <v>EA</v>
      </c>
      <c r="E33" s="79">
        <f>MRS!H33</f>
        <v>100</v>
      </c>
      <c r="F33" s="80">
        <f>MRS!I33</f>
        <v>12</v>
      </c>
      <c r="G33" s="81">
        <f>MRS!J33</f>
        <v>1200</v>
      </c>
      <c r="H33" s="82" t="str">
        <f>MRS!L33</f>
        <v>"</v>
      </c>
    </row>
    <row r="34" spans="1:13" s="48" customFormat="1" ht="24" customHeight="1">
      <c r="A34" s="85">
        <f t="shared" si="0"/>
        <v>29</v>
      </c>
      <c r="B34" s="125" t="str">
        <f>CONCATENATE(MRS!B34," ",MRS!D34)</f>
        <v>Safety Helmet Gariox,Yellow</v>
      </c>
      <c r="C34" s="126"/>
      <c r="D34" s="79" t="str">
        <f>MRS!G34</f>
        <v>EA</v>
      </c>
      <c r="E34" s="79">
        <f>MRS!H34</f>
        <v>300</v>
      </c>
      <c r="F34" s="80">
        <f>MRS!I34</f>
        <v>12</v>
      </c>
      <c r="G34" s="81">
        <f>MRS!J34</f>
        <v>3600</v>
      </c>
      <c r="H34" s="82" t="str">
        <f>MRS!L34</f>
        <v>"</v>
      </c>
    </row>
    <row r="35" spans="1:13" s="48" customFormat="1" ht="24" customHeight="1">
      <c r="A35" s="85">
        <f t="shared" si="0"/>
        <v>30</v>
      </c>
      <c r="B35" s="125" t="str">
        <f>CONCATENATE(MRS!B35," ",MRS!D35)</f>
        <v xml:space="preserve">Firewatch Vest </v>
      </c>
      <c r="C35" s="126"/>
      <c r="D35" s="79" t="str">
        <f>MRS!G35</f>
        <v>EA</v>
      </c>
      <c r="E35" s="79">
        <f>MRS!H35</f>
        <v>200</v>
      </c>
      <c r="F35" s="80">
        <f>MRS!I35</f>
        <v>10.46</v>
      </c>
      <c r="G35" s="81">
        <f>MRS!J35</f>
        <v>2092</v>
      </c>
      <c r="H35" s="82" t="str">
        <f>MRS!L35</f>
        <v>"</v>
      </c>
    </row>
    <row r="36" spans="1:13" s="48" customFormat="1" ht="23.1" customHeight="1">
      <c r="A36" s="127" t="s">
        <v>73</v>
      </c>
      <c r="B36" s="128"/>
      <c r="C36" s="128"/>
      <c r="D36" s="128"/>
      <c r="E36" s="128"/>
      <c r="F36" s="128"/>
      <c r="G36" s="51">
        <f>SUM(G6:G35)</f>
        <v>60182.68</v>
      </c>
      <c r="H36" s="52"/>
    </row>
    <row r="37" spans="1:13" s="48" customFormat="1" ht="23.1" customHeight="1">
      <c r="A37" s="127" t="s">
        <v>37</v>
      </c>
      <c r="B37" s="128"/>
      <c r="C37" s="128"/>
      <c r="D37" s="128"/>
      <c r="E37" s="128"/>
      <c r="F37" s="128"/>
      <c r="G37" s="51">
        <f>+G36*0.15</f>
        <v>9027.402</v>
      </c>
      <c r="H37" s="52"/>
    </row>
    <row r="38" spans="1:13" s="48" customFormat="1" ht="24.95" customHeight="1" thickBot="1">
      <c r="A38" s="129" t="s">
        <v>74</v>
      </c>
      <c r="B38" s="130"/>
      <c r="C38" s="130"/>
      <c r="D38" s="130"/>
      <c r="E38" s="130"/>
      <c r="F38" s="130"/>
      <c r="G38" s="53">
        <f>G37+G36</f>
        <v>69210.081999999995</v>
      </c>
      <c r="H38" s="54"/>
    </row>
    <row r="39" spans="1:13" ht="15.75" thickTop="1">
      <c r="A39" s="55" t="str">
        <f>" 1) Above Price are as per your quotation with ref "&amp;'PO 1st page'!K14</f>
        <v xml:space="preserve"> 1) Above Price are as per your quotation with ref SAL-QTN-2026-0038</v>
      </c>
      <c r="B39" s="56"/>
      <c r="C39" s="56"/>
      <c r="D39" s="57"/>
      <c r="E39" s="57"/>
      <c r="F39" s="57"/>
      <c r="G39" s="57"/>
      <c r="H39" s="57"/>
    </row>
    <row r="40" spans="1:13" ht="15">
      <c r="A40" s="58" t="s">
        <v>75</v>
      </c>
      <c r="B40" s="59"/>
      <c r="C40" s="59"/>
      <c r="D40" s="60"/>
      <c r="E40" s="60"/>
      <c r="F40" s="60"/>
      <c r="G40" s="60"/>
      <c r="H40" s="60"/>
      <c r="I40" s="61"/>
    </row>
    <row r="41" spans="1:13" ht="15.75">
      <c r="A41" s="62"/>
    </row>
    <row r="42" spans="1:13">
      <c r="A42" s="131" t="s">
        <v>76</v>
      </c>
      <c r="B42" s="131"/>
      <c r="C42" s="131"/>
      <c r="D42" s="131"/>
      <c r="E42" s="131"/>
      <c r="F42" s="131"/>
      <c r="G42" s="131"/>
      <c r="H42" s="131"/>
      <c r="I42" s="63"/>
      <c r="J42" s="63"/>
      <c r="K42" s="63"/>
      <c r="L42" s="63"/>
      <c r="M42" s="63"/>
    </row>
    <row r="43" spans="1:13" ht="15.75">
      <c r="A43" s="62"/>
      <c r="C43" s="64"/>
    </row>
    <row r="44" spans="1:13" ht="15.75">
      <c r="A44" s="62"/>
      <c r="C44" s="64"/>
    </row>
    <row r="46" spans="1:13" ht="12" customHeight="1"/>
  </sheetData>
  <mergeCells count="42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36:F36"/>
    <mergeCell ref="A37:F37"/>
    <mergeCell ref="A38:F38"/>
    <mergeCell ref="A42:H42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4:C34"/>
    <mergeCell ref="B35:C35"/>
    <mergeCell ref="B29:C29"/>
    <mergeCell ref="B30:C30"/>
    <mergeCell ref="B31:C31"/>
    <mergeCell ref="B32:C32"/>
    <mergeCell ref="B33:C33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2026-08-26T04:49:22Z</cp:lastPrinted>
  <dcterms:created xsi:type="dcterms:W3CDTF">2024-10-20T11:50:19Z</dcterms:created>
  <dcterms:modified xsi:type="dcterms:W3CDTF">2026-08-26T04:49:25Z</dcterms:modified>
</cp:coreProperties>
</file>