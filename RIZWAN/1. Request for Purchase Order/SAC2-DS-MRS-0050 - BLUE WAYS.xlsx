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E355A8C0-598B-4332-A3FE-7266C7885AD2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J16" i="2"/>
  <c r="I16" i="2"/>
  <c r="H16" i="2"/>
  <c r="G16" i="2"/>
  <c r="D16" i="2"/>
  <c r="B16" i="2"/>
  <c r="J15" i="2"/>
  <c r="I15" i="2"/>
  <c r="H15" i="2"/>
  <c r="G15" i="2"/>
  <c r="D15" i="4" s="1"/>
  <c r="D15" i="2"/>
  <c r="B15" i="2"/>
  <c r="B15" i="4" s="1"/>
  <c r="J14" i="2"/>
  <c r="G14" i="4" s="1"/>
  <c r="I14" i="2"/>
  <c r="H14" i="2"/>
  <c r="E14" i="4" s="1"/>
  <c r="G14" i="2"/>
  <c r="D14" i="4" s="1"/>
  <c r="D14" i="2"/>
  <c r="B14" i="2"/>
  <c r="J13" i="2"/>
  <c r="G13" i="4" s="1"/>
  <c r="I13" i="2"/>
  <c r="H13" i="2"/>
  <c r="G13" i="2"/>
  <c r="D13" i="4" s="1"/>
  <c r="D13" i="2"/>
  <c r="B13" i="2"/>
  <c r="B13" i="4" s="1"/>
  <c r="J12" i="2"/>
  <c r="I12" i="2"/>
  <c r="F12" i="4" s="1"/>
  <c r="H12" i="2"/>
  <c r="G12" i="2"/>
  <c r="D12" i="4" s="1"/>
  <c r="D12" i="2"/>
  <c r="B12" i="2"/>
  <c r="G15" i="4"/>
  <c r="F15" i="4"/>
  <c r="E15" i="4"/>
  <c r="F14" i="4"/>
  <c r="B14" i="4"/>
  <c r="F13" i="4"/>
  <c r="E13" i="4"/>
  <c r="G12" i="4"/>
  <c r="E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J15" i="1"/>
  <c r="J14" i="1"/>
  <c r="J13" i="1"/>
  <c r="J12" i="1"/>
  <c r="J11" i="1"/>
  <c r="J10" i="1"/>
  <c r="J9" i="1"/>
  <c r="J8" i="1"/>
  <c r="J7" i="1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J8" i="2"/>
  <c r="I8" i="2"/>
  <c r="H8" i="2"/>
  <c r="G8" i="2"/>
  <c r="D8" i="2"/>
  <c r="B8" i="2"/>
  <c r="J9" i="2"/>
  <c r="K59" i="3"/>
  <c r="E3" i="1"/>
  <c r="H7" i="2"/>
  <c r="G7" i="2"/>
  <c r="D7" i="2"/>
  <c r="B7" i="2"/>
  <c r="J16" i="1" l="1"/>
  <c r="J6" i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<sst xmlns="http://schemas.openxmlformats.org/spreadsheetml/2006/main" count="174" uniqueCount="131">
  <si>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</si>
  <si>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</si>
  <si>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</si>
  <si>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</si>
  <si>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</si>
  <si>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</si>
  <si>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</si>
  <si>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</si>
  <si>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</si>
  <si>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</si>
  <si>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</si>
  <si>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</si>
  <si>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</si>
  <si>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</si>
  <si>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</si>
  <si>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</si>
  <si>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</si>
  <si>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</si>
  <si>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</si>
  <si>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</si>
  <si>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</si>
  <si>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</si>
  <si>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</si>
  <si>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</si>
  <si>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</si>
  <si>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</si>
  <si>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</si>
  <si>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</si>
  <si>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</si>
  <si>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</si>
  <si>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</si>
  <si>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</si>
  <si>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</si>
  <si>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</si>
  <si>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</si>
  <si>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</si>
  <si>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</si>
  <si>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</si>
  <si>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</si>
  <si>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</si>
  <si>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</si>
  <si>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</si>
  <si>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</si>
  <si>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</si>
  <si>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</si>
  <si>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</si>
  <si>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</si>
  <si>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</si>
  <si>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</si>
  <si>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</si>
  <si>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</si>
  <si>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</si>
  <si>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</si>
  <si>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</si>
  <si>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</si>
  <si>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</si>
  <si>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</si>
  <si>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</si>
  <si>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</si>
  <si>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</si>
  <si>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</si>
  <si>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</si>
  <si>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</si>
  <si>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</si>
  <si>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</si>
  <si>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</si>
  <si>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</si>
  <si>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</si>
  <si>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</si>
  <si>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</si>
  <si>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</si>
  <si>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</si>
  <si>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</si>
  <si>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</si>
  <si>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</si>
  <si>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</si>
  <si>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</si>
  <si>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</si>
  <si>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</si>
  <si>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</si>
  <si>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</si>
  <si>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</si>
  <si>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</si>
  <si>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</si>
  <si>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</si>
  <si>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</si>
  <si>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</si>
  <si>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</si>
  <si>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</si>
  <si>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</si>
  <si>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</si>
  <si>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</si>
  <si>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</si>
  <si>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</si>
  <si>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</si>
  <si>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</si>
  <si>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</si>
  <si>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</si>
  <si>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</si>
  <si>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</si>
  <si>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</si>
  <si>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BWCT(Blue Arabian Ways Co. for Trading)</t>
  </si>
  <si>
    <t>311461390400003</t>
  </si>
  <si>
    <t>Mustafa Mohammed Ali</t>
  </si>
  <si>
    <t>+966 56 431 5378 / Email:bluearabiaways@gmail.com</t>
  </si>
  <si>
    <t>Floor No. 2 Office No. 11, Dammam Al Anud 32426 KSA</t>
  </si>
  <si>
    <t>Mobile : +966 56 431 5378</t>
  </si>
  <si>
    <t>Manager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</si>
  <si>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</si>
  <si>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</si>
  <si>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</si>
  <si>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</si>
  <si>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-MRS-0050</t>
    </r>
  </si>
  <si>
    <t>Monitor Dell</t>
  </si>
  <si>
    <t>White Board</t>
  </si>
  <si>
    <t>RAM</t>
  </si>
  <si>
    <t>PC</t>
  </si>
  <si>
    <t>Mop with Bucket</t>
  </si>
  <si>
    <t>Water Dispenser</t>
  </si>
  <si>
    <t>Hard Disk</t>
  </si>
  <si>
    <t>Window Blind</t>
  </si>
  <si>
    <t>USB Flash Drive</t>
  </si>
  <si>
    <t>24 inch</t>
  </si>
  <si>
    <t>90 x 150</t>
  </si>
  <si>
    <t>Laxar 16 GB DDRS</t>
  </si>
  <si>
    <t>Dell Vostro 3030 I5 12400 8GB</t>
  </si>
  <si>
    <t>60 x 90</t>
  </si>
  <si>
    <t>Portable SSD 1TB</t>
  </si>
  <si>
    <t>32 GB</t>
  </si>
  <si>
    <t>QT-BWC-2025-478</t>
  </si>
  <si>
    <t>Computer Set &amp; Office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</si>
</sst>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172" fontId="17" fillId="3" borderId="0" xfId="5" applyNumberFormat="1" applyFont="1" applyFill="1" applyAlignment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111</v>
      </c>
      <c r="B1" s="109"/>
      <c r="C1" s="109"/>
      <c r="D1" s="109"/>
      <c r="E1" s="109"/>
      <c r="F1" s="109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109</v>
      </c>
      <c r="E2" s="100"/>
      <c r="F2" s="100"/>
      <c r="G2" s="100"/>
      <c r="H2" s="100"/>
      <c r="I2" s="4"/>
      <c r="J2" s="128" t="s">
        <v>110</v>
      </c>
      <c r="K2" s="129"/>
      <c r="L2" s="130"/>
    </row>
    <row r="3" spans="1:19" ht="20.100000000000001" customHeight="1">
      <c r="A3" s="3" t="s">
        <v>112</v>
      </c>
      <c r="B3" s="100"/>
      <c r="C3" s="100"/>
      <c r="D3" s="100"/>
      <c r="E3" s="131">
        <f>+L3</f>
        <v>45764</v>
      </c>
      <c r="F3" s="131"/>
      <c r="G3" s="131"/>
      <c r="H3" s="131"/>
      <c r="I3" s="131"/>
      <c r="J3" s="100"/>
      <c r="K3" s="100"/>
      <c r="L3" s="121">
        <v>45764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113</v>
      </c>
      <c r="C6" s="145"/>
      <c r="D6" s="146" t="s">
        <v>122</v>
      </c>
      <c r="E6" s="147"/>
      <c r="F6" s="148"/>
      <c r="G6" s="110" t="s">
        <v>99</v>
      </c>
      <c r="H6" s="111">
        <v>2</v>
      </c>
      <c r="I6" s="112">
        <v>437.5</v>
      </c>
      <c r="J6" s="112">
        <f>H6*I6</f>
        <v>875</v>
      </c>
      <c r="K6" s="113" t="s">
        <v>100</v>
      </c>
      <c r="L6" s="114"/>
      <c r="S6" s="105"/>
    </row>
    <row r="7" spans="1:19" ht="22.5" customHeight="1">
      <c r="A7" s="5">
        <f t="shared" si="0"/>
        <v>2</v>
      </c>
      <c r="B7" s="144" t="s">
        <v>114</v>
      </c>
      <c r="C7" s="145"/>
      <c r="D7" s="149" t="s">
        <v>123</v>
      </c>
      <c r="E7" s="147"/>
      <c r="F7" s="148"/>
      <c r="G7" s="110" t="s">
        <v>99</v>
      </c>
      <c r="H7" s="111">
        <v>1</v>
      </c>
      <c r="I7" s="112">
        <v>162.5</v>
      </c>
      <c r="J7" s="112">
        <f t="shared" ref="J7:J15" si="1">H7*I7</f>
        <v>162.5</v>
      </c>
      <c r="K7" s="113"/>
      <c r="L7" s="114"/>
      <c r="S7" s="105"/>
    </row>
    <row r="8" spans="1:19" ht="22.5" customHeight="1">
      <c r="A8" s="5">
        <f t="shared" si="0"/>
        <v>3</v>
      </c>
      <c r="B8" s="144" t="s">
        <v>115</v>
      </c>
      <c r="C8" s="145"/>
      <c r="D8" s="146" t="s">
        <v>124</v>
      </c>
      <c r="E8" s="147"/>
      <c r="F8" s="148"/>
      <c r="G8" s="110" t="s">
        <v>99</v>
      </c>
      <c r="H8" s="111">
        <v>1</v>
      </c>
      <c r="I8" s="112">
        <v>168</v>
      </c>
      <c r="J8" s="112">
        <f t="shared" si="1"/>
        <v>168</v>
      </c>
      <c r="K8" s="113"/>
      <c r="L8" s="114"/>
      <c r="S8" s="105"/>
    </row>
    <row r="9" spans="1:19" ht="22.5" customHeight="1">
      <c r="A9" s="5">
        <f t="shared" si="0"/>
        <v>4</v>
      </c>
      <c r="B9" s="144" t="s">
        <v>116</v>
      </c>
      <c r="C9" s="145"/>
      <c r="D9" s="146" t="s">
        <v>125</v>
      </c>
      <c r="E9" s="147"/>
      <c r="F9" s="148"/>
      <c r="G9" s="110" t="s">
        <v>99</v>
      </c>
      <c r="H9" s="111">
        <v>1</v>
      </c>
      <c r="I9" s="112">
        <v>2028</v>
      </c>
      <c r="J9" s="112">
        <f t="shared" si="1"/>
        <v>2028</v>
      </c>
      <c r="K9" s="113"/>
      <c r="L9" s="114"/>
      <c r="S9" s="105"/>
    </row>
    <row r="10" spans="1:19" ht="22.5" customHeight="1">
      <c r="A10" s="5">
        <f t="shared" si="0"/>
        <v>5</v>
      </c>
      <c r="B10" s="150" t="s">
        <v>117</v>
      </c>
      <c r="C10" s="150"/>
      <c r="D10" s="151"/>
      <c r="E10" s="151"/>
      <c r="F10" s="151"/>
      <c r="G10" s="110" t="s">
        <v>99</v>
      </c>
      <c r="H10" s="111">
        <v>2</v>
      </c>
      <c r="I10" s="115">
        <v>119.5</v>
      </c>
      <c r="J10" s="112">
        <f t="shared" si="1"/>
        <v>239</v>
      </c>
      <c r="K10" s="113"/>
      <c r="L10" s="110"/>
      <c r="S10" s="105"/>
    </row>
    <row r="11" spans="1:19" ht="22.5" customHeight="1">
      <c r="A11" s="5">
        <f t="shared" si="0"/>
        <v>6</v>
      </c>
      <c r="B11" s="144" t="s">
        <v>114</v>
      </c>
      <c r="C11" s="145"/>
      <c r="D11" s="146" t="s">
        <v>126</v>
      </c>
      <c r="E11" s="147"/>
      <c r="F11" s="148"/>
      <c r="G11" s="110" t="s">
        <v>99</v>
      </c>
      <c r="H11" s="111">
        <v>1</v>
      </c>
      <c r="I11" s="112">
        <v>58.75</v>
      </c>
      <c r="J11" s="112">
        <f t="shared" si="1"/>
        <v>58.75</v>
      </c>
      <c r="K11" s="113"/>
      <c r="L11" s="114"/>
      <c r="S11" s="105"/>
    </row>
    <row r="12" spans="1:19" ht="22.5" customHeight="1">
      <c r="A12" s="5">
        <f t="shared" si="0"/>
        <v>7</v>
      </c>
      <c r="B12" s="150" t="s">
        <v>120</v>
      </c>
      <c r="C12" s="150"/>
      <c r="D12" s="151"/>
      <c r="E12" s="151"/>
      <c r="F12" s="151"/>
      <c r="G12" s="110" t="s">
        <v>99</v>
      </c>
      <c r="H12" s="111">
        <v>8</v>
      </c>
      <c r="I12" s="115">
        <v>76.25</v>
      </c>
      <c r="J12" s="112">
        <f t="shared" si="1"/>
        <v>610</v>
      </c>
      <c r="K12" s="113"/>
      <c r="L12" s="110"/>
      <c r="S12" s="105"/>
    </row>
    <row r="13" spans="1:19" ht="22.5" customHeight="1">
      <c r="A13" s="5">
        <f t="shared" si="0"/>
        <v>8</v>
      </c>
      <c r="B13" s="150" t="s">
        <v>118</v>
      </c>
      <c r="C13" s="150"/>
      <c r="D13" s="146"/>
      <c r="E13" s="147"/>
      <c r="F13" s="148"/>
      <c r="G13" s="110" t="s">
        <v>99</v>
      </c>
      <c r="H13" s="111">
        <v>1</v>
      </c>
      <c r="I13" s="112">
        <v>380</v>
      </c>
      <c r="J13" s="112">
        <f t="shared" si="1"/>
        <v>380</v>
      </c>
      <c r="K13" s="113"/>
      <c r="L13" s="114"/>
      <c r="S13" s="105"/>
    </row>
    <row r="14" spans="1:19" ht="22.5" customHeight="1">
      <c r="A14" s="5">
        <f t="shared" si="0"/>
        <v>9</v>
      </c>
      <c r="B14" s="150" t="s">
        <v>119</v>
      </c>
      <c r="C14" s="150"/>
      <c r="D14" s="146" t="s">
        <v>127</v>
      </c>
      <c r="E14" s="147"/>
      <c r="F14" s="148"/>
      <c r="G14" s="110" t="s">
        <v>99</v>
      </c>
      <c r="H14" s="111">
        <v>1</v>
      </c>
      <c r="I14" s="112">
        <v>432</v>
      </c>
      <c r="J14" s="112">
        <f t="shared" si="1"/>
        <v>432</v>
      </c>
      <c r="K14" s="113"/>
      <c r="L14" s="114"/>
      <c r="S14" s="105"/>
    </row>
    <row r="15" spans="1:19" ht="22.5" customHeight="1">
      <c r="A15" s="5">
        <f t="shared" si="0"/>
        <v>10</v>
      </c>
      <c r="B15" s="144" t="s">
        <v>121</v>
      </c>
      <c r="C15" s="145"/>
      <c r="D15" s="146" t="s">
        <v>128</v>
      </c>
      <c r="E15" s="147"/>
      <c r="F15" s="148"/>
      <c r="G15" s="110" t="s">
        <v>99</v>
      </c>
      <c r="H15" s="111">
        <v>2</v>
      </c>
      <c r="I15" s="112">
        <v>27.5</v>
      </c>
      <c r="J15" s="112">
        <f t="shared" si="1"/>
        <v>55</v>
      </c>
      <c r="K15" s="113"/>
      <c r="L15" s="114"/>
      <c r="S15" s="105"/>
    </row>
    <row r="16" spans="1:19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5008.25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1" activePane="bottomLeft" state="frozen"/>
      <selection activeCell="D30" sqref="D30"/>
      <selection pane="bottomLeft" activeCell="K15" sqref="K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98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SAC2-DS-MRS-0050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45764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Monitor Dell</v>
      </c>
      <c r="C6" s="163"/>
      <c r="D6" s="164" t="str">
        <f>MRS!D6</f>
        <v>24 inch</v>
      </c>
      <c r="E6" s="165"/>
      <c r="F6" s="166"/>
      <c r="G6" s="102" t="str">
        <f>MRS!G6</f>
        <v>EA</v>
      </c>
      <c r="H6" s="102">
        <f>MRS!H6</f>
        <v>2</v>
      </c>
      <c r="I6" s="103">
        <f>MRS!I6</f>
        <v>437.5</v>
      </c>
      <c r="J6" s="103">
        <f>MRS!J6</f>
        <v>875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 t="str">
        <f>MRS!B7</f>
        <v>White Board</v>
      </c>
      <c r="C7" s="163"/>
      <c r="D7" s="164" t="str">
        <f>MRS!D7</f>
        <v>90 x 150</v>
      </c>
      <c r="E7" s="165"/>
      <c r="F7" s="166"/>
      <c r="G7" s="102" t="str">
        <f>MRS!G7</f>
        <v>EA</v>
      </c>
      <c r="H7" s="102">
        <f>MRS!H7</f>
        <v>1</v>
      </c>
      <c r="I7" s="103">
        <f>MRS!I7</f>
        <v>162.5</v>
      </c>
      <c r="J7" s="103">
        <f>MRS!J7</f>
        <v>162.5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 t="str">
        <f>MRS!B8</f>
        <v>RAM</v>
      </c>
      <c r="C8" s="163"/>
      <c r="D8" s="164" t="str">
        <f>MRS!D8</f>
        <v>Laxar 16 GB DDRS</v>
      </c>
      <c r="E8" s="165"/>
      <c r="F8" s="166"/>
      <c r="G8" s="102" t="str">
        <f>MRS!G8</f>
        <v>EA</v>
      </c>
      <c r="H8" s="102">
        <f>MRS!H8</f>
        <v>1</v>
      </c>
      <c r="I8" s="103">
        <f>MRS!I8</f>
        <v>168</v>
      </c>
      <c r="J8" s="103">
        <f>MRS!J8</f>
        <v>168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 t="str">
        <f>MRS!B9</f>
        <v>PC</v>
      </c>
      <c r="C9" s="163"/>
      <c r="D9" s="164" t="str">
        <f>MRS!D9</f>
        <v>Dell Vostro 3030 I5 12400 8GB</v>
      </c>
      <c r="E9" s="165"/>
      <c r="F9" s="166"/>
      <c r="G9" s="102" t="str">
        <f>MRS!G9</f>
        <v>EA</v>
      </c>
      <c r="H9" s="102">
        <f>MRS!H9</f>
        <v>1</v>
      </c>
      <c r="I9" s="103">
        <f>MRS!I9</f>
        <v>2028</v>
      </c>
      <c r="J9" s="103">
        <f>MRS!J9</f>
        <v>2028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 t="str">
        <f>MRS!B10</f>
        <v>Mop with Bucket</v>
      </c>
      <c r="C10" s="163"/>
      <c r="D10" s="164">
        <f>MRS!D10</f>
        <v>0</v>
      </c>
      <c r="E10" s="165"/>
      <c r="F10" s="166"/>
      <c r="G10" s="102" t="str">
        <f>MRS!G10</f>
        <v>EA</v>
      </c>
      <c r="H10" s="102">
        <f>MRS!H10</f>
        <v>2</v>
      </c>
      <c r="I10" s="103">
        <f>MRS!I10</f>
        <v>119.5</v>
      </c>
      <c r="J10" s="103">
        <f>MRS!J10</f>
        <v>239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 t="str">
        <f>MRS!B11</f>
        <v>White Board</v>
      </c>
      <c r="C11" s="163"/>
      <c r="D11" s="164" t="str">
        <f>MRS!D11</f>
        <v>60 x 90</v>
      </c>
      <c r="E11" s="165"/>
      <c r="F11" s="166"/>
      <c r="G11" s="102" t="str">
        <f>MRS!G11</f>
        <v>EA</v>
      </c>
      <c r="H11" s="102">
        <f>MRS!H11</f>
        <v>1</v>
      </c>
      <c r="I11" s="103">
        <f>MRS!I11</f>
        <v>58.75</v>
      </c>
      <c r="J11" s="103">
        <f>MRS!J11</f>
        <v>58.75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 t="str">
        <f>MRS!B12</f>
        <v>Window Blind</v>
      </c>
      <c r="C12" s="163"/>
      <c r="D12" s="164">
        <f>MRS!D12</f>
        <v>0</v>
      </c>
      <c r="E12" s="165"/>
      <c r="F12" s="166"/>
      <c r="G12" s="102" t="str">
        <f>MRS!G12</f>
        <v>EA</v>
      </c>
      <c r="H12" s="102">
        <f>MRS!H12</f>
        <v>8</v>
      </c>
      <c r="I12" s="103">
        <f>MRS!I12</f>
        <v>76.25</v>
      </c>
      <c r="J12" s="103">
        <f>MRS!J12</f>
        <v>610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2" t="str">
        <f>MRS!B13</f>
        <v>Water Dispenser</v>
      </c>
      <c r="C13" s="163"/>
      <c r="D13" s="164">
        <f>MRS!D13</f>
        <v>0</v>
      </c>
      <c r="E13" s="165"/>
      <c r="F13" s="166"/>
      <c r="G13" s="102" t="str">
        <f>MRS!G13</f>
        <v>EA</v>
      </c>
      <c r="H13" s="102">
        <f>MRS!H13</f>
        <v>1</v>
      </c>
      <c r="I13" s="103">
        <f>MRS!I13</f>
        <v>380</v>
      </c>
      <c r="J13" s="103">
        <f>MRS!J13</f>
        <v>380</v>
      </c>
      <c r="K13" s="104"/>
      <c r="O13" s="105"/>
      <c r="P13" s="105"/>
      <c r="R13" s="105"/>
    </row>
    <row r="14" spans="1:18" ht="105" customHeight="1">
      <c r="A14" s="21">
        <f>+MRS!A14</f>
        <v>9</v>
      </c>
      <c r="B14" s="162" t="str">
        <f>MRS!B14</f>
        <v>Hard Disk</v>
      </c>
      <c r="C14" s="163"/>
      <c r="D14" s="164" t="str">
        <f>MRS!D14</f>
        <v>Portable SSD 1TB</v>
      </c>
      <c r="E14" s="165"/>
      <c r="F14" s="166"/>
      <c r="G14" s="102" t="str">
        <f>MRS!G14</f>
        <v>EA</v>
      </c>
      <c r="H14" s="102">
        <f>MRS!H14</f>
        <v>1</v>
      </c>
      <c r="I14" s="103">
        <f>MRS!I14</f>
        <v>432</v>
      </c>
      <c r="J14" s="103">
        <f>MRS!J14</f>
        <v>432</v>
      </c>
      <c r="K14" s="104"/>
      <c r="O14" s="105"/>
      <c r="P14" s="105"/>
      <c r="R14" s="105"/>
    </row>
    <row r="15" spans="1:18" ht="105" customHeight="1">
      <c r="A15" s="21">
        <f>+MRS!A15</f>
        <v>10</v>
      </c>
      <c r="B15" s="162" t="str">
        <f>MRS!B15</f>
        <v>USB Flash Drive</v>
      </c>
      <c r="C15" s="163"/>
      <c r="D15" s="164" t="str">
        <f>MRS!D15</f>
        <v>32 GB</v>
      </c>
      <c r="E15" s="165"/>
      <c r="F15" s="166"/>
      <c r="G15" s="102" t="str">
        <f>MRS!G15</f>
        <v>EA</v>
      </c>
      <c r="H15" s="102">
        <f>MRS!H15</f>
        <v>2</v>
      </c>
      <c r="I15" s="103">
        <f>MRS!I15</f>
        <v>27.5</v>
      </c>
      <c r="J15" s="103">
        <f>MRS!J15</f>
        <v>55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>
        <f>MRS!B16</f>
        <v>0</v>
      </c>
      <c r="C16" s="163"/>
      <c r="D16" s="164">
        <f>MRS!D16</f>
        <v>0</v>
      </c>
      <c r="E16" s="165"/>
      <c r="F16" s="166"/>
      <c r="G16" s="102">
        <f>MRS!G16</f>
        <v>0</v>
      </c>
      <c r="H16" s="102">
        <f>MRS!H16</f>
        <v>0</v>
      </c>
      <c r="I16" s="103" t="str">
        <f>MRS!I16</f>
        <v>Sum</v>
      </c>
      <c r="J16" s="103">
        <f>MRS!J16</f>
        <v>5008.25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6" zoomScale="130" zoomScaleNormal="100" zoomScaleSheetLayoutView="130" workbookViewId="0">
      <selection activeCell="H30" sqref="H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73">
        <f>MRS!L3</f>
        <v>45764</v>
      </c>
      <c r="L10" s="174"/>
      <c r="M10" s="174"/>
    </row>
    <row r="11" spans="2:13" s="39" customFormat="1">
      <c r="B11" s="72"/>
      <c r="C11" s="75" t="s">
        <v>35</v>
      </c>
      <c r="D11" s="76" t="s">
        <v>102</v>
      </c>
      <c r="J11" s="39" t="s">
        <v>36</v>
      </c>
      <c r="K11" s="175" t="str">
        <f>SUBSTITUTE(SUBSTITUTE(+MRS!A3,"  MRS No : ",""),"-MRS","-PO")</f>
        <v>SAC2-DS-PO-0050</v>
      </c>
      <c r="L11" s="175"/>
      <c r="M11" s="175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104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129</v>
      </c>
    </row>
    <row r="15" spans="2:13" s="39" customFormat="1">
      <c r="B15" s="72"/>
      <c r="C15" s="77" t="s">
        <v>106</v>
      </c>
      <c r="J15" s="39" t="s">
        <v>41</v>
      </c>
      <c r="K15" s="78">
        <v>45762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130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>
        <f>'PO 2nd page'!G18</f>
        <v>5008.25</v>
      </c>
      <c r="G29" s="124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203">
        <f>'PO 2nd page'!G19</f>
        <v>751.23749999999995</v>
      </c>
      <c r="G30" s="203"/>
    </row>
    <row r="31" spans="2:13" ht="15" customHeight="1">
      <c r="B31" s="32"/>
      <c r="C31" s="26" t="s">
        <v>52</v>
      </c>
      <c r="D31" s="35"/>
      <c r="E31" s="26" t="s">
        <v>50</v>
      </c>
      <c r="F31" s="203">
        <f>'PO 2nd page'!G20</f>
        <v>5759.4875000000002</v>
      </c>
      <c r="G31" s="203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108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Mustafa Mohammed Ali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BWCT(Blue Arabian Ways Co. for Trading)</v>
      </c>
      <c r="K62" s="180"/>
      <c r="L62" s="180"/>
      <c r="M62" s="180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SAC2-DS-PO-0050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45764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BWCT(Blue Arabian Ways Co. for Trading)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+'MRS LIST'!B6</f>
        <v>Monitor Dell</v>
      </c>
      <c r="C6" s="182"/>
      <c r="D6" s="86" t="str">
        <f>+'MRS LIST'!G6</f>
        <v>EA</v>
      </c>
      <c r="E6" s="87">
        <f>+'MRS LIST'!H6</f>
        <v>2</v>
      </c>
      <c r="F6" s="88">
        <f>+'MRS LIST'!I6</f>
        <v>437.5</v>
      </c>
      <c r="G6" s="89">
        <f>+'MRS LIST'!J6</f>
        <v>875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1" t="str">
        <f>+'MRS LIST'!B7</f>
        <v>White Board</v>
      </c>
      <c r="C7" s="182"/>
      <c r="D7" s="86" t="str">
        <f>+'MRS LIST'!G7</f>
        <v>EA</v>
      </c>
      <c r="E7" s="87">
        <f>+'MRS LIST'!H7</f>
        <v>1</v>
      </c>
      <c r="F7" s="88">
        <f>+'MRS LIST'!I7</f>
        <v>162.5</v>
      </c>
      <c r="G7" s="89">
        <f>+'MRS LIST'!J7</f>
        <v>162.5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 t="str">
        <f>+'MRS LIST'!B8</f>
        <v>RAM</v>
      </c>
      <c r="C8" s="182"/>
      <c r="D8" s="86" t="str">
        <f>+'MRS LIST'!G8</f>
        <v>EA</v>
      </c>
      <c r="E8" s="87">
        <f>+'MRS LIST'!H8</f>
        <v>1</v>
      </c>
      <c r="F8" s="88">
        <f>+'MRS LIST'!I8</f>
        <v>168</v>
      </c>
      <c r="G8" s="89">
        <f>+'MRS LIST'!J8</f>
        <v>168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 t="str">
        <f>+'MRS LIST'!B9</f>
        <v>PC</v>
      </c>
      <c r="C9" s="182"/>
      <c r="D9" s="86" t="str">
        <f>+'MRS LIST'!G9</f>
        <v>EA</v>
      </c>
      <c r="E9" s="87">
        <f>+'MRS LIST'!H9</f>
        <v>1</v>
      </c>
      <c r="F9" s="88">
        <f>+'MRS LIST'!I9</f>
        <v>2028</v>
      </c>
      <c r="G9" s="89">
        <f>+'MRS LIST'!J9</f>
        <v>2028</v>
      </c>
      <c r="H9" s="98"/>
    </row>
    <row r="10" spans="1:13" s="55" customFormat="1" ht="32.1" customHeight="1">
      <c r="A10" s="93">
        <f t="shared" si="0"/>
        <v>5</v>
      </c>
      <c r="B10" s="181" t="str">
        <f>+'MRS LIST'!B10</f>
        <v>Mop with Bucket</v>
      </c>
      <c r="C10" s="182"/>
      <c r="D10" s="86" t="str">
        <f>+'MRS LIST'!G10</f>
        <v>EA</v>
      </c>
      <c r="E10" s="87">
        <f>+'MRS LIST'!H10</f>
        <v>2</v>
      </c>
      <c r="F10" s="88">
        <f>+'MRS LIST'!I10</f>
        <v>119.5</v>
      </c>
      <c r="G10" s="89">
        <f>+'MRS LIST'!J10</f>
        <v>239</v>
      </c>
      <c r="H10" s="98"/>
    </row>
    <row r="11" spans="1:13" s="55" customFormat="1" ht="32.1" customHeight="1">
      <c r="A11" s="93">
        <f t="shared" si="0"/>
        <v>6</v>
      </c>
      <c r="B11" s="181" t="str">
        <f>+'MRS LIST'!B11</f>
        <v>White Board</v>
      </c>
      <c r="C11" s="182"/>
      <c r="D11" s="86" t="str">
        <f>+'MRS LIST'!G11</f>
        <v>EA</v>
      </c>
      <c r="E11" s="87">
        <f>+'MRS LIST'!H11</f>
        <v>1</v>
      </c>
      <c r="F11" s="88">
        <f>+'MRS LIST'!I11</f>
        <v>58.75</v>
      </c>
      <c r="G11" s="89">
        <f>+'MRS LIST'!J11</f>
        <v>58.75</v>
      </c>
      <c r="H11" s="98"/>
    </row>
    <row r="12" spans="1:13" s="55" customFormat="1" ht="32.1" customHeight="1">
      <c r="A12" s="93">
        <f t="shared" si="0"/>
        <v>7</v>
      </c>
      <c r="B12" s="181" t="str">
        <f>+'MRS LIST'!B12</f>
        <v>Window Blind</v>
      </c>
      <c r="C12" s="182"/>
      <c r="D12" s="86" t="str">
        <f>+'MRS LIST'!G12</f>
        <v>EA</v>
      </c>
      <c r="E12" s="87">
        <f>+'MRS LIST'!H12</f>
        <v>8</v>
      </c>
      <c r="F12" s="88">
        <f>+'MRS LIST'!I12</f>
        <v>76.25</v>
      </c>
      <c r="G12" s="89">
        <f>+'MRS LIST'!J12</f>
        <v>610</v>
      </c>
      <c r="H12" s="98"/>
    </row>
    <row r="13" spans="1:13" s="55" customFormat="1" ht="32.1" customHeight="1">
      <c r="A13" s="93">
        <f t="shared" si="0"/>
        <v>8</v>
      </c>
      <c r="B13" s="181" t="str">
        <f>+'MRS LIST'!B13</f>
        <v>Water Dispenser</v>
      </c>
      <c r="C13" s="182"/>
      <c r="D13" s="86" t="str">
        <f>+'MRS LIST'!G13</f>
        <v>EA</v>
      </c>
      <c r="E13" s="87">
        <f>+'MRS LIST'!H13</f>
        <v>1</v>
      </c>
      <c r="F13" s="88">
        <f>+'MRS LIST'!I13</f>
        <v>380</v>
      </c>
      <c r="G13" s="89">
        <f>+'MRS LIST'!J13</f>
        <v>380</v>
      </c>
      <c r="H13" s="98"/>
    </row>
    <row r="14" spans="1:13" s="55" customFormat="1" ht="32.1" customHeight="1">
      <c r="A14" s="93">
        <f t="shared" si="0"/>
        <v>9</v>
      </c>
      <c r="B14" s="181" t="str">
        <f>+'MRS LIST'!B14</f>
        <v>Hard Disk</v>
      </c>
      <c r="C14" s="182"/>
      <c r="D14" s="86" t="str">
        <f>+'MRS LIST'!G14</f>
        <v>EA</v>
      </c>
      <c r="E14" s="87">
        <f>+'MRS LIST'!H14</f>
        <v>1</v>
      </c>
      <c r="F14" s="88">
        <f>+'MRS LIST'!I14</f>
        <v>432</v>
      </c>
      <c r="G14" s="89">
        <f>+'MRS LIST'!J14</f>
        <v>432</v>
      </c>
      <c r="H14" s="98"/>
    </row>
    <row r="15" spans="1:13" s="55" customFormat="1" ht="32.1" customHeight="1">
      <c r="A15" s="93">
        <f t="shared" si="0"/>
        <v>10</v>
      </c>
      <c r="B15" s="181" t="str">
        <f>+'MRS LIST'!B15</f>
        <v>USB Flash Drive</v>
      </c>
      <c r="C15" s="182"/>
      <c r="D15" s="86" t="str">
        <f>+'MRS LIST'!G15</f>
        <v>EA</v>
      </c>
      <c r="E15" s="87">
        <f>+'MRS LIST'!H15</f>
        <v>2</v>
      </c>
      <c r="F15" s="88">
        <f>+'MRS LIST'!I15</f>
        <v>27.5</v>
      </c>
      <c r="G15" s="89">
        <f>+'MRS LIST'!J15</f>
        <v>55</v>
      </c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5008.25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+G18*0.15</f>
        <v>751.23749999999995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5759.4875000000002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QT-BWC-2025-478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2025-04-17T08:04:23Z</cp:lastPrinted>
  <dcterms:created xsi:type="dcterms:W3CDTF">2024-10-20T11:50:19Z</dcterms:created>
  <dcterms:modified xsi:type="dcterms:W3CDTF">2025-04-17T08:05:31Z</dcterms:modified>
</cp:coreProperties>
</file>