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28662CF-248E-428B-AB4B-1FFC8DD6202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F7" i="4"/>
  <c r="F8" i="4"/>
  <c r="F9" i="4"/>
  <c r="F10" i="4"/>
  <c r="F11" i="4"/>
  <c r="F12" i="4"/>
  <c r="E7" i="4"/>
  <c r="E8" i="4"/>
  <c r="E9" i="4"/>
  <c r="E10" i="4"/>
  <c r="E11" i="4"/>
  <c r="E12" i="4"/>
  <c r="D7" i="4"/>
  <c r="D8" i="4"/>
  <c r="D9" i="4"/>
  <c r="D10" i="4"/>
  <c r="D11" i="4"/>
  <c r="D12" i="4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<sst xmlns="http://schemas.openxmlformats.org/spreadsheetml/2006/main" count="173" uniqueCount="140">
  <si>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</si>
  <si>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</si>
  <si>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</si>
  <si>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</si>
  <si>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</si>
  <si>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</si>
  <si>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</si>
  <si>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</si>
  <si>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</si>
  <si>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</si>
  <si>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</si>
  <si>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</si>
  <si>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</si>
  <si>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</si>
  <si>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</si>
  <si>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</si>
  <si>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</si>
  <si>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</si>
  <si>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</si>
  <si>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</si>
  <si>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</si>
  <si>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</si>
  <si>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</si>
  <si>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</si>
  <si>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</si>
  <si>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</si>
  <si>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</si>
  <si>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</si>
  <si>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</si>
  <si>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</si>
  <si>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</si>
  <si>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</si>
  <si>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</si>
  <si>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</si>
  <si>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</si>
  <si>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</si>
  <si>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</si>
  <si>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</si>
  <si>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</si>
  <si>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</si>
  <si>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</si>
  <si>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</si>
  <si>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</si>
  <si>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</si>
  <si>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</si>
  <si>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</si>
  <si>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</si>
  <si>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</si>
  <si>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</si>
  <si>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</si>
  <si>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</si>
  <si>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</si>
  <si>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</si>
  <si>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</si>
  <si>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</si>
  <si>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</si>
  <si>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</si>
  <si>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</si>
  <si>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</si>
  <si>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</si>
  <si>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</si>
  <si>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</si>
  <si>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</si>
  <si>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</si>
  <si>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</si>
  <si>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</si>
  <si>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</si>
  <si>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</si>
  <si>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</si>
  <si>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</si>
  <si>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</si>
  <si>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</si>
  <si>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</si>
  <si>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</si>
  <si>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</si>
  <si>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</si>
  <si>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</si>
  <si>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</si>
  <si>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</si>
  <si>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</si>
  <si>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</si>
  <si>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</si>
  <si>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</si>
  <si>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</si>
  <si>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</si>
  <si>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</si>
  <si>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</si>
  <si>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</si>
  <si>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</si>
  <si>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</si>
  <si>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</si>
  <si>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</si>
  <si>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</si>
  <si>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</si>
  <si>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</si>
  <si>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</si>
  <si>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</si>
  <si>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</si>
  <si>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</si>
  <si>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</si>
  <si>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</si>
  <si>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</si>
  <si>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</si>
  <si>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</si>
  <si>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</si>
  <si>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</si>
  <si>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</si>
  <si>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</si>
  <si>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</si>
  <si>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</si>
  <si>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</si>
  <si>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</si>
  <si>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</si>
  <si>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</si>
  <si>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</si>
  <si>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</si>
  <si>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</si>
  <si>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</si>
  <si>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</si>
  <si>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</si>
  <si>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</si>
  <si>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</si>
  <si>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</si>
  <si>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</si>
  <si>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-MRS-0303</t>
    </r>
  </si>
  <si>
    <t>Welding Torch</t>
  </si>
  <si>
    <t>25x50</t>
  </si>
  <si>
    <t>EA</t>
  </si>
  <si>
    <t>Remote Control</t>
  </si>
  <si>
    <t>50M</t>
  </si>
  <si>
    <t>Connector</t>
  </si>
  <si>
    <t>25K-2P</t>
  </si>
  <si>
    <t>25K-4P</t>
  </si>
  <si>
    <t>No Fuse Breaker</t>
  </si>
  <si>
    <t>80A</t>
  </si>
  <si>
    <t>50A</t>
  </si>
  <si>
    <t>Custom Duties and Clearance</t>
  </si>
  <si>
    <t>Lot</t>
  </si>
  <si>
    <t>Welding Machine Accessories</t>
  </si>
  <si>
    <t>Q-20263204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</si>
</sst>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J12" sqref="J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124</v>
      </c>
      <c r="B3" s="93"/>
      <c r="C3" s="93"/>
      <c r="D3" s="93"/>
      <c r="E3" s="132">
        <f>+L3</f>
        <v>46146</v>
      </c>
      <c r="F3" s="132"/>
      <c r="G3" s="132"/>
      <c r="H3" s="132"/>
      <c r="I3" s="132"/>
      <c r="J3" s="93"/>
      <c r="K3" s="93"/>
      <c r="L3" s="105">
        <v>46146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30" customHeight="1">
      <c r="A6" s="5">
        <f t="shared" ref="A6:A15" si="0">ROW(A1)</f>
        <v>1</v>
      </c>
      <c r="B6" s="121" t="s">
        <v>125</v>
      </c>
      <c r="C6" s="122"/>
      <c r="D6" s="123" t="s">
        <v>126</v>
      </c>
      <c r="E6" s="124"/>
      <c r="F6" s="125"/>
      <c r="G6" s="112" t="s">
        <v>127</v>
      </c>
      <c r="H6" s="112">
        <v>50</v>
      </c>
      <c r="I6" s="113">
        <v>2064</v>
      </c>
      <c r="J6" s="100">
        <f>H6*I6</f>
        <v>103200</v>
      </c>
      <c r="K6" s="101" t="s">
        <v>98</v>
      </c>
      <c r="L6" s="102" t="s">
        <v>106</v>
      </c>
      <c r="R6" s="98"/>
    </row>
    <row r="7" spans="1:18" ht="27" customHeight="1">
      <c r="A7" s="5">
        <f t="shared" si="0"/>
        <v>2</v>
      </c>
      <c r="B7" s="121" t="s">
        <v>128</v>
      </c>
      <c r="C7" s="122"/>
      <c r="D7" s="123" t="s">
        <v>129</v>
      </c>
      <c r="E7" s="124"/>
      <c r="F7" s="125"/>
      <c r="G7" s="112" t="s">
        <v>127</v>
      </c>
      <c r="H7" s="112">
        <v>150</v>
      </c>
      <c r="I7" s="113">
        <v>708</v>
      </c>
      <c r="J7" s="100">
        <f t="shared" ref="J7:J15" si="1">H7*I7</f>
        <v>106200</v>
      </c>
      <c r="K7" s="101"/>
      <c r="L7" s="102"/>
      <c r="R7" s="98"/>
    </row>
    <row r="8" spans="1:18" ht="27" customHeight="1">
      <c r="A8" s="5">
        <f t="shared" si="0"/>
        <v>3</v>
      </c>
      <c r="B8" s="121" t="s">
        <v>130</v>
      </c>
      <c r="C8" s="122"/>
      <c r="D8" s="123" t="s">
        <v>131</v>
      </c>
      <c r="E8" s="124"/>
      <c r="F8" s="125"/>
      <c r="G8" s="112" t="s">
        <v>127</v>
      </c>
      <c r="H8" s="112">
        <v>50</v>
      </c>
      <c r="I8" s="113">
        <v>299</v>
      </c>
      <c r="J8" s="100">
        <f t="shared" si="1"/>
        <v>14950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130</v>
      </c>
      <c r="C9" s="122"/>
      <c r="D9" s="123" t="s">
        <v>132</v>
      </c>
      <c r="E9" s="124"/>
      <c r="F9" s="125"/>
      <c r="G9" s="112" t="s">
        <v>127</v>
      </c>
      <c r="H9" s="112">
        <v>50</v>
      </c>
      <c r="I9" s="113">
        <v>299</v>
      </c>
      <c r="J9" s="100">
        <f t="shared" si="1"/>
        <v>14950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133</v>
      </c>
      <c r="C10" s="122"/>
      <c r="D10" s="123" t="s">
        <v>134</v>
      </c>
      <c r="E10" s="124"/>
      <c r="F10" s="125"/>
      <c r="G10" s="112" t="s">
        <v>127</v>
      </c>
      <c r="H10" s="112">
        <v>10</v>
      </c>
      <c r="I10" s="113">
        <v>380</v>
      </c>
      <c r="J10" s="100">
        <f t="shared" si="1"/>
        <v>3800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133</v>
      </c>
      <c r="C11" s="122"/>
      <c r="D11" s="123" t="s">
        <v>135</v>
      </c>
      <c r="E11" s="124"/>
      <c r="F11" s="125"/>
      <c r="G11" s="112" t="s">
        <v>127</v>
      </c>
      <c r="H11" s="112">
        <v>10</v>
      </c>
      <c r="I11" s="113">
        <v>371</v>
      </c>
      <c r="J11" s="100">
        <f t="shared" si="1"/>
        <v>3710</v>
      </c>
      <c r="K11" s="101"/>
      <c r="L11" s="102"/>
      <c r="R11" s="98"/>
    </row>
    <row r="12" spans="1:18" ht="23.25" customHeight="1">
      <c r="A12" s="5">
        <f t="shared" si="0"/>
        <v>7</v>
      </c>
      <c r="B12" s="121" t="s">
        <v>136</v>
      </c>
      <c r="C12" s="122"/>
      <c r="D12" s="123"/>
      <c r="E12" s="124"/>
      <c r="F12" s="125"/>
      <c r="G12" s="112" t="s">
        <v>137</v>
      </c>
      <c r="H12" s="112">
        <v>1</v>
      </c>
      <c r="I12" s="113">
        <v>19980</v>
      </c>
      <c r="J12" s="100">
        <f t="shared" si="1"/>
        <v>19980</v>
      </c>
      <c r="K12" s="101"/>
      <c r="L12" s="102"/>
      <c r="R12" s="98"/>
    </row>
    <row r="13" spans="1:18" ht="23.25" customHeight="1">
      <c r="A13" s="5">
        <f t="shared" si="0"/>
        <v>8</v>
      </c>
      <c r="B13" s="121"/>
      <c r="C13" s="122"/>
      <c r="D13" s="123"/>
      <c r="E13" s="124"/>
      <c r="F13" s="125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1"/>
      <c r="C14" s="122"/>
      <c r="D14" s="123"/>
      <c r="E14" s="124"/>
      <c r="F14" s="125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1"/>
      <c r="C15" s="122"/>
      <c r="D15" s="123"/>
      <c r="E15" s="124"/>
      <c r="F15" s="125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266790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48.75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SAC2-DS-MRS-0303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46146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Welding Torch</v>
      </c>
      <c r="C6" s="154"/>
      <c r="D6" s="155" t="str">
        <f>MRS!D6</f>
        <v>25x50</v>
      </c>
      <c r="E6" s="156"/>
      <c r="F6" s="157"/>
      <c r="G6" s="95" t="str">
        <f>MRS!G6</f>
        <v>EA</v>
      </c>
      <c r="H6" s="95">
        <f>MRS!H6</f>
        <v>50</v>
      </c>
      <c r="I6" s="96">
        <f>MRS!I6</f>
        <v>2064</v>
      </c>
      <c r="J6" s="96">
        <f>MRS!J6</f>
        <v>103200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Remote Control</v>
      </c>
      <c r="C7" s="154"/>
      <c r="D7" s="155" t="str">
        <f>MRS!D7</f>
        <v>50M</v>
      </c>
      <c r="E7" s="156"/>
      <c r="F7" s="157"/>
      <c r="G7" s="95" t="str">
        <f>MRS!G7</f>
        <v>EA</v>
      </c>
      <c r="H7" s="95">
        <f>MRS!H7</f>
        <v>150</v>
      </c>
      <c r="I7" s="96">
        <f>MRS!I7</f>
        <v>708</v>
      </c>
      <c r="J7" s="96">
        <f>MRS!J7</f>
        <v>106200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Connector</v>
      </c>
      <c r="C8" s="154"/>
      <c r="D8" s="155" t="str">
        <f>MRS!D8</f>
        <v>25K-2P</v>
      </c>
      <c r="E8" s="156"/>
      <c r="F8" s="157"/>
      <c r="G8" s="95" t="str">
        <f>MRS!G8</f>
        <v>EA</v>
      </c>
      <c r="H8" s="95">
        <f>MRS!H8</f>
        <v>50</v>
      </c>
      <c r="I8" s="96">
        <f>MRS!I8</f>
        <v>299</v>
      </c>
      <c r="J8" s="96">
        <f>MRS!J8</f>
        <v>14950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Connector</v>
      </c>
      <c r="C9" s="154"/>
      <c r="D9" s="155" t="str">
        <f>MRS!D9</f>
        <v>25K-4P</v>
      </c>
      <c r="E9" s="156"/>
      <c r="F9" s="157"/>
      <c r="G9" s="95" t="str">
        <f>MRS!G9</f>
        <v>EA</v>
      </c>
      <c r="H9" s="95">
        <f>MRS!H9</f>
        <v>50</v>
      </c>
      <c r="I9" s="96">
        <f>MRS!I9</f>
        <v>299</v>
      </c>
      <c r="J9" s="96">
        <f>MRS!J9</f>
        <v>14950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No Fuse Breaker</v>
      </c>
      <c r="C10" s="154"/>
      <c r="D10" s="155" t="str">
        <f>MRS!D10</f>
        <v>80A</v>
      </c>
      <c r="E10" s="156"/>
      <c r="F10" s="157"/>
      <c r="G10" s="95" t="str">
        <f>MRS!G10</f>
        <v>EA</v>
      </c>
      <c r="H10" s="95">
        <f>MRS!H10</f>
        <v>10</v>
      </c>
      <c r="I10" s="96">
        <f>MRS!I10</f>
        <v>380</v>
      </c>
      <c r="J10" s="96">
        <f>MRS!J10</f>
        <v>3800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No Fuse Breaker</v>
      </c>
      <c r="C11" s="154"/>
      <c r="D11" s="155" t="str">
        <f>MRS!D11</f>
        <v>50A</v>
      </c>
      <c r="E11" s="156"/>
      <c r="F11" s="157"/>
      <c r="G11" s="95" t="str">
        <f>MRS!G11</f>
        <v>EA</v>
      </c>
      <c r="H11" s="95">
        <f>MRS!H11</f>
        <v>10</v>
      </c>
      <c r="I11" s="96">
        <f>MRS!I11</f>
        <v>371</v>
      </c>
      <c r="J11" s="96">
        <f>MRS!J11</f>
        <v>3710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 t="str">
        <f>MRS!B12</f>
        <v>Custom Duties and Clearance</v>
      </c>
      <c r="C12" s="154"/>
      <c r="D12" s="155">
        <f>MRS!D12</f>
        <v>0</v>
      </c>
      <c r="E12" s="156"/>
      <c r="F12" s="157"/>
      <c r="G12" s="95" t="str">
        <f>MRS!G12</f>
        <v>Lot</v>
      </c>
      <c r="H12" s="95">
        <f>MRS!H12</f>
        <v>1</v>
      </c>
      <c r="I12" s="96">
        <f>MRS!I12</f>
        <v>19980</v>
      </c>
      <c r="J12" s="96">
        <f>MRS!J12</f>
        <v>19980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1">
        <f>MRS!L3</f>
        <v>46146</v>
      </c>
      <c r="L10" s="162"/>
      <c r="M10" s="16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3" t="str">
        <f>SUBSTITUTE(SUBSTITUTE(+MRS!A3,"  MRS No : ",""),"-MRS","-PO")</f>
        <v>SAC2-DS-PO-0303</v>
      </c>
      <c r="L11" s="163"/>
      <c r="M11" s="16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139</v>
      </c>
    </row>
    <row r="15" spans="2:13" s="38" customFormat="1">
      <c r="B15" s="69"/>
      <c r="C15" s="72" t="s">
        <v>104</v>
      </c>
      <c r="J15" s="38" t="s">
        <v>37</v>
      </c>
      <c r="K15" s="75">
        <v>46140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138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266790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40018.5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306808.5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7" t="s">
        <v>116</v>
      </c>
      <c r="F54" s="26" t="s">
        <v>111</v>
      </c>
    </row>
    <row r="55" spans="2:16" ht="12" customHeight="1">
      <c r="B55" s="81" t="s">
        <v>62</v>
      </c>
      <c r="C55" s="117" t="s">
        <v>117</v>
      </c>
      <c r="F55" s="118" t="s">
        <v>112</v>
      </c>
    </row>
    <row r="56" spans="2:16" ht="12" customHeight="1">
      <c r="B56" s="81" t="s">
        <v>62</v>
      </c>
      <c r="C56" s="117" t="s">
        <v>118</v>
      </c>
      <c r="F56" s="26" t="s">
        <v>123</v>
      </c>
    </row>
    <row r="57" spans="2:16" ht="12" customHeight="1">
      <c r="B57" s="81" t="s">
        <v>62</v>
      </c>
      <c r="C57" s="117" t="s">
        <v>119</v>
      </c>
      <c r="F57" s="26" t="s">
        <v>113</v>
      </c>
    </row>
    <row r="58" spans="2:16" ht="12" customHeight="1">
      <c r="B58" s="81" t="s">
        <v>62</v>
      </c>
      <c r="C58" s="117" t="s">
        <v>120</v>
      </c>
      <c r="F58" s="26" t="s">
        <v>114</v>
      </c>
    </row>
    <row r="59" spans="2:16" ht="12" customHeight="1">
      <c r="B59" s="81" t="s">
        <v>62</v>
      </c>
      <c r="C59" s="117" t="s">
        <v>121</v>
      </c>
      <c r="F59" s="26" t="s">
        <v>115</v>
      </c>
    </row>
    <row r="60" spans="2:16" ht="12" customHeight="1">
      <c r="B60" s="81"/>
      <c r="C60" s="117" t="s">
        <v>122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8" t="str">
        <f>C9</f>
        <v>JSAJ(Jassim Saif Amer Aljaberi Trading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SAC2-DS-PO-0303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46146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JSAJ(Jassim Saif Amer Aljaberi Trading Est.)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69" t="str">
        <f>MRS!B6&amp;" "&amp;MRS!D6</f>
        <v>Welding Torch 25x50</v>
      </c>
      <c r="C6" s="170"/>
      <c r="D6" s="83" t="str">
        <f>MRS!G6</f>
        <v>EA</v>
      </c>
      <c r="E6" s="84">
        <f>MRS!H6</f>
        <v>50</v>
      </c>
      <c r="F6" s="85">
        <f>+'MRS LIST'!I6</f>
        <v>2064</v>
      </c>
      <c r="G6" s="86">
        <f>+'MRS LIST'!J6</f>
        <v>103200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Remote Control 50M</v>
      </c>
      <c r="C7" s="170"/>
      <c r="D7" s="83" t="str">
        <f>MRS!G7</f>
        <v>EA</v>
      </c>
      <c r="E7" s="84">
        <f>MRS!H7</f>
        <v>150</v>
      </c>
      <c r="F7" s="85">
        <f>+'MRS LIST'!I7</f>
        <v>708</v>
      </c>
      <c r="G7" s="86">
        <f>+'MRS LIST'!J7</f>
        <v>106200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 t="str">
        <f>MRS!B8&amp;" "&amp;MRS!D8</f>
        <v>Connector 25K-2P</v>
      </c>
      <c r="C8" s="170"/>
      <c r="D8" s="83" t="str">
        <f>MRS!G8</f>
        <v>EA</v>
      </c>
      <c r="E8" s="84">
        <f>MRS!H8</f>
        <v>50</v>
      </c>
      <c r="F8" s="85">
        <f>+'MRS LIST'!I8</f>
        <v>299</v>
      </c>
      <c r="G8" s="86">
        <f>+'MRS LIST'!J8</f>
        <v>14950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 t="str">
        <f>MRS!B9&amp;" "&amp;MRS!D9</f>
        <v>Connector 25K-4P</v>
      </c>
      <c r="C9" s="170"/>
      <c r="D9" s="83" t="str">
        <f>MRS!G9</f>
        <v>EA</v>
      </c>
      <c r="E9" s="84">
        <f>MRS!H9</f>
        <v>50</v>
      </c>
      <c r="F9" s="85">
        <f>+'MRS LIST'!I9</f>
        <v>299</v>
      </c>
      <c r="G9" s="86">
        <f>+'MRS LIST'!J9</f>
        <v>14950</v>
      </c>
      <c r="H9" s="91"/>
    </row>
    <row r="10" spans="1:13" s="52" customFormat="1" ht="32.1" customHeight="1">
      <c r="A10" s="90">
        <f t="shared" si="0"/>
        <v>5</v>
      </c>
      <c r="B10" s="169" t="str">
        <f>MRS!B10&amp;" "&amp;MRS!D10</f>
        <v>No Fuse Breaker 80A</v>
      </c>
      <c r="C10" s="170"/>
      <c r="D10" s="83" t="str">
        <f>MRS!G10</f>
        <v>EA</v>
      </c>
      <c r="E10" s="84">
        <f>MRS!H10</f>
        <v>10</v>
      </c>
      <c r="F10" s="85">
        <f>+'MRS LIST'!I10</f>
        <v>380</v>
      </c>
      <c r="G10" s="86">
        <f>+'MRS LIST'!J10</f>
        <v>3800</v>
      </c>
      <c r="H10" s="91"/>
    </row>
    <row r="11" spans="1:13" s="52" customFormat="1" ht="32.1" customHeight="1">
      <c r="A11" s="90">
        <f t="shared" si="0"/>
        <v>6</v>
      </c>
      <c r="B11" s="169" t="str">
        <f>MRS!B11&amp;" "&amp;MRS!D11</f>
        <v>No Fuse Breaker 50A</v>
      </c>
      <c r="C11" s="170"/>
      <c r="D11" s="83" t="str">
        <f>MRS!G11</f>
        <v>EA</v>
      </c>
      <c r="E11" s="84">
        <f>MRS!H11</f>
        <v>10</v>
      </c>
      <c r="F11" s="85">
        <f>+'MRS LIST'!I11</f>
        <v>371</v>
      </c>
      <c r="G11" s="86">
        <f>+'MRS LIST'!J11</f>
        <v>3710</v>
      </c>
      <c r="H11" s="91"/>
    </row>
    <row r="12" spans="1:13" s="52" customFormat="1" ht="32.1" customHeight="1">
      <c r="A12" s="90">
        <f t="shared" si="0"/>
        <v>7</v>
      </c>
      <c r="B12" s="169" t="str">
        <f>MRS!B12&amp;" "&amp;MRS!D12</f>
        <v xml:space="preserve">Custom Duties and Clearance </v>
      </c>
      <c r="C12" s="170"/>
      <c r="D12" s="83" t="str">
        <f>MRS!G12</f>
        <v>Lot</v>
      </c>
      <c r="E12" s="84">
        <f>MRS!H12</f>
        <v>1</v>
      </c>
      <c r="F12" s="85">
        <f>+'MRS LIST'!I12</f>
        <v>19980</v>
      </c>
      <c r="G12" s="86">
        <f>+'MRS LIST'!J12</f>
        <v>19980</v>
      </c>
      <c r="H12" s="91"/>
    </row>
    <row r="13" spans="1:13" s="52" customFormat="1" ht="32.1" customHeight="1">
      <c r="A13" s="90">
        <f t="shared" si="0"/>
        <v>8</v>
      </c>
      <c r="B13" s="169"/>
      <c r="C13" s="170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69"/>
      <c r="C14" s="170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266790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40018.5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306808.5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Q-20263204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2026-05-04T04:49:00Z</cp:lastPrinted>
  <dcterms:created xsi:type="dcterms:W3CDTF">2024-10-20T11:50:19Z</dcterms:created>
  <dcterms:modified xsi:type="dcterms:W3CDTF">2026-05-04T04:49:02Z</dcterms:modified>
</cp:coreProperties>
</file>