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28C0665F-A7FC-4C5C-BE2A-D6CCD8546A58}" xr6:coauthVersionLast="47" xr6:coauthVersionMax="47" xr10:uidLastSave="{00000000-0000-0000-0000-000000000000}"/>
  <bookViews>
    <workbookView xWindow="-120" yWindow="-120" windowWidth="29040" windowHeight="1572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LIST'!$A$1:$K$29</definedName>
    <definedName name="_xlnm.Print_Area" localSheetId="2">'PO 1st page'!$A$1:$N$63</definedName>
    <definedName name="_xlnm.Print_Area" localSheetId="3">'PO 2nd page'!$A$1:$H$28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4" l="1"/>
  <c r="B13" i="4"/>
  <c r="B12" i="4"/>
  <c r="B11" i="4"/>
  <c r="B10" i="4"/>
  <c r="B9" i="4"/>
  <c r="B8" i="4"/>
  <c r="B7" i="4"/>
  <c r="B6" i="4"/>
  <c r="I15" i="2"/>
  <c r="H15" i="2"/>
  <c r="G15" i="2"/>
  <c r="I14" i="2"/>
  <c r="H14" i="2"/>
  <c r="G14" i="2"/>
  <c r="D14" i="4" s="1"/>
  <c r="I13" i="2"/>
  <c r="F13" i="4" s="1"/>
  <c r="H13" i="2"/>
  <c r="G13" i="2"/>
  <c r="I12" i="2"/>
  <c r="F12" i="4" s="1"/>
  <c r="H12" i="2"/>
  <c r="E12" i="4" s="1"/>
  <c r="G12" i="2"/>
  <c r="D12" i="4" s="1"/>
  <c r="I11" i="2"/>
  <c r="F11" i="4" s="1"/>
  <c r="H11" i="2"/>
  <c r="E11" i="4" s="1"/>
  <c r="G11" i="2"/>
  <c r="D11" i="4" s="1"/>
  <c r="I10" i="2"/>
  <c r="F10" i="4" s="1"/>
  <c r="H10" i="2"/>
  <c r="E10" i="4" s="1"/>
  <c r="G10" i="2"/>
  <c r="D10" i="4" s="1"/>
  <c r="I9" i="2"/>
  <c r="F9" i="4" s="1"/>
  <c r="H9" i="2"/>
  <c r="E9" i="4" s="1"/>
  <c r="G9" i="2"/>
  <c r="D9" i="4" s="1"/>
  <c r="I8" i="2"/>
  <c r="H8" i="2"/>
  <c r="G8" i="2"/>
  <c r="I7" i="2"/>
  <c r="H7" i="2"/>
  <c r="G7" i="2"/>
  <c r="J6" i="2"/>
  <c r="H6" i="2"/>
  <c r="G6" i="2"/>
  <c r="D6" i="2"/>
  <c r="D15" i="2"/>
  <c r="D14" i="2"/>
  <c r="D13" i="2"/>
  <c r="D12" i="2"/>
  <c r="D11" i="2"/>
  <c r="D10" i="2"/>
  <c r="D9" i="2"/>
  <c r="D8" i="2"/>
  <c r="D7" i="2"/>
  <c r="B15" i="2"/>
  <c r="B14" i="2"/>
  <c r="B13" i="2"/>
  <c r="B12" i="2"/>
  <c r="B11" i="2"/>
  <c r="B10" i="2"/>
  <c r="B9" i="2"/>
  <c r="B8" i="2"/>
  <c r="B7" i="2"/>
  <c r="B6" i="2"/>
  <c r="F14" i="4"/>
  <c r="E14" i="4"/>
  <c r="E13" i="4"/>
  <c r="D13" i="4"/>
  <c r="E6" i="4"/>
  <c r="D6" i="4"/>
  <c r="A15" i="2"/>
  <c r="A12" i="4"/>
  <c r="A13" i="4"/>
  <c r="A14" i="4"/>
  <c r="A8" i="1"/>
  <c r="A9" i="1"/>
  <c r="A9" i="2" s="1"/>
  <c r="A10" i="1"/>
  <c r="A10" i="2" s="1"/>
  <c r="A11" i="1"/>
  <c r="A11" i="2" s="1"/>
  <c r="A12" i="1"/>
  <c r="A12" i="2" s="1"/>
  <c r="A13" i="1"/>
  <c r="A13" i="2" s="1"/>
  <c r="A14" i="1"/>
  <c r="A14" i="2" s="1"/>
  <c r="A15" i="1"/>
  <c r="J15" i="1"/>
  <c r="J15" i="2" s="1"/>
  <c r="J14" i="1"/>
  <c r="J14" i="2" s="1"/>
  <c r="G14" i="4" s="1"/>
  <c r="J13" i="1"/>
  <c r="J13" i="2" s="1"/>
  <c r="G13" i="4" s="1"/>
  <c r="J12" i="1"/>
  <c r="J12" i="2" s="1"/>
  <c r="G12" i="4" s="1"/>
  <c r="J11" i="1"/>
  <c r="J11" i="2" s="1"/>
  <c r="G11" i="4" s="1"/>
  <c r="J10" i="1"/>
  <c r="J10" i="2" s="1"/>
  <c r="G10" i="4" s="1"/>
  <c r="J9" i="1"/>
  <c r="J9" i="2" s="1"/>
  <c r="G9" i="4" s="1"/>
  <c r="J8" i="1"/>
  <c r="J8" i="2" s="1"/>
  <c r="J7" i="1"/>
  <c r="J7" i="2" s="1"/>
  <c r="J6" i="1"/>
  <c r="J16" i="1" l="1"/>
  <c r="F8" i="4"/>
  <c r="E8" i="4"/>
  <c r="D8" i="4"/>
  <c r="G8" i="4"/>
  <c r="K59" i="3"/>
  <c r="E3" i="1"/>
  <c r="E7" i="4"/>
  <c r="D7" i="4"/>
  <c r="K10" i="3" l="1"/>
  <c r="A25" i="4" l="1"/>
  <c r="G7" i="4"/>
  <c r="F7" i="4"/>
  <c r="I6" i="2"/>
  <c r="F6" i="4" s="1"/>
  <c r="A11" i="4"/>
  <c r="A10" i="4"/>
  <c r="A9" i="4"/>
  <c r="A8" i="4"/>
  <c r="A7" i="4"/>
  <c r="A6" i="4"/>
  <c r="F4" i="4"/>
  <c r="B3" i="4"/>
  <c r="J62" i="3"/>
  <c r="K11" i="3"/>
  <c r="B2" i="4" s="1"/>
  <c r="K3" i="2"/>
  <c r="A3" i="2"/>
  <c r="J2" i="2"/>
  <c r="D2" i="2"/>
  <c r="A2" i="2"/>
  <c r="J1" i="2"/>
  <c r="A8" i="2"/>
  <c r="A7" i="1"/>
  <c r="A7" i="2" s="1"/>
  <c r="A6" i="1"/>
  <c r="A6" i="2" s="1"/>
  <c r="G6" i="4" l="1"/>
  <c r="G22" i="4" s="1"/>
  <c r="F29" i="3" s="1"/>
  <c r="G23" i="4" l="1"/>
  <c r="F30" i="3" s="1"/>
  <c r="G24" i="4" l="1"/>
  <c r="F31" i="3" s="1"/>
</calcChain>
</file>

<file path=xl/sharedStrings.xml><?xml version="1.0" encoding="utf-8"?>
<sst xmlns="http://schemas.openxmlformats.org/spreadsheetml/2006/main" count="157" uniqueCount="128">
  <si>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</si>
  <si>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</si>
  <si>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</si>
  <si>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</si>
  <si>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</si>
  <si>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</si>
  <si>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</si>
  <si>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</si>
  <si>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</si>
  <si>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</si>
  <si>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</si>
  <si>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</si>
  <si>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</si>
  <si>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</si>
  <si>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</si>
  <si>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</si>
  <si>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</si>
  <si>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</si>
  <si>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</si>
  <si>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</si>
  <si>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</si>
  <si>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</si>
  <si>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</si>
  <si>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</si>
  <si>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</si>
  <si>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</si>
  <si>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</si>
  <si>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</si>
  <si>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</si>
  <si>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</si>
  <si>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</si>
  <si>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</si>
  <si>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</si>
  <si>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</si>
  <si>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</si>
  <si>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</si>
  <si>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</si>
  <si>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</si>
  <si>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</si>
  <si>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</si>
  <si>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</si>
  <si>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</si>
  <si>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</si>
  <si>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</si>
  <si>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</si>
  <si>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</si>
  <si>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</si>
  <si>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</si>
  <si>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</si>
  <si>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</si>
  <si>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</si>
  <si>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</si>
  <si>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</si>
  <si>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</si>
  <si>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</si>
  <si>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</si>
  <si>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</si>
  <si>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</si>
  <si>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</si>
  <si>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</si>
  <si>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</si>
  <si>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</si>
  <si>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</si>
  <si>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</si>
  <si>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</si>
  <si>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</si>
  <si>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</si>
  <si>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</si>
  <si>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</si>
  <si>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</si>
  <si>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</si>
  <si>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</si>
  <si>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</si>
  <si>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</si>
  <si>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</si>
  <si>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</si>
  <si>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</si>
  <si>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</si>
  <si>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</si>
  <si>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</si>
  <si>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</si>
  <si>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</si>
  <si>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</si>
  <si>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</si>
  <si>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</si>
  <si>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</si>
  <si>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</si>
  <si>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</si>
  <si>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</si>
  <si>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</si>
  <si>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</si>
  <si>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</si>
  <si>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</si>
  <si>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</si>
  <si>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</si>
  <si>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</si>
  <si>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</si>
  <si>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</si>
  <si>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EA</t>
  </si>
  <si>
    <t>JSAJ</t>
  </si>
  <si>
    <t>JSAJ(Jassim Saif Amer Aljaberi Trading Est.)</t>
  </si>
  <si>
    <t>2051247436</t>
  </si>
  <si>
    <t>311625046900003</t>
  </si>
  <si>
    <t>Shashank Kamra</t>
  </si>
  <si>
    <t>Mobile No. +966 539222074</t>
  </si>
  <si>
    <t>Mobile: +966 539222074</t>
  </si>
  <si>
    <t>Sales Manager</t>
  </si>
  <si>
    <t>Site Materials</t>
  </si>
  <si>
    <t>One time</t>
  </si>
  <si>
    <t>500 DT</t>
  </si>
  <si>
    <t>350 DT</t>
  </si>
  <si>
    <t>Inverter Tig Welder</t>
  </si>
  <si>
    <t>25SQ X 100M</t>
  </si>
  <si>
    <t>Remote Cable</t>
  </si>
  <si>
    <t>4PX100M</t>
  </si>
  <si>
    <t>ARC Cabel</t>
  </si>
  <si>
    <t>TIG Torch Cable</t>
  </si>
  <si>
    <t>Connector / SB0003B</t>
  </si>
  <si>
    <t>Connector / 25K-2P</t>
  </si>
  <si>
    <t>Packing Cost</t>
  </si>
  <si>
    <t>2 Wooden Box</t>
  </si>
  <si>
    <t>Lot</t>
  </si>
  <si>
    <t>Branch of Hyundai Engineering and Const. Co., Ltd. (HDEC)</t>
  </si>
  <si>
    <t>Building No. 6634, Al Khobar 34423, KSA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</si>
  <si>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-MRS-0159</t>
    </r>
  </si>
  <si>
    <t>Q-20253179</t>
  </si>
  <si>
    <t>Cost from Ex works to CIF Dammam Port</t>
  </si>
  <si>
    <t>BRANCH OF HYUNDAI ENG. &amp; CONST. CO.,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</si>
</sst>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87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0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2" fillId="0" borderId="3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2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167" fontId="2" fillId="0" borderId="16" xfId="0" applyNumberFormat="1" applyFont="1" applyBorder="1" applyAlignment="1">
      <alignment horizontal="right" vertical="center" wrapText="1"/>
    </xf>
    <xf numFmtId="167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8" xfId="1" applyFill="1" applyBorder="1" applyAlignment="1">
      <alignment horizontal="center" vertical="center" wrapText="1"/>
    </xf>
    <xf numFmtId="168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0" fontId="18" fillId="3" borderId="0" xfId="5" applyNumberFormat="1" applyFont="1" applyFill="1"/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40" fontId="13" fillId="0" borderId="22" xfId="0" applyNumberFormat="1" applyFont="1" applyBorder="1">
      <alignment vertical="center"/>
    </xf>
    <xf numFmtId="172" fontId="5" fillId="2" borderId="0" xfId="1" applyNumberFormat="1" applyFont="1" applyFill="1" applyAlignment="1">
      <alignment horizontal="center" vertical="center"/>
    </xf>
    <xf numFmtId="0" fontId="41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27" fillId="3" borderId="0" xfId="5" applyFont="1" applyFill="1" applyAlignment="1">
      <alignment horizontal="center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3" fillId="3" borderId="0" xfId="5" applyFont="1" applyFill="1" applyAlignment="1">
      <alignment horizontal="left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822157</xdr:colOff>
          <xdr:row>17</xdr:row>
          <xdr:rowOff>20054</xdr:rowOff>
        </xdr:from>
        <xdr:to>
          <xdr:col>12</xdr:col>
          <xdr:colOff>499</xdr:colOff>
          <xdr:row>24</xdr:row>
          <xdr:rowOff>20055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5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95999" y="5003133"/>
              <a:ext cx="401102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view="pageBreakPreview" zoomScale="95" zoomScaleNormal="95" zoomScaleSheetLayoutView="95" workbookViewId="0">
      <selection activeCell="P8" sqref="P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09" t="s">
        <v>96</v>
      </c>
      <c r="B1" s="101"/>
      <c r="C1" s="101"/>
      <c r="D1" s="101"/>
      <c r="E1" s="101"/>
      <c r="F1" s="101"/>
      <c r="G1" s="1"/>
      <c r="J1" s="153" t="s">
        <v>87</v>
      </c>
      <c r="K1" s="154"/>
      <c r="L1" s="155"/>
    </row>
    <row r="2" spans="1:18" ht="20.100000000000001" customHeight="1">
      <c r="A2" s="3" t="s">
        <v>1</v>
      </c>
      <c r="B2" s="95"/>
      <c r="C2" s="95"/>
      <c r="D2" s="3" t="s">
        <v>95</v>
      </c>
      <c r="E2" s="95"/>
      <c r="F2" s="95"/>
      <c r="G2" s="95"/>
      <c r="H2" s="95"/>
      <c r="I2" s="4"/>
      <c r="J2" s="156" t="s">
        <v>94</v>
      </c>
      <c r="K2" s="157"/>
      <c r="L2" s="158"/>
    </row>
    <row r="3" spans="1:18" ht="20.100000000000001" customHeight="1">
      <c r="A3" s="3" t="s">
        <v>124</v>
      </c>
      <c r="B3" s="95"/>
      <c r="C3" s="95"/>
      <c r="D3" s="95"/>
      <c r="E3" s="159">
        <f>+L3</f>
        <v>45973</v>
      </c>
      <c r="F3" s="159"/>
      <c r="G3" s="159"/>
      <c r="H3" s="159"/>
      <c r="I3" s="159"/>
      <c r="J3" s="95"/>
      <c r="K3" s="95"/>
      <c r="L3" s="107">
        <v>45973</v>
      </c>
      <c r="M3" s="4"/>
    </row>
    <row r="4" spans="1:18" ht="15.95" customHeight="1">
      <c r="A4" s="160" t="s">
        <v>2</v>
      </c>
      <c r="B4" s="161" t="s">
        <v>3</v>
      </c>
      <c r="C4" s="161"/>
      <c r="D4" s="162" t="s">
        <v>4</v>
      </c>
      <c r="E4" s="163"/>
      <c r="F4" s="164"/>
      <c r="G4" s="168" t="s">
        <v>5</v>
      </c>
      <c r="H4" s="170" t="s">
        <v>6</v>
      </c>
      <c r="I4" s="170" t="s">
        <v>91</v>
      </c>
      <c r="J4" s="160" t="s">
        <v>92</v>
      </c>
      <c r="K4" s="170" t="s">
        <v>0</v>
      </c>
      <c r="L4" s="161" t="s">
        <v>7</v>
      </c>
    </row>
    <row r="5" spans="1:18" ht="15.95" customHeight="1">
      <c r="A5" s="160"/>
      <c r="B5" s="161"/>
      <c r="C5" s="161"/>
      <c r="D5" s="165"/>
      <c r="E5" s="166"/>
      <c r="F5" s="167"/>
      <c r="G5" s="169"/>
      <c r="H5" s="171"/>
      <c r="I5" s="171"/>
      <c r="J5" s="160"/>
      <c r="K5" s="171"/>
      <c r="L5" s="161"/>
    </row>
    <row r="6" spans="1:18" ht="23.25" customHeight="1">
      <c r="A6" s="5">
        <f t="shared" ref="A6:A15" si="0">ROW(A1)</f>
        <v>1</v>
      </c>
      <c r="B6" s="148" t="s">
        <v>111</v>
      </c>
      <c r="C6" s="149"/>
      <c r="D6" s="150" t="s">
        <v>109</v>
      </c>
      <c r="E6" s="151"/>
      <c r="F6" s="152"/>
      <c r="G6" s="114" t="s">
        <v>98</v>
      </c>
      <c r="H6" s="114">
        <v>10</v>
      </c>
      <c r="I6" s="115">
        <v>3977</v>
      </c>
      <c r="J6" s="102">
        <f>H6*I6</f>
        <v>39770</v>
      </c>
      <c r="K6" s="103" t="s">
        <v>99</v>
      </c>
      <c r="L6" s="104" t="s">
        <v>108</v>
      </c>
      <c r="R6" s="100"/>
    </row>
    <row r="7" spans="1:18" ht="23.25" customHeight="1">
      <c r="A7" s="5">
        <f t="shared" si="0"/>
        <v>2</v>
      </c>
      <c r="B7" s="148" t="s">
        <v>111</v>
      </c>
      <c r="C7" s="149"/>
      <c r="D7" s="150" t="s">
        <v>110</v>
      </c>
      <c r="E7" s="151"/>
      <c r="F7" s="152"/>
      <c r="G7" s="114" t="s">
        <v>98</v>
      </c>
      <c r="H7" s="114">
        <v>20</v>
      </c>
      <c r="I7" s="115">
        <v>3278</v>
      </c>
      <c r="J7" s="102">
        <f t="shared" ref="J7:J15" si="1">H7*I7</f>
        <v>65560</v>
      </c>
      <c r="K7" s="103"/>
      <c r="L7" s="104"/>
      <c r="R7" s="100"/>
    </row>
    <row r="8" spans="1:18" ht="23.25" customHeight="1">
      <c r="A8" s="5">
        <f t="shared" si="0"/>
        <v>3</v>
      </c>
      <c r="B8" s="148" t="s">
        <v>116</v>
      </c>
      <c r="C8" s="149"/>
      <c r="D8" s="150" t="s">
        <v>112</v>
      </c>
      <c r="E8" s="151"/>
      <c r="F8" s="152"/>
      <c r="G8" s="114" t="s">
        <v>98</v>
      </c>
      <c r="H8" s="114">
        <v>30</v>
      </c>
      <c r="I8" s="115">
        <v>2316</v>
      </c>
      <c r="J8" s="102">
        <f t="shared" si="1"/>
        <v>69480</v>
      </c>
      <c r="K8" s="103"/>
      <c r="L8" s="104"/>
      <c r="R8" s="100"/>
    </row>
    <row r="9" spans="1:18" ht="23.25" customHeight="1">
      <c r="A9" s="5">
        <f t="shared" si="0"/>
        <v>4</v>
      </c>
      <c r="B9" s="148" t="s">
        <v>113</v>
      </c>
      <c r="C9" s="149"/>
      <c r="D9" s="150" t="s">
        <v>114</v>
      </c>
      <c r="E9" s="151"/>
      <c r="F9" s="152"/>
      <c r="G9" s="114" t="s">
        <v>98</v>
      </c>
      <c r="H9" s="114">
        <v>30</v>
      </c>
      <c r="I9" s="115">
        <v>406</v>
      </c>
      <c r="J9" s="102">
        <f t="shared" si="1"/>
        <v>12180</v>
      </c>
      <c r="K9" s="103"/>
      <c r="L9" s="104"/>
      <c r="R9" s="100"/>
    </row>
    <row r="10" spans="1:18" ht="23.25" customHeight="1">
      <c r="A10" s="5">
        <f t="shared" si="0"/>
        <v>5</v>
      </c>
      <c r="B10" s="148" t="s">
        <v>115</v>
      </c>
      <c r="C10" s="149"/>
      <c r="D10" s="150" t="s">
        <v>112</v>
      </c>
      <c r="E10" s="151"/>
      <c r="F10" s="152"/>
      <c r="G10" s="114" t="s">
        <v>98</v>
      </c>
      <c r="H10" s="114">
        <v>30</v>
      </c>
      <c r="I10" s="115">
        <v>1818</v>
      </c>
      <c r="J10" s="102">
        <f t="shared" si="1"/>
        <v>54540</v>
      </c>
      <c r="K10" s="103"/>
      <c r="L10" s="104"/>
      <c r="R10" s="100"/>
    </row>
    <row r="11" spans="1:18" ht="23.25" customHeight="1">
      <c r="A11" s="5">
        <f t="shared" si="0"/>
        <v>6</v>
      </c>
      <c r="B11" s="148" t="s">
        <v>117</v>
      </c>
      <c r="C11" s="149"/>
      <c r="D11" s="150"/>
      <c r="E11" s="151"/>
      <c r="F11" s="152"/>
      <c r="G11" s="114" t="s">
        <v>98</v>
      </c>
      <c r="H11" s="114">
        <v>200</v>
      </c>
      <c r="I11" s="115">
        <v>6.35</v>
      </c>
      <c r="J11" s="102">
        <f t="shared" si="1"/>
        <v>1270</v>
      </c>
      <c r="K11" s="103"/>
      <c r="L11" s="104"/>
      <c r="R11" s="100"/>
    </row>
    <row r="12" spans="1:18" ht="23.25" customHeight="1">
      <c r="A12" s="5">
        <f t="shared" si="0"/>
        <v>7</v>
      </c>
      <c r="B12" s="148" t="s">
        <v>118</v>
      </c>
      <c r="C12" s="149"/>
      <c r="D12" s="150"/>
      <c r="E12" s="151"/>
      <c r="F12" s="152"/>
      <c r="G12" s="114" t="s">
        <v>98</v>
      </c>
      <c r="H12" s="114">
        <v>100</v>
      </c>
      <c r="I12" s="115">
        <v>19.7</v>
      </c>
      <c r="J12" s="102">
        <f t="shared" si="1"/>
        <v>1970</v>
      </c>
      <c r="K12" s="103"/>
      <c r="L12" s="104"/>
      <c r="R12" s="100"/>
    </row>
    <row r="13" spans="1:18" ht="23.25" customHeight="1">
      <c r="A13" s="5">
        <f t="shared" si="0"/>
        <v>8</v>
      </c>
      <c r="B13" s="148" t="s">
        <v>119</v>
      </c>
      <c r="C13" s="149"/>
      <c r="D13" s="150" t="s">
        <v>120</v>
      </c>
      <c r="E13" s="151"/>
      <c r="F13" s="152"/>
      <c r="G13" s="114" t="s">
        <v>121</v>
      </c>
      <c r="H13" s="114">
        <v>1</v>
      </c>
      <c r="I13" s="115">
        <v>7430</v>
      </c>
      <c r="J13" s="102">
        <f t="shared" si="1"/>
        <v>7430</v>
      </c>
      <c r="K13" s="103"/>
      <c r="L13" s="104"/>
      <c r="R13" s="100"/>
    </row>
    <row r="14" spans="1:18" ht="23.25" customHeight="1">
      <c r="A14" s="5">
        <f t="shared" si="0"/>
        <v>9</v>
      </c>
      <c r="B14" s="148" t="s">
        <v>126</v>
      </c>
      <c r="C14" s="149"/>
      <c r="D14" s="150"/>
      <c r="E14" s="151"/>
      <c r="F14" s="152"/>
      <c r="G14" s="114" t="s">
        <v>121</v>
      </c>
      <c r="H14" s="114">
        <v>1</v>
      </c>
      <c r="I14" s="115">
        <v>10500</v>
      </c>
      <c r="J14" s="102">
        <f t="shared" si="1"/>
        <v>10500</v>
      </c>
      <c r="K14" s="103"/>
      <c r="L14" s="104"/>
      <c r="R14" s="100"/>
    </row>
    <row r="15" spans="1:18" ht="23.25" customHeight="1">
      <c r="A15" s="5">
        <f t="shared" si="0"/>
        <v>10</v>
      </c>
      <c r="B15" s="148"/>
      <c r="C15" s="149"/>
      <c r="D15" s="150"/>
      <c r="E15" s="151"/>
      <c r="F15" s="152"/>
      <c r="G15" s="114"/>
      <c r="H15" s="114"/>
      <c r="I15" s="115"/>
      <c r="J15" s="102">
        <f t="shared" si="1"/>
        <v>0</v>
      </c>
      <c r="K15" s="103"/>
      <c r="L15" s="104"/>
      <c r="R15" s="100"/>
    </row>
    <row r="16" spans="1:18" ht="23.25" customHeight="1">
      <c r="A16" s="144" t="s">
        <v>8</v>
      </c>
      <c r="B16" s="145"/>
      <c r="C16" s="105"/>
      <c r="D16" s="111"/>
      <c r="E16" s="111"/>
      <c r="F16" s="111"/>
      <c r="G16" s="112"/>
      <c r="H16" s="112"/>
      <c r="I16" s="113" t="s">
        <v>9</v>
      </c>
      <c r="J16" s="102">
        <f>SUM(J6:J15)</f>
        <v>262700</v>
      </c>
      <c r="K16" s="102"/>
      <c r="L16" s="106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46" t="s">
        <v>11</v>
      </c>
      <c r="S18" s="13" t="s">
        <v>12</v>
      </c>
    </row>
    <row r="19" spans="1:19" ht="50.1" customHeight="1">
      <c r="R19" s="147"/>
      <c r="S19" s="15"/>
    </row>
    <row r="20" spans="1:19" ht="17.100000000000001" customHeight="1">
      <c r="O20" s="11"/>
      <c r="P20" s="11"/>
      <c r="R20" s="141"/>
      <c r="S20" s="15" t="s">
        <v>13</v>
      </c>
    </row>
    <row r="21" spans="1:19" ht="15" customHeight="1">
      <c r="O21" s="17" t="s">
        <v>14</v>
      </c>
      <c r="P21" s="140" t="s">
        <v>15</v>
      </c>
    </row>
    <row r="22" spans="1:19" ht="18" customHeight="1">
      <c r="O22" s="18" t="s">
        <v>16</v>
      </c>
      <c r="P22" s="142"/>
      <c r="R22" s="146" t="s">
        <v>17</v>
      </c>
      <c r="S22" s="12" t="s">
        <v>12</v>
      </c>
    </row>
    <row r="23" spans="1:19" ht="50.1" customHeight="1">
      <c r="O23" s="14"/>
      <c r="P23" s="14"/>
      <c r="R23" s="147"/>
      <c r="S23" s="19"/>
    </row>
    <row r="24" spans="1:19" ht="17.100000000000001" customHeight="1">
      <c r="O24" s="16" t="s">
        <v>13</v>
      </c>
      <c r="P24" s="16" t="s">
        <v>13</v>
      </c>
      <c r="R24" s="141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43"/>
      <c r="P27" s="143"/>
    </row>
    <row r="28" spans="1:19" ht="19.899999999999999" customHeight="1">
      <c r="O28" s="143"/>
      <c r="P28" s="143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40" t="s">
        <v>18</v>
      </c>
      <c r="P46" s="140" t="s">
        <v>18</v>
      </c>
      <c r="S46" s="140" t="s">
        <v>12</v>
      </c>
    </row>
    <row r="47" spans="15:19" ht="21" customHeight="1">
      <c r="O47" s="142"/>
      <c r="P47" s="142"/>
      <c r="S47" s="141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40" t="s">
        <v>18</v>
      </c>
      <c r="P50" s="140" t="s">
        <v>18</v>
      </c>
      <c r="S50" s="140" t="s">
        <v>19</v>
      </c>
    </row>
    <row r="51" spans="15:19" ht="21" customHeight="1">
      <c r="O51" s="142"/>
      <c r="P51" s="142"/>
      <c r="S51" s="141"/>
    </row>
    <row r="52" spans="15:19" ht="64.900000000000006" customHeight="1">
      <c r="O52" s="14"/>
      <c r="P52" s="14"/>
      <c r="S52" s="14"/>
    </row>
  </sheetData>
  <mergeCells count="44">
    <mergeCell ref="B12:C12"/>
    <mergeCell ref="D12:F12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A16:B16"/>
    <mergeCell ref="R18:R20"/>
    <mergeCell ref="P21:P22"/>
    <mergeCell ref="R22:R24"/>
    <mergeCell ref="B9:C9"/>
    <mergeCell ref="D9:F9"/>
    <mergeCell ref="B13:C13"/>
    <mergeCell ref="D13:F13"/>
    <mergeCell ref="B14:C14"/>
    <mergeCell ref="D14:F14"/>
    <mergeCell ref="B15:C15"/>
    <mergeCell ref="D15:F15"/>
    <mergeCell ref="B10:C10"/>
    <mergeCell ref="D10:F10"/>
    <mergeCell ref="B11:C11"/>
    <mergeCell ref="D11:F11"/>
    <mergeCell ref="S46:S47"/>
    <mergeCell ref="O50:O51"/>
    <mergeCell ref="P50:P51"/>
    <mergeCell ref="S50:S51"/>
    <mergeCell ref="O27:O28"/>
    <mergeCell ref="P27:P28"/>
    <mergeCell ref="O46:O47"/>
    <mergeCell ref="P46:P47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23"/>
  <sheetViews>
    <sheetView showGridLines="0" zoomScale="95" zoomScaleNormal="95" zoomScaleSheetLayoutView="70" workbookViewId="0">
      <pane ySplit="5" topLeftCell="A6" activePane="bottomLeft" state="frozen"/>
      <selection activeCell="D30" sqref="D30"/>
      <selection pane="bottomLeft" activeCell="D6" sqref="D6:F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8" t="s">
        <v>93</v>
      </c>
      <c r="B1" s="94"/>
      <c r="C1" s="94"/>
      <c r="D1" s="94"/>
      <c r="E1" s="94"/>
      <c r="F1" s="94"/>
      <c r="G1" s="1"/>
      <c r="J1" s="153" t="str">
        <f>+MRS!J1</f>
        <v>DAESHIN PLANT</v>
      </c>
      <c r="K1" s="155"/>
    </row>
    <row r="2" spans="1:18" ht="24.95" customHeight="1">
      <c r="A2" s="3" t="str">
        <f>+MRS!A2</f>
        <v xml:space="preserve">  PJT :  SACE2           </v>
      </c>
      <c r="B2" s="95"/>
      <c r="C2" s="95"/>
      <c r="D2" s="3" t="str">
        <f>+MRS!D2</f>
        <v>Division (In charge Name) : ADMIN MANAGER (Dong Chang Kim)</v>
      </c>
      <c r="E2" s="95"/>
      <c r="F2" s="95"/>
      <c r="G2" s="20"/>
      <c r="H2" s="20"/>
      <c r="I2" s="20"/>
      <c r="J2" s="156" t="str">
        <f>+MRS!J2</f>
        <v>Subcontract name (SAC2-SC-IK-SMP-01)</v>
      </c>
      <c r="K2" s="158"/>
    </row>
    <row r="3" spans="1:18" ht="24.95" customHeight="1">
      <c r="A3" s="3" t="str">
        <f>+MRS!A3</f>
        <v xml:space="preserve">  MRS No : SAC2-DS-MRS-0159</v>
      </c>
      <c r="B3" s="95"/>
      <c r="C3" s="95"/>
      <c r="D3" s="95"/>
      <c r="E3" s="95"/>
      <c r="F3" s="95"/>
      <c r="G3" s="95"/>
      <c r="H3" s="95"/>
      <c r="I3" s="95"/>
      <c r="J3" s="95"/>
      <c r="K3" s="96">
        <f>+MRS!L3</f>
        <v>45973</v>
      </c>
    </row>
    <row r="4" spans="1:18" ht="15.95" customHeight="1">
      <c r="A4" s="177" t="s">
        <v>2</v>
      </c>
      <c r="B4" s="178" t="s">
        <v>20</v>
      </c>
      <c r="C4" s="178"/>
      <c r="D4" s="177" t="s">
        <v>4</v>
      </c>
      <c r="E4" s="177"/>
      <c r="F4" s="177"/>
      <c r="G4" s="178" t="s">
        <v>5</v>
      </c>
      <c r="H4" s="177" t="s">
        <v>88</v>
      </c>
      <c r="I4" s="177" t="s">
        <v>21</v>
      </c>
      <c r="J4" s="177" t="s">
        <v>22</v>
      </c>
      <c r="K4" s="178" t="s">
        <v>7</v>
      </c>
    </row>
    <row r="5" spans="1:18" ht="15.95" customHeight="1">
      <c r="A5" s="177"/>
      <c r="B5" s="178"/>
      <c r="C5" s="178"/>
      <c r="D5" s="177"/>
      <c r="E5" s="177"/>
      <c r="F5" s="177"/>
      <c r="G5" s="178"/>
      <c r="H5" s="177"/>
      <c r="I5" s="177"/>
      <c r="J5" s="177"/>
      <c r="K5" s="178"/>
    </row>
    <row r="6" spans="1:18" ht="105" customHeight="1">
      <c r="A6" s="21">
        <f>+MRS!A6</f>
        <v>1</v>
      </c>
      <c r="B6" s="172" t="str">
        <f>MRS!B6</f>
        <v>Inverter Tig Welder</v>
      </c>
      <c r="C6" s="173"/>
      <c r="D6" s="174" t="str">
        <f>MRS!D6</f>
        <v>500 DT</v>
      </c>
      <c r="E6" s="175"/>
      <c r="F6" s="176"/>
      <c r="G6" s="97" t="str">
        <f>MRS!G6</f>
        <v>EA</v>
      </c>
      <c r="H6" s="97">
        <f>MRS!H6</f>
        <v>10</v>
      </c>
      <c r="I6" s="98">
        <f>MRS!I6</f>
        <v>3977</v>
      </c>
      <c r="J6" s="98">
        <f>MRS!J6</f>
        <v>39770</v>
      </c>
      <c r="K6" s="99"/>
      <c r="O6" s="100"/>
      <c r="P6" s="100"/>
      <c r="R6" s="100"/>
    </row>
    <row r="7" spans="1:18" ht="105" customHeight="1">
      <c r="A7" s="21">
        <f>+MRS!A7</f>
        <v>2</v>
      </c>
      <c r="B7" s="172" t="str">
        <f>MRS!B7</f>
        <v>Inverter Tig Welder</v>
      </c>
      <c r="C7" s="173"/>
      <c r="D7" s="174" t="str">
        <f>MRS!D7</f>
        <v>350 DT</v>
      </c>
      <c r="E7" s="175"/>
      <c r="F7" s="176"/>
      <c r="G7" s="97" t="str">
        <f>MRS!G7</f>
        <v>EA</v>
      </c>
      <c r="H7" s="97">
        <f>MRS!H7</f>
        <v>20</v>
      </c>
      <c r="I7" s="98">
        <f>MRS!I7</f>
        <v>3278</v>
      </c>
      <c r="J7" s="98">
        <f>MRS!J7</f>
        <v>65560</v>
      </c>
      <c r="K7" s="99"/>
      <c r="O7" s="100"/>
      <c r="P7" s="100"/>
      <c r="R7" s="100"/>
    </row>
    <row r="8" spans="1:18" ht="105" customHeight="1">
      <c r="A8" s="21">
        <f>+MRS!A8</f>
        <v>3</v>
      </c>
      <c r="B8" s="172" t="str">
        <f>MRS!B8</f>
        <v>TIG Torch Cable</v>
      </c>
      <c r="C8" s="173"/>
      <c r="D8" s="174" t="str">
        <f>MRS!D8</f>
        <v>25SQ X 100M</v>
      </c>
      <c r="E8" s="175"/>
      <c r="F8" s="176"/>
      <c r="G8" s="97" t="str">
        <f>MRS!G8</f>
        <v>EA</v>
      </c>
      <c r="H8" s="97">
        <f>MRS!H8</f>
        <v>30</v>
      </c>
      <c r="I8" s="98">
        <f>MRS!I8</f>
        <v>2316</v>
      </c>
      <c r="J8" s="98">
        <f>MRS!J8</f>
        <v>69480</v>
      </c>
      <c r="K8" s="99"/>
      <c r="O8" s="100"/>
      <c r="P8" s="100"/>
      <c r="R8" s="100"/>
    </row>
    <row r="9" spans="1:18" ht="105" customHeight="1">
      <c r="A9" s="21">
        <f>+MRS!A9</f>
        <v>4</v>
      </c>
      <c r="B9" s="172" t="str">
        <f>MRS!B9</f>
        <v>Remote Cable</v>
      </c>
      <c r="C9" s="173"/>
      <c r="D9" s="174" t="str">
        <f>MRS!D9</f>
        <v>4PX100M</v>
      </c>
      <c r="E9" s="175"/>
      <c r="F9" s="176"/>
      <c r="G9" s="97" t="str">
        <f>MRS!G9</f>
        <v>EA</v>
      </c>
      <c r="H9" s="97">
        <f>MRS!H9</f>
        <v>30</v>
      </c>
      <c r="I9" s="98">
        <f>MRS!I9</f>
        <v>406</v>
      </c>
      <c r="J9" s="98">
        <f>MRS!J9</f>
        <v>12180</v>
      </c>
      <c r="K9" s="99"/>
      <c r="O9" s="100"/>
      <c r="P9" s="100"/>
      <c r="R9" s="100"/>
    </row>
    <row r="10" spans="1:18" ht="105" customHeight="1">
      <c r="A10" s="21">
        <f>+MRS!A10</f>
        <v>5</v>
      </c>
      <c r="B10" s="172" t="str">
        <f>MRS!B10</f>
        <v>ARC Cabel</v>
      </c>
      <c r="C10" s="173"/>
      <c r="D10" s="174" t="str">
        <f>MRS!D10</f>
        <v>25SQ X 100M</v>
      </c>
      <c r="E10" s="175"/>
      <c r="F10" s="176"/>
      <c r="G10" s="97" t="str">
        <f>MRS!G10</f>
        <v>EA</v>
      </c>
      <c r="H10" s="97">
        <f>MRS!H10</f>
        <v>30</v>
      </c>
      <c r="I10" s="98">
        <f>MRS!I10</f>
        <v>1818</v>
      </c>
      <c r="J10" s="98">
        <f>MRS!J10</f>
        <v>54540</v>
      </c>
      <c r="K10" s="99"/>
      <c r="O10" s="100"/>
      <c r="P10" s="100"/>
      <c r="R10" s="100"/>
    </row>
    <row r="11" spans="1:18" ht="105" customHeight="1">
      <c r="A11" s="21">
        <f>+MRS!A11</f>
        <v>6</v>
      </c>
      <c r="B11" s="172" t="str">
        <f>MRS!B11</f>
        <v>Connector / SB0003B</v>
      </c>
      <c r="C11" s="173"/>
      <c r="D11" s="174">
        <f>MRS!D11</f>
        <v>0</v>
      </c>
      <c r="E11" s="175"/>
      <c r="F11" s="176"/>
      <c r="G11" s="97" t="str">
        <f>MRS!G11</f>
        <v>EA</v>
      </c>
      <c r="H11" s="97">
        <f>MRS!H11</f>
        <v>200</v>
      </c>
      <c r="I11" s="98">
        <f>MRS!I11</f>
        <v>6.35</v>
      </c>
      <c r="J11" s="98">
        <f>MRS!J11</f>
        <v>1270</v>
      </c>
      <c r="K11" s="99"/>
      <c r="O11" s="100"/>
      <c r="P11" s="100"/>
      <c r="R11" s="100"/>
    </row>
    <row r="12" spans="1:18" ht="105" customHeight="1">
      <c r="A12" s="21">
        <f>+MRS!A12</f>
        <v>7</v>
      </c>
      <c r="B12" s="172" t="str">
        <f>MRS!B12</f>
        <v>Connector / 25K-2P</v>
      </c>
      <c r="C12" s="173"/>
      <c r="D12" s="174">
        <f>MRS!D12</f>
        <v>0</v>
      </c>
      <c r="E12" s="175"/>
      <c r="F12" s="176"/>
      <c r="G12" s="97" t="str">
        <f>MRS!G12</f>
        <v>EA</v>
      </c>
      <c r="H12" s="97">
        <f>MRS!H12</f>
        <v>100</v>
      </c>
      <c r="I12" s="98">
        <f>MRS!I12</f>
        <v>19.7</v>
      </c>
      <c r="J12" s="98">
        <f>MRS!J12</f>
        <v>1970</v>
      </c>
      <c r="K12" s="99"/>
      <c r="O12" s="100"/>
      <c r="P12" s="100"/>
      <c r="R12" s="100"/>
    </row>
    <row r="13" spans="1:18" ht="105" customHeight="1">
      <c r="A13" s="21">
        <f>+MRS!A13</f>
        <v>8</v>
      </c>
      <c r="B13" s="172" t="str">
        <f>MRS!B13</f>
        <v>Packing Cost</v>
      </c>
      <c r="C13" s="173"/>
      <c r="D13" s="174" t="str">
        <f>MRS!D13</f>
        <v>2 Wooden Box</v>
      </c>
      <c r="E13" s="175"/>
      <c r="F13" s="176"/>
      <c r="G13" s="97" t="str">
        <f>MRS!G13</f>
        <v>Lot</v>
      </c>
      <c r="H13" s="97">
        <f>MRS!H13</f>
        <v>1</v>
      </c>
      <c r="I13" s="98">
        <f>MRS!I13</f>
        <v>7430</v>
      </c>
      <c r="J13" s="98">
        <f>MRS!J13</f>
        <v>7430</v>
      </c>
      <c r="K13" s="99"/>
      <c r="O13" s="100"/>
      <c r="P13" s="100"/>
      <c r="R13" s="100"/>
    </row>
    <row r="14" spans="1:18" ht="105" customHeight="1">
      <c r="A14" s="21">
        <f>+MRS!A14</f>
        <v>9</v>
      </c>
      <c r="B14" s="172" t="str">
        <f>MRS!B14</f>
        <v>Cost from Ex works to CIF Dammam Port</v>
      </c>
      <c r="C14" s="173"/>
      <c r="D14" s="174">
        <f>MRS!D14</f>
        <v>0</v>
      </c>
      <c r="E14" s="175"/>
      <c r="F14" s="176"/>
      <c r="G14" s="97" t="str">
        <f>MRS!G14</f>
        <v>Lot</v>
      </c>
      <c r="H14" s="97">
        <f>MRS!H14</f>
        <v>1</v>
      </c>
      <c r="I14" s="98">
        <f>MRS!I14</f>
        <v>10500</v>
      </c>
      <c r="J14" s="98">
        <f>MRS!J14</f>
        <v>10500</v>
      </c>
      <c r="K14" s="99"/>
      <c r="O14" s="100"/>
      <c r="P14" s="100"/>
      <c r="R14" s="100"/>
    </row>
    <row r="15" spans="1:18" ht="105" customHeight="1">
      <c r="A15" s="21">
        <f>+MRS!A15</f>
        <v>10</v>
      </c>
      <c r="B15" s="172">
        <f>MRS!B15</f>
        <v>0</v>
      </c>
      <c r="C15" s="173"/>
      <c r="D15" s="174">
        <f>MRS!D15</f>
        <v>0</v>
      </c>
      <c r="E15" s="175"/>
      <c r="F15" s="176"/>
      <c r="G15" s="97">
        <f>MRS!G15</f>
        <v>0</v>
      </c>
      <c r="H15" s="97">
        <f>MRS!H15</f>
        <v>0</v>
      </c>
      <c r="I15" s="98">
        <f>MRS!I15</f>
        <v>0</v>
      </c>
      <c r="J15" s="98">
        <f>MRS!J15</f>
        <v>0</v>
      </c>
      <c r="K15" s="99"/>
      <c r="O15" s="100"/>
      <c r="P15" s="100"/>
      <c r="R15" s="100"/>
    </row>
    <row r="16" spans="1:18" ht="105" customHeight="1">
      <c r="A16" s="21"/>
      <c r="B16" s="172"/>
      <c r="C16" s="173"/>
      <c r="D16" s="174"/>
      <c r="E16" s="175"/>
      <c r="F16" s="176"/>
      <c r="G16" s="97"/>
      <c r="H16" s="97"/>
      <c r="I16" s="98"/>
      <c r="J16" s="98"/>
      <c r="K16" s="99"/>
      <c r="O16" s="100"/>
      <c r="P16" s="100"/>
      <c r="R16" s="100"/>
    </row>
    <row r="17" spans="1:18" ht="105" customHeight="1">
      <c r="A17" s="21"/>
      <c r="B17" s="172"/>
      <c r="C17" s="173"/>
      <c r="D17" s="174"/>
      <c r="E17" s="175"/>
      <c r="F17" s="176"/>
      <c r="G17" s="97"/>
      <c r="H17" s="97"/>
      <c r="I17" s="98"/>
      <c r="J17" s="98"/>
      <c r="K17" s="99"/>
      <c r="O17" s="100"/>
      <c r="P17" s="100"/>
      <c r="R17" s="100"/>
    </row>
    <row r="18" spans="1:18" ht="105" customHeight="1">
      <c r="A18" s="21"/>
      <c r="B18" s="172"/>
      <c r="C18" s="173"/>
      <c r="D18" s="174"/>
      <c r="E18" s="175"/>
      <c r="F18" s="176"/>
      <c r="G18" s="97"/>
      <c r="H18" s="97"/>
      <c r="I18" s="98"/>
      <c r="J18" s="98"/>
      <c r="K18" s="99"/>
      <c r="O18" s="100"/>
      <c r="P18" s="100"/>
      <c r="R18" s="100"/>
    </row>
    <row r="19" spans="1:18" ht="105" customHeight="1">
      <c r="A19" s="21"/>
      <c r="B19" s="172"/>
      <c r="C19" s="173"/>
      <c r="D19" s="174"/>
      <c r="E19" s="175"/>
      <c r="F19" s="176"/>
      <c r="G19" s="97"/>
      <c r="H19" s="97"/>
      <c r="I19" s="98"/>
      <c r="J19" s="98"/>
      <c r="K19" s="99"/>
      <c r="O19" s="100"/>
      <c r="P19" s="100"/>
      <c r="R19" s="100"/>
    </row>
    <row r="20" spans="1:18" ht="105" customHeight="1">
      <c r="A20" s="21"/>
      <c r="B20" s="172"/>
      <c r="C20" s="173"/>
      <c r="D20" s="174"/>
      <c r="E20" s="175"/>
      <c r="F20" s="176"/>
      <c r="G20" s="97"/>
      <c r="H20" s="97"/>
      <c r="I20" s="98"/>
      <c r="J20" s="98"/>
      <c r="K20" s="99"/>
      <c r="O20" s="100"/>
      <c r="P20" s="100"/>
      <c r="R20" s="100"/>
    </row>
    <row r="21" spans="1:18" ht="105" customHeight="1">
      <c r="A21" s="21"/>
      <c r="B21" s="172"/>
      <c r="C21" s="173"/>
      <c r="D21" s="174"/>
      <c r="E21" s="175"/>
      <c r="F21" s="176"/>
      <c r="G21" s="97"/>
      <c r="H21" s="97"/>
      <c r="I21" s="98"/>
      <c r="J21" s="98"/>
      <c r="K21" s="99"/>
      <c r="O21" s="100"/>
      <c r="P21" s="100"/>
      <c r="R21" s="100"/>
    </row>
    <row r="23" spans="1:18" ht="21" customHeight="1">
      <c r="J23" s="116"/>
    </row>
  </sheetData>
  <mergeCells count="42">
    <mergeCell ref="B21:C21"/>
    <mergeCell ref="D21:F21"/>
    <mergeCell ref="B18:C18"/>
    <mergeCell ref="D18:F18"/>
    <mergeCell ref="B19:C19"/>
    <mergeCell ref="D19:F19"/>
    <mergeCell ref="B20:C20"/>
    <mergeCell ref="D20:F20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tabSelected="1" view="pageBreakPreview" zoomScale="130" zoomScaleNormal="100" zoomScaleSheetLayoutView="130" workbookViewId="0">
      <selection activeCell="M3" sqref="M3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127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3" customFormat="1" ht="13.5">
      <c r="B9" s="71" t="s">
        <v>28</v>
      </c>
      <c r="C9" s="72" t="s">
        <v>100</v>
      </c>
      <c r="D9" s="38"/>
      <c r="E9" s="38"/>
    </row>
    <row r="10" spans="2:13" s="38" customFormat="1">
      <c r="B10" s="71"/>
      <c r="C10" s="38" t="s">
        <v>29</v>
      </c>
      <c r="D10" s="75" t="s">
        <v>101</v>
      </c>
      <c r="J10" s="38" t="s">
        <v>30</v>
      </c>
      <c r="K10" s="179">
        <f>MRS!L3</f>
        <v>45973</v>
      </c>
      <c r="L10" s="180"/>
      <c r="M10" s="180"/>
    </row>
    <row r="11" spans="2:13" s="38" customFormat="1">
      <c r="B11" s="71"/>
      <c r="C11" s="74" t="s">
        <v>31</v>
      </c>
      <c r="D11" s="75" t="s">
        <v>102</v>
      </c>
      <c r="J11" s="38" t="s">
        <v>32</v>
      </c>
      <c r="K11" s="181" t="str">
        <f>SUBSTITUTE(SUBSTITUTE(+MRS!A3,"  MRS No : ",""),"-MRS","-PO")</f>
        <v>SAC2-DS-PO-0159</v>
      </c>
      <c r="L11" s="181"/>
      <c r="M11" s="181"/>
    </row>
    <row r="12" spans="2:13" s="38" customFormat="1">
      <c r="B12" s="71"/>
      <c r="C12" s="74" t="s">
        <v>33</v>
      </c>
      <c r="D12" s="38" t="s">
        <v>103</v>
      </c>
      <c r="J12" s="38" t="s">
        <v>34</v>
      </c>
    </row>
    <row r="13" spans="2:13" s="38" customFormat="1">
      <c r="B13" s="71"/>
      <c r="C13" s="76"/>
      <c r="D13" s="75" t="s">
        <v>104</v>
      </c>
      <c r="J13" s="38" t="s">
        <v>35</v>
      </c>
    </row>
    <row r="14" spans="2:13" s="38" customFormat="1">
      <c r="B14" s="71"/>
      <c r="C14" s="117" t="s">
        <v>123</v>
      </c>
      <c r="J14" s="38" t="s">
        <v>36</v>
      </c>
      <c r="K14" s="38" t="s">
        <v>125</v>
      </c>
    </row>
    <row r="15" spans="2:13" s="38" customFormat="1">
      <c r="B15" s="71"/>
      <c r="C15" s="74" t="s">
        <v>105</v>
      </c>
      <c r="J15" s="38" t="s">
        <v>37</v>
      </c>
      <c r="K15" s="77">
        <v>45972</v>
      </c>
    </row>
    <row r="16" spans="2:13" s="38" customFormat="1">
      <c r="C16" s="76"/>
      <c r="K16" s="77"/>
    </row>
    <row r="17" spans="2:13" ht="6" customHeight="1">
      <c r="C17" s="29"/>
      <c r="K17" s="30"/>
    </row>
    <row r="18" spans="2:13" ht="20.25">
      <c r="B18" s="182" t="s">
        <v>38</v>
      </c>
      <c r="C18" s="182"/>
      <c r="D18" s="182"/>
      <c r="E18" s="182"/>
      <c r="F18" s="182"/>
      <c r="G18" s="182"/>
      <c r="H18" s="182"/>
      <c r="I18" s="182"/>
      <c r="J18" s="182"/>
      <c r="K18" s="182"/>
      <c r="L18" s="182"/>
      <c r="M18" s="182"/>
    </row>
    <row r="19" spans="2:13" ht="12" customHeight="1"/>
    <row r="20" spans="2:13" s="31" customFormat="1" ht="12" customHeight="1">
      <c r="B20" s="183" t="s">
        <v>39</v>
      </c>
      <c r="C20" s="183"/>
      <c r="D20" s="183"/>
      <c r="E20" s="183"/>
      <c r="F20" s="183"/>
      <c r="G20" s="183"/>
      <c r="H20" s="183"/>
      <c r="I20" s="183"/>
      <c r="J20" s="183"/>
      <c r="K20" s="183"/>
      <c r="L20" s="183"/>
      <c r="M20" s="183"/>
    </row>
    <row r="21" spans="2:13" s="31" customFormat="1" ht="12" customHeight="1">
      <c r="B21" s="183" t="s">
        <v>40</v>
      </c>
      <c r="C21" s="183"/>
      <c r="D21" s="183"/>
      <c r="E21" s="183"/>
      <c r="F21" s="183"/>
      <c r="G21" s="183"/>
      <c r="H21" s="183"/>
      <c r="I21" s="183"/>
      <c r="J21" s="183"/>
      <c r="K21" s="183"/>
      <c r="L21" s="183"/>
      <c r="M21" s="183"/>
    </row>
    <row r="22" spans="2:13" s="31" customFormat="1" ht="12" customHeight="1">
      <c r="B22" s="183" t="s">
        <v>41</v>
      </c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</row>
    <row r="23" spans="2:13" ht="6.95" customHeight="1">
      <c r="B23" s="184"/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4"/>
    </row>
    <row r="24" spans="2:13" ht="6.95" customHeight="1">
      <c r="B24" s="185"/>
      <c r="C24" s="185"/>
      <c r="D24" s="185"/>
      <c r="E24" s="185"/>
      <c r="F24" s="185"/>
      <c r="G24" s="185"/>
      <c r="H24" s="185"/>
      <c r="I24" s="185"/>
      <c r="J24" s="185"/>
      <c r="K24" s="185"/>
      <c r="L24" s="185"/>
      <c r="M24" s="185"/>
    </row>
    <row r="25" spans="2:13" s="32" customFormat="1" ht="20.100000000000001" customHeight="1">
      <c r="B25" s="32">
        <v>1</v>
      </c>
      <c r="C25" s="32" t="s">
        <v>42</v>
      </c>
    </row>
    <row r="26" spans="2:13" s="38" customFormat="1" ht="15" customHeight="1">
      <c r="B26" s="72"/>
      <c r="C26" s="75" t="s">
        <v>107</v>
      </c>
      <c r="M26" s="78" t="s">
        <v>43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44</v>
      </c>
    </row>
    <row r="29" spans="2:13" ht="15" customHeight="1">
      <c r="B29" s="32"/>
      <c r="C29" s="26" t="s">
        <v>45</v>
      </c>
      <c r="E29" s="26" t="s">
        <v>46</v>
      </c>
      <c r="F29" s="118">
        <f>'PO 2nd page'!G22</f>
        <v>262700</v>
      </c>
      <c r="G29" s="110"/>
      <c r="H29" s="110"/>
      <c r="M29" s="33"/>
    </row>
    <row r="30" spans="2:13" ht="15" customHeight="1">
      <c r="B30" s="32"/>
      <c r="C30" s="26" t="s">
        <v>47</v>
      </c>
      <c r="E30" s="26" t="s">
        <v>46</v>
      </c>
      <c r="F30" s="118">
        <f>'PO 2nd page'!G23</f>
        <v>39405</v>
      </c>
      <c r="G30" s="110"/>
      <c r="H30" s="110"/>
    </row>
    <row r="31" spans="2:13" ht="15" customHeight="1">
      <c r="B31" s="32"/>
      <c r="C31" s="26" t="s">
        <v>48</v>
      </c>
      <c r="D31" s="34"/>
      <c r="E31" s="26" t="s">
        <v>46</v>
      </c>
      <c r="F31" s="118">
        <f>'PO 2nd page'!G24</f>
        <v>302105</v>
      </c>
      <c r="G31" s="110"/>
      <c r="H31" s="110"/>
    </row>
    <row r="32" spans="2:13" ht="11.1" customHeight="1">
      <c r="B32" s="32"/>
    </row>
    <row r="33" spans="2:13" ht="20.100000000000001" customHeight="1">
      <c r="B33" s="32">
        <v>3</v>
      </c>
      <c r="C33" s="32" t="s">
        <v>49</v>
      </c>
    </row>
    <row r="34" spans="2:13" ht="15" customHeight="1">
      <c r="B34" s="32"/>
      <c r="C34" s="22" t="s">
        <v>50</v>
      </c>
    </row>
    <row r="35" spans="2:13" ht="15" customHeight="1">
      <c r="B35" s="32"/>
      <c r="C35" s="22" t="s">
        <v>51</v>
      </c>
    </row>
    <row r="36" spans="2:13" ht="15" customHeight="1">
      <c r="B36" s="32"/>
      <c r="C36" s="22" t="s">
        <v>52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53</v>
      </c>
    </row>
    <row r="39" spans="2:13" ht="15" customHeight="1">
      <c r="B39" s="32"/>
      <c r="C39" s="26" t="s">
        <v>54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55</v>
      </c>
    </row>
    <row r="42" spans="2:13" ht="15" customHeight="1">
      <c r="B42" s="32"/>
      <c r="C42" s="35" t="s">
        <v>56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5" customHeight="1">
      <c r="B43" s="32"/>
      <c r="C43" s="35" t="s">
        <v>57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5" customHeight="1">
      <c r="B44" s="32"/>
      <c r="C44" s="35" t="s">
        <v>58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5" customHeight="1">
      <c r="B45" s="32"/>
      <c r="C45" s="35" t="s">
        <v>59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5" customHeight="1">
      <c r="B46" s="32"/>
      <c r="C46" s="38" t="s">
        <v>60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20.100000000000001" customHeight="1">
      <c r="B48" s="32">
        <v>6</v>
      </c>
      <c r="C48" s="32" t="s">
        <v>61</v>
      </c>
    </row>
    <row r="49" spans="1:16" s="38" customFormat="1" ht="15" customHeight="1">
      <c r="B49" s="79" t="s">
        <v>62</v>
      </c>
      <c r="C49" s="80" t="s">
        <v>97</v>
      </c>
      <c r="P49" s="81"/>
    </row>
    <row r="50" spans="1:16" s="82" customFormat="1" ht="15" customHeight="1">
      <c r="B50" s="83" t="s">
        <v>62</v>
      </c>
      <c r="C50" s="80" t="s">
        <v>90</v>
      </c>
    </row>
    <row r="51" spans="1:16" s="82" customFormat="1" ht="15" customHeight="1">
      <c r="B51" s="83" t="s">
        <v>62</v>
      </c>
      <c r="C51" s="80" t="s">
        <v>89</v>
      </c>
    </row>
    <row r="52" spans="1:16" ht="11.1" customHeight="1">
      <c r="B52" s="41"/>
    </row>
    <row r="53" spans="1:16" ht="3" customHeight="1">
      <c r="B53" s="42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</row>
    <row r="54" spans="1:16" ht="3" customHeight="1">
      <c r="B54" s="32"/>
    </row>
    <row r="55" spans="1:16" ht="11.1" customHeight="1">
      <c r="B55" s="41"/>
    </row>
    <row r="56" spans="1:16">
      <c r="B56" s="32" t="s">
        <v>63</v>
      </c>
      <c r="J56" s="32" t="s">
        <v>64</v>
      </c>
    </row>
    <row r="57" spans="1:16" ht="50.1" customHeight="1"/>
    <row r="58" spans="1:16" ht="18" customHeight="1">
      <c r="B58" s="26" t="s">
        <v>65</v>
      </c>
      <c r="J58" s="26" t="s">
        <v>65</v>
      </c>
    </row>
    <row r="59" spans="1:16" ht="18" customHeight="1">
      <c r="B59" s="26" t="s">
        <v>66</v>
      </c>
      <c r="J59" s="26" t="s">
        <v>67</v>
      </c>
      <c r="K59" s="22" t="str">
        <f>D12</f>
        <v>Shashank Kamra</v>
      </c>
    </row>
    <row r="60" spans="1:16" ht="18" customHeight="1">
      <c r="B60" s="26" t="s">
        <v>68</v>
      </c>
      <c r="J60" s="26" t="s">
        <v>69</v>
      </c>
      <c r="K60" s="22" t="s">
        <v>106</v>
      </c>
    </row>
    <row r="61" spans="1:16" ht="15" customHeight="1">
      <c r="B61" s="26" t="s">
        <v>70</v>
      </c>
      <c r="J61" s="26" t="s">
        <v>71</v>
      </c>
    </row>
    <row r="62" spans="1:16" s="28" customFormat="1" ht="24.75" customHeight="1">
      <c r="B62" s="25" t="s">
        <v>122</v>
      </c>
      <c r="J62" s="186" t="str">
        <f>C9</f>
        <v>JSAJ(Jassim Saif Amer Aljaberi Trading Est.)</v>
      </c>
      <c r="K62" s="186"/>
      <c r="L62" s="186"/>
      <c r="M62" s="186"/>
    </row>
    <row r="63" spans="1:16" ht="27.95" customHeight="1">
      <c r="A63" s="123" t="s">
        <v>72</v>
      </c>
      <c r="B63" s="123"/>
      <c r="C63" s="123"/>
      <c r="D63" s="123"/>
      <c r="E63" s="123"/>
      <c r="F63" s="123"/>
      <c r="G63" s="123"/>
      <c r="H63" s="123"/>
      <c r="I63" s="123"/>
      <c r="J63" s="123"/>
      <c r="K63" s="123"/>
      <c r="L63" s="123"/>
      <c r="M63" s="123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0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J62:M62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32"/>
  <sheetViews>
    <sheetView showGridLines="0" view="pageBreakPreview" zoomScaleSheetLayoutView="100" zoomScalePageLayoutView="55" workbookViewId="0">
      <selection activeCell="B14" sqref="B14:C14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73</v>
      </c>
      <c r="B2" s="46" t="str">
        <f>+'PO 1st page'!K11</f>
        <v>SAC2-DS-PO-0159</v>
      </c>
      <c r="C2" s="126" t="s">
        <v>74</v>
      </c>
      <c r="D2" s="126"/>
      <c r="E2" s="126"/>
      <c r="F2" s="126"/>
      <c r="G2" s="47"/>
      <c r="H2" s="47"/>
    </row>
    <row r="3" spans="1:13" s="53" customFormat="1" ht="28.5" customHeight="1" thickBot="1">
      <c r="A3" s="48" t="s">
        <v>75</v>
      </c>
      <c r="B3" s="49">
        <f>+'PO 1st page'!K10</f>
        <v>45973</v>
      </c>
      <c r="C3" s="50"/>
      <c r="D3" s="51"/>
      <c r="E3" s="127" t="s">
        <v>76</v>
      </c>
      <c r="F3" s="127"/>
      <c r="G3" s="127"/>
      <c r="H3" s="127"/>
      <c r="I3" s="52"/>
    </row>
    <row r="4" spans="1:13" s="54" customFormat="1" ht="28.5" customHeight="1" thickTop="1">
      <c r="A4" s="128" t="s">
        <v>77</v>
      </c>
      <c r="B4" s="130" t="s">
        <v>78</v>
      </c>
      <c r="C4" s="131"/>
      <c r="D4" s="134" t="s">
        <v>79</v>
      </c>
      <c r="E4" s="134" t="s">
        <v>80</v>
      </c>
      <c r="F4" s="136" t="str">
        <f>'PO 1st page'!C9</f>
        <v>JSAJ(Jassim Saif Amer Aljaberi Trading Est.)</v>
      </c>
      <c r="G4" s="137"/>
      <c r="H4" s="138" t="s">
        <v>81</v>
      </c>
      <c r="K4" s="55"/>
      <c r="L4" s="55"/>
      <c r="M4" s="55"/>
    </row>
    <row r="5" spans="1:13" s="54" customFormat="1" ht="21.95" customHeight="1">
      <c r="A5" s="129"/>
      <c r="B5" s="132"/>
      <c r="C5" s="133"/>
      <c r="D5" s="135"/>
      <c r="E5" s="135"/>
      <c r="F5" s="56" t="s">
        <v>82</v>
      </c>
      <c r="G5" s="56" t="s">
        <v>48</v>
      </c>
      <c r="H5" s="139"/>
      <c r="K5" s="55"/>
      <c r="L5" s="55"/>
      <c r="M5" s="55"/>
    </row>
    <row r="6" spans="1:13" s="54" customFormat="1" ht="32.1" customHeight="1">
      <c r="A6" s="84">
        <f t="shared" ref="A6:A14" si="0">ROW(A1)</f>
        <v>1</v>
      </c>
      <c r="B6" s="124" t="str">
        <f>MRS!B6&amp;" "&amp;MRS!D6</f>
        <v>Inverter Tig Welder 500 DT</v>
      </c>
      <c r="C6" s="125"/>
      <c r="D6" s="85" t="str">
        <f>MRS!G6</f>
        <v>EA</v>
      </c>
      <c r="E6" s="86">
        <f>MRS!H6</f>
        <v>10</v>
      </c>
      <c r="F6" s="87">
        <f>+'MRS LIST'!I6</f>
        <v>3977</v>
      </c>
      <c r="G6" s="88">
        <f>+'MRS LIST'!J6</f>
        <v>39770</v>
      </c>
      <c r="H6" s="89" t="s">
        <v>108</v>
      </c>
      <c r="K6" s="90"/>
      <c r="L6" s="91"/>
      <c r="M6" s="55"/>
    </row>
    <row r="7" spans="1:13" s="54" customFormat="1" ht="32.1" customHeight="1">
      <c r="A7" s="84">
        <f t="shared" si="0"/>
        <v>2</v>
      </c>
      <c r="B7" s="124" t="str">
        <f>MRS!B7&amp;" "&amp;MRS!D7</f>
        <v>Inverter Tig Welder 350 DT</v>
      </c>
      <c r="C7" s="125"/>
      <c r="D7" s="85" t="str">
        <f>+'MRS LIST'!G7</f>
        <v>EA</v>
      </c>
      <c r="E7" s="86">
        <f>+'MRS LIST'!H7</f>
        <v>20</v>
      </c>
      <c r="F7" s="87">
        <f>+'MRS LIST'!I7</f>
        <v>3278</v>
      </c>
      <c r="G7" s="88">
        <f>+'MRS LIST'!J7</f>
        <v>65560</v>
      </c>
      <c r="H7" s="89"/>
      <c r="K7" s="90"/>
      <c r="L7" s="91"/>
      <c r="M7" s="55"/>
    </row>
    <row r="8" spans="1:13" s="54" customFormat="1" ht="32.1" customHeight="1">
      <c r="A8" s="92">
        <f t="shared" si="0"/>
        <v>3</v>
      </c>
      <c r="B8" s="124" t="str">
        <f>MRS!B8&amp;" "&amp;MRS!D8</f>
        <v>TIG Torch Cable 25SQ X 100M</v>
      </c>
      <c r="C8" s="125"/>
      <c r="D8" s="85" t="str">
        <f>+'MRS LIST'!G8</f>
        <v>EA</v>
      </c>
      <c r="E8" s="86">
        <f>+'MRS LIST'!H8</f>
        <v>30</v>
      </c>
      <c r="F8" s="87">
        <f>+'MRS LIST'!I8</f>
        <v>2316</v>
      </c>
      <c r="G8" s="88">
        <f>+'MRS LIST'!J8</f>
        <v>69480</v>
      </c>
      <c r="H8" s="89"/>
      <c r="K8" s="55"/>
      <c r="L8" s="55"/>
      <c r="M8" s="55"/>
    </row>
    <row r="9" spans="1:13" s="54" customFormat="1" ht="32.1" customHeight="1">
      <c r="A9" s="92">
        <f t="shared" si="0"/>
        <v>4</v>
      </c>
      <c r="B9" s="124" t="str">
        <f>MRS!B9&amp;" "&amp;MRS!D9</f>
        <v>Remote Cable 4PX100M</v>
      </c>
      <c r="C9" s="125"/>
      <c r="D9" s="85" t="str">
        <f>+'MRS LIST'!G9</f>
        <v>EA</v>
      </c>
      <c r="E9" s="86">
        <f>+'MRS LIST'!H9</f>
        <v>30</v>
      </c>
      <c r="F9" s="87">
        <f>+'MRS LIST'!I9</f>
        <v>406</v>
      </c>
      <c r="G9" s="88">
        <f>+'MRS LIST'!J9</f>
        <v>12180</v>
      </c>
      <c r="H9" s="93"/>
    </row>
    <row r="10" spans="1:13" s="54" customFormat="1" ht="32.1" customHeight="1">
      <c r="A10" s="92">
        <f t="shared" si="0"/>
        <v>5</v>
      </c>
      <c r="B10" s="124" t="str">
        <f>MRS!B10&amp;" "&amp;MRS!D10</f>
        <v>ARC Cabel 25SQ X 100M</v>
      </c>
      <c r="C10" s="125"/>
      <c r="D10" s="85" t="str">
        <f>+'MRS LIST'!G10</f>
        <v>EA</v>
      </c>
      <c r="E10" s="86">
        <f>+'MRS LIST'!H10</f>
        <v>30</v>
      </c>
      <c r="F10" s="87">
        <f>+'MRS LIST'!I10</f>
        <v>1818</v>
      </c>
      <c r="G10" s="88">
        <f>+'MRS LIST'!J10</f>
        <v>54540</v>
      </c>
      <c r="H10" s="93"/>
    </row>
    <row r="11" spans="1:13" s="54" customFormat="1" ht="32.1" customHeight="1">
      <c r="A11" s="92">
        <f t="shared" si="0"/>
        <v>6</v>
      </c>
      <c r="B11" s="124" t="str">
        <f>MRS!B11&amp;" "&amp;MRS!D11</f>
        <v xml:space="preserve">Connector / SB0003B </v>
      </c>
      <c r="C11" s="125"/>
      <c r="D11" s="85" t="str">
        <f>+'MRS LIST'!G11</f>
        <v>EA</v>
      </c>
      <c r="E11" s="86">
        <f>+'MRS LIST'!H11</f>
        <v>200</v>
      </c>
      <c r="F11" s="87">
        <f>+'MRS LIST'!I11</f>
        <v>6.35</v>
      </c>
      <c r="G11" s="88">
        <f>+'MRS LIST'!J11</f>
        <v>1270</v>
      </c>
      <c r="H11" s="93"/>
    </row>
    <row r="12" spans="1:13" s="54" customFormat="1" ht="32.1" customHeight="1">
      <c r="A12" s="92">
        <f t="shared" si="0"/>
        <v>7</v>
      </c>
      <c r="B12" s="124" t="str">
        <f>MRS!B12&amp;" "&amp;MRS!D12</f>
        <v xml:space="preserve">Connector / 25K-2P </v>
      </c>
      <c r="C12" s="125"/>
      <c r="D12" s="85" t="str">
        <f>+'MRS LIST'!G12</f>
        <v>EA</v>
      </c>
      <c r="E12" s="86">
        <f>+'MRS LIST'!H12</f>
        <v>100</v>
      </c>
      <c r="F12" s="87">
        <f>+'MRS LIST'!I12</f>
        <v>19.7</v>
      </c>
      <c r="G12" s="88">
        <f>+'MRS LIST'!J12</f>
        <v>1970</v>
      </c>
      <c r="H12" s="93"/>
    </row>
    <row r="13" spans="1:13" s="54" customFormat="1" ht="32.1" customHeight="1">
      <c r="A13" s="92">
        <f t="shared" si="0"/>
        <v>8</v>
      </c>
      <c r="B13" s="124" t="str">
        <f>MRS!B13&amp;" "&amp;MRS!D13</f>
        <v>Packing Cost 2 Wooden Box</v>
      </c>
      <c r="C13" s="125"/>
      <c r="D13" s="85" t="str">
        <f>+'MRS LIST'!G13</f>
        <v>Lot</v>
      </c>
      <c r="E13" s="86">
        <f>+'MRS LIST'!H13</f>
        <v>1</v>
      </c>
      <c r="F13" s="87">
        <f>+'MRS LIST'!I13</f>
        <v>7430</v>
      </c>
      <c r="G13" s="88">
        <f>+'MRS LIST'!J13</f>
        <v>7430</v>
      </c>
      <c r="H13" s="93"/>
    </row>
    <row r="14" spans="1:13" s="54" customFormat="1" ht="32.1" customHeight="1">
      <c r="A14" s="92">
        <f t="shared" si="0"/>
        <v>9</v>
      </c>
      <c r="B14" s="124" t="str">
        <f>MRS!B14&amp;" "&amp;MRS!D14</f>
        <v xml:space="preserve">Cost from Ex works to CIF Dammam Port </v>
      </c>
      <c r="C14" s="125"/>
      <c r="D14" s="85" t="str">
        <f>+'MRS LIST'!G14</f>
        <v>Lot</v>
      </c>
      <c r="E14" s="86">
        <f>+'MRS LIST'!H14</f>
        <v>1</v>
      </c>
      <c r="F14" s="87">
        <f>+'MRS LIST'!I14</f>
        <v>10500</v>
      </c>
      <c r="G14" s="88">
        <f>+'MRS LIST'!J14</f>
        <v>10500</v>
      </c>
      <c r="H14" s="93"/>
    </row>
    <row r="15" spans="1:13" s="54" customFormat="1" ht="32.1" customHeight="1">
      <c r="A15" s="92"/>
      <c r="B15" s="124"/>
      <c r="C15" s="125"/>
      <c r="D15" s="85"/>
      <c r="E15" s="86"/>
      <c r="F15" s="87"/>
      <c r="G15" s="88"/>
      <c r="H15" s="93"/>
    </row>
    <row r="16" spans="1:13" s="54" customFormat="1" ht="32.1" customHeight="1">
      <c r="A16" s="92"/>
      <c r="B16" s="124"/>
      <c r="C16" s="125"/>
      <c r="D16" s="85"/>
      <c r="E16" s="86"/>
      <c r="F16" s="87"/>
      <c r="G16" s="88"/>
      <c r="H16" s="93"/>
    </row>
    <row r="17" spans="1:13" s="54" customFormat="1" ht="32.1" customHeight="1">
      <c r="A17" s="92"/>
      <c r="B17" s="124"/>
      <c r="C17" s="125"/>
      <c r="D17" s="85"/>
      <c r="E17" s="86"/>
      <c r="F17" s="87"/>
      <c r="G17" s="88"/>
      <c r="H17" s="93"/>
    </row>
    <row r="18" spans="1:13" s="54" customFormat="1" ht="32.1" customHeight="1">
      <c r="A18" s="92"/>
      <c r="B18" s="124"/>
      <c r="C18" s="125"/>
      <c r="D18" s="85"/>
      <c r="E18" s="86"/>
      <c r="F18" s="87"/>
      <c r="G18" s="88"/>
      <c r="H18" s="93"/>
    </row>
    <row r="19" spans="1:13" s="54" customFormat="1" ht="32.1" customHeight="1">
      <c r="A19" s="92"/>
      <c r="B19" s="124"/>
      <c r="C19" s="125"/>
      <c r="D19" s="85"/>
      <c r="E19" s="86"/>
      <c r="F19" s="87"/>
      <c r="G19" s="88"/>
      <c r="H19" s="93"/>
    </row>
    <row r="20" spans="1:13" s="54" customFormat="1" ht="32.1" customHeight="1">
      <c r="A20" s="92"/>
      <c r="B20" s="124"/>
      <c r="C20" s="125"/>
      <c r="D20" s="85"/>
      <c r="E20" s="86"/>
      <c r="F20" s="87"/>
      <c r="G20" s="88"/>
      <c r="H20" s="93"/>
    </row>
    <row r="21" spans="1:13" s="54" customFormat="1" ht="32.1" customHeight="1">
      <c r="A21" s="92"/>
      <c r="B21" s="124"/>
      <c r="C21" s="125"/>
      <c r="D21" s="85"/>
      <c r="E21" s="86"/>
      <c r="F21" s="87"/>
      <c r="G21" s="88"/>
      <c r="H21" s="93"/>
    </row>
    <row r="22" spans="1:13" s="54" customFormat="1" ht="23.1" customHeight="1">
      <c r="A22" s="119" t="s">
        <v>83</v>
      </c>
      <c r="B22" s="120"/>
      <c r="C22" s="120"/>
      <c r="D22" s="120"/>
      <c r="E22" s="120"/>
      <c r="F22" s="120"/>
      <c r="G22" s="57">
        <f>SUM(G6:G21)</f>
        <v>262700</v>
      </c>
      <c r="H22" s="58"/>
    </row>
    <row r="23" spans="1:13" s="54" customFormat="1" ht="23.1" customHeight="1">
      <c r="A23" s="119" t="s">
        <v>47</v>
      </c>
      <c r="B23" s="120"/>
      <c r="C23" s="120"/>
      <c r="D23" s="120"/>
      <c r="E23" s="120"/>
      <c r="F23" s="120"/>
      <c r="G23" s="57">
        <f>+G22*0.15</f>
        <v>39405</v>
      </c>
      <c r="H23" s="58"/>
    </row>
    <row r="24" spans="1:13" s="54" customFormat="1" ht="24.95" customHeight="1" thickBot="1">
      <c r="A24" s="121" t="s">
        <v>84</v>
      </c>
      <c r="B24" s="122"/>
      <c r="C24" s="122"/>
      <c r="D24" s="122"/>
      <c r="E24" s="122"/>
      <c r="F24" s="122"/>
      <c r="G24" s="59">
        <f>G23+G22</f>
        <v>302105</v>
      </c>
      <c r="H24" s="60"/>
    </row>
    <row r="25" spans="1:13" ht="15.75" thickTop="1">
      <c r="A25" s="61" t="str">
        <f>" 1) Above Price are as per your quotation with ref "&amp;'PO 1st page'!K14</f>
        <v xml:space="preserve"> 1) Above Price are as per your quotation with ref Q-20253179</v>
      </c>
      <c r="B25" s="62"/>
      <c r="C25" s="62"/>
      <c r="D25" s="63"/>
      <c r="E25" s="63"/>
      <c r="F25" s="63"/>
      <c r="G25" s="63"/>
      <c r="H25" s="63"/>
    </row>
    <row r="26" spans="1:13" ht="15">
      <c r="A26" s="64" t="s">
        <v>85</v>
      </c>
      <c r="B26" s="65"/>
      <c r="C26" s="65"/>
      <c r="D26" s="66"/>
      <c r="E26" s="66"/>
      <c r="F26" s="66"/>
      <c r="G26" s="66"/>
      <c r="H26" s="66"/>
      <c r="I26" s="67"/>
    </row>
    <row r="27" spans="1:13" ht="15.75">
      <c r="A27" s="68"/>
    </row>
    <row r="28" spans="1:13">
      <c r="A28" s="123" t="s">
        <v>86</v>
      </c>
      <c r="B28" s="123"/>
      <c r="C28" s="123"/>
      <c r="D28" s="123"/>
      <c r="E28" s="123"/>
      <c r="F28" s="123"/>
      <c r="G28" s="123"/>
      <c r="H28" s="123"/>
      <c r="I28" s="69"/>
      <c r="J28" s="69"/>
      <c r="K28" s="69"/>
      <c r="L28" s="69"/>
      <c r="M28" s="69"/>
    </row>
    <row r="29" spans="1:13" ht="15.75">
      <c r="A29" s="68"/>
      <c r="C29" s="70"/>
    </row>
    <row r="30" spans="1:13" ht="15.75">
      <c r="A30" s="68"/>
      <c r="C30" s="70"/>
    </row>
    <row r="32" spans="1:13" ht="12" customHeight="1"/>
  </sheetData>
  <mergeCells count="28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22:F22"/>
    <mergeCell ref="A23:F23"/>
    <mergeCell ref="A24:F24"/>
    <mergeCell ref="A28:H28"/>
    <mergeCell ref="B12:C12"/>
    <mergeCell ref="B14:C14"/>
    <mergeCell ref="B15:C15"/>
    <mergeCell ref="B20:C20"/>
    <mergeCell ref="B21:C21"/>
    <mergeCell ref="B16:C16"/>
    <mergeCell ref="B17:C17"/>
    <mergeCell ref="B19:C19"/>
    <mergeCell ref="B18:C18"/>
    <mergeCell ref="B13:C13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2025-11-12T06:56:04Z</cp:lastPrinted>
  <dcterms:created xsi:type="dcterms:W3CDTF">2024-10-20T11:50:19Z</dcterms:created>
  <dcterms:modified xsi:type="dcterms:W3CDTF">2025-11-13T08:08:09Z</dcterms:modified>
</cp:coreProperties>
</file>