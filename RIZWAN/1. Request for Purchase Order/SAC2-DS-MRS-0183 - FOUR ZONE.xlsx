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40F3C62-983D-4089-A622-6E3C47C5AE0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P54" i="3" l="1"/>
  <c r="B6" i="4" l="1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<sst xmlns="http://schemas.openxmlformats.org/spreadsheetml/2006/main" count="175" uniqueCount="133">
  <si>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</si>
  <si>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</si>
  <si>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</si>
  <si>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</si>
  <si>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</si>
  <si>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</si>
  <si>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</si>
  <si>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</si>
  <si>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</si>
  <si>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</si>
  <si>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</si>
  <si>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</si>
  <si>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</si>
  <si>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</si>
  <si>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</si>
  <si>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</si>
  <si>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</si>
  <si>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</si>
  <si>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</si>
  <si>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</si>
  <si>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</si>
  <si>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</si>
  <si>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</si>
  <si>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</si>
  <si>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</si>
  <si>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</si>
  <si>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</si>
  <si>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</si>
  <si>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</si>
  <si>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</si>
  <si>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</si>
  <si>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</si>
  <si>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</si>
  <si>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</si>
  <si>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</si>
  <si>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</si>
  <si>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</si>
  <si>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</si>
  <si>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</si>
  <si>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</si>
  <si>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</si>
  <si>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</si>
  <si>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</si>
  <si>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</si>
  <si>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</si>
  <si>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</si>
  <si>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</si>
  <si>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</si>
  <si>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</si>
  <si>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</si>
  <si>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</si>
  <si>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</si>
  <si>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</si>
  <si>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</si>
  <si>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</si>
  <si>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</si>
  <si>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</si>
  <si>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</si>
  <si>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</si>
  <si>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</si>
  <si>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</si>
  <si>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</si>
  <si>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</si>
  <si>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</si>
  <si>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</si>
  <si>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</si>
  <si>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</si>
  <si>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</si>
  <si>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</si>
  <si>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</si>
  <si>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</si>
  <si>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</si>
  <si>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</si>
  <si>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</si>
  <si>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</si>
  <si>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</si>
  <si>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</si>
  <si>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</si>
  <si>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</si>
  <si>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</si>
  <si>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</si>
  <si>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</si>
  <si>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</si>
  <si>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</si>
  <si>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</si>
  <si>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</si>
  <si>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</si>
  <si>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</si>
  <si>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</si>
  <si>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</si>
  <si>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</si>
  <si>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</si>
  <si>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</si>
  <si>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</si>
  <si>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</si>
  <si>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</si>
  <si>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</si>
  <si>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</si>
  <si>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</si>
  <si>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</si>
  <si>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</si>
  <si>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</si>
  <si>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</si>
  <si>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</si>
  <si>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</si>
  <si>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</si>
  <si>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</si>
  <si>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</si>
  <si>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</si>
  <si>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</si>
  <si>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</si>
  <si>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</si>
  <si>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</si>
  <si>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</si>
  <si>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</si>
  <si>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</si>
  <si>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</si>
  <si>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</si>
  <si>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</si>
  <si>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</si>
  <si>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</si>
  <si>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</si>
  <si>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SA3410000001400013788710</t>
  </si>
  <si>
    <t>THE SAUDI NATIONAL BANK</t>
  </si>
  <si>
    <t>NCBKSAJE</t>
  </si>
  <si>
    <t>Sales Executive</t>
  </si>
  <si>
    <t>RT Crane</t>
  </si>
  <si>
    <t>110 Ton RT Crance with Aramco Certified Operator</t>
  </si>
  <si>
    <t>Crane Mob &amp; De-Mob. Charge</t>
  </si>
  <si>
    <t>Mob. &amp; De-Mob. / per unit - lump sum</t>
    <phoneticPr fontId="3" type="noConversion"/>
  </si>
  <si>
    <t>L / S</t>
    <phoneticPr fontId="10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</si>
  <si>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-MRS-0183</t>
    </r>
  </si>
  <si>
    <t>FZ-OFFR-2025-1777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</si>
</sst>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1"/>
      <c r="C1" s="111"/>
      <c r="D1" s="111"/>
      <c r="E1" s="111"/>
      <c r="F1" s="111"/>
      <c r="G1" s="1"/>
      <c r="J1" s="144" t="s">
        <v>101</v>
      </c>
      <c r="K1" s="145"/>
      <c r="L1" s="146"/>
    </row>
    <row r="2" spans="1:19" ht="20.100000000000001" customHeight="1">
      <c r="A2" s="3" t="s">
        <v>102</v>
      </c>
      <c r="B2" s="102"/>
      <c r="C2" s="102"/>
      <c r="D2" s="3" t="s">
        <v>103</v>
      </c>
      <c r="E2" s="102"/>
      <c r="F2" s="102"/>
      <c r="G2" s="102"/>
      <c r="H2" s="102"/>
      <c r="I2" s="4"/>
      <c r="J2" s="147" t="s">
        <v>104</v>
      </c>
      <c r="K2" s="148"/>
      <c r="L2" s="149"/>
    </row>
    <row r="3" spans="1:19" ht="20.100000000000001" customHeight="1">
      <c r="A3" s="3" t="s">
        <v>131</v>
      </c>
      <c r="B3" s="102"/>
      <c r="C3" s="102"/>
      <c r="D3" s="102"/>
      <c r="E3" s="150">
        <f>+L3</f>
        <v>46006</v>
      </c>
      <c r="F3" s="150"/>
      <c r="G3" s="150"/>
      <c r="H3" s="150"/>
      <c r="I3" s="150"/>
      <c r="J3" s="102"/>
      <c r="K3" s="102"/>
      <c r="L3" s="123">
        <v>46006</v>
      </c>
      <c r="M3" s="4"/>
    </row>
    <row r="4" spans="1:19" ht="15.95" customHeight="1">
      <c r="A4" s="151" t="s">
        <v>1</v>
      </c>
      <c r="B4" s="152" t="s">
        <v>2</v>
      </c>
      <c r="C4" s="152"/>
      <c r="D4" s="153" t="s">
        <v>3</v>
      </c>
      <c r="E4" s="154"/>
      <c r="F4" s="155"/>
      <c r="G4" s="159" t="s">
        <v>4</v>
      </c>
      <c r="H4" s="161" t="s">
        <v>5</v>
      </c>
      <c r="I4" s="161" t="s">
        <v>94</v>
      </c>
      <c r="J4" s="151" t="s">
        <v>95</v>
      </c>
      <c r="K4" s="161" t="s">
        <v>0</v>
      </c>
      <c r="L4" s="152" t="s">
        <v>6</v>
      </c>
    </row>
    <row r="5" spans="1:19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9" ht="22.5" customHeight="1">
      <c r="A6" s="5">
        <f t="shared" ref="A6:A15" si="0">ROW(A1)</f>
        <v>1</v>
      </c>
      <c r="B6" s="132" t="s">
        <v>126</v>
      </c>
      <c r="C6" s="133"/>
      <c r="D6" s="134" t="s">
        <v>127</v>
      </c>
      <c r="E6" s="135"/>
      <c r="F6" s="136"/>
      <c r="G6" s="112" t="s">
        <v>89</v>
      </c>
      <c r="H6" s="113">
        <v>1</v>
      </c>
      <c r="I6" s="114">
        <v>106000</v>
      </c>
      <c r="J6" s="114">
        <f>H6*I6</f>
        <v>106000</v>
      </c>
      <c r="K6" s="115" t="s">
        <v>96</v>
      </c>
      <c r="L6" s="116" t="s">
        <v>99</v>
      </c>
      <c r="S6" s="107"/>
    </row>
    <row r="7" spans="1:19" ht="22.5" customHeight="1">
      <c r="A7" s="5">
        <f t="shared" si="0"/>
        <v>2</v>
      </c>
      <c r="B7" s="132" t="s">
        <v>128</v>
      </c>
      <c r="C7" s="133"/>
      <c r="D7" s="143" t="s">
        <v>129</v>
      </c>
      <c r="E7" s="135"/>
      <c r="F7" s="136"/>
      <c r="G7" s="112" t="s">
        <v>130</v>
      </c>
      <c r="H7" s="113">
        <v>1</v>
      </c>
      <c r="I7" s="114">
        <v>10000</v>
      </c>
      <c r="J7" s="114">
        <f>H7*I7</f>
        <v>10000</v>
      </c>
      <c r="K7" s="115"/>
      <c r="L7" s="116"/>
      <c r="S7" s="107"/>
    </row>
    <row r="8" spans="1:19" ht="22.5" customHeight="1">
      <c r="A8" s="5">
        <f t="shared" si="0"/>
        <v>3</v>
      </c>
      <c r="B8" s="132"/>
      <c r="C8" s="133"/>
      <c r="D8" s="143"/>
      <c r="E8" s="135"/>
      <c r="F8" s="136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32"/>
      <c r="C9" s="133"/>
      <c r="D9" s="134"/>
      <c r="E9" s="135"/>
      <c r="F9" s="136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41"/>
      <c r="C10" s="141"/>
      <c r="D10" s="142"/>
      <c r="E10" s="142"/>
      <c r="F10" s="142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32"/>
      <c r="C11" s="133"/>
      <c r="D11" s="134"/>
      <c r="E11" s="135"/>
      <c r="F11" s="136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41"/>
      <c r="C12" s="141"/>
      <c r="D12" s="142"/>
      <c r="E12" s="142"/>
      <c r="F12" s="142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32"/>
      <c r="C13" s="133"/>
      <c r="D13" s="134"/>
      <c r="E13" s="135"/>
      <c r="F13" s="136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32"/>
      <c r="C14" s="133"/>
      <c r="D14" s="134"/>
      <c r="E14" s="135"/>
      <c r="F14" s="136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32"/>
      <c r="C15" s="133"/>
      <c r="D15" s="134"/>
      <c r="E15" s="135"/>
      <c r="F15" s="136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7" t="s">
        <v>7</v>
      </c>
      <c r="B16" s="138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116000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9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40"/>
      <c r="T19" s="14"/>
      <c r="U19" s="15"/>
      <c r="V19" s="14"/>
    </row>
    <row r="20" spans="1:22" ht="17.100000000000001" customHeight="1">
      <c r="O20" s="11"/>
      <c r="P20" s="11"/>
      <c r="Q20" s="11"/>
      <c r="S20" s="129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8" t="s">
        <v>16</v>
      </c>
      <c r="Q21" s="128" t="s">
        <v>17</v>
      </c>
    </row>
    <row r="22" spans="1:22" ht="18" customHeight="1">
      <c r="O22" s="18" t="s">
        <v>18</v>
      </c>
      <c r="P22" s="130"/>
      <c r="Q22" s="130"/>
      <c r="S22" s="139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40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9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1"/>
      <c r="P27" s="131"/>
      <c r="Q27" s="131"/>
    </row>
    <row r="28" spans="1:22" ht="19.899999999999999" customHeight="1">
      <c r="O28" s="131"/>
      <c r="P28" s="131"/>
      <c r="Q28" s="13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8" t="s">
        <v>20</v>
      </c>
    </row>
    <row r="41" spans="15:22" ht="19.899999999999999" customHeight="1">
      <c r="T41" s="130"/>
    </row>
    <row r="42" spans="15:22" ht="64.900000000000006" customHeight="1">
      <c r="T42" s="14"/>
    </row>
    <row r="46" spans="15:22" ht="21" customHeight="1">
      <c r="O46" s="128" t="s">
        <v>20</v>
      </c>
      <c r="P46" s="128" t="s">
        <v>20</v>
      </c>
      <c r="Q46" s="128" t="s">
        <v>20</v>
      </c>
      <c r="T46" s="128" t="s">
        <v>21</v>
      </c>
      <c r="U46" s="128" t="s">
        <v>12</v>
      </c>
      <c r="V46" s="128" t="s">
        <v>20</v>
      </c>
    </row>
    <row r="47" spans="15:22" ht="21" customHeight="1">
      <c r="O47" s="130"/>
      <c r="P47" s="130"/>
      <c r="Q47" s="130"/>
      <c r="T47" s="129"/>
      <c r="U47" s="129"/>
      <c r="V47" s="13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8" t="s">
        <v>20</v>
      </c>
      <c r="P50" s="128" t="s">
        <v>20</v>
      </c>
      <c r="Q50" s="128" t="s">
        <v>20</v>
      </c>
      <c r="T50" s="128" t="s">
        <v>12</v>
      </c>
      <c r="U50" s="128" t="s">
        <v>21</v>
      </c>
      <c r="V50" s="128" t="s">
        <v>20</v>
      </c>
    </row>
    <row r="51" spans="15:22" ht="21" customHeight="1">
      <c r="O51" s="130"/>
      <c r="P51" s="130"/>
      <c r="Q51" s="130"/>
      <c r="T51" s="129"/>
      <c r="U51" s="129"/>
      <c r="V51" s="13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3" t="str">
        <f>+MRS!J1</f>
        <v>DAESHIN PLANT</v>
      </c>
      <c r="K1" s="17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5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SAC2-DS-MRS-0183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46006</v>
      </c>
    </row>
    <row r="4" spans="1:18" ht="15.95" customHeight="1">
      <c r="A4" s="177" t="s">
        <v>1</v>
      </c>
      <c r="B4" s="178" t="s">
        <v>22</v>
      </c>
      <c r="C4" s="178"/>
      <c r="D4" s="177" t="s">
        <v>3</v>
      </c>
      <c r="E4" s="177"/>
      <c r="F4" s="177"/>
      <c r="G4" s="178" t="s">
        <v>4</v>
      </c>
      <c r="H4" s="177" t="s">
        <v>90</v>
      </c>
      <c r="I4" s="177" t="s">
        <v>23</v>
      </c>
      <c r="J4" s="177" t="s">
        <v>24</v>
      </c>
      <c r="K4" s="178" t="s">
        <v>6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21">
        <f>+MRS!A6</f>
        <v>1</v>
      </c>
      <c r="B6" s="168" t="str">
        <f>MRS!B6</f>
        <v>RT Crane</v>
      </c>
      <c r="C6" s="169"/>
      <c r="D6" s="170" t="str">
        <f>MRS!D6</f>
        <v>110 Ton RT Crance with Aramco Certified Operator</v>
      </c>
      <c r="E6" s="171"/>
      <c r="F6" s="172"/>
      <c r="G6" s="104" t="str">
        <f>MRS!G6</f>
        <v>Month</v>
      </c>
      <c r="H6" s="104">
        <f>MRS!H6</f>
        <v>1</v>
      </c>
      <c r="I6" s="105">
        <f>MRS!I6</f>
        <v>106000</v>
      </c>
      <c r="J6" s="105">
        <f>MRS!J6</f>
        <v>106000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8" t="str">
        <f>MRS!B7</f>
        <v>Crane Mob &amp; De-Mob. Charge</v>
      </c>
      <c r="C7" s="169"/>
      <c r="D7" s="170" t="str">
        <f>MRS!D7</f>
        <v>Mob. &amp; De-Mob. / per unit - lump sum</v>
      </c>
      <c r="E7" s="171"/>
      <c r="F7" s="172"/>
      <c r="G7" s="104" t="str">
        <f>MRS!G7</f>
        <v>L / S</v>
      </c>
      <c r="H7" s="104">
        <f>MRS!H7</f>
        <v>1</v>
      </c>
      <c r="I7" s="105">
        <f>MRS!I7</f>
        <v>10000</v>
      </c>
      <c r="J7" s="105">
        <f>MRS!J7</f>
        <v>10000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I9" sqref="I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80">
        <f>MRS!L3</f>
        <v>46006</v>
      </c>
      <c r="L10" s="181"/>
      <c r="M10" s="181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82" t="str">
        <f>SUBSTITUTE(SUBSTITUTE(+MRS!A3,"  MRS No : ",""),"-MRS","-PO")</f>
        <v>SAC2-DS-PO-0183</v>
      </c>
      <c r="L11" s="182"/>
      <c r="M11" s="182"/>
    </row>
    <row r="12" spans="2:13" s="39" customFormat="1">
      <c r="B12" s="72"/>
      <c r="C12" s="75" t="s">
        <v>35</v>
      </c>
      <c r="D12" s="39" t="s">
        <v>109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132</v>
      </c>
    </row>
    <row r="15" spans="2:13" s="39" customFormat="1">
      <c r="B15" s="72"/>
      <c r="C15" s="77" t="s">
        <v>111</v>
      </c>
      <c r="J15" s="39" t="s">
        <v>39</v>
      </c>
      <c r="K15" s="78">
        <v>45988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3" t="s">
        <v>40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41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42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43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5" t="s">
        <v>127</v>
      </c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7" t="s">
        <v>99</v>
      </c>
      <c r="G29" s="187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7"/>
      <c r="G30" s="187"/>
    </row>
    <row r="31" spans="2:13" ht="12" customHeight="1">
      <c r="B31" s="32"/>
      <c r="C31" s="26" t="s">
        <v>50</v>
      </c>
      <c r="D31" s="35"/>
      <c r="E31" s="26" t="s">
        <v>48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64</v>
      </c>
      <c r="C54" s="126" t="s">
        <v>113</v>
      </c>
      <c r="F54" s="26" t="s">
        <v>121</v>
      </c>
      <c r="P54" s="26" t="str">
        <f>UPPER(F54)</f>
        <v>FOUR ZONE CONTRACTING EST.</v>
      </c>
    </row>
    <row r="55" spans="2:16" ht="12" customHeight="1">
      <c r="B55" s="84" t="s">
        <v>64</v>
      </c>
      <c r="C55" s="126" t="s">
        <v>114</v>
      </c>
      <c r="F55" s="127" t="s">
        <v>122</v>
      </c>
    </row>
    <row r="56" spans="2:16" ht="12" customHeight="1">
      <c r="B56" s="84" t="s">
        <v>64</v>
      </c>
      <c r="C56" s="126" t="s">
        <v>115</v>
      </c>
      <c r="F56" s="127" t="s">
        <v>122</v>
      </c>
    </row>
    <row r="57" spans="2:16" ht="12" customHeight="1">
      <c r="B57" s="84" t="s">
        <v>64</v>
      </c>
      <c r="C57" s="126" t="s">
        <v>116</v>
      </c>
      <c r="F57" s="26" t="s">
        <v>123</v>
      </c>
    </row>
    <row r="58" spans="2:16" ht="12" customHeight="1">
      <c r="B58" s="84" t="s">
        <v>64</v>
      </c>
      <c r="C58" s="126" t="s">
        <v>117</v>
      </c>
      <c r="F58" s="26" t="s">
        <v>124</v>
      </c>
    </row>
    <row r="59" spans="2:16" ht="12" customHeight="1">
      <c r="B59" s="84" t="s">
        <v>64</v>
      </c>
      <c r="C59" s="126" t="s">
        <v>118</v>
      </c>
      <c r="F59" s="26" t="s">
        <v>119</v>
      </c>
    </row>
    <row r="60" spans="2:16" ht="12" customHeight="1">
      <c r="B60" s="84"/>
      <c r="C60" s="126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125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107</v>
      </c>
      <c r="J70" s="25" t="str">
        <f>C9</f>
        <v>FZCE(Four Zone Contracting Est.)</v>
      </c>
    </row>
    <row r="71" spans="1:13" ht="27.95" customHeight="1">
      <c r="A71" s="179" t="s">
        <v>74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7" sqref="G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SAC2-DS-PO-0183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46006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FZCE(Four Zone Contracting Est.)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50</v>
      </c>
      <c r="H5" s="20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8" t="str">
        <f>CONCATENATE(MRS!B6," ",MRS!D6)</f>
        <v>RT Crane 110 Ton RT Crance with Aramco Certified Operator</v>
      </c>
      <c r="C6" s="209"/>
      <c r="D6" s="86" t="str">
        <f>+'MRS LIST'!G6</f>
        <v>Month</v>
      </c>
      <c r="E6" s="87">
        <f>+'MRS LIST'!H6</f>
        <v>1</v>
      </c>
      <c r="F6" s="88">
        <f>+'MRS LIST'!I6</f>
        <v>106000</v>
      </c>
      <c r="G6" s="89">
        <f>+'MRS LIST'!J6</f>
        <v>106000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8" t="str">
        <f>CONCATENATE(MRS!B7," ",MRS!D7)</f>
        <v>Crane Mob &amp; De-Mob. Charge Mob. &amp; De-Mob. / per unit - lump sum</v>
      </c>
      <c r="C7" s="209"/>
      <c r="D7" s="86" t="str">
        <f>+'MRS LIST'!G7</f>
        <v>L / S</v>
      </c>
      <c r="E7" s="87">
        <f>+'MRS LIST'!H7</f>
        <v>1</v>
      </c>
      <c r="F7" s="88">
        <f>+'MRS LIST'!I7</f>
        <v>10000</v>
      </c>
      <c r="G7" s="89">
        <f>+'MRS LIST'!J7</f>
        <v>10000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8"/>
      <c r="C8" s="209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2"/>
      <c r="C9" s="19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2"/>
      <c r="C10" s="19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2"/>
      <c r="C12" s="19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2"/>
      <c r="C13" s="19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2"/>
      <c r="C14" s="19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2"/>
      <c r="C15" s="19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2"/>
      <c r="C16" s="19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2"/>
      <c r="C17" s="193"/>
      <c r="D17" s="94"/>
      <c r="E17" s="95"/>
      <c r="F17" s="96"/>
      <c r="G17" s="97"/>
      <c r="H17" s="98"/>
    </row>
    <row r="18" spans="1:13" s="55" customFormat="1" ht="23.1" customHeight="1">
      <c r="A18" s="188" t="s">
        <v>85</v>
      </c>
      <c r="B18" s="189"/>
      <c r="C18" s="189"/>
      <c r="D18" s="189"/>
      <c r="E18" s="189"/>
      <c r="F18" s="189"/>
      <c r="G18" s="58">
        <f>SUM(G6:G17)</f>
        <v>116000</v>
      </c>
      <c r="H18" s="59"/>
    </row>
    <row r="19" spans="1:13" s="55" customFormat="1" ht="23.1" customHeight="1">
      <c r="A19" s="188" t="s">
        <v>49</v>
      </c>
      <c r="B19" s="189"/>
      <c r="C19" s="189"/>
      <c r="D19" s="189"/>
      <c r="E19" s="189"/>
      <c r="F19" s="189"/>
      <c r="G19" s="58">
        <f>+G18*0.15</f>
        <v>17400</v>
      </c>
      <c r="H19" s="59"/>
    </row>
    <row r="20" spans="1:13" s="55" customFormat="1" ht="24.95" customHeight="1" thickBot="1">
      <c r="A20" s="190" t="s">
        <v>86</v>
      </c>
      <c r="B20" s="191"/>
      <c r="C20" s="191"/>
      <c r="D20" s="191"/>
      <c r="E20" s="191"/>
      <c r="F20" s="191"/>
      <c r="G20" s="60">
        <f>G19+G18</f>
        <v>133400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FZ-OFFR-2025-1777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88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2025-12-15T06:30:36Z</cp:lastPrinted>
  <dcterms:created xsi:type="dcterms:W3CDTF">2024-10-20T11:50:19Z</dcterms:created>
  <dcterms:modified xsi:type="dcterms:W3CDTF">2025-12-15T06:30:38Z</dcterms:modified>
</cp:coreProperties>
</file>