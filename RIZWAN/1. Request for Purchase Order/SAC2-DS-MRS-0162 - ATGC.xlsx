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3C71E25-AA5A-4566-BB2A-7FDA1E806167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LIST'!$A$1:$K$27</definedName>
    <definedName name="_xlnm.Print_Area" localSheetId="2">'PO 1st page'!$A$1:$N$63</definedName>
    <definedName name="_xlnm.Print_Area" localSheetId="3">'PO 2nd page'!$A$1:$H$34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4" l="1"/>
  <c r="A14" i="4"/>
  <c r="A15" i="4"/>
  <c r="A16" i="4"/>
  <c r="J25" i="2"/>
  <c r="J26" i="2"/>
  <c r="J27" i="2"/>
  <c r="H7" i="2"/>
  <c r="I7" i="2"/>
  <c r="H8" i="2"/>
  <c r="I8" i="2"/>
  <c r="H9" i="2"/>
  <c r="I9" i="2"/>
  <c r="H10" i="2"/>
  <c r="I10" i="2"/>
  <c r="H11" i="2"/>
  <c r="I11" i="2"/>
  <c r="H12" i="2"/>
  <c r="E12" i="4" s="1"/>
  <c r="I12" i="2"/>
  <c r="F12" i="4" s="1"/>
  <c r="H13" i="2"/>
  <c r="E13" i="4" s="1"/>
  <c r="I13" i="2"/>
  <c r="F13" i="4" s="1"/>
  <c r="H14" i="2"/>
  <c r="E14" i="4" s="1"/>
  <c r="I14" i="2"/>
  <c r="F14" i="4" s="1"/>
  <c r="H15" i="2"/>
  <c r="E15" i="4" s="1"/>
  <c r="I15" i="2"/>
  <c r="F15" i="4" s="1"/>
  <c r="H16" i="2"/>
  <c r="E16" i="4" s="1"/>
  <c r="I16" i="2"/>
  <c r="F16" i="4" s="1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J23" i="2"/>
  <c r="H24" i="2"/>
  <c r="I24" i="2"/>
  <c r="J24" i="2"/>
  <c r="H25" i="2"/>
  <c r="I25" i="2"/>
  <c r="H26" i="2"/>
  <c r="I26" i="2"/>
  <c r="H27" i="2"/>
  <c r="I27" i="2"/>
  <c r="G7" i="2"/>
  <c r="G8" i="2"/>
  <c r="G9" i="2"/>
  <c r="G10" i="2"/>
  <c r="G11" i="2"/>
  <c r="G12" i="2"/>
  <c r="D12" i="4" s="1"/>
  <c r="G13" i="2"/>
  <c r="G14" i="2"/>
  <c r="D14" i="4" s="1"/>
  <c r="G15" i="2"/>
  <c r="D15" i="4" s="1"/>
  <c r="G16" i="2"/>
  <c r="D16" i="4" s="1"/>
  <c r="G17" i="2"/>
  <c r="G18" i="2"/>
  <c r="G19" i="2"/>
  <c r="G20" i="2"/>
  <c r="G21" i="2"/>
  <c r="G22" i="2"/>
  <c r="G23" i="2"/>
  <c r="G24" i="2"/>
  <c r="G25" i="2"/>
  <c r="G26" i="2"/>
  <c r="G2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B7" i="2"/>
  <c r="B8" i="2"/>
  <c r="B9" i="2"/>
  <c r="B10" i="2"/>
  <c r="B11" i="2"/>
  <c r="B12" i="2"/>
  <c r="B12" i="4" s="1"/>
  <c r="B13" i="2"/>
  <c r="B13" i="4" s="1"/>
  <c r="B14" i="2"/>
  <c r="B14" i="4" s="1"/>
  <c r="B15" i="2"/>
  <c r="B15" i="4" s="1"/>
  <c r="B16" i="2"/>
  <c r="B16" i="4" s="1"/>
  <c r="B17" i="2"/>
  <c r="B18" i="2"/>
  <c r="B19" i="2"/>
  <c r="B20" i="2"/>
  <c r="B21" i="2"/>
  <c r="B22" i="2"/>
  <c r="B23" i="2"/>
  <c r="B24" i="2"/>
  <c r="B25" i="2"/>
  <c r="B26" i="2"/>
  <c r="B27" i="2"/>
  <c r="J22" i="2"/>
  <c r="J21" i="2"/>
  <c r="J20" i="2"/>
  <c r="J19" i="2"/>
  <c r="J18" i="2"/>
  <c r="A8" i="1"/>
  <c r="A9" i="1"/>
  <c r="A10" i="1"/>
  <c r="A11" i="1"/>
  <c r="A12" i="1"/>
  <c r="A13" i="1"/>
  <c r="A14" i="1"/>
  <c r="A15" i="1"/>
  <c r="A16" i="1"/>
  <c r="A12" i="4"/>
  <c r="D13" i="4"/>
  <c r="J12" i="1"/>
  <c r="J13" i="1"/>
  <c r="J13" i="2" s="1"/>
  <c r="J14" i="1"/>
  <c r="J14" i="2" s="1"/>
  <c r="J15" i="1"/>
  <c r="J15" i="2" s="1"/>
  <c r="J16" i="1"/>
  <c r="J16" i="2" s="1"/>
  <c r="J17" i="2"/>
  <c r="G15" i="4" l="1"/>
  <c r="G13" i="4"/>
  <c r="J12" i="2"/>
  <c r="G12" i="4" s="1"/>
  <c r="G16" i="4"/>
  <c r="G14" i="4"/>
  <c r="A12" i="2"/>
  <c r="A13" i="2"/>
  <c r="A14" i="2"/>
  <c r="A15" i="2"/>
  <c r="A16" i="2"/>
  <c r="J10" i="1"/>
  <c r="J10" i="2" s="1"/>
  <c r="J9" i="1"/>
  <c r="J9" i="2" s="1"/>
  <c r="J8" i="1"/>
  <c r="J8" i="2" s="1"/>
  <c r="J7" i="1"/>
  <c r="J7" i="2" s="1"/>
  <c r="F11" i="4" l="1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J11" i="1"/>
  <c r="J11" i="2" s="1"/>
  <c r="G10" i="4"/>
  <c r="G9" i="4"/>
  <c r="G8" i="4"/>
  <c r="K59" i="3"/>
  <c r="E3" i="1"/>
  <c r="E7" i="4"/>
  <c r="D7" i="4"/>
  <c r="B7" i="4"/>
  <c r="G11" i="4" l="1"/>
  <c r="J6" i="1"/>
  <c r="K10" i="3"/>
  <c r="A31" i="4" l="1"/>
  <c r="G7" i="4"/>
  <c r="F7" i="4"/>
  <c r="I6" i="2"/>
  <c r="F6" i="4" s="1"/>
  <c r="H6" i="2"/>
  <c r="E6" i="4" s="1"/>
  <c r="G6" i="2"/>
  <c r="D6" i="4" s="1"/>
  <c r="D6" i="2"/>
  <c r="B6" i="2"/>
  <c r="B6" i="4" s="1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11" i="2"/>
  <c r="A10" i="2"/>
  <c r="A9" i="2"/>
  <c r="A8" i="2"/>
  <c r="A7" i="1"/>
  <c r="A7" i="2" s="1"/>
  <c r="A6" i="1"/>
  <c r="A6" i="2" s="1"/>
  <c r="J17" i="1" l="1"/>
  <c r="J6" i="2"/>
  <c r="G6" i="4" s="1"/>
  <c r="G28" i="4" l="1"/>
  <c r="F29" i="3" s="1"/>
  <c r="G29" i="4" l="1"/>
  <c r="G30" i="4" s="1"/>
  <c r="F31" i="3" s="1"/>
  <c r="F30" i="3" l="1"/>
</calcChain>
</file>

<file path=xl/sharedStrings.xml><?xml version="1.0" encoding="utf-8"?>
<sst xmlns="http://schemas.openxmlformats.org/spreadsheetml/2006/main" count="177" uniqueCount="136">
  <si>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</si>
  <si>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</si>
  <si>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</si>
  <si>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</si>
  <si>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</si>
  <si>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</si>
  <si>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</si>
  <si>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</si>
  <si>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</si>
  <si>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</si>
  <si>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</si>
  <si>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</si>
  <si>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</si>
  <si>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</si>
  <si>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</si>
  <si>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</si>
  <si>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</si>
  <si>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</si>
  <si>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</si>
  <si>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</si>
  <si>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</si>
  <si>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</si>
  <si>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</si>
  <si>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</si>
  <si>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</si>
  <si>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</si>
  <si>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</si>
  <si>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</si>
  <si>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</si>
  <si>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</si>
  <si>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</si>
  <si>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</si>
  <si>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</si>
  <si>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</si>
  <si>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</si>
  <si>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</si>
  <si>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</si>
  <si>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</si>
  <si>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</si>
  <si>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</si>
  <si>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</si>
  <si>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</si>
  <si>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</si>
  <si>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</si>
  <si>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</si>
  <si>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</si>
  <si>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</si>
  <si>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</si>
  <si>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</si>
  <si>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</si>
  <si>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</si>
  <si>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</si>
  <si>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</si>
  <si>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</si>
  <si>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</si>
  <si>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</si>
  <si>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</si>
  <si>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</si>
  <si>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</si>
  <si>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</si>
  <si>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</si>
  <si>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</si>
  <si>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</si>
  <si>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</si>
  <si>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</si>
  <si>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</si>
  <si>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</si>
  <si>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</si>
  <si>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</si>
  <si>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</si>
  <si>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</si>
  <si>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</si>
  <si>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</si>
  <si>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</si>
  <si>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</si>
  <si>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</si>
  <si>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</si>
  <si>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</si>
  <si>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</si>
  <si>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</si>
  <si>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</si>
  <si>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</si>
  <si>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</si>
  <si>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</si>
  <si>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</si>
  <si>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</si>
  <si>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</si>
  <si>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</si>
  <si>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</si>
  <si>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</si>
  <si>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</si>
  <si>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</si>
  <si>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</si>
  <si>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</si>
  <si>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</si>
  <si>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</si>
  <si>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</si>
  <si>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</si>
  <si>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</si>
  <si>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</si>
  <si>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</si>
  <si>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</si>
  <si>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</si>
  <si>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</si>
  <si>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</si>
  <si>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Safety Shoes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</si>
  <si>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</si>
  <si>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</si>
  <si>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</si>
  <si>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</si>
  <si>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</si>
  <si>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</si>
  <si>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</si>
  <si>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</si>
  <si>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</si>
  <si>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Pair</t>
  </si>
  <si>
    <t>Kangaro</t>
  </si>
  <si>
    <t>Box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</si>
  <si>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-MRS-0162</t>
    </r>
  </si>
  <si>
    <t>Hard Disk</t>
  </si>
  <si>
    <t>WD 1TB</t>
  </si>
  <si>
    <t>Xerox Versalink Drum Unit</t>
  </si>
  <si>
    <t>Cyan, Magenta, Yellow, Black</t>
  </si>
  <si>
    <t>Size 42</t>
  </si>
  <si>
    <t>Stamp Pad</t>
  </si>
  <si>
    <t>Staples</t>
  </si>
  <si>
    <t>26/6-5MM Kangaro 10Pkt/Box</t>
  </si>
  <si>
    <t>2 Hole Punch</t>
  </si>
  <si>
    <t>Speaker</t>
  </si>
  <si>
    <t>Amplifier</t>
  </si>
  <si>
    <t>30W</t>
  </si>
  <si>
    <t>Steel Cabinet</t>
  </si>
  <si>
    <t>TP Link Wireless Router</t>
  </si>
  <si>
    <t>Magnnetic White Board</t>
  </si>
  <si>
    <t>60*90CM</t>
  </si>
  <si>
    <t>QUO-MAT-25111207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</si>
</sst>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54" fillId="0" borderId="12" xfId="0" applyFont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view="pageBreakPreview" zoomScale="95" zoomScaleNormal="95" zoomScaleSheetLayoutView="95" workbookViewId="0">
      <selection activeCell="H17" sqref="H1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28" t="s">
        <v>101</v>
      </c>
      <c r="K2" s="129"/>
      <c r="L2" s="130"/>
    </row>
    <row r="3" spans="1:19" ht="20.100000000000001" customHeight="1">
      <c r="A3" s="3" t="s">
        <v>118</v>
      </c>
      <c r="B3" s="92"/>
      <c r="C3" s="92"/>
      <c r="D3" s="92"/>
      <c r="E3" s="131">
        <f>+L3</f>
        <v>45978</v>
      </c>
      <c r="F3" s="131"/>
      <c r="G3" s="131"/>
      <c r="H3" s="131"/>
      <c r="I3" s="131"/>
      <c r="J3" s="92"/>
      <c r="K3" s="92"/>
      <c r="L3" s="102">
        <v>45978</v>
      </c>
      <c r="M3" s="4"/>
    </row>
    <row r="4" spans="1:19" ht="15.95" customHeight="1">
      <c r="A4" s="132" t="s">
        <v>2</v>
      </c>
      <c r="B4" s="133" t="s">
        <v>3</v>
      </c>
      <c r="C4" s="133"/>
      <c r="D4" s="132" t="s">
        <v>4</v>
      </c>
      <c r="E4" s="132"/>
      <c r="F4" s="132"/>
      <c r="G4" s="133" t="s">
        <v>5</v>
      </c>
      <c r="H4" s="132" t="s">
        <v>6</v>
      </c>
      <c r="I4" s="132" t="s">
        <v>94</v>
      </c>
      <c r="J4" s="132" t="s">
        <v>95</v>
      </c>
      <c r="K4" s="132" t="s">
        <v>0</v>
      </c>
      <c r="L4" s="133" t="s">
        <v>7</v>
      </c>
    </row>
    <row r="5" spans="1:19" ht="15.95" customHeight="1">
      <c r="A5" s="132"/>
      <c r="B5" s="133"/>
      <c r="C5" s="133"/>
      <c r="D5" s="132"/>
      <c r="E5" s="132"/>
      <c r="F5" s="132"/>
      <c r="G5" s="133"/>
      <c r="H5" s="132"/>
      <c r="I5" s="132"/>
      <c r="J5" s="132"/>
      <c r="K5" s="132"/>
      <c r="L5" s="133"/>
    </row>
    <row r="6" spans="1:19" ht="22.5" customHeight="1">
      <c r="A6" s="104">
        <f t="shared" ref="A6:A16" si="0">ROW(A1)</f>
        <v>1</v>
      </c>
      <c r="B6" s="116" t="s">
        <v>119</v>
      </c>
      <c r="C6" s="116"/>
      <c r="D6" s="117" t="s">
        <v>120</v>
      </c>
      <c r="E6" s="117"/>
      <c r="F6" s="117"/>
      <c r="G6" s="105" t="s">
        <v>97</v>
      </c>
      <c r="H6" s="106">
        <v>1</v>
      </c>
      <c r="I6" s="107">
        <v>285</v>
      </c>
      <c r="J6" s="107">
        <f>H6*I6</f>
        <v>285</v>
      </c>
      <c r="K6" s="108" t="s">
        <v>98</v>
      </c>
      <c r="L6" s="109" t="s">
        <v>106</v>
      </c>
      <c r="S6" s="97"/>
    </row>
    <row r="7" spans="1:19" ht="22.5" customHeight="1">
      <c r="A7" s="104">
        <f t="shared" si="0"/>
        <v>2</v>
      </c>
      <c r="B7" s="116" t="s">
        <v>121</v>
      </c>
      <c r="C7" s="116"/>
      <c r="D7" s="117" t="s">
        <v>122</v>
      </c>
      <c r="E7" s="117"/>
      <c r="F7" s="117"/>
      <c r="G7" s="105" t="s">
        <v>97</v>
      </c>
      <c r="H7" s="106">
        <v>7</v>
      </c>
      <c r="I7" s="107">
        <v>1080</v>
      </c>
      <c r="J7" s="107">
        <f t="shared" ref="J7:J10" si="1">H7*I7</f>
        <v>7560</v>
      </c>
      <c r="K7" s="108"/>
      <c r="L7" s="109"/>
      <c r="S7" s="97"/>
    </row>
    <row r="8" spans="1:19" ht="22.5" customHeight="1">
      <c r="A8" s="104">
        <f t="shared" si="0"/>
        <v>3</v>
      </c>
      <c r="B8" s="116" t="s">
        <v>105</v>
      </c>
      <c r="C8" s="116"/>
      <c r="D8" s="117" t="s">
        <v>123</v>
      </c>
      <c r="E8" s="117"/>
      <c r="F8" s="117"/>
      <c r="G8" s="105" t="s">
        <v>115</v>
      </c>
      <c r="H8" s="106">
        <v>80</v>
      </c>
      <c r="I8" s="107">
        <v>63.5</v>
      </c>
      <c r="J8" s="107">
        <f t="shared" si="1"/>
        <v>5080</v>
      </c>
      <c r="K8" s="108"/>
      <c r="L8" s="109"/>
      <c r="S8" s="97"/>
    </row>
    <row r="9" spans="1:19" ht="22.5" customHeight="1">
      <c r="A9" s="104">
        <f t="shared" si="0"/>
        <v>4</v>
      </c>
      <c r="B9" s="116" t="s">
        <v>124</v>
      </c>
      <c r="C9" s="116"/>
      <c r="D9" s="117"/>
      <c r="E9" s="117"/>
      <c r="F9" s="117"/>
      <c r="G9" s="105" t="s">
        <v>97</v>
      </c>
      <c r="H9" s="106">
        <v>1</v>
      </c>
      <c r="I9" s="107">
        <v>19</v>
      </c>
      <c r="J9" s="107">
        <f t="shared" si="1"/>
        <v>19</v>
      </c>
      <c r="K9" s="108"/>
      <c r="L9" s="109"/>
      <c r="S9" s="97"/>
    </row>
    <row r="10" spans="1:19" ht="22.5" customHeight="1">
      <c r="A10" s="104">
        <f t="shared" si="0"/>
        <v>5</v>
      </c>
      <c r="B10" s="116" t="s">
        <v>125</v>
      </c>
      <c r="C10" s="116"/>
      <c r="D10" s="117" t="s">
        <v>126</v>
      </c>
      <c r="E10" s="117"/>
      <c r="F10" s="117"/>
      <c r="G10" s="105" t="s">
        <v>117</v>
      </c>
      <c r="H10" s="106">
        <v>2</v>
      </c>
      <c r="I10" s="107">
        <v>37</v>
      </c>
      <c r="J10" s="107">
        <f t="shared" si="1"/>
        <v>74</v>
      </c>
      <c r="K10" s="108"/>
      <c r="L10" s="105"/>
      <c r="S10" s="97"/>
    </row>
    <row r="11" spans="1:19" ht="22.5" customHeight="1">
      <c r="A11" s="104">
        <f t="shared" si="0"/>
        <v>6</v>
      </c>
      <c r="B11" s="116" t="s">
        <v>127</v>
      </c>
      <c r="C11" s="116"/>
      <c r="D11" s="117" t="s">
        <v>116</v>
      </c>
      <c r="E11" s="117"/>
      <c r="F11" s="117"/>
      <c r="G11" s="105" t="s">
        <v>97</v>
      </c>
      <c r="H11" s="106">
        <v>5</v>
      </c>
      <c r="I11" s="107">
        <v>30</v>
      </c>
      <c r="J11" s="107">
        <f t="shared" ref="J11:J16" si="2">H11*I11</f>
        <v>150</v>
      </c>
      <c r="K11" s="108"/>
      <c r="L11" s="109"/>
      <c r="S11" s="97"/>
    </row>
    <row r="12" spans="1:19" ht="22.5" customHeight="1">
      <c r="A12" s="104">
        <f t="shared" si="0"/>
        <v>7</v>
      </c>
      <c r="B12" s="116" t="s">
        <v>128</v>
      </c>
      <c r="C12" s="116"/>
      <c r="D12" s="117"/>
      <c r="E12" s="117"/>
      <c r="F12" s="117"/>
      <c r="G12" s="105" t="s">
        <v>97</v>
      </c>
      <c r="H12" s="106">
        <v>1</v>
      </c>
      <c r="I12" s="107">
        <v>150</v>
      </c>
      <c r="J12" s="107">
        <f t="shared" si="2"/>
        <v>150</v>
      </c>
      <c r="K12" s="108"/>
      <c r="L12" s="109"/>
      <c r="S12" s="97"/>
    </row>
    <row r="13" spans="1:19" ht="22.5" customHeight="1">
      <c r="A13" s="104">
        <f t="shared" si="0"/>
        <v>8</v>
      </c>
      <c r="B13" s="116" t="s">
        <v>129</v>
      </c>
      <c r="C13" s="116"/>
      <c r="D13" s="117" t="s">
        <v>130</v>
      </c>
      <c r="E13" s="117"/>
      <c r="F13" s="117"/>
      <c r="G13" s="105" t="s">
        <v>97</v>
      </c>
      <c r="H13" s="106">
        <v>1</v>
      </c>
      <c r="I13" s="107">
        <v>350</v>
      </c>
      <c r="J13" s="107">
        <f t="shared" si="2"/>
        <v>350</v>
      </c>
      <c r="K13" s="108"/>
      <c r="L13" s="109"/>
      <c r="S13" s="97"/>
    </row>
    <row r="14" spans="1:19" ht="22.5" customHeight="1">
      <c r="A14" s="104">
        <f t="shared" si="0"/>
        <v>9</v>
      </c>
      <c r="B14" s="116" t="s">
        <v>131</v>
      </c>
      <c r="C14" s="116"/>
      <c r="D14" s="117"/>
      <c r="E14" s="117"/>
      <c r="F14" s="117"/>
      <c r="G14" s="105" t="s">
        <v>97</v>
      </c>
      <c r="H14" s="106">
        <v>2</v>
      </c>
      <c r="I14" s="107">
        <v>660</v>
      </c>
      <c r="J14" s="107">
        <f t="shared" si="2"/>
        <v>1320</v>
      </c>
      <c r="K14" s="108"/>
      <c r="L14" s="109"/>
      <c r="S14" s="97"/>
    </row>
    <row r="15" spans="1:19" ht="22.5" customHeight="1">
      <c r="A15" s="104">
        <f t="shared" si="0"/>
        <v>10</v>
      </c>
      <c r="B15" s="116" t="s">
        <v>132</v>
      </c>
      <c r="C15" s="116"/>
      <c r="D15" s="117"/>
      <c r="E15" s="117"/>
      <c r="F15" s="117"/>
      <c r="G15" s="105" t="s">
        <v>97</v>
      </c>
      <c r="H15" s="106">
        <v>1</v>
      </c>
      <c r="I15" s="107">
        <v>106</v>
      </c>
      <c r="J15" s="107">
        <f t="shared" si="2"/>
        <v>106</v>
      </c>
      <c r="K15" s="108"/>
      <c r="L15" s="105"/>
      <c r="S15" s="97"/>
    </row>
    <row r="16" spans="1:19" ht="22.5" customHeight="1">
      <c r="A16" s="104">
        <f t="shared" si="0"/>
        <v>11</v>
      </c>
      <c r="B16" s="116" t="s">
        <v>133</v>
      </c>
      <c r="C16" s="116"/>
      <c r="D16" s="117" t="s">
        <v>134</v>
      </c>
      <c r="E16" s="117"/>
      <c r="F16" s="117"/>
      <c r="G16" s="105" t="s">
        <v>97</v>
      </c>
      <c r="H16" s="106">
        <v>1</v>
      </c>
      <c r="I16" s="107">
        <v>74</v>
      </c>
      <c r="J16" s="107">
        <f t="shared" si="2"/>
        <v>74</v>
      </c>
      <c r="K16" s="108"/>
      <c r="L16" s="109"/>
      <c r="S16" s="97"/>
    </row>
    <row r="17" spans="1:22" ht="26.25" customHeight="1">
      <c r="A17" s="122" t="s">
        <v>8</v>
      </c>
      <c r="B17" s="122"/>
      <c r="C17" s="112"/>
      <c r="D17" s="113"/>
      <c r="E17" s="113"/>
      <c r="F17" s="113"/>
      <c r="G17" s="114"/>
      <c r="H17" s="115"/>
      <c r="I17" s="111" t="s">
        <v>9</v>
      </c>
      <c r="J17" s="107">
        <f>SUM(J6:J16)</f>
        <v>15168</v>
      </c>
      <c r="K17" s="107"/>
      <c r="L17" s="110"/>
    </row>
    <row r="18" spans="1:22" ht="30" customHeight="1">
      <c r="A18" s="103" t="s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</row>
    <row r="19" spans="1:22" ht="18" customHeight="1">
      <c r="A19" s="7"/>
      <c r="J19" s="1"/>
      <c r="K19" s="1"/>
      <c r="O19" s="8"/>
      <c r="P19" s="8"/>
      <c r="Q19" s="8"/>
      <c r="S19" s="123" t="s">
        <v>11</v>
      </c>
      <c r="T19" s="9" t="s">
        <v>12</v>
      </c>
      <c r="U19" s="10" t="s">
        <v>13</v>
      </c>
      <c r="V19" s="9" t="s">
        <v>14</v>
      </c>
    </row>
    <row r="20" spans="1:22" ht="50.1" customHeight="1">
      <c r="S20" s="124"/>
      <c r="T20" s="11"/>
      <c r="U20" s="12"/>
      <c r="V20" s="11"/>
    </row>
    <row r="21" spans="1:22" ht="17.100000000000001" customHeight="1">
      <c r="O21" s="8"/>
      <c r="P21" s="8"/>
      <c r="Q21" s="8"/>
      <c r="S21" s="119"/>
      <c r="T21" s="12" t="s">
        <v>15</v>
      </c>
      <c r="U21" s="12" t="s">
        <v>15</v>
      </c>
      <c r="V21" s="13" t="s">
        <v>15</v>
      </c>
    </row>
    <row r="22" spans="1:22" ht="15" customHeight="1">
      <c r="O22" s="14" t="s">
        <v>16</v>
      </c>
      <c r="P22" s="118" t="s">
        <v>17</v>
      </c>
      <c r="Q22" s="118" t="s">
        <v>18</v>
      </c>
    </row>
    <row r="23" spans="1:22" ht="18" customHeight="1">
      <c r="O23" s="15" t="s">
        <v>19</v>
      </c>
      <c r="P23" s="120"/>
      <c r="Q23" s="120"/>
      <c r="S23" s="123" t="s">
        <v>20</v>
      </c>
      <c r="T23" s="9" t="s">
        <v>12</v>
      </c>
      <c r="U23" s="9" t="s">
        <v>13</v>
      </c>
      <c r="V23" s="9" t="s">
        <v>14</v>
      </c>
    </row>
    <row r="24" spans="1:22" ht="50.1" customHeight="1">
      <c r="O24" s="11"/>
      <c r="P24" s="11"/>
      <c r="Q24" s="11"/>
      <c r="S24" s="124"/>
      <c r="T24" s="16"/>
      <c r="U24" s="16"/>
      <c r="V24" s="11"/>
    </row>
    <row r="25" spans="1:22" ht="17.100000000000001" customHeight="1">
      <c r="O25" s="13" t="s">
        <v>15</v>
      </c>
      <c r="P25" s="13" t="s">
        <v>15</v>
      </c>
      <c r="Q25" s="13" t="s">
        <v>15</v>
      </c>
      <c r="S25" s="119"/>
      <c r="T25" s="12" t="s">
        <v>15</v>
      </c>
      <c r="U25" s="12" t="s">
        <v>15</v>
      </c>
      <c r="V25" s="13" t="s">
        <v>15</v>
      </c>
    </row>
    <row r="26" spans="1:22" ht="9.9499999999999993" customHeight="1"/>
    <row r="27" spans="1:22" ht="19.899999999999999" customHeight="1"/>
    <row r="28" spans="1:22" ht="17.45" customHeight="1">
      <c r="O28" s="121"/>
      <c r="P28" s="121"/>
      <c r="Q28" s="121"/>
    </row>
    <row r="29" spans="1:22" ht="19.899999999999999" customHeight="1">
      <c r="O29" s="121"/>
      <c r="P29" s="121"/>
      <c r="Q29" s="121"/>
    </row>
    <row r="30" spans="1:22" ht="14.25">
      <c r="O30" s="8"/>
      <c r="P30" s="8"/>
      <c r="Q30" s="8"/>
    </row>
    <row r="31" spans="1:22" ht="65.099999999999994" customHeight="1"/>
    <row r="32" spans="1:22" ht="14.25">
      <c r="O32" s="8"/>
      <c r="P32" s="8"/>
      <c r="Q32" s="8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18" t="s">
        <v>21</v>
      </c>
    </row>
    <row r="42" spans="15:22" ht="19.899999999999999" customHeight="1">
      <c r="T42" s="120"/>
    </row>
    <row r="43" spans="15:22" ht="64.900000000000006" customHeight="1">
      <c r="T43" s="11"/>
    </row>
    <row r="47" spans="15:22" ht="21" customHeight="1">
      <c r="O47" s="118" t="s">
        <v>21</v>
      </c>
      <c r="P47" s="118" t="s">
        <v>21</v>
      </c>
      <c r="Q47" s="118" t="s">
        <v>21</v>
      </c>
      <c r="T47" s="118" t="s">
        <v>22</v>
      </c>
      <c r="U47" s="118" t="s">
        <v>13</v>
      </c>
      <c r="V47" s="118" t="s">
        <v>21</v>
      </c>
    </row>
    <row r="48" spans="15:22" ht="21" customHeight="1">
      <c r="O48" s="120"/>
      <c r="P48" s="120"/>
      <c r="Q48" s="120"/>
      <c r="T48" s="119"/>
      <c r="U48" s="119"/>
      <c r="V48" s="120"/>
    </row>
    <row r="49" spans="15:22" ht="64.900000000000006" customHeight="1">
      <c r="O49" s="11"/>
      <c r="P49" s="11"/>
      <c r="Q49" s="11"/>
      <c r="T49" s="11"/>
      <c r="U49" s="12"/>
      <c r="V49" s="11"/>
    </row>
    <row r="50" spans="15:22" ht="7.15" customHeight="1"/>
    <row r="51" spans="15:22" ht="21" customHeight="1">
      <c r="O51" s="118" t="s">
        <v>21</v>
      </c>
      <c r="P51" s="118" t="s">
        <v>21</v>
      </c>
      <c r="Q51" s="118" t="s">
        <v>21</v>
      </c>
      <c r="T51" s="118" t="s">
        <v>13</v>
      </c>
      <c r="U51" s="118" t="s">
        <v>22</v>
      </c>
      <c r="V51" s="118" t="s">
        <v>21</v>
      </c>
    </row>
    <row r="52" spans="15:22" ht="21" customHeight="1">
      <c r="O52" s="120"/>
      <c r="P52" s="120"/>
      <c r="Q52" s="120"/>
      <c r="T52" s="119"/>
      <c r="U52" s="119"/>
      <c r="V52" s="120"/>
    </row>
    <row r="53" spans="15:22" ht="64.900000000000006" customHeight="1">
      <c r="O53" s="11"/>
      <c r="P53" s="11"/>
      <c r="Q53" s="11"/>
      <c r="T53" s="12"/>
      <c r="U53" s="11"/>
      <c r="V53" s="11"/>
    </row>
  </sheetData>
  <mergeCells count="5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5:C15"/>
    <mergeCell ref="D15:F15"/>
    <mergeCell ref="B16:C16"/>
    <mergeCell ref="D16:F16"/>
    <mergeCell ref="A17:B17"/>
    <mergeCell ref="S19:S21"/>
    <mergeCell ref="P22:P23"/>
    <mergeCell ref="Q22:Q23"/>
    <mergeCell ref="S23:S25"/>
    <mergeCell ref="O28:O29"/>
    <mergeCell ref="P28:P29"/>
    <mergeCell ref="Q28:Q29"/>
    <mergeCell ref="T41:T42"/>
    <mergeCell ref="O47:O48"/>
    <mergeCell ref="P47:P48"/>
    <mergeCell ref="Q47:Q48"/>
    <mergeCell ref="T47:T48"/>
    <mergeCell ref="U47:U48"/>
    <mergeCell ref="V47:V48"/>
    <mergeCell ref="O51:O52"/>
    <mergeCell ref="P51:P52"/>
    <mergeCell ref="Q51:Q52"/>
    <mergeCell ref="T51:T52"/>
    <mergeCell ref="U51:U52"/>
    <mergeCell ref="V51:V52"/>
    <mergeCell ref="B12:C12"/>
    <mergeCell ref="B13:C13"/>
    <mergeCell ref="B14:C14"/>
    <mergeCell ref="D12:F12"/>
    <mergeCell ref="D13:F13"/>
    <mergeCell ref="D14:F1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H6" sqref="H6:J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SAC2-DS-MRS-0162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45978</v>
      </c>
    </row>
    <row r="4" spans="1:18" ht="15.95" customHeight="1">
      <c r="A4" s="139" t="s">
        <v>2</v>
      </c>
      <c r="B4" s="140" t="s">
        <v>23</v>
      </c>
      <c r="C4" s="140"/>
      <c r="D4" s="139" t="s">
        <v>4</v>
      </c>
      <c r="E4" s="139"/>
      <c r="F4" s="139"/>
      <c r="G4" s="140" t="s">
        <v>5</v>
      </c>
      <c r="H4" s="139" t="s">
        <v>91</v>
      </c>
      <c r="I4" s="139" t="s">
        <v>24</v>
      </c>
      <c r="J4" s="139" t="s">
        <v>25</v>
      </c>
      <c r="K4" s="140" t="s">
        <v>7</v>
      </c>
    </row>
    <row r="5" spans="1:18" ht="15.95" customHeight="1">
      <c r="A5" s="139"/>
      <c r="B5" s="140"/>
      <c r="C5" s="140"/>
      <c r="D5" s="139"/>
      <c r="E5" s="139"/>
      <c r="F5" s="139"/>
      <c r="G5" s="140"/>
      <c r="H5" s="139"/>
      <c r="I5" s="139"/>
      <c r="J5" s="139"/>
      <c r="K5" s="140"/>
    </row>
    <row r="6" spans="1:18" ht="74.25" customHeight="1">
      <c r="A6" s="18">
        <f>+MRS!A6</f>
        <v>1</v>
      </c>
      <c r="B6" s="134" t="str">
        <f>MRS!B6</f>
        <v>Hard Disk</v>
      </c>
      <c r="C6" s="135"/>
      <c r="D6" s="136" t="str">
        <f>MRS!D6</f>
        <v>WD 1TB</v>
      </c>
      <c r="E6" s="137"/>
      <c r="F6" s="138"/>
      <c r="G6" s="94" t="str">
        <f>MRS!G6</f>
        <v>EA</v>
      </c>
      <c r="H6" s="94">
        <f>MRS!H6</f>
        <v>1</v>
      </c>
      <c r="I6" s="95">
        <f>MRS!I6</f>
        <v>285</v>
      </c>
      <c r="J6" s="95">
        <f>MRS!J6</f>
        <v>285</v>
      </c>
      <c r="K6" s="96"/>
      <c r="O6" s="97"/>
      <c r="P6" s="97"/>
      <c r="R6" s="97"/>
    </row>
    <row r="7" spans="1:18" ht="74.25" customHeight="1">
      <c r="A7" s="18">
        <f>+MRS!A7</f>
        <v>2</v>
      </c>
      <c r="B7" s="134" t="str">
        <f>MRS!B7</f>
        <v>Xerox Versalink Drum Unit</v>
      </c>
      <c r="C7" s="135"/>
      <c r="D7" s="136" t="str">
        <f>MRS!D7</f>
        <v>Cyan, Magenta, Yellow, Black</v>
      </c>
      <c r="E7" s="137"/>
      <c r="F7" s="138"/>
      <c r="G7" s="94" t="str">
        <f>MRS!G7</f>
        <v>EA</v>
      </c>
      <c r="H7" s="94">
        <f>MRS!H7</f>
        <v>7</v>
      </c>
      <c r="I7" s="95">
        <f>MRS!I7</f>
        <v>1080</v>
      </c>
      <c r="J7" s="95">
        <f>MRS!J7</f>
        <v>7560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34" t="str">
        <f>MRS!B8</f>
        <v>Safety Shoes</v>
      </c>
      <c r="C8" s="135"/>
      <c r="D8" s="136" t="str">
        <f>MRS!D8</f>
        <v>Size 42</v>
      </c>
      <c r="E8" s="137"/>
      <c r="F8" s="138"/>
      <c r="G8" s="94" t="str">
        <f>MRS!G8</f>
        <v>Pair</v>
      </c>
      <c r="H8" s="94">
        <f>MRS!H8</f>
        <v>80</v>
      </c>
      <c r="I8" s="95">
        <f>MRS!I8</f>
        <v>63.5</v>
      </c>
      <c r="J8" s="95">
        <f>MRS!J8</f>
        <v>5080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34" t="str">
        <f>MRS!B9</f>
        <v>Stamp Pad</v>
      </c>
      <c r="C9" s="135"/>
      <c r="D9" s="136">
        <f>MRS!D9</f>
        <v>0</v>
      </c>
      <c r="E9" s="137"/>
      <c r="F9" s="138"/>
      <c r="G9" s="94" t="str">
        <f>MRS!G9</f>
        <v>EA</v>
      </c>
      <c r="H9" s="94">
        <f>MRS!H9</f>
        <v>1</v>
      </c>
      <c r="I9" s="95">
        <f>MRS!I9</f>
        <v>19</v>
      </c>
      <c r="J9" s="95">
        <f>MRS!J9</f>
        <v>19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34" t="str">
        <f>MRS!B10</f>
        <v>Staples</v>
      </c>
      <c r="C10" s="135"/>
      <c r="D10" s="136" t="str">
        <f>MRS!D10</f>
        <v>26/6-5MM Kangaro 10Pkt/Box</v>
      </c>
      <c r="E10" s="137"/>
      <c r="F10" s="138"/>
      <c r="G10" s="94" t="str">
        <f>MRS!G10</f>
        <v>Box</v>
      </c>
      <c r="H10" s="94">
        <f>MRS!H10</f>
        <v>2</v>
      </c>
      <c r="I10" s="95">
        <f>MRS!I10</f>
        <v>37</v>
      </c>
      <c r="J10" s="95">
        <f>MRS!J10</f>
        <v>74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34" t="str">
        <f>MRS!B11</f>
        <v>2 Hole Punch</v>
      </c>
      <c r="C11" s="135"/>
      <c r="D11" s="136" t="str">
        <f>MRS!D11</f>
        <v>Kangaro</v>
      </c>
      <c r="E11" s="137"/>
      <c r="F11" s="138"/>
      <c r="G11" s="94" t="str">
        <f>MRS!G11</f>
        <v>EA</v>
      </c>
      <c r="H11" s="94">
        <f>MRS!H11</f>
        <v>5</v>
      </c>
      <c r="I11" s="95">
        <f>MRS!I11</f>
        <v>30</v>
      </c>
      <c r="J11" s="95">
        <f>MRS!J11</f>
        <v>150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34" t="str">
        <f>MRS!B12</f>
        <v>Speaker</v>
      </c>
      <c r="C12" s="135"/>
      <c r="D12" s="136">
        <f>MRS!D12</f>
        <v>0</v>
      </c>
      <c r="E12" s="137"/>
      <c r="F12" s="138"/>
      <c r="G12" s="94" t="str">
        <f>MRS!G12</f>
        <v>EA</v>
      </c>
      <c r="H12" s="94">
        <f>MRS!H12</f>
        <v>1</v>
      </c>
      <c r="I12" s="95">
        <f>MRS!I12</f>
        <v>150</v>
      </c>
      <c r="J12" s="95">
        <f>MRS!J12</f>
        <v>150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34" t="str">
        <f>MRS!B13</f>
        <v>Amplifier</v>
      </c>
      <c r="C13" s="135"/>
      <c r="D13" s="136" t="str">
        <f>MRS!D13</f>
        <v>30W</v>
      </c>
      <c r="E13" s="137"/>
      <c r="F13" s="138"/>
      <c r="G13" s="94" t="str">
        <f>MRS!G13</f>
        <v>EA</v>
      </c>
      <c r="H13" s="94">
        <f>MRS!H13</f>
        <v>1</v>
      </c>
      <c r="I13" s="95">
        <f>MRS!I13</f>
        <v>350</v>
      </c>
      <c r="J13" s="95">
        <f>MRS!J13</f>
        <v>350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34" t="str">
        <f>MRS!B14</f>
        <v>Steel Cabinet</v>
      </c>
      <c r="C14" s="135"/>
      <c r="D14" s="136">
        <f>MRS!D14</f>
        <v>0</v>
      </c>
      <c r="E14" s="137"/>
      <c r="F14" s="138"/>
      <c r="G14" s="94" t="str">
        <f>MRS!G14</f>
        <v>EA</v>
      </c>
      <c r="H14" s="94">
        <f>MRS!H14</f>
        <v>2</v>
      </c>
      <c r="I14" s="95">
        <f>MRS!I14</f>
        <v>660</v>
      </c>
      <c r="J14" s="95">
        <f>MRS!J14</f>
        <v>1320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34" t="str">
        <f>MRS!B15</f>
        <v>TP Link Wireless Router</v>
      </c>
      <c r="C15" s="135"/>
      <c r="D15" s="136">
        <f>MRS!D15</f>
        <v>0</v>
      </c>
      <c r="E15" s="137"/>
      <c r="F15" s="138"/>
      <c r="G15" s="94" t="str">
        <f>MRS!G15</f>
        <v>EA</v>
      </c>
      <c r="H15" s="94">
        <f>MRS!H15</f>
        <v>1</v>
      </c>
      <c r="I15" s="95">
        <f>MRS!I15</f>
        <v>106</v>
      </c>
      <c r="J15" s="95">
        <f>MRS!J15</f>
        <v>106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34" t="str">
        <f>MRS!B16</f>
        <v>Magnnetic White Board</v>
      </c>
      <c r="C16" s="135"/>
      <c r="D16" s="136" t="str">
        <f>MRS!D16</f>
        <v>60*90CM</v>
      </c>
      <c r="E16" s="137"/>
      <c r="F16" s="138"/>
      <c r="G16" s="94" t="str">
        <f>MRS!G16</f>
        <v>EA</v>
      </c>
      <c r="H16" s="94">
        <f>MRS!H16</f>
        <v>1</v>
      </c>
      <c r="I16" s="95">
        <f>MRS!I16</f>
        <v>74</v>
      </c>
      <c r="J16" s="95">
        <f>MRS!J16</f>
        <v>74</v>
      </c>
      <c r="K16" s="96"/>
      <c r="O16" s="97"/>
      <c r="P16" s="97"/>
      <c r="R16" s="97"/>
    </row>
    <row r="17" spans="1:18" ht="74.25" customHeight="1">
      <c r="A17" s="18">
        <v>12</v>
      </c>
      <c r="B17" s="134" t="e">
        <f>MRS!#REF!</f>
        <v>#REF!</v>
      </c>
      <c r="C17" s="135"/>
      <c r="D17" s="136" t="e">
        <f>MRS!#REF!</f>
        <v>#REF!</v>
      </c>
      <c r="E17" s="137"/>
      <c r="F17" s="138"/>
      <c r="G17" s="94" t="e">
        <f>MRS!#REF!</f>
        <v>#REF!</v>
      </c>
      <c r="H17" s="94" t="e">
        <f>MRS!#REF!</f>
        <v>#REF!</v>
      </c>
      <c r="I17" s="95" t="e">
        <f>MRS!#REF!</f>
        <v>#REF!</v>
      </c>
      <c r="J17" s="95" t="e">
        <f>MRS!#REF!</f>
        <v>#REF!</v>
      </c>
      <c r="K17" s="96"/>
      <c r="O17" s="97"/>
      <c r="P17" s="97"/>
      <c r="R17" s="97"/>
    </row>
    <row r="18" spans="1:18" ht="74.25" customHeight="1">
      <c r="A18" s="18">
        <v>13</v>
      </c>
      <c r="B18" s="134" t="e">
        <f>MRS!#REF!</f>
        <v>#REF!</v>
      </c>
      <c r="C18" s="135"/>
      <c r="D18" s="136" t="e">
        <f>MRS!#REF!</f>
        <v>#REF!</v>
      </c>
      <c r="E18" s="137"/>
      <c r="F18" s="138"/>
      <c r="G18" s="94" t="e">
        <f>MRS!#REF!</f>
        <v>#REF!</v>
      </c>
      <c r="H18" s="94" t="e">
        <f>MRS!#REF!</f>
        <v>#REF!</v>
      </c>
      <c r="I18" s="95" t="e">
        <f>MRS!#REF!</f>
        <v>#REF!</v>
      </c>
      <c r="J18" s="95" t="e">
        <f>MRS!#REF!</f>
        <v>#REF!</v>
      </c>
      <c r="K18" s="96"/>
      <c r="O18" s="97"/>
      <c r="P18" s="97"/>
      <c r="R18" s="97"/>
    </row>
    <row r="19" spans="1:18" ht="74.25" customHeight="1">
      <c r="A19" s="18"/>
      <c r="B19" s="134" t="e">
        <f>MRS!#REF!</f>
        <v>#REF!</v>
      </c>
      <c r="C19" s="135"/>
      <c r="D19" s="136" t="e">
        <f>MRS!#REF!</f>
        <v>#REF!</v>
      </c>
      <c r="E19" s="137"/>
      <c r="F19" s="138"/>
      <c r="G19" s="94" t="e">
        <f>MRS!#REF!</f>
        <v>#REF!</v>
      </c>
      <c r="H19" s="94" t="e">
        <f>MRS!#REF!</f>
        <v>#REF!</v>
      </c>
      <c r="I19" s="95" t="e">
        <f>MRS!#REF!</f>
        <v>#REF!</v>
      </c>
      <c r="J19" s="95" t="e">
        <f>MRS!#REF!</f>
        <v>#REF!</v>
      </c>
      <c r="K19" s="96"/>
      <c r="O19" s="97"/>
      <c r="P19" s="97"/>
      <c r="R19" s="97"/>
    </row>
    <row r="20" spans="1:18" ht="74.25" customHeight="1">
      <c r="A20" s="18"/>
      <c r="B20" s="134" t="e">
        <f>MRS!#REF!</f>
        <v>#REF!</v>
      </c>
      <c r="C20" s="135"/>
      <c r="D20" s="136" t="e">
        <f>MRS!#REF!</f>
        <v>#REF!</v>
      </c>
      <c r="E20" s="137"/>
      <c r="F20" s="138"/>
      <c r="G20" s="94" t="e">
        <f>MRS!#REF!</f>
        <v>#REF!</v>
      </c>
      <c r="H20" s="94" t="e">
        <f>MRS!#REF!</f>
        <v>#REF!</v>
      </c>
      <c r="I20" s="95" t="e">
        <f>MRS!#REF!</f>
        <v>#REF!</v>
      </c>
      <c r="J20" s="95" t="e">
        <f>MRS!#REF!</f>
        <v>#REF!</v>
      </c>
      <c r="K20" s="96"/>
      <c r="O20" s="97"/>
      <c r="P20" s="97"/>
      <c r="R20" s="97"/>
    </row>
    <row r="21" spans="1:18" ht="74.25" customHeight="1">
      <c r="A21" s="18"/>
      <c r="B21" s="134" t="e">
        <f>MRS!#REF!</f>
        <v>#REF!</v>
      </c>
      <c r="C21" s="135"/>
      <c r="D21" s="136" t="e">
        <f>MRS!#REF!</f>
        <v>#REF!</v>
      </c>
      <c r="E21" s="137"/>
      <c r="F21" s="138"/>
      <c r="G21" s="94" t="e">
        <f>MRS!#REF!</f>
        <v>#REF!</v>
      </c>
      <c r="H21" s="94" t="e">
        <f>MRS!#REF!</f>
        <v>#REF!</v>
      </c>
      <c r="I21" s="95" t="e">
        <f>MRS!#REF!</f>
        <v>#REF!</v>
      </c>
      <c r="J21" s="95" t="e">
        <f>MRS!#REF!</f>
        <v>#REF!</v>
      </c>
      <c r="K21" s="96"/>
      <c r="O21" s="97"/>
      <c r="P21" s="97"/>
      <c r="R21" s="97"/>
    </row>
    <row r="22" spans="1:18" ht="74.25" customHeight="1">
      <c r="A22" s="18"/>
      <c r="B22" s="134" t="e">
        <f>MRS!#REF!</f>
        <v>#REF!</v>
      </c>
      <c r="C22" s="135"/>
      <c r="D22" s="136" t="e">
        <f>MRS!#REF!</f>
        <v>#REF!</v>
      </c>
      <c r="E22" s="137"/>
      <c r="F22" s="138"/>
      <c r="G22" s="94" t="e">
        <f>MRS!#REF!</f>
        <v>#REF!</v>
      </c>
      <c r="H22" s="94" t="e">
        <f>MRS!#REF!</f>
        <v>#REF!</v>
      </c>
      <c r="I22" s="95" t="e">
        <f>MRS!#REF!</f>
        <v>#REF!</v>
      </c>
      <c r="J22" s="95" t="e">
        <f>MRS!#REF!</f>
        <v>#REF!</v>
      </c>
      <c r="K22" s="96"/>
      <c r="O22" s="97"/>
      <c r="P22" s="97"/>
      <c r="R22" s="97"/>
    </row>
    <row r="23" spans="1:18" ht="74.25" customHeight="1">
      <c r="A23" s="18"/>
      <c r="B23" s="134" t="e">
        <f>MRS!#REF!</f>
        <v>#REF!</v>
      </c>
      <c r="C23" s="135"/>
      <c r="D23" s="136" t="e">
        <f>MRS!#REF!</f>
        <v>#REF!</v>
      </c>
      <c r="E23" s="137"/>
      <c r="F23" s="138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/>
      <c r="B24" s="134" t="e">
        <f>MRS!#REF!</f>
        <v>#REF!</v>
      </c>
      <c r="C24" s="135"/>
      <c r="D24" s="136" t="e">
        <f>MRS!#REF!</f>
        <v>#REF!</v>
      </c>
      <c r="E24" s="137"/>
      <c r="F24" s="138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/>
      <c r="B25" s="134" t="e">
        <f>MRS!#REF!</f>
        <v>#REF!</v>
      </c>
      <c r="C25" s="135"/>
      <c r="D25" s="136" t="e">
        <f>MRS!#REF!</f>
        <v>#REF!</v>
      </c>
      <c r="E25" s="137"/>
      <c r="F25" s="138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/>
      <c r="B26" s="134" t="e">
        <f>MRS!#REF!</f>
        <v>#REF!</v>
      </c>
      <c r="C26" s="135"/>
      <c r="D26" s="136" t="e">
        <f>MRS!#REF!</f>
        <v>#REF!</v>
      </c>
      <c r="E26" s="137"/>
      <c r="F26" s="138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/>
      <c r="B27" s="134" t="e">
        <f>MRS!#REF!</f>
        <v>#REF!</v>
      </c>
      <c r="C27" s="135"/>
      <c r="D27" s="136" t="e">
        <f>MRS!#REF!</f>
        <v>#REF!</v>
      </c>
      <c r="E27" s="137"/>
      <c r="F27" s="138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</sheetData>
  <mergeCells count="54"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8:C18"/>
    <mergeCell ref="D18:F18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114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113</v>
      </c>
      <c r="D9" s="35"/>
      <c r="E9" s="35"/>
    </row>
    <row r="10" spans="2:13" s="35" customFormat="1">
      <c r="B10" s="68"/>
      <c r="C10" s="35" t="s">
        <v>32</v>
      </c>
      <c r="D10" s="72">
        <v>2053026325</v>
      </c>
      <c r="J10" s="35" t="s">
        <v>33</v>
      </c>
      <c r="K10" s="142">
        <f>MRS!L3</f>
        <v>45978</v>
      </c>
      <c r="L10" s="143"/>
      <c r="M10" s="143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44" t="str">
        <f>SUBSTITUTE(SUBSTITUTE(+MRS!A3,"  MRS No : ",""),"-MRS","-PO")</f>
        <v>SAC2-DS-PO-0162</v>
      </c>
      <c r="L11" s="144"/>
      <c r="M11" s="144"/>
    </row>
    <row r="12" spans="2:13" s="35" customFormat="1">
      <c r="B12" s="68"/>
      <c r="C12" s="71" t="s">
        <v>36</v>
      </c>
      <c r="D12" s="35" t="s">
        <v>107</v>
      </c>
      <c r="J12" s="35" t="s">
        <v>37</v>
      </c>
    </row>
    <row r="13" spans="2:13" s="35" customFormat="1">
      <c r="B13" s="68"/>
      <c r="C13" s="73"/>
      <c r="D13" s="72" t="s">
        <v>108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135</v>
      </c>
    </row>
    <row r="15" spans="2:13" s="35" customFormat="1">
      <c r="B15" s="68"/>
      <c r="C15" s="73" t="s">
        <v>109</v>
      </c>
      <c r="J15" s="35" t="s">
        <v>40</v>
      </c>
      <c r="K15" s="74">
        <v>45969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45" t="s">
        <v>41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</row>
    <row r="19" spans="2:13" ht="12" customHeight="1"/>
    <row r="20" spans="2:13" s="28" customFormat="1" ht="12" customHeight="1">
      <c r="B20" s="146" t="s">
        <v>42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</row>
    <row r="21" spans="2:13" s="28" customFormat="1" ht="12" customHeight="1">
      <c r="B21" s="146" t="s">
        <v>43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</row>
    <row r="22" spans="2:13" s="28" customFormat="1" ht="12" customHeight="1">
      <c r="B22" s="146" t="s">
        <v>44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</row>
    <row r="23" spans="2:13" ht="6.95" customHeight="1"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2:13" ht="6.95" customHeight="1"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</row>
    <row r="25" spans="2:13" s="29" customFormat="1" ht="20.100000000000001" customHeight="1">
      <c r="B25" s="29">
        <v>1</v>
      </c>
      <c r="C25" s="29" t="s">
        <v>45</v>
      </c>
    </row>
    <row r="26" spans="2:13" s="35" customFormat="1" ht="15" customHeight="1">
      <c r="B26" s="69"/>
      <c r="C26" s="72" t="s">
        <v>110</v>
      </c>
      <c r="M26" s="75" t="s">
        <v>46</v>
      </c>
    </row>
    <row r="27" spans="2:13" ht="11.1" customHeight="1">
      <c r="B27" s="29"/>
    </row>
    <row r="28" spans="2:13" ht="20.100000000000001" customHeight="1">
      <c r="B28" s="29">
        <v>2</v>
      </c>
      <c r="C28" s="29" t="s">
        <v>47</v>
      </c>
    </row>
    <row r="29" spans="2:13" ht="15" customHeight="1">
      <c r="B29" s="29"/>
      <c r="C29" s="23" t="s">
        <v>48</v>
      </c>
      <c r="E29" s="23" t="s">
        <v>49</v>
      </c>
      <c r="F29" s="101">
        <f>'PO 2nd page'!G28</f>
        <v>15168</v>
      </c>
      <c r="G29" s="101"/>
      <c r="H29" s="101"/>
      <c r="M29" s="30"/>
    </row>
    <row r="30" spans="2:13" ht="15" customHeight="1">
      <c r="B30" s="29"/>
      <c r="C30" s="23" t="s">
        <v>50</v>
      </c>
      <c r="E30" s="23" t="s">
        <v>49</v>
      </c>
      <c r="F30" s="101">
        <f>'PO 2nd page'!G29</f>
        <v>2275.1999999999998</v>
      </c>
      <c r="G30" s="101"/>
      <c r="H30" s="101"/>
    </row>
    <row r="31" spans="2:13" ht="15" customHeight="1">
      <c r="B31" s="29"/>
      <c r="C31" s="23" t="s">
        <v>51</v>
      </c>
      <c r="D31" s="31"/>
      <c r="E31" s="23" t="s">
        <v>49</v>
      </c>
      <c r="F31" s="101">
        <f>'PO 2nd page'!G30</f>
        <v>17443.2</v>
      </c>
      <c r="G31" s="101"/>
      <c r="H31" s="101"/>
    </row>
    <row r="32" spans="2:13" ht="11.1" customHeight="1">
      <c r="B32" s="29"/>
    </row>
    <row r="33" spans="2:13" ht="20.100000000000001" customHeight="1">
      <c r="B33" s="29">
        <v>3</v>
      </c>
      <c r="C33" s="29" t="s">
        <v>52</v>
      </c>
    </row>
    <row r="34" spans="2:13" ht="15" customHeight="1">
      <c r="B34" s="29"/>
      <c r="C34" s="19" t="s">
        <v>53</v>
      </c>
    </row>
    <row r="35" spans="2:13" ht="15" customHeight="1">
      <c r="B35" s="29"/>
      <c r="C35" s="19" t="s">
        <v>54</v>
      </c>
    </row>
    <row r="36" spans="2:13" ht="15" customHeight="1">
      <c r="B36" s="29"/>
      <c r="C36" s="19" t="s">
        <v>55</v>
      </c>
    </row>
    <row r="37" spans="2:13" ht="6" customHeight="1">
      <c r="B37" s="29"/>
    </row>
    <row r="38" spans="2:13" ht="20.100000000000001" customHeight="1">
      <c r="B38" s="29">
        <v>4</v>
      </c>
      <c r="C38" s="29" t="s">
        <v>56</v>
      </c>
    </row>
    <row r="39" spans="2:13" ht="15" customHeight="1">
      <c r="B39" s="29"/>
      <c r="C39" s="23" t="s">
        <v>57</v>
      </c>
    </row>
    <row r="40" spans="2:13" ht="6" customHeight="1">
      <c r="B40" s="29"/>
    </row>
    <row r="41" spans="2:13" ht="20.100000000000001" customHeight="1">
      <c r="B41" s="29">
        <v>5</v>
      </c>
      <c r="C41" s="29" t="s">
        <v>58</v>
      </c>
    </row>
    <row r="42" spans="2:13" ht="15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5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5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5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5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20.100000000000001" customHeight="1">
      <c r="B48" s="29">
        <v>6</v>
      </c>
      <c r="C48" s="29" t="s">
        <v>64</v>
      </c>
    </row>
    <row r="49" spans="1:16" s="35" customFormat="1" ht="15" customHeight="1">
      <c r="B49" s="76" t="s">
        <v>65</v>
      </c>
      <c r="C49" s="77" t="s">
        <v>104</v>
      </c>
      <c r="P49" s="78"/>
    </row>
    <row r="50" spans="1:16" s="79" customFormat="1" ht="15" customHeight="1">
      <c r="B50" s="80" t="s">
        <v>65</v>
      </c>
      <c r="C50" s="77" t="s">
        <v>93</v>
      </c>
    </row>
    <row r="51" spans="1:16" s="79" customFormat="1" ht="15" customHeight="1">
      <c r="B51" s="80" t="s">
        <v>65</v>
      </c>
      <c r="C51" s="77" t="s">
        <v>92</v>
      </c>
    </row>
    <row r="52" spans="1:16" ht="11.1" customHeight="1">
      <c r="B52" s="38"/>
    </row>
    <row r="53" spans="1:16" ht="3" customHeight="1"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  <row r="54" spans="1:16" ht="3" customHeight="1">
      <c r="B54" s="29"/>
    </row>
    <row r="55" spans="1:16" ht="11.1" customHeight="1">
      <c r="B55" s="38"/>
    </row>
    <row r="56" spans="1:16">
      <c r="B56" s="29" t="s">
        <v>66</v>
      </c>
      <c r="J56" s="29" t="s">
        <v>67</v>
      </c>
    </row>
    <row r="57" spans="1:16" ht="50.1" customHeight="1"/>
    <row r="58" spans="1:16" ht="18" customHeight="1">
      <c r="B58" s="23" t="s">
        <v>68</v>
      </c>
      <c r="J58" s="23" t="s">
        <v>68</v>
      </c>
    </row>
    <row r="59" spans="1:16" ht="18" customHeight="1">
      <c r="B59" s="23" t="s">
        <v>69</v>
      </c>
      <c r="J59" s="23" t="s">
        <v>70</v>
      </c>
      <c r="K59" s="19" t="str">
        <f>D12</f>
        <v>Muhammed Rafi</v>
      </c>
    </row>
    <row r="60" spans="1:16" ht="18" customHeight="1">
      <c r="B60" s="23" t="s">
        <v>71</v>
      </c>
      <c r="J60" s="23" t="s">
        <v>72</v>
      </c>
      <c r="K60" s="19" t="s">
        <v>111</v>
      </c>
    </row>
    <row r="61" spans="1:16" ht="15" customHeight="1">
      <c r="B61" s="23" t="s">
        <v>73</v>
      </c>
      <c r="J61" s="23" t="s">
        <v>74</v>
      </c>
    </row>
    <row r="62" spans="1:16" s="25" customFormat="1" ht="24.75" customHeight="1">
      <c r="B62" s="22" t="s">
        <v>112</v>
      </c>
      <c r="J62" s="149" t="str">
        <f>C9</f>
        <v>ATGC(Alrmooz Technical for General Contracting Est.)</v>
      </c>
      <c r="K62" s="149"/>
      <c r="L62" s="149"/>
      <c r="M62" s="149"/>
    </row>
    <row r="63" spans="1:16" ht="27.95" customHeight="1">
      <c r="A63" s="141" t="s">
        <v>75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</row>
    <row r="70" spans="2:2">
      <c r="B70" s="29"/>
    </row>
    <row r="71" spans="2:2">
      <c r="B71" s="29"/>
    </row>
    <row r="72" spans="2:2">
      <c r="B72" s="29"/>
    </row>
    <row r="73" spans="2:2">
      <c r="B73" s="29"/>
    </row>
    <row r="74" spans="2:2">
      <c r="B74" s="29"/>
    </row>
    <row r="75" spans="2:2">
      <c r="B75" s="29"/>
    </row>
    <row r="76" spans="2:2">
      <c r="B76" s="29"/>
    </row>
    <row r="77" spans="2:2">
      <c r="B77" s="29"/>
    </row>
    <row r="78" spans="2:2">
      <c r="B78" s="29"/>
    </row>
    <row r="79" spans="2:2">
      <c r="B79" s="29"/>
    </row>
    <row r="80" spans="2:2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8"/>
  <sheetViews>
    <sheetView showGridLines="0" tabSelected="1" view="pageBreakPreview" topLeftCell="A19" zoomScaleSheetLayoutView="100" zoomScalePageLayoutView="55" workbookViewId="0">
      <selection activeCell="B16" sqref="B16:C1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SAC2-DS-PO-0162</v>
      </c>
      <c r="C2" s="156" t="s">
        <v>77</v>
      </c>
      <c r="D2" s="156"/>
      <c r="E2" s="156"/>
      <c r="F2" s="156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45978</v>
      </c>
      <c r="C3" s="47"/>
      <c r="D3" s="48"/>
      <c r="E3" s="157" t="s">
        <v>79</v>
      </c>
      <c r="F3" s="157"/>
      <c r="G3" s="157"/>
      <c r="H3" s="157"/>
      <c r="I3" s="49"/>
    </row>
    <row r="4" spans="1:13" s="51" customFormat="1" ht="28.5" customHeight="1" thickTop="1">
      <c r="A4" s="158" t="s">
        <v>80</v>
      </c>
      <c r="B4" s="160" t="s">
        <v>81</v>
      </c>
      <c r="C4" s="161"/>
      <c r="D4" s="164" t="s">
        <v>82</v>
      </c>
      <c r="E4" s="164" t="s">
        <v>83</v>
      </c>
      <c r="F4" s="166" t="str">
        <f>'PO 1st page'!C9</f>
        <v>ATGC(Alrmooz Technical for General Contracting Est.)</v>
      </c>
      <c r="G4" s="167"/>
      <c r="H4" s="168" t="s">
        <v>84</v>
      </c>
      <c r="K4" s="52"/>
      <c r="L4" s="52"/>
      <c r="M4" s="52"/>
    </row>
    <row r="5" spans="1:13" s="51" customFormat="1" ht="21.95" customHeight="1">
      <c r="A5" s="159"/>
      <c r="B5" s="162"/>
      <c r="C5" s="163"/>
      <c r="D5" s="165"/>
      <c r="E5" s="165"/>
      <c r="F5" s="53" t="s">
        <v>85</v>
      </c>
      <c r="G5" s="53" t="s">
        <v>51</v>
      </c>
      <c r="H5" s="169"/>
      <c r="K5" s="52"/>
      <c r="L5" s="52"/>
      <c r="M5" s="52"/>
    </row>
    <row r="6" spans="1:13" s="51" customFormat="1" ht="32.1" customHeight="1">
      <c r="A6" s="81">
        <f t="shared" ref="A6:A22" si="0">ROW(A1)</f>
        <v>1</v>
      </c>
      <c r="B6" s="154" t="str">
        <f>+'MRS LIST'!B6</f>
        <v>Hard Disk</v>
      </c>
      <c r="C6" s="155"/>
      <c r="D6" s="82" t="str">
        <f>+'MRS LIST'!G6</f>
        <v>EA</v>
      </c>
      <c r="E6" s="83">
        <f>+'MRS LIST'!H6</f>
        <v>1</v>
      </c>
      <c r="F6" s="84">
        <f>+'MRS LIST'!I6</f>
        <v>285</v>
      </c>
      <c r="G6" s="85">
        <f>+'MRS LIST'!J6</f>
        <v>285</v>
      </c>
      <c r="H6" s="86"/>
      <c r="K6" s="87"/>
      <c r="L6" s="88"/>
      <c r="M6" s="52"/>
    </row>
    <row r="7" spans="1:13" s="51" customFormat="1" ht="32.1" customHeight="1">
      <c r="A7" s="81">
        <f t="shared" si="0"/>
        <v>2</v>
      </c>
      <c r="B7" s="154" t="str">
        <f>+'MRS LIST'!B7</f>
        <v>Xerox Versalink Drum Unit</v>
      </c>
      <c r="C7" s="155"/>
      <c r="D7" s="82" t="str">
        <f>+'MRS LIST'!G7</f>
        <v>EA</v>
      </c>
      <c r="E7" s="83">
        <f>+'MRS LIST'!H7</f>
        <v>7</v>
      </c>
      <c r="F7" s="84">
        <f>+'MRS LIST'!I7</f>
        <v>1080</v>
      </c>
      <c r="G7" s="85">
        <f>+'MRS LIST'!J7</f>
        <v>7560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54" t="str">
        <f>+'MRS LIST'!B8&amp;" "&amp;MRS!D8</f>
        <v>Safety Shoes Size 42</v>
      </c>
      <c r="C8" s="155"/>
      <c r="D8" s="82" t="str">
        <f>+'MRS LIST'!G8</f>
        <v>Pair</v>
      </c>
      <c r="E8" s="83">
        <f>+'MRS LIST'!H8</f>
        <v>80</v>
      </c>
      <c r="F8" s="84">
        <f>+'MRS LIST'!I8</f>
        <v>63.5</v>
      </c>
      <c r="G8" s="85">
        <f>+'MRS LIST'!J8</f>
        <v>5080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54" t="str">
        <f>+'MRS LIST'!B9&amp;" "&amp;MRS!D9</f>
        <v xml:space="preserve">Stamp Pad </v>
      </c>
      <c r="C9" s="155"/>
      <c r="D9" s="82" t="str">
        <f>+'MRS LIST'!G9</f>
        <v>EA</v>
      </c>
      <c r="E9" s="83">
        <f>+'MRS LIST'!H9</f>
        <v>1</v>
      </c>
      <c r="F9" s="84">
        <f>+'MRS LIST'!I9</f>
        <v>19</v>
      </c>
      <c r="G9" s="85">
        <f>+'MRS LIST'!J9</f>
        <v>19</v>
      </c>
      <c r="H9" s="90"/>
    </row>
    <row r="10" spans="1:13" s="51" customFormat="1" ht="32.1" customHeight="1">
      <c r="A10" s="89">
        <f t="shared" si="0"/>
        <v>5</v>
      </c>
      <c r="B10" s="154" t="str">
        <f>+'MRS LIST'!B10&amp;" "&amp;MRS!D10</f>
        <v>Staples 26/6-5MM Kangaro 10Pkt/Box</v>
      </c>
      <c r="C10" s="155"/>
      <c r="D10" s="82" t="str">
        <f>+'MRS LIST'!G10</f>
        <v>Box</v>
      </c>
      <c r="E10" s="83">
        <f>+'MRS LIST'!H10</f>
        <v>2</v>
      </c>
      <c r="F10" s="84">
        <f>+'MRS LIST'!I10</f>
        <v>37</v>
      </c>
      <c r="G10" s="85">
        <f>+'MRS LIST'!J10</f>
        <v>74</v>
      </c>
      <c r="H10" s="90"/>
    </row>
    <row r="11" spans="1:13" s="51" customFormat="1" ht="32.1" customHeight="1">
      <c r="A11" s="89">
        <f t="shared" si="0"/>
        <v>6</v>
      </c>
      <c r="B11" s="154" t="str">
        <f>+'MRS LIST'!B11&amp;" "&amp;MRS!D11</f>
        <v>2 Hole Punch Kangaro</v>
      </c>
      <c r="C11" s="155"/>
      <c r="D11" s="82" t="str">
        <f>+'MRS LIST'!G11</f>
        <v>EA</v>
      </c>
      <c r="E11" s="83">
        <f>+'MRS LIST'!H11</f>
        <v>5</v>
      </c>
      <c r="F11" s="84">
        <f>+'MRS LIST'!I11</f>
        <v>30</v>
      </c>
      <c r="G11" s="85">
        <f>+'MRS LIST'!J11</f>
        <v>150</v>
      </c>
      <c r="H11" s="90"/>
    </row>
    <row r="12" spans="1:13" s="51" customFormat="1" ht="32.1" customHeight="1">
      <c r="A12" s="89">
        <f t="shared" si="0"/>
        <v>7</v>
      </c>
      <c r="B12" s="154" t="str">
        <f>+'MRS LIST'!B12&amp;" "&amp;MRS!D12</f>
        <v xml:space="preserve">Speaker </v>
      </c>
      <c r="C12" s="155"/>
      <c r="D12" s="82" t="str">
        <f>+'MRS LIST'!G12</f>
        <v>EA</v>
      </c>
      <c r="E12" s="83">
        <f>+'MRS LIST'!H12</f>
        <v>1</v>
      </c>
      <c r="F12" s="84">
        <f>+'MRS LIST'!I12</f>
        <v>150</v>
      </c>
      <c r="G12" s="85">
        <f>+'MRS LIST'!J12</f>
        <v>150</v>
      </c>
      <c r="H12" s="90"/>
    </row>
    <row r="13" spans="1:13" s="51" customFormat="1" ht="32.1" customHeight="1">
      <c r="A13" s="89">
        <f t="shared" si="0"/>
        <v>8</v>
      </c>
      <c r="B13" s="154" t="str">
        <f>+'MRS LIST'!B13&amp;" "&amp;MRS!D13</f>
        <v>Amplifier 30W</v>
      </c>
      <c r="C13" s="155"/>
      <c r="D13" s="82" t="str">
        <f>+'MRS LIST'!G13</f>
        <v>EA</v>
      </c>
      <c r="E13" s="83">
        <f>+'MRS LIST'!H13</f>
        <v>1</v>
      </c>
      <c r="F13" s="84">
        <f>+'MRS LIST'!I13</f>
        <v>350</v>
      </c>
      <c r="G13" s="85">
        <f>+'MRS LIST'!J13</f>
        <v>350</v>
      </c>
      <c r="H13" s="90"/>
    </row>
    <row r="14" spans="1:13" s="51" customFormat="1" ht="32.1" customHeight="1">
      <c r="A14" s="89">
        <f t="shared" si="0"/>
        <v>9</v>
      </c>
      <c r="B14" s="154" t="str">
        <f>+'MRS LIST'!B14&amp;" "&amp;MRS!D14</f>
        <v xml:space="preserve">Steel Cabinet </v>
      </c>
      <c r="C14" s="155"/>
      <c r="D14" s="82" t="str">
        <f>+'MRS LIST'!G14</f>
        <v>EA</v>
      </c>
      <c r="E14" s="83">
        <f>+'MRS LIST'!H14</f>
        <v>2</v>
      </c>
      <c r="F14" s="84">
        <f>+'MRS LIST'!I14</f>
        <v>660</v>
      </c>
      <c r="G14" s="85">
        <f>+'MRS LIST'!J14</f>
        <v>1320</v>
      </c>
      <c r="H14" s="90"/>
    </row>
    <row r="15" spans="1:13" s="51" customFormat="1" ht="32.1" customHeight="1">
      <c r="A15" s="89">
        <f t="shared" si="0"/>
        <v>10</v>
      </c>
      <c r="B15" s="154" t="str">
        <f>+'MRS LIST'!B15&amp;" "&amp;MRS!D15</f>
        <v xml:space="preserve">TP Link Wireless Router </v>
      </c>
      <c r="C15" s="155"/>
      <c r="D15" s="82" t="str">
        <f>+'MRS LIST'!G15</f>
        <v>EA</v>
      </c>
      <c r="E15" s="83">
        <f>+'MRS LIST'!H15</f>
        <v>1</v>
      </c>
      <c r="F15" s="84">
        <f>+'MRS LIST'!I15</f>
        <v>106</v>
      </c>
      <c r="G15" s="85">
        <f>+'MRS LIST'!J15</f>
        <v>106</v>
      </c>
      <c r="H15" s="90"/>
    </row>
    <row r="16" spans="1:13" s="51" customFormat="1" ht="32.1" customHeight="1">
      <c r="A16" s="89">
        <f t="shared" si="0"/>
        <v>11</v>
      </c>
      <c r="B16" s="154" t="str">
        <f>+'MRS LIST'!B16&amp;" "&amp;MRS!D16</f>
        <v>Magnnetic White Board 60*90CM</v>
      </c>
      <c r="C16" s="155"/>
      <c r="D16" s="82" t="str">
        <f>+'MRS LIST'!G16</f>
        <v>EA</v>
      </c>
      <c r="E16" s="83">
        <f>+'MRS LIST'!H16</f>
        <v>1</v>
      </c>
      <c r="F16" s="84">
        <f>+'MRS LIST'!I16</f>
        <v>74</v>
      </c>
      <c r="G16" s="85">
        <f>+'MRS LIST'!J16</f>
        <v>74</v>
      </c>
      <c r="H16" s="90"/>
    </row>
    <row r="17" spans="1:9" s="51" customFormat="1" ht="32.1" customHeight="1">
      <c r="A17" s="89"/>
      <c r="B17" s="154"/>
      <c r="C17" s="155"/>
      <c r="D17" s="82"/>
      <c r="E17" s="83"/>
      <c r="F17" s="84"/>
      <c r="G17" s="85"/>
      <c r="H17" s="90"/>
    </row>
    <row r="18" spans="1:9" s="51" customFormat="1" ht="32.1" customHeight="1">
      <c r="A18" s="89"/>
      <c r="B18" s="154"/>
      <c r="C18" s="155"/>
      <c r="D18" s="82"/>
      <c r="E18" s="83"/>
      <c r="F18" s="84"/>
      <c r="G18" s="85"/>
      <c r="H18" s="90"/>
    </row>
    <row r="19" spans="1:9" s="51" customFormat="1" ht="32.1" customHeight="1">
      <c r="A19" s="89"/>
      <c r="B19" s="154"/>
      <c r="C19" s="155"/>
      <c r="D19" s="82"/>
      <c r="E19" s="83"/>
      <c r="F19" s="84"/>
      <c r="G19" s="85"/>
      <c r="H19" s="90"/>
    </row>
    <row r="20" spans="1:9" s="51" customFormat="1" ht="32.1" customHeight="1">
      <c r="A20" s="89"/>
      <c r="B20" s="154"/>
      <c r="C20" s="155"/>
      <c r="D20" s="82"/>
      <c r="E20" s="83"/>
      <c r="F20" s="84"/>
      <c r="G20" s="85"/>
      <c r="H20" s="90"/>
    </row>
    <row r="21" spans="1:9" s="51" customFormat="1" ht="32.1" customHeight="1">
      <c r="A21" s="89"/>
      <c r="B21" s="154"/>
      <c r="C21" s="155"/>
      <c r="D21" s="82"/>
      <c r="E21" s="83"/>
      <c r="F21" s="84"/>
      <c r="G21" s="85"/>
      <c r="H21" s="90"/>
    </row>
    <row r="22" spans="1:9" s="51" customFormat="1" ht="32.1" customHeight="1">
      <c r="A22" s="89"/>
      <c r="B22" s="154"/>
      <c r="C22" s="155"/>
      <c r="D22" s="82"/>
      <c r="E22" s="83"/>
      <c r="F22" s="84"/>
      <c r="G22" s="85"/>
      <c r="H22" s="90"/>
    </row>
    <row r="23" spans="1:9" s="51" customFormat="1" ht="32.1" customHeight="1">
      <c r="A23" s="89"/>
      <c r="B23" s="154"/>
      <c r="C23" s="155"/>
      <c r="D23" s="82"/>
      <c r="E23" s="83"/>
      <c r="F23" s="84"/>
      <c r="G23" s="85"/>
      <c r="H23" s="90"/>
    </row>
    <row r="24" spans="1:9" s="51" customFormat="1" ht="32.1" customHeight="1">
      <c r="A24" s="89"/>
      <c r="B24" s="154"/>
      <c r="C24" s="155"/>
      <c r="D24" s="82"/>
      <c r="E24" s="83"/>
      <c r="F24" s="84"/>
      <c r="G24" s="85"/>
      <c r="H24" s="90"/>
    </row>
    <row r="25" spans="1:9" s="51" customFormat="1" ht="32.1" customHeight="1">
      <c r="A25" s="89"/>
      <c r="B25" s="154"/>
      <c r="C25" s="155"/>
      <c r="D25" s="82"/>
      <c r="E25" s="83"/>
      <c r="F25" s="84"/>
      <c r="G25" s="85"/>
      <c r="H25" s="90"/>
    </row>
    <row r="26" spans="1:9" s="51" customFormat="1" ht="32.1" customHeight="1">
      <c r="A26" s="89"/>
      <c r="B26" s="154"/>
      <c r="C26" s="155"/>
      <c r="D26" s="82"/>
      <c r="E26" s="83"/>
      <c r="F26" s="84"/>
      <c r="G26" s="85"/>
      <c r="H26" s="90"/>
    </row>
    <row r="27" spans="1:9" s="51" customFormat="1" ht="32.1" customHeight="1">
      <c r="A27" s="89"/>
      <c r="B27" s="154"/>
      <c r="C27" s="155"/>
      <c r="D27" s="82"/>
      <c r="E27" s="83"/>
      <c r="F27" s="84"/>
      <c r="G27" s="85"/>
      <c r="H27" s="90"/>
    </row>
    <row r="28" spans="1:9" s="51" customFormat="1" ht="23.1" customHeight="1">
      <c r="A28" s="150" t="s">
        <v>86</v>
      </c>
      <c r="B28" s="151"/>
      <c r="C28" s="151"/>
      <c r="D28" s="151"/>
      <c r="E28" s="151"/>
      <c r="F28" s="151"/>
      <c r="G28" s="54">
        <f>SUM(G6:G27)</f>
        <v>15168</v>
      </c>
      <c r="H28" s="55"/>
    </row>
    <row r="29" spans="1:9" s="51" customFormat="1" ht="23.1" customHeight="1">
      <c r="A29" s="150" t="s">
        <v>50</v>
      </c>
      <c r="B29" s="151"/>
      <c r="C29" s="151"/>
      <c r="D29" s="151"/>
      <c r="E29" s="151"/>
      <c r="F29" s="151"/>
      <c r="G29" s="54">
        <f>+G28*0.15</f>
        <v>2275.1999999999998</v>
      </c>
      <c r="H29" s="55"/>
    </row>
    <row r="30" spans="1:9" s="51" customFormat="1" ht="24.95" customHeight="1" thickBot="1">
      <c r="A30" s="152" t="s">
        <v>87</v>
      </c>
      <c r="B30" s="153"/>
      <c r="C30" s="153"/>
      <c r="D30" s="153"/>
      <c r="E30" s="153"/>
      <c r="F30" s="153"/>
      <c r="G30" s="56">
        <f>G29+G28</f>
        <v>17443.2</v>
      </c>
      <c r="H30" s="57"/>
    </row>
    <row r="31" spans="1:9" ht="15.75" thickTop="1">
      <c r="A31" s="58" t="str">
        <f>" 1) Above Price are as per your quotation with ref "&amp;'PO 1st page'!K14</f>
        <v xml:space="preserve"> 1) Above Price are as per your quotation with ref QUO-MAT-25111207</v>
      </c>
      <c r="B31" s="59"/>
      <c r="C31" s="59"/>
      <c r="D31" s="60"/>
      <c r="E31" s="60"/>
      <c r="F31" s="60"/>
      <c r="G31" s="60"/>
      <c r="H31" s="60"/>
    </row>
    <row r="32" spans="1:9" ht="15">
      <c r="A32" s="61" t="s">
        <v>88</v>
      </c>
      <c r="B32" s="62"/>
      <c r="C32" s="62"/>
      <c r="D32" s="63"/>
      <c r="E32" s="63"/>
      <c r="F32" s="63"/>
      <c r="G32" s="63"/>
      <c r="H32" s="63"/>
      <c r="I32" s="64"/>
    </row>
    <row r="33" spans="1:13" ht="15.75">
      <c r="A33" s="65"/>
    </row>
    <row r="34" spans="1:13">
      <c r="A34" s="141" t="s">
        <v>89</v>
      </c>
      <c r="B34" s="141"/>
      <c r="C34" s="141"/>
      <c r="D34" s="141"/>
      <c r="E34" s="141"/>
      <c r="F34" s="141"/>
      <c r="G34" s="141"/>
      <c r="H34" s="141"/>
      <c r="I34" s="66"/>
      <c r="J34" s="66"/>
      <c r="K34" s="66"/>
      <c r="L34" s="66"/>
      <c r="M34" s="66"/>
    </row>
    <row r="35" spans="1:13" ht="15.75">
      <c r="A35" s="65"/>
      <c r="C35" s="67"/>
    </row>
    <row r="36" spans="1:13" ht="15.75">
      <c r="A36" s="65"/>
      <c r="C36" s="67"/>
    </row>
    <row r="38" spans="1:13" ht="12" customHeight="1"/>
  </sheetData>
  <mergeCells count="34">
    <mergeCell ref="B25:C25"/>
    <mergeCell ref="B26:C26"/>
    <mergeCell ref="B27:C27"/>
    <mergeCell ref="B11:C11"/>
    <mergeCell ref="B12:C12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8:F28"/>
    <mergeCell ref="A29:F29"/>
    <mergeCell ref="A30:F30"/>
    <mergeCell ref="A34:H3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2025-11-17T07:32:16Z</cp:lastPrinted>
  <dcterms:created xsi:type="dcterms:W3CDTF">2024-10-20T11:50:19Z</dcterms:created>
  <dcterms:modified xsi:type="dcterms:W3CDTF">2025-11-17T07:44:55Z</dcterms:modified>
</cp:coreProperties>
</file>