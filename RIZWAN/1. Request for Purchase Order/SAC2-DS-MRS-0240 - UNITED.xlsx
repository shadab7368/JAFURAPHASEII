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CCF8706-DBAF-4AFD-BDEE-5890990C44B5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G7" i="4"/>
  <c r="F7" i="4"/>
  <c r="E7" i="4"/>
  <c r="D7" i="4"/>
  <c r="B6" i="4"/>
  <c r="B7" i="4"/>
  <c r="C26" i="3"/>
  <c r="P54" i="3" l="1"/>
  <c r="H6" i="4" l="1"/>
  <c r="K67" i="3"/>
  <c r="E3" i="1"/>
  <c r="H7" i="2"/>
  <c r="G7" i="2"/>
  <c r="D7" i="2"/>
  <c r="B7" i="2"/>
  <c r="J7" i="1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<sst xmlns="http://schemas.openxmlformats.org/spreadsheetml/2006/main" count="177" uniqueCount="138">
  <si>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</si>
  <si>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</si>
  <si>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</si>
  <si>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</si>
  <si>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</si>
  <si>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</si>
  <si>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</si>
  <si>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</si>
  <si>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</si>
  <si>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</si>
  <si>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</si>
  <si>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</si>
  <si>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</si>
  <si>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</si>
  <si>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</si>
  <si>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</si>
  <si>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</si>
  <si>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</si>
  <si>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</si>
  <si>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</si>
  <si>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</si>
  <si>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</si>
  <si>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</si>
  <si>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</si>
  <si>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</si>
  <si>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</si>
  <si>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</si>
  <si>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</si>
  <si>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</si>
  <si>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</si>
  <si>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</si>
  <si>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</si>
  <si>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</si>
  <si>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</si>
  <si>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</si>
  <si>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</si>
  <si>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</si>
  <si>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</si>
  <si>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</si>
  <si>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</si>
  <si>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</si>
  <si>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</si>
  <si>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</si>
  <si>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</si>
  <si>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</si>
  <si>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</si>
  <si>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</si>
  <si>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</si>
  <si>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</si>
  <si>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</si>
  <si>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</si>
  <si>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</si>
  <si>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</si>
  <si>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</si>
  <si>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</si>
  <si>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</si>
  <si>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</si>
  <si>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</si>
  <si>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</si>
  <si>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</si>
  <si>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</si>
  <si>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</si>
  <si>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</si>
  <si>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</si>
  <si>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</si>
  <si>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</si>
  <si>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</si>
  <si>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</si>
  <si>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</si>
  <si>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</si>
  <si>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</si>
  <si>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</si>
  <si>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</si>
  <si>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</si>
  <si>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</si>
  <si>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</si>
  <si>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</si>
  <si>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</si>
  <si>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</si>
  <si>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</si>
  <si>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</si>
  <si>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</si>
  <si>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</si>
  <si>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</si>
  <si>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</si>
  <si>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</si>
  <si>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</si>
  <si>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</si>
  <si>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</si>
  <si>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</si>
  <si>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</si>
  <si>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</si>
  <si>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</si>
  <si>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</si>
  <si>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</si>
  <si>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</si>
  <si>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</si>
  <si>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</si>
  <si>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</si>
  <si>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</si>
  <si>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</si>
  <si>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</si>
  <si>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</si>
  <si>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</si>
  <si>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</si>
  <si>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</si>
  <si>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</si>
  <si>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</si>
  <si>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</si>
  <si>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</si>
  <si>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</si>
  <si>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</si>
  <si>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</si>
  <si>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</si>
  <si>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310157378500003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</si>
  <si>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</si>
  <si>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</si>
  <si>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</si>
  <si>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</si>
  <si>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</si>
  <si>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</si>
  <si>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</si>
  <si>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</si>
  <si>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</si>
  <si>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UNITED TECHNOLOGY CONTRACTING CO. LTD.</t>
  </si>
  <si>
    <t>SABB</t>
  </si>
  <si>
    <t>SABBSARI</t>
  </si>
  <si>
    <t>836010116001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</si>
  <si>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-MRS-0240</t>
    </r>
  </si>
  <si>
    <t>Manlift</t>
  </si>
  <si>
    <t>43 Meter Telescopic with single IPAP Operator</t>
  </si>
  <si>
    <t>Manlift Mob. &amp; Demob. Charges</t>
  </si>
  <si>
    <t>Mob. &amp; Demob. Per unit - lump sum</t>
  </si>
  <si>
    <t>Trip</t>
  </si>
  <si>
    <t>SA37 4500 0000 8360 1011 6001</t>
  </si>
  <si>
    <t>UT-EQUO-26-3885</t>
  </si>
  <si>
    <t>One time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</si>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</sst>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55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10026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26605" y="4983079"/>
              <a:ext cx="3780423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K8" sqref="K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111</v>
      </c>
      <c r="B1" s="110"/>
      <c r="C1" s="110"/>
      <c r="D1" s="110"/>
      <c r="E1" s="110"/>
      <c r="F1" s="110"/>
      <c r="G1" s="1"/>
      <c r="J1" s="144" t="s">
        <v>92</v>
      </c>
      <c r="K1" s="145"/>
      <c r="L1" s="146"/>
    </row>
    <row r="2" spans="1:19" ht="20.100000000000001" customHeight="1">
      <c r="A2" s="3" t="s">
        <v>1</v>
      </c>
      <c r="B2" s="101"/>
      <c r="C2" s="101"/>
      <c r="D2" s="3" t="s">
        <v>112</v>
      </c>
      <c r="E2" s="101"/>
      <c r="F2" s="101"/>
      <c r="G2" s="101"/>
      <c r="H2" s="101"/>
      <c r="I2" s="4"/>
      <c r="J2" s="160" t="s">
        <v>110</v>
      </c>
      <c r="K2" s="161"/>
      <c r="L2" s="162"/>
    </row>
    <row r="3" spans="1:19" ht="20.100000000000001" customHeight="1">
      <c r="A3" s="3" t="s">
        <v>128</v>
      </c>
      <c r="B3" s="101"/>
      <c r="C3" s="101"/>
      <c r="D3" s="101"/>
      <c r="E3" s="147">
        <f>+L3</f>
        <v>46081</v>
      </c>
      <c r="F3" s="147"/>
      <c r="G3" s="147"/>
      <c r="H3" s="147"/>
      <c r="I3" s="147"/>
      <c r="J3" s="101"/>
      <c r="K3" s="101"/>
      <c r="L3" s="122">
        <v>46081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97</v>
      </c>
      <c r="J4" s="148" t="s">
        <v>98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32" t="s">
        <v>129</v>
      </c>
      <c r="C6" s="133"/>
      <c r="D6" s="134" t="s">
        <v>130</v>
      </c>
      <c r="E6" s="135"/>
      <c r="F6" s="136"/>
      <c r="G6" s="111" t="s">
        <v>93</v>
      </c>
      <c r="H6" s="112">
        <v>1</v>
      </c>
      <c r="I6" s="113">
        <v>32000</v>
      </c>
      <c r="J6" s="113">
        <f>H6*I6</f>
        <v>32000</v>
      </c>
      <c r="K6" s="114" t="s">
        <v>101</v>
      </c>
      <c r="L6" s="115" t="s">
        <v>109</v>
      </c>
      <c r="S6" s="106"/>
    </row>
    <row r="7" spans="1:19" ht="22.5" customHeight="1">
      <c r="A7" s="5">
        <f t="shared" si="0"/>
        <v>2</v>
      </c>
      <c r="B7" s="132" t="s">
        <v>131</v>
      </c>
      <c r="C7" s="133"/>
      <c r="D7" s="143" t="s">
        <v>132</v>
      </c>
      <c r="E7" s="135"/>
      <c r="F7" s="136"/>
      <c r="G7" s="111" t="s">
        <v>133</v>
      </c>
      <c r="H7" s="112">
        <v>2</v>
      </c>
      <c r="I7" s="113">
        <v>3000</v>
      </c>
      <c r="J7" s="113">
        <f>H7*I7</f>
        <v>6000</v>
      </c>
      <c r="K7" s="114" t="s">
        <v>137</v>
      </c>
      <c r="L7" s="115" t="s">
        <v>136</v>
      </c>
      <c r="S7" s="106"/>
    </row>
    <row r="8" spans="1:19" ht="22.5" customHeight="1">
      <c r="A8" s="5">
        <f t="shared" si="0"/>
        <v>3</v>
      </c>
      <c r="B8" s="132"/>
      <c r="C8" s="133"/>
      <c r="D8" s="134"/>
      <c r="E8" s="135"/>
      <c r="F8" s="136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2"/>
      <c r="C9" s="133"/>
      <c r="D9" s="134"/>
      <c r="E9" s="135"/>
      <c r="F9" s="136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1"/>
      <c r="C10" s="141"/>
      <c r="D10" s="142"/>
      <c r="E10" s="142"/>
      <c r="F10" s="142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2"/>
      <c r="C11" s="133"/>
      <c r="D11" s="134"/>
      <c r="E11" s="135"/>
      <c r="F11" s="136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1"/>
      <c r="C12" s="141"/>
      <c r="D12" s="142"/>
      <c r="E12" s="142"/>
      <c r="F12" s="142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2"/>
      <c r="C13" s="133"/>
      <c r="D13" s="134"/>
      <c r="E13" s="135"/>
      <c r="F13" s="136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2"/>
      <c r="C14" s="133"/>
      <c r="D14" s="134"/>
      <c r="E14" s="135"/>
      <c r="F14" s="136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2"/>
      <c r="C15" s="133"/>
      <c r="D15" s="134"/>
      <c r="E15" s="135"/>
      <c r="F15" s="136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7" t="s">
        <v>8</v>
      </c>
      <c r="B16" s="138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38000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9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0"/>
      <c r="T19" s="14"/>
      <c r="U19" s="15"/>
      <c r="V19" s="14"/>
    </row>
    <row r="20" spans="1:22" ht="17.100000000000001" customHeight="1">
      <c r="O20" s="11"/>
      <c r="P20" s="11"/>
      <c r="Q20" s="11"/>
      <c r="S20" s="129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8" t="s">
        <v>17</v>
      </c>
      <c r="Q21" s="128" t="s">
        <v>18</v>
      </c>
    </row>
    <row r="22" spans="1:22" ht="18" customHeight="1">
      <c r="O22" s="18" t="s">
        <v>19</v>
      </c>
      <c r="P22" s="130"/>
      <c r="Q22" s="130"/>
      <c r="S22" s="139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0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9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1"/>
      <c r="P27" s="131"/>
      <c r="Q27" s="131"/>
    </row>
    <row r="28" spans="1:22" ht="19.899999999999999" customHeight="1">
      <c r="O28" s="131"/>
      <c r="P28" s="131"/>
      <c r="Q28" s="13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8" t="s">
        <v>21</v>
      </c>
    </row>
    <row r="41" spans="15:22" ht="19.899999999999999" customHeight="1">
      <c r="T41" s="130"/>
    </row>
    <row r="42" spans="15:22" ht="64.900000000000006" customHeight="1">
      <c r="T42" s="14"/>
    </row>
    <row r="46" spans="15:22" ht="21" customHeight="1">
      <c r="O46" s="128" t="s">
        <v>21</v>
      </c>
      <c r="P46" s="128" t="s">
        <v>21</v>
      </c>
      <c r="Q46" s="128" t="s">
        <v>21</v>
      </c>
      <c r="T46" s="128" t="s">
        <v>22</v>
      </c>
      <c r="U46" s="128" t="s">
        <v>13</v>
      </c>
      <c r="V46" s="128" t="s">
        <v>21</v>
      </c>
    </row>
    <row r="47" spans="15:22" ht="21" customHeight="1">
      <c r="O47" s="130"/>
      <c r="P47" s="130"/>
      <c r="Q47" s="130"/>
      <c r="T47" s="129"/>
      <c r="U47" s="129"/>
      <c r="V47" s="13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8" t="s">
        <v>21</v>
      </c>
      <c r="P50" s="128" t="s">
        <v>21</v>
      </c>
      <c r="Q50" s="128" t="s">
        <v>21</v>
      </c>
      <c r="T50" s="128" t="s">
        <v>13</v>
      </c>
      <c r="U50" s="128" t="s">
        <v>22</v>
      </c>
      <c r="V50" s="128" t="s">
        <v>21</v>
      </c>
    </row>
    <row r="51" spans="15:22" ht="21" customHeight="1">
      <c r="O51" s="130"/>
      <c r="P51" s="130"/>
      <c r="Q51" s="130"/>
      <c r="T51" s="129"/>
      <c r="U51" s="129"/>
      <c r="V51" s="13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100</v>
      </c>
      <c r="B1" s="100"/>
      <c r="C1" s="100"/>
      <c r="D1" s="100"/>
      <c r="E1" s="100"/>
      <c r="F1" s="100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60" t="str">
        <f>+MRS!J2</f>
        <v>Subcontract name (SAC2-SC-IK-SMP-01)</v>
      </c>
      <c r="K2" s="162"/>
    </row>
    <row r="3" spans="1:18" ht="24.95" customHeight="1">
      <c r="A3" s="3" t="str">
        <f>+MRS!A3</f>
        <v xml:space="preserve">  MRS No : SAC2-DS-MRS-0240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46081</v>
      </c>
    </row>
    <row r="4" spans="1:18" ht="15.95" customHeight="1">
      <c r="A4" s="173" t="s">
        <v>2</v>
      </c>
      <c r="B4" s="174" t="s">
        <v>23</v>
      </c>
      <c r="C4" s="174"/>
      <c r="D4" s="173" t="s">
        <v>4</v>
      </c>
      <c r="E4" s="173"/>
      <c r="F4" s="173"/>
      <c r="G4" s="174" t="s">
        <v>5</v>
      </c>
      <c r="H4" s="173" t="s">
        <v>94</v>
      </c>
      <c r="I4" s="173" t="s">
        <v>24</v>
      </c>
      <c r="J4" s="173" t="s">
        <v>25</v>
      </c>
      <c r="K4" s="174" t="s">
        <v>7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21">
        <f>+MRS!A6</f>
        <v>1</v>
      </c>
      <c r="B6" s="168" t="str">
        <f>MRS!B6</f>
        <v>Manlift</v>
      </c>
      <c r="C6" s="169"/>
      <c r="D6" s="170" t="str">
        <f>MRS!D6</f>
        <v>43 Meter Telescopic with single IPAP Operator</v>
      </c>
      <c r="E6" s="171"/>
      <c r="F6" s="172"/>
      <c r="G6" s="103" t="str">
        <f>MRS!G6</f>
        <v>Month</v>
      </c>
      <c r="H6" s="103">
        <f>MRS!H6</f>
        <v>1</v>
      </c>
      <c r="I6" s="104">
        <f>MRS!I6</f>
        <v>32000</v>
      </c>
      <c r="J6" s="104">
        <f>MRS!J6</f>
        <v>32000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8" t="str">
        <f>MRS!B7</f>
        <v>Manlift Mob. &amp; Demob. Charges</v>
      </c>
      <c r="C7" s="169"/>
      <c r="D7" s="170" t="str">
        <f>MRS!D7</f>
        <v>Mob. &amp; Demob. Per unit - lump sum</v>
      </c>
      <c r="E7" s="171"/>
      <c r="F7" s="172"/>
      <c r="G7" s="103" t="str">
        <f>MRS!G7</f>
        <v>Trip</v>
      </c>
      <c r="H7" s="103">
        <f>MRS!H7</f>
        <v>2</v>
      </c>
      <c r="I7" s="104">
        <f>MRS!I7</f>
        <v>3000</v>
      </c>
      <c r="J7" s="104">
        <f>MRS!J7</f>
        <v>6000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3"/>
      <c r="C8" s="164"/>
      <c r="D8" s="165"/>
      <c r="E8" s="166"/>
      <c r="F8" s="167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3"/>
      <c r="C9" s="164"/>
      <c r="D9" s="165"/>
      <c r="E9" s="166"/>
      <c r="F9" s="167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3"/>
      <c r="C10" s="164"/>
      <c r="D10" s="165"/>
      <c r="E10" s="166"/>
      <c r="F10" s="167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3"/>
      <c r="C11" s="164"/>
      <c r="D11" s="165"/>
      <c r="E11" s="166"/>
      <c r="F11" s="167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3"/>
      <c r="C12" s="164"/>
      <c r="D12" s="165"/>
      <c r="E12" s="166"/>
      <c r="F12" s="167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3"/>
      <c r="C13" s="164"/>
      <c r="D13" s="165"/>
      <c r="E13" s="166"/>
      <c r="F13" s="167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3"/>
      <c r="C14" s="164"/>
      <c r="D14" s="165"/>
      <c r="E14" s="166"/>
      <c r="F14" s="167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3"/>
      <c r="C15" s="164"/>
      <c r="D15" s="165"/>
      <c r="E15" s="166"/>
      <c r="F15" s="167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1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102</v>
      </c>
      <c r="D9" s="39"/>
      <c r="E9" s="39"/>
    </row>
    <row r="10" spans="2:13" s="39" customFormat="1">
      <c r="B10" s="72"/>
      <c r="C10" s="39" t="s">
        <v>33</v>
      </c>
      <c r="D10" s="76" t="s">
        <v>104</v>
      </c>
      <c r="J10" s="39" t="s">
        <v>34</v>
      </c>
      <c r="K10" s="176">
        <f>MRS!L3</f>
        <v>46081</v>
      </c>
      <c r="L10" s="177"/>
      <c r="M10" s="177"/>
    </row>
    <row r="11" spans="2:13" s="39" customFormat="1">
      <c r="B11" s="72"/>
      <c r="C11" s="75" t="s">
        <v>35</v>
      </c>
      <c r="D11" s="76" t="s">
        <v>114</v>
      </c>
      <c r="J11" s="39" t="s">
        <v>36</v>
      </c>
      <c r="K11" s="178" t="str">
        <f>SUBSTITUTE(SUBSTITUTE(+MRS!A3,"  MRS No : ",""),"-MRS","-PO")</f>
        <v>SAC2-DS-PO-0240</v>
      </c>
      <c r="L11" s="178"/>
      <c r="M11" s="178"/>
    </row>
    <row r="12" spans="2:13" s="39" customFormat="1">
      <c r="B12" s="72"/>
      <c r="C12" s="75" t="s">
        <v>37</v>
      </c>
      <c r="D12" s="39" t="s">
        <v>103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106</v>
      </c>
      <c r="J14" s="39" t="s">
        <v>40</v>
      </c>
      <c r="K14" s="39" t="s">
        <v>135</v>
      </c>
    </row>
    <row r="15" spans="2:13" s="39" customFormat="1">
      <c r="B15" s="72"/>
      <c r="C15" s="77" t="s">
        <v>105</v>
      </c>
      <c r="J15" s="39" t="s">
        <v>41</v>
      </c>
      <c r="K15" s="78">
        <v>46069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9" t="s">
        <v>42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43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44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45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76" t="str">
        <f>MRS!B6&amp;" "&amp;MRS!D6</f>
        <v>Manlift 43 Meter Telescopic with single IPAP Operator</v>
      </c>
      <c r="M26" s="79" t="s">
        <v>47</v>
      </c>
    </row>
    <row r="27" spans="2:13" ht="11.1" customHeight="1">
      <c r="B27" s="32"/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83" t="s">
        <v>108</v>
      </c>
      <c r="G29" s="183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83"/>
      <c r="G30" s="183"/>
    </row>
    <row r="31" spans="2:13" ht="12" customHeight="1">
      <c r="B31" s="32"/>
      <c r="C31" s="26" t="s">
        <v>52</v>
      </c>
      <c r="D31" s="35"/>
      <c r="E31" s="26" t="s">
        <v>50</v>
      </c>
      <c r="F31" s="183"/>
      <c r="G31" s="183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11.1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11.1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80" t="s">
        <v>66</v>
      </c>
      <c r="C49" s="81" t="s">
        <v>113</v>
      </c>
      <c r="P49" s="82"/>
    </row>
    <row r="50" spans="2:16" s="83" customFormat="1" ht="12" customHeight="1">
      <c r="B50" s="84" t="s">
        <v>66</v>
      </c>
      <c r="C50" s="81" t="s">
        <v>96</v>
      </c>
    </row>
    <row r="51" spans="2:16" s="83" customFormat="1" ht="12" customHeight="1">
      <c r="B51" s="84" t="s">
        <v>66</v>
      </c>
      <c r="C51" s="81" t="s">
        <v>95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115</v>
      </c>
    </row>
    <row r="54" spans="2:16" ht="12" customHeight="1">
      <c r="B54" s="84" t="s">
        <v>66</v>
      </c>
      <c r="C54" s="126" t="s">
        <v>116</v>
      </c>
      <c r="F54" s="26" t="s">
        <v>124</v>
      </c>
      <c r="P54" s="26" t="str">
        <f>UPPER(F54)</f>
        <v>UNITED TECHNOLOGY CONTRACTING CO. LTD.</v>
      </c>
    </row>
    <row r="55" spans="2:16" ht="12" customHeight="1">
      <c r="B55" s="84" t="s">
        <v>66</v>
      </c>
      <c r="C55" s="126" t="s">
        <v>117</v>
      </c>
      <c r="F55" s="127" t="s">
        <v>127</v>
      </c>
    </row>
    <row r="56" spans="2:16" ht="12" customHeight="1">
      <c r="B56" s="84" t="s">
        <v>66</v>
      </c>
      <c r="C56" s="126" t="s">
        <v>118</v>
      </c>
      <c r="F56" s="127" t="s">
        <v>134</v>
      </c>
    </row>
    <row r="57" spans="2:16" ht="12" customHeight="1">
      <c r="B57" s="84" t="s">
        <v>66</v>
      </c>
      <c r="C57" s="126" t="s">
        <v>119</v>
      </c>
      <c r="F57" s="26" t="s">
        <v>125</v>
      </c>
    </row>
    <row r="58" spans="2:16" ht="12" customHeight="1">
      <c r="B58" s="84" t="s">
        <v>66</v>
      </c>
      <c r="C58" s="126" t="s">
        <v>120</v>
      </c>
      <c r="F58" s="26" t="s">
        <v>126</v>
      </c>
    </row>
    <row r="59" spans="2:16" ht="12" customHeight="1">
      <c r="B59" s="84" t="s">
        <v>66</v>
      </c>
      <c r="C59" s="126" t="s">
        <v>121</v>
      </c>
      <c r="F59" s="26" t="s">
        <v>122</v>
      </c>
    </row>
    <row r="60" spans="2:16" ht="12" customHeight="1">
      <c r="B60" s="84"/>
      <c r="C60" s="126" t="s">
        <v>123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45.75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Muhammed Huzaifa</v>
      </c>
    </row>
    <row r="68" spans="1:13" ht="18" customHeight="1">
      <c r="B68" s="26" t="s">
        <v>72</v>
      </c>
      <c r="J68" s="26" t="s">
        <v>73</v>
      </c>
      <c r="K68" s="22" t="s">
        <v>99</v>
      </c>
    </row>
    <row r="69" spans="1:13" ht="15" customHeight="1">
      <c r="B69" s="26" t="s">
        <v>74</v>
      </c>
      <c r="J69" s="26" t="s">
        <v>75</v>
      </c>
    </row>
    <row r="70" spans="1:13" s="28" customFormat="1" ht="15" customHeight="1">
      <c r="B70" s="25" t="s">
        <v>76</v>
      </c>
      <c r="J70" s="124" t="str">
        <f>C9</f>
        <v>UTCC(United Technology Contracting Co. Ltd.)</v>
      </c>
    </row>
    <row r="71" spans="1:13" ht="27.95" customHeight="1">
      <c r="A71" s="175" t="s">
        <v>77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SAC2-DS-PO-0240</v>
      </c>
      <c r="C2" s="190" t="s">
        <v>79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46081</v>
      </c>
      <c r="C3" s="51"/>
      <c r="D3" s="52"/>
      <c r="E3" s="191" t="s">
        <v>81</v>
      </c>
      <c r="F3" s="191"/>
      <c r="G3" s="191"/>
      <c r="H3" s="191"/>
      <c r="I3" s="53"/>
    </row>
    <row r="4" spans="1:13" s="55" customFormat="1" ht="28.5" customHeight="1" thickTop="1">
      <c r="A4" s="192" t="s">
        <v>82</v>
      </c>
      <c r="B4" s="194" t="s">
        <v>83</v>
      </c>
      <c r="C4" s="195"/>
      <c r="D4" s="198" t="s">
        <v>84</v>
      </c>
      <c r="E4" s="198" t="s">
        <v>85</v>
      </c>
      <c r="F4" s="200" t="str">
        <f>'PO 1st page'!C9</f>
        <v>UTCC(United Technology Contracting Co. Ltd.)</v>
      </c>
      <c r="G4" s="201"/>
      <c r="H4" s="202" t="s">
        <v>86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87</v>
      </c>
      <c r="G5" s="57" t="s">
        <v>52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4" t="str">
        <f>'PO 1st page'!C26</f>
        <v>Manlift 43 Meter Telescopic with single IPAP Operator</v>
      </c>
      <c r="C6" s="205"/>
      <c r="D6" s="86" t="str">
        <f>+'MRS LIST'!G6</f>
        <v>Month</v>
      </c>
      <c r="E6" s="87">
        <f>+'MRS LIST'!H6</f>
        <v>1</v>
      </c>
      <c r="F6" s="88">
        <f>+'MRS LIST'!I6</f>
        <v>32000</v>
      </c>
      <c r="G6" s="89">
        <f>+'MRS LIST'!J6</f>
        <v>32000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4" t="str">
        <f>+'MRS LIST'!B7</f>
        <v>Manlift Mob. &amp; Demob. Charges</v>
      </c>
      <c r="C7" s="205"/>
      <c r="D7" s="86" t="str">
        <f>+'MRS LIST'!G7</f>
        <v>Trip</v>
      </c>
      <c r="E7" s="87">
        <f>+'MRS LIST'!H7</f>
        <v>2</v>
      </c>
      <c r="F7" s="88">
        <f>+'MRS LIST'!I7</f>
        <v>3000</v>
      </c>
      <c r="G7" s="89">
        <f>+'MRS LIST'!J7</f>
        <v>6000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8"/>
      <c r="C8" s="189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8"/>
      <c r="C9" s="189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8"/>
      <c r="C10" s="189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8"/>
      <c r="C11" s="189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8"/>
      <c r="C12" s="189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8"/>
      <c r="C13" s="189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8"/>
      <c r="C14" s="189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8"/>
      <c r="C15" s="189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8"/>
      <c r="C16" s="189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8"/>
      <c r="C17" s="189"/>
      <c r="D17" s="94"/>
      <c r="E17" s="95"/>
      <c r="F17" s="96"/>
      <c r="G17" s="97"/>
      <c r="H17" s="98"/>
    </row>
    <row r="18" spans="1:13" s="55" customFormat="1" ht="23.1" customHeight="1">
      <c r="A18" s="184" t="s">
        <v>88</v>
      </c>
      <c r="B18" s="185"/>
      <c r="C18" s="185"/>
      <c r="D18" s="185"/>
      <c r="E18" s="185"/>
      <c r="F18" s="185"/>
      <c r="G18" s="58">
        <f>SUM(G6:G17)</f>
        <v>38000</v>
      </c>
      <c r="H18" s="59"/>
    </row>
    <row r="19" spans="1:13" s="55" customFormat="1" ht="23.1" customHeight="1">
      <c r="A19" s="184" t="s">
        <v>51</v>
      </c>
      <c r="B19" s="185"/>
      <c r="C19" s="185"/>
      <c r="D19" s="185"/>
      <c r="E19" s="185"/>
      <c r="F19" s="185"/>
      <c r="G19" s="58">
        <f>+G18*0.15</f>
        <v>5700</v>
      </c>
      <c r="H19" s="59"/>
    </row>
    <row r="20" spans="1:13" s="55" customFormat="1" ht="24.95" customHeight="1" thickBot="1">
      <c r="A20" s="186" t="s">
        <v>89</v>
      </c>
      <c r="B20" s="187"/>
      <c r="C20" s="187"/>
      <c r="D20" s="187"/>
      <c r="E20" s="187"/>
      <c r="F20" s="187"/>
      <c r="G20" s="60">
        <f>G19+G18</f>
        <v>43700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UT-EQUO-26-3885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5" t="s">
        <v>91</v>
      </c>
      <c r="B24" s="175"/>
      <c r="C24" s="175"/>
      <c r="D24" s="175"/>
      <c r="E24" s="175"/>
      <c r="F24" s="175"/>
      <c r="G24" s="175"/>
      <c r="H24" s="17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2026-02-28T07:53:36Z</cp:lastPrinted>
  <dcterms:created xsi:type="dcterms:W3CDTF">2024-10-20T11:50:19Z</dcterms:created>
  <dcterms:modified xsi:type="dcterms:W3CDTF">2026-02-28T07:53:38Z</dcterms:modified>
</cp:coreProperties>
</file>