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55671DBB-FF2F-4B9D-B949-C3F3985E88A6}" xr6:coauthVersionLast="47" xr6:coauthVersionMax="47" xr10:uidLastSave="{00000000-0000-0000-0000-000000000000}"/>
  <bookViews>
    <workbookView xWindow="2868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P54" i="3" l="1"/>
  <c r="B6" i="4" l="1"/>
  <c r="J6" i="1" l="1"/>
  <c r="K67" i="3" l="1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<sst xmlns="http://schemas.openxmlformats.org/spreadsheetml/2006/main" count="159" uniqueCount="135">
  <si>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</si>
  <si>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</si>
  <si>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</si>
  <si>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</si>
  <si>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</si>
  <si>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</si>
  <si>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</si>
  <si>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</si>
  <si>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</si>
  <si>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</si>
  <si>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</si>
  <si>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</si>
  <si>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</si>
  <si>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</si>
  <si>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</si>
  <si>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</si>
  <si>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</si>
  <si>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</si>
  <si>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</si>
  <si>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</si>
  <si>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</si>
  <si>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</si>
  <si>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</si>
  <si>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</si>
  <si>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</si>
  <si>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</si>
  <si>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</si>
  <si>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</si>
  <si>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</si>
  <si>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</si>
  <si>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</si>
  <si>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</si>
  <si>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</si>
  <si>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</si>
  <si>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</si>
  <si>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</si>
  <si>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</si>
  <si>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</si>
  <si>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</si>
  <si>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</si>
  <si>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</si>
  <si>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</si>
  <si>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</si>
  <si>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</si>
  <si>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</si>
  <si>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</si>
  <si>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</si>
  <si>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</si>
  <si>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</si>
  <si>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</si>
  <si>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</si>
  <si>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</si>
  <si>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</si>
  <si>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</si>
  <si>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</si>
  <si>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</si>
  <si>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</si>
  <si>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</si>
  <si>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</si>
  <si>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</si>
  <si>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</si>
  <si>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</si>
  <si>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</si>
  <si>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</si>
  <si>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</si>
  <si>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</si>
  <si>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</si>
  <si>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</si>
  <si>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</si>
  <si>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</si>
  <si>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</si>
  <si>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</si>
  <si>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</si>
  <si>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</si>
  <si>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</si>
  <si>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</si>
  <si>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</si>
  <si>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</si>
  <si>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</si>
  <si>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</si>
  <si>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</si>
  <si>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</si>
  <si>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</si>
  <si>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</si>
  <si>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</si>
  <si>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</si>
  <si>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</si>
  <si>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</si>
  <si>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</si>
  <si>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</si>
  <si>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</si>
  <si>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()</t>
  </si>
  <si>
    <t>Operation Manager</t>
  </si>
  <si>
    <t>HANNI</t>
  </si>
  <si>
    <t>2251058555</t>
  </si>
  <si>
    <t>300776977800003</t>
  </si>
  <si>
    <t>Arvind Kumar</t>
  </si>
  <si>
    <t>+966 55 4222473 / Email:arvindkumar.almenhaliest@gmail.com</t>
  </si>
  <si>
    <t>Mobile : +966 554222473</t>
  </si>
  <si>
    <t>P.O. Box 3374 Al Hasa Hofuf-RiyadhSt. KSA</t>
  </si>
  <si>
    <t>Monthly</t>
  </si>
  <si>
    <t>Monthly Based</t>
  </si>
  <si>
    <t>HANNI(Hanni Ahmad Said Al-Othman Menhali Est.)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</si>
  <si>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</si>
  <si>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</si>
  <si>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</si>
  <si>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</si>
  <si>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</si>
  <si>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</si>
  <si>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</si>
  <si>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</si>
  <si>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</si>
  <si>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HANNI AHMAD SAID AL-OTHMAN MENHALI EST.</t>
  </si>
  <si>
    <t>SA4760100031095000593001</t>
  </si>
  <si>
    <t>BANK ALJAZIRA</t>
  </si>
  <si>
    <t>BJAZSAJE</t>
  </si>
  <si>
    <t>031095000593001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</si>
  <si>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-MRS-0444</t>
    </r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</si>
  <si>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</si>
  <si>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</si>
  <si>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Diesel Supply</t>
  </si>
  <si>
    <t>Ltr</t>
  </si>
  <si>
    <t>SUB-CON</t>
    <phoneticPr fontId="8" type="noConversion"/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</si>
  <si>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</si>
  <si>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</si>
  <si>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</si>
  <si>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</si>
  <si>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</si>
  <si>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</si>
  <si>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</si>
  <si>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</si>
  <si>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</si>
  <si>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</si>
  <si>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</si>
  <si>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t>HM-131-26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</si>
</sst>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4"/>
      <color rgb="FF0000FF"/>
      <name val="Arial"/>
      <family val="2"/>
    </font>
    <font>
      <b/>
      <sz val="17"/>
      <color rgb="FF0000FF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11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38" xfId="6" applyNumberFormat="1" applyFont="1" applyBorder="1" applyAlignment="1">
      <alignment horizontal="center" vertical="center" wrapText="1"/>
    </xf>
    <xf numFmtId="0" fontId="6" fillId="0" borderId="39" xfId="6" applyFont="1" applyBorder="1"/>
    <xf numFmtId="0" fontId="8" fillId="0" borderId="0" xfId="6" applyFont="1" applyAlignment="1">
      <alignment vertical="center"/>
    </xf>
    <xf numFmtId="0" fontId="26" fillId="0" borderId="40" xfId="6" applyFont="1" applyBorder="1" applyAlignment="1">
      <alignment vertical="center"/>
    </xf>
    <xf numFmtId="0" fontId="26" fillId="0" borderId="40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43" fillId="2" borderId="0" xfId="1" applyFont="1" applyFill="1" applyAlignment="1">
      <alignment vertical="center"/>
    </xf>
    <xf numFmtId="172" fontId="17" fillId="3" borderId="0" xfId="5" applyNumberFormat="1" applyFont="1" applyFill="1"/>
    <xf numFmtId="0" fontId="49" fillId="3" borderId="0" xfId="5" applyFont="1" applyFill="1"/>
    <xf numFmtId="0" fontId="17" fillId="3" borderId="0" xfId="5" quotePrefix="1" applyFont="1" applyFill="1"/>
    <xf numFmtId="0" fontId="4" fillId="2" borderId="21" xfId="1" applyFont="1" applyFill="1" applyBorder="1" applyAlignment="1">
      <alignment horizontal="center" vertical="center"/>
    </xf>
    <xf numFmtId="0" fontId="50" fillId="2" borderId="0" xfId="1" applyFont="1" applyFill="1" applyAlignment="1">
      <alignment vertical="center"/>
    </xf>
    <xf numFmtId="0" fontId="55" fillId="0" borderId="0" xfId="2" applyFont="1" applyAlignment="1">
      <alignment vertical="center"/>
    </xf>
    <xf numFmtId="170" fontId="56" fillId="0" borderId="7" xfId="3" applyNumberFormat="1" applyFont="1" applyBorder="1" applyAlignment="1">
      <alignment horizontal="right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1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48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16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37" xfId="6" quotePrefix="1" applyFont="1" applyBorder="1" applyAlignment="1">
      <alignment horizontal="right" vertical="center"/>
    </xf>
    <xf numFmtId="0" fontId="8" fillId="0" borderId="38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699335</xdr:colOff>
          <xdr:row>17</xdr:row>
          <xdr:rowOff>49129</xdr:rowOff>
        </xdr:from>
        <xdr:to>
          <xdr:col>11</xdr:col>
          <xdr:colOff>1547060</xdr:colOff>
          <xdr:row>23</xdr:row>
          <xdr:rowOff>287254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22D65D04-DD95-3B9F-E1A1-94586B506A1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18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491414" y="5032208"/>
              <a:ext cx="8457699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43243</xdr:colOff>
      <xdr:row>6</xdr:row>
      <xdr:rowOff>117231</xdr:rowOff>
    </xdr:from>
    <xdr:to>
      <xdr:col>12</xdr:col>
      <xdr:colOff>575452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20" y="1091712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P14" sqref="P14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17" t="s">
        <v>118</v>
      </c>
      <c r="B1" s="118"/>
      <c r="C1" s="100"/>
      <c r="D1" s="100"/>
      <c r="E1" s="100"/>
      <c r="F1" s="100"/>
      <c r="G1" s="1"/>
      <c r="J1" s="150" t="s">
        <v>83</v>
      </c>
      <c r="K1" s="151"/>
      <c r="L1" s="152"/>
    </row>
    <row r="2" spans="1:18" ht="20.100000000000001" customHeight="1">
      <c r="A2" s="3" t="s">
        <v>1</v>
      </c>
      <c r="B2" s="91"/>
      <c r="C2" s="91"/>
      <c r="D2" s="3" t="s">
        <v>119</v>
      </c>
      <c r="E2" s="91"/>
      <c r="F2" s="91"/>
      <c r="G2" s="91"/>
      <c r="H2" s="91"/>
      <c r="I2" s="4"/>
      <c r="J2" s="153" t="s">
        <v>91</v>
      </c>
      <c r="K2" s="154"/>
      <c r="L2" s="155"/>
    </row>
    <row r="3" spans="1:18" ht="20.100000000000001" customHeight="1">
      <c r="A3" s="3" t="s">
        <v>117</v>
      </c>
      <c r="B3" s="91"/>
      <c r="C3" s="91"/>
      <c r="D3" s="91"/>
      <c r="E3" s="156">
        <f>+L3+3</f>
        <v>46268</v>
      </c>
      <c r="F3" s="156"/>
      <c r="G3" s="156"/>
      <c r="H3" s="156"/>
      <c r="I3" s="156"/>
      <c r="J3" s="91"/>
      <c r="K3" s="91"/>
      <c r="L3" s="119">
        <v>46265</v>
      </c>
      <c r="M3" s="4"/>
    </row>
    <row r="4" spans="1:18" ht="15.95" customHeight="1">
      <c r="A4" s="157" t="s">
        <v>2</v>
      </c>
      <c r="B4" s="158" t="s">
        <v>3</v>
      </c>
      <c r="C4" s="158"/>
      <c r="D4" s="159" t="s">
        <v>4</v>
      </c>
      <c r="E4" s="160"/>
      <c r="F4" s="161"/>
      <c r="G4" s="165" t="s">
        <v>5</v>
      </c>
      <c r="H4" s="167" t="s">
        <v>6</v>
      </c>
      <c r="I4" s="167" t="s">
        <v>88</v>
      </c>
      <c r="J4" s="157" t="s">
        <v>89</v>
      </c>
      <c r="K4" s="167" t="s">
        <v>0</v>
      </c>
      <c r="L4" s="158" t="s">
        <v>7</v>
      </c>
    </row>
    <row r="5" spans="1:18" ht="15.95" customHeight="1">
      <c r="A5" s="157"/>
      <c r="B5" s="158"/>
      <c r="C5" s="158"/>
      <c r="D5" s="162"/>
      <c r="E5" s="163"/>
      <c r="F5" s="164"/>
      <c r="G5" s="166"/>
      <c r="H5" s="168"/>
      <c r="I5" s="168"/>
      <c r="J5" s="157"/>
      <c r="K5" s="168"/>
      <c r="L5" s="158"/>
    </row>
    <row r="6" spans="1:18" ht="22.5" customHeight="1">
      <c r="A6" s="5">
        <f t="shared" ref="A6:A15" si="0">ROW(A1)</f>
        <v>1</v>
      </c>
      <c r="B6" s="140" t="s">
        <v>120</v>
      </c>
      <c r="C6" s="141"/>
      <c r="D6" s="149"/>
      <c r="E6" s="143"/>
      <c r="F6" s="144"/>
      <c r="G6" s="101" t="s">
        <v>121</v>
      </c>
      <c r="H6" s="102">
        <v>1</v>
      </c>
      <c r="I6" s="103">
        <v>1.83</v>
      </c>
      <c r="J6" s="103">
        <f>H6*I6</f>
        <v>1.83</v>
      </c>
      <c r="K6" s="104" t="s">
        <v>93</v>
      </c>
      <c r="L6" s="105" t="s">
        <v>100</v>
      </c>
      <c r="R6" s="96"/>
    </row>
    <row r="7" spans="1:18" ht="22.5" customHeight="1">
      <c r="A7" s="5">
        <f t="shared" si="0"/>
        <v>2</v>
      </c>
      <c r="B7" s="140"/>
      <c r="C7" s="141"/>
      <c r="D7" s="142"/>
      <c r="E7" s="143"/>
      <c r="F7" s="144"/>
      <c r="G7" s="101"/>
      <c r="H7" s="102"/>
      <c r="I7" s="103"/>
      <c r="J7" s="103"/>
      <c r="K7" s="104"/>
      <c r="L7" s="105"/>
      <c r="R7" s="96"/>
    </row>
    <row r="8" spans="1:18" ht="22.5" customHeight="1">
      <c r="A8" s="5">
        <f t="shared" si="0"/>
        <v>3</v>
      </c>
      <c r="B8" s="140"/>
      <c r="C8" s="141"/>
      <c r="D8" s="142"/>
      <c r="E8" s="143"/>
      <c r="F8" s="144"/>
      <c r="G8" s="101"/>
      <c r="H8" s="102"/>
      <c r="I8" s="103"/>
      <c r="J8" s="103"/>
      <c r="K8" s="104"/>
      <c r="L8" s="105"/>
      <c r="R8" s="96"/>
    </row>
    <row r="9" spans="1:18" ht="22.5" customHeight="1">
      <c r="A9" s="5">
        <f t="shared" si="0"/>
        <v>4</v>
      </c>
      <c r="B9" s="140"/>
      <c r="C9" s="141"/>
      <c r="D9" s="142"/>
      <c r="E9" s="143"/>
      <c r="F9" s="144"/>
      <c r="G9" s="101"/>
      <c r="H9" s="102"/>
      <c r="I9" s="103"/>
      <c r="J9" s="103"/>
      <c r="K9" s="104"/>
      <c r="L9" s="105"/>
      <c r="R9" s="96"/>
    </row>
    <row r="10" spans="1:18" ht="22.5" customHeight="1">
      <c r="A10" s="5">
        <f t="shared" si="0"/>
        <v>5</v>
      </c>
      <c r="B10" s="147"/>
      <c r="C10" s="147"/>
      <c r="D10" s="148"/>
      <c r="E10" s="148"/>
      <c r="F10" s="148"/>
      <c r="G10" s="101"/>
      <c r="H10" s="102"/>
      <c r="I10" s="106"/>
      <c r="J10" s="103"/>
      <c r="K10" s="104"/>
      <c r="L10" s="101"/>
      <c r="R10" s="96"/>
    </row>
    <row r="11" spans="1:18" ht="22.5" customHeight="1">
      <c r="A11" s="5">
        <f t="shared" si="0"/>
        <v>6</v>
      </c>
      <c r="B11" s="140"/>
      <c r="C11" s="141"/>
      <c r="D11" s="142"/>
      <c r="E11" s="143"/>
      <c r="F11" s="144"/>
      <c r="G11" s="101"/>
      <c r="H11" s="102"/>
      <c r="I11" s="103"/>
      <c r="J11" s="103"/>
      <c r="K11" s="104"/>
      <c r="L11" s="105"/>
      <c r="R11" s="96"/>
    </row>
    <row r="12" spans="1:18" ht="22.5" customHeight="1">
      <c r="A12" s="5">
        <f t="shared" si="0"/>
        <v>7</v>
      </c>
      <c r="B12" s="147"/>
      <c r="C12" s="147"/>
      <c r="D12" s="148"/>
      <c r="E12" s="148"/>
      <c r="F12" s="148"/>
      <c r="G12" s="101"/>
      <c r="H12" s="102"/>
      <c r="I12" s="106"/>
      <c r="J12" s="103"/>
      <c r="K12" s="104"/>
      <c r="L12" s="101"/>
      <c r="R12" s="96"/>
    </row>
    <row r="13" spans="1:18" ht="22.5" customHeight="1">
      <c r="A13" s="5">
        <f t="shared" si="0"/>
        <v>8</v>
      </c>
      <c r="B13" s="140"/>
      <c r="C13" s="141"/>
      <c r="D13" s="142"/>
      <c r="E13" s="143"/>
      <c r="F13" s="144"/>
      <c r="G13" s="101"/>
      <c r="H13" s="102"/>
      <c r="I13" s="103"/>
      <c r="J13" s="103"/>
      <c r="K13" s="104"/>
      <c r="L13" s="105"/>
      <c r="R13" s="96"/>
    </row>
    <row r="14" spans="1:18" ht="22.5" customHeight="1">
      <c r="A14" s="5">
        <f t="shared" si="0"/>
        <v>9</v>
      </c>
      <c r="B14" s="140"/>
      <c r="C14" s="141"/>
      <c r="D14" s="142"/>
      <c r="E14" s="143"/>
      <c r="F14" s="144"/>
      <c r="G14" s="101"/>
      <c r="H14" s="102"/>
      <c r="I14" s="103"/>
      <c r="J14" s="103"/>
      <c r="K14" s="104"/>
      <c r="L14" s="105"/>
      <c r="R14" s="96"/>
    </row>
    <row r="15" spans="1:18" ht="22.5" customHeight="1">
      <c r="A15" s="5">
        <f t="shared" si="0"/>
        <v>10</v>
      </c>
      <c r="B15" s="140"/>
      <c r="C15" s="141"/>
      <c r="D15" s="142"/>
      <c r="E15" s="143"/>
      <c r="F15" s="144"/>
      <c r="G15" s="101"/>
      <c r="H15" s="102"/>
      <c r="I15" s="103"/>
      <c r="J15" s="103"/>
      <c r="K15" s="104"/>
      <c r="L15" s="105"/>
      <c r="R15" s="96"/>
    </row>
    <row r="16" spans="1:18" ht="22.5" customHeight="1">
      <c r="A16" s="145" t="s">
        <v>8</v>
      </c>
      <c r="B16" s="146"/>
      <c r="C16" s="107"/>
      <c r="D16" s="108"/>
      <c r="E16" s="108"/>
      <c r="F16" s="108"/>
      <c r="G16" s="109"/>
      <c r="H16" s="109"/>
      <c r="I16" s="110" t="s">
        <v>9</v>
      </c>
      <c r="J16" s="103">
        <f>SUM(J6:J15)</f>
        <v>1.83</v>
      </c>
      <c r="K16" s="103"/>
      <c r="L16" s="111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30"/>
      <c r="Z18" s="11"/>
    </row>
    <row r="19" spans="1:26" ht="50.1" customHeight="1">
      <c r="Y19" s="131"/>
    </row>
    <row r="20" spans="1:26" ht="15" customHeight="1">
      <c r="O20" s="126" t="s">
        <v>122</v>
      </c>
      <c r="P20" s="132"/>
      <c r="Q20" s="132"/>
      <c r="R20" s="127"/>
      <c r="S20" s="116"/>
      <c r="T20" s="126" t="s">
        <v>123</v>
      </c>
      <c r="U20" s="132"/>
      <c r="V20" s="132"/>
      <c r="W20" s="132"/>
      <c r="X20" s="132"/>
      <c r="Y20" s="127"/>
    </row>
    <row r="21" spans="1:26" ht="15" customHeight="1">
      <c r="O21" s="133" t="s">
        <v>124</v>
      </c>
      <c r="P21" s="135" t="s">
        <v>125</v>
      </c>
      <c r="Q21" s="133" t="s">
        <v>126</v>
      </c>
      <c r="R21" s="135" t="s">
        <v>127</v>
      </c>
      <c r="S21" s="116"/>
      <c r="T21" s="133" t="s">
        <v>128</v>
      </c>
      <c r="U21" s="135" t="s">
        <v>129</v>
      </c>
      <c r="V21" s="126" t="s">
        <v>130</v>
      </c>
      <c r="W21" s="132"/>
      <c r="X21" s="127"/>
      <c r="Y21" s="135" t="s">
        <v>131</v>
      </c>
    </row>
    <row r="22" spans="1:26" ht="18" customHeight="1">
      <c r="O22" s="134"/>
      <c r="P22" s="136"/>
      <c r="Q22" s="134"/>
      <c r="R22" s="136"/>
      <c r="S22" s="120"/>
      <c r="T22" s="134"/>
      <c r="U22" s="136"/>
      <c r="V22" s="13" t="s">
        <v>124</v>
      </c>
      <c r="W22" s="137" t="s">
        <v>132</v>
      </c>
      <c r="X22" s="138"/>
      <c r="Y22" s="136"/>
    </row>
    <row r="23" spans="1:26" ht="50.1" customHeight="1">
      <c r="O23" s="14"/>
      <c r="P23" s="14"/>
      <c r="Q23" s="14"/>
      <c r="R23" s="14"/>
      <c r="S23" s="116"/>
      <c r="T23" s="14"/>
      <c r="U23" s="14"/>
      <c r="V23" s="14"/>
      <c r="W23" s="126"/>
      <c r="X23" s="127"/>
      <c r="Y23" s="121"/>
    </row>
    <row r="24" spans="1:26" ht="36" customHeight="1">
      <c r="W24" s="122"/>
      <c r="X24" s="128" t="s">
        <v>133</v>
      </c>
      <c r="Y24" s="12" t="s">
        <v>131</v>
      </c>
    </row>
    <row r="25" spans="1:26" ht="50.1" customHeight="1">
      <c r="O25" s="123"/>
      <c r="P25" s="123"/>
      <c r="Q25" s="123"/>
      <c r="R25" s="123"/>
      <c r="S25" s="123"/>
      <c r="T25" s="123"/>
      <c r="U25" s="123"/>
      <c r="V25" s="123"/>
      <c r="W25" s="124"/>
      <c r="X25" s="129"/>
      <c r="Y25" s="125"/>
    </row>
    <row r="26" spans="1:26" ht="19.899999999999999" customHeight="1"/>
    <row r="27" spans="1:26" ht="17.45" customHeight="1">
      <c r="O27" s="139"/>
      <c r="P27" s="139"/>
    </row>
    <row r="28" spans="1:26" ht="19.899999999999999" customHeight="1">
      <c r="O28" s="139"/>
      <c r="P28" s="139"/>
    </row>
    <row r="29" spans="1:26" ht="14.25">
      <c r="O29" s="11"/>
      <c r="P29" s="11"/>
    </row>
    <row r="30" spans="1:26" ht="65.099999999999994" customHeight="1"/>
    <row r="31" spans="1:26" ht="14.25">
      <c r="O31" s="11"/>
      <c r="P31" s="11"/>
    </row>
    <row r="32" spans="1:26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35" t="s">
        <v>12</v>
      </c>
      <c r="P46" s="135" t="s">
        <v>12</v>
      </c>
      <c r="S46" s="135" t="s">
        <v>11</v>
      </c>
    </row>
    <row r="47" spans="15:19" ht="21" customHeight="1">
      <c r="O47" s="136"/>
      <c r="P47" s="136"/>
      <c r="S47" s="134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35" t="s">
        <v>12</v>
      </c>
      <c r="P50" s="135" t="s">
        <v>12</v>
      </c>
      <c r="S50" s="135" t="s">
        <v>13</v>
      </c>
    </row>
    <row r="51" spans="15:19" ht="21" customHeight="1">
      <c r="O51" s="136"/>
      <c r="P51" s="136"/>
      <c r="S51" s="134"/>
    </row>
    <row r="52" spans="15:19" ht="64.900000000000006" customHeight="1">
      <c r="O52" s="14"/>
      <c r="P52" s="14"/>
      <c r="S52" s="14"/>
    </row>
  </sheetData>
  <mergeCells count="55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5:C15"/>
    <mergeCell ref="D15:F15"/>
    <mergeCell ref="A16:B16"/>
    <mergeCell ref="P21:P22"/>
    <mergeCell ref="B12:C12"/>
    <mergeCell ref="D12:F12"/>
    <mergeCell ref="B13:C13"/>
    <mergeCell ref="D13:F13"/>
    <mergeCell ref="B14:C14"/>
    <mergeCell ref="D14:F14"/>
    <mergeCell ref="S46:S47"/>
    <mergeCell ref="O50:O51"/>
    <mergeCell ref="P50:P51"/>
    <mergeCell ref="S50:S51"/>
    <mergeCell ref="O27:O28"/>
    <mergeCell ref="P27:P28"/>
    <mergeCell ref="O46:O47"/>
    <mergeCell ref="P46:P47"/>
    <mergeCell ref="W23:X23"/>
    <mergeCell ref="X24:X25"/>
    <mergeCell ref="Y18:Y19"/>
    <mergeCell ref="O20:R20"/>
    <mergeCell ref="T20:Y20"/>
    <mergeCell ref="O21:O22"/>
    <mergeCell ref="Q21:Q22"/>
    <mergeCell ref="R21:R22"/>
    <mergeCell ref="T21:T22"/>
    <mergeCell ref="U21:U22"/>
    <mergeCell ref="V21:X21"/>
    <mergeCell ref="Y21:Y22"/>
    <mergeCell ref="W22:X22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2" t="s">
        <v>90</v>
      </c>
      <c r="B1" s="90"/>
      <c r="C1" s="90"/>
      <c r="D1" s="90"/>
      <c r="E1" s="90"/>
      <c r="F1" s="90"/>
      <c r="G1" s="1"/>
      <c r="J1" s="150" t="str">
        <f>+MRS!J1</f>
        <v>DAESHIN PLANT</v>
      </c>
      <c r="K1" s="152"/>
    </row>
    <row r="2" spans="1:18" ht="24.95" customHeight="1">
      <c r="A2" s="3" t="str">
        <f>+MRS!A2</f>
        <v xml:space="preserve">  PJT :  SACE2           </v>
      </c>
      <c r="B2" s="91"/>
      <c r="C2" s="91"/>
      <c r="D2" s="3" t="str">
        <f>+MRS!D2</f>
        <v>Division (In charge Name) : ADMIN MANAGER (Dong Chang Kim)</v>
      </c>
      <c r="E2" s="91"/>
      <c r="F2" s="91"/>
      <c r="G2" s="16"/>
      <c r="H2" s="16"/>
      <c r="I2" s="16"/>
      <c r="J2" s="153" t="str">
        <f>+MRS!J2</f>
        <v>Subcontract name ()</v>
      </c>
      <c r="K2" s="155"/>
    </row>
    <row r="3" spans="1:18" ht="24.95" customHeight="1">
      <c r="A3" s="3" t="str">
        <f>+MRS!A3</f>
        <v xml:space="preserve">  MRS No : SAC2-DS-MRS-0444</v>
      </c>
      <c r="B3" s="91"/>
      <c r="C3" s="91"/>
      <c r="D3" s="91"/>
      <c r="E3" s="91"/>
      <c r="F3" s="91"/>
      <c r="G3" s="91"/>
      <c r="H3" s="91"/>
      <c r="I3" s="91"/>
      <c r="J3" s="91"/>
      <c r="K3" s="92">
        <f>+MRS!L3</f>
        <v>46265</v>
      </c>
    </row>
    <row r="4" spans="1:18" ht="15.95" customHeight="1">
      <c r="A4" s="179" t="s">
        <v>2</v>
      </c>
      <c r="B4" s="180" t="s">
        <v>14</v>
      </c>
      <c r="C4" s="180"/>
      <c r="D4" s="179" t="s">
        <v>4</v>
      </c>
      <c r="E4" s="179"/>
      <c r="F4" s="179"/>
      <c r="G4" s="180" t="s">
        <v>5</v>
      </c>
      <c r="H4" s="179" t="s">
        <v>84</v>
      </c>
      <c r="I4" s="179" t="s">
        <v>15</v>
      </c>
      <c r="J4" s="179" t="s">
        <v>16</v>
      </c>
      <c r="K4" s="180" t="s">
        <v>7</v>
      </c>
    </row>
    <row r="5" spans="1:18" ht="15.95" customHeight="1">
      <c r="A5" s="179"/>
      <c r="B5" s="180"/>
      <c r="C5" s="180"/>
      <c r="D5" s="179"/>
      <c r="E5" s="179"/>
      <c r="F5" s="179"/>
      <c r="G5" s="180"/>
      <c r="H5" s="179"/>
      <c r="I5" s="179"/>
      <c r="J5" s="179"/>
      <c r="K5" s="180"/>
    </row>
    <row r="6" spans="1:18" ht="105" customHeight="1">
      <c r="A6" s="17">
        <f>+MRS!A6</f>
        <v>1</v>
      </c>
      <c r="B6" s="174" t="str">
        <f>MRS!B6</f>
        <v>Diesel Supply</v>
      </c>
      <c r="C6" s="175"/>
      <c r="D6" s="176">
        <f>MRS!D6</f>
        <v>0</v>
      </c>
      <c r="E6" s="177"/>
      <c r="F6" s="178"/>
      <c r="G6" s="93" t="str">
        <f>MRS!G6</f>
        <v>Ltr</v>
      </c>
      <c r="H6" s="93">
        <f>MRS!H6</f>
        <v>1</v>
      </c>
      <c r="I6" s="94">
        <f>MRS!I6</f>
        <v>1.83</v>
      </c>
      <c r="J6" s="94">
        <f>MRS!J6</f>
        <v>1.83</v>
      </c>
      <c r="K6" s="95"/>
      <c r="O6" s="96"/>
      <c r="P6" s="96"/>
      <c r="R6" s="96"/>
    </row>
    <row r="7" spans="1:18" ht="105" customHeight="1">
      <c r="A7" s="17">
        <f>+MRS!A7</f>
        <v>2</v>
      </c>
      <c r="B7" s="174">
        <f>MRS!B7</f>
        <v>0</v>
      </c>
      <c r="C7" s="175"/>
      <c r="D7" s="176">
        <f>MRS!D7</f>
        <v>0</v>
      </c>
      <c r="E7" s="177"/>
      <c r="F7" s="178"/>
      <c r="G7" s="93">
        <f>MRS!G7</f>
        <v>0</v>
      </c>
      <c r="H7" s="93">
        <f>MRS!H7</f>
        <v>0</v>
      </c>
      <c r="I7" s="94">
        <f>MRS!I7</f>
        <v>0</v>
      </c>
      <c r="J7" s="94">
        <f>MRS!J7</f>
        <v>0</v>
      </c>
      <c r="K7" s="95"/>
      <c r="O7" s="96"/>
      <c r="P7" s="96"/>
      <c r="R7" s="96"/>
    </row>
    <row r="8" spans="1:18" ht="105" customHeight="1">
      <c r="A8" s="17">
        <f>+MRS!A8</f>
        <v>3</v>
      </c>
      <c r="B8" s="169"/>
      <c r="C8" s="170"/>
      <c r="D8" s="171"/>
      <c r="E8" s="172"/>
      <c r="F8" s="173"/>
      <c r="G8" s="97"/>
      <c r="H8" s="98"/>
      <c r="I8" s="99"/>
      <c r="J8" s="99"/>
      <c r="K8" s="95"/>
      <c r="O8" s="96"/>
      <c r="P8" s="96"/>
      <c r="R8" s="96"/>
    </row>
    <row r="9" spans="1:18" ht="105" customHeight="1">
      <c r="A9" s="17">
        <f>+MRS!A9</f>
        <v>4</v>
      </c>
      <c r="B9" s="169"/>
      <c r="C9" s="170"/>
      <c r="D9" s="171"/>
      <c r="E9" s="172"/>
      <c r="F9" s="173"/>
      <c r="G9" s="97"/>
      <c r="H9" s="98"/>
      <c r="I9" s="99"/>
      <c r="J9" s="99"/>
      <c r="K9" s="95"/>
      <c r="O9" s="96"/>
      <c r="P9" s="96"/>
      <c r="R9" s="96"/>
    </row>
    <row r="10" spans="1:18" ht="105" customHeight="1">
      <c r="A10" s="17">
        <f>+MRS!A10</f>
        <v>5</v>
      </c>
      <c r="B10" s="169"/>
      <c r="C10" s="170"/>
      <c r="D10" s="171"/>
      <c r="E10" s="172"/>
      <c r="F10" s="173"/>
      <c r="G10" s="97"/>
      <c r="H10" s="98"/>
      <c r="I10" s="99"/>
      <c r="J10" s="99"/>
      <c r="K10" s="95"/>
      <c r="O10" s="96"/>
      <c r="P10" s="96"/>
      <c r="R10" s="96"/>
    </row>
    <row r="11" spans="1:18" ht="105" customHeight="1">
      <c r="A11" s="17">
        <f>+MRS!A11</f>
        <v>6</v>
      </c>
      <c r="B11" s="169"/>
      <c r="C11" s="170"/>
      <c r="D11" s="171"/>
      <c r="E11" s="172"/>
      <c r="F11" s="173"/>
      <c r="G11" s="97"/>
      <c r="H11" s="98"/>
      <c r="I11" s="99"/>
      <c r="J11" s="99"/>
      <c r="K11" s="95"/>
      <c r="O11" s="96"/>
      <c r="P11" s="96"/>
      <c r="R11" s="96"/>
    </row>
    <row r="12" spans="1:18" ht="105" customHeight="1">
      <c r="A12" s="17">
        <f>+MRS!A12</f>
        <v>7</v>
      </c>
      <c r="B12" s="169"/>
      <c r="C12" s="170"/>
      <c r="D12" s="171"/>
      <c r="E12" s="172"/>
      <c r="F12" s="173"/>
      <c r="G12" s="97"/>
      <c r="H12" s="98"/>
      <c r="I12" s="99"/>
      <c r="J12" s="99"/>
      <c r="K12" s="95"/>
      <c r="O12" s="96"/>
      <c r="P12" s="96"/>
      <c r="R12" s="96"/>
    </row>
    <row r="13" spans="1:18" ht="105" customHeight="1">
      <c r="A13" s="17">
        <f>+MRS!A13</f>
        <v>8</v>
      </c>
      <c r="B13" s="169"/>
      <c r="C13" s="170"/>
      <c r="D13" s="171"/>
      <c r="E13" s="172"/>
      <c r="F13" s="173"/>
      <c r="G13" s="97"/>
      <c r="H13" s="98"/>
      <c r="I13" s="99"/>
      <c r="J13" s="99"/>
      <c r="K13" s="95"/>
      <c r="O13" s="96"/>
      <c r="P13" s="96"/>
      <c r="R13" s="96"/>
    </row>
    <row r="14" spans="1:18" ht="105" customHeight="1">
      <c r="A14" s="17">
        <f>+MRS!A14</f>
        <v>9</v>
      </c>
      <c r="B14" s="169"/>
      <c r="C14" s="170"/>
      <c r="D14" s="171"/>
      <c r="E14" s="172"/>
      <c r="F14" s="173"/>
      <c r="G14" s="97"/>
      <c r="H14" s="98"/>
      <c r="I14" s="99"/>
      <c r="J14" s="99"/>
      <c r="K14" s="95"/>
      <c r="O14" s="96"/>
      <c r="P14" s="96"/>
      <c r="R14" s="96"/>
    </row>
    <row r="15" spans="1:18" ht="105" customHeight="1">
      <c r="A15" s="17">
        <f>+MRS!A15</f>
        <v>10</v>
      </c>
      <c r="B15" s="169"/>
      <c r="C15" s="170"/>
      <c r="D15" s="171"/>
      <c r="E15" s="172"/>
      <c r="F15" s="173"/>
      <c r="G15" s="97"/>
      <c r="H15" s="98"/>
      <c r="I15" s="99"/>
      <c r="J15" s="99"/>
      <c r="K15" s="95"/>
      <c r="O15" s="96"/>
      <c r="P15" s="96"/>
      <c r="R15" s="96"/>
    </row>
    <row r="16" spans="1:18" ht="105" customHeight="1">
      <c r="A16" s="17" t="e">
        <f>+MRS!#REF!</f>
        <v>#REF!</v>
      </c>
      <c r="B16" s="169"/>
      <c r="C16" s="170"/>
      <c r="D16" s="171"/>
      <c r="E16" s="172"/>
      <c r="F16" s="173"/>
      <c r="G16" s="97"/>
      <c r="H16" s="98"/>
      <c r="I16" s="99"/>
      <c r="J16" s="99"/>
      <c r="K16" s="95"/>
      <c r="O16" s="96"/>
      <c r="P16" s="96"/>
      <c r="R16" s="96"/>
    </row>
    <row r="17" spans="1:18" ht="105" customHeight="1">
      <c r="A17" s="17" t="e">
        <f>+MRS!#REF!</f>
        <v>#REF!</v>
      </c>
      <c r="B17" s="169"/>
      <c r="C17" s="170"/>
      <c r="D17" s="171"/>
      <c r="E17" s="172"/>
      <c r="F17" s="173"/>
      <c r="G17" s="97"/>
      <c r="H17" s="98"/>
      <c r="I17" s="99"/>
      <c r="J17" s="99"/>
      <c r="K17" s="95"/>
      <c r="O17" s="96"/>
      <c r="P17" s="96"/>
      <c r="R17" s="9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Q23" sqref="Q23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17</v>
      </c>
    </row>
    <row r="3" spans="2:13" s="18" customFormat="1">
      <c r="M3" s="20" t="s">
        <v>18</v>
      </c>
    </row>
    <row r="4" spans="2:13" s="18" customFormat="1">
      <c r="M4" s="20" t="s">
        <v>19</v>
      </c>
    </row>
    <row r="5" spans="2:13" s="18" customFormat="1">
      <c r="B5" s="21" t="s">
        <v>20</v>
      </c>
      <c r="M5" s="20" t="s">
        <v>21</v>
      </c>
    </row>
    <row r="6" spans="2:13" s="18" customFormat="1">
      <c r="M6" s="20" t="s">
        <v>22</v>
      </c>
    </row>
    <row r="7" spans="2:13">
      <c r="M7" s="23"/>
    </row>
    <row r="8" spans="2:13">
      <c r="M8" s="23"/>
    </row>
    <row r="9" spans="2:13" s="70" customFormat="1" ht="13.5">
      <c r="B9" s="68" t="s">
        <v>23</v>
      </c>
      <c r="C9" s="69" t="s">
        <v>102</v>
      </c>
      <c r="D9" s="35"/>
      <c r="E9" s="35"/>
    </row>
    <row r="10" spans="2:13" s="35" customFormat="1">
      <c r="B10" s="68"/>
      <c r="C10" s="35" t="s">
        <v>24</v>
      </c>
      <c r="D10" s="72" t="s">
        <v>94</v>
      </c>
      <c r="J10" s="35" t="s">
        <v>25</v>
      </c>
      <c r="K10" s="182">
        <f>MRS!L3</f>
        <v>46265</v>
      </c>
      <c r="L10" s="183"/>
      <c r="M10" s="183"/>
    </row>
    <row r="11" spans="2:13" s="35" customFormat="1">
      <c r="B11" s="68"/>
      <c r="C11" s="71" t="s">
        <v>26</v>
      </c>
      <c r="D11" s="72" t="s">
        <v>95</v>
      </c>
      <c r="J11" s="35" t="s">
        <v>27</v>
      </c>
      <c r="K11" s="184" t="str">
        <f>SUBSTITUTE(SUBSTITUTE(+MRS!A3,"  MRS No : ",""),"-MRS","-PO")</f>
        <v>SAC2-DS-PO-0444</v>
      </c>
      <c r="L11" s="184"/>
      <c r="M11" s="184"/>
    </row>
    <row r="12" spans="2:13" s="35" customFormat="1">
      <c r="B12" s="68"/>
      <c r="C12" s="71" t="s">
        <v>28</v>
      </c>
      <c r="D12" s="35" t="s">
        <v>96</v>
      </c>
      <c r="J12" s="35" t="s">
        <v>29</v>
      </c>
    </row>
    <row r="13" spans="2:13" s="35" customFormat="1">
      <c r="B13" s="68"/>
      <c r="C13" s="73"/>
      <c r="D13" s="72" t="s">
        <v>97</v>
      </c>
      <c r="J13" s="35" t="s">
        <v>30</v>
      </c>
    </row>
    <row r="14" spans="2:13" s="35" customFormat="1">
      <c r="B14" s="68"/>
      <c r="C14" s="73" t="s">
        <v>99</v>
      </c>
      <c r="J14" s="35" t="s">
        <v>31</v>
      </c>
      <c r="K14" s="35" t="s">
        <v>134</v>
      </c>
    </row>
    <row r="15" spans="2:13" s="35" customFormat="1">
      <c r="B15" s="68"/>
      <c r="C15" s="73" t="s">
        <v>98</v>
      </c>
      <c r="J15" s="35" t="s">
        <v>32</v>
      </c>
      <c r="K15" s="74">
        <v>46259</v>
      </c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85" t="s">
        <v>33</v>
      </c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</row>
    <row r="19" spans="2:13" ht="12" customHeight="1"/>
    <row r="20" spans="2:13" s="27" customFormat="1" ht="12" customHeight="1">
      <c r="B20" s="186" t="s">
        <v>34</v>
      </c>
      <c r="C20" s="186"/>
      <c r="D20" s="186"/>
      <c r="E20" s="186"/>
      <c r="F20" s="186"/>
      <c r="G20" s="186"/>
      <c r="H20" s="186"/>
      <c r="I20" s="186"/>
      <c r="J20" s="186"/>
      <c r="K20" s="186"/>
      <c r="L20" s="186"/>
      <c r="M20" s="186"/>
    </row>
    <row r="21" spans="2:13" s="27" customFormat="1" ht="12" customHeight="1">
      <c r="B21" s="186" t="s">
        <v>35</v>
      </c>
      <c r="C21" s="186"/>
      <c r="D21" s="186"/>
      <c r="E21" s="186"/>
      <c r="F21" s="186"/>
      <c r="G21" s="186"/>
      <c r="H21" s="186"/>
      <c r="I21" s="186"/>
      <c r="J21" s="186"/>
      <c r="K21" s="186"/>
      <c r="L21" s="186"/>
      <c r="M21" s="186"/>
    </row>
    <row r="22" spans="2:13" s="27" customFormat="1" ht="12" customHeight="1">
      <c r="B22" s="186" t="s">
        <v>36</v>
      </c>
      <c r="C22" s="186"/>
      <c r="D22" s="186"/>
      <c r="E22" s="186"/>
      <c r="F22" s="186"/>
      <c r="G22" s="186"/>
      <c r="H22" s="186"/>
      <c r="I22" s="186"/>
      <c r="J22" s="186"/>
      <c r="K22" s="186"/>
      <c r="L22" s="186"/>
      <c r="M22" s="186"/>
    </row>
    <row r="23" spans="2:13" ht="6.95" customHeight="1">
      <c r="B23" s="187"/>
      <c r="C23" s="187"/>
      <c r="D23" s="187"/>
      <c r="E23" s="187"/>
      <c r="F23" s="187"/>
      <c r="G23" s="187"/>
      <c r="H23" s="187"/>
      <c r="I23" s="187"/>
      <c r="J23" s="187"/>
      <c r="K23" s="187"/>
      <c r="L23" s="187"/>
      <c r="M23" s="187"/>
    </row>
    <row r="24" spans="2:13" ht="6.95" customHeight="1"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</row>
    <row r="25" spans="2:13" s="28" customFormat="1" ht="15" customHeight="1">
      <c r="B25" s="28">
        <v>1</v>
      </c>
      <c r="C25" s="28" t="s">
        <v>37</v>
      </c>
    </row>
    <row r="26" spans="2:13" s="35" customFormat="1" ht="12" customHeight="1">
      <c r="B26" s="69"/>
      <c r="C26" s="72" t="s">
        <v>120</v>
      </c>
      <c r="M26" s="75" t="s">
        <v>38</v>
      </c>
    </row>
    <row r="27" spans="2:13" ht="11.1" customHeight="1">
      <c r="B27" s="28"/>
    </row>
    <row r="28" spans="2:13" ht="15" customHeight="1">
      <c r="B28" s="28">
        <v>2</v>
      </c>
      <c r="C28" s="28" t="s">
        <v>39</v>
      </c>
    </row>
    <row r="29" spans="2:13" ht="12" customHeight="1">
      <c r="B29" s="28"/>
      <c r="C29" s="22" t="s">
        <v>40</v>
      </c>
      <c r="E29" s="22" t="s">
        <v>41</v>
      </c>
      <c r="F29" s="113" t="s">
        <v>101</v>
      </c>
      <c r="G29" s="113"/>
      <c r="H29" s="29"/>
      <c r="M29" s="30"/>
    </row>
    <row r="30" spans="2:13" ht="12" customHeight="1">
      <c r="B30" s="28"/>
      <c r="C30" s="22" t="s">
        <v>42</v>
      </c>
      <c r="E30" s="22" t="s">
        <v>41</v>
      </c>
      <c r="F30" s="189"/>
      <c r="G30" s="189"/>
    </row>
    <row r="31" spans="2:13" ht="12" customHeight="1">
      <c r="B31" s="28"/>
      <c r="C31" s="22" t="s">
        <v>43</v>
      </c>
      <c r="D31" s="31"/>
      <c r="E31" s="22" t="s">
        <v>41</v>
      </c>
      <c r="F31" s="189"/>
      <c r="G31" s="189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44</v>
      </c>
    </row>
    <row r="34" spans="2:13" ht="12" customHeight="1">
      <c r="B34" s="28"/>
      <c r="C34" s="18" t="s">
        <v>45</v>
      </c>
    </row>
    <row r="35" spans="2:13" ht="12" customHeight="1">
      <c r="B35" s="28"/>
      <c r="C35" s="18" t="s">
        <v>46</v>
      </c>
    </row>
    <row r="36" spans="2:13" ht="12" customHeight="1">
      <c r="B36" s="28"/>
      <c r="C36" s="18" t="s">
        <v>47</v>
      </c>
    </row>
    <row r="37" spans="2:13" ht="6" customHeight="1">
      <c r="B37" s="28"/>
    </row>
    <row r="38" spans="2:13" ht="15" customHeight="1">
      <c r="B38" s="28">
        <v>4</v>
      </c>
      <c r="C38" s="28" t="s">
        <v>48</v>
      </c>
    </row>
    <row r="39" spans="2:13" ht="12" customHeight="1">
      <c r="B39" s="28"/>
      <c r="C39" s="22" t="s">
        <v>49</v>
      </c>
    </row>
    <row r="40" spans="2:13" ht="6" customHeight="1">
      <c r="B40" s="28"/>
    </row>
    <row r="41" spans="2:13" ht="15" customHeight="1">
      <c r="B41" s="28">
        <v>5</v>
      </c>
      <c r="C41" s="28" t="s">
        <v>50</v>
      </c>
    </row>
    <row r="42" spans="2:13" ht="12" customHeight="1">
      <c r="B42" s="28"/>
      <c r="C42" s="32" t="s">
        <v>51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52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53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54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55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56</v>
      </c>
    </row>
    <row r="49" spans="2:16" s="35" customFormat="1" ht="12" customHeight="1">
      <c r="B49" s="76" t="s">
        <v>57</v>
      </c>
      <c r="C49" s="77" t="s">
        <v>86</v>
      </c>
      <c r="P49" s="78"/>
    </row>
    <row r="50" spans="2:16" s="79" customFormat="1" ht="12" customHeight="1">
      <c r="B50" s="80" t="s">
        <v>57</v>
      </c>
      <c r="C50" s="77" t="s">
        <v>87</v>
      </c>
    </row>
    <row r="51" spans="2:16" s="79" customFormat="1" ht="12" customHeight="1">
      <c r="B51" s="80" t="s">
        <v>57</v>
      </c>
      <c r="C51" s="77" t="s">
        <v>85</v>
      </c>
    </row>
    <row r="52" spans="2:16" s="79" customFormat="1" ht="6" customHeight="1">
      <c r="B52" s="80"/>
      <c r="C52" s="77"/>
    </row>
    <row r="53" spans="2:16" ht="15" customHeight="1">
      <c r="B53" s="38">
        <v>7</v>
      </c>
      <c r="C53" s="28" t="s">
        <v>103</v>
      </c>
    </row>
    <row r="54" spans="2:16" ht="12" customHeight="1">
      <c r="B54" s="80" t="s">
        <v>57</v>
      </c>
      <c r="C54" s="114" t="s">
        <v>104</v>
      </c>
      <c r="F54" s="22" t="s">
        <v>112</v>
      </c>
      <c r="P54" s="22" t="str">
        <f>UPPER(F54)</f>
        <v>HANNI AHMAD SAID AL-OTHMAN MENHALI EST.</v>
      </c>
    </row>
    <row r="55" spans="2:16" ht="12" customHeight="1">
      <c r="B55" s="80" t="s">
        <v>57</v>
      </c>
      <c r="C55" s="114" t="s">
        <v>105</v>
      </c>
      <c r="F55" s="115" t="s">
        <v>116</v>
      </c>
    </row>
    <row r="56" spans="2:16" ht="12" customHeight="1">
      <c r="B56" s="80" t="s">
        <v>57</v>
      </c>
      <c r="C56" s="114" t="s">
        <v>106</v>
      </c>
      <c r="F56" s="115" t="s">
        <v>113</v>
      </c>
    </row>
    <row r="57" spans="2:16" ht="12" customHeight="1">
      <c r="B57" s="80" t="s">
        <v>57</v>
      </c>
      <c r="C57" s="114" t="s">
        <v>107</v>
      </c>
      <c r="F57" s="22" t="s">
        <v>114</v>
      </c>
    </row>
    <row r="58" spans="2:16" ht="12" customHeight="1">
      <c r="B58" s="80" t="s">
        <v>57</v>
      </c>
      <c r="C58" s="114" t="s">
        <v>108</v>
      </c>
      <c r="F58" s="22" t="s">
        <v>115</v>
      </c>
    </row>
    <row r="59" spans="2:16" ht="12" customHeight="1">
      <c r="B59" s="80" t="s">
        <v>57</v>
      </c>
      <c r="C59" s="114" t="s">
        <v>109</v>
      </c>
      <c r="F59" s="22" t="s">
        <v>110</v>
      </c>
    </row>
    <row r="60" spans="2:16" ht="12" customHeight="1">
      <c r="B60" s="80"/>
      <c r="C60" s="114" t="s">
        <v>111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58</v>
      </c>
      <c r="J64" s="28" t="s">
        <v>59</v>
      </c>
    </row>
    <row r="65" spans="1:13" ht="50.1" customHeight="1"/>
    <row r="66" spans="1:13" ht="18" customHeight="1">
      <c r="B66" s="22" t="s">
        <v>60</v>
      </c>
      <c r="J66" s="22" t="s">
        <v>60</v>
      </c>
    </row>
    <row r="67" spans="1:13" ht="18" customHeight="1">
      <c r="B67" s="22" t="s">
        <v>61</v>
      </c>
      <c r="J67" s="22" t="s">
        <v>62</v>
      </c>
      <c r="K67" s="18" t="str">
        <f>D12</f>
        <v>Arvind Kumar</v>
      </c>
    </row>
    <row r="68" spans="1:13" ht="18" customHeight="1">
      <c r="B68" s="22" t="s">
        <v>63</v>
      </c>
      <c r="J68" s="22" t="s">
        <v>64</v>
      </c>
      <c r="K68" s="18" t="s">
        <v>92</v>
      </c>
    </row>
    <row r="69" spans="1:13" ht="15" customHeight="1">
      <c r="B69" s="22" t="s">
        <v>65</v>
      </c>
      <c r="J69" s="22" t="s">
        <v>66</v>
      </c>
    </row>
    <row r="70" spans="1:13" s="24" customFormat="1" ht="24.75" customHeight="1">
      <c r="B70" s="21" t="s">
        <v>67</v>
      </c>
      <c r="J70" s="190" t="str">
        <f>C9</f>
        <v>HANNI(Hanni Ahmad Said Al-Othman Menhali Est.)</v>
      </c>
      <c r="K70" s="190"/>
      <c r="L70" s="190"/>
      <c r="M70" s="190"/>
    </row>
    <row r="71" spans="1:13" ht="27.95" customHeight="1">
      <c r="A71" s="181" t="s">
        <v>68</v>
      </c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B14" sqref="B14:C14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1.5703125" style="41" customWidth="1"/>
    <col min="6" max="6" width="15.5703125" style="41" customWidth="1"/>
    <col min="7" max="7" width="17.140625" style="41" customWidth="1"/>
    <col min="8" max="8" width="21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69</v>
      </c>
      <c r="B2" s="43" t="str">
        <f>+'PO 1st page'!K11</f>
        <v>SAC2-DS-PO-0444</v>
      </c>
      <c r="C2" s="197" t="s">
        <v>70</v>
      </c>
      <c r="D2" s="197"/>
      <c r="E2" s="197"/>
      <c r="F2" s="197"/>
      <c r="G2" s="44"/>
      <c r="H2" s="44"/>
    </row>
    <row r="3" spans="1:13" s="50" customFormat="1" ht="28.5" customHeight="1" thickBot="1">
      <c r="A3" s="45" t="s">
        <v>71</v>
      </c>
      <c r="B3" s="46">
        <f>+'PO 1st page'!K10</f>
        <v>46265</v>
      </c>
      <c r="C3" s="47"/>
      <c r="D3" s="48"/>
      <c r="E3" s="198" t="s">
        <v>72</v>
      </c>
      <c r="F3" s="198"/>
      <c r="G3" s="198"/>
      <c r="H3" s="198"/>
      <c r="I3" s="49"/>
    </row>
    <row r="4" spans="1:13" s="51" customFormat="1" ht="28.5" customHeight="1" thickTop="1">
      <c r="A4" s="199" t="s">
        <v>73</v>
      </c>
      <c r="B4" s="201" t="s">
        <v>74</v>
      </c>
      <c r="C4" s="202"/>
      <c r="D4" s="205" t="s">
        <v>75</v>
      </c>
      <c r="E4" s="205" t="s">
        <v>76</v>
      </c>
      <c r="F4" s="207" t="str">
        <f>'PO 1st page'!C9</f>
        <v>HANNI(Hanni Ahmad Said Al-Othman Menhali Est.)</v>
      </c>
      <c r="G4" s="208"/>
      <c r="H4" s="209" t="s">
        <v>77</v>
      </c>
      <c r="K4" s="52"/>
      <c r="L4" s="52"/>
      <c r="M4" s="52"/>
    </row>
    <row r="5" spans="1:13" s="51" customFormat="1" ht="21.95" customHeight="1">
      <c r="A5" s="200"/>
      <c r="B5" s="203"/>
      <c r="C5" s="204"/>
      <c r="D5" s="206"/>
      <c r="E5" s="206"/>
      <c r="F5" s="53" t="s">
        <v>78</v>
      </c>
      <c r="G5" s="53" t="s">
        <v>43</v>
      </c>
      <c r="H5" s="210"/>
      <c r="K5" s="52"/>
      <c r="L5" s="52"/>
      <c r="M5" s="52"/>
    </row>
    <row r="6" spans="1:13" s="51" customFormat="1" ht="32.1" customHeight="1">
      <c r="A6" s="83">
        <f t="shared" ref="A6:A17" si="0">ROW(A1)</f>
        <v>1</v>
      </c>
      <c r="B6" s="195" t="str">
        <f>CONCATENATE(MRS!B6," ",MRS!D6)</f>
        <v xml:space="preserve">Diesel Supply </v>
      </c>
      <c r="C6" s="196"/>
      <c r="D6" s="84" t="str">
        <f>+'MRS LIST'!G6</f>
        <v>Ltr</v>
      </c>
      <c r="E6" s="85">
        <f>+'MRS LIST'!H6</f>
        <v>1</v>
      </c>
      <c r="F6" s="86">
        <f>+'MRS LIST'!I6</f>
        <v>1.83</v>
      </c>
      <c r="G6" s="87">
        <f>+'MRS LIST'!J6</f>
        <v>1.83</v>
      </c>
      <c r="H6" s="88" t="s">
        <v>101</v>
      </c>
      <c r="K6" s="81"/>
      <c r="L6" s="82"/>
      <c r="M6" s="52"/>
    </row>
    <row r="7" spans="1:13" s="51" customFormat="1" ht="32.1" customHeight="1">
      <c r="A7" s="83">
        <f t="shared" si="0"/>
        <v>2</v>
      </c>
      <c r="B7" s="195"/>
      <c r="C7" s="196"/>
      <c r="D7" s="84"/>
      <c r="E7" s="85"/>
      <c r="F7" s="86"/>
      <c r="G7" s="87"/>
      <c r="H7" s="88"/>
      <c r="K7" s="81"/>
      <c r="L7" s="82"/>
      <c r="M7" s="52"/>
    </row>
    <row r="8" spans="1:13" s="51" customFormat="1" ht="32.1" customHeight="1">
      <c r="A8" s="83">
        <f t="shared" si="0"/>
        <v>3</v>
      </c>
      <c r="B8" s="195"/>
      <c r="C8" s="196"/>
      <c r="D8" s="84"/>
      <c r="E8" s="85"/>
      <c r="F8" s="86"/>
      <c r="G8" s="86"/>
      <c r="H8" s="88"/>
      <c r="K8" s="52"/>
      <c r="L8" s="52"/>
      <c r="M8" s="52"/>
    </row>
    <row r="9" spans="1:13" s="51" customFormat="1" ht="32.1" customHeight="1">
      <c r="A9" s="83">
        <f t="shared" si="0"/>
        <v>4</v>
      </c>
      <c r="B9" s="195"/>
      <c r="C9" s="196"/>
      <c r="D9" s="84"/>
      <c r="E9" s="85"/>
      <c r="F9" s="86"/>
      <c r="G9" s="87"/>
      <c r="H9" s="88"/>
    </row>
    <row r="10" spans="1:13" s="51" customFormat="1" ht="32.1" customHeight="1">
      <c r="A10" s="83">
        <f t="shared" si="0"/>
        <v>5</v>
      </c>
      <c r="B10" s="195"/>
      <c r="C10" s="196"/>
      <c r="D10" s="84"/>
      <c r="E10" s="85"/>
      <c r="F10" s="86"/>
      <c r="G10" s="87"/>
      <c r="H10" s="88"/>
    </row>
    <row r="11" spans="1:13" s="51" customFormat="1" ht="32.1" customHeight="1">
      <c r="A11" s="83">
        <f t="shared" si="0"/>
        <v>6</v>
      </c>
      <c r="B11" s="195"/>
      <c r="C11" s="196"/>
      <c r="D11" s="84"/>
      <c r="E11" s="85"/>
      <c r="F11" s="86"/>
      <c r="G11" s="87"/>
      <c r="H11" s="88"/>
    </row>
    <row r="12" spans="1:13" s="51" customFormat="1" ht="32.1" customHeight="1">
      <c r="A12" s="83">
        <f t="shared" si="0"/>
        <v>7</v>
      </c>
      <c r="B12" s="195"/>
      <c r="C12" s="196"/>
      <c r="D12" s="84"/>
      <c r="E12" s="85"/>
      <c r="F12" s="86"/>
      <c r="G12" s="87"/>
      <c r="H12" s="88"/>
    </row>
    <row r="13" spans="1:13" s="51" customFormat="1" ht="32.1" customHeight="1">
      <c r="A13" s="83">
        <f t="shared" si="0"/>
        <v>8</v>
      </c>
      <c r="B13" s="195"/>
      <c r="C13" s="196"/>
      <c r="D13" s="84"/>
      <c r="E13" s="85"/>
      <c r="F13" s="86"/>
      <c r="G13" s="87"/>
      <c r="H13" s="88"/>
    </row>
    <row r="14" spans="1:13" s="51" customFormat="1" ht="32.1" customHeight="1">
      <c r="A14" s="83">
        <f t="shared" si="0"/>
        <v>9</v>
      </c>
      <c r="B14" s="195"/>
      <c r="C14" s="196"/>
      <c r="D14" s="84"/>
      <c r="E14" s="85"/>
      <c r="F14" s="89"/>
      <c r="G14" s="87"/>
      <c r="H14" s="88"/>
    </row>
    <row r="15" spans="1:13" s="51" customFormat="1" ht="32.1" customHeight="1">
      <c r="A15" s="83">
        <f t="shared" si="0"/>
        <v>10</v>
      </c>
      <c r="B15" s="195"/>
      <c r="C15" s="196"/>
      <c r="D15" s="84"/>
      <c r="E15" s="85"/>
      <c r="F15" s="89"/>
      <c r="G15" s="87"/>
      <c r="H15" s="88"/>
    </row>
    <row r="16" spans="1:13" s="51" customFormat="1" ht="32.1" customHeight="1">
      <c r="A16" s="83">
        <f t="shared" si="0"/>
        <v>11</v>
      </c>
      <c r="B16" s="195"/>
      <c r="C16" s="196"/>
      <c r="D16" s="84"/>
      <c r="E16" s="85"/>
      <c r="F16" s="86"/>
      <c r="G16" s="87"/>
      <c r="H16" s="88"/>
    </row>
    <row r="17" spans="1:13" s="51" customFormat="1" ht="32.1" customHeight="1">
      <c r="A17" s="83">
        <f t="shared" si="0"/>
        <v>12</v>
      </c>
      <c r="B17" s="195"/>
      <c r="C17" s="196"/>
      <c r="D17" s="84"/>
      <c r="E17" s="85"/>
      <c r="F17" s="86"/>
      <c r="G17" s="87"/>
      <c r="H17" s="88"/>
    </row>
    <row r="18" spans="1:13" s="51" customFormat="1" ht="23.1" customHeight="1">
      <c r="A18" s="191" t="s">
        <v>79</v>
      </c>
      <c r="B18" s="192"/>
      <c r="C18" s="192"/>
      <c r="D18" s="192"/>
      <c r="E18" s="192"/>
      <c r="F18" s="192"/>
      <c r="G18" s="54">
        <f>SUM(G6:G17)</f>
        <v>1.83</v>
      </c>
      <c r="H18" s="55"/>
    </row>
    <row r="19" spans="1:13" s="51" customFormat="1" ht="23.1" customHeight="1">
      <c r="A19" s="191" t="s">
        <v>42</v>
      </c>
      <c r="B19" s="192"/>
      <c r="C19" s="192"/>
      <c r="D19" s="192"/>
      <c r="E19" s="192"/>
      <c r="F19" s="192"/>
      <c r="G19" s="54">
        <f>+G18*0.15</f>
        <v>0.27450000000000002</v>
      </c>
      <c r="H19" s="55"/>
    </row>
    <row r="20" spans="1:13" s="51" customFormat="1" ht="24.95" customHeight="1" thickBot="1">
      <c r="A20" s="193" t="s">
        <v>80</v>
      </c>
      <c r="B20" s="194"/>
      <c r="C20" s="194"/>
      <c r="D20" s="194"/>
      <c r="E20" s="194"/>
      <c r="F20" s="194"/>
      <c r="G20" s="56">
        <f>G19+G18</f>
        <v>2.1045000000000003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HM-131-26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81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81" t="s">
        <v>82</v>
      </c>
      <c r="B24" s="181"/>
      <c r="C24" s="181"/>
      <c r="D24" s="181"/>
      <c r="E24" s="181"/>
      <c r="F24" s="181"/>
      <c r="G24" s="181"/>
      <c r="H24" s="181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2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2026-09-01T03:00:21Z</cp:lastPrinted>
  <dcterms:created xsi:type="dcterms:W3CDTF">2024-10-20T11:50:19Z</dcterms:created>
  <dcterms:modified xsi:type="dcterms:W3CDTF">2026-09-01T03:04:16Z</dcterms:modified>
</cp:coreProperties>
</file>