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5881A834-19BE-46A7-ADF8-94C57D0CB3E4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K59" i="3"/>
  <c r="E3" i="1"/>
  <c r="E7" i="4"/>
  <c r="D7" i="4"/>
  <c r="H7" i="2"/>
  <c r="G7" i="2"/>
  <c r="D7" i="2"/>
  <c r="B7" i="2"/>
  <c r="B7" i="4" s="1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<sst xmlns="http://schemas.openxmlformats.org/spreadsheetml/2006/main" count="158" uniqueCount="123">
  <si>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</si>
  <si>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</si>
  <si>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</si>
  <si>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</si>
  <si>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</si>
  <si>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</si>
  <si>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</si>
  <si>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</si>
  <si>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</si>
  <si>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</si>
  <si>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</si>
  <si>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</si>
  <si>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</si>
  <si>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</si>
  <si>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</si>
  <si>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</si>
  <si>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</si>
  <si>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</si>
  <si>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</si>
  <si>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</si>
  <si>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</si>
  <si>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</si>
  <si>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</si>
  <si>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</si>
  <si>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</si>
  <si>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</si>
  <si>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</si>
  <si>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</si>
  <si>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</si>
  <si>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</si>
  <si>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</si>
  <si>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</si>
  <si>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</si>
  <si>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</si>
  <si>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</si>
  <si>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</si>
  <si>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</si>
  <si>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</si>
  <si>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</si>
  <si>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</si>
  <si>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</si>
  <si>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</si>
  <si>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</si>
  <si>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</si>
  <si>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</si>
  <si>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</si>
  <si>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</si>
  <si>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</si>
  <si>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</si>
  <si>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</si>
  <si>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</si>
  <si>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</si>
  <si>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</si>
  <si>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</si>
  <si>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</si>
  <si>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</si>
  <si>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</si>
  <si>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</si>
  <si>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</si>
  <si>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</si>
  <si>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</si>
  <si>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</si>
  <si>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</si>
  <si>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</si>
  <si>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</si>
  <si>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</si>
  <si>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</si>
  <si>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</si>
  <si>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</si>
  <si>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</si>
  <si>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</si>
  <si>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</si>
  <si>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</si>
  <si>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</si>
  <si>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</si>
  <si>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</si>
  <si>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</si>
  <si>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</si>
  <si>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</si>
  <si>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</si>
  <si>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</si>
  <si>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</si>
  <si>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</si>
  <si>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</si>
  <si>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</si>
  <si>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</si>
  <si>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</si>
  <si>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</si>
  <si>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</si>
  <si>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</si>
  <si>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</si>
  <si>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</si>
  <si>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</si>
  <si>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</si>
  <si>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</si>
  <si>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</si>
  <si>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</si>
  <si>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</si>
  <si>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</si>
  <si>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</si>
  <si>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</si>
  <si>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Business Development Manager</t>
  </si>
  <si>
    <t>Mob. &amp; De-Mob. / per unit - lump sum</t>
    <phoneticPr fontId="2" type="noConversion"/>
  </si>
  <si>
    <t>L / S</t>
    <phoneticPr fontId="9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</si>
  <si>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</si>
  <si>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</si>
  <si>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 xml:space="preserve">  MRS No : SAC2-DS-MRS-0008</t>
  </si>
  <si>
    <t>UTCC</t>
  </si>
  <si>
    <t>Manlift</t>
  </si>
  <si>
    <t>UTCC(United Technology Contracting Co. Ltd.)</t>
  </si>
  <si>
    <t>40 Mtr Manlift</t>
  </si>
  <si>
    <t>UT-EQUO-24-2507</t>
  </si>
  <si>
    <t>Muhammed Huzaifa</t>
  </si>
  <si>
    <t>2055009069</t>
  </si>
  <si>
    <t>Landline: +966 136 6080 / Mobile : +966 54 6313999</t>
  </si>
  <si>
    <t>Bldg No . 9278 King Abdul Aziz Street,Tebah District , Al Jubail</t>
  </si>
  <si>
    <t>Boom Length: 40 Mtr.</t>
  </si>
  <si>
    <t>+966 54 631 3999 / Email:operation@unitedco.uk</t>
  </si>
  <si>
    <t>Manlift Mob &amp; De-Mob. Charge</t>
  </si>
  <si>
    <t>Monthly based</t>
  </si>
  <si>
    <t>Monthly Based</t>
  </si>
  <si>
    <t>One Time</t>
  </si>
  <si>
    <t>310157378500003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</si>
</sst>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8" fillId="3" borderId="0" xfId="5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C20" sqref="C2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105</v>
      </c>
      <c r="B1" s="110"/>
      <c r="C1" s="110"/>
      <c r="D1" s="110"/>
      <c r="E1" s="110"/>
      <c r="F1" s="110"/>
      <c r="G1" s="1"/>
      <c r="J1" s="141" t="s">
        <v>93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104</v>
      </c>
      <c r="E2" s="101"/>
      <c r="F2" s="101"/>
      <c r="G2" s="101"/>
      <c r="H2" s="101"/>
      <c r="I2" s="4"/>
      <c r="J2" s="144" t="s">
        <v>2</v>
      </c>
      <c r="K2" s="145"/>
      <c r="L2" s="146"/>
    </row>
    <row r="3" spans="1:19" ht="20.100000000000001" customHeight="1">
      <c r="A3" s="3" t="s">
        <v>106</v>
      </c>
      <c r="B3" s="101"/>
      <c r="C3" s="101"/>
      <c r="D3" s="101"/>
      <c r="E3" s="147">
        <f>+L3</f>
        <v>45634</v>
      </c>
      <c r="F3" s="147"/>
      <c r="G3" s="147"/>
      <c r="H3" s="147"/>
      <c r="I3" s="147"/>
      <c r="J3" s="101"/>
      <c r="K3" s="101"/>
      <c r="L3" s="122">
        <v>45634</v>
      </c>
      <c r="M3" s="4"/>
    </row>
    <row r="4" spans="1:19" ht="15.95" customHeight="1">
      <c r="A4" s="148" t="s">
        <v>3</v>
      </c>
      <c r="B4" s="149" t="s">
        <v>4</v>
      </c>
      <c r="C4" s="149"/>
      <c r="D4" s="150" t="s">
        <v>5</v>
      </c>
      <c r="E4" s="151"/>
      <c r="F4" s="152"/>
      <c r="G4" s="156" t="s">
        <v>6</v>
      </c>
      <c r="H4" s="158" t="s">
        <v>7</v>
      </c>
      <c r="I4" s="158" t="s">
        <v>99</v>
      </c>
      <c r="J4" s="148" t="s">
        <v>100</v>
      </c>
      <c r="K4" s="158" t="s">
        <v>0</v>
      </c>
      <c r="L4" s="149" t="s">
        <v>8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108</v>
      </c>
      <c r="C6" s="130"/>
      <c r="D6" s="131" t="s">
        <v>116</v>
      </c>
      <c r="E6" s="132"/>
      <c r="F6" s="133"/>
      <c r="G6" s="111" t="s">
        <v>94</v>
      </c>
      <c r="H6" s="112">
        <v>1</v>
      </c>
      <c r="I6" s="113">
        <v>31000</v>
      </c>
      <c r="J6" s="113">
        <f>H6*I6</f>
        <v>31000</v>
      </c>
      <c r="K6" s="114" t="s">
        <v>107</v>
      </c>
      <c r="L6" s="115" t="s">
        <v>120</v>
      </c>
      <c r="S6" s="106"/>
    </row>
    <row r="7" spans="1:19" ht="22.5" customHeight="1">
      <c r="A7" s="5">
        <f t="shared" si="0"/>
        <v>2</v>
      </c>
      <c r="B7" s="129" t="s">
        <v>118</v>
      </c>
      <c r="C7" s="130"/>
      <c r="D7" s="140" t="s">
        <v>102</v>
      </c>
      <c r="E7" s="132"/>
      <c r="F7" s="133"/>
      <c r="G7" s="111" t="s">
        <v>103</v>
      </c>
      <c r="H7" s="112">
        <v>1</v>
      </c>
      <c r="I7" s="113">
        <v>5000</v>
      </c>
      <c r="J7" s="113">
        <f>H7*I7</f>
        <v>5000</v>
      </c>
      <c r="K7" s="114" t="s">
        <v>107</v>
      </c>
      <c r="L7" s="115" t="s">
        <v>121</v>
      </c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9</v>
      </c>
      <c r="B16" s="135"/>
      <c r="C16" s="117"/>
      <c r="D16" s="118"/>
      <c r="E16" s="118"/>
      <c r="F16" s="118"/>
      <c r="G16" s="119"/>
      <c r="H16" s="119"/>
      <c r="I16" s="120" t="s">
        <v>10</v>
      </c>
      <c r="J16" s="113">
        <f>SUM(J6:J15)</f>
        <v>36000</v>
      </c>
      <c r="K16" s="113"/>
      <c r="L16" s="121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25" t="s">
        <v>18</v>
      </c>
      <c r="Q21" s="125" t="s">
        <v>19</v>
      </c>
    </row>
    <row r="22" spans="1:22" ht="18" customHeight="1">
      <c r="O22" s="18" t="s">
        <v>20</v>
      </c>
      <c r="P22" s="127"/>
      <c r="Q22" s="127"/>
      <c r="S22" s="136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26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22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22</v>
      </c>
      <c r="P46" s="125" t="s">
        <v>22</v>
      </c>
      <c r="Q46" s="125" t="s">
        <v>22</v>
      </c>
      <c r="T46" s="125" t="s">
        <v>23</v>
      </c>
      <c r="U46" s="125" t="s">
        <v>14</v>
      </c>
      <c r="V46" s="125" t="s">
        <v>22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22</v>
      </c>
      <c r="P50" s="125" t="s">
        <v>22</v>
      </c>
      <c r="Q50" s="125" t="s">
        <v>22</v>
      </c>
      <c r="T50" s="125" t="s">
        <v>14</v>
      </c>
      <c r="U50" s="125" t="s">
        <v>23</v>
      </c>
      <c r="V50" s="125" t="s">
        <v>22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105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44" t="str">
        <f>+MRS!J2</f>
        <v>Subcontract name (Subcontract No.)</v>
      </c>
      <c r="K2" s="146"/>
    </row>
    <row r="3" spans="1:18" ht="24.95" customHeight="1">
      <c r="A3" s="3" t="str">
        <f>+MRS!A3</f>
        <v xml:space="preserve">  MRS No : SAC2-DS-MRS-0008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45634</v>
      </c>
    </row>
    <row r="4" spans="1:18" ht="15.95" customHeight="1">
      <c r="A4" s="170" t="s">
        <v>3</v>
      </c>
      <c r="B4" s="171" t="s">
        <v>24</v>
      </c>
      <c r="C4" s="171"/>
      <c r="D4" s="170" t="s">
        <v>5</v>
      </c>
      <c r="E4" s="170"/>
      <c r="F4" s="170"/>
      <c r="G4" s="171" t="s">
        <v>6</v>
      </c>
      <c r="H4" s="170" t="s">
        <v>95</v>
      </c>
      <c r="I4" s="170" t="s">
        <v>25</v>
      </c>
      <c r="J4" s="170" t="s">
        <v>26</v>
      </c>
      <c r="K4" s="171" t="s">
        <v>8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Manlift</v>
      </c>
      <c r="C6" s="166"/>
      <c r="D6" s="167" t="str">
        <f>MRS!D6</f>
        <v>Boom Length: 40 Mtr.</v>
      </c>
      <c r="E6" s="168"/>
      <c r="F6" s="169"/>
      <c r="G6" s="103" t="str">
        <f>MRS!G6</f>
        <v>Month</v>
      </c>
      <c r="H6" s="103">
        <f>MRS!H6</f>
        <v>1</v>
      </c>
      <c r="I6" s="104">
        <f>MRS!I6</f>
        <v>31000</v>
      </c>
      <c r="J6" s="104">
        <f>MRS!J6</f>
        <v>31000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 t="str">
        <f>MRS!B7</f>
        <v>Manlift Mob &amp; De-Mob. Charge</v>
      </c>
      <c r="C7" s="166"/>
      <c r="D7" s="167" t="str">
        <f>MRS!D7</f>
        <v>Mob. &amp; De-Mob. / per unit - lump sum</v>
      </c>
      <c r="E7" s="168"/>
      <c r="F7" s="169"/>
      <c r="G7" s="103" t="str">
        <f>MRS!G7</f>
        <v>L / S</v>
      </c>
      <c r="H7" s="103">
        <f>MRS!H7</f>
        <v>1</v>
      </c>
      <c r="I7" s="104">
        <f>MRS!I7</f>
        <v>5000</v>
      </c>
      <c r="J7" s="104">
        <f>MRS!J7</f>
        <v>5000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SheetLayoutView="130" workbookViewId="0">
      <selection activeCell="D12" sqref="D1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109</v>
      </c>
      <c r="D9" s="39"/>
      <c r="E9" s="39"/>
    </row>
    <row r="10" spans="2:13" s="39" customFormat="1">
      <c r="B10" s="72"/>
      <c r="C10" s="39" t="s">
        <v>34</v>
      </c>
      <c r="D10" s="76" t="s">
        <v>113</v>
      </c>
      <c r="J10" s="39" t="s">
        <v>35</v>
      </c>
      <c r="K10" s="173">
        <f>MRS!L3</f>
        <v>45634</v>
      </c>
      <c r="L10" s="174"/>
      <c r="M10" s="174"/>
    </row>
    <row r="11" spans="2:13" s="39" customFormat="1">
      <c r="B11" s="72"/>
      <c r="C11" s="75" t="s">
        <v>36</v>
      </c>
      <c r="D11" s="76" t="s">
        <v>122</v>
      </c>
      <c r="J11" s="39" t="s">
        <v>37</v>
      </c>
      <c r="K11" s="175" t="str">
        <f>SUBSTITUTE(SUBSTITUTE(+MRS!A3,"  MRS No : ",""),"-MRS","-PO")</f>
        <v>SAC2-DS-PO-0008</v>
      </c>
      <c r="L11" s="175"/>
      <c r="M11" s="175"/>
    </row>
    <row r="12" spans="2:13" s="39" customFormat="1">
      <c r="B12" s="72"/>
      <c r="C12" s="75" t="s">
        <v>38</v>
      </c>
      <c r="D12" s="39" t="s">
        <v>112</v>
      </c>
      <c r="J12" s="39" t="s">
        <v>39</v>
      </c>
    </row>
    <row r="13" spans="2:13" s="39" customFormat="1">
      <c r="B13" s="72"/>
      <c r="C13" s="77"/>
      <c r="D13" s="76" t="s">
        <v>117</v>
      </c>
      <c r="J13" s="39" t="s">
        <v>40</v>
      </c>
    </row>
    <row r="14" spans="2:13" s="39" customFormat="1">
      <c r="B14" s="72"/>
      <c r="C14" s="77" t="s">
        <v>115</v>
      </c>
      <c r="J14" s="39" t="s">
        <v>41</v>
      </c>
      <c r="K14" s="39" t="s">
        <v>111</v>
      </c>
    </row>
    <row r="15" spans="2:13" s="39" customFormat="1">
      <c r="B15" s="72"/>
      <c r="C15" s="77" t="s">
        <v>114</v>
      </c>
      <c r="J15" s="39" t="s">
        <v>42</v>
      </c>
      <c r="K15" s="78">
        <v>45619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43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45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46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47</v>
      </c>
    </row>
    <row r="26" spans="2:13" s="39" customFormat="1" ht="15" customHeight="1">
      <c r="B26" s="73"/>
      <c r="C26" s="76" t="s">
        <v>110</v>
      </c>
      <c r="M26" s="79" t="s">
        <v>48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49</v>
      </c>
    </row>
    <row r="29" spans="2:13" ht="15" customHeight="1">
      <c r="B29" s="32"/>
      <c r="C29" s="26" t="s">
        <v>50</v>
      </c>
      <c r="E29" s="26" t="s">
        <v>51</v>
      </c>
      <c r="F29" s="180" t="s">
        <v>119</v>
      </c>
      <c r="G29" s="180"/>
      <c r="H29" s="33"/>
      <c r="M29" s="34"/>
    </row>
    <row r="30" spans="2:13" ht="15" customHeight="1">
      <c r="B30" s="32"/>
      <c r="C30" s="26" t="s">
        <v>52</v>
      </c>
      <c r="E30" s="26" t="s">
        <v>51</v>
      </c>
      <c r="F30" s="180"/>
      <c r="G30" s="180"/>
    </row>
    <row r="31" spans="2:13" ht="15" customHeight="1">
      <c r="B31" s="32"/>
      <c r="C31" s="26" t="s">
        <v>53</v>
      </c>
      <c r="D31" s="35"/>
      <c r="E31" s="26" t="s">
        <v>51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54</v>
      </c>
    </row>
    <row r="34" spans="2:13" ht="15" customHeight="1">
      <c r="B34" s="32"/>
      <c r="C34" s="22" t="s">
        <v>55</v>
      </c>
    </row>
    <row r="35" spans="2:13" ht="15" customHeight="1">
      <c r="B35" s="32"/>
      <c r="C35" s="22" t="s">
        <v>56</v>
      </c>
    </row>
    <row r="36" spans="2:13" ht="15" customHeight="1">
      <c r="B36" s="32"/>
      <c r="C36" s="22" t="s">
        <v>57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58</v>
      </c>
    </row>
    <row r="39" spans="2:13" ht="15" customHeight="1">
      <c r="B39" s="32"/>
      <c r="C39" s="26" t="s">
        <v>59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60</v>
      </c>
    </row>
    <row r="42" spans="2:13" ht="15" customHeight="1">
      <c r="B42" s="32"/>
      <c r="C42" s="36" t="s">
        <v>61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62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63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64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65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66</v>
      </c>
    </row>
    <row r="49" spans="1:16" s="39" customFormat="1" ht="15" customHeight="1">
      <c r="B49" s="80" t="s">
        <v>67</v>
      </c>
      <c r="C49" s="81" t="s">
        <v>97</v>
      </c>
      <c r="P49" s="82"/>
    </row>
    <row r="50" spans="1:16" s="83" customFormat="1" ht="15" customHeight="1">
      <c r="B50" s="84" t="s">
        <v>67</v>
      </c>
      <c r="C50" s="81" t="s">
        <v>98</v>
      </c>
    </row>
    <row r="51" spans="1:16" s="83" customFormat="1" ht="15" customHeight="1">
      <c r="B51" s="84" t="s">
        <v>67</v>
      </c>
      <c r="C51" s="81" t="s">
        <v>96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68</v>
      </c>
      <c r="J56" s="32" t="s">
        <v>69</v>
      </c>
    </row>
    <row r="57" spans="1:16" ht="50.1" customHeight="1"/>
    <row r="58" spans="1:16" ht="18" customHeight="1">
      <c r="B58" s="26" t="s">
        <v>70</v>
      </c>
      <c r="J58" s="26" t="s">
        <v>70</v>
      </c>
    </row>
    <row r="59" spans="1:16" ht="18" customHeight="1">
      <c r="B59" s="26" t="s">
        <v>71</v>
      </c>
      <c r="J59" s="26" t="s">
        <v>72</v>
      </c>
      <c r="K59" s="22" t="str">
        <f>D12</f>
        <v>Muhammed Huzaifa</v>
      </c>
    </row>
    <row r="60" spans="1:16" ht="18" customHeight="1">
      <c r="B60" s="26" t="s">
        <v>73</v>
      </c>
      <c r="J60" s="26" t="s">
        <v>74</v>
      </c>
      <c r="K60" s="22" t="s">
        <v>101</v>
      </c>
    </row>
    <row r="61" spans="1:16" ht="15" customHeight="1">
      <c r="B61" s="26" t="s">
        <v>75</v>
      </c>
      <c r="J61" s="26" t="s">
        <v>76</v>
      </c>
    </row>
    <row r="62" spans="1:16" s="28" customFormat="1" ht="15" customHeight="1">
      <c r="B62" s="25" t="s">
        <v>77</v>
      </c>
      <c r="J62" s="124" t="str">
        <f>C9</f>
        <v>UTCC(United Technology Contracting Co. Ltd.)</v>
      </c>
    </row>
    <row r="63" spans="1:16" ht="27.95" customHeight="1">
      <c r="A63" s="172" t="s">
        <v>78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8" sqref="H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SAC2-DS-PO-0008</v>
      </c>
      <c r="C2" s="187" t="s">
        <v>80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45634</v>
      </c>
      <c r="C3" s="51"/>
      <c r="D3" s="52"/>
      <c r="E3" s="188" t="s">
        <v>82</v>
      </c>
      <c r="F3" s="188"/>
      <c r="G3" s="188"/>
      <c r="H3" s="188"/>
      <c r="I3" s="53"/>
    </row>
    <row r="4" spans="1:13" s="55" customFormat="1" ht="28.5" customHeight="1" thickTop="1">
      <c r="A4" s="189" t="s">
        <v>83</v>
      </c>
      <c r="B4" s="191" t="s">
        <v>84</v>
      </c>
      <c r="C4" s="192"/>
      <c r="D4" s="195" t="s">
        <v>85</v>
      </c>
      <c r="E4" s="195" t="s">
        <v>86</v>
      </c>
      <c r="F4" s="197" t="str">
        <f>'PO 1st page'!C9</f>
        <v>UTCC(United Technology Contracting Co. Ltd.)</v>
      </c>
      <c r="G4" s="198"/>
      <c r="H4" s="199" t="s">
        <v>87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88</v>
      </c>
      <c r="G5" s="57" t="s">
        <v>53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Manlift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31000</v>
      </c>
      <c r="G6" s="89">
        <f>+'MRS LIST'!J6</f>
        <v>31000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 t="str">
        <f>+'MRS LIST'!B7</f>
        <v>Manlift Mob &amp; De-Mob. Charge</v>
      </c>
      <c r="C7" s="202"/>
      <c r="D7" s="86" t="str">
        <f>+'MRS LIST'!G7</f>
        <v>L / S</v>
      </c>
      <c r="E7" s="87">
        <f>+'MRS LIST'!H7</f>
        <v>1</v>
      </c>
      <c r="F7" s="88">
        <f>+'MRS LIST'!I7</f>
        <v>5000</v>
      </c>
      <c r="G7" s="89">
        <f>+'MRS LIST'!J7</f>
        <v>5000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89</v>
      </c>
      <c r="B18" s="182"/>
      <c r="C18" s="182"/>
      <c r="D18" s="182"/>
      <c r="E18" s="182"/>
      <c r="F18" s="182"/>
      <c r="G18" s="58">
        <f>SUM(G6:G17)</f>
        <v>36000</v>
      </c>
      <c r="H18" s="59"/>
    </row>
    <row r="19" spans="1:13" s="55" customFormat="1" ht="23.1" customHeight="1">
      <c r="A19" s="181" t="s">
        <v>52</v>
      </c>
      <c r="B19" s="182"/>
      <c r="C19" s="182"/>
      <c r="D19" s="182"/>
      <c r="E19" s="182"/>
      <c r="F19" s="182"/>
      <c r="G19" s="58">
        <f>+G18*0.15</f>
        <v>5400</v>
      </c>
      <c r="H19" s="59"/>
    </row>
    <row r="20" spans="1:13" s="55" customFormat="1" ht="24.95" customHeight="1" thickBot="1">
      <c r="A20" s="183" t="s">
        <v>90</v>
      </c>
      <c r="B20" s="184"/>
      <c r="C20" s="184"/>
      <c r="D20" s="184"/>
      <c r="E20" s="184"/>
      <c r="F20" s="184"/>
      <c r="G20" s="60">
        <f>G19+G18</f>
        <v>41400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UT-EQUO-24-2507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91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92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2025-03-24T12:10:34Z</cp:lastPrinted>
  <dcterms:created xsi:type="dcterms:W3CDTF">2024-10-20T11:50:19Z</dcterms:created>
  <dcterms:modified xsi:type="dcterms:W3CDTF">2025-03-24T12:12:03Z</dcterms:modified>
</cp:coreProperties>
</file>