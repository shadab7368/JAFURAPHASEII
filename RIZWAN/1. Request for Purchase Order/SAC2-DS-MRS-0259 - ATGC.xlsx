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95E5E2E-0DD6-4CE8-B3F3-9911CA38161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MRS!$A$1:$L$49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page'!$A$1:$H$47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D23" i="4"/>
  <c r="E23" i="4"/>
  <c r="F23" i="4"/>
  <c r="G23" i="4" s="1"/>
  <c r="D24" i="4"/>
  <c r="E24" i="4"/>
  <c r="F24" i="4"/>
  <c r="G24" i="4" s="1"/>
  <c r="D25" i="4"/>
  <c r="E25" i="4"/>
  <c r="F25" i="4"/>
  <c r="G25" i="4"/>
  <c r="D26" i="4"/>
  <c r="E26" i="4"/>
  <c r="F26" i="4"/>
  <c r="G26" i="4" s="1"/>
  <c r="D27" i="4"/>
  <c r="E27" i="4"/>
  <c r="F27" i="4"/>
  <c r="G27" i="4"/>
  <c r="D28" i="4"/>
  <c r="E28" i="4"/>
  <c r="G28" i="4" s="1"/>
  <c r="F28" i="4"/>
  <c r="D29" i="4"/>
  <c r="E29" i="4"/>
  <c r="F29" i="4"/>
  <c r="G29" i="4" s="1"/>
  <c r="D30" i="4"/>
  <c r="E30" i="4"/>
  <c r="F30" i="4"/>
  <c r="G30" i="4"/>
  <c r="D31" i="4"/>
  <c r="E31" i="4"/>
  <c r="F31" i="4"/>
  <c r="G31" i="4" s="1"/>
  <c r="D32" i="4"/>
  <c r="E32" i="4"/>
  <c r="F32" i="4"/>
  <c r="G32" i="4" s="1"/>
  <c r="D33" i="4"/>
  <c r="E33" i="4"/>
  <c r="F33" i="4"/>
  <c r="G33" i="4"/>
  <c r="D34" i="4"/>
  <c r="E34" i="4"/>
  <c r="F34" i="4"/>
  <c r="D35" i="4"/>
  <c r="E35" i="4"/>
  <c r="F35" i="4"/>
  <c r="D36" i="4"/>
  <c r="E36" i="4"/>
  <c r="F36" i="4"/>
  <c r="G36" i="4"/>
  <c r="D37" i="4"/>
  <c r="E37" i="4"/>
  <c r="F37" i="4"/>
  <c r="G37" i="4" s="1"/>
  <c r="D38" i="4"/>
  <c r="E38" i="4"/>
  <c r="F38" i="4"/>
  <c r="D39" i="4"/>
  <c r="E39" i="4"/>
  <c r="F39" i="4"/>
  <c r="G39" i="4"/>
  <c r="D40" i="4"/>
  <c r="E40" i="4"/>
  <c r="F40" i="4"/>
  <c r="G40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A31" i="4"/>
  <c r="A32" i="4"/>
  <c r="A33" i="4"/>
  <c r="A34" i="4"/>
  <c r="A35" i="4"/>
  <c r="A36" i="4"/>
  <c r="A37" i="4"/>
  <c r="A38" i="4"/>
  <c r="A39" i="4"/>
  <c r="A40" i="4"/>
  <c r="A23" i="4"/>
  <c r="A24" i="4"/>
  <c r="A25" i="4"/>
  <c r="A26" i="4"/>
  <c r="A27" i="4"/>
  <c r="A28" i="4"/>
  <c r="A29" i="4"/>
  <c r="A30" i="4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G35" i="4" l="1"/>
  <c r="G34" i="4"/>
  <c r="G38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6" i="4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D30" i="2"/>
  <c r="D29" i="2"/>
  <c r="D28" i="2"/>
  <c r="D27" i="2"/>
  <c r="D26" i="2"/>
  <c r="D22" i="2"/>
  <c r="D23" i="2"/>
  <c r="D24" i="2"/>
  <c r="D25" i="2"/>
  <c r="D21" i="2"/>
  <c r="D19" i="2"/>
  <c r="D20" i="2"/>
  <c r="D18" i="2"/>
  <c r="D17" i="2"/>
  <c r="D16" i="2"/>
  <c r="A24" i="2"/>
  <c r="A25" i="2"/>
  <c r="A26" i="2"/>
  <c r="A27" i="2"/>
  <c r="A29" i="2"/>
  <c r="A30" i="2"/>
  <c r="B30" i="2"/>
  <c r="B29" i="2"/>
  <c r="B28" i="2"/>
  <c r="B27" i="2"/>
  <c r="B16" i="2"/>
  <c r="B17" i="2"/>
  <c r="B18" i="2"/>
  <c r="B19" i="2"/>
  <c r="B20" i="2"/>
  <c r="B21" i="2"/>
  <c r="B22" i="2"/>
  <c r="B23" i="2"/>
  <c r="B24" i="2"/>
  <c r="B25" i="2"/>
  <c r="B26" i="2"/>
  <c r="A17" i="4"/>
  <c r="A18" i="4"/>
  <c r="A19" i="4"/>
  <c r="A20" i="4"/>
  <c r="A21" i="4"/>
  <c r="A22" i="4"/>
  <c r="P54" i="3"/>
  <c r="G13" i="4" l="1"/>
  <c r="G18" i="4"/>
  <c r="G16" i="4"/>
  <c r="G14" i="4"/>
  <c r="G10" i="4"/>
  <c r="G9" i="4"/>
  <c r="G8" i="4"/>
  <c r="G7" i="4"/>
  <c r="G15" i="4"/>
  <c r="G12" i="4"/>
  <c r="G11" i="4"/>
  <c r="G22" i="4"/>
  <c r="G21" i="4"/>
  <c r="G20" i="4"/>
  <c r="G6" i="4"/>
  <c r="G19" i="4"/>
  <c r="G17" i="4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2"/>
  <c r="A28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A12" i="4"/>
  <c r="J12" i="1"/>
  <c r="J12" i="2" s="1"/>
  <c r="J13" i="1"/>
  <c r="J13" i="2" s="1"/>
  <c r="J14" i="1"/>
  <c r="J14" i="2" s="1"/>
  <c r="J15" i="1"/>
  <c r="J15" i="2" s="1"/>
  <c r="G41" i="4" l="1"/>
  <c r="J10" i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J41" i="1" s="1"/>
  <c r="K10" i="3"/>
  <c r="A44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42" i="4" l="1"/>
  <c r="F30" i="3" s="1"/>
  <c r="F29" i="3"/>
  <c r="G43" i="4" l="1"/>
  <c r="F31" i="3" s="1"/>
</calcChain>
</file>

<file path=xl/sharedStrings.xml><?xml version="1.0" encoding="utf-8"?>
<sst xmlns="http://schemas.openxmlformats.org/spreadsheetml/2006/main" count="268" uniqueCount="196">
  <si>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</si>
  <si>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</si>
  <si>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</si>
  <si>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</si>
  <si>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</si>
  <si>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</si>
  <si>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</si>
  <si>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</si>
  <si>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</si>
  <si>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</si>
  <si>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</si>
  <si>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</si>
  <si>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</si>
  <si>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</si>
  <si>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</si>
  <si>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</si>
  <si>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</si>
  <si>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</si>
  <si>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</si>
  <si>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</si>
  <si>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</si>
  <si>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</si>
  <si>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</si>
  <si>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</si>
  <si>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</si>
  <si>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</si>
  <si>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</si>
  <si>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</si>
  <si>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</si>
  <si>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</si>
  <si>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</si>
  <si>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</si>
  <si>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</si>
  <si>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</si>
  <si>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</si>
  <si>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</si>
  <si>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</si>
  <si>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</si>
  <si>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</si>
  <si>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</si>
  <si>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</si>
  <si>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</si>
  <si>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</si>
  <si>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</si>
  <si>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</si>
  <si>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</si>
  <si>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</si>
  <si>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</si>
  <si>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</si>
  <si>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</si>
  <si>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</si>
  <si>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</si>
  <si>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</si>
  <si>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</si>
  <si>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</si>
  <si>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</si>
  <si>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</si>
  <si>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</si>
  <si>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</si>
  <si>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</si>
  <si>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</si>
  <si>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</si>
  <si>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</si>
  <si>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</si>
  <si>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</si>
  <si>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</si>
  <si>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</si>
  <si>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</si>
  <si>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</si>
  <si>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</si>
  <si>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</si>
  <si>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</si>
  <si>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</si>
  <si>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</si>
  <si>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</si>
  <si>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</si>
  <si>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</si>
  <si>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</si>
  <si>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</si>
  <si>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</si>
  <si>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</si>
  <si>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</si>
  <si>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</si>
  <si>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</si>
  <si>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</si>
  <si>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</si>
  <si>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</si>
  <si>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</si>
  <si>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</si>
  <si>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</si>
  <si>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</si>
  <si>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</si>
  <si>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</si>
  <si>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</si>
  <si>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</si>
  <si>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</si>
  <si>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</si>
  <si>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</si>
  <si>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</si>
  <si>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</si>
  <si>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</si>
  <si>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</si>
  <si>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</si>
  <si>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</si>
  <si>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</si>
  <si>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</si>
  <si>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</si>
  <si>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</si>
  <si>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</si>
  <si>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</si>
  <si>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</si>
  <si>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</si>
  <si>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</si>
  <si>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</si>
  <si>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</si>
  <si>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</si>
  <si>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</si>
  <si>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</si>
  <si>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</si>
  <si>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</si>
  <si>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</si>
  <si>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</si>
  <si>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</si>
  <si>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</si>
  <si>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</si>
  <si>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</si>
  <si>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</si>
  <si>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PKT</t>
  </si>
  <si>
    <t>BOX</t>
  </si>
  <si>
    <t>SA61 1000 0004 1611 1400 0110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</si>
  <si>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-MRS-0259</t>
    </r>
  </si>
  <si>
    <r>
      <rPr>
        <sz val="11"/>
        <color theme="1"/>
        <rFont val="Calibri"/>
        <family val="3"/>
        <charset val="129"/>
        <scheme val="minor"/>
      </rPr>
      <t>RICOH TONER MP C6003</t>
    </r>
  </si>
  <si>
    <r>
      <rPr>
        <sz val="11"/>
        <color theme="1"/>
        <rFont val="Calibri"/>
        <family val="3"/>
        <charset val="129"/>
        <scheme val="minor"/>
      </rPr>
      <t>WET WIPES</t>
    </r>
  </si>
  <si>
    <r>
      <rPr>
        <sz val="11"/>
        <color theme="1"/>
        <rFont val="Calibri"/>
        <family val="3"/>
        <charset val="129"/>
        <scheme val="minor"/>
      </rPr>
      <t>TRASH BAG</t>
    </r>
  </si>
  <si>
    <r>
      <rPr>
        <sz val="11"/>
        <color theme="1"/>
        <rFont val="Calibri"/>
        <family val="3"/>
        <charset val="129"/>
        <scheme val="minor"/>
      </rPr>
      <t>WATER BOTTLE</t>
    </r>
  </si>
  <si>
    <r>
      <rPr>
        <sz val="11"/>
        <color theme="1"/>
        <rFont val="Calibri"/>
        <family val="3"/>
        <charset val="129"/>
        <scheme val="minor"/>
      </rPr>
      <t>PRINTER RICOH C6003</t>
    </r>
  </si>
  <si>
    <r>
      <rPr>
        <sz val="11"/>
        <color theme="1"/>
        <rFont val="Calibri"/>
        <family val="3"/>
        <charset val="129"/>
        <scheme val="minor"/>
      </rPr>
      <t>SAFETY GOOGLES</t>
    </r>
  </si>
  <si>
    <r>
      <rPr>
        <sz val="11"/>
        <color theme="1"/>
        <rFont val="Calibri"/>
        <family val="3"/>
        <charset val="129"/>
        <scheme val="minor"/>
      </rPr>
      <t>A3 LAMINATION POUCH</t>
    </r>
  </si>
  <si>
    <r>
      <rPr>
        <sz val="11"/>
        <color theme="1"/>
        <rFont val="Calibri"/>
        <family val="3"/>
        <charset val="129"/>
        <scheme val="minor"/>
      </rPr>
      <t>GARBAGE BAG</t>
    </r>
  </si>
  <si>
    <r>
      <rPr>
        <sz val="11"/>
        <color theme="1"/>
        <rFont val="Calibri"/>
        <family val="3"/>
        <charset val="129"/>
        <scheme val="minor"/>
      </rPr>
      <t>DELL PC</t>
    </r>
  </si>
  <si>
    <r>
      <rPr>
        <sz val="11"/>
        <color theme="1"/>
        <rFont val="Calibri"/>
        <family val="3"/>
        <charset val="129"/>
        <scheme val="minor"/>
      </rPr>
      <t>DELL MONITOR</t>
    </r>
  </si>
  <si>
    <r>
      <rPr>
        <sz val="11"/>
        <color theme="1"/>
        <rFont val="Calibri"/>
        <family val="3"/>
        <charset val="129"/>
        <scheme val="minor"/>
      </rPr>
      <t>FINE DELUXE TOILET PAPER</t>
    </r>
  </si>
  <si>
    <r>
      <rPr>
        <sz val="11"/>
        <color theme="1"/>
        <rFont val="Calibri"/>
        <family val="3"/>
        <charset val="129"/>
        <scheme val="minor"/>
      </rPr>
      <t>TP LINK</t>
    </r>
  </si>
  <si>
    <r>
      <rPr>
        <sz val="11"/>
        <color theme="1"/>
        <rFont val="Calibri"/>
        <family val="3"/>
        <charset val="129"/>
        <scheme val="minor"/>
      </rPr>
      <t>FR COVERALL</t>
    </r>
  </si>
  <si>
    <r>
      <rPr>
        <sz val="11"/>
        <color theme="1"/>
        <rFont val="Calibri"/>
        <family val="3"/>
        <charset val="129"/>
        <scheme val="minor"/>
      </rPr>
      <t>SAFETY VEST RED</t>
    </r>
  </si>
  <si>
    <r>
      <rPr>
        <sz val="11"/>
        <color theme="1"/>
        <rFont val="Calibri"/>
        <family val="3"/>
        <charset val="129"/>
        <scheme val="minor"/>
      </rPr>
      <t>SAFETY VEST YELLOW POCKET</t>
    </r>
  </si>
  <si>
    <r>
      <rPr>
        <sz val="11"/>
        <color theme="1"/>
        <rFont val="Calibri"/>
        <family val="3"/>
        <charset val="129"/>
        <scheme val="minor"/>
      </rPr>
      <t>STAPLES</t>
    </r>
  </si>
  <si>
    <r>
      <rPr>
        <sz val="11"/>
        <color theme="1"/>
        <rFont val="Calibri"/>
        <family val="3"/>
        <charset val="129"/>
        <scheme val="minor"/>
      </rPr>
      <t>FELT BOARD</t>
    </r>
  </si>
  <si>
    <r>
      <rPr>
        <sz val="11"/>
        <color theme="1"/>
        <rFont val="Calibri"/>
        <family val="3"/>
        <charset val="129"/>
        <scheme val="minor"/>
      </rPr>
      <t>DAC DISINFECTANT</t>
    </r>
  </si>
  <si>
    <r>
      <rPr>
        <sz val="11"/>
        <color theme="1"/>
        <rFont val="Calibri"/>
        <family val="3"/>
        <charset val="129"/>
        <scheme val="minor"/>
      </rPr>
      <t>HARPIC POWER</t>
    </r>
  </si>
  <si>
    <r>
      <rPr>
        <sz val="11"/>
        <color theme="1"/>
        <rFont val="Calibri"/>
        <family val="3"/>
        <charset val="129"/>
        <scheme val="minor"/>
      </rPr>
      <t>CLOROX BLEACH</t>
    </r>
  </si>
  <si>
    <r>
      <rPr>
        <sz val="11"/>
        <color theme="1"/>
        <rFont val="Calibri"/>
        <family val="3"/>
        <charset val="129"/>
        <scheme val="minor"/>
      </rPr>
      <t>BROOM BRUSH</t>
    </r>
  </si>
  <si>
    <r>
      <rPr>
        <sz val="11"/>
        <color theme="1"/>
        <rFont val="Calibri"/>
        <family val="3"/>
        <charset val="129"/>
        <scheme val="minor"/>
      </rPr>
      <t>ROUND MOP</t>
    </r>
  </si>
  <si>
    <r>
      <rPr>
        <sz val="11"/>
        <color theme="1"/>
        <rFont val="Calibri"/>
        <family val="3"/>
        <charset val="129"/>
        <scheme val="minor"/>
      </rPr>
      <t>ELECTRIC KETTLE</t>
    </r>
  </si>
  <si>
    <r>
      <rPr>
        <sz val="11"/>
        <color theme="1"/>
        <rFont val="Calibri"/>
        <family val="3"/>
        <charset val="129"/>
        <scheme val="minor"/>
      </rPr>
      <t>PAPER BASKET</t>
    </r>
  </si>
  <si>
    <r>
      <rPr>
        <sz val="11"/>
        <color theme="1"/>
        <rFont val="Calibri"/>
        <family val="3"/>
        <charset val="129"/>
        <scheme val="minor"/>
      </rPr>
      <t>MOP</t>
    </r>
  </si>
  <si>
    <r>
      <rPr>
        <sz val="11"/>
        <color theme="1"/>
        <rFont val="Calibri"/>
        <family val="3"/>
        <charset val="129"/>
        <scheme val="minor"/>
      </rPr>
      <t xml:space="preserve">OFFICE TABLE WITH ATTACHED  
</t>
    </r>
    <r>
      <rPr>
        <sz val="11"/>
        <color theme="1"/>
        <rFont val="Calibri"/>
        <family val="3"/>
        <charset val="129"/>
        <scheme val="minor"/>
      </rPr>
      <t>DROWER</t>
    </r>
  </si>
  <si>
    <r>
      <rPr>
        <sz val="11"/>
        <color theme="1"/>
        <rFont val="Calibri"/>
        <family val="3"/>
        <charset val="129"/>
        <scheme val="minor"/>
      </rPr>
      <t>OFFICE CHAIR</t>
    </r>
  </si>
  <si>
    <r>
      <rPr>
        <sz val="11"/>
        <color theme="1"/>
        <rFont val="Calibri"/>
        <family val="3"/>
        <charset val="129"/>
        <scheme val="minor"/>
      </rPr>
      <t>NESCAFE CLASSIC</t>
    </r>
  </si>
  <si>
    <r>
      <rPr>
        <sz val="11"/>
        <color theme="1"/>
        <rFont val="Calibri"/>
        <family val="3"/>
        <charset val="129"/>
        <scheme val="minor"/>
      </rPr>
      <t>EXTENSION CORD</t>
    </r>
  </si>
  <si>
    <r>
      <rPr>
        <sz val="11"/>
        <color theme="1"/>
        <rFont val="Calibri"/>
        <family val="3"/>
        <charset val="129"/>
        <scheme val="minor"/>
      </rPr>
      <t>BALL PEN BLUE</t>
    </r>
  </si>
  <si>
    <r>
      <rPr>
        <sz val="11"/>
        <color theme="1"/>
        <rFont val="Calibri"/>
        <family val="3"/>
        <charset val="129"/>
        <scheme val="minor"/>
      </rPr>
      <t>FANTASTICK NOTE</t>
    </r>
  </si>
  <si>
    <r>
      <rPr>
        <sz val="11"/>
        <color theme="1"/>
        <rFont val="Calibri"/>
        <family val="3"/>
        <charset val="129"/>
        <scheme val="minor"/>
      </rPr>
      <t>TP LINK WIRELESS ROUTER</t>
    </r>
  </si>
  <si>
    <r>
      <rPr>
        <sz val="11"/>
        <color theme="1"/>
        <rFont val="Calibri"/>
        <family val="3"/>
        <charset val="129"/>
        <scheme val="minor"/>
      </rPr>
      <t>BOX FILE</t>
    </r>
  </si>
  <si>
    <r>
      <rPr>
        <sz val="11"/>
        <color theme="1"/>
        <rFont val="Calibri"/>
        <family val="3"/>
        <charset val="129"/>
        <scheme val="minor"/>
      </rPr>
      <t>BLACK</t>
    </r>
  </si>
  <si>
    <r>
      <rPr>
        <sz val="11"/>
        <color theme="1"/>
        <rFont val="Calibri"/>
        <family val="3"/>
        <charset val="129"/>
        <scheme val="minor"/>
      </rPr>
      <t>CYAN-2/YELLOW-2/MAGENTA-2</t>
    </r>
  </si>
  <si>
    <r>
      <rPr>
        <sz val="11"/>
        <color theme="1"/>
        <rFont val="Calibri"/>
        <family val="3"/>
        <charset val="129"/>
        <scheme val="minor"/>
      </rPr>
      <t>120PCS</t>
    </r>
  </si>
  <si>
    <r>
      <rPr>
        <sz val="11"/>
        <color theme="1"/>
        <rFont val="Calibri"/>
        <family val="3"/>
        <charset val="129"/>
        <scheme val="minor"/>
      </rPr>
      <t>10GLN 4KG 1*10</t>
    </r>
  </si>
  <si>
    <r>
      <rPr>
        <sz val="11"/>
        <color theme="1"/>
        <rFont val="Calibri"/>
        <family val="3"/>
        <charset val="129"/>
        <scheme val="minor"/>
      </rPr>
      <t>1050ML HI-TEX</t>
    </r>
  </si>
  <si>
    <r>
      <rPr>
        <sz val="11"/>
        <color theme="1"/>
        <rFont val="Calibri"/>
        <family val="3"/>
        <charset val="129"/>
        <scheme val="minor"/>
      </rPr>
      <t>A3 COLOR COPIER</t>
    </r>
  </si>
  <si>
    <r>
      <rPr>
        <sz val="11"/>
        <color theme="1"/>
        <rFont val="Calibri"/>
        <family val="3"/>
        <charset val="129"/>
        <scheme val="minor"/>
      </rPr>
      <t>CLEAR-600/DARK-600</t>
    </r>
  </si>
  <si>
    <r>
      <rPr>
        <sz val="11"/>
        <color theme="1"/>
        <rFont val="Calibri"/>
        <family val="3"/>
        <charset val="129"/>
        <scheme val="minor"/>
      </rPr>
      <t>100GLN</t>
    </r>
  </si>
  <si>
    <r>
      <rPr>
        <sz val="11"/>
        <color theme="1"/>
        <rFont val="Calibri"/>
        <family val="3"/>
        <charset val="129"/>
        <scheme val="minor"/>
      </rPr>
      <t>8GB-512GB-KB+MOUSE</t>
    </r>
  </si>
  <si>
    <r>
      <rPr>
        <sz val="11"/>
        <color theme="1"/>
        <rFont val="Calibri"/>
        <family val="3"/>
        <charset val="129"/>
        <scheme val="minor"/>
      </rPr>
      <t>24"</t>
    </r>
  </si>
  <si>
    <r>
      <rPr>
        <sz val="11"/>
        <color theme="1"/>
        <rFont val="Calibri"/>
        <family val="3"/>
        <charset val="129"/>
        <scheme val="minor"/>
      </rPr>
      <t>12ROLLS</t>
    </r>
  </si>
  <si>
    <r>
      <rPr>
        <sz val="11"/>
        <color theme="1"/>
        <rFont val="Calibri"/>
        <family val="3"/>
        <charset val="129"/>
        <scheme val="minor"/>
      </rPr>
      <t>8PORT</t>
    </r>
  </si>
  <si>
    <r>
      <rPr>
        <sz val="11"/>
        <color theme="1"/>
        <rFont val="Calibri"/>
        <family val="3"/>
        <charset val="129"/>
        <scheme val="minor"/>
      </rPr>
      <t>WELDER COVERALL</t>
    </r>
  </si>
  <si>
    <r>
      <rPr>
        <sz val="11"/>
        <color theme="1"/>
        <rFont val="Calibri"/>
        <family val="3"/>
        <charset val="129"/>
        <scheme val="minor"/>
      </rPr>
      <t>NO POCKET</t>
    </r>
  </si>
  <si>
    <r>
      <rPr>
        <sz val="11"/>
        <color theme="1"/>
        <rFont val="Calibri"/>
        <family val="3"/>
        <charset val="129"/>
        <scheme val="minor"/>
      </rPr>
      <t>WITH LOGO M-100/L-100/XL-100/XXL-100</t>
    </r>
  </si>
  <si>
    <r>
      <rPr>
        <sz val="11"/>
        <color theme="1"/>
        <rFont val="Calibri"/>
        <family val="3"/>
        <charset val="129"/>
        <scheme val="minor"/>
      </rPr>
      <t>KANGARO</t>
    </r>
  </si>
  <si>
    <r>
      <rPr>
        <sz val="11"/>
        <color theme="1"/>
        <rFont val="Calibri"/>
        <family val="3"/>
        <charset val="129"/>
        <scheme val="minor"/>
      </rPr>
      <t>60*90</t>
    </r>
  </si>
  <si>
    <r>
      <rPr>
        <sz val="11"/>
        <color theme="1"/>
        <rFont val="Calibri"/>
        <family val="3"/>
        <charset val="129"/>
        <scheme val="minor"/>
      </rPr>
      <t>3LTR</t>
    </r>
  </si>
  <si>
    <r>
      <rPr>
        <sz val="11"/>
        <color theme="1"/>
        <rFont val="Calibri"/>
        <family val="3"/>
        <charset val="129"/>
        <scheme val="minor"/>
      </rPr>
      <t>495ML</t>
    </r>
  </si>
  <si>
    <r>
      <rPr>
        <sz val="11"/>
        <color theme="1"/>
        <rFont val="Calibri"/>
        <family val="3"/>
        <charset val="129"/>
        <scheme val="minor"/>
      </rPr>
      <t>3.78LTR</t>
    </r>
  </si>
  <si>
    <r>
      <rPr>
        <sz val="11"/>
        <color theme="1"/>
        <rFont val="Calibri"/>
        <family val="3"/>
        <charset val="129"/>
        <scheme val="minor"/>
      </rPr>
      <t>HARD</t>
    </r>
  </si>
  <si>
    <r>
      <rPr>
        <sz val="11"/>
        <color theme="1"/>
        <rFont val="Calibri"/>
        <family val="3"/>
        <charset val="129"/>
        <scheme val="minor"/>
      </rPr>
      <t>SMALL</t>
    </r>
  </si>
  <si>
    <r>
      <rPr>
        <sz val="11"/>
        <color theme="1"/>
        <rFont val="Calibri"/>
        <family val="3"/>
        <charset val="129"/>
        <scheme val="minor"/>
      </rPr>
      <t>SOFT</t>
    </r>
  </si>
  <si>
    <r>
      <rPr>
        <sz val="11"/>
        <color theme="1"/>
        <rFont val="Calibri"/>
        <family val="3"/>
        <charset val="129"/>
        <scheme val="minor"/>
      </rPr>
      <t>120*75*70</t>
    </r>
  </si>
  <si>
    <r>
      <rPr>
        <sz val="11"/>
        <color theme="1"/>
        <rFont val="Calibri"/>
        <family val="3"/>
        <charset val="129"/>
        <scheme val="minor"/>
      </rPr>
      <t>NECKLESS</t>
    </r>
  </si>
  <si>
    <r>
      <rPr>
        <sz val="11"/>
        <color theme="1"/>
        <rFont val="Calibri"/>
        <family val="3"/>
        <charset val="129"/>
        <scheme val="minor"/>
      </rPr>
      <t>12*190GM</t>
    </r>
  </si>
  <si>
    <r>
      <rPr>
        <sz val="11"/>
        <color theme="1"/>
        <rFont val="Calibri"/>
        <family val="3"/>
        <charset val="129"/>
        <scheme val="minor"/>
      </rPr>
      <t>LEGRAND,5WAY 3MTR</t>
    </r>
  </si>
  <si>
    <r>
      <rPr>
        <sz val="11"/>
        <color theme="1"/>
        <rFont val="Calibri"/>
        <family val="3"/>
        <charset val="129"/>
        <scheme val="minor"/>
      </rPr>
      <t>FLAIR,50PCS*1PKT</t>
    </r>
  </si>
  <si>
    <r>
      <rPr>
        <sz val="11"/>
        <color theme="1"/>
        <rFont val="Calibri"/>
        <family val="3"/>
        <charset val="129"/>
        <scheme val="minor"/>
      </rPr>
      <t>2 ANTINA</t>
    </r>
  </si>
  <si>
    <r>
      <rPr>
        <sz val="11"/>
        <color theme="1"/>
        <rFont val="Calibri"/>
        <family val="3"/>
        <charset val="129"/>
        <scheme val="minor"/>
      </rPr>
      <t>2INCH 1*30</t>
    </r>
  </si>
  <si>
    <t>BDL</t>
  </si>
  <si>
    <t>QUO-MAT-26031014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</si>
</sst>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171" fontId="55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56" fillId="0" borderId="1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 wrapText="1"/>
    </xf>
    <xf numFmtId="0" fontId="56" fillId="0" borderId="3" xfId="0" applyFont="1" applyBorder="1" applyAlignment="1">
      <alignment horizontal="left" vertical="center" wrapText="1"/>
    </xf>
    <xf numFmtId="0" fontId="56" fillId="0" borderId="2" xfId="0" applyFont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</xdr:row>
          <xdr:rowOff>0</xdr:rowOff>
        </xdr:from>
        <xdr:to>
          <xdr:col>12</xdr:col>
          <xdr:colOff>502</xdr:colOff>
          <xdr:row>49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3:$V$49" spid="_x0000_s12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77"/>
  <sheetViews>
    <sheetView showGridLines="0" tabSelected="1" view="pageBreakPreview" zoomScale="95" zoomScaleNormal="95" zoomScaleSheetLayoutView="95" workbookViewId="0">
      <selection activeCell="F41" sqref="F4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20" t="s">
        <v>90</v>
      </c>
      <c r="K1" s="121"/>
      <c r="L1" s="122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23" t="s">
        <v>101</v>
      </c>
      <c r="K2" s="124"/>
      <c r="L2" s="125"/>
    </row>
    <row r="3" spans="1:19" ht="20.100000000000001" customHeight="1">
      <c r="A3" s="3" t="s">
        <v>130</v>
      </c>
      <c r="B3" s="92"/>
      <c r="C3" s="92"/>
      <c r="D3" s="92"/>
      <c r="E3" s="126">
        <f>+L3</f>
        <v>46095</v>
      </c>
      <c r="F3" s="126"/>
      <c r="G3" s="126"/>
      <c r="H3" s="126"/>
      <c r="I3" s="126"/>
      <c r="J3" s="92"/>
      <c r="K3" s="92"/>
      <c r="L3" s="102">
        <v>46095</v>
      </c>
      <c r="M3" s="4"/>
    </row>
    <row r="4" spans="1:19" ht="21.75" customHeight="1">
      <c r="A4" s="127" t="s">
        <v>2</v>
      </c>
      <c r="B4" s="128" t="s">
        <v>3</v>
      </c>
      <c r="C4" s="128"/>
      <c r="D4" s="127" t="s">
        <v>4</v>
      </c>
      <c r="E4" s="127"/>
      <c r="F4" s="127"/>
      <c r="G4" s="128" t="s">
        <v>5</v>
      </c>
      <c r="H4" s="127" t="s">
        <v>6</v>
      </c>
      <c r="I4" s="127" t="s">
        <v>94</v>
      </c>
      <c r="J4" s="127" t="s">
        <v>95</v>
      </c>
      <c r="K4" s="127" t="s">
        <v>0</v>
      </c>
      <c r="L4" s="128" t="s">
        <v>7</v>
      </c>
    </row>
    <row r="5" spans="1:19" ht="21.75" customHeight="1">
      <c r="A5" s="127"/>
      <c r="B5" s="128"/>
      <c r="C5" s="128"/>
      <c r="D5" s="127"/>
      <c r="E5" s="127"/>
      <c r="F5" s="127"/>
      <c r="G5" s="128"/>
      <c r="H5" s="127"/>
      <c r="I5" s="127"/>
      <c r="J5" s="127"/>
      <c r="K5" s="127"/>
      <c r="L5" s="128"/>
    </row>
    <row r="6" spans="1:19" ht="22.5" customHeight="1">
      <c r="A6" s="104">
        <f t="shared" ref="A6:A40" si="0">ROW(A1)</f>
        <v>1</v>
      </c>
      <c r="B6" s="174" t="s">
        <v>131</v>
      </c>
      <c r="C6" s="175"/>
      <c r="D6" s="172" t="s">
        <v>164</v>
      </c>
      <c r="E6" s="176"/>
      <c r="F6" s="173"/>
      <c r="G6" s="105" t="s">
        <v>97</v>
      </c>
      <c r="H6" s="106">
        <v>6</v>
      </c>
      <c r="I6" s="107">
        <v>343</v>
      </c>
      <c r="J6" s="107">
        <f>H6*I6</f>
        <v>2058</v>
      </c>
      <c r="K6" s="108" t="s">
        <v>98</v>
      </c>
      <c r="L6" s="109" t="s">
        <v>105</v>
      </c>
      <c r="S6" s="97"/>
    </row>
    <row r="7" spans="1:19" ht="22.5" customHeight="1">
      <c r="A7" s="104">
        <f t="shared" si="0"/>
        <v>2</v>
      </c>
      <c r="B7" s="174" t="s">
        <v>131</v>
      </c>
      <c r="C7" s="175"/>
      <c r="D7" s="172" t="s">
        <v>165</v>
      </c>
      <c r="E7" s="176"/>
      <c r="F7" s="173"/>
      <c r="G7" s="105" t="s">
        <v>97</v>
      </c>
      <c r="H7" s="106">
        <v>4</v>
      </c>
      <c r="I7" s="107">
        <v>506</v>
      </c>
      <c r="J7" s="107">
        <f t="shared" ref="J7:J10" si="1">H7*I7</f>
        <v>2024</v>
      </c>
      <c r="K7" s="108"/>
      <c r="L7" s="109"/>
      <c r="S7" s="97"/>
    </row>
    <row r="8" spans="1:19" ht="22.5" customHeight="1">
      <c r="A8" s="104">
        <f t="shared" si="0"/>
        <v>3</v>
      </c>
      <c r="B8" s="174" t="s">
        <v>132</v>
      </c>
      <c r="C8" s="175"/>
      <c r="D8" s="172" t="s">
        <v>166</v>
      </c>
      <c r="E8" s="176"/>
      <c r="F8" s="173"/>
      <c r="G8" s="105" t="s">
        <v>97</v>
      </c>
      <c r="H8" s="106">
        <v>24</v>
      </c>
      <c r="I8" s="107">
        <v>12</v>
      </c>
      <c r="J8" s="107">
        <f t="shared" si="1"/>
        <v>288</v>
      </c>
      <c r="K8" s="108"/>
      <c r="L8" s="109"/>
      <c r="S8" s="97"/>
    </row>
    <row r="9" spans="1:19" ht="22.5" customHeight="1">
      <c r="A9" s="104">
        <f t="shared" si="0"/>
        <v>4</v>
      </c>
      <c r="B9" s="174" t="s">
        <v>133</v>
      </c>
      <c r="C9" s="175"/>
      <c r="D9" s="172" t="s">
        <v>167</v>
      </c>
      <c r="E9" s="176"/>
      <c r="F9" s="173"/>
      <c r="G9" s="105" t="s">
        <v>194</v>
      </c>
      <c r="H9" s="106">
        <v>2</v>
      </c>
      <c r="I9" s="107">
        <v>53</v>
      </c>
      <c r="J9" s="107">
        <f t="shared" si="1"/>
        <v>106</v>
      </c>
      <c r="K9" s="108"/>
      <c r="L9" s="109"/>
      <c r="S9" s="97"/>
    </row>
    <row r="10" spans="1:19" ht="22.5" customHeight="1">
      <c r="A10" s="104">
        <f t="shared" si="0"/>
        <v>5</v>
      </c>
      <c r="B10" s="174" t="s">
        <v>134</v>
      </c>
      <c r="C10" s="175"/>
      <c r="D10" s="172" t="s">
        <v>168</v>
      </c>
      <c r="E10" s="176"/>
      <c r="F10" s="173"/>
      <c r="G10" s="105" t="s">
        <v>97</v>
      </c>
      <c r="H10" s="106">
        <v>48</v>
      </c>
      <c r="I10" s="107">
        <v>11.2</v>
      </c>
      <c r="J10" s="107">
        <f t="shared" si="1"/>
        <v>537.59999999999991</v>
      </c>
      <c r="K10" s="108"/>
      <c r="L10" s="105"/>
      <c r="S10" s="97"/>
    </row>
    <row r="11" spans="1:19" ht="22.5" customHeight="1">
      <c r="A11" s="104">
        <f t="shared" si="0"/>
        <v>6</v>
      </c>
      <c r="B11" s="174" t="s">
        <v>135</v>
      </c>
      <c r="C11" s="175"/>
      <c r="D11" s="172" t="s">
        <v>169</v>
      </c>
      <c r="E11" s="176"/>
      <c r="F11" s="173"/>
      <c r="G11" s="105" t="s">
        <v>97</v>
      </c>
      <c r="H11" s="106">
        <v>2</v>
      </c>
      <c r="I11" s="107">
        <v>13625</v>
      </c>
      <c r="J11" s="107">
        <f t="shared" ref="J11:J40" si="2">H11*I11</f>
        <v>27250</v>
      </c>
      <c r="K11" s="108"/>
      <c r="L11" s="109"/>
      <c r="S11" s="97"/>
    </row>
    <row r="12" spans="1:19" ht="22.5" customHeight="1">
      <c r="A12" s="104">
        <f t="shared" si="0"/>
        <v>7</v>
      </c>
      <c r="B12" s="174" t="s">
        <v>136</v>
      </c>
      <c r="C12" s="175"/>
      <c r="D12" s="172" t="s">
        <v>170</v>
      </c>
      <c r="E12" s="176"/>
      <c r="F12" s="173"/>
      <c r="G12" s="105" t="s">
        <v>97</v>
      </c>
      <c r="H12" s="106">
        <v>1200</v>
      </c>
      <c r="I12" s="107">
        <v>3</v>
      </c>
      <c r="J12" s="107">
        <f t="shared" si="2"/>
        <v>3600</v>
      </c>
      <c r="K12" s="108"/>
      <c r="L12" s="109"/>
      <c r="S12" s="97"/>
    </row>
    <row r="13" spans="1:19" ht="22.5" customHeight="1">
      <c r="A13" s="104">
        <f t="shared" si="0"/>
        <v>8</v>
      </c>
      <c r="B13" s="174" t="s">
        <v>137</v>
      </c>
      <c r="C13" s="175"/>
      <c r="D13" s="172"/>
      <c r="E13" s="176"/>
      <c r="F13" s="173"/>
      <c r="G13" s="105" t="s">
        <v>127</v>
      </c>
      <c r="H13" s="106">
        <v>10</v>
      </c>
      <c r="I13" s="107">
        <v>72</v>
      </c>
      <c r="J13" s="107">
        <f t="shared" si="2"/>
        <v>720</v>
      </c>
      <c r="K13" s="108"/>
      <c r="L13" s="109"/>
      <c r="S13" s="97"/>
    </row>
    <row r="14" spans="1:19" ht="22.5" customHeight="1">
      <c r="A14" s="104">
        <f t="shared" si="0"/>
        <v>9</v>
      </c>
      <c r="B14" s="174" t="s">
        <v>138</v>
      </c>
      <c r="C14" s="175"/>
      <c r="D14" s="172" t="s">
        <v>171</v>
      </c>
      <c r="E14" s="176"/>
      <c r="F14" s="173"/>
      <c r="G14" s="105" t="s">
        <v>194</v>
      </c>
      <c r="H14" s="106">
        <v>20</v>
      </c>
      <c r="I14" s="107">
        <v>46</v>
      </c>
      <c r="J14" s="107">
        <f t="shared" si="2"/>
        <v>920</v>
      </c>
      <c r="K14" s="108"/>
      <c r="L14" s="109"/>
      <c r="S14" s="97"/>
    </row>
    <row r="15" spans="1:19" ht="22.5" customHeight="1">
      <c r="A15" s="104">
        <f t="shared" si="0"/>
        <v>10</v>
      </c>
      <c r="B15" s="174" t="s">
        <v>139</v>
      </c>
      <c r="C15" s="175"/>
      <c r="D15" s="172" t="s">
        <v>172</v>
      </c>
      <c r="E15" s="176"/>
      <c r="F15" s="173"/>
      <c r="G15" s="105" t="s">
        <v>97</v>
      </c>
      <c r="H15" s="106">
        <v>3</v>
      </c>
      <c r="I15" s="107">
        <v>2218</v>
      </c>
      <c r="J15" s="107">
        <f t="shared" si="2"/>
        <v>6654</v>
      </c>
      <c r="K15" s="108"/>
      <c r="L15" s="105"/>
      <c r="S15" s="97"/>
    </row>
    <row r="16" spans="1:19" ht="22.5" customHeight="1">
      <c r="A16" s="104">
        <f t="shared" si="0"/>
        <v>11</v>
      </c>
      <c r="B16" s="174" t="s">
        <v>140</v>
      </c>
      <c r="C16" s="175"/>
      <c r="D16" s="172" t="s">
        <v>173</v>
      </c>
      <c r="E16" s="176"/>
      <c r="F16" s="173"/>
      <c r="G16" s="105" t="s">
        <v>97</v>
      </c>
      <c r="H16" s="106">
        <v>3</v>
      </c>
      <c r="I16" s="107">
        <v>495</v>
      </c>
      <c r="J16" s="107">
        <f t="shared" si="2"/>
        <v>1485</v>
      </c>
      <c r="K16" s="108"/>
      <c r="L16" s="105"/>
      <c r="S16" s="97"/>
    </row>
    <row r="17" spans="1:19" ht="22.5" customHeight="1">
      <c r="A17" s="104">
        <f t="shared" si="0"/>
        <v>12</v>
      </c>
      <c r="B17" s="174" t="s">
        <v>141</v>
      </c>
      <c r="C17" s="175"/>
      <c r="D17" s="172" t="s">
        <v>174</v>
      </c>
      <c r="E17" s="176"/>
      <c r="F17" s="173"/>
      <c r="G17" s="105" t="s">
        <v>194</v>
      </c>
      <c r="H17" s="106">
        <v>12</v>
      </c>
      <c r="I17" s="107">
        <v>27</v>
      </c>
      <c r="J17" s="107">
        <f t="shared" si="2"/>
        <v>324</v>
      </c>
      <c r="K17" s="108"/>
      <c r="L17" s="105"/>
      <c r="S17" s="97"/>
    </row>
    <row r="18" spans="1:19" ht="22.5" customHeight="1">
      <c r="A18" s="104">
        <f t="shared" si="0"/>
        <v>13</v>
      </c>
      <c r="B18" s="174" t="s">
        <v>142</v>
      </c>
      <c r="C18" s="175"/>
      <c r="D18" s="172" t="s">
        <v>175</v>
      </c>
      <c r="E18" s="176"/>
      <c r="F18" s="173"/>
      <c r="G18" s="105" t="s">
        <v>97</v>
      </c>
      <c r="H18" s="106">
        <v>1</v>
      </c>
      <c r="I18" s="107">
        <v>55</v>
      </c>
      <c r="J18" s="107">
        <f t="shared" si="2"/>
        <v>55</v>
      </c>
      <c r="K18" s="108"/>
      <c r="L18" s="105"/>
      <c r="S18" s="97"/>
    </row>
    <row r="19" spans="1:19" ht="22.5" customHeight="1">
      <c r="A19" s="104">
        <f t="shared" si="0"/>
        <v>14</v>
      </c>
      <c r="B19" s="174" t="s">
        <v>143</v>
      </c>
      <c r="C19" s="175"/>
      <c r="D19" s="172" t="s">
        <v>176</v>
      </c>
      <c r="E19" s="176"/>
      <c r="F19" s="173"/>
      <c r="G19" s="105" t="s">
        <v>97</v>
      </c>
      <c r="H19" s="106">
        <v>55</v>
      </c>
      <c r="I19" s="107">
        <v>77</v>
      </c>
      <c r="J19" s="107">
        <f t="shared" si="2"/>
        <v>4235</v>
      </c>
      <c r="K19" s="108"/>
      <c r="L19" s="105"/>
      <c r="S19" s="97"/>
    </row>
    <row r="20" spans="1:19" ht="22.5" customHeight="1">
      <c r="A20" s="104">
        <f t="shared" si="0"/>
        <v>15</v>
      </c>
      <c r="B20" s="174" t="s">
        <v>144</v>
      </c>
      <c r="C20" s="175"/>
      <c r="D20" s="172" t="s">
        <v>177</v>
      </c>
      <c r="E20" s="176"/>
      <c r="F20" s="173"/>
      <c r="G20" s="105" t="s">
        <v>97</v>
      </c>
      <c r="H20" s="106">
        <v>20</v>
      </c>
      <c r="I20" s="107">
        <v>8</v>
      </c>
      <c r="J20" s="107">
        <f t="shared" si="2"/>
        <v>160</v>
      </c>
      <c r="K20" s="108"/>
      <c r="L20" s="105"/>
      <c r="S20" s="97"/>
    </row>
    <row r="21" spans="1:19" ht="22.5" customHeight="1">
      <c r="A21" s="104">
        <f t="shared" si="0"/>
        <v>16</v>
      </c>
      <c r="B21" s="174" t="s">
        <v>145</v>
      </c>
      <c r="C21" s="175"/>
      <c r="D21" s="172" t="s">
        <v>178</v>
      </c>
      <c r="E21" s="176"/>
      <c r="F21" s="173"/>
      <c r="G21" s="105" t="s">
        <v>97</v>
      </c>
      <c r="H21" s="106">
        <v>200</v>
      </c>
      <c r="I21" s="107">
        <v>20.5</v>
      </c>
      <c r="J21" s="107">
        <f t="shared" si="2"/>
        <v>4100</v>
      </c>
      <c r="K21" s="108"/>
      <c r="L21" s="105"/>
      <c r="S21" s="97"/>
    </row>
    <row r="22" spans="1:19" ht="22.5" customHeight="1">
      <c r="A22" s="104">
        <f t="shared" si="0"/>
        <v>17</v>
      </c>
      <c r="B22" s="174" t="s">
        <v>146</v>
      </c>
      <c r="C22" s="175"/>
      <c r="D22" s="172" t="s">
        <v>179</v>
      </c>
      <c r="E22" s="176"/>
      <c r="F22" s="173"/>
      <c r="G22" s="105" t="s">
        <v>128</v>
      </c>
      <c r="H22" s="106">
        <v>1</v>
      </c>
      <c r="I22" s="107">
        <v>40</v>
      </c>
      <c r="J22" s="107">
        <f t="shared" si="2"/>
        <v>40</v>
      </c>
      <c r="K22" s="108"/>
      <c r="L22" s="105"/>
      <c r="S22" s="97"/>
    </row>
    <row r="23" spans="1:19" ht="22.5" customHeight="1">
      <c r="A23" s="104">
        <f t="shared" si="0"/>
        <v>18</v>
      </c>
      <c r="B23" s="174" t="s">
        <v>147</v>
      </c>
      <c r="C23" s="175"/>
      <c r="D23" s="172" t="s">
        <v>180</v>
      </c>
      <c r="E23" s="176"/>
      <c r="F23" s="173"/>
      <c r="G23" s="105" t="s">
        <v>97</v>
      </c>
      <c r="H23" s="106">
        <v>1</v>
      </c>
      <c r="I23" s="107">
        <v>35</v>
      </c>
      <c r="J23" s="107">
        <f t="shared" si="2"/>
        <v>35</v>
      </c>
      <c r="K23" s="108"/>
      <c r="L23" s="105"/>
      <c r="S23" s="97"/>
    </row>
    <row r="24" spans="1:19" ht="22.5" customHeight="1">
      <c r="A24" s="104">
        <f t="shared" si="0"/>
        <v>19</v>
      </c>
      <c r="B24" s="174" t="s">
        <v>148</v>
      </c>
      <c r="C24" s="175"/>
      <c r="D24" s="172" t="s">
        <v>181</v>
      </c>
      <c r="E24" s="176"/>
      <c r="F24" s="173"/>
      <c r="G24" s="105" t="s">
        <v>97</v>
      </c>
      <c r="H24" s="106">
        <v>12</v>
      </c>
      <c r="I24" s="107">
        <v>20</v>
      </c>
      <c r="J24" s="107">
        <f t="shared" si="2"/>
        <v>240</v>
      </c>
      <c r="K24" s="108"/>
      <c r="L24" s="105"/>
      <c r="S24" s="97"/>
    </row>
    <row r="25" spans="1:19" ht="22.5" customHeight="1">
      <c r="A25" s="104">
        <f t="shared" si="0"/>
        <v>20</v>
      </c>
      <c r="B25" s="174" t="s">
        <v>149</v>
      </c>
      <c r="C25" s="175"/>
      <c r="D25" s="172" t="s">
        <v>182</v>
      </c>
      <c r="E25" s="176"/>
      <c r="F25" s="173"/>
      <c r="G25" s="105" t="s">
        <v>97</v>
      </c>
      <c r="H25" s="106">
        <v>6</v>
      </c>
      <c r="I25" s="107">
        <v>6.5</v>
      </c>
      <c r="J25" s="107">
        <f t="shared" si="2"/>
        <v>39</v>
      </c>
      <c r="K25" s="108"/>
      <c r="L25" s="105"/>
      <c r="S25" s="97"/>
    </row>
    <row r="26" spans="1:19" ht="22.5" customHeight="1">
      <c r="A26" s="104">
        <f t="shared" si="0"/>
        <v>21</v>
      </c>
      <c r="B26" s="174" t="s">
        <v>150</v>
      </c>
      <c r="C26" s="175"/>
      <c r="D26" s="172" t="s">
        <v>183</v>
      </c>
      <c r="E26" s="176"/>
      <c r="F26" s="173"/>
      <c r="G26" s="105" t="s">
        <v>97</v>
      </c>
      <c r="H26" s="106">
        <v>2</v>
      </c>
      <c r="I26" s="107">
        <v>25</v>
      </c>
      <c r="J26" s="107">
        <f t="shared" si="2"/>
        <v>50</v>
      </c>
      <c r="K26" s="108"/>
      <c r="L26" s="105"/>
      <c r="S26" s="97"/>
    </row>
    <row r="27" spans="1:19" ht="22.5" customHeight="1">
      <c r="A27" s="104">
        <f t="shared" si="0"/>
        <v>22</v>
      </c>
      <c r="B27" s="174" t="s">
        <v>151</v>
      </c>
      <c r="C27" s="175"/>
      <c r="D27" s="172" t="s">
        <v>184</v>
      </c>
      <c r="E27" s="176"/>
      <c r="F27" s="173"/>
      <c r="G27" s="105" t="s">
        <v>97</v>
      </c>
      <c r="H27" s="106">
        <v>10</v>
      </c>
      <c r="I27" s="107">
        <v>15</v>
      </c>
      <c r="J27" s="107">
        <f t="shared" si="2"/>
        <v>150</v>
      </c>
      <c r="K27" s="108"/>
      <c r="L27" s="105"/>
      <c r="S27" s="97"/>
    </row>
    <row r="28" spans="1:19" ht="22.5" customHeight="1">
      <c r="A28" s="104">
        <f t="shared" si="0"/>
        <v>23</v>
      </c>
      <c r="B28" s="174" t="s">
        <v>152</v>
      </c>
      <c r="C28" s="175"/>
      <c r="D28" s="172"/>
      <c r="E28" s="176"/>
      <c r="F28" s="173"/>
      <c r="G28" s="105" t="s">
        <v>97</v>
      </c>
      <c r="H28" s="106">
        <v>5</v>
      </c>
      <c r="I28" s="107">
        <v>20</v>
      </c>
      <c r="J28" s="107">
        <f t="shared" si="2"/>
        <v>100</v>
      </c>
      <c r="K28" s="108"/>
      <c r="L28" s="105"/>
      <c r="S28" s="97"/>
    </row>
    <row r="29" spans="1:19" ht="22.5" customHeight="1">
      <c r="A29" s="104">
        <f t="shared" si="0"/>
        <v>24</v>
      </c>
      <c r="B29" s="174" t="s">
        <v>153</v>
      </c>
      <c r="C29" s="175"/>
      <c r="D29" s="172"/>
      <c r="E29" s="176"/>
      <c r="F29" s="173"/>
      <c r="G29" s="105" t="s">
        <v>97</v>
      </c>
      <c r="H29" s="106">
        <v>1</v>
      </c>
      <c r="I29" s="107">
        <v>58</v>
      </c>
      <c r="J29" s="107">
        <f t="shared" si="2"/>
        <v>58</v>
      </c>
      <c r="K29" s="108"/>
      <c r="L29" s="105"/>
      <c r="S29" s="97"/>
    </row>
    <row r="30" spans="1:19" ht="22.5" customHeight="1">
      <c r="A30" s="104">
        <f t="shared" si="0"/>
        <v>25</v>
      </c>
      <c r="B30" s="174" t="s">
        <v>154</v>
      </c>
      <c r="C30" s="175"/>
      <c r="D30" s="172" t="s">
        <v>185</v>
      </c>
      <c r="E30" s="176"/>
      <c r="F30" s="173"/>
      <c r="G30" s="105" t="s">
        <v>97</v>
      </c>
      <c r="H30" s="106">
        <v>1</v>
      </c>
      <c r="I30" s="107">
        <v>8</v>
      </c>
      <c r="J30" s="107">
        <f t="shared" si="2"/>
        <v>8</v>
      </c>
      <c r="K30" s="108"/>
      <c r="L30" s="105"/>
      <c r="S30" s="97"/>
    </row>
    <row r="31" spans="1:19" ht="22.5" customHeight="1">
      <c r="A31" s="104">
        <f t="shared" si="0"/>
        <v>26</v>
      </c>
      <c r="B31" s="174" t="s">
        <v>155</v>
      </c>
      <c r="C31" s="175"/>
      <c r="D31" s="172"/>
      <c r="E31" s="176"/>
      <c r="F31" s="173"/>
      <c r="G31" s="105" t="s">
        <v>97</v>
      </c>
      <c r="H31" s="106">
        <v>1</v>
      </c>
      <c r="I31" s="107">
        <v>20</v>
      </c>
      <c r="J31" s="107">
        <f t="shared" si="2"/>
        <v>20</v>
      </c>
      <c r="K31" s="108"/>
      <c r="L31" s="105"/>
      <c r="S31" s="97"/>
    </row>
    <row r="32" spans="1:19" ht="22.5" customHeight="1">
      <c r="A32" s="104">
        <f t="shared" si="0"/>
        <v>27</v>
      </c>
      <c r="B32" s="174" t="s">
        <v>151</v>
      </c>
      <c r="C32" s="175"/>
      <c r="D32" s="172" t="s">
        <v>186</v>
      </c>
      <c r="E32" s="176"/>
      <c r="F32" s="173"/>
      <c r="G32" s="105" t="s">
        <v>97</v>
      </c>
      <c r="H32" s="106">
        <v>1</v>
      </c>
      <c r="I32" s="107">
        <v>15</v>
      </c>
      <c r="J32" s="107">
        <f t="shared" si="2"/>
        <v>15</v>
      </c>
      <c r="K32" s="108"/>
      <c r="L32" s="105"/>
      <c r="S32" s="97"/>
    </row>
    <row r="33" spans="1:22" ht="22.5" customHeight="1">
      <c r="A33" s="104">
        <f t="shared" si="0"/>
        <v>28</v>
      </c>
      <c r="B33" s="174" t="s">
        <v>156</v>
      </c>
      <c r="C33" s="175"/>
      <c r="D33" s="172" t="s">
        <v>187</v>
      </c>
      <c r="E33" s="176"/>
      <c r="F33" s="173"/>
      <c r="G33" s="105" t="s">
        <v>97</v>
      </c>
      <c r="H33" s="106">
        <v>4</v>
      </c>
      <c r="I33" s="107">
        <v>400</v>
      </c>
      <c r="J33" s="107">
        <f t="shared" si="2"/>
        <v>1600</v>
      </c>
      <c r="K33" s="108"/>
      <c r="L33" s="105"/>
      <c r="S33" s="97"/>
    </row>
    <row r="34" spans="1:22" ht="22.5" customHeight="1">
      <c r="A34" s="104">
        <f t="shared" si="0"/>
        <v>29</v>
      </c>
      <c r="B34" s="174" t="s">
        <v>157</v>
      </c>
      <c r="C34" s="175"/>
      <c r="D34" s="172" t="s">
        <v>188</v>
      </c>
      <c r="E34" s="176"/>
      <c r="F34" s="173"/>
      <c r="G34" s="105" t="s">
        <v>97</v>
      </c>
      <c r="H34" s="106">
        <v>6</v>
      </c>
      <c r="I34" s="107">
        <v>156</v>
      </c>
      <c r="J34" s="107">
        <f t="shared" si="2"/>
        <v>936</v>
      </c>
      <c r="K34" s="108"/>
      <c r="L34" s="105"/>
      <c r="S34" s="97"/>
    </row>
    <row r="35" spans="1:22" ht="22.5" customHeight="1">
      <c r="A35" s="104">
        <f t="shared" si="0"/>
        <v>30</v>
      </c>
      <c r="B35" s="174" t="s">
        <v>158</v>
      </c>
      <c r="C35" s="175"/>
      <c r="D35" s="172" t="s">
        <v>189</v>
      </c>
      <c r="E35" s="176"/>
      <c r="F35" s="173"/>
      <c r="G35" s="105" t="s">
        <v>97</v>
      </c>
      <c r="H35" s="106">
        <v>12</v>
      </c>
      <c r="I35" s="107">
        <v>21</v>
      </c>
      <c r="J35" s="107">
        <f t="shared" si="2"/>
        <v>252</v>
      </c>
      <c r="K35" s="108"/>
      <c r="L35" s="105"/>
      <c r="S35" s="97"/>
    </row>
    <row r="36" spans="1:22" ht="22.5" customHeight="1">
      <c r="A36" s="104">
        <f t="shared" si="0"/>
        <v>31</v>
      </c>
      <c r="B36" s="174" t="s">
        <v>159</v>
      </c>
      <c r="C36" s="175"/>
      <c r="D36" s="172" t="s">
        <v>190</v>
      </c>
      <c r="E36" s="176"/>
      <c r="F36" s="173"/>
      <c r="G36" s="105" t="s">
        <v>97</v>
      </c>
      <c r="H36" s="106">
        <v>10</v>
      </c>
      <c r="I36" s="107">
        <v>80</v>
      </c>
      <c r="J36" s="107">
        <f t="shared" si="2"/>
        <v>800</v>
      </c>
      <c r="K36" s="108"/>
      <c r="L36" s="105"/>
      <c r="S36" s="97"/>
    </row>
    <row r="37" spans="1:22" ht="22.5" customHeight="1">
      <c r="A37" s="104">
        <f t="shared" si="0"/>
        <v>32</v>
      </c>
      <c r="B37" s="174" t="s">
        <v>160</v>
      </c>
      <c r="C37" s="175"/>
      <c r="D37" s="172" t="s">
        <v>191</v>
      </c>
      <c r="E37" s="176"/>
      <c r="F37" s="173"/>
      <c r="G37" s="105" t="s">
        <v>127</v>
      </c>
      <c r="H37" s="106">
        <v>10</v>
      </c>
      <c r="I37" s="107">
        <v>28</v>
      </c>
      <c r="J37" s="107">
        <f t="shared" si="2"/>
        <v>280</v>
      </c>
      <c r="K37" s="108"/>
      <c r="L37" s="105"/>
      <c r="S37" s="97"/>
    </row>
    <row r="38" spans="1:22" ht="22.5" customHeight="1">
      <c r="A38" s="104">
        <f t="shared" si="0"/>
        <v>33</v>
      </c>
      <c r="B38" s="174" t="s">
        <v>161</v>
      </c>
      <c r="C38" s="175"/>
      <c r="D38" s="172"/>
      <c r="E38" s="176"/>
      <c r="F38" s="173"/>
      <c r="G38" s="105" t="s">
        <v>127</v>
      </c>
      <c r="H38" s="106">
        <v>5</v>
      </c>
      <c r="I38" s="107">
        <v>10</v>
      </c>
      <c r="J38" s="107">
        <f t="shared" si="2"/>
        <v>50</v>
      </c>
      <c r="K38" s="108"/>
      <c r="L38" s="105"/>
      <c r="S38" s="97"/>
    </row>
    <row r="39" spans="1:22" ht="22.5" customHeight="1">
      <c r="A39" s="104">
        <f t="shared" si="0"/>
        <v>34</v>
      </c>
      <c r="B39" s="174" t="s">
        <v>162</v>
      </c>
      <c r="C39" s="175"/>
      <c r="D39" s="172" t="s">
        <v>192</v>
      </c>
      <c r="E39" s="176"/>
      <c r="F39" s="173"/>
      <c r="G39" s="105" t="s">
        <v>97</v>
      </c>
      <c r="H39" s="106">
        <v>1</v>
      </c>
      <c r="I39" s="107">
        <v>106</v>
      </c>
      <c r="J39" s="107">
        <f t="shared" si="2"/>
        <v>106</v>
      </c>
      <c r="K39" s="108"/>
      <c r="L39" s="105"/>
      <c r="S39" s="97"/>
    </row>
    <row r="40" spans="1:22" ht="22.5" customHeight="1">
      <c r="A40" s="104">
        <f t="shared" si="0"/>
        <v>35</v>
      </c>
      <c r="B40" s="174" t="s">
        <v>163</v>
      </c>
      <c r="C40" s="175"/>
      <c r="D40" s="172" t="s">
        <v>193</v>
      </c>
      <c r="E40" s="176"/>
      <c r="F40" s="173"/>
      <c r="G40" s="105" t="s">
        <v>128</v>
      </c>
      <c r="H40" s="106">
        <v>2</v>
      </c>
      <c r="I40" s="107">
        <v>150</v>
      </c>
      <c r="J40" s="107">
        <f t="shared" si="2"/>
        <v>300</v>
      </c>
      <c r="K40" s="108"/>
      <c r="L40" s="105"/>
      <c r="S40" s="97"/>
    </row>
    <row r="41" spans="1:22" ht="24.75" customHeight="1">
      <c r="A41" s="130" t="s">
        <v>8</v>
      </c>
      <c r="B41" s="130"/>
      <c r="C41" s="112"/>
      <c r="D41" s="113"/>
      <c r="E41" s="113"/>
      <c r="F41" s="113"/>
      <c r="G41" s="114"/>
      <c r="H41" s="115"/>
      <c r="I41" s="111" t="s">
        <v>9</v>
      </c>
      <c r="J41" s="107">
        <f>SUM(J6:J40)</f>
        <v>59595.6</v>
      </c>
      <c r="K41" s="107"/>
      <c r="L41" s="110"/>
    </row>
    <row r="42" spans="1:22" ht="25.5" customHeight="1">
      <c r="A42" s="103" t="s">
        <v>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</row>
    <row r="43" spans="1:22" ht="18" customHeight="1">
      <c r="A43" s="7"/>
      <c r="J43" s="1"/>
      <c r="K43" s="1"/>
      <c r="O43" s="8"/>
      <c r="P43" s="8"/>
      <c r="Q43" s="8"/>
      <c r="S43" s="134" t="s">
        <v>11</v>
      </c>
      <c r="T43" s="9" t="s">
        <v>12</v>
      </c>
      <c r="U43" s="10" t="s">
        <v>13</v>
      </c>
      <c r="V43" s="9" t="s">
        <v>14</v>
      </c>
    </row>
    <row r="44" spans="1:22" ht="50.1" customHeight="1">
      <c r="S44" s="135"/>
      <c r="T44" s="11"/>
      <c r="U44" s="12"/>
      <c r="V44" s="11"/>
    </row>
    <row r="45" spans="1:22" ht="17.100000000000001" customHeight="1">
      <c r="O45" s="8"/>
      <c r="P45" s="8"/>
      <c r="Q45" s="8"/>
      <c r="S45" s="132"/>
      <c r="T45" s="12" t="s">
        <v>15</v>
      </c>
      <c r="U45" s="12" t="s">
        <v>15</v>
      </c>
      <c r="V45" s="13" t="s">
        <v>15</v>
      </c>
    </row>
    <row r="46" spans="1:22" ht="15" customHeight="1">
      <c r="O46" s="14" t="s">
        <v>16</v>
      </c>
      <c r="P46" s="131" t="s">
        <v>17</v>
      </c>
      <c r="Q46" s="131" t="s">
        <v>18</v>
      </c>
    </row>
    <row r="47" spans="1:22" ht="18" customHeight="1">
      <c r="O47" s="15" t="s">
        <v>19</v>
      </c>
      <c r="P47" s="133"/>
      <c r="Q47" s="133"/>
      <c r="S47" s="134" t="s">
        <v>20</v>
      </c>
      <c r="T47" s="9" t="s">
        <v>12</v>
      </c>
      <c r="U47" s="9" t="s">
        <v>13</v>
      </c>
      <c r="V47" s="9" t="s">
        <v>14</v>
      </c>
    </row>
    <row r="48" spans="1:22" ht="50.1" customHeight="1">
      <c r="O48" s="11"/>
      <c r="P48" s="11"/>
      <c r="Q48" s="11"/>
      <c r="S48" s="135"/>
      <c r="T48" s="16"/>
      <c r="U48" s="16"/>
      <c r="V48" s="11"/>
    </row>
    <row r="49" spans="15:22" ht="17.100000000000001" customHeight="1">
      <c r="O49" s="13" t="s">
        <v>15</v>
      </c>
      <c r="P49" s="13" t="s">
        <v>15</v>
      </c>
      <c r="Q49" s="13" t="s">
        <v>15</v>
      </c>
      <c r="S49" s="132"/>
      <c r="T49" s="12" t="s">
        <v>15</v>
      </c>
      <c r="U49" s="12" t="s">
        <v>15</v>
      </c>
      <c r="V49" s="13" t="s">
        <v>15</v>
      </c>
    </row>
    <row r="50" spans="15:22" ht="9.9499999999999993" customHeight="1"/>
    <row r="51" spans="15:22" ht="19.899999999999999" customHeight="1"/>
    <row r="52" spans="15:22" ht="17.45" customHeight="1">
      <c r="O52" s="129"/>
      <c r="P52" s="129"/>
      <c r="Q52" s="129"/>
    </row>
    <row r="53" spans="15:22" ht="19.899999999999999" customHeight="1">
      <c r="O53" s="129"/>
      <c r="P53" s="129"/>
      <c r="Q53" s="129"/>
    </row>
    <row r="54" spans="15:22" ht="14.25">
      <c r="O54" s="8"/>
      <c r="P54" s="8"/>
      <c r="Q54" s="8"/>
    </row>
    <row r="55" spans="15:22" ht="65.099999999999994" customHeight="1"/>
    <row r="56" spans="15:22" ht="14.25">
      <c r="O56" s="8"/>
      <c r="P56" s="8"/>
      <c r="Q56" s="8"/>
    </row>
    <row r="57" spans="15:22" ht="19.899999999999999" customHeight="1"/>
    <row r="58" spans="15:22" ht="14.25"/>
    <row r="59" spans="15:22" ht="19.899999999999999" customHeight="1"/>
    <row r="60" spans="15:22" ht="14.25"/>
    <row r="61" spans="15:22" ht="19.899999999999999" customHeight="1"/>
    <row r="62" spans="15:22" ht="19.899999999999999" customHeight="1"/>
    <row r="63" spans="15:22" ht="64.900000000000006" customHeight="1"/>
    <row r="65" spans="15:22" ht="19.899999999999999" customHeight="1">
      <c r="T65" s="131" t="s">
        <v>21</v>
      </c>
    </row>
    <row r="66" spans="15:22" ht="19.899999999999999" customHeight="1">
      <c r="T66" s="133"/>
    </row>
    <row r="67" spans="15:22" ht="64.900000000000006" customHeight="1">
      <c r="T67" s="11"/>
    </row>
    <row r="71" spans="15:22" ht="21" customHeight="1">
      <c r="O71" s="131" t="s">
        <v>21</v>
      </c>
      <c r="P71" s="131" t="s">
        <v>21</v>
      </c>
      <c r="Q71" s="131" t="s">
        <v>21</v>
      </c>
      <c r="T71" s="131" t="s">
        <v>22</v>
      </c>
      <c r="U71" s="131" t="s">
        <v>13</v>
      </c>
      <c r="V71" s="131" t="s">
        <v>21</v>
      </c>
    </row>
    <row r="72" spans="15:22" ht="21" customHeight="1">
      <c r="O72" s="133"/>
      <c r="P72" s="133"/>
      <c r="Q72" s="133"/>
      <c r="T72" s="132"/>
      <c r="U72" s="132"/>
      <c r="V72" s="133"/>
    </row>
    <row r="73" spans="15:22" ht="64.900000000000006" customHeight="1">
      <c r="O73" s="11"/>
      <c r="P73" s="11"/>
      <c r="Q73" s="11"/>
      <c r="T73" s="11"/>
      <c r="U73" s="12"/>
      <c r="V73" s="11"/>
    </row>
    <row r="74" spans="15:22" ht="7.15" customHeight="1"/>
    <row r="75" spans="15:22" ht="21" customHeight="1">
      <c r="O75" s="131" t="s">
        <v>21</v>
      </c>
      <c r="P75" s="131" t="s">
        <v>21</v>
      </c>
      <c r="Q75" s="131" t="s">
        <v>21</v>
      </c>
      <c r="T75" s="131" t="s">
        <v>13</v>
      </c>
      <c r="U75" s="131" t="s">
        <v>22</v>
      </c>
      <c r="V75" s="131" t="s">
        <v>21</v>
      </c>
    </row>
    <row r="76" spans="15:22" ht="21" customHeight="1">
      <c r="O76" s="133"/>
      <c r="P76" s="133"/>
      <c r="Q76" s="133"/>
      <c r="T76" s="132"/>
      <c r="U76" s="132"/>
      <c r="V76" s="133"/>
    </row>
    <row r="77" spans="15:22" ht="64.900000000000006" customHeight="1">
      <c r="O77" s="11"/>
      <c r="P77" s="11"/>
      <c r="Q77" s="11"/>
      <c r="T77" s="12"/>
      <c r="U77" s="11"/>
      <c r="V77" s="11"/>
    </row>
  </sheetData>
  <mergeCells count="103">
    <mergeCell ref="B13:C13"/>
    <mergeCell ref="B14:C14"/>
    <mergeCell ref="B15:C15"/>
    <mergeCell ref="B16:C16"/>
    <mergeCell ref="B17:C17"/>
    <mergeCell ref="B28:C28"/>
    <mergeCell ref="B29:C29"/>
    <mergeCell ref="B30:C30"/>
    <mergeCell ref="B31:C31"/>
    <mergeCell ref="B23:C23"/>
    <mergeCell ref="B24:C24"/>
    <mergeCell ref="B25:C25"/>
    <mergeCell ref="B26:C26"/>
    <mergeCell ref="B27:C27"/>
    <mergeCell ref="S43:S45"/>
    <mergeCell ref="P46:P47"/>
    <mergeCell ref="Q46:Q47"/>
    <mergeCell ref="S47:S49"/>
    <mergeCell ref="O52:O53"/>
    <mergeCell ref="P52:P53"/>
    <mergeCell ref="B18:C18"/>
    <mergeCell ref="B19:C19"/>
    <mergeCell ref="B20:C20"/>
    <mergeCell ref="B21:C21"/>
    <mergeCell ref="B22:C22"/>
    <mergeCell ref="B32:C32"/>
    <mergeCell ref="B38:C38"/>
    <mergeCell ref="B39:C39"/>
    <mergeCell ref="B40:C40"/>
    <mergeCell ref="B33:C33"/>
    <mergeCell ref="B34:C34"/>
    <mergeCell ref="B35:C35"/>
    <mergeCell ref="B36:C36"/>
    <mergeCell ref="B37:C37"/>
    <mergeCell ref="U71:U72"/>
    <mergeCell ref="V71:V72"/>
    <mergeCell ref="O75:O76"/>
    <mergeCell ref="P75:P76"/>
    <mergeCell ref="Q75:Q76"/>
    <mergeCell ref="T75:T76"/>
    <mergeCell ref="U75:U76"/>
    <mergeCell ref="V75:V76"/>
    <mergeCell ref="T65:T66"/>
    <mergeCell ref="O71:O72"/>
    <mergeCell ref="P71:P72"/>
    <mergeCell ref="Q71:Q72"/>
    <mergeCell ref="T71:T72"/>
    <mergeCell ref="Q52:Q53"/>
    <mergeCell ref="D11:F11"/>
    <mergeCell ref="A41:B41"/>
    <mergeCell ref="D16:F16"/>
    <mergeCell ref="D17:F17"/>
    <mergeCell ref="D18:F18"/>
    <mergeCell ref="D19:F19"/>
    <mergeCell ref="D20:F20"/>
    <mergeCell ref="D21:F21"/>
    <mergeCell ref="D23:F23"/>
    <mergeCell ref="D22:F22"/>
    <mergeCell ref="D12:F12"/>
    <mergeCell ref="D13:F13"/>
    <mergeCell ref="D14:F14"/>
    <mergeCell ref="D15:F15"/>
    <mergeCell ref="B11:C11"/>
    <mergeCell ref="B12:C12"/>
    <mergeCell ref="D27:F27"/>
    <mergeCell ref="D28:F28"/>
    <mergeCell ref="D29:F29"/>
    <mergeCell ref="D24:F24"/>
    <mergeCell ref="D25:F25"/>
    <mergeCell ref="D26:F26"/>
    <mergeCell ref="D33:F33"/>
    <mergeCell ref="D6:F6"/>
    <mergeCell ref="D7:F7"/>
    <mergeCell ref="D8:F8"/>
    <mergeCell ref="D9:F9"/>
    <mergeCell ref="D10:F10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B7:C7"/>
    <mergeCell ref="B8:C8"/>
    <mergeCell ref="B9:C9"/>
    <mergeCell ref="B10:C10"/>
    <mergeCell ref="D34:F34"/>
    <mergeCell ref="D35:F35"/>
    <mergeCell ref="D30:F30"/>
    <mergeCell ref="D31:F31"/>
    <mergeCell ref="D32:F32"/>
    <mergeCell ref="D39:F39"/>
    <mergeCell ref="D40:F40"/>
    <mergeCell ref="D36:F36"/>
    <mergeCell ref="D37:F37"/>
    <mergeCell ref="D38:F3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20" t="str">
        <f>+MRS!J1</f>
        <v>DAESHIN PLANT</v>
      </c>
      <c r="K1" s="122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23" t="str">
        <f>+MRS!J2</f>
        <v>Subcontract name (SAC2-SC-IK-SMP-01)</v>
      </c>
      <c r="K2" s="125"/>
    </row>
    <row r="3" spans="1:18" ht="24.95" customHeight="1">
      <c r="A3" s="3" t="str">
        <f>+MRS!A3</f>
        <v xml:space="preserve">  MRS No : SAC2-DS-MRS-0259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46095</v>
      </c>
    </row>
    <row r="4" spans="1:18" ht="15.95" customHeight="1">
      <c r="A4" s="141" t="s">
        <v>2</v>
      </c>
      <c r="B4" s="142" t="s">
        <v>23</v>
      </c>
      <c r="C4" s="142"/>
      <c r="D4" s="141" t="s">
        <v>4</v>
      </c>
      <c r="E4" s="141"/>
      <c r="F4" s="141"/>
      <c r="G4" s="142" t="s">
        <v>5</v>
      </c>
      <c r="H4" s="141" t="s">
        <v>91</v>
      </c>
      <c r="I4" s="141" t="s">
        <v>24</v>
      </c>
      <c r="J4" s="141" t="s">
        <v>25</v>
      </c>
      <c r="K4" s="142" t="s">
        <v>7</v>
      </c>
    </row>
    <row r="5" spans="1:18" ht="15.95" customHeight="1">
      <c r="A5" s="141"/>
      <c r="B5" s="142"/>
      <c r="C5" s="142"/>
      <c r="D5" s="141"/>
      <c r="E5" s="141"/>
      <c r="F5" s="141"/>
      <c r="G5" s="142"/>
      <c r="H5" s="141"/>
      <c r="I5" s="141"/>
      <c r="J5" s="141"/>
      <c r="K5" s="142"/>
    </row>
    <row r="6" spans="1:18" ht="74.25" customHeight="1">
      <c r="A6" s="18">
        <f>+MRS!A6</f>
        <v>1</v>
      </c>
      <c r="B6" s="136" t="str">
        <f>MRS!B6</f>
        <v>RICOH TONER MP C6003</v>
      </c>
      <c r="C6" s="137"/>
      <c r="D6" s="138" t="str">
        <f>MRS!D6</f>
        <v>BLACK</v>
      </c>
      <c r="E6" s="139"/>
      <c r="F6" s="140"/>
      <c r="G6" s="94" t="str">
        <f>MRS!G6</f>
        <v>EA</v>
      </c>
      <c r="H6" s="94">
        <f>MRS!H6</f>
        <v>6</v>
      </c>
      <c r="I6" s="95">
        <f>MRS!I6</f>
        <v>343</v>
      </c>
      <c r="J6" s="95">
        <f>MRS!J6</f>
        <v>2058</v>
      </c>
      <c r="K6" s="96"/>
      <c r="O6" s="97"/>
      <c r="P6" s="97"/>
      <c r="R6" s="97"/>
    </row>
    <row r="7" spans="1:18" ht="74.25" customHeight="1">
      <c r="A7" s="18">
        <f>+MRS!A7</f>
        <v>2</v>
      </c>
      <c r="B7" s="136" t="str">
        <f>MRS!B7</f>
        <v>RICOH TONER MP C6003</v>
      </c>
      <c r="C7" s="137"/>
      <c r="D7" s="138" t="str">
        <f>MRS!D7</f>
        <v>CYAN-2/YELLOW-2/MAGENTA-2</v>
      </c>
      <c r="E7" s="139"/>
      <c r="F7" s="140"/>
      <c r="G7" s="94" t="str">
        <f>MRS!G7</f>
        <v>EA</v>
      </c>
      <c r="H7" s="94">
        <f>MRS!H7</f>
        <v>4</v>
      </c>
      <c r="I7" s="95">
        <f>MRS!I7</f>
        <v>506</v>
      </c>
      <c r="J7" s="95">
        <f>MRS!J7</f>
        <v>2024</v>
      </c>
      <c r="K7" s="96"/>
      <c r="O7" s="97"/>
      <c r="P7" s="97"/>
      <c r="R7" s="97"/>
    </row>
    <row r="8" spans="1:18" ht="74.25" customHeight="1">
      <c r="A8" s="18">
        <f>+MRS!A8</f>
        <v>3</v>
      </c>
      <c r="B8" s="136" t="str">
        <f>MRS!B8</f>
        <v>WET WIPES</v>
      </c>
      <c r="C8" s="137"/>
      <c r="D8" s="138" t="str">
        <f>MRS!D8</f>
        <v>120PCS</v>
      </c>
      <c r="E8" s="139"/>
      <c r="F8" s="140"/>
      <c r="G8" s="94" t="str">
        <f>MRS!G8</f>
        <v>EA</v>
      </c>
      <c r="H8" s="94">
        <f>MRS!H8</f>
        <v>24</v>
      </c>
      <c r="I8" s="95">
        <f>MRS!I8</f>
        <v>12</v>
      </c>
      <c r="J8" s="95">
        <f>MRS!J8</f>
        <v>288</v>
      </c>
      <c r="K8" s="96"/>
      <c r="O8" s="97"/>
      <c r="P8" s="97"/>
      <c r="R8" s="97"/>
    </row>
    <row r="9" spans="1:18" ht="74.25" customHeight="1">
      <c r="A9" s="18">
        <f>+MRS!A9</f>
        <v>4</v>
      </c>
      <c r="B9" s="136" t="str">
        <f>MRS!B9</f>
        <v>TRASH BAG</v>
      </c>
      <c r="C9" s="137"/>
      <c r="D9" s="138" t="str">
        <f>MRS!D9</f>
        <v>10GLN 4KG 1*10</v>
      </c>
      <c r="E9" s="139"/>
      <c r="F9" s="140"/>
      <c r="G9" s="94" t="str">
        <f>MRS!G9</f>
        <v>BDL</v>
      </c>
      <c r="H9" s="94">
        <f>MRS!H9</f>
        <v>2</v>
      </c>
      <c r="I9" s="95">
        <f>MRS!I9</f>
        <v>53</v>
      </c>
      <c r="J9" s="95">
        <f>MRS!J9</f>
        <v>106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36" t="str">
        <f>MRS!B10</f>
        <v>WATER BOTTLE</v>
      </c>
      <c r="C10" s="137"/>
      <c r="D10" s="138" t="str">
        <f>MRS!D10</f>
        <v>1050ML HI-TEX</v>
      </c>
      <c r="E10" s="139"/>
      <c r="F10" s="140"/>
      <c r="G10" s="94" t="str">
        <f>MRS!G10</f>
        <v>EA</v>
      </c>
      <c r="H10" s="94">
        <f>MRS!H10</f>
        <v>48</v>
      </c>
      <c r="I10" s="95">
        <f>MRS!I10</f>
        <v>11.2</v>
      </c>
      <c r="J10" s="95">
        <f>MRS!J10</f>
        <v>537.59999999999991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36" t="str">
        <f>MRS!B11</f>
        <v>PRINTER RICOH C6003</v>
      </c>
      <c r="C11" s="137"/>
      <c r="D11" s="138" t="str">
        <f>MRS!D11</f>
        <v>A3 COLOR COPIER</v>
      </c>
      <c r="E11" s="139"/>
      <c r="F11" s="140"/>
      <c r="G11" s="94" t="str">
        <f>MRS!G11</f>
        <v>EA</v>
      </c>
      <c r="H11" s="94">
        <f>MRS!H11</f>
        <v>2</v>
      </c>
      <c r="I11" s="95">
        <f>MRS!I11</f>
        <v>13625</v>
      </c>
      <c r="J11" s="95">
        <f>MRS!J11</f>
        <v>27250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36" t="str">
        <f>MRS!B12</f>
        <v>SAFETY GOOGLES</v>
      </c>
      <c r="C12" s="137"/>
      <c r="D12" s="138" t="str">
        <f>MRS!D12</f>
        <v>CLEAR-600/DARK-600</v>
      </c>
      <c r="E12" s="139"/>
      <c r="F12" s="140"/>
      <c r="G12" s="94" t="str">
        <f>MRS!G12</f>
        <v>EA</v>
      </c>
      <c r="H12" s="94">
        <f>MRS!H12</f>
        <v>1200</v>
      </c>
      <c r="I12" s="95">
        <f>MRS!I12</f>
        <v>3</v>
      </c>
      <c r="J12" s="95">
        <f>MRS!J12</f>
        <v>3600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36" t="str">
        <f>MRS!B13</f>
        <v>A3 LAMINATION POUCH</v>
      </c>
      <c r="C13" s="137"/>
      <c r="D13" s="138">
        <f>MRS!D13</f>
        <v>0</v>
      </c>
      <c r="E13" s="139"/>
      <c r="F13" s="140"/>
      <c r="G13" s="94" t="str">
        <f>MRS!G13</f>
        <v>PKT</v>
      </c>
      <c r="H13" s="94">
        <f>MRS!H13</f>
        <v>10</v>
      </c>
      <c r="I13" s="95">
        <f>MRS!I13</f>
        <v>72</v>
      </c>
      <c r="J13" s="95">
        <f>MRS!J13</f>
        <v>720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36" t="str">
        <f>MRS!B14</f>
        <v>GARBAGE BAG</v>
      </c>
      <c r="C14" s="137"/>
      <c r="D14" s="138" t="str">
        <f>MRS!D14</f>
        <v>100GLN</v>
      </c>
      <c r="E14" s="139"/>
      <c r="F14" s="140"/>
      <c r="G14" s="94" t="str">
        <f>MRS!G14</f>
        <v>BDL</v>
      </c>
      <c r="H14" s="94">
        <f>MRS!H14</f>
        <v>20</v>
      </c>
      <c r="I14" s="95">
        <f>MRS!I14</f>
        <v>46</v>
      </c>
      <c r="J14" s="95">
        <f>MRS!J14</f>
        <v>920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36" t="str">
        <f>MRS!B15</f>
        <v>DELL PC</v>
      </c>
      <c r="C15" s="137"/>
      <c r="D15" s="138" t="str">
        <f>MRS!D15</f>
        <v>8GB-512GB-KB+MOUSE</v>
      </c>
      <c r="E15" s="139"/>
      <c r="F15" s="140"/>
      <c r="G15" s="94" t="str">
        <f>MRS!G15</f>
        <v>EA</v>
      </c>
      <c r="H15" s="94">
        <f>MRS!H15</f>
        <v>3</v>
      </c>
      <c r="I15" s="95">
        <f>MRS!I15</f>
        <v>2218</v>
      </c>
      <c r="J15" s="95">
        <f>MRS!J15</f>
        <v>6654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36" t="str">
        <f>MRS!B16</f>
        <v>DELL MONITOR</v>
      </c>
      <c r="C16" s="137"/>
      <c r="D16" s="138" t="str">
        <f>MRS!D16</f>
        <v>24"</v>
      </c>
      <c r="E16" s="139"/>
      <c r="F16" s="140"/>
      <c r="G16" s="94" t="str">
        <f>MRS!G16</f>
        <v>EA</v>
      </c>
      <c r="H16" s="94">
        <f>MRS!H16</f>
        <v>3</v>
      </c>
      <c r="I16" s="95">
        <f>MRS!I16</f>
        <v>495</v>
      </c>
      <c r="J16" s="95">
        <f>MRS!J16</f>
        <v>1485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36" t="str">
        <f>MRS!B17</f>
        <v>FINE DELUXE TOILET PAPER</v>
      </c>
      <c r="C17" s="137"/>
      <c r="D17" s="138" t="str">
        <f>MRS!D17</f>
        <v>12ROLLS</v>
      </c>
      <c r="E17" s="139"/>
      <c r="F17" s="140"/>
      <c r="G17" s="94" t="str">
        <f>MRS!G17</f>
        <v>BDL</v>
      </c>
      <c r="H17" s="94">
        <f>MRS!H17</f>
        <v>12</v>
      </c>
      <c r="I17" s="95">
        <f>MRS!I17</f>
        <v>27</v>
      </c>
      <c r="J17" s="95">
        <f>MRS!J17</f>
        <v>324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36" t="str">
        <f>MRS!B18</f>
        <v>TP LINK</v>
      </c>
      <c r="C18" s="137"/>
      <c r="D18" s="138" t="str">
        <f>MRS!D18</f>
        <v>8PORT</v>
      </c>
      <c r="E18" s="139"/>
      <c r="F18" s="140"/>
      <c r="G18" s="94" t="str">
        <f>MRS!G18</f>
        <v>EA</v>
      </c>
      <c r="H18" s="94">
        <f>MRS!H18</f>
        <v>1</v>
      </c>
      <c r="I18" s="95">
        <f>MRS!I18</f>
        <v>55</v>
      </c>
      <c r="J18" s="95">
        <f>MRS!J18</f>
        <v>55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36" t="str">
        <f>MRS!B19</f>
        <v>FR COVERALL</v>
      </c>
      <c r="C19" s="137"/>
      <c r="D19" s="138" t="str">
        <f>MRS!D19</f>
        <v>WELDER COVERALL</v>
      </c>
      <c r="E19" s="139"/>
      <c r="F19" s="140"/>
      <c r="G19" s="94" t="str">
        <f>MRS!G19</f>
        <v>EA</v>
      </c>
      <c r="H19" s="94">
        <f>MRS!H19</f>
        <v>55</v>
      </c>
      <c r="I19" s="95">
        <f>MRS!I19</f>
        <v>77</v>
      </c>
      <c r="J19" s="95">
        <f>MRS!J19</f>
        <v>4235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36" t="str">
        <f>MRS!B20</f>
        <v>SAFETY VEST RED</v>
      </c>
      <c r="C20" s="137"/>
      <c r="D20" s="138" t="str">
        <f>MRS!D20</f>
        <v>NO POCKET</v>
      </c>
      <c r="E20" s="139"/>
      <c r="F20" s="140"/>
      <c r="G20" s="94" t="str">
        <f>MRS!G20</f>
        <v>EA</v>
      </c>
      <c r="H20" s="94">
        <f>MRS!H20</f>
        <v>20</v>
      </c>
      <c r="I20" s="95">
        <f>MRS!I20</f>
        <v>8</v>
      </c>
      <c r="J20" s="95">
        <f>MRS!J20</f>
        <v>160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36" t="str">
        <f>MRS!B21</f>
        <v>SAFETY VEST YELLOW POCKET</v>
      </c>
      <c r="C21" s="137"/>
      <c r="D21" s="138" t="str">
        <f>MRS!D21</f>
        <v>WITH LOGO M-100/L-100/XL-100/XXL-100</v>
      </c>
      <c r="E21" s="139"/>
      <c r="F21" s="140"/>
      <c r="G21" s="94" t="str">
        <f>MRS!G21</f>
        <v>EA</v>
      </c>
      <c r="H21" s="94">
        <f>MRS!H21</f>
        <v>200</v>
      </c>
      <c r="I21" s="95">
        <f>MRS!I21</f>
        <v>20.5</v>
      </c>
      <c r="J21" s="95">
        <f>MRS!J21</f>
        <v>4100</v>
      </c>
      <c r="K21" s="96"/>
      <c r="O21" s="97"/>
      <c r="P21" s="97"/>
      <c r="R21" s="97"/>
    </row>
    <row r="22" spans="1:18" ht="74.25" customHeight="1">
      <c r="A22" s="18">
        <f>+MRS!A22</f>
        <v>17</v>
      </c>
      <c r="B22" s="136" t="str">
        <f>MRS!B22</f>
        <v>STAPLES</v>
      </c>
      <c r="C22" s="137"/>
      <c r="D22" s="138" t="str">
        <f>MRS!D22</f>
        <v>KANGARO</v>
      </c>
      <c r="E22" s="139"/>
      <c r="F22" s="140"/>
      <c r="G22" s="94" t="str">
        <f>MRS!G22</f>
        <v>BOX</v>
      </c>
      <c r="H22" s="94">
        <f>MRS!H22</f>
        <v>1</v>
      </c>
      <c r="I22" s="95">
        <f>MRS!I22</f>
        <v>40</v>
      </c>
      <c r="J22" s="95">
        <f>MRS!J22</f>
        <v>40</v>
      </c>
      <c r="K22" s="96"/>
      <c r="O22" s="97"/>
      <c r="P22" s="97"/>
      <c r="R22" s="97"/>
    </row>
    <row r="23" spans="1:18" ht="74.25" customHeight="1">
      <c r="A23" s="18" t="e">
        <f>+MRS!#REF!</f>
        <v>#REF!</v>
      </c>
      <c r="B23" s="136" t="e">
        <f>MRS!#REF!</f>
        <v>#REF!</v>
      </c>
      <c r="C23" s="137"/>
      <c r="D23" s="138" t="e">
        <f>MRS!#REF!</f>
        <v>#REF!</v>
      </c>
      <c r="E23" s="139"/>
      <c r="F23" s="140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 t="e">
        <f>+MRS!#REF!</f>
        <v>#REF!</v>
      </c>
      <c r="B24" s="136" t="e">
        <f>MRS!#REF!</f>
        <v>#REF!</v>
      </c>
      <c r="C24" s="137"/>
      <c r="D24" s="138" t="e">
        <f>MRS!#REF!</f>
        <v>#REF!</v>
      </c>
      <c r="E24" s="139"/>
      <c r="F24" s="140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 t="e">
        <f>+MRS!#REF!</f>
        <v>#REF!</v>
      </c>
      <c r="B25" s="136" t="e">
        <f>MRS!#REF!</f>
        <v>#REF!</v>
      </c>
      <c r="C25" s="137"/>
      <c r="D25" s="138" t="e">
        <f>MRS!#REF!</f>
        <v>#REF!</v>
      </c>
      <c r="E25" s="139"/>
      <c r="F25" s="140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 t="e">
        <f>+MRS!#REF!</f>
        <v>#REF!</v>
      </c>
      <c r="B26" s="136" t="e">
        <f>MRS!#REF!</f>
        <v>#REF!</v>
      </c>
      <c r="C26" s="137"/>
      <c r="D26" s="138" t="e">
        <f>MRS!#REF!</f>
        <v>#REF!</v>
      </c>
      <c r="E26" s="139"/>
      <c r="F26" s="140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 t="e">
        <f>+MRS!#REF!</f>
        <v>#REF!</v>
      </c>
      <c r="B27" s="136" t="e">
        <f>MRS!#REF!</f>
        <v>#REF!</v>
      </c>
      <c r="C27" s="137"/>
      <c r="D27" s="138" t="e">
        <f>MRS!#REF!</f>
        <v>#REF!</v>
      </c>
      <c r="E27" s="139"/>
      <c r="F27" s="140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  <row r="28" spans="1:18" ht="74.25" customHeight="1">
      <c r="A28" s="18" t="e">
        <f>+MRS!#REF!</f>
        <v>#REF!</v>
      </c>
      <c r="B28" s="136" t="e">
        <f>MRS!#REF!</f>
        <v>#REF!</v>
      </c>
      <c r="C28" s="137"/>
      <c r="D28" s="138" t="e">
        <f>MRS!#REF!</f>
        <v>#REF!</v>
      </c>
      <c r="E28" s="139"/>
      <c r="F28" s="140"/>
      <c r="G28" s="94" t="e">
        <f>MRS!#REF!</f>
        <v>#REF!</v>
      </c>
      <c r="H28" s="94" t="e">
        <f>MRS!#REF!</f>
        <v>#REF!</v>
      </c>
      <c r="I28" s="95" t="e">
        <f>MRS!#REF!</f>
        <v>#REF!</v>
      </c>
      <c r="J28" s="95" t="e">
        <f>MRS!#REF!</f>
        <v>#REF!</v>
      </c>
      <c r="K28" s="96"/>
      <c r="O28" s="97"/>
      <c r="P28" s="97"/>
      <c r="R28" s="97"/>
    </row>
    <row r="29" spans="1:18" ht="74.25" customHeight="1">
      <c r="A29" s="18" t="e">
        <f>+MRS!#REF!</f>
        <v>#REF!</v>
      </c>
      <c r="B29" s="136" t="e">
        <f>MRS!#REF!</f>
        <v>#REF!</v>
      </c>
      <c r="C29" s="137"/>
      <c r="D29" s="138" t="e">
        <f>MRS!#REF!</f>
        <v>#REF!</v>
      </c>
      <c r="E29" s="139"/>
      <c r="F29" s="140"/>
      <c r="G29" s="94" t="e">
        <f>MRS!#REF!</f>
        <v>#REF!</v>
      </c>
      <c r="H29" s="94" t="e">
        <f>MRS!#REF!</f>
        <v>#REF!</v>
      </c>
      <c r="I29" s="95" t="e">
        <f>MRS!#REF!</f>
        <v>#REF!</v>
      </c>
      <c r="J29" s="95" t="e">
        <f>MRS!#REF!</f>
        <v>#REF!</v>
      </c>
      <c r="K29" s="96"/>
      <c r="O29" s="97"/>
      <c r="P29" s="97"/>
      <c r="R29" s="97"/>
    </row>
    <row r="30" spans="1:18" ht="74.25" customHeight="1">
      <c r="A30" s="18" t="e">
        <f>+MRS!#REF!</f>
        <v>#REF!</v>
      </c>
      <c r="B30" s="136" t="e">
        <f>MRS!#REF!</f>
        <v>#REF!</v>
      </c>
      <c r="C30" s="137"/>
      <c r="D30" s="138" t="e">
        <f>MRS!#REF!</f>
        <v>#REF!</v>
      </c>
      <c r="E30" s="139"/>
      <c r="F30" s="140"/>
      <c r="G30" s="94" t="e">
        <f>MRS!#REF!</f>
        <v>#REF!</v>
      </c>
      <c r="H30" s="94" t="e">
        <f>MRS!#REF!</f>
        <v>#REF!</v>
      </c>
      <c r="I30" s="95" t="e">
        <f>MRS!#REF!</f>
        <v>#REF!</v>
      </c>
      <c r="J30" s="95" t="e">
        <f>MRS!#REF!</f>
        <v>#REF!</v>
      </c>
      <c r="K30" s="96"/>
      <c r="O30" s="97"/>
      <c r="P30" s="97"/>
      <c r="R30" s="97"/>
    </row>
  </sheetData>
  <mergeCells count="60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30:C30"/>
    <mergeCell ref="D30:F30"/>
    <mergeCell ref="B27:C27"/>
    <mergeCell ref="B28:C28"/>
    <mergeCell ref="B29:C29"/>
    <mergeCell ref="D27:F27"/>
    <mergeCell ref="D28:F28"/>
    <mergeCell ref="D29:F2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44">
        <f>MRS!L3</f>
        <v>46095</v>
      </c>
      <c r="L10" s="145"/>
      <c r="M10" s="145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46" t="str">
        <f>SUBSTITUTE(SUBSTITUTE(+MRS!A3,"  MRS No : ",""),"-MRS","-PO")</f>
        <v>SAC2-DS-PO-0259</v>
      </c>
      <c r="L11" s="146"/>
      <c r="M11" s="146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195</v>
      </c>
    </row>
    <row r="15" spans="2:13" s="35" customFormat="1">
      <c r="B15" s="68"/>
      <c r="C15" s="73" t="s">
        <v>108</v>
      </c>
      <c r="J15" s="35" t="s">
        <v>40</v>
      </c>
      <c r="K15" s="74">
        <v>46092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47" t="s">
        <v>41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</row>
    <row r="19" spans="2:13" ht="12" customHeight="1"/>
    <row r="20" spans="2:13" s="28" customFormat="1" ht="12" customHeight="1">
      <c r="B20" s="148" t="s">
        <v>42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</row>
    <row r="21" spans="2:13" s="28" customFormat="1" ht="12" customHeight="1">
      <c r="B21" s="148" t="s">
        <v>43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</row>
    <row r="22" spans="2:13" s="28" customFormat="1" ht="12" customHeight="1">
      <c r="B22" s="148" t="s">
        <v>44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</row>
    <row r="23" spans="2:13" ht="6.95" customHeight="1"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</row>
    <row r="24" spans="2:13" ht="6.95" customHeight="1"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19">
        <f>'PO 2nd page'!G41</f>
        <v>59595.6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19">
        <f>'PO 2nd page'!G42</f>
        <v>8939.34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19">
        <f>'PO 2nd page'!G43</f>
        <v>68534.94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114</v>
      </c>
    </row>
    <row r="54" spans="2:16" ht="12" customHeight="1">
      <c r="B54" s="80" t="s">
        <v>65</v>
      </c>
      <c r="C54" s="116" t="s">
        <v>115</v>
      </c>
      <c r="F54" s="23" t="s">
        <v>124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116</v>
      </c>
      <c r="F55" s="117" t="s">
        <v>126</v>
      </c>
    </row>
    <row r="56" spans="2:16" ht="12" customHeight="1">
      <c r="B56" s="80" t="s">
        <v>65</v>
      </c>
      <c r="C56" s="116" t="s">
        <v>117</v>
      </c>
      <c r="F56" s="117" t="s">
        <v>129</v>
      </c>
    </row>
    <row r="57" spans="2:16" ht="12" customHeight="1">
      <c r="B57" s="80" t="s">
        <v>65</v>
      </c>
      <c r="C57" s="116" t="s">
        <v>118</v>
      </c>
      <c r="F57" s="23" t="s">
        <v>125</v>
      </c>
    </row>
    <row r="58" spans="2:16" ht="12" customHeight="1">
      <c r="B58" s="80" t="s">
        <v>65</v>
      </c>
      <c r="C58" s="116" t="s">
        <v>119</v>
      </c>
      <c r="F58" s="23" t="s">
        <v>120</v>
      </c>
    </row>
    <row r="59" spans="2:16" ht="12" customHeight="1">
      <c r="B59" s="80" t="s">
        <v>65</v>
      </c>
      <c r="C59" s="116" t="s">
        <v>121</v>
      </c>
      <c r="F59" s="23" t="s">
        <v>122</v>
      </c>
    </row>
    <row r="60" spans="2:16" ht="12" customHeight="1">
      <c r="B60" s="80"/>
      <c r="C60" s="116" t="s">
        <v>123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51" t="str">
        <f>C9</f>
        <v>ATGC(Alrmooz Technical for General Contracting Est.)</v>
      </c>
      <c r="K70" s="151"/>
      <c r="L70" s="151"/>
      <c r="M70" s="151"/>
    </row>
    <row r="71" spans="1:13" ht="27.95" customHeight="1">
      <c r="A71" s="143" t="s">
        <v>75</v>
      </c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1"/>
  <sheetViews>
    <sheetView showGridLines="0" view="pageBreakPreview" topLeftCell="A24" zoomScaleSheetLayoutView="100" zoomScalePageLayoutView="55" workbookViewId="0">
      <selection activeCell="A41" sqref="A41:XFD4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SAC2-DS-PO-0259</v>
      </c>
      <c r="C2" s="154" t="s">
        <v>77</v>
      </c>
      <c r="D2" s="154"/>
      <c r="E2" s="154"/>
      <c r="F2" s="154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46095</v>
      </c>
      <c r="C3" s="47"/>
      <c r="D3" s="48"/>
      <c r="E3" s="155" t="s">
        <v>79</v>
      </c>
      <c r="F3" s="155"/>
      <c r="G3" s="155"/>
      <c r="H3" s="155"/>
      <c r="I3" s="49"/>
    </row>
    <row r="4" spans="1:13" s="51" customFormat="1" ht="28.5" customHeight="1" thickTop="1">
      <c r="A4" s="156" t="s">
        <v>80</v>
      </c>
      <c r="B4" s="158" t="s">
        <v>81</v>
      </c>
      <c r="C4" s="159"/>
      <c r="D4" s="162" t="s">
        <v>82</v>
      </c>
      <c r="E4" s="162" t="s">
        <v>83</v>
      </c>
      <c r="F4" s="164" t="str">
        <f>'PO 1st page'!C9</f>
        <v>ATGC(Alrmooz Technical for General Contracting Est.)</v>
      </c>
      <c r="G4" s="165"/>
      <c r="H4" s="166" t="s">
        <v>84</v>
      </c>
      <c r="K4" s="52"/>
      <c r="L4" s="52"/>
      <c r="M4" s="52"/>
    </row>
    <row r="5" spans="1:13" s="51" customFormat="1" ht="21.95" customHeight="1">
      <c r="A5" s="157"/>
      <c r="B5" s="160"/>
      <c r="C5" s="161"/>
      <c r="D5" s="163"/>
      <c r="E5" s="163"/>
      <c r="F5" s="53" t="s">
        <v>85</v>
      </c>
      <c r="G5" s="53" t="s">
        <v>51</v>
      </c>
      <c r="H5" s="167"/>
      <c r="K5" s="52"/>
      <c r="L5" s="52"/>
      <c r="M5" s="52"/>
    </row>
    <row r="6" spans="1:13" s="51" customFormat="1" ht="22.5" customHeight="1">
      <c r="A6" s="81">
        <f t="shared" ref="A6:A40" si="0">ROW(A1)</f>
        <v>1</v>
      </c>
      <c r="B6" s="152" t="str">
        <f>_xlfn.CONCAT(MRS!B6," ",MRS!D6)</f>
        <v>RICOH TONER MP C6003 BLACK</v>
      </c>
      <c r="C6" s="153"/>
      <c r="D6" s="82" t="str">
        <f>MRS!G6</f>
        <v>EA</v>
      </c>
      <c r="E6" s="83">
        <f>MRS!H6</f>
        <v>6</v>
      </c>
      <c r="F6" s="84">
        <f>MRS!I6</f>
        <v>343</v>
      </c>
      <c r="G6" s="85">
        <f>F6*E6</f>
        <v>2058</v>
      </c>
      <c r="H6" s="86"/>
      <c r="K6" s="87"/>
      <c r="L6" s="88"/>
      <c r="M6" s="52"/>
    </row>
    <row r="7" spans="1:13" s="51" customFormat="1" ht="22.5" customHeight="1">
      <c r="A7" s="81">
        <f t="shared" si="0"/>
        <v>2</v>
      </c>
      <c r="B7" s="152" t="str">
        <f>_xlfn.CONCAT(MRS!B7," ",MRS!D7)</f>
        <v>RICOH TONER MP C6003 CYAN-2/YELLOW-2/MAGENTA-2</v>
      </c>
      <c r="C7" s="153"/>
      <c r="D7" s="82" t="str">
        <f>MRS!G7</f>
        <v>EA</v>
      </c>
      <c r="E7" s="83">
        <f>MRS!H7</f>
        <v>4</v>
      </c>
      <c r="F7" s="84">
        <f>MRS!I7</f>
        <v>506</v>
      </c>
      <c r="G7" s="85">
        <f t="shared" ref="G7:G22" si="1">F7*E7</f>
        <v>2024</v>
      </c>
      <c r="H7" s="86"/>
      <c r="K7" s="87"/>
      <c r="L7" s="88"/>
      <c r="M7" s="52"/>
    </row>
    <row r="8" spans="1:13" s="51" customFormat="1" ht="22.5" customHeight="1">
      <c r="A8" s="89">
        <f t="shared" si="0"/>
        <v>3</v>
      </c>
      <c r="B8" s="152" t="str">
        <f>_xlfn.CONCAT(MRS!B8," ",MRS!D8)</f>
        <v>WET WIPES 120PCS</v>
      </c>
      <c r="C8" s="153"/>
      <c r="D8" s="82" t="str">
        <f>MRS!G8</f>
        <v>EA</v>
      </c>
      <c r="E8" s="83">
        <f>MRS!H8</f>
        <v>24</v>
      </c>
      <c r="F8" s="84">
        <f>MRS!I8</f>
        <v>12</v>
      </c>
      <c r="G8" s="85">
        <f t="shared" si="1"/>
        <v>288</v>
      </c>
      <c r="H8" s="90"/>
      <c r="K8" s="52"/>
      <c r="L8" s="52"/>
      <c r="M8" s="52"/>
    </row>
    <row r="9" spans="1:13" s="51" customFormat="1" ht="22.5" customHeight="1">
      <c r="A9" s="89">
        <f t="shared" si="0"/>
        <v>4</v>
      </c>
      <c r="B9" s="152" t="str">
        <f>_xlfn.CONCAT(MRS!B9," ",MRS!D9)</f>
        <v>TRASH BAG 10GLN 4KG 1*10</v>
      </c>
      <c r="C9" s="153"/>
      <c r="D9" s="82" t="str">
        <f>MRS!G9</f>
        <v>BDL</v>
      </c>
      <c r="E9" s="83">
        <f>MRS!H9</f>
        <v>2</v>
      </c>
      <c r="F9" s="84">
        <f>MRS!I9</f>
        <v>53</v>
      </c>
      <c r="G9" s="85">
        <f t="shared" si="1"/>
        <v>106</v>
      </c>
      <c r="H9" s="90"/>
    </row>
    <row r="10" spans="1:13" s="51" customFormat="1" ht="22.5" customHeight="1">
      <c r="A10" s="89">
        <f t="shared" si="0"/>
        <v>5</v>
      </c>
      <c r="B10" s="152" t="str">
        <f>_xlfn.CONCAT(MRS!B10," ",MRS!D10)</f>
        <v>WATER BOTTLE 1050ML HI-TEX</v>
      </c>
      <c r="C10" s="153"/>
      <c r="D10" s="82" t="str">
        <f>MRS!G10</f>
        <v>EA</v>
      </c>
      <c r="E10" s="83">
        <f>MRS!H10</f>
        <v>48</v>
      </c>
      <c r="F10" s="84">
        <f>MRS!I10</f>
        <v>11.2</v>
      </c>
      <c r="G10" s="85">
        <f t="shared" si="1"/>
        <v>537.59999999999991</v>
      </c>
      <c r="H10" s="90"/>
    </row>
    <row r="11" spans="1:13" s="51" customFormat="1" ht="22.5" customHeight="1">
      <c r="A11" s="89">
        <f t="shared" si="0"/>
        <v>6</v>
      </c>
      <c r="B11" s="152" t="str">
        <f>_xlfn.CONCAT(MRS!B11," ",MRS!D11)</f>
        <v>PRINTER RICOH C6003 A3 COLOR COPIER</v>
      </c>
      <c r="C11" s="153"/>
      <c r="D11" s="82" t="str">
        <f>MRS!G11</f>
        <v>EA</v>
      </c>
      <c r="E11" s="83">
        <f>MRS!H11</f>
        <v>2</v>
      </c>
      <c r="F11" s="84">
        <f>MRS!I11</f>
        <v>13625</v>
      </c>
      <c r="G11" s="85">
        <f t="shared" si="1"/>
        <v>27250</v>
      </c>
      <c r="H11" s="90"/>
    </row>
    <row r="12" spans="1:13" s="51" customFormat="1" ht="22.5" customHeight="1">
      <c r="A12" s="89">
        <f t="shared" si="0"/>
        <v>7</v>
      </c>
      <c r="B12" s="152" t="str">
        <f>_xlfn.CONCAT(MRS!B12," ",MRS!D12)</f>
        <v>SAFETY GOOGLES CLEAR-600/DARK-600</v>
      </c>
      <c r="C12" s="153"/>
      <c r="D12" s="82" t="str">
        <f>MRS!G12</f>
        <v>EA</v>
      </c>
      <c r="E12" s="83">
        <f>MRS!H12</f>
        <v>1200</v>
      </c>
      <c r="F12" s="84">
        <f>MRS!I12</f>
        <v>3</v>
      </c>
      <c r="G12" s="85">
        <f t="shared" si="1"/>
        <v>3600</v>
      </c>
      <c r="H12" s="90"/>
    </row>
    <row r="13" spans="1:13" s="51" customFormat="1" ht="22.5" customHeight="1">
      <c r="A13" s="89">
        <f t="shared" si="0"/>
        <v>8</v>
      </c>
      <c r="B13" s="152" t="str">
        <f>_xlfn.CONCAT(MRS!B13," ",MRS!D13)</f>
        <v xml:space="preserve">A3 LAMINATION POUCH </v>
      </c>
      <c r="C13" s="153"/>
      <c r="D13" s="82" t="str">
        <f>MRS!G13</f>
        <v>PKT</v>
      </c>
      <c r="E13" s="83">
        <f>MRS!H13</f>
        <v>10</v>
      </c>
      <c r="F13" s="84">
        <f>MRS!I13</f>
        <v>72</v>
      </c>
      <c r="G13" s="85">
        <f t="shared" si="1"/>
        <v>720</v>
      </c>
      <c r="H13" s="90"/>
    </row>
    <row r="14" spans="1:13" s="51" customFormat="1" ht="22.5" customHeight="1">
      <c r="A14" s="89">
        <f t="shared" si="0"/>
        <v>9</v>
      </c>
      <c r="B14" s="152" t="str">
        <f>_xlfn.CONCAT(MRS!B14," ",MRS!D14)</f>
        <v>GARBAGE BAG 100GLN</v>
      </c>
      <c r="C14" s="153"/>
      <c r="D14" s="82" t="str">
        <f>MRS!G14</f>
        <v>BDL</v>
      </c>
      <c r="E14" s="83">
        <f>MRS!H14</f>
        <v>20</v>
      </c>
      <c r="F14" s="84">
        <f>MRS!I14</f>
        <v>46</v>
      </c>
      <c r="G14" s="85">
        <f t="shared" si="1"/>
        <v>920</v>
      </c>
      <c r="H14" s="90"/>
    </row>
    <row r="15" spans="1:13" s="51" customFormat="1" ht="22.5" customHeight="1">
      <c r="A15" s="89">
        <f t="shared" si="0"/>
        <v>10</v>
      </c>
      <c r="B15" s="152" t="str">
        <f>_xlfn.CONCAT(MRS!B15," ",MRS!D15)</f>
        <v>DELL PC 8GB-512GB-KB+MOUSE</v>
      </c>
      <c r="C15" s="153"/>
      <c r="D15" s="82" t="str">
        <f>MRS!G15</f>
        <v>EA</v>
      </c>
      <c r="E15" s="83">
        <f>MRS!H15</f>
        <v>3</v>
      </c>
      <c r="F15" s="84">
        <f>MRS!I15</f>
        <v>2218</v>
      </c>
      <c r="G15" s="85">
        <f t="shared" si="1"/>
        <v>6654</v>
      </c>
      <c r="H15" s="90"/>
    </row>
    <row r="16" spans="1:13" s="51" customFormat="1" ht="22.5" customHeight="1">
      <c r="A16" s="89">
        <f t="shared" si="0"/>
        <v>11</v>
      </c>
      <c r="B16" s="152" t="str">
        <f>_xlfn.CONCAT(MRS!B16," ",MRS!D16)</f>
        <v>DELL MONITOR 24"</v>
      </c>
      <c r="C16" s="153"/>
      <c r="D16" s="82" t="str">
        <f>MRS!G16</f>
        <v>EA</v>
      </c>
      <c r="E16" s="83">
        <f>MRS!H16</f>
        <v>3</v>
      </c>
      <c r="F16" s="84">
        <f>MRS!I16</f>
        <v>495</v>
      </c>
      <c r="G16" s="85">
        <f t="shared" si="1"/>
        <v>1485</v>
      </c>
      <c r="H16" s="90"/>
    </row>
    <row r="17" spans="1:8" s="51" customFormat="1" ht="22.5" customHeight="1">
      <c r="A17" s="89">
        <f t="shared" si="0"/>
        <v>12</v>
      </c>
      <c r="B17" s="152" t="str">
        <f>_xlfn.CONCAT(MRS!B17," ",MRS!D17)</f>
        <v>FINE DELUXE TOILET PAPER 12ROLLS</v>
      </c>
      <c r="C17" s="153"/>
      <c r="D17" s="82" t="str">
        <f>MRS!G17</f>
        <v>BDL</v>
      </c>
      <c r="E17" s="83">
        <f>MRS!H17</f>
        <v>12</v>
      </c>
      <c r="F17" s="84">
        <f>MRS!I17</f>
        <v>27</v>
      </c>
      <c r="G17" s="85">
        <f t="shared" si="1"/>
        <v>324</v>
      </c>
      <c r="H17" s="90"/>
    </row>
    <row r="18" spans="1:8" s="51" customFormat="1" ht="22.5" customHeight="1">
      <c r="A18" s="89">
        <f t="shared" si="0"/>
        <v>13</v>
      </c>
      <c r="B18" s="152" t="str">
        <f>_xlfn.CONCAT(MRS!B18," ",MRS!D18)</f>
        <v>TP LINK 8PORT</v>
      </c>
      <c r="C18" s="153"/>
      <c r="D18" s="82" t="str">
        <f>MRS!G18</f>
        <v>EA</v>
      </c>
      <c r="E18" s="83">
        <f>MRS!H18</f>
        <v>1</v>
      </c>
      <c r="F18" s="84">
        <f>MRS!I18</f>
        <v>55</v>
      </c>
      <c r="G18" s="85">
        <f t="shared" si="1"/>
        <v>55</v>
      </c>
      <c r="H18" s="90"/>
    </row>
    <row r="19" spans="1:8" s="51" customFormat="1" ht="22.5" customHeight="1">
      <c r="A19" s="89">
        <f t="shared" si="0"/>
        <v>14</v>
      </c>
      <c r="B19" s="152" t="str">
        <f>_xlfn.CONCAT(MRS!B19," ",MRS!D19)</f>
        <v>FR COVERALL WELDER COVERALL</v>
      </c>
      <c r="C19" s="153"/>
      <c r="D19" s="82" t="str">
        <f>MRS!G19</f>
        <v>EA</v>
      </c>
      <c r="E19" s="83">
        <f>MRS!H19</f>
        <v>55</v>
      </c>
      <c r="F19" s="84">
        <f>MRS!I19</f>
        <v>77</v>
      </c>
      <c r="G19" s="85">
        <f t="shared" si="1"/>
        <v>4235</v>
      </c>
      <c r="H19" s="90"/>
    </row>
    <row r="20" spans="1:8" s="51" customFormat="1" ht="22.5" customHeight="1">
      <c r="A20" s="89">
        <f t="shared" si="0"/>
        <v>15</v>
      </c>
      <c r="B20" s="152" t="str">
        <f>_xlfn.CONCAT(MRS!B20," ",MRS!D20)</f>
        <v>SAFETY VEST RED NO POCKET</v>
      </c>
      <c r="C20" s="153"/>
      <c r="D20" s="82" t="str">
        <f>MRS!G20</f>
        <v>EA</v>
      </c>
      <c r="E20" s="83">
        <f>MRS!H20</f>
        <v>20</v>
      </c>
      <c r="F20" s="84">
        <f>MRS!I20</f>
        <v>8</v>
      </c>
      <c r="G20" s="85">
        <f t="shared" si="1"/>
        <v>160</v>
      </c>
      <c r="H20" s="90"/>
    </row>
    <row r="21" spans="1:8" s="51" customFormat="1" ht="22.5" customHeight="1">
      <c r="A21" s="89">
        <f t="shared" si="0"/>
        <v>16</v>
      </c>
      <c r="B21" s="152" t="str">
        <f>_xlfn.CONCAT(MRS!B21," ",MRS!D21)</f>
        <v>SAFETY VEST YELLOW POCKET WITH LOGO M-100/L-100/XL-100/XXL-100</v>
      </c>
      <c r="C21" s="153"/>
      <c r="D21" s="82" t="str">
        <f>MRS!G21</f>
        <v>EA</v>
      </c>
      <c r="E21" s="83">
        <f>MRS!H21</f>
        <v>200</v>
      </c>
      <c r="F21" s="84">
        <f>MRS!I21</f>
        <v>20.5</v>
      </c>
      <c r="G21" s="85">
        <f t="shared" si="1"/>
        <v>4100</v>
      </c>
      <c r="H21" s="90"/>
    </row>
    <row r="22" spans="1:8" s="51" customFormat="1" ht="22.5" customHeight="1">
      <c r="A22" s="89">
        <f t="shared" si="0"/>
        <v>17</v>
      </c>
      <c r="B22" s="152" t="str">
        <f>_xlfn.CONCAT(MRS!B22," ",MRS!D22)</f>
        <v>STAPLES KANGARO</v>
      </c>
      <c r="C22" s="153"/>
      <c r="D22" s="82" t="str">
        <f>MRS!G22</f>
        <v>BOX</v>
      </c>
      <c r="E22" s="83">
        <f>MRS!H22</f>
        <v>1</v>
      </c>
      <c r="F22" s="84">
        <f>MRS!I22</f>
        <v>40</v>
      </c>
      <c r="G22" s="85">
        <f t="shared" si="1"/>
        <v>40</v>
      </c>
      <c r="H22" s="90"/>
    </row>
    <row r="23" spans="1:8" s="51" customFormat="1" ht="22.5" customHeight="1">
      <c r="A23" s="89">
        <f t="shared" si="0"/>
        <v>18</v>
      </c>
      <c r="B23" s="152" t="str">
        <f>_xlfn.CONCAT(MRS!B23," ",MRS!D23)</f>
        <v>FELT BOARD 60*90</v>
      </c>
      <c r="C23" s="153"/>
      <c r="D23" s="82" t="str">
        <f>MRS!G23</f>
        <v>EA</v>
      </c>
      <c r="E23" s="83">
        <f>MRS!H23</f>
        <v>1</v>
      </c>
      <c r="F23" s="84">
        <f>MRS!I23</f>
        <v>35</v>
      </c>
      <c r="G23" s="85">
        <f t="shared" ref="G23:G40" si="2">F23*E23</f>
        <v>35</v>
      </c>
      <c r="H23" s="90"/>
    </row>
    <row r="24" spans="1:8" s="51" customFormat="1" ht="22.5" customHeight="1">
      <c r="A24" s="89">
        <f t="shared" si="0"/>
        <v>19</v>
      </c>
      <c r="B24" s="152" t="str">
        <f>_xlfn.CONCAT(MRS!B24," ",MRS!D24)</f>
        <v>DAC DISINFECTANT 3LTR</v>
      </c>
      <c r="C24" s="153"/>
      <c r="D24" s="82" t="str">
        <f>MRS!G24</f>
        <v>EA</v>
      </c>
      <c r="E24" s="83">
        <f>MRS!H24</f>
        <v>12</v>
      </c>
      <c r="F24" s="84">
        <f>MRS!I24</f>
        <v>20</v>
      </c>
      <c r="G24" s="85">
        <f t="shared" si="2"/>
        <v>240</v>
      </c>
      <c r="H24" s="90"/>
    </row>
    <row r="25" spans="1:8" s="51" customFormat="1" ht="22.5" customHeight="1">
      <c r="A25" s="89">
        <f t="shared" si="0"/>
        <v>20</v>
      </c>
      <c r="B25" s="152" t="str">
        <f>_xlfn.CONCAT(MRS!B25," ",MRS!D25)</f>
        <v>HARPIC POWER 495ML</v>
      </c>
      <c r="C25" s="153"/>
      <c r="D25" s="82" t="str">
        <f>MRS!G25</f>
        <v>EA</v>
      </c>
      <c r="E25" s="83">
        <f>MRS!H25</f>
        <v>6</v>
      </c>
      <c r="F25" s="84">
        <f>MRS!I25</f>
        <v>6.5</v>
      </c>
      <c r="G25" s="85">
        <f t="shared" si="2"/>
        <v>39</v>
      </c>
      <c r="H25" s="90"/>
    </row>
    <row r="26" spans="1:8" s="51" customFormat="1" ht="22.5" customHeight="1">
      <c r="A26" s="89">
        <f t="shared" si="0"/>
        <v>21</v>
      </c>
      <c r="B26" s="152" t="str">
        <f>_xlfn.CONCAT(MRS!B26," ",MRS!D26)</f>
        <v>CLOROX BLEACH 3.78LTR</v>
      </c>
      <c r="C26" s="153"/>
      <c r="D26" s="82" t="str">
        <f>MRS!G26</f>
        <v>EA</v>
      </c>
      <c r="E26" s="83">
        <f>MRS!H26</f>
        <v>2</v>
      </c>
      <c r="F26" s="84">
        <f>MRS!I26</f>
        <v>25</v>
      </c>
      <c r="G26" s="85">
        <f t="shared" si="2"/>
        <v>50</v>
      </c>
      <c r="H26" s="90"/>
    </row>
    <row r="27" spans="1:8" s="51" customFormat="1" ht="22.5" customHeight="1">
      <c r="A27" s="89">
        <f t="shared" si="0"/>
        <v>22</v>
      </c>
      <c r="B27" s="152" t="str">
        <f>_xlfn.CONCAT(MRS!B27," ",MRS!D27)</f>
        <v>BROOM BRUSH HARD</v>
      </c>
      <c r="C27" s="153"/>
      <c r="D27" s="82" t="str">
        <f>MRS!G27</f>
        <v>EA</v>
      </c>
      <c r="E27" s="83">
        <f>MRS!H27</f>
        <v>10</v>
      </c>
      <c r="F27" s="84">
        <f>MRS!I27</f>
        <v>15</v>
      </c>
      <c r="G27" s="85">
        <f t="shared" si="2"/>
        <v>150</v>
      </c>
      <c r="H27" s="90"/>
    </row>
    <row r="28" spans="1:8" s="51" customFormat="1" ht="22.5" customHeight="1">
      <c r="A28" s="89">
        <f t="shared" si="0"/>
        <v>23</v>
      </c>
      <c r="B28" s="152" t="str">
        <f>_xlfn.CONCAT(MRS!B28," ",MRS!D28)</f>
        <v xml:space="preserve">ROUND MOP </v>
      </c>
      <c r="C28" s="153"/>
      <c r="D28" s="82" t="str">
        <f>MRS!G28</f>
        <v>EA</v>
      </c>
      <c r="E28" s="83">
        <f>MRS!H28</f>
        <v>5</v>
      </c>
      <c r="F28" s="84">
        <f>MRS!I28</f>
        <v>20</v>
      </c>
      <c r="G28" s="85">
        <f t="shared" si="2"/>
        <v>100</v>
      </c>
      <c r="H28" s="90"/>
    </row>
    <row r="29" spans="1:8" s="51" customFormat="1" ht="22.5" customHeight="1">
      <c r="A29" s="89">
        <f t="shared" si="0"/>
        <v>24</v>
      </c>
      <c r="B29" s="152" t="str">
        <f>_xlfn.CONCAT(MRS!B29," ",MRS!D29)</f>
        <v xml:space="preserve">ELECTRIC KETTLE </v>
      </c>
      <c r="C29" s="153"/>
      <c r="D29" s="82" t="str">
        <f>MRS!G29</f>
        <v>EA</v>
      </c>
      <c r="E29" s="83">
        <f>MRS!H29</f>
        <v>1</v>
      </c>
      <c r="F29" s="84">
        <f>MRS!I29</f>
        <v>58</v>
      </c>
      <c r="G29" s="85">
        <f t="shared" si="2"/>
        <v>58</v>
      </c>
      <c r="H29" s="90"/>
    </row>
    <row r="30" spans="1:8" s="51" customFormat="1" ht="22.5" customHeight="1">
      <c r="A30" s="89">
        <f t="shared" si="0"/>
        <v>25</v>
      </c>
      <c r="B30" s="152" t="str">
        <f>_xlfn.CONCAT(MRS!B30," ",MRS!D30)</f>
        <v>PAPER BASKET SMALL</v>
      </c>
      <c r="C30" s="153"/>
      <c r="D30" s="82" t="str">
        <f>MRS!G30</f>
        <v>EA</v>
      </c>
      <c r="E30" s="83">
        <f>MRS!H30</f>
        <v>1</v>
      </c>
      <c r="F30" s="84">
        <f>MRS!I30</f>
        <v>8</v>
      </c>
      <c r="G30" s="85">
        <f t="shared" si="2"/>
        <v>8</v>
      </c>
      <c r="H30" s="90"/>
    </row>
    <row r="31" spans="1:8" s="51" customFormat="1" ht="22.5" customHeight="1">
      <c r="A31" s="89">
        <f t="shared" si="0"/>
        <v>26</v>
      </c>
      <c r="B31" s="152" t="str">
        <f>_xlfn.CONCAT(MRS!B31," ",MRS!D31)</f>
        <v xml:space="preserve">MOP </v>
      </c>
      <c r="C31" s="153"/>
      <c r="D31" s="82" t="str">
        <f>MRS!G31</f>
        <v>EA</v>
      </c>
      <c r="E31" s="83">
        <f>MRS!H31</f>
        <v>1</v>
      </c>
      <c r="F31" s="84">
        <f>MRS!I31</f>
        <v>20</v>
      </c>
      <c r="G31" s="85">
        <f t="shared" si="2"/>
        <v>20</v>
      </c>
      <c r="H31" s="90"/>
    </row>
    <row r="32" spans="1:8" s="51" customFormat="1" ht="22.5" customHeight="1">
      <c r="A32" s="89">
        <f t="shared" si="0"/>
        <v>27</v>
      </c>
      <c r="B32" s="152" t="str">
        <f>_xlfn.CONCAT(MRS!B32," ",MRS!D32)</f>
        <v>BROOM BRUSH SOFT</v>
      </c>
      <c r="C32" s="153"/>
      <c r="D32" s="82" t="str">
        <f>MRS!G32</f>
        <v>EA</v>
      </c>
      <c r="E32" s="83">
        <f>MRS!H32</f>
        <v>1</v>
      </c>
      <c r="F32" s="84">
        <f>MRS!I32</f>
        <v>15</v>
      </c>
      <c r="G32" s="85">
        <f t="shared" si="2"/>
        <v>15</v>
      </c>
      <c r="H32" s="90"/>
    </row>
    <row r="33" spans="1:13" s="51" customFormat="1" ht="22.5" customHeight="1">
      <c r="A33" s="89">
        <f t="shared" si="0"/>
        <v>28</v>
      </c>
      <c r="B33" s="152" t="str">
        <f>_xlfn.CONCAT(MRS!B33," ",MRS!D33)</f>
        <v>OFFICE TABLE WITH ATTACHED  
DROWER 120*75*70</v>
      </c>
      <c r="C33" s="153"/>
      <c r="D33" s="82" t="str">
        <f>MRS!G33</f>
        <v>EA</v>
      </c>
      <c r="E33" s="83">
        <f>MRS!H33</f>
        <v>4</v>
      </c>
      <c r="F33" s="84">
        <f>MRS!I33</f>
        <v>400</v>
      </c>
      <c r="G33" s="85">
        <f t="shared" si="2"/>
        <v>1600</v>
      </c>
      <c r="H33" s="90"/>
    </row>
    <row r="34" spans="1:13" s="51" customFormat="1" ht="22.5" customHeight="1">
      <c r="A34" s="89">
        <f t="shared" si="0"/>
        <v>29</v>
      </c>
      <c r="B34" s="152" t="str">
        <f>_xlfn.CONCAT(MRS!B34," ",MRS!D34)</f>
        <v>OFFICE CHAIR NECKLESS</v>
      </c>
      <c r="C34" s="153"/>
      <c r="D34" s="82" t="str">
        <f>MRS!G34</f>
        <v>EA</v>
      </c>
      <c r="E34" s="83">
        <f>MRS!H34</f>
        <v>6</v>
      </c>
      <c r="F34" s="84">
        <f>MRS!I34</f>
        <v>156</v>
      </c>
      <c r="G34" s="85">
        <f t="shared" si="2"/>
        <v>936</v>
      </c>
      <c r="H34" s="90"/>
    </row>
    <row r="35" spans="1:13" s="51" customFormat="1" ht="22.5" customHeight="1">
      <c r="A35" s="89">
        <f t="shared" si="0"/>
        <v>30</v>
      </c>
      <c r="B35" s="152" t="str">
        <f>_xlfn.CONCAT(MRS!B35," ",MRS!D35)</f>
        <v>NESCAFE CLASSIC 12*190GM</v>
      </c>
      <c r="C35" s="153"/>
      <c r="D35" s="82" t="str">
        <f>MRS!G35</f>
        <v>EA</v>
      </c>
      <c r="E35" s="83">
        <f>MRS!H35</f>
        <v>12</v>
      </c>
      <c r="F35" s="84">
        <f>MRS!I35</f>
        <v>21</v>
      </c>
      <c r="G35" s="85">
        <f t="shared" si="2"/>
        <v>252</v>
      </c>
      <c r="H35" s="90"/>
    </row>
    <row r="36" spans="1:13" s="51" customFormat="1" ht="22.5" customHeight="1">
      <c r="A36" s="89">
        <f t="shared" si="0"/>
        <v>31</v>
      </c>
      <c r="B36" s="152" t="str">
        <f>_xlfn.CONCAT(MRS!B36," ",MRS!D36)</f>
        <v>EXTENSION CORD LEGRAND,5WAY 3MTR</v>
      </c>
      <c r="C36" s="153"/>
      <c r="D36" s="82" t="str">
        <f>MRS!G36</f>
        <v>EA</v>
      </c>
      <c r="E36" s="83">
        <f>MRS!H36</f>
        <v>10</v>
      </c>
      <c r="F36" s="84">
        <f>MRS!I36</f>
        <v>80</v>
      </c>
      <c r="G36" s="85">
        <f t="shared" si="2"/>
        <v>800</v>
      </c>
      <c r="H36" s="90"/>
    </row>
    <row r="37" spans="1:13" s="51" customFormat="1" ht="22.5" customHeight="1">
      <c r="A37" s="89">
        <f t="shared" si="0"/>
        <v>32</v>
      </c>
      <c r="B37" s="152" t="str">
        <f>_xlfn.CONCAT(MRS!B37," ",MRS!D37)</f>
        <v>BALL PEN BLUE FLAIR,50PCS*1PKT</v>
      </c>
      <c r="C37" s="153"/>
      <c r="D37" s="82" t="str">
        <f>MRS!G37</f>
        <v>PKT</v>
      </c>
      <c r="E37" s="83">
        <f>MRS!H37</f>
        <v>10</v>
      </c>
      <c r="F37" s="84">
        <f>MRS!I37</f>
        <v>28</v>
      </c>
      <c r="G37" s="85">
        <f t="shared" si="2"/>
        <v>280</v>
      </c>
      <c r="H37" s="90"/>
    </row>
    <row r="38" spans="1:13" s="51" customFormat="1" ht="22.5" customHeight="1">
      <c r="A38" s="89">
        <f t="shared" si="0"/>
        <v>33</v>
      </c>
      <c r="B38" s="152" t="str">
        <f>_xlfn.CONCAT(MRS!B38," ",MRS!D38)</f>
        <v xml:space="preserve">FANTASTICK NOTE </v>
      </c>
      <c r="C38" s="153"/>
      <c r="D38" s="82" t="str">
        <f>MRS!G38</f>
        <v>PKT</v>
      </c>
      <c r="E38" s="83">
        <f>MRS!H38</f>
        <v>5</v>
      </c>
      <c r="F38" s="84">
        <f>MRS!I38</f>
        <v>10</v>
      </c>
      <c r="G38" s="85">
        <f t="shared" si="2"/>
        <v>50</v>
      </c>
      <c r="H38" s="90"/>
    </row>
    <row r="39" spans="1:13" s="51" customFormat="1" ht="22.5" customHeight="1">
      <c r="A39" s="89">
        <f t="shared" si="0"/>
        <v>34</v>
      </c>
      <c r="B39" s="152" t="str">
        <f>_xlfn.CONCAT(MRS!B39," ",MRS!D39)</f>
        <v>TP LINK WIRELESS ROUTER 2 ANTINA</v>
      </c>
      <c r="C39" s="153"/>
      <c r="D39" s="82" t="str">
        <f>MRS!G39</f>
        <v>EA</v>
      </c>
      <c r="E39" s="83">
        <f>MRS!H39</f>
        <v>1</v>
      </c>
      <c r="F39" s="84">
        <f>MRS!I39</f>
        <v>106</v>
      </c>
      <c r="G39" s="85">
        <f t="shared" si="2"/>
        <v>106</v>
      </c>
      <c r="H39" s="90"/>
    </row>
    <row r="40" spans="1:13" s="51" customFormat="1" ht="22.5" customHeight="1">
      <c r="A40" s="89">
        <f t="shared" si="0"/>
        <v>35</v>
      </c>
      <c r="B40" s="152" t="str">
        <f>_xlfn.CONCAT(MRS!B40," ",MRS!D40)</f>
        <v>BOX FILE 2INCH 1*30</v>
      </c>
      <c r="C40" s="153"/>
      <c r="D40" s="82" t="str">
        <f>MRS!G40</f>
        <v>BOX</v>
      </c>
      <c r="E40" s="83">
        <f>MRS!H40</f>
        <v>2</v>
      </c>
      <c r="F40" s="84">
        <f>MRS!I40</f>
        <v>150</v>
      </c>
      <c r="G40" s="85">
        <f t="shared" si="2"/>
        <v>300</v>
      </c>
      <c r="H40" s="90"/>
    </row>
    <row r="41" spans="1:13" s="51" customFormat="1" ht="23.1" customHeight="1">
      <c r="A41" s="168" t="s">
        <v>86</v>
      </c>
      <c r="B41" s="169"/>
      <c r="C41" s="169"/>
      <c r="D41" s="169"/>
      <c r="E41" s="169"/>
      <c r="F41" s="169"/>
      <c r="G41" s="54">
        <f>SUM(G6:G40)</f>
        <v>59595.6</v>
      </c>
      <c r="H41" s="55"/>
    </row>
    <row r="42" spans="1:13" s="51" customFormat="1" ht="23.1" customHeight="1">
      <c r="A42" s="168" t="s">
        <v>50</v>
      </c>
      <c r="B42" s="169"/>
      <c r="C42" s="169"/>
      <c r="D42" s="169"/>
      <c r="E42" s="169"/>
      <c r="F42" s="169"/>
      <c r="G42" s="54">
        <f>+G41*0.15</f>
        <v>8939.34</v>
      </c>
      <c r="H42" s="55"/>
    </row>
    <row r="43" spans="1:13" s="51" customFormat="1" ht="24.95" customHeight="1" thickBot="1">
      <c r="A43" s="170" t="s">
        <v>87</v>
      </c>
      <c r="B43" s="171"/>
      <c r="C43" s="171"/>
      <c r="D43" s="171"/>
      <c r="E43" s="171"/>
      <c r="F43" s="171"/>
      <c r="G43" s="56">
        <f>G42+G41</f>
        <v>68534.94</v>
      </c>
      <c r="H43" s="57"/>
    </row>
    <row r="44" spans="1:13" ht="15.75" thickTop="1">
      <c r="A44" s="58" t="str">
        <f>" 1) Above Price are as per your quotation with ref "&amp;'PO 1st page'!K14</f>
        <v xml:space="preserve"> 1) Above Price are as per your quotation with ref QUO-MAT-26031014</v>
      </c>
      <c r="B44" s="59"/>
      <c r="C44" s="59"/>
      <c r="D44" s="60"/>
      <c r="E44" s="60"/>
      <c r="F44" s="60"/>
      <c r="G44" s="60"/>
      <c r="H44" s="60"/>
    </row>
    <row r="45" spans="1:13" ht="15">
      <c r="A45" s="61" t="s">
        <v>88</v>
      </c>
      <c r="B45" s="62"/>
      <c r="C45" s="62"/>
      <c r="D45" s="63"/>
      <c r="E45" s="63"/>
      <c r="F45" s="63"/>
      <c r="G45" s="63"/>
      <c r="H45" s="63"/>
      <c r="I45" s="64"/>
    </row>
    <row r="46" spans="1:13" ht="15.75">
      <c r="A46" s="65"/>
    </row>
    <row r="47" spans="1:13">
      <c r="A47" s="143" t="s">
        <v>89</v>
      </c>
      <c r="B47" s="143"/>
      <c r="C47" s="143"/>
      <c r="D47" s="143"/>
      <c r="E47" s="143"/>
      <c r="F47" s="143"/>
      <c r="G47" s="143"/>
      <c r="H47" s="143"/>
      <c r="I47" s="66"/>
      <c r="J47" s="66"/>
      <c r="K47" s="66"/>
      <c r="L47" s="66"/>
      <c r="M47" s="66"/>
    </row>
    <row r="48" spans="1:13" ht="15.75">
      <c r="A48" s="65"/>
      <c r="C48" s="67"/>
    </row>
    <row r="49" spans="1:3" ht="15.75">
      <c r="A49" s="65"/>
      <c r="C49" s="67"/>
    </row>
    <row r="51" spans="1:3" ht="12" customHeight="1"/>
  </sheetData>
  <mergeCells count="47">
    <mergeCell ref="A41:F41"/>
    <mergeCell ref="A42:F42"/>
    <mergeCell ref="A43:F43"/>
    <mergeCell ref="A47:H47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25:C25"/>
    <mergeCell ref="B29:C29"/>
    <mergeCell ref="B30:C30"/>
    <mergeCell ref="B11:C11"/>
    <mergeCell ref="B12:C12"/>
    <mergeCell ref="B26:C26"/>
    <mergeCell ref="B27:C27"/>
    <mergeCell ref="B28:C2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2026-03-14T03:01:11Z</cp:lastPrinted>
  <dcterms:created xsi:type="dcterms:W3CDTF">2024-10-20T11:50:19Z</dcterms:created>
  <dcterms:modified xsi:type="dcterms:W3CDTF">2026-03-14T03:01:17Z</dcterms:modified>
</cp:coreProperties>
</file>