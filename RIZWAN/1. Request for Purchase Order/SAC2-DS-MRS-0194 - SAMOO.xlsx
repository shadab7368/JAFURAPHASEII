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74EA797D-F0A5-44BF-8E9D-8D1252F3D6B2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4" l="1"/>
  <c r="F10" i="4"/>
  <c r="E10" i="4"/>
  <c r="D10" i="4"/>
  <c r="B10" i="4"/>
  <c r="G9" i="4"/>
  <c r="F9" i="4"/>
  <c r="E9" i="4"/>
  <c r="D9" i="4"/>
  <c r="B9" i="4"/>
  <c r="G8" i="4"/>
  <c r="F8" i="4"/>
  <c r="E8" i="4"/>
  <c r="D8" i="4"/>
  <c r="B8" i="4"/>
  <c r="G7" i="4"/>
  <c r="F7" i="4"/>
  <c r="E7" i="4"/>
  <c r="D7" i="4"/>
  <c r="B7" i="4"/>
  <c r="J10" i="1"/>
  <c r="J8" i="1"/>
  <c r="J8" i="2" s="1"/>
  <c r="J7" i="1"/>
  <c r="F30" i="3"/>
  <c r="F31" i="3" s="1"/>
  <c r="B6" i="4"/>
  <c r="J9" i="1"/>
  <c r="J9" i="2" s="1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<sst xmlns="http://schemas.openxmlformats.org/spreadsheetml/2006/main" count="163" uniqueCount="134">
  <si>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</si>
  <si>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</si>
  <si>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</si>
  <si>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</si>
  <si>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</si>
  <si>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</si>
  <si>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</si>
  <si>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</si>
  <si>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</si>
  <si>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</si>
  <si>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</si>
  <si>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</si>
  <si>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</si>
  <si>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</si>
  <si>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</si>
  <si>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</si>
  <si>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</si>
  <si>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</si>
  <si>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</si>
  <si>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</si>
  <si>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</si>
  <si>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</si>
  <si>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</si>
  <si>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</si>
  <si>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</si>
  <si>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</si>
  <si>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</si>
  <si>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</si>
  <si>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</si>
  <si>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</si>
  <si>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</si>
  <si>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</si>
  <si>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</si>
  <si>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</si>
  <si>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</si>
  <si>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</si>
  <si>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</si>
  <si>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</si>
  <si>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</si>
  <si>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</si>
  <si>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</si>
  <si>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</si>
  <si>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</si>
  <si>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</si>
  <si>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</si>
  <si>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</si>
  <si>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</si>
  <si>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</si>
  <si>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</si>
  <si>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</si>
  <si>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</si>
  <si>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</si>
  <si>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</si>
  <si>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</si>
  <si>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</si>
  <si>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</si>
  <si>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</si>
  <si>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</si>
  <si>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</si>
  <si>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</si>
  <si>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</si>
  <si>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</si>
  <si>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</si>
  <si>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</si>
  <si>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</si>
  <si>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</si>
  <si>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</si>
  <si>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</si>
  <si>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</si>
  <si>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</si>
  <si>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</si>
  <si>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</si>
  <si>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</si>
  <si>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</si>
  <si>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</si>
  <si>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</si>
  <si>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</si>
  <si>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</si>
  <si>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</si>
  <si>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</si>
  <si>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</si>
  <si>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</si>
  <si>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</si>
  <si>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</si>
  <si>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</si>
  <si>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</si>
  <si>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</si>
  <si>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</si>
  <si>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</si>
  <si>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</si>
  <si>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</si>
  <si>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</si>
  <si>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</si>
  <si>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</si>
  <si>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</si>
  <si>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</si>
  <si>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</si>
  <si>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</si>
  <si>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</si>
  <si>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</si>
  <si>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</si>
  <si>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</si>
  <si>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</si>
  <si>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</si>
  <si>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</si>
  <si>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</si>
  <si>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</si>
  <si>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</si>
  <si>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</si>
  <si>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</si>
  <si>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</si>
  <si>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</si>
  <si>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</si>
  <si>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</si>
  <si>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</si>
  <si>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</si>
  <si>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</si>
  <si>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</si>
  <si>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</si>
  <si>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</si>
  <si>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</si>
  <si>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SA4710000001400010547706</t>
  </si>
  <si>
    <t>SAUDI NATIONAL BANK</t>
  </si>
  <si>
    <t>NCBKSAJE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</si>
  <si>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-MRS-0194</t>
    </r>
  </si>
  <si>
    <t>Third Party Inspection for Web Sling</t>
  </si>
  <si>
    <t>Pcs</t>
  </si>
  <si>
    <t>Third Party Inspection for Bow Shackle</t>
  </si>
  <si>
    <t>Third Party Inspection for Lever Block</t>
  </si>
  <si>
    <t>Third Party Inspection for Chain Block</t>
  </si>
  <si>
    <t>Third Party Inspection for Pipe Stand</t>
  </si>
  <si>
    <t>SAMOO-DAESHIN-MT-21-2025</t>
  </si>
  <si>
    <t>Third Party Inspection for Web Sling, Bow Shackle,</t>
  </si>
  <si>
    <t xml:space="preserve"> Lever Block, Chain Block, Pipe Stand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</si>
</sst>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7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6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28" fillId="3" borderId="0" xfId="5" applyFont="1" applyFill="1" applyAlignment="1">
      <alignment horizontal="right" vertical="center" indent="1"/>
    </xf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1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I11" sqref="I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4" t="s">
        <v>99</v>
      </c>
      <c r="B1" s="110"/>
      <c r="C1" s="110"/>
      <c r="D1" s="110"/>
      <c r="E1" s="110"/>
      <c r="F1" s="110"/>
      <c r="G1" s="1"/>
      <c r="J1" s="127" t="s">
        <v>89</v>
      </c>
      <c r="K1" s="128"/>
      <c r="L1" s="129"/>
    </row>
    <row r="2" spans="1:18" ht="20.100000000000001" customHeight="1">
      <c r="A2" s="3" t="s">
        <v>1</v>
      </c>
      <c r="B2" s="101"/>
      <c r="C2" s="101"/>
      <c r="D2" s="3" t="s">
        <v>100</v>
      </c>
      <c r="E2" s="101"/>
      <c r="F2" s="101"/>
      <c r="G2" s="101"/>
      <c r="H2" s="101"/>
      <c r="I2" s="4"/>
      <c r="J2" s="143" t="s">
        <v>101</v>
      </c>
      <c r="K2" s="144"/>
      <c r="L2" s="145"/>
    </row>
    <row r="3" spans="1:18" ht="20.100000000000001" customHeight="1">
      <c r="A3" s="3" t="s">
        <v>124</v>
      </c>
      <c r="B3" s="101"/>
      <c r="C3" s="101"/>
      <c r="D3" s="101"/>
      <c r="E3" s="130">
        <f>+L3</f>
        <v>46019</v>
      </c>
      <c r="F3" s="130"/>
      <c r="G3" s="130"/>
      <c r="H3" s="130"/>
      <c r="I3" s="130"/>
      <c r="J3" s="101"/>
      <c r="K3" s="101"/>
      <c r="L3" s="122">
        <v>46019</v>
      </c>
      <c r="M3" s="4"/>
    </row>
    <row r="4" spans="1:18" ht="15.95" customHeight="1">
      <c r="A4" s="131" t="s">
        <v>2</v>
      </c>
      <c r="B4" s="132" t="s">
        <v>3</v>
      </c>
      <c r="C4" s="132"/>
      <c r="D4" s="133" t="s">
        <v>4</v>
      </c>
      <c r="E4" s="134"/>
      <c r="F4" s="135"/>
      <c r="G4" s="139" t="s">
        <v>5</v>
      </c>
      <c r="H4" s="141" t="s">
        <v>6</v>
      </c>
      <c r="I4" s="141" t="s">
        <v>93</v>
      </c>
      <c r="J4" s="131" t="s">
        <v>94</v>
      </c>
      <c r="K4" s="141" t="s">
        <v>0</v>
      </c>
      <c r="L4" s="132" t="s">
        <v>7</v>
      </c>
    </row>
    <row r="5" spans="1:18" ht="15.95" customHeight="1">
      <c r="A5" s="131"/>
      <c r="B5" s="132"/>
      <c r="C5" s="132"/>
      <c r="D5" s="136"/>
      <c r="E5" s="137"/>
      <c r="F5" s="138"/>
      <c r="G5" s="140"/>
      <c r="H5" s="142"/>
      <c r="I5" s="142"/>
      <c r="J5" s="131"/>
      <c r="K5" s="142"/>
      <c r="L5" s="132"/>
    </row>
    <row r="6" spans="1:18" ht="22.5" customHeight="1">
      <c r="A6" s="5">
        <f t="shared" ref="A6:A15" si="0">ROW(A1)</f>
        <v>1</v>
      </c>
      <c r="B6" s="146" t="s">
        <v>125</v>
      </c>
      <c r="C6" s="147"/>
      <c r="D6" s="148"/>
      <c r="E6" s="149"/>
      <c r="F6" s="150"/>
      <c r="G6" s="111" t="s">
        <v>126</v>
      </c>
      <c r="H6" s="112">
        <v>72</v>
      </c>
      <c r="I6" s="113">
        <v>38</v>
      </c>
      <c r="J6" s="113">
        <f>H6*I6</f>
        <v>2736</v>
      </c>
      <c r="K6" s="114" t="s">
        <v>103</v>
      </c>
      <c r="L6" s="115" t="s">
        <v>109</v>
      </c>
      <c r="R6" s="106"/>
    </row>
    <row r="7" spans="1:18" ht="22.5" customHeight="1">
      <c r="A7" s="5">
        <f t="shared" si="0"/>
        <v>2</v>
      </c>
      <c r="B7" s="146" t="s">
        <v>127</v>
      </c>
      <c r="C7" s="147"/>
      <c r="D7" s="151"/>
      <c r="E7" s="149"/>
      <c r="F7" s="150"/>
      <c r="G7" s="111" t="s">
        <v>126</v>
      </c>
      <c r="H7" s="112">
        <v>12</v>
      </c>
      <c r="I7" s="113">
        <v>38</v>
      </c>
      <c r="J7" s="113">
        <f>H7*I7</f>
        <v>456</v>
      </c>
      <c r="K7" s="114"/>
      <c r="L7" s="115"/>
      <c r="R7" s="106"/>
    </row>
    <row r="8" spans="1:18" ht="22.5" customHeight="1">
      <c r="A8" s="5">
        <f t="shared" si="0"/>
        <v>3</v>
      </c>
      <c r="B8" s="146" t="s">
        <v>128</v>
      </c>
      <c r="C8" s="147"/>
      <c r="D8" s="148"/>
      <c r="E8" s="149"/>
      <c r="F8" s="150"/>
      <c r="G8" s="111" t="s">
        <v>126</v>
      </c>
      <c r="H8" s="112">
        <v>20</v>
      </c>
      <c r="I8" s="113">
        <v>55</v>
      </c>
      <c r="J8" s="113">
        <f>H8*I8</f>
        <v>1100</v>
      </c>
      <c r="K8" s="114"/>
      <c r="L8" s="115"/>
      <c r="R8" s="106"/>
    </row>
    <row r="9" spans="1:18" ht="22.5" customHeight="1">
      <c r="A9" s="5">
        <f t="shared" si="0"/>
        <v>4</v>
      </c>
      <c r="B9" s="146" t="s">
        <v>129</v>
      </c>
      <c r="C9" s="147"/>
      <c r="D9" s="148"/>
      <c r="E9" s="149"/>
      <c r="F9" s="150"/>
      <c r="G9" s="111" t="s">
        <v>126</v>
      </c>
      <c r="H9" s="112">
        <v>30</v>
      </c>
      <c r="I9" s="113">
        <v>50</v>
      </c>
      <c r="J9" s="113">
        <f t="shared" ref="J9:J10" si="1">H9*I9</f>
        <v>1500</v>
      </c>
      <c r="K9" s="114"/>
      <c r="L9" s="115"/>
      <c r="R9" s="106"/>
    </row>
    <row r="10" spans="1:18" ht="22.5" customHeight="1">
      <c r="A10" s="5">
        <f t="shared" si="0"/>
        <v>5</v>
      </c>
      <c r="B10" s="146" t="s">
        <v>130</v>
      </c>
      <c r="C10" s="147"/>
      <c r="D10" s="153"/>
      <c r="E10" s="153"/>
      <c r="F10" s="153"/>
      <c r="G10" s="111" t="s">
        <v>126</v>
      </c>
      <c r="H10" s="112">
        <v>20</v>
      </c>
      <c r="I10" s="116">
        <v>335</v>
      </c>
      <c r="J10" s="113">
        <f t="shared" si="1"/>
        <v>6700</v>
      </c>
      <c r="K10" s="114"/>
      <c r="L10" s="111"/>
      <c r="R10" s="106"/>
    </row>
    <row r="11" spans="1:18" ht="22.5" customHeight="1">
      <c r="A11" s="5">
        <f t="shared" si="0"/>
        <v>6</v>
      </c>
      <c r="B11" s="146"/>
      <c r="C11" s="147"/>
      <c r="D11" s="148"/>
      <c r="E11" s="149"/>
      <c r="F11" s="150"/>
      <c r="G11" s="111"/>
      <c r="H11" s="112"/>
      <c r="I11" s="113"/>
      <c r="J11" s="113"/>
      <c r="K11" s="114"/>
      <c r="L11" s="115"/>
      <c r="R11" s="106"/>
    </row>
    <row r="12" spans="1:18" ht="22.5" customHeight="1">
      <c r="A12" s="5">
        <f t="shared" si="0"/>
        <v>7</v>
      </c>
      <c r="B12" s="152"/>
      <c r="C12" s="152"/>
      <c r="D12" s="153"/>
      <c r="E12" s="153"/>
      <c r="F12" s="153"/>
      <c r="G12" s="111"/>
      <c r="H12" s="112"/>
      <c r="I12" s="116"/>
      <c r="J12" s="113"/>
      <c r="K12" s="114"/>
      <c r="L12" s="111"/>
      <c r="R12" s="106"/>
    </row>
    <row r="13" spans="1:18" ht="22.5" customHeight="1">
      <c r="A13" s="5">
        <f t="shared" si="0"/>
        <v>8</v>
      </c>
      <c r="B13" s="146"/>
      <c r="C13" s="147"/>
      <c r="D13" s="148"/>
      <c r="E13" s="149"/>
      <c r="F13" s="150"/>
      <c r="G13" s="111"/>
      <c r="H13" s="112"/>
      <c r="I13" s="113"/>
      <c r="J13" s="113"/>
      <c r="K13" s="114"/>
      <c r="L13" s="115"/>
      <c r="R13" s="106"/>
    </row>
    <row r="14" spans="1:18" ht="22.5" customHeight="1">
      <c r="A14" s="5">
        <f t="shared" si="0"/>
        <v>9</v>
      </c>
      <c r="B14" s="146"/>
      <c r="C14" s="147"/>
      <c r="D14" s="148"/>
      <c r="E14" s="149"/>
      <c r="F14" s="150"/>
      <c r="G14" s="111"/>
      <c r="H14" s="112"/>
      <c r="I14" s="113"/>
      <c r="J14" s="113"/>
      <c r="K14" s="114"/>
      <c r="L14" s="115"/>
      <c r="R14" s="106"/>
    </row>
    <row r="15" spans="1:18" ht="22.5" customHeight="1">
      <c r="A15" s="5">
        <f t="shared" si="0"/>
        <v>10</v>
      </c>
      <c r="B15" s="146"/>
      <c r="C15" s="147"/>
      <c r="D15" s="148"/>
      <c r="E15" s="149"/>
      <c r="F15" s="150"/>
      <c r="G15" s="111"/>
      <c r="H15" s="112"/>
      <c r="I15" s="113"/>
      <c r="J15" s="113"/>
      <c r="K15" s="114"/>
      <c r="L15" s="115"/>
      <c r="R15" s="106"/>
    </row>
    <row r="16" spans="1:18" ht="22.5" customHeight="1">
      <c r="A16" s="154" t="s">
        <v>8</v>
      </c>
      <c r="B16" s="155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12492</v>
      </c>
      <c r="K16" s="113"/>
      <c r="L16" s="121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6" t="s">
        <v>11</v>
      </c>
      <c r="S18" s="13" t="s">
        <v>12</v>
      </c>
    </row>
    <row r="19" spans="1:19" ht="50.1" customHeight="1">
      <c r="R19" s="157"/>
      <c r="S19" s="15"/>
    </row>
    <row r="20" spans="1:19" ht="17.100000000000001" customHeight="1">
      <c r="O20" s="11"/>
      <c r="P20" s="11"/>
      <c r="R20" s="158"/>
      <c r="S20" s="15" t="s">
        <v>13</v>
      </c>
    </row>
    <row r="21" spans="1:19" ht="15" customHeight="1">
      <c r="O21" s="17" t="s">
        <v>14</v>
      </c>
      <c r="P21" s="159" t="s">
        <v>15</v>
      </c>
    </row>
    <row r="22" spans="1:19" ht="18" customHeight="1">
      <c r="O22" s="18" t="s">
        <v>16</v>
      </c>
      <c r="P22" s="160"/>
      <c r="R22" s="156" t="s">
        <v>17</v>
      </c>
      <c r="S22" s="12" t="s">
        <v>12</v>
      </c>
    </row>
    <row r="23" spans="1:19" ht="50.1" customHeight="1">
      <c r="O23" s="14"/>
      <c r="P23" s="14"/>
      <c r="R23" s="157"/>
      <c r="S23" s="19"/>
    </row>
    <row r="24" spans="1:19" ht="17.100000000000001" customHeight="1">
      <c r="O24" s="16" t="s">
        <v>13</v>
      </c>
      <c r="P24" s="16" t="s">
        <v>13</v>
      </c>
      <c r="R24" s="158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61"/>
      <c r="P27" s="161"/>
    </row>
    <row r="28" spans="1:19" ht="19.899999999999999" customHeight="1">
      <c r="O28" s="161"/>
      <c r="P28" s="161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9" t="s">
        <v>18</v>
      </c>
      <c r="P46" s="159" t="s">
        <v>18</v>
      </c>
      <c r="S46" s="159" t="s">
        <v>12</v>
      </c>
    </row>
    <row r="47" spans="15:19" ht="21" customHeight="1">
      <c r="O47" s="160"/>
      <c r="P47" s="160"/>
      <c r="S47" s="158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9" t="s">
        <v>18</v>
      </c>
      <c r="P50" s="159" t="s">
        <v>18</v>
      </c>
      <c r="S50" s="159" t="s">
        <v>19</v>
      </c>
    </row>
    <row r="51" spans="15:19" ht="21" customHeight="1">
      <c r="O51" s="160"/>
      <c r="P51" s="160"/>
      <c r="S51" s="158"/>
    </row>
    <row r="52" spans="15:19" ht="64.900000000000006" customHeight="1">
      <c r="O52" s="14"/>
      <c r="P52" s="14"/>
      <c r="S52" s="14"/>
    </row>
  </sheetData>
  <mergeCells count="44">
    <mergeCell ref="O50:O51"/>
    <mergeCell ref="P50:P51"/>
    <mergeCell ref="S50:S51"/>
    <mergeCell ref="O27:O28"/>
    <mergeCell ref="P27:P28"/>
    <mergeCell ref="O46:O47"/>
    <mergeCell ref="P46:P47"/>
    <mergeCell ref="S46:S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95</v>
      </c>
      <c r="B1" s="100"/>
      <c r="C1" s="100"/>
      <c r="D1" s="100"/>
      <c r="E1" s="100"/>
      <c r="F1" s="100"/>
      <c r="G1" s="1"/>
      <c r="J1" s="127" t="str">
        <f>+MRS!J1</f>
        <v>DAESHIN PLANT</v>
      </c>
      <c r="K1" s="129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43" t="str">
        <f>+MRS!J2</f>
        <v>Subcontract name (SAC2-SC-IK-SMP-01)</v>
      </c>
      <c r="K2" s="145"/>
    </row>
    <row r="3" spans="1:18" ht="24.95" customHeight="1">
      <c r="A3" s="3" t="str">
        <f>+MRS!A3</f>
        <v xml:space="preserve">  MRS No : SAC2-DS-MRS-0194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46019</v>
      </c>
    </row>
    <row r="4" spans="1:18" ht="15.95" customHeight="1">
      <c r="A4" s="162" t="s">
        <v>2</v>
      </c>
      <c r="B4" s="163" t="s">
        <v>20</v>
      </c>
      <c r="C4" s="163"/>
      <c r="D4" s="162" t="s">
        <v>4</v>
      </c>
      <c r="E4" s="162"/>
      <c r="F4" s="162"/>
      <c r="G4" s="163" t="s">
        <v>5</v>
      </c>
      <c r="H4" s="162" t="s">
        <v>90</v>
      </c>
      <c r="I4" s="162" t="s">
        <v>21</v>
      </c>
      <c r="J4" s="162" t="s">
        <v>22</v>
      </c>
      <c r="K4" s="163" t="s">
        <v>7</v>
      </c>
    </row>
    <row r="5" spans="1:18" ht="15.95" customHeight="1">
      <c r="A5" s="162"/>
      <c r="B5" s="163"/>
      <c r="C5" s="163"/>
      <c r="D5" s="162"/>
      <c r="E5" s="162"/>
      <c r="F5" s="162"/>
      <c r="G5" s="163"/>
      <c r="H5" s="162"/>
      <c r="I5" s="162"/>
      <c r="J5" s="162"/>
      <c r="K5" s="163"/>
    </row>
    <row r="6" spans="1:18" ht="105" customHeight="1">
      <c r="A6" s="21">
        <f>+MRS!A6</f>
        <v>1</v>
      </c>
      <c r="B6" s="164" t="str">
        <f>MRS!B6</f>
        <v>Third Party Inspection for Web Sling</v>
      </c>
      <c r="C6" s="165"/>
      <c r="D6" s="166">
        <f>MRS!D6</f>
        <v>0</v>
      </c>
      <c r="E6" s="167"/>
      <c r="F6" s="168"/>
      <c r="G6" s="103" t="str">
        <f>MRS!G6</f>
        <v>Pcs</v>
      </c>
      <c r="H6" s="103">
        <f>MRS!H6</f>
        <v>72</v>
      </c>
      <c r="I6" s="104">
        <f>MRS!I6</f>
        <v>38</v>
      </c>
      <c r="J6" s="104">
        <f>MRS!J6</f>
        <v>2736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4" t="str">
        <f>MRS!B7</f>
        <v>Third Party Inspection for Bow Shackle</v>
      </c>
      <c r="C7" s="165"/>
      <c r="D7" s="166">
        <f>MRS!D7</f>
        <v>0</v>
      </c>
      <c r="E7" s="167"/>
      <c r="F7" s="168"/>
      <c r="G7" s="103" t="str">
        <f>MRS!G7</f>
        <v>Pcs</v>
      </c>
      <c r="H7" s="103">
        <f>MRS!H7</f>
        <v>12</v>
      </c>
      <c r="I7" s="104">
        <f>MRS!I7</f>
        <v>38</v>
      </c>
      <c r="J7" s="104">
        <f>MRS!J7</f>
        <v>456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4" t="str">
        <f>MRS!B8</f>
        <v>Third Party Inspection for Lever Block</v>
      </c>
      <c r="C8" s="165"/>
      <c r="D8" s="166">
        <f>MRS!D8</f>
        <v>0</v>
      </c>
      <c r="E8" s="167"/>
      <c r="F8" s="168"/>
      <c r="G8" s="103" t="str">
        <f>MRS!G8</f>
        <v>Pcs</v>
      </c>
      <c r="H8" s="103">
        <f>MRS!H8</f>
        <v>20</v>
      </c>
      <c r="I8" s="104">
        <f>MRS!I8</f>
        <v>55</v>
      </c>
      <c r="J8" s="104">
        <f>MRS!J8</f>
        <v>1100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4" t="str">
        <f>MRS!B9</f>
        <v>Third Party Inspection for Chain Block</v>
      </c>
      <c r="C9" s="165"/>
      <c r="D9" s="166">
        <f>MRS!D9</f>
        <v>0</v>
      </c>
      <c r="E9" s="167"/>
      <c r="F9" s="168"/>
      <c r="G9" s="103" t="str">
        <f>MRS!G9</f>
        <v>Pcs</v>
      </c>
      <c r="H9" s="103">
        <f>MRS!H9</f>
        <v>30</v>
      </c>
      <c r="I9" s="104">
        <f>MRS!I9</f>
        <v>50</v>
      </c>
      <c r="J9" s="104">
        <f>MRS!J9</f>
        <v>1500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4" t="str">
        <f>MRS!B10</f>
        <v>Third Party Inspection for Pipe Stand</v>
      </c>
      <c r="C10" s="165"/>
      <c r="D10" s="166">
        <f>MRS!D10</f>
        <v>0</v>
      </c>
      <c r="E10" s="167"/>
      <c r="F10" s="168"/>
      <c r="G10" s="103" t="str">
        <f>MRS!G10</f>
        <v>Pcs</v>
      </c>
      <c r="H10" s="103">
        <f>MRS!H10</f>
        <v>20</v>
      </c>
      <c r="I10" s="104">
        <f>MRS!I10</f>
        <v>335</v>
      </c>
      <c r="J10" s="104">
        <f>MRS!J10</f>
        <v>6700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9"/>
      <c r="C12" s="170"/>
      <c r="D12" s="171"/>
      <c r="E12" s="172"/>
      <c r="F12" s="173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9"/>
      <c r="C13" s="170"/>
      <c r="D13" s="171"/>
      <c r="E13" s="172"/>
      <c r="F13" s="173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9"/>
      <c r="C14" s="170"/>
      <c r="D14" s="171"/>
      <c r="E14" s="172"/>
      <c r="F14" s="173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9"/>
      <c r="C15" s="170"/>
      <c r="D15" s="171"/>
      <c r="E15" s="172"/>
      <c r="F15" s="173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9"/>
      <c r="C16" s="170"/>
      <c r="D16" s="171"/>
      <c r="E16" s="172"/>
      <c r="F16" s="173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9"/>
      <c r="C17" s="170"/>
      <c r="D17" s="171"/>
      <c r="E17" s="172"/>
      <c r="F17" s="173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view="pageBreakPreview" zoomScale="130" zoomScaleNormal="100" zoomScaleSheetLayoutView="130" workbookViewId="0">
      <selection activeCell="F30" sqref="F30:G30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5">
        <f>MRS!L3</f>
        <v>46019</v>
      </c>
      <c r="L10" s="176"/>
      <c r="M10" s="176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7" t="str">
        <f>SUBSTITUTE(SUBSTITUTE(+MRS!A3,"  MRS No : ",""),"-MRS","-PO")</f>
        <v>SAC2-DS-PO-0194</v>
      </c>
      <c r="L11" s="177"/>
      <c r="M11" s="177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131</v>
      </c>
    </row>
    <row r="15" spans="2:13" s="39" customFormat="1">
      <c r="B15" s="72"/>
      <c r="C15" s="77" t="s">
        <v>98</v>
      </c>
      <c r="J15" s="39" t="s">
        <v>38</v>
      </c>
      <c r="K15" s="78">
        <v>46012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8" t="s">
        <v>39</v>
      </c>
      <c r="C18" s="178"/>
      <c r="D18" s="178"/>
      <c r="E18" s="178"/>
      <c r="F18" s="178"/>
      <c r="G18" s="178"/>
      <c r="H18" s="178"/>
      <c r="I18" s="178"/>
      <c r="J18" s="178"/>
      <c r="K18" s="178"/>
      <c r="L18" s="178"/>
      <c r="M18" s="178"/>
    </row>
    <row r="19" spans="2:13" ht="12" customHeight="1"/>
    <row r="20" spans="2:13" s="31" customFormat="1" ht="12" customHeight="1">
      <c r="B20" s="179" t="s">
        <v>40</v>
      </c>
      <c r="C20" s="179"/>
      <c r="D20" s="179"/>
      <c r="E20" s="179"/>
      <c r="F20" s="179"/>
      <c r="G20" s="179"/>
      <c r="H20" s="179"/>
      <c r="I20" s="179"/>
      <c r="J20" s="179"/>
      <c r="K20" s="179"/>
      <c r="L20" s="179"/>
      <c r="M20" s="179"/>
    </row>
    <row r="21" spans="2:13" s="31" customFormat="1" ht="12" customHeight="1">
      <c r="B21" s="179" t="s">
        <v>41</v>
      </c>
      <c r="C21" s="179"/>
      <c r="D21" s="179"/>
      <c r="E21" s="179"/>
      <c r="F21" s="179"/>
      <c r="G21" s="179"/>
      <c r="H21" s="179"/>
      <c r="I21" s="179"/>
      <c r="J21" s="179"/>
      <c r="K21" s="179"/>
      <c r="L21" s="179"/>
      <c r="M21" s="179"/>
    </row>
    <row r="22" spans="2:13" s="31" customFormat="1" ht="12" customHeight="1">
      <c r="B22" s="179" t="s">
        <v>42</v>
      </c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</row>
    <row r="23" spans="2:13" ht="6.95" customHeight="1">
      <c r="B23" s="180"/>
      <c r="C23" s="180"/>
      <c r="D23" s="180"/>
      <c r="E23" s="180"/>
      <c r="F23" s="180"/>
      <c r="G23" s="180"/>
      <c r="H23" s="180"/>
      <c r="I23" s="180"/>
      <c r="J23" s="180"/>
      <c r="K23" s="180"/>
      <c r="L23" s="180"/>
      <c r="M23" s="180"/>
    </row>
    <row r="24" spans="2:13" ht="6.95" customHeight="1"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76" t="s">
        <v>132</v>
      </c>
      <c r="M26" s="79" t="s">
        <v>44</v>
      </c>
    </row>
    <row r="27" spans="2:13" ht="11.1" customHeight="1">
      <c r="B27" s="32"/>
      <c r="C27" s="26" t="s">
        <v>133</v>
      </c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2">
        <v>12492</v>
      </c>
      <c r="G29" s="182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2">
        <f>F29*15%</f>
        <v>1873.8</v>
      </c>
      <c r="G30" s="182"/>
    </row>
    <row r="31" spans="2:13" ht="12" customHeight="1">
      <c r="B31" s="32"/>
      <c r="C31" s="26" t="s">
        <v>49</v>
      </c>
      <c r="D31" s="35"/>
      <c r="E31" s="26" t="s">
        <v>47</v>
      </c>
      <c r="F31" s="182">
        <f>SUM(F29:G30)</f>
        <v>14365.8</v>
      </c>
      <c r="G31" s="182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80" t="s">
        <v>63</v>
      </c>
      <c r="C49" s="81" t="s">
        <v>102</v>
      </c>
      <c r="P49" s="82"/>
    </row>
    <row r="50" spans="2:16" s="83" customFormat="1" ht="12" customHeight="1">
      <c r="B50" s="84" t="s">
        <v>63</v>
      </c>
      <c r="C50" s="81" t="s">
        <v>92</v>
      </c>
    </row>
    <row r="51" spans="2:16" s="83" customFormat="1" ht="12" customHeight="1">
      <c r="B51" s="84" t="s">
        <v>63</v>
      </c>
      <c r="C51" s="81" t="s">
        <v>91</v>
      </c>
    </row>
    <row r="52" spans="2:16" s="83" customFormat="1" ht="4.5" customHeight="1">
      <c r="B52" s="84"/>
      <c r="C52" s="81"/>
    </row>
    <row r="53" spans="2:16" ht="15" customHeight="1">
      <c r="B53" s="42">
        <v>7</v>
      </c>
      <c r="C53" s="32" t="s">
        <v>110</v>
      </c>
    </row>
    <row r="54" spans="2:16" ht="12" customHeight="1">
      <c r="B54" s="84" t="s">
        <v>63</v>
      </c>
      <c r="C54" s="125" t="s">
        <v>111</v>
      </c>
      <c r="F54" s="26" t="s">
        <v>119</v>
      </c>
    </row>
    <row r="55" spans="2:16" ht="12" customHeight="1">
      <c r="B55" s="84" t="s">
        <v>63</v>
      </c>
      <c r="C55" s="125" t="s">
        <v>112</v>
      </c>
      <c r="F55" s="126" t="s">
        <v>120</v>
      </c>
    </row>
    <row r="56" spans="2:16" ht="12" customHeight="1">
      <c r="B56" s="84" t="s">
        <v>63</v>
      </c>
      <c r="C56" s="125" t="s">
        <v>113</v>
      </c>
      <c r="F56" s="26" t="s">
        <v>121</v>
      </c>
    </row>
    <row r="57" spans="2:16" ht="12" customHeight="1">
      <c r="B57" s="84" t="s">
        <v>63</v>
      </c>
      <c r="C57" s="125" t="s">
        <v>114</v>
      </c>
      <c r="F57" s="26" t="s">
        <v>122</v>
      </c>
    </row>
    <row r="58" spans="2:16" ht="12" customHeight="1">
      <c r="B58" s="84" t="s">
        <v>63</v>
      </c>
      <c r="C58" s="125" t="s">
        <v>115</v>
      </c>
      <c r="F58" s="26" t="s">
        <v>123</v>
      </c>
    </row>
    <row r="59" spans="2:16" ht="12" customHeight="1">
      <c r="B59" s="84" t="s">
        <v>63</v>
      </c>
      <c r="C59" s="125" t="s">
        <v>116</v>
      </c>
      <c r="F59" s="26" t="s">
        <v>117</v>
      </c>
    </row>
    <row r="60" spans="2:16" ht="12" customHeight="1">
      <c r="B60" s="84"/>
      <c r="C60" s="125" t="s">
        <v>118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3" t="str">
        <f>C9</f>
        <v>SAMOO(Samoo Al Bahr Contracting Est.)</v>
      </c>
      <c r="K71" s="183"/>
      <c r="L71" s="183"/>
      <c r="M71" s="183"/>
    </row>
    <row r="72" spans="1:13" ht="27.95" customHeight="1">
      <c r="A72" s="174" t="s">
        <v>74</v>
      </c>
      <c r="B72" s="174"/>
      <c r="C72" s="174"/>
      <c r="D72" s="174"/>
      <c r="E72" s="174"/>
      <c r="F72" s="174"/>
      <c r="G72" s="174"/>
      <c r="H72" s="174"/>
      <c r="I72" s="174"/>
      <c r="J72" s="174"/>
      <c r="K72" s="174"/>
      <c r="L72" s="174"/>
      <c r="M72" s="174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10" sqref="B10:C1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SAC2-DS-PO-0194</v>
      </c>
      <c r="C2" s="186" t="s">
        <v>76</v>
      </c>
      <c r="D2" s="186"/>
      <c r="E2" s="186"/>
      <c r="F2" s="186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46019</v>
      </c>
      <c r="C3" s="51"/>
      <c r="D3" s="52"/>
      <c r="E3" s="187" t="s">
        <v>78</v>
      </c>
      <c r="F3" s="187"/>
      <c r="G3" s="187"/>
      <c r="H3" s="187"/>
      <c r="I3" s="53"/>
    </row>
    <row r="4" spans="1:13" s="55" customFormat="1" ht="28.5" customHeight="1" thickTop="1">
      <c r="A4" s="188" t="s">
        <v>79</v>
      </c>
      <c r="B4" s="190" t="s">
        <v>80</v>
      </c>
      <c r="C4" s="191"/>
      <c r="D4" s="194" t="s">
        <v>81</v>
      </c>
      <c r="E4" s="194" t="s">
        <v>82</v>
      </c>
      <c r="F4" s="196" t="str">
        <f>'PO 1st page'!C9</f>
        <v>SAMOO(Samoo Al Bahr Contracting Est.)</v>
      </c>
      <c r="G4" s="197"/>
      <c r="H4" s="198" t="s">
        <v>83</v>
      </c>
      <c r="K4" s="56"/>
      <c r="L4" s="56"/>
      <c r="M4" s="56"/>
    </row>
    <row r="5" spans="1:13" s="55" customFormat="1" ht="21.95" customHeight="1">
      <c r="A5" s="189"/>
      <c r="B5" s="192"/>
      <c r="C5" s="193"/>
      <c r="D5" s="195"/>
      <c r="E5" s="195"/>
      <c r="F5" s="57" t="s">
        <v>84</v>
      </c>
      <c r="G5" s="57" t="s">
        <v>49</v>
      </c>
      <c r="H5" s="199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4" t="str">
        <f>CONCATENATE(MRS!B6," ",MRS!D6)</f>
        <v xml:space="preserve">Third Party Inspection for Web Sling </v>
      </c>
      <c r="C6" s="185"/>
      <c r="D6" s="86" t="str">
        <f>+'MRS LIST'!G6</f>
        <v>Pcs</v>
      </c>
      <c r="E6" s="87">
        <f>+'MRS LIST'!H6</f>
        <v>72</v>
      </c>
      <c r="F6" s="88">
        <f>+'MRS LIST'!I6</f>
        <v>38</v>
      </c>
      <c r="G6" s="89">
        <f>+'MRS LIST'!J6</f>
        <v>2736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4" t="str">
        <f>CONCATENATE(MRS!B7," ",MRS!D7)</f>
        <v xml:space="preserve">Third Party Inspection for Bow Shackle </v>
      </c>
      <c r="C7" s="185"/>
      <c r="D7" s="86" t="str">
        <f>+'MRS LIST'!G7</f>
        <v>Pcs</v>
      </c>
      <c r="E7" s="87">
        <f>+'MRS LIST'!H7</f>
        <v>12</v>
      </c>
      <c r="F7" s="88">
        <f>+'MRS LIST'!I7</f>
        <v>38</v>
      </c>
      <c r="G7" s="89">
        <f>+'MRS LIST'!J7</f>
        <v>456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4" t="str">
        <f>CONCATENATE(MRS!B8," ",MRS!D8)</f>
        <v xml:space="preserve">Third Party Inspection for Lever Block </v>
      </c>
      <c r="C8" s="185"/>
      <c r="D8" s="86" t="str">
        <f>+'MRS LIST'!G8</f>
        <v>Pcs</v>
      </c>
      <c r="E8" s="87">
        <f>+'MRS LIST'!H8</f>
        <v>20</v>
      </c>
      <c r="F8" s="88">
        <f>+'MRS LIST'!I8</f>
        <v>55</v>
      </c>
      <c r="G8" s="89">
        <f>+'MRS LIST'!J8</f>
        <v>1100</v>
      </c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184" t="str">
        <f>CONCATENATE(MRS!B9," ",MRS!D9)</f>
        <v xml:space="preserve">Third Party Inspection for Chain Block </v>
      </c>
      <c r="C9" s="185"/>
      <c r="D9" s="86" t="str">
        <f>+'MRS LIST'!G9</f>
        <v>Pcs</v>
      </c>
      <c r="E9" s="87">
        <f>+'MRS LIST'!H9</f>
        <v>30</v>
      </c>
      <c r="F9" s="88">
        <f>+'MRS LIST'!I9</f>
        <v>50</v>
      </c>
      <c r="G9" s="89">
        <f>+'MRS LIST'!J9</f>
        <v>1500</v>
      </c>
      <c r="H9" s="90"/>
    </row>
    <row r="10" spans="1:13" s="55" customFormat="1" ht="32.1" customHeight="1">
      <c r="A10" s="93">
        <f t="shared" si="0"/>
        <v>5</v>
      </c>
      <c r="B10" s="184" t="str">
        <f>CONCATENATE(MRS!B10," ",MRS!D10)</f>
        <v xml:space="preserve">Third Party Inspection for Pipe Stand </v>
      </c>
      <c r="C10" s="185"/>
      <c r="D10" s="86" t="str">
        <f>+'MRS LIST'!G10</f>
        <v>Pcs</v>
      </c>
      <c r="E10" s="87">
        <f>+'MRS LIST'!H10</f>
        <v>20</v>
      </c>
      <c r="F10" s="88">
        <f>+'MRS LIST'!I10</f>
        <v>335</v>
      </c>
      <c r="G10" s="89">
        <f>+'MRS LIST'!J10</f>
        <v>6700</v>
      </c>
      <c r="H10" s="98"/>
    </row>
    <row r="11" spans="1:13" s="55" customFormat="1" ht="32.1" customHeight="1">
      <c r="A11" s="93">
        <f t="shared" si="0"/>
        <v>6</v>
      </c>
      <c r="B11" s="184"/>
      <c r="C11" s="185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4"/>
      <c r="C12" s="205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4"/>
      <c r="C13" s="205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4"/>
      <c r="C14" s="205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4"/>
      <c r="C15" s="205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4"/>
      <c r="C16" s="205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4"/>
      <c r="C17" s="205"/>
      <c r="D17" s="94"/>
      <c r="E17" s="95"/>
      <c r="F17" s="96"/>
      <c r="G17" s="97"/>
      <c r="H17" s="98"/>
    </row>
    <row r="18" spans="1:13" s="55" customFormat="1" ht="23.1" customHeight="1">
      <c r="A18" s="200" t="s">
        <v>85</v>
      </c>
      <c r="B18" s="201"/>
      <c r="C18" s="201"/>
      <c r="D18" s="201"/>
      <c r="E18" s="201"/>
      <c r="F18" s="201"/>
      <c r="G18" s="58">
        <f>SUM(G6:G17)</f>
        <v>12492</v>
      </c>
      <c r="H18" s="59"/>
    </row>
    <row r="19" spans="1:13" s="55" customFormat="1" ht="23.1" customHeight="1">
      <c r="A19" s="200" t="s">
        <v>48</v>
      </c>
      <c r="B19" s="201"/>
      <c r="C19" s="201"/>
      <c r="D19" s="201"/>
      <c r="E19" s="201"/>
      <c r="F19" s="201"/>
      <c r="G19" s="58">
        <f>+G18*0.15</f>
        <v>1873.8</v>
      </c>
      <c r="H19" s="59"/>
    </row>
    <row r="20" spans="1:13" s="55" customFormat="1" ht="24.95" customHeight="1" thickBot="1">
      <c r="A20" s="202" t="s">
        <v>86</v>
      </c>
      <c r="B20" s="203"/>
      <c r="C20" s="203"/>
      <c r="D20" s="203"/>
      <c r="E20" s="203"/>
      <c r="F20" s="203"/>
      <c r="G20" s="60">
        <f>G19+G18</f>
        <v>14365.8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SAMOO-DAESHIN-MT-21-2025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4" t="s">
        <v>88</v>
      </c>
      <c r="B24" s="174"/>
      <c r="C24" s="174"/>
      <c r="D24" s="174"/>
      <c r="E24" s="174"/>
      <c r="F24" s="174"/>
      <c r="G24" s="174"/>
      <c r="H24" s="174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2025-12-28T07:17:33Z</cp:lastPrinted>
  <dcterms:created xsi:type="dcterms:W3CDTF">2024-10-20T11:50:19Z</dcterms:created>
  <dcterms:modified xsi:type="dcterms:W3CDTF">2025-12-28T07:17:36Z</dcterms:modified>
</cp:coreProperties>
</file>