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6C68B73-54FD-4B9D-87EE-CFAEA069513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F29" i="3"/>
  <c r="B7" i="4"/>
  <c r="B6" i="4"/>
  <c r="F30" i="3" l="1"/>
  <c r="F31" i="3" s="1"/>
  <c r="H7" i="4"/>
  <c r="H6" i="4"/>
  <c r="K67" i="3"/>
  <c r="E3" i="1"/>
  <c r="H7" i="2"/>
  <c r="E7" i="4" s="1"/>
  <c r="G7" i="2"/>
  <c r="D7" i="4" s="1"/>
  <c r="D7" i="2"/>
  <c r="B7" i="2"/>
  <c r="J7" i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<sst xmlns="http://schemas.openxmlformats.org/spreadsheetml/2006/main" count="178" uniqueCount="136">
  <si>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</si>
  <si>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</si>
  <si>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</si>
  <si>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</si>
  <si>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</si>
  <si>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</si>
  <si>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</si>
  <si>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</si>
  <si>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</si>
  <si>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</si>
  <si>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</si>
  <si>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</si>
  <si>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</si>
  <si>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</si>
  <si>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</si>
  <si>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</si>
  <si>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</si>
  <si>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</si>
  <si>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</si>
  <si>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</si>
  <si>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</si>
  <si>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</si>
  <si>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</si>
  <si>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</si>
  <si>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</si>
  <si>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</si>
  <si>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</si>
  <si>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</si>
  <si>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</si>
  <si>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</si>
  <si>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</si>
  <si>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</si>
  <si>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</si>
  <si>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</si>
  <si>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</si>
  <si>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</si>
  <si>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</si>
  <si>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</si>
  <si>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</si>
  <si>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</si>
  <si>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</si>
  <si>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</si>
  <si>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</si>
  <si>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</si>
  <si>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</si>
  <si>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</si>
  <si>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</si>
  <si>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</si>
  <si>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</si>
  <si>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</si>
  <si>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</si>
  <si>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</si>
  <si>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</si>
  <si>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</si>
  <si>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</si>
  <si>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</si>
  <si>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</si>
  <si>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</si>
  <si>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</si>
  <si>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</si>
  <si>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</si>
  <si>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</si>
  <si>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</si>
  <si>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</si>
  <si>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</si>
  <si>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</si>
  <si>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</si>
  <si>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</si>
  <si>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</si>
  <si>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</si>
  <si>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</si>
  <si>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</si>
  <si>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</si>
  <si>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</si>
  <si>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</si>
  <si>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</si>
  <si>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</si>
  <si>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</si>
  <si>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</si>
  <si>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</si>
  <si>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</si>
  <si>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</si>
  <si>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</si>
  <si>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</si>
  <si>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</si>
  <si>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</si>
  <si>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</si>
  <si>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</si>
  <si>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</si>
  <si>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</si>
  <si>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</si>
  <si>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</si>
  <si>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</si>
  <si>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</si>
  <si>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</si>
  <si>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</si>
  <si>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</si>
  <si>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</si>
  <si>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</si>
  <si>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</si>
  <si>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</si>
  <si>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</si>
  <si>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</si>
  <si>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"</t>
  </si>
  <si>
    <t>EA</t>
  </si>
  <si>
    <t>KRC</t>
  </si>
  <si>
    <t>2055023032</t>
  </si>
  <si>
    <t>301143296200003</t>
  </si>
  <si>
    <t>Rapelo Dionisio</t>
  </si>
  <si>
    <t>+966 13 363 6566 / Email:infoksa@korearental.co.kr</t>
  </si>
  <si>
    <t>101 Business Tower, P.O.Box 3140, Al Jubail 31985, KSA</t>
  </si>
  <si>
    <t>Mobile : +966 13 363 6566</t>
  </si>
  <si>
    <t>Admin Department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</si>
  <si>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-MRS-0346</t>
    </r>
  </si>
  <si>
    <t>IPAF 3A &amp; 3B Training</t>
  </si>
  <si>
    <t>New (Boom Lift &amp; Scissor Lift)</t>
  </si>
  <si>
    <t>Renewal (Boom Lift &amp; Scissor Lift)</t>
  </si>
  <si>
    <t>One time</t>
  </si>
  <si>
    <t>KRC20260628-05</t>
  </si>
  <si>
    <t>IPAF 3A &amp; 3B Training fro New &amp; Renewal</t>
  </si>
  <si>
    <t>(Boom Lift &amp; Scissor Lift)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</si>
  <si>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</si>
  <si>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</si>
  <si>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</si>
  <si>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</si>
  <si>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</si>
  <si>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</si>
  <si>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</si>
  <si>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</si>
  <si>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</si>
  <si>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KRC (Korea Rental Corp.)</t>
  </si>
  <si>
    <t>KOREA RENTAL CORP.</t>
  </si>
  <si>
    <t>SA74 8000 0580 6080 1001 4148</t>
  </si>
  <si>
    <t>ALRAJHI BANK</t>
  </si>
  <si>
    <t>RJHISARI</t>
  </si>
  <si>
    <t>580608010014148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</si>
</sst>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4" fillId="3" borderId="0" xfId="5" applyFont="1" applyFill="1"/>
    <xf numFmtId="0" fontId="18" fillId="3" borderId="0" xfId="5" quotePrefix="1" applyFont="1" applyFill="1"/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4983079"/>
              <a:ext cx="3930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26</xdr:col>
      <xdr:colOff>4229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1658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L11" sqref="L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100</v>
      </c>
      <c r="B1" s="110"/>
      <c r="C1" s="110"/>
      <c r="D1" s="110"/>
      <c r="E1" s="110"/>
      <c r="F1" s="110"/>
      <c r="G1" s="1"/>
      <c r="J1" s="148" t="s">
        <v>92</v>
      </c>
      <c r="K1" s="149"/>
      <c r="L1" s="150"/>
    </row>
    <row r="2" spans="1:19" ht="20.100000000000001" customHeight="1">
      <c r="A2" s="3" t="s">
        <v>1</v>
      </c>
      <c r="B2" s="101"/>
      <c r="C2" s="101"/>
      <c r="D2" s="3" t="s">
        <v>101</v>
      </c>
      <c r="E2" s="101"/>
      <c r="F2" s="101"/>
      <c r="G2" s="101"/>
      <c r="H2" s="101"/>
      <c r="I2" s="4"/>
      <c r="J2" s="164" t="s">
        <v>99</v>
      </c>
      <c r="K2" s="165"/>
      <c r="L2" s="166"/>
    </row>
    <row r="3" spans="1:19" ht="20.100000000000001" customHeight="1">
      <c r="A3" s="3" t="s">
        <v>113</v>
      </c>
      <c r="B3" s="101"/>
      <c r="C3" s="101"/>
      <c r="D3" s="101"/>
      <c r="E3" s="151">
        <f>+L3</f>
        <v>46207</v>
      </c>
      <c r="F3" s="151"/>
      <c r="G3" s="151"/>
      <c r="H3" s="151"/>
      <c r="I3" s="151"/>
      <c r="J3" s="101"/>
      <c r="K3" s="101"/>
      <c r="L3" s="122">
        <v>46207</v>
      </c>
      <c r="M3" s="4"/>
    </row>
    <row r="4" spans="1:19" ht="15.95" customHeight="1">
      <c r="A4" s="152" t="s">
        <v>2</v>
      </c>
      <c r="B4" s="153" t="s">
        <v>3</v>
      </c>
      <c r="C4" s="153"/>
      <c r="D4" s="154" t="s">
        <v>4</v>
      </c>
      <c r="E4" s="155"/>
      <c r="F4" s="156"/>
      <c r="G4" s="160" t="s">
        <v>5</v>
      </c>
      <c r="H4" s="162" t="s">
        <v>6</v>
      </c>
      <c r="I4" s="162" t="s">
        <v>96</v>
      </c>
      <c r="J4" s="152" t="s">
        <v>97</v>
      </c>
      <c r="K4" s="162" t="s">
        <v>0</v>
      </c>
      <c r="L4" s="153" t="s">
        <v>7</v>
      </c>
    </row>
    <row r="5" spans="1:19" ht="15.95" customHeight="1">
      <c r="A5" s="152"/>
      <c r="B5" s="153"/>
      <c r="C5" s="153"/>
      <c r="D5" s="157"/>
      <c r="E5" s="158"/>
      <c r="F5" s="159"/>
      <c r="G5" s="161"/>
      <c r="H5" s="163"/>
      <c r="I5" s="163"/>
      <c r="J5" s="152"/>
      <c r="K5" s="163"/>
      <c r="L5" s="153"/>
    </row>
    <row r="6" spans="1:19" ht="22.5" customHeight="1">
      <c r="A6" s="5">
        <f t="shared" ref="A6:A15" si="0">ROW(A1)</f>
        <v>1</v>
      </c>
      <c r="B6" s="167" t="s">
        <v>114</v>
      </c>
      <c r="C6" s="168"/>
      <c r="D6" s="169" t="s">
        <v>115</v>
      </c>
      <c r="E6" s="170"/>
      <c r="F6" s="171"/>
      <c r="G6" s="111" t="s">
        <v>104</v>
      </c>
      <c r="H6" s="112">
        <v>5</v>
      </c>
      <c r="I6" s="113">
        <v>1200</v>
      </c>
      <c r="J6" s="113">
        <f>H6*I6</f>
        <v>6000</v>
      </c>
      <c r="K6" s="114" t="s">
        <v>105</v>
      </c>
      <c r="L6" s="115" t="s">
        <v>117</v>
      </c>
      <c r="S6" s="106"/>
    </row>
    <row r="7" spans="1:19" ht="22.5" customHeight="1">
      <c r="A7" s="5">
        <f t="shared" si="0"/>
        <v>2</v>
      </c>
      <c r="B7" s="167" t="s">
        <v>114</v>
      </c>
      <c r="C7" s="168"/>
      <c r="D7" s="169" t="s">
        <v>116</v>
      </c>
      <c r="E7" s="170"/>
      <c r="F7" s="171"/>
      <c r="G7" s="111" t="s">
        <v>104</v>
      </c>
      <c r="H7" s="112">
        <v>3</v>
      </c>
      <c r="I7" s="113">
        <v>1200</v>
      </c>
      <c r="J7" s="113">
        <f>H7*I7</f>
        <v>3600</v>
      </c>
      <c r="K7" s="114" t="s">
        <v>103</v>
      </c>
      <c r="L7" s="115" t="s">
        <v>103</v>
      </c>
      <c r="S7" s="106"/>
    </row>
    <row r="8" spans="1:19" ht="22.5" customHeight="1">
      <c r="A8" s="5">
        <f t="shared" si="0"/>
        <v>3</v>
      </c>
      <c r="B8" s="167"/>
      <c r="C8" s="168"/>
      <c r="D8" s="169"/>
      <c r="E8" s="170"/>
      <c r="F8" s="171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67"/>
      <c r="C9" s="168"/>
      <c r="D9" s="169"/>
      <c r="E9" s="170"/>
      <c r="F9" s="171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72"/>
      <c r="C10" s="172"/>
      <c r="D10" s="173"/>
      <c r="E10" s="173"/>
      <c r="F10" s="173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67"/>
      <c r="C11" s="168"/>
      <c r="D11" s="169"/>
      <c r="E11" s="170"/>
      <c r="F11" s="171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72"/>
      <c r="C12" s="172"/>
      <c r="D12" s="173"/>
      <c r="E12" s="173"/>
      <c r="F12" s="173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67"/>
      <c r="C13" s="168"/>
      <c r="D13" s="169"/>
      <c r="E13" s="170"/>
      <c r="F13" s="171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67"/>
      <c r="C14" s="168"/>
      <c r="D14" s="169"/>
      <c r="E14" s="170"/>
      <c r="F14" s="171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67"/>
      <c r="C15" s="168"/>
      <c r="D15" s="169"/>
      <c r="E15" s="170"/>
      <c r="F15" s="171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74" t="s">
        <v>8</v>
      </c>
      <c r="B16" s="17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9600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7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77"/>
      <c r="T19" s="14"/>
      <c r="U19" s="15"/>
      <c r="V19" s="14"/>
    </row>
    <row r="20" spans="1:22" ht="17.100000000000001" customHeight="1">
      <c r="O20" s="11"/>
      <c r="P20" s="11"/>
      <c r="Q20" s="11"/>
      <c r="S20" s="17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79" t="s">
        <v>17</v>
      </c>
      <c r="Q21" s="179" t="s">
        <v>18</v>
      </c>
    </row>
    <row r="22" spans="1:22" ht="18" customHeight="1">
      <c r="O22" s="18" t="s">
        <v>19</v>
      </c>
      <c r="P22" s="180"/>
      <c r="Q22" s="180"/>
      <c r="S22" s="17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7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7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81"/>
      <c r="P27" s="181"/>
      <c r="Q27" s="181"/>
    </row>
    <row r="28" spans="1:22" ht="19.899999999999999" customHeight="1">
      <c r="O28" s="181"/>
      <c r="P28" s="181"/>
      <c r="Q28" s="18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9" t="s">
        <v>21</v>
      </c>
    </row>
    <row r="41" spans="15:22" ht="19.899999999999999" customHeight="1">
      <c r="T41" s="180"/>
    </row>
    <row r="42" spans="15:22" ht="64.900000000000006" customHeight="1">
      <c r="T42" s="14"/>
    </row>
    <row r="46" spans="15:22" ht="21" customHeight="1">
      <c r="O46" s="179" t="s">
        <v>21</v>
      </c>
      <c r="P46" s="179" t="s">
        <v>21</v>
      </c>
      <c r="Q46" s="179" t="s">
        <v>21</v>
      </c>
      <c r="T46" s="179" t="s">
        <v>22</v>
      </c>
      <c r="U46" s="179" t="s">
        <v>13</v>
      </c>
      <c r="V46" s="179" t="s">
        <v>21</v>
      </c>
    </row>
    <row r="47" spans="15:22" ht="21" customHeight="1">
      <c r="O47" s="180"/>
      <c r="P47" s="180"/>
      <c r="Q47" s="180"/>
      <c r="T47" s="178"/>
      <c r="U47" s="178"/>
      <c r="V47" s="18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9" t="s">
        <v>21</v>
      </c>
      <c r="P50" s="179" t="s">
        <v>21</v>
      </c>
      <c r="Q50" s="179" t="s">
        <v>21</v>
      </c>
      <c r="T50" s="179" t="s">
        <v>13</v>
      </c>
      <c r="U50" s="179" t="s">
        <v>22</v>
      </c>
      <c r="V50" s="179" t="s">
        <v>21</v>
      </c>
    </row>
    <row r="51" spans="15:22" ht="21" customHeight="1">
      <c r="O51" s="180"/>
      <c r="P51" s="180"/>
      <c r="Q51" s="180"/>
      <c r="T51" s="178"/>
      <c r="U51" s="178"/>
      <c r="V51" s="18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48" t="str">
        <f>+MRS!J1</f>
        <v>DAESHIN PLANT</v>
      </c>
      <c r="K1" s="150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64" t="str">
        <f>+MRS!J2</f>
        <v>Subcontract name (SAC2-SC-IK-SMP-01)</v>
      </c>
      <c r="K2" s="166"/>
    </row>
    <row r="3" spans="1:18" ht="24.95" customHeight="1">
      <c r="A3" s="3" t="str">
        <f>+MRS!A3</f>
        <v xml:space="preserve">  MRS No : SAC2-DS-MRS-0346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46207</v>
      </c>
    </row>
    <row r="4" spans="1:18" ht="15.95" customHeight="1">
      <c r="A4" s="182" t="s">
        <v>2</v>
      </c>
      <c r="B4" s="183" t="s">
        <v>23</v>
      </c>
      <c r="C4" s="183"/>
      <c r="D4" s="182" t="s">
        <v>4</v>
      </c>
      <c r="E4" s="182"/>
      <c r="F4" s="182"/>
      <c r="G4" s="183" t="s">
        <v>5</v>
      </c>
      <c r="H4" s="182" t="s">
        <v>93</v>
      </c>
      <c r="I4" s="182" t="s">
        <v>24</v>
      </c>
      <c r="J4" s="182" t="s">
        <v>25</v>
      </c>
      <c r="K4" s="183" t="s">
        <v>7</v>
      </c>
    </row>
    <row r="5" spans="1:18" ht="15.95" customHeight="1">
      <c r="A5" s="182"/>
      <c r="B5" s="183"/>
      <c r="C5" s="183"/>
      <c r="D5" s="182"/>
      <c r="E5" s="182"/>
      <c r="F5" s="182"/>
      <c r="G5" s="183"/>
      <c r="H5" s="182"/>
      <c r="I5" s="182"/>
      <c r="J5" s="182"/>
      <c r="K5" s="183"/>
    </row>
    <row r="6" spans="1:18" ht="105" customHeight="1">
      <c r="A6" s="21">
        <f>+MRS!A6</f>
        <v>1</v>
      </c>
      <c r="B6" s="184" t="str">
        <f>MRS!B6</f>
        <v>IPAF 3A &amp; 3B Training</v>
      </c>
      <c r="C6" s="185"/>
      <c r="D6" s="186" t="str">
        <f>MRS!D6</f>
        <v>New (Boom Lift &amp; Scissor Lift)</v>
      </c>
      <c r="E6" s="187"/>
      <c r="F6" s="188"/>
      <c r="G6" s="103" t="str">
        <f>MRS!G6</f>
        <v>EA</v>
      </c>
      <c r="H6" s="103">
        <f>MRS!H6</f>
        <v>5</v>
      </c>
      <c r="I6" s="104">
        <f>MRS!I6</f>
        <v>1200</v>
      </c>
      <c r="J6" s="104">
        <f>MRS!J6</f>
        <v>6000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84" t="str">
        <f>MRS!B7</f>
        <v>IPAF 3A &amp; 3B Training</v>
      </c>
      <c r="C7" s="185"/>
      <c r="D7" s="186" t="str">
        <f>MRS!D7</f>
        <v>Renewal (Boom Lift &amp; Scissor Lift)</v>
      </c>
      <c r="E7" s="187"/>
      <c r="F7" s="188"/>
      <c r="G7" s="103" t="str">
        <f>MRS!G7</f>
        <v>EA</v>
      </c>
      <c r="H7" s="103">
        <f>MRS!H7</f>
        <v>3</v>
      </c>
      <c r="I7" s="104">
        <f>MRS!I7</f>
        <v>1200</v>
      </c>
      <c r="J7" s="104">
        <f>MRS!J7</f>
        <v>3600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89"/>
      <c r="C8" s="190"/>
      <c r="D8" s="191"/>
      <c r="E8" s="192"/>
      <c r="F8" s="193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89"/>
      <c r="C9" s="190"/>
      <c r="D9" s="191"/>
      <c r="E9" s="192"/>
      <c r="F9" s="193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89"/>
      <c r="C10" s="190"/>
      <c r="D10" s="191"/>
      <c r="E10" s="192"/>
      <c r="F10" s="193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89"/>
      <c r="C11" s="190"/>
      <c r="D11" s="191"/>
      <c r="E11" s="192"/>
      <c r="F11" s="193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89"/>
      <c r="C12" s="190"/>
      <c r="D12" s="191"/>
      <c r="E12" s="192"/>
      <c r="F12" s="19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89"/>
      <c r="C13" s="190"/>
      <c r="D13" s="191"/>
      <c r="E13" s="192"/>
      <c r="F13" s="19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89"/>
      <c r="C14" s="190"/>
      <c r="D14" s="191"/>
      <c r="E14" s="192"/>
      <c r="F14" s="19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89"/>
      <c r="C15" s="190"/>
      <c r="D15" s="191"/>
      <c r="E15" s="192"/>
      <c r="F15" s="19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89"/>
      <c r="C16" s="190"/>
      <c r="D16" s="191"/>
      <c r="E16" s="192"/>
      <c r="F16" s="19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89"/>
      <c r="C17" s="190"/>
      <c r="D17" s="191"/>
      <c r="E17" s="192"/>
      <c r="F17" s="19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1" zoomScale="130" zoomScaleSheetLayoutView="130" workbookViewId="0">
      <selection activeCell="F56" sqref="F5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3.285156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130</v>
      </c>
      <c r="D9" s="39"/>
      <c r="E9" s="39"/>
    </row>
    <row r="10" spans="2:13" s="39" customFormat="1">
      <c r="B10" s="72"/>
      <c r="C10" s="39" t="s">
        <v>33</v>
      </c>
      <c r="D10" s="76" t="s">
        <v>106</v>
      </c>
      <c r="J10" s="39" t="s">
        <v>34</v>
      </c>
      <c r="K10" s="194">
        <f>MRS!L3</f>
        <v>46207</v>
      </c>
      <c r="L10" s="195"/>
      <c r="M10" s="195"/>
    </row>
    <row r="11" spans="2:13" s="39" customFormat="1">
      <c r="B11" s="72"/>
      <c r="C11" s="75" t="s">
        <v>35</v>
      </c>
      <c r="D11" s="76" t="s">
        <v>107</v>
      </c>
      <c r="J11" s="39" t="s">
        <v>36</v>
      </c>
      <c r="K11" s="196" t="str">
        <f>SUBSTITUTE(SUBSTITUTE(+MRS!A3,"  MRS No : ",""),"-MRS","-PO")</f>
        <v>SAC2-DS-PO-0346</v>
      </c>
      <c r="L11" s="196"/>
      <c r="M11" s="196"/>
    </row>
    <row r="12" spans="2:13" s="39" customFormat="1">
      <c r="B12" s="72"/>
      <c r="C12" s="75" t="s">
        <v>37</v>
      </c>
      <c r="D12" s="39" t="s">
        <v>108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110</v>
      </c>
      <c r="J14" s="39" t="s">
        <v>40</v>
      </c>
      <c r="K14" s="39" t="s">
        <v>118</v>
      </c>
    </row>
    <row r="15" spans="2:13" s="39" customFormat="1">
      <c r="B15" s="72"/>
      <c r="C15" s="77" t="s">
        <v>111</v>
      </c>
      <c r="J15" s="39" t="s">
        <v>41</v>
      </c>
      <c r="K15" s="78">
        <v>46201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97" t="s">
        <v>42</v>
      </c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</row>
    <row r="19" spans="2:13" ht="12" customHeight="1"/>
    <row r="20" spans="2:13" s="31" customFormat="1" ht="12" customHeight="1">
      <c r="B20" s="198" t="s">
        <v>43</v>
      </c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</row>
    <row r="21" spans="2:13" s="31" customFormat="1" ht="12" customHeight="1">
      <c r="B21" s="198" t="s">
        <v>44</v>
      </c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</row>
    <row r="22" spans="2:13" s="31" customFormat="1" ht="12" customHeight="1">
      <c r="B22" s="198" t="s">
        <v>45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</row>
    <row r="23" spans="2:13" ht="6.95" customHeight="1"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</row>
    <row r="24" spans="2:13" ht="6.95" customHeight="1"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</row>
    <row r="25" spans="2:13" s="32" customFormat="1" ht="15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119</v>
      </c>
      <c r="M26" s="79" t="s">
        <v>47</v>
      </c>
    </row>
    <row r="27" spans="2:13" ht="11.1" customHeight="1">
      <c r="B27" s="32"/>
      <c r="C27" s="26" t="s">
        <v>120</v>
      </c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201">
        <f>'PO 2nd page'!G18</f>
        <v>9600</v>
      </c>
      <c r="G29" s="201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201">
        <f>F29*15%</f>
        <v>1440</v>
      </c>
      <c r="G30" s="201"/>
    </row>
    <row r="31" spans="2:13" ht="12" customHeight="1">
      <c r="B31" s="32"/>
      <c r="C31" s="26" t="s">
        <v>52</v>
      </c>
      <c r="D31" s="35"/>
      <c r="E31" s="26" t="s">
        <v>50</v>
      </c>
      <c r="F31" s="201">
        <f>SUM(F29:G30)</f>
        <v>11040</v>
      </c>
      <c r="G31" s="20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11.1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11.1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102</v>
      </c>
      <c r="P49" s="82"/>
    </row>
    <row r="50" spans="2:16" s="83" customFormat="1" ht="12" customHeight="1">
      <c r="B50" s="84" t="s">
        <v>66</v>
      </c>
      <c r="C50" s="81" t="s">
        <v>95</v>
      </c>
    </row>
    <row r="51" spans="2:16" s="83" customFormat="1" ht="12" customHeight="1">
      <c r="B51" s="84" t="s">
        <v>66</v>
      </c>
      <c r="C51" s="81" t="s">
        <v>94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121</v>
      </c>
    </row>
    <row r="54" spans="2:16" ht="12" customHeight="1">
      <c r="B54" s="84" t="s">
        <v>66</v>
      </c>
      <c r="C54" s="202" t="s">
        <v>122</v>
      </c>
      <c r="F54" s="26" t="s">
        <v>131</v>
      </c>
      <c r="P54" s="26" t="str">
        <f>UPPER(F54)</f>
        <v>KOREA RENTAL CORP.</v>
      </c>
    </row>
    <row r="55" spans="2:16" ht="12" customHeight="1">
      <c r="B55" s="84" t="s">
        <v>66</v>
      </c>
      <c r="C55" s="202" t="s">
        <v>123</v>
      </c>
      <c r="F55" s="203" t="s">
        <v>135</v>
      </c>
    </row>
    <row r="56" spans="2:16" ht="12" customHeight="1">
      <c r="B56" s="84" t="s">
        <v>66</v>
      </c>
      <c r="C56" s="202" t="s">
        <v>124</v>
      </c>
      <c r="F56" s="203" t="s">
        <v>132</v>
      </c>
    </row>
    <row r="57" spans="2:16" ht="12" customHeight="1">
      <c r="B57" s="84" t="s">
        <v>66</v>
      </c>
      <c r="C57" s="202" t="s">
        <v>125</v>
      </c>
      <c r="F57" s="26" t="s">
        <v>133</v>
      </c>
    </row>
    <row r="58" spans="2:16" ht="12" customHeight="1">
      <c r="B58" s="84" t="s">
        <v>66</v>
      </c>
      <c r="C58" s="202" t="s">
        <v>126</v>
      </c>
      <c r="F58" s="26" t="s">
        <v>134</v>
      </c>
    </row>
    <row r="59" spans="2:16" ht="12" customHeight="1">
      <c r="B59" s="84" t="s">
        <v>66</v>
      </c>
      <c r="C59" s="202" t="s">
        <v>127</v>
      </c>
      <c r="F59" s="26" t="s">
        <v>128</v>
      </c>
    </row>
    <row r="60" spans="2:16" ht="12" customHeight="1">
      <c r="B60" s="84"/>
      <c r="C60" s="202" t="s">
        <v>129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46.5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Rapelo Dionisio</v>
      </c>
    </row>
    <row r="68" spans="1:13" ht="18" customHeight="1">
      <c r="B68" s="26" t="s">
        <v>72</v>
      </c>
      <c r="J68" s="26" t="s">
        <v>73</v>
      </c>
      <c r="K68" s="22" t="s">
        <v>112</v>
      </c>
    </row>
    <row r="69" spans="1:13" ht="15" customHeight="1">
      <c r="B69" s="26" t="s">
        <v>74</v>
      </c>
      <c r="J69" s="26" t="s">
        <v>75</v>
      </c>
    </row>
    <row r="70" spans="1:13" s="28" customFormat="1" ht="15" customHeight="1">
      <c r="B70" s="25" t="s">
        <v>76</v>
      </c>
      <c r="J70" s="25" t="str">
        <f>C9</f>
        <v>KRC (Korea Rental Corp.)</v>
      </c>
    </row>
    <row r="71" spans="1:13" ht="14.25" customHeight="1">
      <c r="A71" s="147" t="s">
        <v>77</v>
      </c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SAC2-DS-PO-0346</v>
      </c>
      <c r="C2" s="127" t="s">
        <v>79</v>
      </c>
      <c r="D2" s="127"/>
      <c r="E2" s="127"/>
      <c r="F2" s="127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46207</v>
      </c>
      <c r="C3" s="51"/>
      <c r="D3" s="52"/>
      <c r="E3" s="128" t="s">
        <v>81</v>
      </c>
      <c r="F3" s="128"/>
      <c r="G3" s="128"/>
      <c r="H3" s="128"/>
      <c r="I3" s="53"/>
    </row>
    <row r="4" spans="1:13" s="55" customFormat="1" ht="28.5" customHeight="1" thickTop="1">
      <c r="A4" s="129" t="s">
        <v>82</v>
      </c>
      <c r="B4" s="131" t="s">
        <v>83</v>
      </c>
      <c r="C4" s="132"/>
      <c r="D4" s="135" t="s">
        <v>84</v>
      </c>
      <c r="E4" s="135" t="s">
        <v>85</v>
      </c>
      <c r="F4" s="137" t="str">
        <f>'PO 1st page'!C9</f>
        <v>KRC (Korea Rental Corp.)</v>
      </c>
      <c r="G4" s="138"/>
      <c r="H4" s="139" t="s">
        <v>86</v>
      </c>
      <c r="K4" s="56"/>
      <c r="L4" s="56"/>
      <c r="M4" s="56"/>
    </row>
    <row r="5" spans="1:13" s="55" customFormat="1" ht="21.95" customHeight="1">
      <c r="A5" s="130"/>
      <c r="B5" s="133"/>
      <c r="C5" s="134"/>
      <c r="D5" s="136"/>
      <c r="E5" s="136"/>
      <c r="F5" s="57" t="s">
        <v>87</v>
      </c>
      <c r="G5" s="57" t="s">
        <v>52</v>
      </c>
      <c r="H5" s="14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41" t="str">
        <f>CONCATENATE(MRS!B6," ",MRS!D6)</f>
        <v>IPAF 3A &amp; 3B Training New (Boom Lift &amp; Scissor Lift)</v>
      </c>
      <c r="C6" s="142"/>
      <c r="D6" s="86" t="str">
        <f>+'MRS LIST'!G6</f>
        <v>EA</v>
      </c>
      <c r="E6" s="87">
        <f>+'MRS LIST'!H6</f>
        <v>5</v>
      </c>
      <c r="F6" s="88">
        <f>+'MRS LIST'!I6</f>
        <v>1200</v>
      </c>
      <c r="G6" s="89">
        <f>+'MRS LIST'!J6</f>
        <v>6000</v>
      </c>
      <c r="H6" s="90" t="str">
        <f>MRS!L6</f>
        <v>One time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41" t="str">
        <f>CONCATENATE(MRS!B7," ",MRS!D7)</f>
        <v>IPAF 3A &amp; 3B Training Renewal (Boom Lift &amp; Scissor Lift)</v>
      </c>
      <c r="C7" s="142"/>
      <c r="D7" s="86" t="str">
        <f>+'MRS LIST'!G7</f>
        <v>EA</v>
      </c>
      <c r="E7" s="87">
        <f>+'MRS LIST'!H7</f>
        <v>3</v>
      </c>
      <c r="F7" s="88">
        <f>+'MRS LIST'!I7</f>
        <v>1200</v>
      </c>
      <c r="G7" s="89">
        <f>+'MRS LIST'!J7</f>
        <v>3600</v>
      </c>
      <c r="H7" s="90" t="str">
        <f>MRS!L7</f>
        <v>"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25"/>
      <c r="C8" s="126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25"/>
      <c r="C9" s="12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25"/>
      <c r="C10" s="12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25"/>
      <c r="C11" s="12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25"/>
      <c r="C12" s="12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25"/>
      <c r="C13" s="12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25"/>
      <c r="C14" s="12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25"/>
      <c r="C15" s="12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25"/>
      <c r="C16" s="12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25"/>
      <c r="C17" s="126"/>
      <c r="D17" s="94"/>
      <c r="E17" s="95"/>
      <c r="F17" s="96"/>
      <c r="G17" s="97"/>
      <c r="H17" s="98"/>
    </row>
    <row r="18" spans="1:13" s="55" customFormat="1" ht="23.1" customHeight="1">
      <c r="A18" s="143" t="s">
        <v>88</v>
      </c>
      <c r="B18" s="144"/>
      <c r="C18" s="144"/>
      <c r="D18" s="144"/>
      <c r="E18" s="144"/>
      <c r="F18" s="144"/>
      <c r="G18" s="58">
        <f>SUM(G6:G17)</f>
        <v>9600</v>
      </c>
      <c r="H18" s="59"/>
    </row>
    <row r="19" spans="1:13" s="55" customFormat="1" ht="23.1" customHeight="1">
      <c r="A19" s="143" t="s">
        <v>51</v>
      </c>
      <c r="B19" s="144"/>
      <c r="C19" s="144"/>
      <c r="D19" s="144"/>
      <c r="E19" s="144"/>
      <c r="F19" s="144"/>
      <c r="G19" s="58">
        <f>+G18*0.15</f>
        <v>1440</v>
      </c>
      <c r="H19" s="59"/>
    </row>
    <row r="20" spans="1:13" s="55" customFormat="1" ht="24.95" customHeight="1" thickBot="1">
      <c r="A20" s="145" t="s">
        <v>89</v>
      </c>
      <c r="B20" s="146"/>
      <c r="C20" s="146"/>
      <c r="D20" s="146"/>
      <c r="E20" s="146"/>
      <c r="F20" s="146"/>
      <c r="G20" s="60">
        <f>G19+G18</f>
        <v>11040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KRC20260628-05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47" t="s">
        <v>91</v>
      </c>
      <c r="B24" s="147"/>
      <c r="C24" s="147"/>
      <c r="D24" s="147"/>
      <c r="E24" s="147"/>
      <c r="F24" s="147"/>
      <c r="G24" s="147"/>
      <c r="H24" s="147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2026-07-04T13:58:30Z</cp:lastPrinted>
  <dcterms:created xsi:type="dcterms:W3CDTF">2024-10-20T11:50:19Z</dcterms:created>
  <dcterms:modified xsi:type="dcterms:W3CDTF">2026-07-04T13:58:32Z</dcterms:modified>
</cp:coreProperties>
</file>