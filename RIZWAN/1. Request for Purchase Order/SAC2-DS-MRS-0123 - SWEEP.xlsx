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9936AA7B-9FF4-4192-95A6-A80F60E2D20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29" i="3"/>
  <c r="D7" i="4"/>
  <c r="E7" i="4"/>
  <c r="B6" i="4"/>
  <c r="H7" i="4"/>
  <c r="G7" i="4"/>
  <c r="F7" i="4"/>
  <c r="B7" i="4"/>
  <c r="A9" i="1"/>
  <c r="A10" i="1"/>
  <c r="A11" i="1"/>
  <c r="A12" i="1"/>
  <c r="A13" i="1"/>
  <c r="J7" i="1"/>
  <c r="J10" i="2"/>
  <c r="I10" i="2"/>
  <c r="H10" i="2"/>
  <c r="G10" i="2"/>
  <c r="D10" i="2"/>
  <c r="B10" i="2"/>
  <c r="H6" i="4"/>
  <c r="A8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4" i="1" l="1"/>
  <c r="G18" i="4"/>
  <c r="G19" i="4" l="1"/>
  <c r="G21" i="4" s="1"/>
</calcChain>
</file>

<file path=xl/sharedStrings.xml><?xml version="1.0" encoding="utf-8"?>
<sst xmlns="http://schemas.openxmlformats.org/spreadsheetml/2006/main" count="155" uniqueCount="121">
  <si>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</si>
  <si>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</si>
  <si>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</si>
  <si>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</si>
  <si>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</si>
  <si>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</si>
  <si>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</si>
  <si>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</si>
  <si>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</si>
  <si>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</si>
  <si>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</si>
  <si>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</si>
  <si>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</si>
  <si>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</si>
  <si>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</si>
  <si>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</si>
  <si>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</si>
  <si>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</si>
  <si>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</si>
  <si>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</si>
  <si>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</si>
  <si>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</si>
  <si>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</si>
  <si>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</si>
  <si>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</si>
  <si>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</si>
  <si>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</si>
  <si>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</si>
  <si>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</si>
  <si>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</si>
  <si>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</si>
  <si>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</si>
  <si>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</si>
  <si>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</si>
  <si>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</si>
  <si>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</si>
  <si>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</si>
  <si>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</si>
  <si>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</si>
  <si>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</si>
  <si>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</si>
  <si>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</si>
  <si>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</si>
  <si>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</si>
  <si>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</si>
  <si>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</si>
  <si>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</si>
  <si>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</si>
  <si>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</si>
  <si>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</si>
  <si>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</si>
  <si>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</si>
  <si>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</si>
  <si>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</si>
  <si>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</si>
  <si>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</si>
  <si>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</si>
  <si>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</si>
  <si>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</si>
  <si>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</si>
  <si>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</si>
  <si>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</si>
  <si>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</si>
  <si>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</si>
  <si>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</si>
  <si>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</si>
  <si>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</si>
  <si>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</si>
  <si>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</si>
  <si>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</si>
  <si>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</si>
  <si>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</si>
  <si>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</si>
  <si>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</si>
  <si>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</si>
  <si>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</si>
  <si>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</si>
  <si>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</si>
  <si>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</si>
  <si>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</si>
  <si>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</si>
  <si>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</si>
  <si>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</si>
  <si>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</si>
  <si>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</si>
  <si>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</si>
  <si>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</si>
  <si>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</si>
  <si>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</si>
  <si>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</si>
  <si>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</si>
  <si>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</si>
  <si>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</si>
  <si>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</si>
  <si>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</si>
  <si>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</si>
  <si>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</si>
  <si>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</si>
  <si>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</si>
  <si>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</si>
  <si>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</si>
  <si>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</si>
  <si>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SCCL</t>
  </si>
  <si>
    <t>SCCL(Sweep Care Co. Ltd.)</t>
  </si>
  <si>
    <t xml:space="preserve">312009886200003 </t>
  </si>
  <si>
    <t>Mohammed Ashraf</t>
  </si>
  <si>
    <t>Bldg 8590 Jabal Street, Jubail City</t>
  </si>
  <si>
    <t>Landline : +966 13 3627417 / Mobile : +966 56 5759777</t>
  </si>
  <si>
    <t>General Manager</t>
  </si>
  <si>
    <t>+966 56 5759777 / info@sweepcare.com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</si>
  <si>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-MRS-0123</t>
    </r>
  </si>
  <si>
    <t>Container Toilet</t>
  </si>
  <si>
    <t>4 meter (2 Western Commode, 2 Indian Commode, 1 Washbasin, 3 Urinals, 4 Exhaust fan, 2 Mirror, 2 Window AC, 1 Water pressure pump, 6000 ltr Water tank, 6000 ltr Septic tank with stairs)</t>
  </si>
  <si>
    <t>One time</t>
  </si>
  <si>
    <t>Transportation Charges</t>
  </si>
  <si>
    <t>Trip</t>
  </si>
  <si>
    <t>"</t>
  </si>
  <si>
    <t>BRANCH OF HYUNDAI ENG. &amp; CONST. CO., LTD.</t>
  </si>
  <si>
    <t>SC-EQTN-2025-0601</t>
  </si>
  <si>
    <t>Container Toilet 4 meter</t>
  </si>
  <si>
    <t>Branch of 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</si>
</sst>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772026</xdr:colOff>
          <xdr:row>15</xdr:row>
          <xdr:rowOff>0</xdr:rowOff>
        </xdr:from>
        <xdr:to>
          <xdr:col>12</xdr:col>
          <xdr:colOff>502</xdr:colOff>
          <xdr:row>22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6:$V$22" spid="_x0000_s11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45868" y="5183605"/>
              <a:ext cx="406116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0"/>
  <sheetViews>
    <sheetView showGridLines="0" tabSelected="1" view="pageBreakPreview" zoomScale="95" zoomScaleNormal="95" zoomScaleSheetLayoutView="95" workbookViewId="0">
      <selection activeCell="H20" sqref="H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22" ht="49.9" customHeight="1">
      <c r="A1" s="125" t="s">
        <v>99</v>
      </c>
      <c r="B1" s="124"/>
      <c r="C1" s="111"/>
      <c r="D1" s="111"/>
      <c r="E1" s="111"/>
      <c r="F1" s="111"/>
      <c r="G1" s="1"/>
      <c r="J1" s="149" t="s">
        <v>90</v>
      </c>
      <c r="K1" s="150"/>
      <c r="L1" s="151"/>
    </row>
    <row r="2" spans="1:22" ht="20.100000000000001" customHeight="1">
      <c r="A2" s="3" t="s">
        <v>1</v>
      </c>
      <c r="B2" s="102"/>
      <c r="C2" s="102"/>
      <c r="D2" s="3" t="s">
        <v>98</v>
      </c>
      <c r="E2" s="102"/>
      <c r="F2" s="102"/>
      <c r="G2" s="102"/>
      <c r="H2" s="102"/>
      <c r="I2" s="4"/>
      <c r="J2" s="152" t="s">
        <v>101</v>
      </c>
      <c r="K2" s="153"/>
      <c r="L2" s="154"/>
    </row>
    <row r="3" spans="1:22" ht="20.100000000000001" customHeight="1">
      <c r="A3" s="3" t="s">
        <v>110</v>
      </c>
      <c r="B3" s="102"/>
      <c r="C3" s="102"/>
      <c r="D3" s="102"/>
      <c r="E3" s="155">
        <f>+L3</f>
        <v>45909</v>
      </c>
      <c r="F3" s="155"/>
      <c r="G3" s="155"/>
      <c r="H3" s="155"/>
      <c r="I3" s="155"/>
      <c r="J3" s="102"/>
      <c r="K3" s="102"/>
      <c r="L3" s="123">
        <v>45909</v>
      </c>
      <c r="M3" s="4"/>
    </row>
    <row r="4" spans="1:22" ht="15.95" customHeight="1">
      <c r="A4" s="158" t="s">
        <v>2</v>
      </c>
      <c r="B4" s="159" t="s">
        <v>3</v>
      </c>
      <c r="C4" s="159"/>
      <c r="D4" s="160" t="s">
        <v>4</v>
      </c>
      <c r="E4" s="161"/>
      <c r="F4" s="162"/>
      <c r="G4" s="166" t="s">
        <v>5</v>
      </c>
      <c r="H4" s="156" t="s">
        <v>6</v>
      </c>
      <c r="I4" s="156" t="s">
        <v>96</v>
      </c>
      <c r="J4" s="158" t="s">
        <v>97</v>
      </c>
      <c r="K4" s="156" t="s">
        <v>0</v>
      </c>
      <c r="L4" s="159" t="s">
        <v>7</v>
      </c>
    </row>
    <row r="5" spans="1:22" ht="15.95" customHeight="1">
      <c r="A5" s="158"/>
      <c r="B5" s="159"/>
      <c r="C5" s="159"/>
      <c r="D5" s="163"/>
      <c r="E5" s="164"/>
      <c r="F5" s="165"/>
      <c r="G5" s="167"/>
      <c r="H5" s="157"/>
      <c r="I5" s="157"/>
      <c r="J5" s="158"/>
      <c r="K5" s="157"/>
      <c r="L5" s="159"/>
    </row>
    <row r="6" spans="1:22" ht="77.25" customHeight="1">
      <c r="A6" s="5">
        <f t="shared" ref="A6:A13" si="0">ROW(A1)</f>
        <v>1</v>
      </c>
      <c r="B6" s="138" t="s">
        <v>111</v>
      </c>
      <c r="C6" s="139"/>
      <c r="D6" s="140" t="s">
        <v>112</v>
      </c>
      <c r="E6" s="141"/>
      <c r="F6" s="142"/>
      <c r="G6" s="112">
        <v>1</v>
      </c>
      <c r="H6" s="113">
        <v>1</v>
      </c>
      <c r="I6" s="114">
        <v>38000</v>
      </c>
      <c r="J6" s="114">
        <f>H6*I6</f>
        <v>38000</v>
      </c>
      <c r="K6" s="115" t="s">
        <v>102</v>
      </c>
      <c r="L6" s="133" t="s">
        <v>113</v>
      </c>
      <c r="S6" s="107"/>
    </row>
    <row r="7" spans="1:22" ht="22.5" customHeight="1">
      <c r="A7" s="5">
        <v>2</v>
      </c>
      <c r="B7" s="138" t="s">
        <v>114</v>
      </c>
      <c r="C7" s="139"/>
      <c r="D7" s="140"/>
      <c r="E7" s="141"/>
      <c r="F7" s="142"/>
      <c r="G7" s="112" t="s">
        <v>115</v>
      </c>
      <c r="H7" s="113">
        <v>1</v>
      </c>
      <c r="I7" s="114">
        <v>2200</v>
      </c>
      <c r="J7" s="114">
        <f>H7*I7</f>
        <v>2200</v>
      </c>
      <c r="K7" s="115" t="s">
        <v>116</v>
      </c>
      <c r="L7" s="116" t="s">
        <v>116</v>
      </c>
      <c r="S7" s="107"/>
    </row>
    <row r="8" spans="1:22" ht="30" customHeight="1">
      <c r="A8" s="5">
        <f t="shared" si="0"/>
        <v>3</v>
      </c>
      <c r="B8" s="138"/>
      <c r="C8" s="139"/>
      <c r="D8" s="140"/>
      <c r="E8" s="141"/>
      <c r="F8" s="142"/>
      <c r="G8" s="112"/>
      <c r="H8" s="113"/>
      <c r="I8" s="114"/>
      <c r="J8" s="114"/>
      <c r="K8" s="115"/>
      <c r="L8" s="116"/>
      <c r="S8" s="107"/>
    </row>
    <row r="9" spans="1:22" ht="22.5" customHeight="1">
      <c r="A9" s="5">
        <f t="shared" si="0"/>
        <v>4</v>
      </c>
      <c r="B9" s="147"/>
      <c r="C9" s="147"/>
      <c r="D9" s="148"/>
      <c r="E9" s="148"/>
      <c r="F9" s="148"/>
      <c r="G9" s="112"/>
      <c r="H9" s="113"/>
      <c r="I9" s="117"/>
      <c r="J9" s="114"/>
      <c r="K9" s="115"/>
      <c r="L9" s="112"/>
      <c r="S9" s="107"/>
    </row>
    <row r="10" spans="1:22" ht="22.5" customHeight="1">
      <c r="A10" s="5">
        <f t="shared" si="0"/>
        <v>5</v>
      </c>
      <c r="B10" s="138"/>
      <c r="C10" s="139"/>
      <c r="D10" s="140"/>
      <c r="E10" s="141"/>
      <c r="F10" s="142"/>
      <c r="G10" s="112"/>
      <c r="H10" s="113"/>
      <c r="I10" s="114"/>
      <c r="J10" s="114"/>
      <c r="K10" s="115"/>
      <c r="L10" s="116"/>
      <c r="S10" s="107"/>
    </row>
    <row r="11" spans="1:22" ht="22.5" customHeight="1">
      <c r="A11" s="5">
        <f t="shared" si="0"/>
        <v>6</v>
      </c>
      <c r="B11" s="138"/>
      <c r="C11" s="139"/>
      <c r="D11" s="140"/>
      <c r="E11" s="141"/>
      <c r="F11" s="142"/>
      <c r="G11" s="112"/>
      <c r="H11" s="113"/>
      <c r="I11" s="114"/>
      <c r="J11" s="114"/>
      <c r="K11" s="115"/>
      <c r="L11" s="116"/>
      <c r="S11" s="107"/>
    </row>
    <row r="12" spans="1:22" ht="22.5" customHeight="1">
      <c r="A12" s="5">
        <f t="shared" si="0"/>
        <v>7</v>
      </c>
      <c r="B12" s="128"/>
      <c r="C12" s="129"/>
      <c r="D12" s="130"/>
      <c r="E12" s="131"/>
      <c r="F12" s="132"/>
      <c r="G12" s="112"/>
      <c r="H12" s="113"/>
      <c r="I12" s="114"/>
      <c r="J12" s="114"/>
      <c r="K12" s="115"/>
      <c r="L12" s="116"/>
      <c r="S12" s="107"/>
    </row>
    <row r="13" spans="1:22" ht="22.5" customHeight="1">
      <c r="A13" s="5">
        <f t="shared" si="0"/>
        <v>8</v>
      </c>
      <c r="B13" s="138"/>
      <c r="C13" s="139"/>
      <c r="D13" s="140"/>
      <c r="E13" s="141"/>
      <c r="F13" s="142"/>
      <c r="G13" s="112"/>
      <c r="H13" s="113"/>
      <c r="I13" s="114"/>
      <c r="J13" s="114"/>
      <c r="K13" s="115"/>
      <c r="L13" s="116"/>
      <c r="S13" s="107"/>
    </row>
    <row r="14" spans="1:22" ht="22.5" customHeight="1">
      <c r="A14" s="143" t="s">
        <v>8</v>
      </c>
      <c r="B14" s="144"/>
      <c r="C14" s="118"/>
      <c r="D14" s="119"/>
      <c r="E14" s="119"/>
      <c r="F14" s="119"/>
      <c r="G14" s="120"/>
      <c r="H14" s="120"/>
      <c r="I14" s="121" t="s">
        <v>9</v>
      </c>
      <c r="J14" s="114">
        <f>SUM(J6:J13)</f>
        <v>40200</v>
      </c>
      <c r="K14" s="114"/>
      <c r="L14" s="122"/>
    </row>
    <row r="15" spans="1:22" ht="20.100000000000001" customHeight="1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22" ht="18" customHeight="1">
      <c r="A16" s="10"/>
      <c r="J16" s="1"/>
      <c r="K16" s="1"/>
      <c r="O16" s="11"/>
      <c r="P16" s="11"/>
      <c r="Q16" s="11"/>
      <c r="S16" s="145" t="s">
        <v>11</v>
      </c>
      <c r="T16" s="12" t="s">
        <v>12</v>
      </c>
      <c r="U16" s="13" t="s">
        <v>13</v>
      </c>
      <c r="V16" s="12" t="s">
        <v>14</v>
      </c>
    </row>
    <row r="17" spans="15:22" ht="50.1" customHeight="1">
      <c r="S17" s="146"/>
      <c r="T17" s="14"/>
      <c r="U17" s="15"/>
      <c r="V17" s="14"/>
    </row>
    <row r="18" spans="15:22" ht="17.100000000000001" customHeight="1">
      <c r="O18" s="11"/>
      <c r="P18" s="11"/>
      <c r="Q18" s="11"/>
      <c r="S18" s="135"/>
      <c r="T18" s="15" t="s">
        <v>15</v>
      </c>
      <c r="U18" s="15" t="s">
        <v>15</v>
      </c>
      <c r="V18" s="16" t="s">
        <v>15</v>
      </c>
    </row>
    <row r="19" spans="15:22" ht="15" customHeight="1">
      <c r="O19" s="17" t="s">
        <v>16</v>
      </c>
      <c r="P19" s="134" t="s">
        <v>17</v>
      </c>
      <c r="Q19" s="134" t="s">
        <v>18</v>
      </c>
    </row>
    <row r="20" spans="15:22" ht="18" customHeight="1">
      <c r="O20" s="18" t="s">
        <v>19</v>
      </c>
      <c r="P20" s="136"/>
      <c r="Q20" s="136"/>
      <c r="S20" s="145" t="s">
        <v>20</v>
      </c>
      <c r="T20" s="12" t="s">
        <v>12</v>
      </c>
      <c r="U20" s="12" t="s">
        <v>13</v>
      </c>
      <c r="V20" s="12" t="s">
        <v>14</v>
      </c>
    </row>
    <row r="21" spans="15:22" ht="50.1" customHeight="1">
      <c r="O21" s="14"/>
      <c r="P21" s="14"/>
      <c r="Q21" s="14"/>
      <c r="S21" s="146"/>
      <c r="T21" s="19"/>
      <c r="U21" s="19"/>
      <c r="V21" s="14"/>
    </row>
    <row r="22" spans="15:22" ht="17.100000000000001" customHeight="1">
      <c r="O22" s="16" t="s">
        <v>15</v>
      </c>
      <c r="P22" s="16" t="s">
        <v>15</v>
      </c>
      <c r="Q22" s="16" t="s">
        <v>15</v>
      </c>
      <c r="S22" s="135"/>
      <c r="T22" s="15" t="s">
        <v>15</v>
      </c>
      <c r="U22" s="15" t="s">
        <v>15</v>
      </c>
      <c r="V22" s="16" t="s">
        <v>15</v>
      </c>
    </row>
    <row r="23" spans="15:22" ht="9.9499999999999993" customHeight="1"/>
    <row r="24" spans="15:22" ht="19.899999999999999" customHeight="1"/>
    <row r="25" spans="15:22" ht="17.45" customHeight="1">
      <c r="O25" s="137"/>
      <c r="P25" s="137"/>
      <c r="Q25" s="137"/>
    </row>
    <row r="26" spans="15:22" ht="19.899999999999999" customHeight="1">
      <c r="O26" s="137"/>
      <c r="P26" s="137"/>
      <c r="Q26" s="137"/>
    </row>
    <row r="27" spans="15:22" ht="14.25">
      <c r="O27" s="11"/>
      <c r="P27" s="11"/>
      <c r="Q27" s="11"/>
    </row>
    <row r="28" spans="15:22" ht="65.099999999999994" customHeight="1"/>
    <row r="29" spans="15:22" ht="14.25">
      <c r="O29" s="11"/>
      <c r="P29" s="11"/>
      <c r="Q29" s="11"/>
    </row>
    <row r="30" spans="15:22" ht="19.899999999999999" customHeight="1"/>
    <row r="31" spans="15:22" ht="14.25"/>
    <row r="32" spans="15:22" ht="19.899999999999999" customHeight="1"/>
    <row r="33" spans="15:22" ht="14.25"/>
    <row r="34" spans="15:22" ht="19.899999999999999" customHeight="1"/>
    <row r="35" spans="15:22" ht="19.899999999999999" customHeight="1"/>
    <row r="36" spans="15:22" ht="64.900000000000006" customHeight="1"/>
    <row r="38" spans="15:22" ht="19.899999999999999" customHeight="1">
      <c r="T38" s="134" t="s">
        <v>21</v>
      </c>
    </row>
    <row r="39" spans="15:22" ht="19.899999999999999" customHeight="1">
      <c r="T39" s="136"/>
    </row>
    <row r="40" spans="15:22" ht="64.900000000000006" customHeight="1">
      <c r="T40" s="14"/>
    </row>
    <row r="44" spans="15:22" ht="21" customHeight="1">
      <c r="O44" s="134" t="s">
        <v>21</v>
      </c>
      <c r="P44" s="134" t="s">
        <v>21</v>
      </c>
      <c r="Q44" s="134" t="s">
        <v>21</v>
      </c>
      <c r="T44" s="134" t="s">
        <v>22</v>
      </c>
      <c r="U44" s="134" t="s">
        <v>13</v>
      </c>
      <c r="V44" s="134" t="s">
        <v>21</v>
      </c>
    </row>
    <row r="45" spans="15:22" ht="21" customHeight="1">
      <c r="O45" s="136"/>
      <c r="P45" s="136"/>
      <c r="Q45" s="136"/>
      <c r="T45" s="135"/>
      <c r="U45" s="135"/>
      <c r="V45" s="136"/>
    </row>
    <row r="46" spans="15:22" ht="64.900000000000006" customHeight="1">
      <c r="O46" s="14"/>
      <c r="P46" s="14"/>
      <c r="Q46" s="14"/>
      <c r="T46" s="14"/>
      <c r="U46" s="15"/>
      <c r="V46" s="14"/>
    </row>
    <row r="47" spans="15:22" ht="7.15" customHeight="1"/>
    <row r="48" spans="15:22" ht="21" customHeight="1">
      <c r="O48" s="134" t="s">
        <v>21</v>
      </c>
      <c r="P48" s="134" t="s">
        <v>21</v>
      </c>
      <c r="Q48" s="134" t="s">
        <v>21</v>
      </c>
      <c r="T48" s="134" t="s">
        <v>13</v>
      </c>
      <c r="U48" s="134" t="s">
        <v>22</v>
      </c>
      <c r="V48" s="134" t="s">
        <v>21</v>
      </c>
    </row>
    <row r="49" spans="15:22" ht="21" customHeight="1">
      <c r="O49" s="136"/>
      <c r="P49" s="136"/>
      <c r="Q49" s="136"/>
      <c r="T49" s="135"/>
      <c r="U49" s="135"/>
      <c r="V49" s="136"/>
    </row>
    <row r="50" spans="15:22" ht="64.900000000000006" customHeight="1">
      <c r="O50" s="14"/>
      <c r="P50" s="14"/>
      <c r="Q50" s="14"/>
      <c r="T50" s="15"/>
      <c r="U50" s="14"/>
      <c r="V50" s="14"/>
    </row>
  </sheetData>
  <mergeCells count="47"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6:C6"/>
    <mergeCell ref="D6:F6"/>
    <mergeCell ref="B7:C7"/>
    <mergeCell ref="D7:F7"/>
    <mergeCell ref="B9:C9"/>
    <mergeCell ref="D9:F9"/>
    <mergeCell ref="B10:C10"/>
    <mergeCell ref="D10:F10"/>
    <mergeCell ref="B11:C11"/>
    <mergeCell ref="D11:F11"/>
    <mergeCell ref="B13:C13"/>
    <mergeCell ref="D13:F13"/>
    <mergeCell ref="A14:B14"/>
    <mergeCell ref="S16:S18"/>
    <mergeCell ref="P19:P20"/>
    <mergeCell ref="Q19:Q20"/>
    <mergeCell ref="S20:S22"/>
    <mergeCell ref="O25:O26"/>
    <mergeCell ref="P25:P26"/>
    <mergeCell ref="Q25:Q26"/>
    <mergeCell ref="T38:T39"/>
    <mergeCell ref="O44:O45"/>
    <mergeCell ref="P44:P45"/>
    <mergeCell ref="Q44:Q45"/>
    <mergeCell ref="T44:T45"/>
    <mergeCell ref="U44:U45"/>
    <mergeCell ref="V44:V45"/>
    <mergeCell ref="O48:O49"/>
    <mergeCell ref="P48:P49"/>
    <mergeCell ref="Q48:Q49"/>
    <mergeCell ref="T48:T49"/>
    <mergeCell ref="U48:U49"/>
    <mergeCell ref="V48:V49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1" sqref="K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78" t="str">
        <f>+MRS!J1</f>
        <v>DAESHIN PLANT</v>
      </c>
      <c r="K1" s="179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(Sang Yeun Cho)</v>
      </c>
      <c r="E2" s="102"/>
      <c r="F2" s="102"/>
      <c r="G2" s="20"/>
      <c r="H2" s="20"/>
      <c r="I2" s="20"/>
      <c r="J2" s="180" t="str">
        <f>+MRS!J2</f>
        <v>Subcontract name (SAC2-SC-IK-SMP-01)</v>
      </c>
      <c r="K2" s="181"/>
    </row>
    <row r="3" spans="1:18" ht="24.95" customHeight="1">
      <c r="A3" s="3" t="str">
        <f>+MRS!A3</f>
        <v xml:space="preserve">  MRS No : SAC2-DS-MRS-0123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45909</v>
      </c>
    </row>
    <row r="4" spans="1:18" ht="15.95" customHeight="1">
      <c r="A4" s="182" t="s">
        <v>2</v>
      </c>
      <c r="B4" s="183" t="s">
        <v>23</v>
      </c>
      <c r="C4" s="183"/>
      <c r="D4" s="182" t="s">
        <v>4</v>
      </c>
      <c r="E4" s="182"/>
      <c r="F4" s="182"/>
      <c r="G4" s="183" t="s">
        <v>5</v>
      </c>
      <c r="H4" s="182" t="s">
        <v>91</v>
      </c>
      <c r="I4" s="182" t="s">
        <v>24</v>
      </c>
      <c r="J4" s="182" t="s">
        <v>25</v>
      </c>
      <c r="K4" s="183" t="s">
        <v>7</v>
      </c>
    </row>
    <row r="5" spans="1:18" ht="15.95" customHeight="1">
      <c r="A5" s="182"/>
      <c r="B5" s="183"/>
      <c r="C5" s="183"/>
      <c r="D5" s="182"/>
      <c r="E5" s="182"/>
      <c r="F5" s="182"/>
      <c r="G5" s="183"/>
      <c r="H5" s="182"/>
      <c r="I5" s="182"/>
      <c r="J5" s="182"/>
      <c r="K5" s="183"/>
    </row>
    <row r="6" spans="1:18" ht="105" customHeight="1">
      <c r="A6" s="21">
        <f>+MRS!A6</f>
        <v>1</v>
      </c>
      <c r="B6" s="173" t="str">
        <f>MRS!B6</f>
        <v>Container Toilet</v>
      </c>
      <c r="C6" s="174"/>
      <c r="D6" s="175" t="str">
        <f>MRS!D6</f>
        <v>4 meter (2 Western Commode, 2 Indian Commode, 1 Washbasin, 3 Urinals, 4 Exhaust fan, 2 Mirror, 2 Window AC, 1 Water pressure pump, 6000 ltr Water tank, 6000 ltr Septic tank with stairs)</v>
      </c>
      <c r="E6" s="176"/>
      <c r="F6" s="177"/>
      <c r="G6" s="104">
        <f>MRS!G6</f>
        <v>1</v>
      </c>
      <c r="H6" s="104">
        <f>MRS!H6</f>
        <v>1</v>
      </c>
      <c r="I6" s="105">
        <f>MRS!I6</f>
        <v>38000</v>
      </c>
      <c r="J6" s="105">
        <f>MRS!J6</f>
        <v>38000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3" t="str">
        <f>MRS!B7</f>
        <v>Transportation Charges</v>
      </c>
      <c r="C7" s="174"/>
      <c r="D7" s="175">
        <f>MRS!D7</f>
        <v>0</v>
      </c>
      <c r="E7" s="176"/>
      <c r="F7" s="177"/>
      <c r="G7" s="104" t="str">
        <f>MRS!G7</f>
        <v>Trip</v>
      </c>
      <c r="H7" s="104">
        <f>MRS!H7</f>
        <v>1</v>
      </c>
      <c r="I7" s="105">
        <f>MRS!I7</f>
        <v>2200</v>
      </c>
      <c r="J7" s="105">
        <f>MRS!J7</f>
        <v>2200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3">
        <f>MRS!B8</f>
        <v>0</v>
      </c>
      <c r="C8" s="174"/>
      <c r="D8" s="175">
        <f>MRS!D8</f>
        <v>0</v>
      </c>
      <c r="E8" s="176"/>
      <c r="F8" s="177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3" t="e">
        <f>MRS!#REF!</f>
        <v>#REF!</v>
      </c>
      <c r="C9" s="174"/>
      <c r="D9" s="175" t="e">
        <f>MRS!#REF!</f>
        <v>#REF!</v>
      </c>
      <c r="E9" s="176"/>
      <c r="F9" s="177"/>
      <c r="G9" s="104" t="e">
        <f>MRS!#REF!</f>
        <v>#REF!</v>
      </c>
      <c r="H9" s="104" t="e">
        <f>MRS!#REF!</f>
        <v>#REF!</v>
      </c>
      <c r="I9" s="105" t="e">
        <f>MRS!#REF!</f>
        <v>#REF!</v>
      </c>
      <c r="J9" s="105" t="e">
        <f>MRS!#REF!</f>
        <v>#REF!</v>
      </c>
      <c r="K9" s="106"/>
      <c r="O9" s="107"/>
      <c r="P9" s="107"/>
      <c r="R9" s="107"/>
    </row>
    <row r="10" spans="1:18" ht="105" customHeight="1">
      <c r="A10" s="21" t="e">
        <f>+MRS!#REF!</f>
        <v>#REF!</v>
      </c>
      <c r="B10" s="173" t="e">
        <f>MRS!#REF!</f>
        <v>#REF!</v>
      </c>
      <c r="C10" s="174"/>
      <c r="D10" s="175" t="e">
        <f>MRS!#REF!</f>
        <v>#REF!</v>
      </c>
      <c r="E10" s="176"/>
      <c r="F10" s="177"/>
      <c r="G10" s="104" t="e">
        <f>MRS!#REF!</f>
        <v>#REF!</v>
      </c>
      <c r="H10" s="104" t="e">
        <f>MRS!#REF!</f>
        <v>#REF!</v>
      </c>
      <c r="I10" s="105" t="e">
        <f>MRS!#REF!</f>
        <v>#REF!</v>
      </c>
      <c r="J10" s="105" t="e">
        <f>MRS!#REF!</f>
        <v>#REF!</v>
      </c>
      <c r="K10" s="106"/>
      <c r="O10" s="107"/>
      <c r="P10" s="107"/>
      <c r="R10" s="107"/>
    </row>
    <row r="11" spans="1:18" ht="105" customHeight="1">
      <c r="A11" s="21" t="e">
        <f>+MRS!#REF!</f>
        <v>#REF!</v>
      </c>
      <c r="B11" s="168"/>
      <c r="C11" s="169"/>
      <c r="D11" s="170"/>
      <c r="E11" s="171"/>
      <c r="F11" s="172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+MRS!A9</f>
        <v>4</v>
      </c>
      <c r="B12" s="168"/>
      <c r="C12" s="169"/>
      <c r="D12" s="170"/>
      <c r="E12" s="171"/>
      <c r="F12" s="172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+MRS!A10</f>
        <v>5</v>
      </c>
      <c r="B13" s="168"/>
      <c r="C13" s="169"/>
      <c r="D13" s="170"/>
      <c r="E13" s="171"/>
      <c r="F13" s="172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+MRS!A11</f>
        <v>6</v>
      </c>
      <c r="B14" s="168"/>
      <c r="C14" s="169"/>
      <c r="D14" s="170"/>
      <c r="E14" s="171"/>
      <c r="F14" s="172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+MRS!A13</f>
        <v>8</v>
      </c>
      <c r="B15" s="168"/>
      <c r="C15" s="169"/>
      <c r="D15" s="170"/>
      <c r="E15" s="171"/>
      <c r="F15" s="172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zoomScale="130" zoomScaleSheetLayoutView="130" workbookViewId="0">
      <selection activeCell="I16" sqref="I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103</v>
      </c>
      <c r="D9" s="39"/>
      <c r="E9" s="39"/>
    </row>
    <row r="10" spans="2:13" s="39" customFormat="1">
      <c r="B10" s="72"/>
      <c r="C10" s="39" t="s">
        <v>32</v>
      </c>
      <c r="D10" s="36">
        <v>2055131152</v>
      </c>
      <c r="J10" s="39" t="s">
        <v>33</v>
      </c>
      <c r="K10" s="185">
        <f>MRS!L3</f>
        <v>45909</v>
      </c>
      <c r="L10" s="186"/>
      <c r="M10" s="186"/>
    </row>
    <row r="11" spans="2:13" s="39" customFormat="1">
      <c r="B11" s="72"/>
      <c r="C11" s="75" t="s">
        <v>34</v>
      </c>
      <c r="D11" s="76" t="s">
        <v>104</v>
      </c>
      <c r="J11" s="39" t="s">
        <v>35</v>
      </c>
      <c r="K11" s="187" t="str">
        <f>SUBSTITUTE(SUBSTITUTE(+MRS!A3,"  MRS No : ",""),"-MRS","-PO")</f>
        <v>SAC2-DS-PO-0123</v>
      </c>
      <c r="L11" s="187"/>
      <c r="M11" s="187"/>
    </row>
    <row r="12" spans="2:13" s="39" customFormat="1">
      <c r="B12" s="72"/>
      <c r="C12" s="75" t="s">
        <v>36</v>
      </c>
      <c r="D12" s="39" t="s">
        <v>105</v>
      </c>
      <c r="J12" s="39" t="s">
        <v>37</v>
      </c>
    </row>
    <row r="13" spans="2:13" s="39" customFormat="1">
      <c r="B13" s="72"/>
      <c r="C13" s="77"/>
      <c r="D13" s="76" t="s">
        <v>109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118</v>
      </c>
    </row>
    <row r="15" spans="2:13" s="39" customFormat="1">
      <c r="C15" s="77" t="s">
        <v>107</v>
      </c>
      <c r="J15" s="39" t="s">
        <v>40</v>
      </c>
      <c r="K15" s="78">
        <v>45901</v>
      </c>
    </row>
    <row r="16" spans="2:13" ht="12" customHeight="1">
      <c r="C16" s="29"/>
      <c r="K16" s="30"/>
    </row>
    <row r="17" spans="2:13" ht="20.25">
      <c r="B17" s="188" t="s">
        <v>41</v>
      </c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</row>
    <row r="18" spans="2:13" ht="12" customHeight="1"/>
    <row r="19" spans="2:13" s="31" customFormat="1" ht="12" customHeight="1">
      <c r="B19" s="189" t="s">
        <v>42</v>
      </c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</row>
    <row r="20" spans="2:13" s="31" customFormat="1" ht="12" customHeight="1">
      <c r="B20" s="189" t="s">
        <v>43</v>
      </c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</row>
    <row r="21" spans="2:13" s="31" customFormat="1" ht="12" customHeight="1">
      <c r="B21" s="189" t="s">
        <v>44</v>
      </c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</row>
    <row r="22" spans="2:13" ht="6.95" customHeight="1"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119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2">
        <v>40200</v>
      </c>
      <c r="G28" s="192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2">
        <f>F28*15%</f>
        <v>6030</v>
      </c>
      <c r="G29" s="192"/>
    </row>
    <row r="30" spans="2:13" ht="15" customHeight="1">
      <c r="B30" s="32"/>
      <c r="C30" s="26" t="s">
        <v>51</v>
      </c>
      <c r="D30" s="35"/>
      <c r="E30" s="26" t="s">
        <v>49</v>
      </c>
      <c r="F30" s="192">
        <f>SUM(F28:G29)</f>
        <v>46230</v>
      </c>
      <c r="G30" s="192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MOHAMMED ASHRAF</v>
      </c>
    </row>
    <row r="59" spans="1:13" ht="18" customHeight="1">
      <c r="B59" s="26" t="s">
        <v>71</v>
      </c>
      <c r="J59" s="26" t="s">
        <v>72</v>
      </c>
      <c r="K59" s="22" t="s">
        <v>108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120</v>
      </c>
      <c r="J61" s="32" t="str">
        <f>C9</f>
        <v>SCCL(Sweep Care Co. Ltd.)</v>
      </c>
    </row>
    <row r="62" spans="1:13" ht="27.95" customHeight="1">
      <c r="A62" s="184" t="s">
        <v>75</v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Normal="100" zoomScaleSheetLayoutView="100" zoomScalePageLayoutView="55" workbookViewId="0">
      <selection activeCell="G19" sqref="G1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SAC2-DS-PO-0123</v>
      </c>
      <c r="C2" s="199" t="s">
        <v>77</v>
      </c>
      <c r="D2" s="199"/>
      <c r="E2" s="199"/>
      <c r="F2" s="199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45909</v>
      </c>
      <c r="C3" s="51"/>
      <c r="D3" s="52"/>
      <c r="E3" s="200" t="s">
        <v>79</v>
      </c>
      <c r="F3" s="200"/>
      <c r="G3" s="200"/>
      <c r="H3" s="200"/>
      <c r="I3" s="53"/>
    </row>
    <row r="4" spans="1:13" s="55" customFormat="1" ht="28.5" customHeight="1" thickTop="1">
      <c r="A4" s="201" t="s">
        <v>80</v>
      </c>
      <c r="B4" s="203" t="s">
        <v>81</v>
      </c>
      <c r="C4" s="204"/>
      <c r="D4" s="207" t="s">
        <v>82</v>
      </c>
      <c r="E4" s="207" t="s">
        <v>83</v>
      </c>
      <c r="F4" s="209" t="str">
        <f>'PO 1st page'!C9</f>
        <v>SCCL(Sweep Care Co. Ltd.)</v>
      </c>
      <c r="G4" s="210"/>
      <c r="H4" s="211" t="s">
        <v>84</v>
      </c>
      <c r="K4" s="56"/>
      <c r="L4" s="56"/>
      <c r="M4" s="56"/>
    </row>
    <row r="5" spans="1:13" s="55" customFormat="1" ht="21.95" customHeight="1">
      <c r="A5" s="202"/>
      <c r="B5" s="205"/>
      <c r="C5" s="206"/>
      <c r="D5" s="208"/>
      <c r="E5" s="208"/>
      <c r="F5" s="57" t="s">
        <v>85</v>
      </c>
      <c r="G5" s="57" t="s">
        <v>51</v>
      </c>
      <c r="H5" s="212"/>
      <c r="K5" s="56"/>
      <c r="L5" s="56"/>
      <c r="M5" s="56"/>
    </row>
    <row r="6" spans="1:13" s="55" customFormat="1" ht="78" customHeight="1">
      <c r="A6" s="85">
        <f t="shared" ref="A6:A17" si="0">ROW(A1)</f>
        <v>1</v>
      </c>
      <c r="B6" s="213" t="str">
        <f>MRS!B6 &amp;" " &amp;MRS!D6</f>
        <v>Container Toilet 4 meter (2 Western Commode, 2 Indian Commode, 1 Washbasin, 3 Urinals, 4 Exhaust fan, 2 Mirror, 2 Window AC, 1 Water pressure pump, 6000 ltr Water tank, 6000 ltr Septic tank with stairs)</v>
      </c>
      <c r="C6" s="214"/>
      <c r="D6" s="86">
        <f>+'MRS LIST'!G6</f>
        <v>1</v>
      </c>
      <c r="E6" s="87">
        <f>+'MRS LIST'!H6</f>
        <v>1</v>
      </c>
      <c r="F6" s="88">
        <f>+'MRS LIST'!I6</f>
        <v>38000</v>
      </c>
      <c r="G6" s="89">
        <f>+'MRS LIST'!J6</f>
        <v>38000</v>
      </c>
      <c r="H6" s="90" t="str">
        <f>MRS!L6</f>
        <v>One time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13" t="str">
        <f>MRS!B7</f>
        <v>Transportation Charges</v>
      </c>
      <c r="C7" s="214"/>
      <c r="D7" s="86" t="str">
        <f>+'MRS LIST'!G7</f>
        <v>Trip</v>
      </c>
      <c r="E7" s="87">
        <f>+'MRS LIST'!H7</f>
        <v>1</v>
      </c>
      <c r="F7" s="88">
        <f>+'MRS LIST'!I7</f>
        <v>2200</v>
      </c>
      <c r="G7" s="89">
        <f>+'MRS LIST'!J7</f>
        <v>2200</v>
      </c>
      <c r="H7" s="90" t="str">
        <f>MRS!L7</f>
        <v>"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13"/>
      <c r="C8" s="214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3"/>
      <c r="C9" s="214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3"/>
      <c r="C10" s="214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97"/>
      <c r="C11" s="198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7"/>
      <c r="C12" s="19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7"/>
      <c r="C13" s="19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7"/>
      <c r="C14" s="19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7"/>
      <c r="C15" s="19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7"/>
      <c r="C16" s="19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7"/>
      <c r="C17" s="198"/>
      <c r="D17" s="94"/>
      <c r="E17" s="95"/>
      <c r="F17" s="96"/>
      <c r="G17" s="97"/>
      <c r="H17" s="98"/>
    </row>
    <row r="18" spans="1:13" s="55" customFormat="1" ht="23.1" customHeight="1">
      <c r="A18" s="193" t="s">
        <v>86</v>
      </c>
      <c r="B18" s="194"/>
      <c r="C18" s="194"/>
      <c r="D18" s="194"/>
      <c r="E18" s="194"/>
      <c r="F18" s="194"/>
      <c r="G18" s="58">
        <f>SUM(G6:G17)</f>
        <v>40200</v>
      </c>
      <c r="H18" s="59"/>
    </row>
    <row r="19" spans="1:13" s="55" customFormat="1" ht="23.1" customHeight="1">
      <c r="A19" s="193" t="s">
        <v>50</v>
      </c>
      <c r="B19" s="194"/>
      <c r="C19" s="194"/>
      <c r="D19" s="194"/>
      <c r="E19" s="194"/>
      <c r="F19" s="194"/>
      <c r="G19" s="58">
        <f>+G18*0.15</f>
        <v>6030</v>
      </c>
      <c r="H19" s="59"/>
    </row>
    <row r="20" spans="1:13" s="55" customFormat="1" ht="23.1" customHeight="1">
      <c r="A20" s="193" t="s">
        <v>100</v>
      </c>
      <c r="B20" s="194"/>
      <c r="C20" s="194"/>
      <c r="D20" s="194"/>
      <c r="E20" s="194"/>
      <c r="F20" s="194"/>
      <c r="G20" s="126">
        <v>0</v>
      </c>
      <c r="H20" s="127"/>
    </row>
    <row r="21" spans="1:13" s="55" customFormat="1" ht="24.95" customHeight="1" thickBot="1">
      <c r="A21" s="195" t="s">
        <v>87</v>
      </c>
      <c r="B21" s="196"/>
      <c r="C21" s="196"/>
      <c r="D21" s="196"/>
      <c r="E21" s="196"/>
      <c r="F21" s="196"/>
      <c r="G21" s="60">
        <f>SUM(G18:G20)</f>
        <v>46230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SC-EQTN-2025-0601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4" t="s">
        <v>89</v>
      </c>
      <c r="B25" s="184"/>
      <c r="C25" s="184"/>
      <c r="D25" s="184"/>
      <c r="E25" s="184"/>
      <c r="F25" s="184"/>
      <c r="G25" s="184"/>
      <c r="H25" s="184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2025-09-10T03:22:22Z</cp:lastPrinted>
  <dcterms:created xsi:type="dcterms:W3CDTF">2024-10-20T11:50:19Z</dcterms:created>
  <dcterms:modified xsi:type="dcterms:W3CDTF">2025-09-10T03:24:54Z</dcterms:modified>
</cp:coreProperties>
</file>