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26F5CDE5-07D4-4E7D-A3ED-831738F75F13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MRS!$A$1:$L$112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page'!$A$1:$H$109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4" l="1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D102" i="4"/>
  <c r="E97" i="4"/>
  <c r="B95" i="4"/>
  <c r="F92" i="4"/>
  <c r="D91" i="4"/>
  <c r="D90" i="4"/>
  <c r="E86" i="4"/>
  <c r="E85" i="4"/>
  <c r="B83" i="4"/>
  <c r="B81" i="4"/>
  <c r="F80" i="4"/>
  <c r="D79" i="4"/>
  <c r="D78" i="4"/>
  <c r="F77" i="4"/>
  <c r="E74" i="4"/>
  <c r="E73" i="4"/>
  <c r="B71" i="4"/>
  <c r="B69" i="4"/>
  <c r="F68" i="4"/>
  <c r="D67" i="4"/>
  <c r="D66" i="4"/>
  <c r="F65" i="4"/>
  <c r="E62" i="4"/>
  <c r="E61" i="4"/>
  <c r="B59" i="4"/>
  <c r="B57" i="4"/>
  <c r="F56" i="4"/>
  <c r="D55" i="4"/>
  <c r="D54" i="4"/>
  <c r="E49" i="4"/>
  <c r="B47" i="4"/>
  <c r="B45" i="4"/>
  <c r="F44" i="4"/>
  <c r="D42" i="4"/>
  <c r="E37" i="4"/>
  <c r="B35" i="4"/>
  <c r="F32" i="4"/>
  <c r="D30" i="4"/>
  <c r="E25" i="4"/>
  <c r="B23" i="4"/>
  <c r="F20" i="4"/>
  <c r="D18" i="4"/>
  <c r="G15" i="4"/>
  <c r="E13" i="4"/>
  <c r="B11" i="4"/>
  <c r="A8" i="4"/>
  <c r="E7" i="4"/>
  <c r="I102" i="2"/>
  <c r="F102" i="4" s="1"/>
  <c r="H102" i="2"/>
  <c r="E102" i="4" s="1"/>
  <c r="G102" i="2"/>
  <c r="D102" i="2"/>
  <c r="B102" i="2"/>
  <c r="B102" i="4" s="1"/>
  <c r="I101" i="2"/>
  <c r="F101" i="4" s="1"/>
  <c r="H101" i="2"/>
  <c r="E101" i="4" s="1"/>
  <c r="G101" i="2"/>
  <c r="D101" i="4" s="1"/>
  <c r="D101" i="2"/>
  <c r="B101" i="2"/>
  <c r="B101" i="4" s="1"/>
  <c r="I100" i="2"/>
  <c r="F100" i="4" s="1"/>
  <c r="H100" i="2"/>
  <c r="E100" i="4" s="1"/>
  <c r="G100" i="2"/>
  <c r="D100" i="4" s="1"/>
  <c r="D100" i="2"/>
  <c r="B100" i="2"/>
  <c r="B100" i="4" s="1"/>
  <c r="J99" i="2"/>
  <c r="G99" i="4" s="1"/>
  <c r="I99" i="2"/>
  <c r="F99" i="4" s="1"/>
  <c r="H99" i="2"/>
  <c r="E99" i="4" s="1"/>
  <c r="G99" i="2"/>
  <c r="D99" i="4" s="1"/>
  <c r="D99" i="2"/>
  <c r="B99" i="2"/>
  <c r="B99" i="4" s="1"/>
  <c r="I98" i="2"/>
  <c r="F98" i="4" s="1"/>
  <c r="H98" i="2"/>
  <c r="E98" i="4" s="1"/>
  <c r="G98" i="2"/>
  <c r="D98" i="4" s="1"/>
  <c r="D98" i="2"/>
  <c r="B98" i="2"/>
  <c r="B98" i="4" s="1"/>
  <c r="I97" i="2"/>
  <c r="F97" i="4" s="1"/>
  <c r="H97" i="2"/>
  <c r="G97" i="2"/>
  <c r="D97" i="4" s="1"/>
  <c r="D97" i="2"/>
  <c r="B97" i="2"/>
  <c r="B97" i="4" s="1"/>
  <c r="I96" i="2"/>
  <c r="F96" i="4" s="1"/>
  <c r="H96" i="2"/>
  <c r="E96" i="4" s="1"/>
  <c r="G96" i="2"/>
  <c r="D96" i="4" s="1"/>
  <c r="D96" i="2"/>
  <c r="B96" i="2"/>
  <c r="B96" i="4" s="1"/>
  <c r="I95" i="2"/>
  <c r="F95" i="4" s="1"/>
  <c r="H95" i="2"/>
  <c r="E95" i="4" s="1"/>
  <c r="G95" i="2"/>
  <c r="D95" i="4" s="1"/>
  <c r="D95" i="2"/>
  <c r="B95" i="2"/>
  <c r="I94" i="2"/>
  <c r="F94" i="4" s="1"/>
  <c r="H94" i="2"/>
  <c r="E94" i="4" s="1"/>
  <c r="G94" i="2"/>
  <c r="D94" i="4" s="1"/>
  <c r="D94" i="2"/>
  <c r="B94" i="2"/>
  <c r="B94" i="4" s="1"/>
  <c r="I93" i="2"/>
  <c r="F93" i="4" s="1"/>
  <c r="H93" i="2"/>
  <c r="E93" i="4" s="1"/>
  <c r="G93" i="2"/>
  <c r="D93" i="4" s="1"/>
  <c r="D93" i="2"/>
  <c r="B93" i="2"/>
  <c r="B93" i="4" s="1"/>
  <c r="I92" i="2"/>
  <c r="H92" i="2"/>
  <c r="E92" i="4" s="1"/>
  <c r="G92" i="2"/>
  <c r="D92" i="4" s="1"/>
  <c r="D92" i="2"/>
  <c r="B92" i="2"/>
  <c r="B92" i="4" s="1"/>
  <c r="I91" i="2"/>
  <c r="F91" i="4" s="1"/>
  <c r="H91" i="2"/>
  <c r="E91" i="4" s="1"/>
  <c r="G91" i="2"/>
  <c r="D91" i="2"/>
  <c r="B91" i="2"/>
  <c r="B91" i="4" s="1"/>
  <c r="I90" i="2"/>
  <c r="F90" i="4" s="1"/>
  <c r="H90" i="2"/>
  <c r="E90" i="4" s="1"/>
  <c r="G90" i="2"/>
  <c r="D90" i="2"/>
  <c r="B90" i="2"/>
  <c r="B90" i="4" s="1"/>
  <c r="I89" i="2"/>
  <c r="F89" i="4" s="1"/>
  <c r="H89" i="2"/>
  <c r="E89" i="4" s="1"/>
  <c r="G89" i="2"/>
  <c r="D89" i="4" s="1"/>
  <c r="D89" i="2"/>
  <c r="B89" i="2"/>
  <c r="B89" i="4" s="1"/>
  <c r="I88" i="2"/>
  <c r="F88" i="4" s="1"/>
  <c r="H88" i="2"/>
  <c r="E88" i="4" s="1"/>
  <c r="G88" i="2"/>
  <c r="D88" i="4" s="1"/>
  <c r="D88" i="2"/>
  <c r="B88" i="2"/>
  <c r="B88" i="4" s="1"/>
  <c r="J87" i="2"/>
  <c r="G87" i="4" s="1"/>
  <c r="I87" i="2"/>
  <c r="F87" i="4" s="1"/>
  <c r="H87" i="2"/>
  <c r="E87" i="4" s="1"/>
  <c r="G87" i="2"/>
  <c r="D87" i="4" s="1"/>
  <c r="D87" i="2"/>
  <c r="B87" i="2"/>
  <c r="B87" i="4" s="1"/>
  <c r="I86" i="2"/>
  <c r="F86" i="4" s="1"/>
  <c r="H86" i="2"/>
  <c r="G86" i="2"/>
  <c r="D86" i="4" s="1"/>
  <c r="D86" i="2"/>
  <c r="B86" i="2"/>
  <c r="B86" i="4" s="1"/>
  <c r="I85" i="2"/>
  <c r="F85" i="4" s="1"/>
  <c r="H85" i="2"/>
  <c r="G85" i="2"/>
  <c r="D85" i="4" s="1"/>
  <c r="D85" i="2"/>
  <c r="B85" i="2"/>
  <c r="B85" i="4" s="1"/>
  <c r="I84" i="2"/>
  <c r="F84" i="4" s="1"/>
  <c r="H84" i="2"/>
  <c r="E84" i="4" s="1"/>
  <c r="G84" i="2"/>
  <c r="D84" i="4" s="1"/>
  <c r="D84" i="2"/>
  <c r="B84" i="2"/>
  <c r="B84" i="4" s="1"/>
  <c r="I83" i="2"/>
  <c r="F83" i="4" s="1"/>
  <c r="H83" i="2"/>
  <c r="E83" i="4" s="1"/>
  <c r="G83" i="2"/>
  <c r="D83" i="4" s="1"/>
  <c r="D83" i="2"/>
  <c r="B83" i="2"/>
  <c r="I82" i="2"/>
  <c r="F82" i="4" s="1"/>
  <c r="H82" i="2"/>
  <c r="E82" i="4" s="1"/>
  <c r="G82" i="2"/>
  <c r="D82" i="4" s="1"/>
  <c r="D82" i="2"/>
  <c r="B82" i="2"/>
  <c r="B82" i="4" s="1"/>
  <c r="I81" i="2"/>
  <c r="F81" i="4" s="1"/>
  <c r="H81" i="2"/>
  <c r="E81" i="4" s="1"/>
  <c r="G81" i="2"/>
  <c r="D81" i="4" s="1"/>
  <c r="D81" i="2"/>
  <c r="B81" i="2"/>
  <c r="I80" i="2"/>
  <c r="H80" i="2"/>
  <c r="E80" i="4" s="1"/>
  <c r="G80" i="2"/>
  <c r="D80" i="4" s="1"/>
  <c r="D80" i="2"/>
  <c r="B80" i="2"/>
  <c r="B80" i="4" s="1"/>
  <c r="I79" i="2"/>
  <c r="F79" i="4" s="1"/>
  <c r="H79" i="2"/>
  <c r="E79" i="4" s="1"/>
  <c r="G79" i="2"/>
  <c r="D79" i="2"/>
  <c r="B79" i="2"/>
  <c r="B79" i="4" s="1"/>
  <c r="I78" i="2"/>
  <c r="F78" i="4" s="1"/>
  <c r="H78" i="2"/>
  <c r="E78" i="4" s="1"/>
  <c r="G78" i="2"/>
  <c r="D78" i="2"/>
  <c r="B78" i="2"/>
  <c r="B78" i="4" s="1"/>
  <c r="I77" i="2"/>
  <c r="H77" i="2"/>
  <c r="E77" i="4" s="1"/>
  <c r="G77" i="2"/>
  <c r="D77" i="4" s="1"/>
  <c r="D77" i="2"/>
  <c r="B77" i="2"/>
  <c r="B77" i="4" s="1"/>
  <c r="I76" i="2"/>
  <c r="F76" i="4" s="1"/>
  <c r="H76" i="2"/>
  <c r="E76" i="4" s="1"/>
  <c r="G76" i="2"/>
  <c r="D76" i="4" s="1"/>
  <c r="D76" i="2"/>
  <c r="B76" i="2"/>
  <c r="B76" i="4" s="1"/>
  <c r="J75" i="2"/>
  <c r="G75" i="4" s="1"/>
  <c r="I75" i="2"/>
  <c r="F75" i="4" s="1"/>
  <c r="H75" i="2"/>
  <c r="E75" i="4" s="1"/>
  <c r="G75" i="2"/>
  <c r="D75" i="4" s="1"/>
  <c r="D75" i="2"/>
  <c r="B75" i="2"/>
  <c r="B75" i="4" s="1"/>
  <c r="I74" i="2"/>
  <c r="F74" i="4" s="1"/>
  <c r="H74" i="2"/>
  <c r="G74" i="2"/>
  <c r="D74" i="4" s="1"/>
  <c r="D74" i="2"/>
  <c r="B74" i="2"/>
  <c r="B74" i="4" s="1"/>
  <c r="I73" i="2"/>
  <c r="F73" i="4" s="1"/>
  <c r="H73" i="2"/>
  <c r="G73" i="2"/>
  <c r="D73" i="4" s="1"/>
  <c r="D73" i="2"/>
  <c r="B73" i="2"/>
  <c r="B73" i="4" s="1"/>
  <c r="I72" i="2"/>
  <c r="F72" i="4" s="1"/>
  <c r="H72" i="2"/>
  <c r="E72" i="4" s="1"/>
  <c r="G72" i="2"/>
  <c r="D72" i="4" s="1"/>
  <c r="D72" i="2"/>
  <c r="B72" i="2"/>
  <c r="B72" i="4" s="1"/>
  <c r="I71" i="2"/>
  <c r="F71" i="4" s="1"/>
  <c r="H71" i="2"/>
  <c r="E71" i="4" s="1"/>
  <c r="G71" i="2"/>
  <c r="D71" i="4" s="1"/>
  <c r="D71" i="2"/>
  <c r="B71" i="2"/>
  <c r="I70" i="2"/>
  <c r="F70" i="4" s="1"/>
  <c r="H70" i="2"/>
  <c r="E70" i="4" s="1"/>
  <c r="G70" i="2"/>
  <c r="D70" i="4" s="1"/>
  <c r="D70" i="2"/>
  <c r="B70" i="2"/>
  <c r="B70" i="4" s="1"/>
  <c r="I69" i="2"/>
  <c r="F69" i="4" s="1"/>
  <c r="H69" i="2"/>
  <c r="E69" i="4" s="1"/>
  <c r="G69" i="2"/>
  <c r="D69" i="4" s="1"/>
  <c r="D69" i="2"/>
  <c r="B69" i="2"/>
  <c r="I68" i="2"/>
  <c r="H68" i="2"/>
  <c r="E68" i="4" s="1"/>
  <c r="G68" i="2"/>
  <c r="D68" i="4" s="1"/>
  <c r="D68" i="2"/>
  <c r="B68" i="2"/>
  <c r="B68" i="4" s="1"/>
  <c r="I67" i="2"/>
  <c r="F67" i="4" s="1"/>
  <c r="H67" i="2"/>
  <c r="E67" i="4" s="1"/>
  <c r="G67" i="2"/>
  <c r="D67" i="2"/>
  <c r="B67" i="2"/>
  <c r="B67" i="4" s="1"/>
  <c r="I66" i="2"/>
  <c r="F66" i="4" s="1"/>
  <c r="H66" i="2"/>
  <c r="E66" i="4" s="1"/>
  <c r="G66" i="2"/>
  <c r="D66" i="2"/>
  <c r="B66" i="2"/>
  <c r="B66" i="4" s="1"/>
  <c r="I65" i="2"/>
  <c r="H65" i="2"/>
  <c r="E65" i="4" s="1"/>
  <c r="G65" i="2"/>
  <c r="D65" i="4" s="1"/>
  <c r="D65" i="2"/>
  <c r="B65" i="2"/>
  <c r="B65" i="4" s="1"/>
  <c r="I64" i="2"/>
  <c r="F64" i="4" s="1"/>
  <c r="H64" i="2"/>
  <c r="E64" i="4" s="1"/>
  <c r="G64" i="2"/>
  <c r="D64" i="4" s="1"/>
  <c r="D64" i="2"/>
  <c r="B64" i="2"/>
  <c r="B64" i="4" s="1"/>
  <c r="J63" i="2"/>
  <c r="G63" i="4" s="1"/>
  <c r="I63" i="2"/>
  <c r="F63" i="4" s="1"/>
  <c r="H63" i="2"/>
  <c r="E63" i="4" s="1"/>
  <c r="G63" i="2"/>
  <c r="D63" i="4" s="1"/>
  <c r="D63" i="2"/>
  <c r="B63" i="2"/>
  <c r="B63" i="4" s="1"/>
  <c r="I62" i="2"/>
  <c r="F62" i="4" s="1"/>
  <c r="H62" i="2"/>
  <c r="G62" i="2"/>
  <c r="D62" i="4" s="1"/>
  <c r="D62" i="2"/>
  <c r="B62" i="2"/>
  <c r="B62" i="4" s="1"/>
  <c r="I61" i="2"/>
  <c r="F61" i="4" s="1"/>
  <c r="H61" i="2"/>
  <c r="G61" i="2"/>
  <c r="D61" i="4" s="1"/>
  <c r="D61" i="2"/>
  <c r="B61" i="2"/>
  <c r="B61" i="4" s="1"/>
  <c r="I60" i="2"/>
  <c r="F60" i="4" s="1"/>
  <c r="H60" i="2"/>
  <c r="E60" i="4" s="1"/>
  <c r="G60" i="2"/>
  <c r="D60" i="4" s="1"/>
  <c r="D60" i="2"/>
  <c r="B60" i="2"/>
  <c r="B60" i="4" s="1"/>
  <c r="I59" i="2"/>
  <c r="F59" i="4" s="1"/>
  <c r="H59" i="2"/>
  <c r="E59" i="4" s="1"/>
  <c r="G59" i="2"/>
  <c r="D59" i="4" s="1"/>
  <c r="D59" i="2"/>
  <c r="B59" i="2"/>
  <c r="I58" i="2"/>
  <c r="F58" i="4" s="1"/>
  <c r="H58" i="2"/>
  <c r="E58" i="4" s="1"/>
  <c r="G58" i="2"/>
  <c r="D58" i="4" s="1"/>
  <c r="D58" i="2"/>
  <c r="B58" i="2"/>
  <c r="B58" i="4" s="1"/>
  <c r="I57" i="2"/>
  <c r="F57" i="4" s="1"/>
  <c r="H57" i="2"/>
  <c r="E57" i="4" s="1"/>
  <c r="G57" i="2"/>
  <c r="D57" i="4" s="1"/>
  <c r="D57" i="2"/>
  <c r="B57" i="2"/>
  <c r="I56" i="2"/>
  <c r="H56" i="2"/>
  <c r="E56" i="4" s="1"/>
  <c r="G56" i="2"/>
  <c r="D56" i="4" s="1"/>
  <c r="D56" i="2"/>
  <c r="B56" i="2"/>
  <c r="B56" i="4" s="1"/>
  <c r="I55" i="2"/>
  <c r="F55" i="4" s="1"/>
  <c r="H55" i="2"/>
  <c r="E55" i="4" s="1"/>
  <c r="G55" i="2"/>
  <c r="D55" i="2"/>
  <c r="B55" i="2"/>
  <c r="B55" i="4" s="1"/>
  <c r="I54" i="2"/>
  <c r="F54" i="4" s="1"/>
  <c r="H54" i="2"/>
  <c r="E54" i="4" s="1"/>
  <c r="G54" i="2"/>
  <c r="D54" i="2"/>
  <c r="B54" i="2"/>
  <c r="B54" i="4" s="1"/>
  <c r="I53" i="2"/>
  <c r="F53" i="4" s="1"/>
  <c r="H53" i="2"/>
  <c r="E53" i="4" s="1"/>
  <c r="G53" i="2"/>
  <c r="D53" i="4" s="1"/>
  <c r="D53" i="2"/>
  <c r="B53" i="2"/>
  <c r="B53" i="4" s="1"/>
  <c r="I52" i="2"/>
  <c r="F52" i="4" s="1"/>
  <c r="H52" i="2"/>
  <c r="E52" i="4" s="1"/>
  <c r="G52" i="2"/>
  <c r="D52" i="4" s="1"/>
  <c r="D52" i="2"/>
  <c r="B52" i="2"/>
  <c r="B52" i="4" s="1"/>
  <c r="J51" i="2"/>
  <c r="G51" i="4" s="1"/>
  <c r="I51" i="2"/>
  <c r="F51" i="4" s="1"/>
  <c r="H51" i="2"/>
  <c r="E51" i="4" s="1"/>
  <c r="G51" i="2"/>
  <c r="D51" i="4" s="1"/>
  <c r="D51" i="2"/>
  <c r="B51" i="2"/>
  <c r="B51" i="4" s="1"/>
  <c r="I50" i="2"/>
  <c r="F50" i="4" s="1"/>
  <c r="H50" i="2"/>
  <c r="E50" i="4" s="1"/>
  <c r="G50" i="2"/>
  <c r="D50" i="4" s="1"/>
  <c r="D50" i="2"/>
  <c r="B50" i="2"/>
  <c r="B50" i="4" s="1"/>
  <c r="I49" i="2"/>
  <c r="F49" i="4" s="1"/>
  <c r="H49" i="2"/>
  <c r="G49" i="2"/>
  <c r="D49" i="4" s="1"/>
  <c r="D49" i="2"/>
  <c r="B49" i="2"/>
  <c r="B49" i="4" s="1"/>
  <c r="I48" i="2"/>
  <c r="F48" i="4" s="1"/>
  <c r="H48" i="2"/>
  <c r="E48" i="4" s="1"/>
  <c r="G48" i="2"/>
  <c r="D48" i="4" s="1"/>
  <c r="D48" i="2"/>
  <c r="B48" i="2"/>
  <c r="B48" i="4" s="1"/>
  <c r="I47" i="2"/>
  <c r="F47" i="4" s="1"/>
  <c r="H47" i="2"/>
  <c r="E47" i="4" s="1"/>
  <c r="G47" i="2"/>
  <c r="D47" i="4" s="1"/>
  <c r="D47" i="2"/>
  <c r="B47" i="2"/>
  <c r="I46" i="2"/>
  <c r="F46" i="4" s="1"/>
  <c r="H46" i="2"/>
  <c r="E46" i="4" s="1"/>
  <c r="G46" i="2"/>
  <c r="D46" i="4" s="1"/>
  <c r="D46" i="2"/>
  <c r="B46" i="2"/>
  <c r="B46" i="4" s="1"/>
  <c r="I45" i="2"/>
  <c r="F45" i="4" s="1"/>
  <c r="H45" i="2"/>
  <c r="E45" i="4" s="1"/>
  <c r="G45" i="2"/>
  <c r="D45" i="4" s="1"/>
  <c r="D45" i="2"/>
  <c r="B45" i="2"/>
  <c r="I44" i="2"/>
  <c r="H44" i="2"/>
  <c r="E44" i="4" s="1"/>
  <c r="G44" i="2"/>
  <c r="D44" i="4" s="1"/>
  <c r="D44" i="2"/>
  <c r="B44" i="2"/>
  <c r="B44" i="4" s="1"/>
  <c r="I43" i="2"/>
  <c r="F43" i="4" s="1"/>
  <c r="H43" i="2"/>
  <c r="E43" i="4" s="1"/>
  <c r="G43" i="2"/>
  <c r="D43" i="4" s="1"/>
  <c r="D43" i="2"/>
  <c r="B43" i="2"/>
  <c r="B43" i="4" s="1"/>
  <c r="I42" i="2"/>
  <c r="F42" i="4" s="1"/>
  <c r="H42" i="2"/>
  <c r="E42" i="4" s="1"/>
  <c r="G42" i="2"/>
  <c r="D42" i="2"/>
  <c r="B42" i="2"/>
  <c r="B42" i="4" s="1"/>
  <c r="I41" i="2"/>
  <c r="F41" i="4" s="1"/>
  <c r="H41" i="2"/>
  <c r="E41" i="4" s="1"/>
  <c r="G41" i="2"/>
  <c r="D41" i="4" s="1"/>
  <c r="D41" i="2"/>
  <c r="B41" i="2"/>
  <c r="B41" i="4" s="1"/>
  <c r="I40" i="2"/>
  <c r="F40" i="4" s="1"/>
  <c r="H40" i="2"/>
  <c r="E40" i="4" s="1"/>
  <c r="G40" i="2"/>
  <c r="D40" i="4" s="1"/>
  <c r="D40" i="2"/>
  <c r="B40" i="2"/>
  <c r="B40" i="4" s="1"/>
  <c r="J39" i="2"/>
  <c r="G39" i="4" s="1"/>
  <c r="I39" i="2"/>
  <c r="F39" i="4" s="1"/>
  <c r="H39" i="2"/>
  <c r="E39" i="4" s="1"/>
  <c r="G39" i="2"/>
  <c r="D39" i="4" s="1"/>
  <c r="D39" i="2"/>
  <c r="B39" i="2"/>
  <c r="B39" i="4" s="1"/>
  <c r="I38" i="2"/>
  <c r="F38" i="4" s="1"/>
  <c r="H38" i="2"/>
  <c r="E38" i="4" s="1"/>
  <c r="G38" i="2"/>
  <c r="D38" i="4" s="1"/>
  <c r="D38" i="2"/>
  <c r="B38" i="2"/>
  <c r="B38" i="4" s="1"/>
  <c r="I37" i="2"/>
  <c r="F37" i="4" s="1"/>
  <c r="H37" i="2"/>
  <c r="G37" i="2"/>
  <c r="D37" i="4" s="1"/>
  <c r="D37" i="2"/>
  <c r="B37" i="2"/>
  <c r="B37" i="4" s="1"/>
  <c r="I36" i="2"/>
  <c r="F36" i="4" s="1"/>
  <c r="H36" i="2"/>
  <c r="E36" i="4" s="1"/>
  <c r="G36" i="2"/>
  <c r="D36" i="4" s="1"/>
  <c r="D36" i="2"/>
  <c r="B36" i="2"/>
  <c r="B36" i="4" s="1"/>
  <c r="I35" i="2"/>
  <c r="F35" i="4" s="1"/>
  <c r="H35" i="2"/>
  <c r="E35" i="4" s="1"/>
  <c r="G35" i="2"/>
  <c r="D35" i="4" s="1"/>
  <c r="D35" i="2"/>
  <c r="B35" i="2"/>
  <c r="I34" i="2"/>
  <c r="F34" i="4" s="1"/>
  <c r="H34" i="2"/>
  <c r="E34" i="4" s="1"/>
  <c r="G34" i="2"/>
  <c r="D34" i="4" s="1"/>
  <c r="D34" i="2"/>
  <c r="B34" i="2"/>
  <c r="B34" i="4" s="1"/>
  <c r="I33" i="2"/>
  <c r="F33" i="4" s="1"/>
  <c r="H33" i="2"/>
  <c r="E33" i="4" s="1"/>
  <c r="G33" i="2"/>
  <c r="D33" i="4" s="1"/>
  <c r="D33" i="2"/>
  <c r="B33" i="2"/>
  <c r="B33" i="4" s="1"/>
  <c r="I32" i="2"/>
  <c r="H32" i="2"/>
  <c r="E32" i="4" s="1"/>
  <c r="G32" i="2"/>
  <c r="D32" i="4" s="1"/>
  <c r="D32" i="2"/>
  <c r="B32" i="2"/>
  <c r="B32" i="4" s="1"/>
  <c r="I31" i="2"/>
  <c r="F31" i="4" s="1"/>
  <c r="H31" i="2"/>
  <c r="E31" i="4" s="1"/>
  <c r="G31" i="2"/>
  <c r="D31" i="4" s="1"/>
  <c r="D31" i="2"/>
  <c r="B31" i="2"/>
  <c r="B31" i="4" s="1"/>
  <c r="I30" i="2"/>
  <c r="F30" i="4" s="1"/>
  <c r="H30" i="2"/>
  <c r="E30" i="4" s="1"/>
  <c r="G30" i="2"/>
  <c r="D30" i="2"/>
  <c r="B30" i="2"/>
  <c r="B30" i="4" s="1"/>
  <c r="I29" i="2"/>
  <c r="F29" i="4" s="1"/>
  <c r="H29" i="2"/>
  <c r="E29" i="4" s="1"/>
  <c r="G29" i="2"/>
  <c r="D29" i="4" s="1"/>
  <c r="D29" i="2"/>
  <c r="B29" i="2"/>
  <c r="B29" i="4" s="1"/>
  <c r="I28" i="2"/>
  <c r="F28" i="4" s="1"/>
  <c r="H28" i="2"/>
  <c r="E28" i="4" s="1"/>
  <c r="G28" i="2"/>
  <c r="D28" i="4" s="1"/>
  <c r="D28" i="2"/>
  <c r="B28" i="2"/>
  <c r="B28" i="4" s="1"/>
  <c r="J27" i="2"/>
  <c r="G27" i="4" s="1"/>
  <c r="I27" i="2"/>
  <c r="F27" i="4" s="1"/>
  <c r="H27" i="2"/>
  <c r="E27" i="4" s="1"/>
  <c r="G27" i="2"/>
  <c r="D27" i="4" s="1"/>
  <c r="D27" i="2"/>
  <c r="B27" i="2"/>
  <c r="B27" i="4" s="1"/>
  <c r="I26" i="2"/>
  <c r="F26" i="4" s="1"/>
  <c r="H26" i="2"/>
  <c r="E26" i="4" s="1"/>
  <c r="G26" i="2"/>
  <c r="D26" i="4" s="1"/>
  <c r="D26" i="2"/>
  <c r="B26" i="2"/>
  <c r="B26" i="4" s="1"/>
  <c r="I25" i="2"/>
  <c r="F25" i="4" s="1"/>
  <c r="H25" i="2"/>
  <c r="G25" i="2"/>
  <c r="D25" i="4" s="1"/>
  <c r="D25" i="2"/>
  <c r="B25" i="2"/>
  <c r="B25" i="4" s="1"/>
  <c r="I24" i="2"/>
  <c r="F24" i="4" s="1"/>
  <c r="H24" i="2"/>
  <c r="E24" i="4" s="1"/>
  <c r="G24" i="2"/>
  <c r="D24" i="4" s="1"/>
  <c r="D24" i="2"/>
  <c r="B24" i="2"/>
  <c r="B24" i="4" s="1"/>
  <c r="I23" i="2"/>
  <c r="F23" i="4" s="1"/>
  <c r="H23" i="2"/>
  <c r="E23" i="4" s="1"/>
  <c r="G23" i="2"/>
  <c r="D23" i="4" s="1"/>
  <c r="D23" i="2"/>
  <c r="B23" i="2"/>
  <c r="I22" i="2"/>
  <c r="F22" i="4" s="1"/>
  <c r="H22" i="2"/>
  <c r="E22" i="4" s="1"/>
  <c r="G22" i="2"/>
  <c r="D22" i="4" s="1"/>
  <c r="D22" i="2"/>
  <c r="B22" i="2"/>
  <c r="B22" i="4" s="1"/>
  <c r="I21" i="2"/>
  <c r="F21" i="4" s="1"/>
  <c r="H21" i="2"/>
  <c r="E21" i="4" s="1"/>
  <c r="G21" i="2"/>
  <c r="D21" i="4" s="1"/>
  <c r="D21" i="2"/>
  <c r="B21" i="2"/>
  <c r="B21" i="4" s="1"/>
  <c r="I20" i="2"/>
  <c r="H20" i="2"/>
  <c r="E20" i="4" s="1"/>
  <c r="G20" i="2"/>
  <c r="D20" i="4" s="1"/>
  <c r="D20" i="2"/>
  <c r="B20" i="2"/>
  <c r="B20" i="4" s="1"/>
  <c r="I19" i="2"/>
  <c r="F19" i="4" s="1"/>
  <c r="H19" i="2"/>
  <c r="E19" i="4" s="1"/>
  <c r="G19" i="2"/>
  <c r="D19" i="4" s="1"/>
  <c r="D19" i="2"/>
  <c r="B19" i="2"/>
  <c r="B19" i="4" s="1"/>
  <c r="I18" i="2"/>
  <c r="F18" i="4" s="1"/>
  <c r="H18" i="2"/>
  <c r="E18" i="4" s="1"/>
  <c r="G18" i="2"/>
  <c r="D18" i="2"/>
  <c r="B18" i="2"/>
  <c r="B18" i="4" s="1"/>
  <c r="I17" i="2"/>
  <c r="F17" i="4" s="1"/>
  <c r="H17" i="2"/>
  <c r="E17" i="4" s="1"/>
  <c r="G17" i="2"/>
  <c r="D17" i="4" s="1"/>
  <c r="D17" i="2"/>
  <c r="B17" i="2"/>
  <c r="B17" i="4" s="1"/>
  <c r="J16" i="2"/>
  <c r="G16" i="4" s="1"/>
  <c r="I16" i="2"/>
  <c r="F16" i="4" s="1"/>
  <c r="H16" i="2"/>
  <c r="E16" i="4" s="1"/>
  <c r="G16" i="2"/>
  <c r="D16" i="4" s="1"/>
  <c r="D16" i="2"/>
  <c r="B16" i="2"/>
  <c r="B16" i="4" s="1"/>
  <c r="J15" i="2"/>
  <c r="I15" i="2"/>
  <c r="F15" i="4" s="1"/>
  <c r="H15" i="2"/>
  <c r="E15" i="4" s="1"/>
  <c r="G15" i="2"/>
  <c r="D15" i="4" s="1"/>
  <c r="D15" i="2"/>
  <c r="B15" i="2"/>
  <c r="B15" i="4" s="1"/>
  <c r="I14" i="2"/>
  <c r="F14" i="4" s="1"/>
  <c r="H14" i="2"/>
  <c r="E14" i="4" s="1"/>
  <c r="G14" i="2"/>
  <c r="D14" i="4" s="1"/>
  <c r="D14" i="2"/>
  <c r="B14" i="2"/>
  <c r="B14" i="4" s="1"/>
  <c r="I13" i="2"/>
  <c r="F13" i="4" s="1"/>
  <c r="H13" i="2"/>
  <c r="G13" i="2"/>
  <c r="D13" i="4" s="1"/>
  <c r="D13" i="2"/>
  <c r="B13" i="2"/>
  <c r="B13" i="4" s="1"/>
  <c r="J12" i="2"/>
  <c r="G12" i="4" s="1"/>
  <c r="I12" i="2"/>
  <c r="F12" i="4" s="1"/>
  <c r="H12" i="2"/>
  <c r="E12" i="4" s="1"/>
  <c r="G12" i="2"/>
  <c r="D12" i="4" s="1"/>
  <c r="D12" i="2"/>
  <c r="B12" i="2"/>
  <c r="B12" i="4" s="1"/>
  <c r="I11" i="2"/>
  <c r="F11" i="4" s="1"/>
  <c r="H11" i="2"/>
  <c r="E11" i="4" s="1"/>
  <c r="G11" i="2"/>
  <c r="D11" i="4" s="1"/>
  <c r="D11" i="2"/>
  <c r="B11" i="2"/>
  <c r="J10" i="2"/>
  <c r="G10" i="4" s="1"/>
  <c r="I10" i="2"/>
  <c r="F10" i="4" s="1"/>
  <c r="H10" i="2"/>
  <c r="E10" i="4" s="1"/>
  <c r="G10" i="2"/>
  <c r="D10" i="4" s="1"/>
  <c r="D10" i="2"/>
  <c r="B10" i="2"/>
  <c r="B10" i="4" s="1"/>
  <c r="I9" i="2"/>
  <c r="F9" i="4" s="1"/>
  <c r="H9" i="2"/>
  <c r="E9" i="4" s="1"/>
  <c r="G9" i="2"/>
  <c r="D9" i="4" s="1"/>
  <c r="D9" i="2"/>
  <c r="B9" i="2"/>
  <c r="B9" i="4" s="1"/>
  <c r="J8" i="2"/>
  <c r="G8" i="4" s="1"/>
  <c r="I8" i="2"/>
  <c r="F8" i="4" s="1"/>
  <c r="H8" i="2"/>
  <c r="E8" i="4" s="1"/>
  <c r="G8" i="2"/>
  <c r="D8" i="4" s="1"/>
  <c r="D8" i="2"/>
  <c r="B8" i="2"/>
  <c r="B8" i="4" s="1"/>
  <c r="I7" i="2"/>
  <c r="F7" i="4" s="1"/>
  <c r="H7" i="2"/>
  <c r="G7" i="2"/>
  <c r="D7" i="4" s="1"/>
  <c r="D7" i="2"/>
  <c r="B7" i="2"/>
  <c r="B7" i="4" s="1"/>
  <c r="J102" i="1"/>
  <c r="J102" i="2" s="1"/>
  <c r="G102" i="4" s="1"/>
  <c r="J101" i="1"/>
  <c r="J101" i="2" s="1"/>
  <c r="G101" i="4" s="1"/>
  <c r="J100" i="1"/>
  <c r="J100" i="2" s="1"/>
  <c r="G100" i="4" s="1"/>
  <c r="J99" i="1"/>
  <c r="J98" i="1"/>
  <c r="J98" i="2" s="1"/>
  <c r="G98" i="4" s="1"/>
  <c r="J97" i="1"/>
  <c r="J97" i="2" s="1"/>
  <c r="G97" i="4" s="1"/>
  <c r="J96" i="1"/>
  <c r="J96" i="2" s="1"/>
  <c r="G96" i="4" s="1"/>
  <c r="J95" i="1"/>
  <c r="J95" i="2" s="1"/>
  <c r="G95" i="4" s="1"/>
  <c r="J94" i="1"/>
  <c r="J94" i="2" s="1"/>
  <c r="G94" i="4" s="1"/>
  <c r="J93" i="1"/>
  <c r="J93" i="2" s="1"/>
  <c r="G93" i="4" s="1"/>
  <c r="J92" i="1"/>
  <c r="J92" i="2" s="1"/>
  <c r="G92" i="4" s="1"/>
  <c r="J91" i="1"/>
  <c r="J91" i="2" s="1"/>
  <c r="G91" i="4" s="1"/>
  <c r="J90" i="1"/>
  <c r="J90" i="2" s="1"/>
  <c r="G90" i="4" s="1"/>
  <c r="J89" i="1"/>
  <c r="J89" i="2" s="1"/>
  <c r="G89" i="4" s="1"/>
  <c r="J88" i="1"/>
  <c r="J88" i="2" s="1"/>
  <c r="G88" i="4" s="1"/>
  <c r="J87" i="1"/>
  <c r="J86" i="1"/>
  <c r="J86" i="2" s="1"/>
  <c r="G86" i="4" s="1"/>
  <c r="J85" i="1"/>
  <c r="J85" i="2" s="1"/>
  <c r="G85" i="4" s="1"/>
  <c r="J84" i="1"/>
  <c r="J84" i="2" s="1"/>
  <c r="G84" i="4" s="1"/>
  <c r="J83" i="1"/>
  <c r="J83" i="2" s="1"/>
  <c r="G83" i="4" s="1"/>
  <c r="J82" i="1"/>
  <c r="J82" i="2" s="1"/>
  <c r="G82" i="4" s="1"/>
  <c r="J81" i="1"/>
  <c r="J81" i="2" s="1"/>
  <c r="G81" i="4" s="1"/>
  <c r="J80" i="1"/>
  <c r="J80" i="2" s="1"/>
  <c r="G80" i="4" s="1"/>
  <c r="J79" i="1"/>
  <c r="J79" i="2" s="1"/>
  <c r="G79" i="4" s="1"/>
  <c r="J78" i="1"/>
  <c r="J78" i="2" s="1"/>
  <c r="G78" i="4" s="1"/>
  <c r="J77" i="1"/>
  <c r="J77" i="2" s="1"/>
  <c r="G77" i="4" s="1"/>
  <c r="J76" i="1"/>
  <c r="J76" i="2" s="1"/>
  <c r="G76" i="4" s="1"/>
  <c r="J75" i="1"/>
  <c r="J74" i="1"/>
  <c r="J74" i="2" s="1"/>
  <c r="G74" i="4" s="1"/>
  <c r="J73" i="1"/>
  <c r="J73" i="2" s="1"/>
  <c r="G73" i="4" s="1"/>
  <c r="J72" i="1"/>
  <c r="J72" i="2" s="1"/>
  <c r="G72" i="4" s="1"/>
  <c r="J71" i="1"/>
  <c r="J71" i="2" s="1"/>
  <c r="G71" i="4" s="1"/>
  <c r="J70" i="1"/>
  <c r="J70" i="2" s="1"/>
  <c r="G70" i="4" s="1"/>
  <c r="J69" i="1"/>
  <c r="J69" i="2" s="1"/>
  <c r="G69" i="4" s="1"/>
  <c r="J68" i="1"/>
  <c r="J68" i="2" s="1"/>
  <c r="G68" i="4" s="1"/>
  <c r="J67" i="1"/>
  <c r="J67" i="2" s="1"/>
  <c r="G67" i="4" s="1"/>
  <c r="J66" i="1"/>
  <c r="J66" i="2" s="1"/>
  <c r="G66" i="4" s="1"/>
  <c r="J65" i="1"/>
  <c r="J65" i="2" s="1"/>
  <c r="G65" i="4" s="1"/>
  <c r="J64" i="1"/>
  <c r="J64" i="2" s="1"/>
  <c r="G64" i="4" s="1"/>
  <c r="J63" i="1"/>
  <c r="J62" i="1"/>
  <c r="J62" i="2" s="1"/>
  <c r="G62" i="4" s="1"/>
  <c r="J61" i="1"/>
  <c r="J61" i="2" s="1"/>
  <c r="G61" i="4" s="1"/>
  <c r="J60" i="1"/>
  <c r="J60" i="2" s="1"/>
  <c r="G60" i="4" s="1"/>
  <c r="J59" i="1"/>
  <c r="J59" i="2" s="1"/>
  <c r="G59" i="4" s="1"/>
  <c r="J58" i="1"/>
  <c r="J58" i="2" s="1"/>
  <c r="G58" i="4" s="1"/>
  <c r="J57" i="1"/>
  <c r="J57" i="2" s="1"/>
  <c r="G57" i="4" s="1"/>
  <c r="J56" i="1"/>
  <c r="J56" i="2" s="1"/>
  <c r="G56" i="4" s="1"/>
  <c r="J55" i="1"/>
  <c r="J55" i="2" s="1"/>
  <c r="G55" i="4" s="1"/>
  <c r="J54" i="1"/>
  <c r="J54" i="2" s="1"/>
  <c r="G54" i="4" s="1"/>
  <c r="J53" i="1"/>
  <c r="J53" i="2" s="1"/>
  <c r="G53" i="4" s="1"/>
  <c r="J52" i="1"/>
  <c r="J52" i="2" s="1"/>
  <c r="G52" i="4" s="1"/>
  <c r="J51" i="1"/>
  <c r="J50" i="1"/>
  <c r="J50" i="2" s="1"/>
  <c r="G50" i="4" s="1"/>
  <c r="J49" i="1"/>
  <c r="J49" i="2" s="1"/>
  <c r="G49" i="4" s="1"/>
  <c r="J48" i="1"/>
  <c r="J48" i="2" s="1"/>
  <c r="G48" i="4" s="1"/>
  <c r="J47" i="1"/>
  <c r="J47" i="2" s="1"/>
  <c r="G47" i="4" s="1"/>
  <c r="J46" i="1"/>
  <c r="J46" i="2" s="1"/>
  <c r="G46" i="4" s="1"/>
  <c r="J45" i="1"/>
  <c r="J45" i="2" s="1"/>
  <c r="G45" i="4" s="1"/>
  <c r="J44" i="1"/>
  <c r="J44" i="2" s="1"/>
  <c r="G44" i="4" s="1"/>
  <c r="J43" i="1"/>
  <c r="J43" i="2" s="1"/>
  <c r="G43" i="4" s="1"/>
  <c r="J42" i="1"/>
  <c r="J42" i="2" s="1"/>
  <c r="G42" i="4" s="1"/>
  <c r="J41" i="1"/>
  <c r="J41" i="2" s="1"/>
  <c r="G41" i="4" s="1"/>
  <c r="J40" i="1"/>
  <c r="J40" i="2" s="1"/>
  <c r="G40" i="4" s="1"/>
  <c r="J39" i="1"/>
  <c r="J38" i="1"/>
  <c r="J38" i="2" s="1"/>
  <c r="G38" i="4" s="1"/>
  <c r="J37" i="1"/>
  <c r="J37" i="2" s="1"/>
  <c r="G37" i="4" s="1"/>
  <c r="J36" i="1"/>
  <c r="J36" i="2" s="1"/>
  <c r="G36" i="4" s="1"/>
  <c r="J35" i="1"/>
  <c r="J35" i="2" s="1"/>
  <c r="G35" i="4" s="1"/>
  <c r="J34" i="1"/>
  <c r="J34" i="2" s="1"/>
  <c r="G34" i="4" s="1"/>
  <c r="J33" i="1"/>
  <c r="J33" i="2" s="1"/>
  <c r="G33" i="4" s="1"/>
  <c r="J32" i="1"/>
  <c r="J32" i="2" s="1"/>
  <c r="G32" i="4" s="1"/>
  <c r="J31" i="1"/>
  <c r="J31" i="2" s="1"/>
  <c r="G31" i="4" s="1"/>
  <c r="J30" i="1"/>
  <c r="J30" i="2" s="1"/>
  <c r="G30" i="4" s="1"/>
  <c r="J29" i="1"/>
  <c r="J29" i="2" s="1"/>
  <c r="G29" i="4" s="1"/>
  <c r="J28" i="1"/>
  <c r="J28" i="2" s="1"/>
  <c r="G28" i="4" s="1"/>
  <c r="J27" i="1"/>
  <c r="J26" i="1"/>
  <c r="J26" i="2" s="1"/>
  <c r="G26" i="4" s="1"/>
  <c r="J25" i="1"/>
  <c r="J25" i="2" s="1"/>
  <c r="G25" i="4" s="1"/>
  <c r="J24" i="1"/>
  <c r="J24" i="2" s="1"/>
  <c r="G24" i="4" s="1"/>
  <c r="J23" i="1"/>
  <c r="J23" i="2" s="1"/>
  <c r="G23" i="4" s="1"/>
  <c r="J22" i="1"/>
  <c r="J22" i="2" s="1"/>
  <c r="G22" i="4" s="1"/>
  <c r="J21" i="1"/>
  <c r="J21" i="2" s="1"/>
  <c r="G21" i="4" s="1"/>
  <c r="J20" i="1"/>
  <c r="J20" i="2" s="1"/>
  <c r="G20" i="4" s="1"/>
  <c r="J19" i="1"/>
  <c r="J19" i="2" s="1"/>
  <c r="G19" i="4" s="1"/>
  <c r="J18" i="1"/>
  <c r="J18" i="2" s="1"/>
  <c r="G18" i="4" s="1"/>
  <c r="J17" i="1"/>
  <c r="J17" i="2" s="1"/>
  <c r="G17" i="4" s="1"/>
  <c r="J16" i="1"/>
  <c r="J15" i="1"/>
  <c r="J14" i="1"/>
  <c r="J14" i="2" s="1"/>
  <c r="G14" i="4" s="1"/>
  <c r="J13" i="1"/>
  <c r="J13" i="2" s="1"/>
  <c r="G13" i="4" s="1"/>
  <c r="J12" i="1"/>
  <c r="J11" i="1"/>
  <c r="J11" i="2" s="1"/>
  <c r="G11" i="4" s="1"/>
  <c r="J10" i="1"/>
  <c r="J9" i="1"/>
  <c r="J9" i="2" s="1"/>
  <c r="G9" i="4" s="1"/>
  <c r="J8" i="1"/>
  <c r="J7" i="1"/>
  <c r="J7" i="2" s="1"/>
  <c r="G7" i="4" s="1"/>
  <c r="A91" i="1" l="1"/>
  <c r="A91" i="2" s="1"/>
  <c r="A92" i="1"/>
  <c r="A92" i="2" s="1"/>
  <c r="A93" i="1"/>
  <c r="A93" i="2" s="1"/>
  <c r="A94" i="1"/>
  <c r="A94" i="2" s="1"/>
  <c r="A95" i="1"/>
  <c r="A95" i="2" s="1"/>
  <c r="A96" i="1"/>
  <c r="A96" i="2" s="1"/>
  <c r="A97" i="1"/>
  <c r="A97" i="2" s="1"/>
  <c r="A98" i="1"/>
  <c r="A98" i="2" s="1"/>
  <c r="A99" i="1"/>
  <c r="A99" i="2" s="1"/>
  <c r="A100" i="1"/>
  <c r="A100" i="2" s="1"/>
  <c r="A101" i="1"/>
  <c r="A101" i="2" s="1"/>
  <c r="A102" i="1"/>
  <c r="A102" i="2" s="1"/>
  <c r="A11" i="1"/>
  <c r="A11" i="2" s="1"/>
  <c r="A12" i="1"/>
  <c r="A12" i="2" s="1"/>
  <c r="A13" i="1"/>
  <c r="A13" i="2" s="1"/>
  <c r="A14" i="1"/>
  <c r="A14" i="2" s="1"/>
  <c r="A15" i="1"/>
  <c r="A15" i="2" s="1"/>
  <c r="A16" i="1"/>
  <c r="A16" i="2" s="1"/>
  <c r="A17" i="1"/>
  <c r="A17" i="2" s="1"/>
  <c r="A18" i="1"/>
  <c r="A18" i="2" s="1"/>
  <c r="A19" i="1"/>
  <c r="A19" i="2" s="1"/>
  <c r="A20" i="1"/>
  <c r="A20" i="2" s="1"/>
  <c r="A21" i="1"/>
  <c r="A21" i="2" s="1"/>
  <c r="A22" i="1"/>
  <c r="A22" i="2" s="1"/>
  <c r="A23" i="1"/>
  <c r="A23" i="2" s="1"/>
  <c r="A24" i="1"/>
  <c r="A24" i="2" s="1"/>
  <c r="A25" i="1"/>
  <c r="A25" i="2" s="1"/>
  <c r="A26" i="1"/>
  <c r="A26" i="2" s="1"/>
  <c r="A27" i="1"/>
  <c r="A27" i="2" s="1"/>
  <c r="A28" i="1"/>
  <c r="A28" i="2" s="1"/>
  <c r="A29" i="1"/>
  <c r="A29" i="2" s="1"/>
  <c r="A30" i="1"/>
  <c r="A30" i="2" s="1"/>
  <c r="A31" i="1"/>
  <c r="A31" i="2" s="1"/>
  <c r="A32" i="1"/>
  <c r="A32" i="2" s="1"/>
  <c r="A33" i="1"/>
  <c r="A33" i="2" s="1"/>
  <c r="A34" i="1"/>
  <c r="A34" i="2" s="1"/>
  <c r="A35" i="1"/>
  <c r="A35" i="2" s="1"/>
  <c r="A36" i="1"/>
  <c r="A36" i="2" s="1"/>
  <c r="A37" i="1"/>
  <c r="A37" i="2" s="1"/>
  <c r="A38" i="1"/>
  <c r="A38" i="2" s="1"/>
  <c r="A39" i="1"/>
  <c r="A39" i="2" s="1"/>
  <c r="A40" i="1"/>
  <c r="A40" i="2" s="1"/>
  <c r="A41" i="1"/>
  <c r="A41" i="2" s="1"/>
  <c r="A42" i="1"/>
  <c r="A42" i="2" s="1"/>
  <c r="A43" i="1"/>
  <c r="A43" i="2" s="1"/>
  <c r="A44" i="1"/>
  <c r="A44" i="2" s="1"/>
  <c r="A45" i="1"/>
  <c r="A45" i="2" s="1"/>
  <c r="A46" i="1"/>
  <c r="A46" i="2" s="1"/>
  <c r="A47" i="1"/>
  <c r="A47" i="2" s="1"/>
  <c r="A48" i="1"/>
  <c r="A48" i="2" s="1"/>
  <c r="A49" i="1"/>
  <c r="A49" i="2" s="1"/>
  <c r="A50" i="1"/>
  <c r="A50" i="2" s="1"/>
  <c r="A51" i="1"/>
  <c r="A51" i="2" s="1"/>
  <c r="A52" i="1"/>
  <c r="A52" i="2" s="1"/>
  <c r="A53" i="1"/>
  <c r="A53" i="2" s="1"/>
  <c r="A54" i="1"/>
  <c r="A54" i="2" s="1"/>
  <c r="A55" i="1"/>
  <c r="A55" i="2" s="1"/>
  <c r="A56" i="1"/>
  <c r="A56" i="2" s="1"/>
  <c r="A57" i="1"/>
  <c r="A57" i="2" s="1"/>
  <c r="A58" i="1"/>
  <c r="A58" i="2" s="1"/>
  <c r="A59" i="1"/>
  <c r="A59" i="2" s="1"/>
  <c r="A60" i="1"/>
  <c r="A60" i="2" s="1"/>
  <c r="A61" i="1"/>
  <c r="A61" i="2" s="1"/>
  <c r="A62" i="1"/>
  <c r="A62" i="2" s="1"/>
  <c r="A63" i="1"/>
  <c r="A63" i="2" s="1"/>
  <c r="A64" i="1"/>
  <c r="A64" i="2" s="1"/>
  <c r="A65" i="1"/>
  <c r="A65" i="2" s="1"/>
  <c r="A66" i="1"/>
  <c r="A66" i="2" s="1"/>
  <c r="A67" i="1"/>
  <c r="A67" i="2" s="1"/>
  <c r="A68" i="1"/>
  <c r="A68" i="2" s="1"/>
  <c r="A69" i="1"/>
  <c r="A69" i="2" s="1"/>
  <c r="A70" i="1"/>
  <c r="A70" i="2" s="1"/>
  <c r="A71" i="1"/>
  <c r="A71" i="2" s="1"/>
  <c r="A72" i="1"/>
  <c r="A72" i="2" s="1"/>
  <c r="A73" i="1"/>
  <c r="A73" i="2" s="1"/>
  <c r="A74" i="1"/>
  <c r="A74" i="2" s="1"/>
  <c r="A75" i="1"/>
  <c r="A75" i="2" s="1"/>
  <c r="A76" i="1"/>
  <c r="A76" i="2" s="1"/>
  <c r="A77" i="1"/>
  <c r="A77" i="2" s="1"/>
  <c r="A78" i="1"/>
  <c r="A78" i="2" s="1"/>
  <c r="A79" i="1"/>
  <c r="A79" i="2" s="1"/>
  <c r="A80" i="1"/>
  <c r="A80" i="2" s="1"/>
  <c r="A81" i="1"/>
  <c r="A81" i="2" s="1"/>
  <c r="A82" i="1"/>
  <c r="A82" i="2" s="1"/>
  <c r="A83" i="1"/>
  <c r="A83" i="2" s="1"/>
  <c r="A84" i="1"/>
  <c r="A84" i="2" s="1"/>
  <c r="A85" i="1"/>
  <c r="A85" i="2" s="1"/>
  <c r="A86" i="1"/>
  <c r="A86" i="2" s="1"/>
  <c r="A87" i="1"/>
  <c r="A87" i="2" s="1"/>
  <c r="A88" i="1"/>
  <c r="A88" i="2" s="1"/>
  <c r="A89" i="1"/>
  <c r="A89" i="2" s="1"/>
  <c r="A90" i="1"/>
  <c r="A90" i="2" s="1"/>
  <c r="E3" i="1" l="1"/>
  <c r="J6" i="1" l="1"/>
  <c r="J103" i="1" s="1"/>
  <c r="K10" i="3"/>
  <c r="A106" i="4" l="1"/>
  <c r="I6" i="2"/>
  <c r="F6" i="4" s="1"/>
  <c r="H6" i="2"/>
  <c r="E6" i="4" s="1"/>
  <c r="G6" i="2"/>
  <c r="D6" i="4" s="1"/>
  <c r="D6" i="2"/>
  <c r="B6" i="2"/>
  <c r="B6" i="4" s="1"/>
  <c r="A7" i="4"/>
  <c r="A6" i="4"/>
  <c r="F4" i="4"/>
  <c r="B3" i="4"/>
  <c r="J62" i="3"/>
  <c r="K59" i="3"/>
  <c r="K11" i="3"/>
  <c r="B2" i="4" s="1"/>
  <c r="K3" i="2"/>
  <c r="A3" i="2"/>
  <c r="J2" i="2"/>
  <c r="D2" i="2"/>
  <c r="A2" i="2"/>
  <c r="J1" i="2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03" i="4" s="1"/>
  <c r="G104" i="4" l="1"/>
  <c r="G105" i="4" s="1"/>
</calcChain>
</file>

<file path=xl/sharedStrings.xml><?xml version="1.0" encoding="utf-8"?>
<sst xmlns="http://schemas.openxmlformats.org/spreadsheetml/2006/main" count="344" uniqueCount="215">
  <si>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</si>
  <si>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</si>
  <si>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</si>
  <si>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</si>
  <si>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</si>
  <si>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</si>
  <si>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</si>
  <si>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</si>
  <si>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</si>
  <si>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</si>
  <si>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</si>
  <si>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</si>
  <si>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</si>
  <si>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</si>
  <si>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</si>
  <si>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</si>
  <si>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</si>
  <si>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</si>
  <si>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</si>
  <si>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</si>
  <si>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</si>
  <si>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</si>
  <si>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</si>
  <si>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</si>
  <si>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</si>
  <si>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</si>
  <si>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</si>
  <si>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</si>
  <si>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</si>
  <si>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</si>
  <si>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</si>
  <si>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</si>
  <si>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</si>
  <si>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</si>
  <si>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</si>
  <si>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</si>
  <si>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</si>
  <si>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</si>
  <si>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</si>
  <si>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</si>
  <si>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</si>
  <si>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</si>
  <si>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</si>
  <si>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</si>
  <si>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</si>
  <si>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</si>
  <si>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</si>
  <si>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</si>
  <si>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</si>
  <si>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</si>
  <si>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</si>
  <si>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</si>
  <si>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</si>
  <si>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</si>
  <si>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</si>
  <si>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</si>
  <si>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</si>
  <si>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</si>
  <si>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</si>
  <si>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</si>
  <si>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</si>
  <si>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</si>
  <si>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</si>
  <si>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</si>
  <si>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</si>
  <si>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</si>
  <si>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</si>
  <si>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</si>
  <si>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</si>
  <si>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</si>
  <si>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</si>
  <si>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</si>
  <si>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</si>
  <si>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</si>
  <si>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</si>
  <si>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</si>
  <si>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</si>
  <si>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</si>
  <si>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</si>
  <si>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</si>
  <si>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</si>
  <si>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</si>
  <si>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</si>
  <si>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</si>
  <si>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</si>
  <si>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</si>
  <si>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</si>
  <si>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</si>
  <si>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</si>
  <si>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</si>
  <si>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</si>
  <si>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</si>
  <si>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</si>
  <si>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</si>
  <si>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</si>
  <si>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</si>
  <si>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</si>
  <si>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</si>
  <si>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</si>
  <si>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</si>
  <si>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</si>
  <si>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</si>
  <si>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HYUNDAI ENG. &amp; CONST. CO., LTD.</t>
  </si>
  <si>
    <t>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</si>
  <si>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-MRS-0062</t>
    </r>
  </si>
  <si>
    <r>
      <rPr>
        <sz val="11"/>
        <rFont val="Times New Roman"/>
        <family val="1"/>
      </rPr>
      <t>Calibration of Pressure Gauge</t>
    </r>
  </si>
  <si>
    <r>
      <rPr>
        <sz val="11"/>
        <rFont val="Times New Roman"/>
        <family val="1"/>
      </rPr>
      <t>Calibration of Pressure Relief Valve</t>
    </r>
  </si>
  <si>
    <r>
      <rPr>
        <sz val="11"/>
        <rFont val="Times New Roman"/>
        <family val="1"/>
      </rPr>
      <t>Calibration of Electric Welding Machine</t>
    </r>
  </si>
  <si>
    <r>
      <rPr>
        <sz val="11"/>
        <rFont val="Times New Roman"/>
        <family val="1"/>
      </rPr>
      <t>Calibration of Diesel Welding Machine</t>
    </r>
  </si>
  <si>
    <r>
      <rPr>
        <sz val="11"/>
        <rFont val="Times New Roman"/>
        <family val="1"/>
      </rPr>
      <t>Calibration of Auto Welding Machine</t>
    </r>
  </si>
  <si>
    <r>
      <rPr>
        <sz val="11"/>
        <rFont val="Times New Roman"/>
        <family val="1"/>
      </rPr>
      <t>Calibration of Baking/Holding/Bench/Mother oven</t>
    </r>
  </si>
  <si>
    <r>
      <rPr>
        <sz val="11"/>
        <rFont val="Times New Roman"/>
        <family val="1"/>
      </rPr>
      <t>Calibration of Quiver (Portable Oven)</t>
    </r>
  </si>
  <si>
    <r>
      <rPr>
        <sz val="11"/>
        <rFont val="Times New Roman"/>
        <family val="1"/>
      </rPr>
      <t>Calibration of Bridge Cam Gauge</t>
    </r>
  </si>
  <si>
    <r>
      <rPr>
        <sz val="11"/>
        <rFont val="Times New Roman"/>
        <family val="1"/>
      </rPr>
      <t>Calibration of DFT Gauge</t>
    </r>
  </si>
  <si>
    <r>
      <rPr>
        <sz val="11"/>
        <rFont val="Times New Roman"/>
        <family val="1"/>
      </rPr>
      <t>Calibration of Profile Gauge</t>
    </r>
  </si>
  <si>
    <r>
      <rPr>
        <sz val="11"/>
        <rFont val="Times New Roman"/>
        <family val="1"/>
      </rPr>
      <t>Calibration of Surface Thermometer</t>
    </r>
  </si>
  <si>
    <r>
      <rPr>
        <sz val="11"/>
        <rFont val="Times New Roman"/>
        <family val="1"/>
      </rPr>
      <t>Calibration of Hygrometer</t>
    </r>
  </si>
  <si>
    <r>
      <rPr>
        <sz val="11"/>
        <rFont val="Times New Roman"/>
        <family val="1"/>
      </rPr>
      <t>Calibration of Micrometer (Inside Micrometer)</t>
    </r>
  </si>
  <si>
    <r>
      <rPr>
        <sz val="11"/>
        <rFont val="Times New Roman"/>
        <family val="1"/>
      </rPr>
      <t>Calibration of Micrometer (Outside Micrometer)</t>
    </r>
  </si>
  <si>
    <r>
      <rPr>
        <sz val="11"/>
        <rFont val="Times New Roman"/>
        <family val="1"/>
      </rPr>
      <t>Calibration of Vacuum Gauge</t>
    </r>
  </si>
  <si>
    <r>
      <rPr>
        <sz val="11"/>
        <rFont val="Times New Roman"/>
        <family val="1"/>
      </rPr>
      <t>Calibration of Vernier Caliper</t>
    </r>
  </si>
  <si>
    <r>
      <rPr>
        <sz val="11"/>
        <rFont val="Times New Roman"/>
        <family val="1"/>
      </rPr>
      <t>Calibration of Total Station</t>
    </r>
  </si>
  <si>
    <r>
      <rPr>
        <sz val="11"/>
        <rFont val="Times New Roman"/>
        <family val="1"/>
      </rPr>
      <t>Calibration of Automatic Level</t>
    </r>
  </si>
  <si>
    <r>
      <rPr>
        <sz val="11"/>
        <rFont val="Times New Roman"/>
        <family val="1"/>
      </rPr>
      <t>Calibration of Holiday Detector</t>
    </r>
  </si>
  <si>
    <r>
      <rPr>
        <sz val="11"/>
        <rFont val="Times New Roman"/>
        <family val="1"/>
      </rPr>
      <t>Calibration of Feeler Gauge</t>
    </r>
  </si>
  <si>
    <r>
      <rPr>
        <sz val="11"/>
        <rFont val="Times New Roman"/>
        <family val="1"/>
      </rPr>
      <t>Calibration of Barcol Impresser</t>
    </r>
  </si>
  <si>
    <r>
      <rPr>
        <sz val="11"/>
        <rFont val="Times New Roman"/>
        <family val="1"/>
      </rPr>
      <t>Calibration of Digital Thermometer</t>
    </r>
  </si>
  <si>
    <r>
      <rPr>
        <sz val="11"/>
        <rFont val="Times New Roman"/>
        <family val="1"/>
      </rPr>
      <t>Calibration of Multi Gas Detector</t>
    </r>
  </si>
  <si>
    <r>
      <rPr>
        <sz val="11"/>
        <rFont val="Times New Roman"/>
        <family val="1"/>
      </rPr>
      <t>Calibration of Single Gas Detector</t>
    </r>
  </si>
  <si>
    <r>
      <rPr>
        <sz val="11"/>
        <rFont val="Times New Roman"/>
        <family val="1"/>
      </rPr>
      <t>Calibration of Multimeter</t>
    </r>
  </si>
  <si>
    <r>
      <rPr>
        <sz val="11"/>
        <rFont val="Times New Roman"/>
        <family val="1"/>
      </rPr>
      <t>Calibration of Insulation Tester 1kv</t>
    </r>
  </si>
  <si>
    <r>
      <rPr>
        <sz val="11"/>
        <rFont val="Times New Roman"/>
        <family val="1"/>
      </rPr>
      <t>Calibration of Insulation Tester 5kv</t>
    </r>
  </si>
  <si>
    <r>
      <rPr>
        <sz val="11"/>
        <rFont val="Times New Roman"/>
        <family val="1"/>
      </rPr>
      <t>Calibration of Digital Earth Tester</t>
    </r>
  </si>
  <si>
    <r>
      <rPr>
        <sz val="11"/>
        <rFont val="Times New Roman"/>
        <family val="1"/>
      </rPr>
      <t>Calibration of Sound Level Meter</t>
    </r>
  </si>
  <si>
    <r>
      <rPr>
        <sz val="11"/>
        <rFont val="Times New Roman"/>
        <family val="1"/>
      </rPr>
      <t>Calibration of Humidity Meter</t>
    </r>
  </si>
  <si>
    <r>
      <rPr>
        <sz val="11"/>
        <rFont val="Times New Roman"/>
        <family val="1"/>
      </rPr>
      <t>Calibration of Infrared Thermometer</t>
    </r>
  </si>
  <si>
    <r>
      <rPr>
        <sz val="11"/>
        <rFont val="Times New Roman"/>
        <family val="1"/>
      </rPr>
      <t>Calibration of Hi-Low Gauge</t>
    </r>
  </si>
  <si>
    <r>
      <rPr>
        <sz val="11"/>
        <rFont val="Times New Roman"/>
        <family val="1"/>
      </rPr>
      <t>Calibration of Gas Regulator</t>
    </r>
  </si>
  <si>
    <r>
      <rPr>
        <sz val="11"/>
        <rFont val="Times New Roman"/>
        <family val="1"/>
      </rPr>
      <t>Calibration of Frame Level</t>
    </r>
  </si>
  <si>
    <r>
      <rPr>
        <sz val="11"/>
        <rFont val="Times New Roman"/>
        <family val="1"/>
      </rPr>
      <t>Calibration of Square Ruler</t>
    </r>
  </si>
  <si>
    <r>
      <rPr>
        <sz val="11"/>
        <rFont val="Times New Roman"/>
        <family val="1"/>
      </rPr>
      <t>Calibration of Process Calibrator</t>
    </r>
  </si>
  <si>
    <r>
      <rPr>
        <sz val="11"/>
        <rFont val="Times New Roman"/>
        <family val="1"/>
      </rPr>
      <t>Calibration of Pneumatic Pressure Pump</t>
    </r>
  </si>
  <si>
    <r>
      <rPr>
        <sz val="11"/>
        <rFont val="Times New Roman"/>
        <family val="1"/>
      </rPr>
      <t>Calibration of Process Meter</t>
    </r>
  </si>
  <si>
    <r>
      <rPr>
        <sz val="11"/>
        <rFont val="Times New Roman"/>
        <family val="1"/>
      </rPr>
      <t>Calibration of Hydraulic Pressure Pump</t>
    </r>
  </si>
  <si>
    <r>
      <rPr>
        <sz val="11"/>
        <rFont val="Times New Roman"/>
        <family val="1"/>
      </rPr>
      <t>Calibration of Vacuum Pressure Module</t>
    </r>
  </si>
  <si>
    <r>
      <rPr>
        <sz val="11"/>
        <rFont val="Times New Roman"/>
        <family val="1"/>
      </rPr>
      <t>Calibration of Theodolite</t>
    </r>
  </si>
  <si>
    <r>
      <rPr>
        <sz val="11"/>
        <rFont val="Times New Roman"/>
        <family val="1"/>
      </rPr>
      <t>Calibration of Voltmeter</t>
    </r>
  </si>
  <si>
    <r>
      <rPr>
        <sz val="11"/>
        <rFont val="Times New Roman"/>
        <family val="1"/>
      </rPr>
      <t>Calibration of Welding Rod Dry Box</t>
    </r>
  </si>
  <si>
    <r>
      <rPr>
        <sz val="11"/>
        <rFont val="Times New Roman"/>
        <family val="1"/>
      </rPr>
      <t>Calibration of Pressure Testing Station</t>
    </r>
  </si>
  <si>
    <r>
      <rPr>
        <sz val="11"/>
        <rFont val="Times New Roman"/>
        <family val="1"/>
      </rPr>
      <t>Calibration of DC Resistance Tester</t>
    </r>
  </si>
  <si>
    <r>
      <rPr>
        <sz val="11"/>
        <rFont val="Times New Roman"/>
        <family val="1"/>
      </rPr>
      <t>Calibration of Depth Caliper</t>
    </r>
  </si>
  <si>
    <r>
      <rPr>
        <sz val="11"/>
        <rFont val="Times New Roman"/>
        <family val="1"/>
      </rPr>
      <t>Calibration of Phase Indicator</t>
    </r>
  </si>
  <si>
    <r>
      <rPr>
        <sz val="11"/>
        <rFont val="Times New Roman"/>
        <family val="1"/>
      </rPr>
      <t>Calibration of Double Clamp Phase Voltmeter</t>
    </r>
  </si>
  <si>
    <r>
      <rPr>
        <sz val="11"/>
        <rFont val="Times New Roman"/>
        <family val="1"/>
      </rPr>
      <t>Calibration of Dry Well Calibrator</t>
    </r>
  </si>
  <si>
    <r>
      <rPr>
        <sz val="11"/>
        <rFont val="Times New Roman"/>
        <family val="1"/>
      </rPr>
      <t>Calibration of Digital Pressure Calibrator</t>
    </r>
  </si>
  <si>
    <r>
      <rPr>
        <sz val="11"/>
        <rFont val="Times New Roman"/>
        <family val="1"/>
      </rPr>
      <t>Calibration of Needle Pressure Gauge</t>
    </r>
  </si>
  <si>
    <r>
      <rPr>
        <sz val="11"/>
        <rFont val="Times New Roman"/>
        <family val="1"/>
      </rPr>
      <t>Calibration of Thermal Relay Tester</t>
    </r>
  </si>
  <si>
    <r>
      <rPr>
        <sz val="11"/>
        <rFont val="Times New Roman"/>
        <family val="1"/>
      </rPr>
      <t>Calibration of Single Purpose Weld Gauge</t>
    </r>
  </si>
  <si>
    <r>
      <rPr>
        <sz val="11"/>
        <rFont val="Times New Roman"/>
        <family val="1"/>
      </rPr>
      <t>Calibration of Wet Film Thickness Gauge</t>
    </r>
  </si>
  <si>
    <r>
      <rPr>
        <sz val="11"/>
        <rFont val="Times New Roman"/>
        <family val="1"/>
      </rPr>
      <t>Calibration of Wind Temperature Gauge</t>
    </r>
  </si>
  <si>
    <r>
      <rPr>
        <sz val="11"/>
        <rFont val="Times New Roman"/>
        <family val="1"/>
      </rPr>
      <t>Calibration of Vibration Meter</t>
    </r>
  </si>
  <si>
    <r>
      <rPr>
        <sz val="11"/>
        <rFont val="Times New Roman"/>
        <family val="1"/>
      </rPr>
      <t>Calibration of Tachometer</t>
    </r>
  </si>
  <si>
    <r>
      <rPr>
        <sz val="11"/>
        <rFont val="Times New Roman"/>
        <family val="1"/>
      </rPr>
      <t>Calibration of Laser Line Level</t>
    </r>
  </si>
  <si>
    <r>
      <rPr>
        <sz val="11"/>
        <rFont val="Times New Roman"/>
        <family val="1"/>
      </rPr>
      <t>Calibration of Durometer</t>
    </r>
  </si>
  <si>
    <r>
      <rPr>
        <sz val="11"/>
        <rFont val="Times New Roman"/>
        <family val="1"/>
      </rPr>
      <t>Calibration of DFT Content Meter</t>
    </r>
  </si>
  <si>
    <r>
      <rPr>
        <sz val="11"/>
        <rFont val="Times New Roman"/>
        <family val="1"/>
      </rPr>
      <t>Calibration of Dial Test Indicator</t>
    </r>
  </si>
  <si>
    <r>
      <rPr>
        <sz val="11"/>
        <rFont val="Times New Roman"/>
        <family val="1"/>
      </rPr>
      <t>Calibration of Cable Ground Fault Locator</t>
    </r>
  </si>
  <si>
    <r>
      <rPr>
        <sz val="11"/>
        <rFont val="Times New Roman"/>
        <family val="1"/>
      </rPr>
      <t>Calibration of Portable Micro Ohm Meter</t>
    </r>
  </si>
  <si>
    <r>
      <rPr>
        <sz val="11"/>
        <rFont val="Times New Roman"/>
        <family val="1"/>
      </rPr>
      <t>Calibration of Portable Pressure Calibration</t>
    </r>
  </si>
  <si>
    <r>
      <rPr>
        <sz val="11"/>
        <rFont val="Times New Roman"/>
        <family val="1"/>
      </rPr>
      <t>Calibration of Torque Wrench, any range or capacity</t>
    </r>
  </si>
  <si>
    <r>
      <rPr>
        <sz val="11"/>
        <rFont val="Times New Roman"/>
        <family val="1"/>
      </rPr>
      <t>Calibration of Temperature Recorder</t>
    </r>
  </si>
  <si>
    <r>
      <rPr>
        <sz val="11"/>
        <rFont val="Times New Roman"/>
        <family val="1"/>
      </rPr>
      <t>Calibration of Pressure Recorder</t>
    </r>
  </si>
  <si>
    <r>
      <rPr>
        <sz val="11"/>
        <rFont val="Times New Roman"/>
        <family val="1"/>
      </rPr>
      <t>Calibration of Temperature &amp; Humidity Meter</t>
    </r>
  </si>
  <si>
    <r>
      <rPr>
        <sz val="11"/>
        <rFont val="Times New Roman"/>
        <family val="1"/>
      </rPr>
      <t>Calibration of Depth Gauge</t>
    </r>
  </si>
  <si>
    <r>
      <rPr>
        <sz val="11"/>
        <rFont val="Times New Roman"/>
        <family val="1"/>
      </rPr>
      <t>Calibration of Temperature Gauge</t>
    </r>
  </si>
  <si>
    <r>
      <rPr>
        <sz val="11"/>
        <rFont val="Times New Roman"/>
        <family val="1"/>
      </rPr>
      <t>Calibration of Precision Level</t>
    </r>
  </si>
  <si>
    <r>
      <rPr>
        <sz val="11"/>
        <rFont val="Times New Roman"/>
        <family val="1"/>
      </rPr>
      <t>Calibration of Torque Multiplier</t>
    </r>
  </si>
  <si>
    <r>
      <rPr>
        <sz val="11"/>
        <rFont val="Times New Roman"/>
        <family val="1"/>
      </rPr>
      <t>Calibration of Environmental Meter</t>
    </r>
  </si>
  <si>
    <r>
      <rPr>
        <sz val="11"/>
        <rFont val="Times New Roman"/>
        <family val="1"/>
      </rPr>
      <t>Inspection of Tower Light</t>
    </r>
  </si>
  <si>
    <r>
      <rPr>
        <sz val="11"/>
        <rFont val="Times New Roman"/>
        <family val="1"/>
      </rPr>
      <t>Inspection Diesel Generator</t>
    </r>
  </si>
  <si>
    <r>
      <rPr>
        <sz val="11"/>
        <rFont val="Times New Roman"/>
        <family val="1"/>
      </rPr>
      <t>Inspection Engine Driven Welders</t>
    </r>
  </si>
  <si>
    <r>
      <rPr>
        <sz val="11"/>
        <rFont val="Times New Roman"/>
        <family val="1"/>
      </rPr>
      <t>Calibration of Digital Ultrameter</t>
    </r>
  </si>
  <si>
    <r>
      <rPr>
        <sz val="11"/>
        <rFont val="Times New Roman"/>
        <family val="1"/>
      </rPr>
      <t>Calibration of CO/CO2 Meter + Psychrometer</t>
    </r>
  </si>
  <si>
    <r>
      <rPr>
        <sz val="11"/>
        <rFont val="Times New Roman"/>
        <family val="1"/>
      </rPr>
      <t>Calibration of Weighing Balance</t>
    </r>
  </si>
  <si>
    <r>
      <rPr>
        <sz val="11"/>
        <rFont val="Times New Roman"/>
        <family val="1"/>
      </rPr>
      <t>Calibration of PI Tape</t>
    </r>
  </si>
  <si>
    <r>
      <rPr>
        <sz val="11"/>
        <rFont val="Times New Roman"/>
        <family val="1"/>
      </rPr>
      <t>Calibration of Taper Scale</t>
    </r>
  </si>
  <si>
    <r>
      <rPr>
        <sz val="11"/>
        <rFont val="Times New Roman"/>
        <family val="1"/>
      </rPr>
      <t>Inspection of Speed Gun</t>
    </r>
  </si>
  <si>
    <r>
      <rPr>
        <sz val="11"/>
        <rFont val="Times New Roman"/>
        <family val="1"/>
      </rPr>
      <t>Calibration of Clamp Meter</t>
    </r>
  </si>
  <si>
    <r>
      <rPr>
        <sz val="11"/>
        <rFont val="Times New Roman"/>
        <family val="1"/>
      </rPr>
      <t>Calibration of Densitometer</t>
    </r>
  </si>
  <si>
    <r>
      <rPr>
        <sz val="11"/>
        <rFont val="Times New Roman"/>
        <family val="1"/>
      </rPr>
      <t>Calibration of High Voltage Probe</t>
    </r>
  </si>
  <si>
    <r>
      <rPr>
        <sz val="11"/>
        <rFont val="Times New Roman"/>
        <family val="1"/>
      </rPr>
      <t>Calibration of Standard Weights</t>
    </r>
  </si>
  <si>
    <r>
      <rPr>
        <sz val="11"/>
        <rFont val="Times New Roman"/>
        <family val="1"/>
      </rPr>
      <t>Inspection of Pipe Threading Machine</t>
    </r>
  </si>
  <si>
    <r>
      <rPr>
        <sz val="11"/>
        <rFont val="Times New Roman"/>
        <family val="1"/>
      </rPr>
      <t>Calibration of Spirit Level</t>
    </r>
  </si>
  <si>
    <r>
      <rPr>
        <sz val="11"/>
        <rFont val="Times New Roman"/>
        <family val="1"/>
      </rPr>
      <t>Inspection of Air Compressor</t>
    </r>
  </si>
  <si>
    <r>
      <rPr>
        <sz val="11"/>
        <rFont val="Times New Roman"/>
        <family val="1"/>
      </rPr>
      <t>Calibration of Measuring Tape</t>
    </r>
  </si>
  <si>
    <r>
      <rPr>
        <sz val="11"/>
        <rFont val="Times New Roman"/>
        <family val="1"/>
      </rPr>
      <t>Inspection of Torch Light</t>
    </r>
  </si>
  <si>
    <r>
      <rPr>
        <sz val="11"/>
        <rFont val="Times New Roman"/>
        <family val="1"/>
      </rPr>
      <t>Inspection of Inspection Mirror</t>
    </r>
  </si>
  <si>
    <r>
      <rPr>
        <sz val="11"/>
        <rFont val="Times New Roman"/>
        <family val="1"/>
      </rPr>
      <t>Inspection of High Pressure Pump</t>
    </r>
  </si>
  <si>
    <r>
      <rPr>
        <sz val="11"/>
        <rFont val="Times New Roman"/>
        <family val="1"/>
      </rPr>
      <t>Inspection of Water Pump</t>
    </r>
  </si>
  <si>
    <r>
      <rPr>
        <sz val="11"/>
        <rFont val="Times New Roman"/>
        <family val="1"/>
      </rPr>
      <t>Calibration of Clamp On Ac/Dc Hi Tester</t>
    </r>
  </si>
  <si>
    <r>
      <rPr>
        <sz val="11"/>
        <rFont val="Times New Roman"/>
        <family val="1"/>
      </rPr>
      <t>Air Quality Test for Air Compressor (Breathing Air)</t>
    </r>
  </si>
  <si>
    <t>BOX</t>
  </si>
  <si>
    <t>EA</t>
  </si>
  <si>
    <t>GTEC</t>
  </si>
  <si>
    <t>Calibration of O2 Analyzer</t>
  </si>
  <si>
    <t>Calibration &amp; Inspection of Instrument</t>
  </si>
  <si>
    <t>GTEC(Glory Technology Calibration and Inspection)</t>
  </si>
  <si>
    <t>4700102621</t>
  </si>
  <si>
    <t>310101711800003</t>
  </si>
  <si>
    <t>Rakesh K. Pillai</t>
  </si>
  <si>
    <t>+966 55 9037641  / email:management@gtecgulf.com</t>
  </si>
  <si>
    <t>King Saud Road, Yanbu, KSA</t>
  </si>
  <si>
    <t>Mobile : +966 55 9037641 / +966 50 6398512</t>
  </si>
  <si>
    <t>GTEC/AJ/25/QTN/0332</t>
  </si>
  <si>
    <t>Branch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</si>
</sst>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11"/>
      <name val="Times New Roman"/>
      <family val="1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1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3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69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69" fontId="33" fillId="3" borderId="0" xfId="5" quotePrefix="1" applyNumberFormat="1" applyFont="1" applyFill="1" applyAlignment="1">
      <alignment horizontal="left" vertical="center"/>
    </xf>
    <xf numFmtId="169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1" fontId="18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vertical="top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8" fillId="3" borderId="0" xfId="5" applyFont="1" applyFill="1" applyAlignment="1">
      <alignment horizontal="center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360949</xdr:colOff>
          <xdr:row>104</xdr:row>
          <xdr:rowOff>70185</xdr:rowOff>
        </xdr:from>
        <xdr:to>
          <xdr:col>11</xdr:col>
          <xdr:colOff>1664871</xdr:colOff>
          <xdr:row>111</xdr:row>
          <xdr:rowOff>70187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05:$V$111" spid="_x0000_s11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89949" y="5053264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17</xdr:row>
      <xdr:rowOff>225879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17</xdr:row>
      <xdr:rowOff>225879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393388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139"/>
  <sheetViews>
    <sheetView showGridLines="0" view="pageBreakPreview" zoomScale="95" zoomScaleNormal="95" zoomScaleSheetLayoutView="95" workbookViewId="0">
      <selection activeCell="K114" sqref="K1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14" t="s">
        <v>96</v>
      </c>
      <c r="B1" s="102"/>
      <c r="C1" s="102"/>
      <c r="D1" s="102"/>
      <c r="E1" s="102"/>
      <c r="F1" s="102"/>
      <c r="G1" s="1"/>
      <c r="J1" s="128" t="s">
        <v>97</v>
      </c>
      <c r="K1" s="129"/>
      <c r="L1" s="130"/>
    </row>
    <row r="2" spans="1:19" ht="20.100000000000001" customHeight="1">
      <c r="A2" s="3" t="s">
        <v>98</v>
      </c>
      <c r="B2" s="96"/>
      <c r="C2" s="96"/>
      <c r="D2" s="3" t="s">
        <v>99</v>
      </c>
      <c r="E2" s="96"/>
      <c r="F2" s="96"/>
      <c r="G2" s="96"/>
      <c r="H2" s="96"/>
      <c r="I2" s="4"/>
      <c r="J2" s="131" t="s">
        <v>100</v>
      </c>
      <c r="K2" s="132"/>
      <c r="L2" s="133"/>
    </row>
    <row r="3" spans="1:19" ht="20.100000000000001" customHeight="1">
      <c r="A3" s="3" t="s">
        <v>104</v>
      </c>
      <c r="B3" s="96"/>
      <c r="C3" s="96"/>
      <c r="D3" s="96"/>
      <c r="E3" s="134">
        <f>+L3</f>
        <v>45780</v>
      </c>
      <c r="F3" s="134"/>
      <c r="G3" s="134"/>
      <c r="H3" s="134"/>
      <c r="I3" s="134"/>
      <c r="J3" s="96"/>
      <c r="K3" s="96"/>
      <c r="L3" s="113">
        <v>45780</v>
      </c>
      <c r="M3" s="4"/>
    </row>
    <row r="4" spans="1:19" ht="15.95" customHeight="1">
      <c r="A4" s="135" t="s">
        <v>1</v>
      </c>
      <c r="B4" s="136" t="s">
        <v>2</v>
      </c>
      <c r="C4" s="136"/>
      <c r="D4" s="137" t="s">
        <v>3</v>
      </c>
      <c r="E4" s="138"/>
      <c r="F4" s="139"/>
      <c r="G4" s="143" t="s">
        <v>4</v>
      </c>
      <c r="H4" s="145" t="s">
        <v>5</v>
      </c>
      <c r="I4" s="145" t="s">
        <v>93</v>
      </c>
      <c r="J4" s="135" t="s">
        <v>94</v>
      </c>
      <c r="K4" s="145" t="s">
        <v>0</v>
      </c>
      <c r="L4" s="136" t="s">
        <v>6</v>
      </c>
    </row>
    <row r="5" spans="1:19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9" ht="25.5" customHeight="1">
      <c r="A6" s="5">
        <f>ROW(A1)</f>
        <v>1</v>
      </c>
      <c r="B6" s="115" t="s">
        <v>105</v>
      </c>
      <c r="C6" s="119"/>
      <c r="D6" s="117"/>
      <c r="E6" s="117"/>
      <c r="F6" s="118"/>
      <c r="G6" s="103" t="s">
        <v>202</v>
      </c>
      <c r="H6" s="104">
        <v>1</v>
      </c>
      <c r="I6" s="105">
        <v>110</v>
      </c>
      <c r="J6" s="105">
        <f>H6*I6</f>
        <v>110</v>
      </c>
      <c r="K6" s="106" t="s">
        <v>203</v>
      </c>
      <c r="L6" s="107" t="s">
        <v>95</v>
      </c>
      <c r="S6" s="101"/>
    </row>
    <row r="7" spans="1:19" ht="25.5" customHeight="1">
      <c r="A7" s="5">
        <f>ROW(A2)</f>
        <v>2</v>
      </c>
      <c r="B7" s="115" t="s">
        <v>106</v>
      </c>
      <c r="C7" s="119"/>
      <c r="D7" s="117"/>
      <c r="E7" s="117"/>
      <c r="F7" s="118"/>
      <c r="G7" s="103" t="s">
        <v>202</v>
      </c>
      <c r="H7" s="104">
        <v>1</v>
      </c>
      <c r="I7" s="105">
        <v>110</v>
      </c>
      <c r="J7" s="105">
        <f t="shared" ref="J7:J70" si="0">H7*I7</f>
        <v>110</v>
      </c>
      <c r="K7" s="106"/>
      <c r="L7" s="107"/>
      <c r="S7" s="101"/>
    </row>
    <row r="8" spans="1:19" ht="25.5" customHeight="1">
      <c r="A8" s="5">
        <f>ROW(A3)</f>
        <v>3</v>
      </c>
      <c r="B8" s="115" t="s">
        <v>107</v>
      </c>
      <c r="C8" s="119"/>
      <c r="D8" s="117"/>
      <c r="E8" s="117"/>
      <c r="F8" s="118"/>
      <c r="G8" s="103" t="s">
        <v>202</v>
      </c>
      <c r="H8" s="104">
        <v>1</v>
      </c>
      <c r="I8" s="105">
        <v>190</v>
      </c>
      <c r="J8" s="105">
        <f t="shared" si="0"/>
        <v>190</v>
      </c>
      <c r="K8" s="106"/>
      <c r="L8" s="107"/>
      <c r="S8" s="101"/>
    </row>
    <row r="9" spans="1:19" ht="25.5" customHeight="1">
      <c r="A9" s="5">
        <f>ROW(A4)</f>
        <v>4</v>
      </c>
      <c r="B9" s="115" t="s">
        <v>108</v>
      </c>
      <c r="C9" s="119"/>
      <c r="D9" s="117"/>
      <c r="E9" s="117"/>
      <c r="F9" s="118"/>
      <c r="G9" s="103" t="s">
        <v>202</v>
      </c>
      <c r="H9" s="104">
        <v>1</v>
      </c>
      <c r="I9" s="105">
        <v>190</v>
      </c>
      <c r="J9" s="105">
        <f t="shared" si="0"/>
        <v>190</v>
      </c>
      <c r="K9" s="106"/>
      <c r="L9" s="107"/>
      <c r="S9" s="101"/>
    </row>
    <row r="10" spans="1:19" ht="25.5" customHeight="1">
      <c r="A10" s="5">
        <f>ROW(A5)</f>
        <v>5</v>
      </c>
      <c r="B10" s="115" t="s">
        <v>109</v>
      </c>
      <c r="C10" s="119"/>
      <c r="D10" s="117"/>
      <c r="E10" s="117"/>
      <c r="F10" s="118"/>
      <c r="G10" s="103" t="s">
        <v>202</v>
      </c>
      <c r="H10" s="104">
        <v>1</v>
      </c>
      <c r="I10" s="105">
        <v>190</v>
      </c>
      <c r="J10" s="105">
        <f t="shared" si="0"/>
        <v>190</v>
      </c>
      <c r="K10" s="106"/>
      <c r="L10" s="103"/>
      <c r="S10" s="101"/>
    </row>
    <row r="11" spans="1:19" ht="25.5" customHeight="1">
      <c r="A11" s="5">
        <f t="shared" ref="A11:A69" si="1">ROW(A6)</f>
        <v>6</v>
      </c>
      <c r="B11" s="115" t="s">
        <v>110</v>
      </c>
      <c r="C11" s="119"/>
      <c r="D11" s="117"/>
      <c r="E11" s="117"/>
      <c r="F11" s="118"/>
      <c r="G11" s="103" t="s">
        <v>202</v>
      </c>
      <c r="H11" s="104">
        <v>1</v>
      </c>
      <c r="I11" s="105">
        <v>190</v>
      </c>
      <c r="J11" s="105">
        <f t="shared" si="0"/>
        <v>190</v>
      </c>
      <c r="K11" s="106"/>
      <c r="L11" s="107"/>
      <c r="S11" s="101"/>
    </row>
    <row r="12" spans="1:19" ht="25.5" customHeight="1">
      <c r="A12" s="5">
        <f t="shared" si="1"/>
        <v>7</v>
      </c>
      <c r="B12" s="115" t="s">
        <v>111</v>
      </c>
      <c r="C12" s="119"/>
      <c r="D12" s="117"/>
      <c r="E12" s="117"/>
      <c r="F12" s="118"/>
      <c r="G12" s="103" t="s">
        <v>202</v>
      </c>
      <c r="H12" s="104">
        <v>1</v>
      </c>
      <c r="I12" s="105">
        <v>145</v>
      </c>
      <c r="J12" s="105">
        <f t="shared" si="0"/>
        <v>145</v>
      </c>
      <c r="K12" s="106"/>
      <c r="L12" s="103"/>
      <c r="S12" s="101"/>
    </row>
    <row r="13" spans="1:19" ht="25.5" customHeight="1">
      <c r="A13" s="5">
        <f t="shared" si="1"/>
        <v>8</v>
      </c>
      <c r="B13" s="115" t="s">
        <v>204</v>
      </c>
      <c r="C13" s="119"/>
      <c r="D13" s="117"/>
      <c r="E13" s="117"/>
      <c r="F13" s="116"/>
      <c r="G13" s="103" t="s">
        <v>202</v>
      </c>
      <c r="H13" s="104">
        <v>1</v>
      </c>
      <c r="I13" s="105">
        <v>190</v>
      </c>
      <c r="J13" s="105">
        <f t="shared" si="0"/>
        <v>190</v>
      </c>
      <c r="K13" s="106"/>
      <c r="L13" s="103"/>
      <c r="S13" s="101"/>
    </row>
    <row r="14" spans="1:19" ht="25.5" customHeight="1">
      <c r="A14" s="5">
        <f t="shared" si="1"/>
        <v>9</v>
      </c>
      <c r="B14" s="115" t="s">
        <v>112</v>
      </c>
      <c r="C14" s="119"/>
      <c r="D14" s="117"/>
      <c r="E14" s="117"/>
      <c r="F14" s="118"/>
      <c r="G14" s="103" t="s">
        <v>202</v>
      </c>
      <c r="H14" s="104">
        <v>1</v>
      </c>
      <c r="I14" s="105">
        <v>95</v>
      </c>
      <c r="J14" s="105">
        <f t="shared" si="0"/>
        <v>95</v>
      </c>
      <c r="K14" s="106"/>
      <c r="L14" s="103"/>
      <c r="S14" s="101"/>
    </row>
    <row r="15" spans="1:19" ht="25.5" customHeight="1">
      <c r="A15" s="5">
        <f t="shared" si="1"/>
        <v>10</v>
      </c>
      <c r="B15" s="115" t="s">
        <v>113</v>
      </c>
      <c r="C15" s="119"/>
      <c r="D15" s="117"/>
      <c r="E15" s="117"/>
      <c r="F15" s="118"/>
      <c r="G15" s="103" t="s">
        <v>202</v>
      </c>
      <c r="H15" s="104">
        <v>1</v>
      </c>
      <c r="I15" s="105">
        <v>145</v>
      </c>
      <c r="J15" s="105">
        <f t="shared" si="0"/>
        <v>145</v>
      </c>
      <c r="K15" s="106"/>
      <c r="L15" s="103"/>
      <c r="S15" s="101"/>
    </row>
    <row r="16" spans="1:19" ht="25.5" customHeight="1">
      <c r="A16" s="5">
        <f t="shared" si="1"/>
        <v>11</v>
      </c>
      <c r="B16" s="115" t="s">
        <v>114</v>
      </c>
      <c r="C16" s="119"/>
      <c r="D16" s="117"/>
      <c r="E16" s="117"/>
      <c r="F16" s="118"/>
      <c r="G16" s="103" t="s">
        <v>202</v>
      </c>
      <c r="H16" s="104">
        <v>1</v>
      </c>
      <c r="I16" s="105">
        <v>100</v>
      </c>
      <c r="J16" s="105">
        <f t="shared" si="0"/>
        <v>100</v>
      </c>
      <c r="K16" s="106"/>
      <c r="L16" s="103"/>
      <c r="S16" s="101"/>
    </row>
    <row r="17" spans="1:19" ht="25.5" customHeight="1">
      <c r="A17" s="5">
        <f t="shared" si="1"/>
        <v>12</v>
      </c>
      <c r="B17" s="115" t="s">
        <v>115</v>
      </c>
      <c r="C17" s="119"/>
      <c r="D17" s="117"/>
      <c r="E17" s="117"/>
      <c r="F17" s="118"/>
      <c r="G17" s="103" t="s">
        <v>202</v>
      </c>
      <c r="H17" s="104">
        <v>1</v>
      </c>
      <c r="I17" s="105">
        <v>100</v>
      </c>
      <c r="J17" s="105">
        <f t="shared" si="0"/>
        <v>100</v>
      </c>
      <c r="K17" s="106"/>
      <c r="L17" s="103"/>
      <c r="S17" s="101"/>
    </row>
    <row r="18" spans="1:19" ht="25.5" customHeight="1">
      <c r="A18" s="5">
        <f t="shared" si="1"/>
        <v>13</v>
      </c>
      <c r="B18" s="115" t="s">
        <v>116</v>
      </c>
      <c r="C18" s="119"/>
      <c r="D18" s="117"/>
      <c r="E18" s="117"/>
      <c r="F18" s="118"/>
      <c r="G18" s="103" t="s">
        <v>202</v>
      </c>
      <c r="H18" s="104">
        <v>1</v>
      </c>
      <c r="I18" s="105">
        <v>145</v>
      </c>
      <c r="J18" s="105">
        <f t="shared" si="0"/>
        <v>145</v>
      </c>
      <c r="K18" s="106"/>
      <c r="L18" s="103"/>
      <c r="S18" s="101"/>
    </row>
    <row r="19" spans="1:19" ht="25.5" customHeight="1">
      <c r="A19" s="5">
        <f t="shared" si="1"/>
        <v>14</v>
      </c>
      <c r="B19" s="115" t="s">
        <v>117</v>
      </c>
      <c r="C19" s="119"/>
      <c r="D19" s="117"/>
      <c r="E19" s="117"/>
      <c r="F19" s="118"/>
      <c r="G19" s="103" t="s">
        <v>202</v>
      </c>
      <c r="H19" s="104">
        <v>1</v>
      </c>
      <c r="I19" s="105">
        <v>100</v>
      </c>
      <c r="J19" s="105">
        <f t="shared" si="0"/>
        <v>100</v>
      </c>
      <c r="K19" s="106"/>
      <c r="L19" s="103"/>
      <c r="S19" s="101"/>
    </row>
    <row r="20" spans="1:19" ht="25.5" customHeight="1">
      <c r="A20" s="5">
        <f t="shared" si="1"/>
        <v>15</v>
      </c>
      <c r="B20" s="115" t="s">
        <v>118</v>
      </c>
      <c r="C20" s="119"/>
      <c r="D20" s="117"/>
      <c r="E20" s="117"/>
      <c r="F20" s="118"/>
      <c r="G20" s="103" t="s">
        <v>202</v>
      </c>
      <c r="H20" s="104">
        <v>1</v>
      </c>
      <c r="I20" s="105">
        <v>100</v>
      </c>
      <c r="J20" s="105">
        <f t="shared" si="0"/>
        <v>100</v>
      </c>
      <c r="K20" s="106"/>
      <c r="L20" s="103"/>
      <c r="S20" s="101"/>
    </row>
    <row r="21" spans="1:19" ht="25.5" customHeight="1">
      <c r="A21" s="5">
        <f t="shared" si="1"/>
        <v>16</v>
      </c>
      <c r="B21" s="115" t="s">
        <v>119</v>
      </c>
      <c r="C21" s="119"/>
      <c r="D21" s="117"/>
      <c r="E21" s="117"/>
      <c r="F21" s="118"/>
      <c r="G21" s="103" t="s">
        <v>202</v>
      </c>
      <c r="H21" s="104">
        <v>1</v>
      </c>
      <c r="I21" s="105">
        <v>100</v>
      </c>
      <c r="J21" s="105">
        <f t="shared" si="0"/>
        <v>100</v>
      </c>
      <c r="K21" s="106"/>
      <c r="L21" s="103"/>
      <c r="S21" s="101"/>
    </row>
    <row r="22" spans="1:19" ht="25.5" customHeight="1">
      <c r="A22" s="5">
        <f t="shared" si="1"/>
        <v>17</v>
      </c>
      <c r="B22" s="115" t="s">
        <v>120</v>
      </c>
      <c r="C22" s="119"/>
      <c r="D22" s="117"/>
      <c r="E22" s="117"/>
      <c r="F22" s="118"/>
      <c r="G22" s="103" t="s">
        <v>202</v>
      </c>
      <c r="H22" s="104">
        <v>1</v>
      </c>
      <c r="I22" s="105">
        <v>100</v>
      </c>
      <c r="J22" s="105">
        <f t="shared" si="0"/>
        <v>100</v>
      </c>
      <c r="K22" s="106"/>
      <c r="L22" s="103"/>
      <c r="S22" s="101"/>
    </row>
    <row r="23" spans="1:19" ht="25.5" customHeight="1">
      <c r="A23" s="5">
        <f t="shared" si="1"/>
        <v>18</v>
      </c>
      <c r="B23" s="115" t="s">
        <v>121</v>
      </c>
      <c r="C23" s="119"/>
      <c r="D23" s="117"/>
      <c r="E23" s="117"/>
      <c r="F23" s="118"/>
      <c r="G23" s="103" t="s">
        <v>202</v>
      </c>
      <c r="H23" s="104">
        <v>1</v>
      </c>
      <c r="I23" s="105">
        <v>300</v>
      </c>
      <c r="J23" s="105">
        <f t="shared" si="0"/>
        <v>300</v>
      </c>
      <c r="K23" s="106"/>
      <c r="L23" s="103"/>
      <c r="S23" s="101"/>
    </row>
    <row r="24" spans="1:19" ht="25.5" customHeight="1">
      <c r="A24" s="5">
        <f t="shared" si="1"/>
        <v>19</v>
      </c>
      <c r="B24" s="115" t="s">
        <v>122</v>
      </c>
      <c r="C24" s="119"/>
      <c r="D24" s="117"/>
      <c r="E24" s="117"/>
      <c r="F24" s="118"/>
      <c r="G24" s="103" t="s">
        <v>202</v>
      </c>
      <c r="H24" s="104">
        <v>1</v>
      </c>
      <c r="I24" s="105">
        <v>250</v>
      </c>
      <c r="J24" s="105">
        <f t="shared" si="0"/>
        <v>250</v>
      </c>
      <c r="K24" s="106"/>
      <c r="L24" s="103"/>
      <c r="S24" s="101"/>
    </row>
    <row r="25" spans="1:19" ht="25.5" customHeight="1">
      <c r="A25" s="5">
        <f t="shared" si="1"/>
        <v>20</v>
      </c>
      <c r="B25" s="115" t="s">
        <v>123</v>
      </c>
      <c r="C25" s="119"/>
      <c r="D25" s="117"/>
      <c r="E25" s="117"/>
      <c r="F25" s="118"/>
      <c r="G25" s="103" t="s">
        <v>202</v>
      </c>
      <c r="H25" s="104">
        <v>1</v>
      </c>
      <c r="I25" s="105">
        <v>200</v>
      </c>
      <c r="J25" s="105">
        <f t="shared" si="0"/>
        <v>200</v>
      </c>
      <c r="K25" s="106"/>
      <c r="L25" s="103"/>
      <c r="S25" s="101"/>
    </row>
    <row r="26" spans="1:19" ht="25.5" customHeight="1">
      <c r="A26" s="5">
        <f t="shared" si="1"/>
        <v>21</v>
      </c>
      <c r="B26" s="115" t="s">
        <v>124</v>
      </c>
      <c r="C26" s="119"/>
      <c r="D26" s="117"/>
      <c r="E26" s="117"/>
      <c r="F26" s="118"/>
      <c r="G26" s="103" t="s">
        <v>202</v>
      </c>
      <c r="H26" s="104">
        <v>1</v>
      </c>
      <c r="I26" s="105">
        <v>95</v>
      </c>
      <c r="J26" s="105">
        <f t="shared" si="0"/>
        <v>95</v>
      </c>
      <c r="K26" s="106"/>
      <c r="L26" s="103"/>
      <c r="S26" s="101"/>
    </row>
    <row r="27" spans="1:19" ht="25.5" customHeight="1">
      <c r="A27" s="5">
        <f t="shared" si="1"/>
        <v>22</v>
      </c>
      <c r="B27" s="115" t="s">
        <v>125</v>
      </c>
      <c r="C27" s="119"/>
      <c r="D27" s="117"/>
      <c r="E27" s="117"/>
      <c r="F27" s="118"/>
      <c r="G27" s="103" t="s">
        <v>202</v>
      </c>
      <c r="H27" s="104">
        <v>1</v>
      </c>
      <c r="I27" s="105">
        <v>200</v>
      </c>
      <c r="J27" s="105">
        <f t="shared" si="0"/>
        <v>200</v>
      </c>
      <c r="K27" s="106"/>
      <c r="L27" s="103"/>
      <c r="S27" s="101"/>
    </row>
    <row r="28" spans="1:19" ht="25.5" customHeight="1">
      <c r="A28" s="5">
        <f t="shared" si="1"/>
        <v>23</v>
      </c>
      <c r="B28" s="115" t="s">
        <v>126</v>
      </c>
      <c r="C28" s="119"/>
      <c r="D28" s="117"/>
      <c r="E28" s="117"/>
      <c r="F28" s="118"/>
      <c r="G28" s="103" t="s">
        <v>202</v>
      </c>
      <c r="H28" s="104">
        <v>1</v>
      </c>
      <c r="I28" s="105">
        <v>145</v>
      </c>
      <c r="J28" s="105">
        <f t="shared" si="0"/>
        <v>145</v>
      </c>
      <c r="K28" s="106"/>
      <c r="L28" s="103"/>
      <c r="S28" s="101"/>
    </row>
    <row r="29" spans="1:19" ht="25.5" customHeight="1">
      <c r="A29" s="5">
        <f t="shared" si="1"/>
        <v>24</v>
      </c>
      <c r="B29" s="115" t="s">
        <v>127</v>
      </c>
      <c r="C29" s="119"/>
      <c r="D29" s="117"/>
      <c r="E29" s="117"/>
      <c r="F29" s="118"/>
      <c r="G29" s="103" t="s">
        <v>202</v>
      </c>
      <c r="H29" s="104">
        <v>1</v>
      </c>
      <c r="I29" s="105">
        <v>165</v>
      </c>
      <c r="J29" s="105">
        <f t="shared" si="0"/>
        <v>165</v>
      </c>
      <c r="K29" s="106"/>
      <c r="L29" s="103"/>
      <c r="S29" s="101"/>
    </row>
    <row r="30" spans="1:19" ht="25.5" customHeight="1">
      <c r="A30" s="5">
        <f t="shared" si="1"/>
        <v>25</v>
      </c>
      <c r="B30" s="115" t="s">
        <v>128</v>
      </c>
      <c r="C30" s="119"/>
      <c r="D30" s="117"/>
      <c r="E30" s="117"/>
      <c r="F30" s="118"/>
      <c r="G30" s="103" t="s">
        <v>202</v>
      </c>
      <c r="H30" s="104">
        <v>1</v>
      </c>
      <c r="I30" s="105">
        <v>95</v>
      </c>
      <c r="J30" s="105">
        <f t="shared" si="0"/>
        <v>95</v>
      </c>
      <c r="K30" s="106"/>
      <c r="L30" s="103"/>
      <c r="S30" s="101"/>
    </row>
    <row r="31" spans="1:19" ht="25.5" customHeight="1">
      <c r="A31" s="5">
        <f t="shared" si="1"/>
        <v>26</v>
      </c>
      <c r="B31" s="115" t="s">
        <v>129</v>
      </c>
      <c r="C31" s="119"/>
      <c r="D31" s="117"/>
      <c r="E31" s="117"/>
      <c r="F31" s="118"/>
      <c r="G31" s="103" t="s">
        <v>202</v>
      </c>
      <c r="H31" s="104">
        <v>1</v>
      </c>
      <c r="I31" s="105">
        <v>175</v>
      </c>
      <c r="J31" s="105">
        <f t="shared" si="0"/>
        <v>175</v>
      </c>
      <c r="K31" s="106"/>
      <c r="L31" s="103"/>
      <c r="S31" s="101"/>
    </row>
    <row r="32" spans="1:19" ht="25.5" customHeight="1">
      <c r="A32" s="5">
        <f t="shared" si="1"/>
        <v>27</v>
      </c>
      <c r="B32" s="115" t="s">
        <v>130</v>
      </c>
      <c r="C32" s="119"/>
      <c r="D32" s="117"/>
      <c r="E32" s="117"/>
      <c r="F32" s="118"/>
      <c r="G32" s="103" t="s">
        <v>202</v>
      </c>
      <c r="H32" s="104">
        <v>1</v>
      </c>
      <c r="I32" s="105">
        <v>200</v>
      </c>
      <c r="J32" s="105">
        <f t="shared" si="0"/>
        <v>200</v>
      </c>
      <c r="K32" s="106"/>
      <c r="L32" s="103"/>
      <c r="S32" s="101"/>
    </row>
    <row r="33" spans="1:19" ht="25.5" customHeight="1">
      <c r="A33" s="5">
        <f t="shared" si="1"/>
        <v>28</v>
      </c>
      <c r="B33" s="115" t="s">
        <v>131</v>
      </c>
      <c r="C33" s="119"/>
      <c r="D33" s="117"/>
      <c r="E33" s="117"/>
      <c r="F33" s="118"/>
      <c r="G33" s="103" t="s">
        <v>202</v>
      </c>
      <c r="H33" s="104">
        <v>1</v>
      </c>
      <c r="I33" s="105">
        <v>200</v>
      </c>
      <c r="J33" s="105">
        <f t="shared" si="0"/>
        <v>200</v>
      </c>
      <c r="K33" s="106"/>
      <c r="L33" s="103"/>
      <c r="S33" s="101"/>
    </row>
    <row r="34" spans="1:19" ht="25.5" customHeight="1">
      <c r="A34" s="5">
        <f t="shared" si="1"/>
        <v>29</v>
      </c>
      <c r="B34" s="115" t="s">
        <v>132</v>
      </c>
      <c r="C34" s="119"/>
      <c r="D34" s="117"/>
      <c r="E34" s="117"/>
      <c r="F34" s="118"/>
      <c r="G34" s="103" t="s">
        <v>202</v>
      </c>
      <c r="H34" s="104">
        <v>1</v>
      </c>
      <c r="I34" s="105">
        <v>195</v>
      </c>
      <c r="J34" s="105">
        <f t="shared" si="0"/>
        <v>195</v>
      </c>
      <c r="K34" s="106"/>
      <c r="L34" s="103"/>
      <c r="S34" s="101"/>
    </row>
    <row r="35" spans="1:19" ht="25.5" customHeight="1">
      <c r="A35" s="5">
        <f t="shared" si="1"/>
        <v>30</v>
      </c>
      <c r="B35" s="115" t="s">
        <v>133</v>
      </c>
      <c r="C35" s="119"/>
      <c r="D35" s="117"/>
      <c r="E35" s="117"/>
      <c r="F35" s="118"/>
      <c r="G35" s="103" t="s">
        <v>202</v>
      </c>
      <c r="H35" s="104">
        <v>1</v>
      </c>
      <c r="I35" s="105">
        <v>150</v>
      </c>
      <c r="J35" s="105">
        <f t="shared" si="0"/>
        <v>150</v>
      </c>
      <c r="K35" s="106"/>
      <c r="L35" s="103"/>
      <c r="S35" s="101"/>
    </row>
    <row r="36" spans="1:19" ht="25.5" customHeight="1">
      <c r="A36" s="5">
        <f t="shared" si="1"/>
        <v>31</v>
      </c>
      <c r="B36" s="115" t="s">
        <v>134</v>
      </c>
      <c r="C36" s="119"/>
      <c r="D36" s="117"/>
      <c r="E36" s="117"/>
      <c r="F36" s="118"/>
      <c r="G36" s="103" t="s">
        <v>202</v>
      </c>
      <c r="H36" s="104">
        <v>1</v>
      </c>
      <c r="I36" s="105">
        <v>145</v>
      </c>
      <c r="J36" s="105">
        <f t="shared" si="0"/>
        <v>145</v>
      </c>
      <c r="K36" s="106"/>
      <c r="L36" s="103"/>
      <c r="S36" s="101"/>
    </row>
    <row r="37" spans="1:19" ht="25.5" customHeight="1">
      <c r="A37" s="5">
        <f t="shared" si="1"/>
        <v>32</v>
      </c>
      <c r="B37" s="115" t="s">
        <v>135</v>
      </c>
      <c r="C37" s="119"/>
      <c r="D37" s="117"/>
      <c r="E37" s="117"/>
      <c r="F37" s="118"/>
      <c r="G37" s="103" t="s">
        <v>202</v>
      </c>
      <c r="H37" s="104">
        <v>1</v>
      </c>
      <c r="I37" s="105">
        <v>145</v>
      </c>
      <c r="J37" s="105">
        <f t="shared" si="0"/>
        <v>145</v>
      </c>
      <c r="K37" s="106"/>
      <c r="L37" s="103"/>
      <c r="S37" s="101"/>
    </row>
    <row r="38" spans="1:19" ht="25.5" customHeight="1">
      <c r="A38" s="5">
        <f t="shared" si="1"/>
        <v>33</v>
      </c>
      <c r="B38" s="115" t="s">
        <v>136</v>
      </c>
      <c r="C38" s="119"/>
      <c r="D38" s="117"/>
      <c r="E38" s="117"/>
      <c r="F38" s="118"/>
      <c r="G38" s="103" t="s">
        <v>202</v>
      </c>
      <c r="H38" s="104">
        <v>1</v>
      </c>
      <c r="I38" s="105">
        <v>95</v>
      </c>
      <c r="J38" s="105">
        <f t="shared" si="0"/>
        <v>95</v>
      </c>
      <c r="K38" s="106"/>
      <c r="L38" s="103"/>
      <c r="S38" s="101"/>
    </row>
    <row r="39" spans="1:19" ht="25.5" customHeight="1">
      <c r="A39" s="5">
        <f t="shared" si="1"/>
        <v>34</v>
      </c>
      <c r="B39" s="115" t="s">
        <v>137</v>
      </c>
      <c r="C39" s="119"/>
      <c r="D39" s="117"/>
      <c r="E39" s="117"/>
      <c r="F39" s="118"/>
      <c r="G39" s="103" t="s">
        <v>202</v>
      </c>
      <c r="H39" s="104">
        <v>1</v>
      </c>
      <c r="I39" s="105">
        <v>120</v>
      </c>
      <c r="J39" s="105">
        <f t="shared" si="0"/>
        <v>120</v>
      </c>
      <c r="K39" s="106"/>
      <c r="L39" s="103"/>
      <c r="S39" s="101"/>
    </row>
    <row r="40" spans="1:19" ht="25.5" customHeight="1">
      <c r="A40" s="5">
        <f t="shared" si="1"/>
        <v>35</v>
      </c>
      <c r="B40" s="115" t="s">
        <v>138</v>
      </c>
      <c r="C40" s="119"/>
      <c r="D40" s="117"/>
      <c r="E40" s="117"/>
      <c r="F40" s="118"/>
      <c r="G40" s="103" t="s">
        <v>202</v>
      </c>
      <c r="H40" s="104">
        <v>1</v>
      </c>
      <c r="I40" s="105">
        <v>95</v>
      </c>
      <c r="J40" s="105">
        <f t="shared" si="0"/>
        <v>95</v>
      </c>
      <c r="K40" s="106"/>
      <c r="L40" s="103"/>
      <c r="S40" s="101"/>
    </row>
    <row r="41" spans="1:19" ht="25.5" customHeight="1">
      <c r="A41" s="5">
        <f t="shared" si="1"/>
        <v>36</v>
      </c>
      <c r="B41" s="115" t="s">
        <v>139</v>
      </c>
      <c r="C41" s="119"/>
      <c r="D41" s="117"/>
      <c r="E41" s="117"/>
      <c r="F41" s="118"/>
      <c r="G41" s="103" t="s">
        <v>202</v>
      </c>
      <c r="H41" s="104">
        <v>1</v>
      </c>
      <c r="I41" s="105">
        <v>95</v>
      </c>
      <c r="J41" s="105">
        <f t="shared" si="0"/>
        <v>95</v>
      </c>
      <c r="K41" s="106"/>
      <c r="L41" s="103"/>
      <c r="S41" s="101"/>
    </row>
    <row r="42" spans="1:19" ht="25.5" customHeight="1">
      <c r="A42" s="5">
        <f t="shared" si="1"/>
        <v>37</v>
      </c>
      <c r="B42" s="115" t="s">
        <v>140</v>
      </c>
      <c r="C42" s="119"/>
      <c r="D42" s="117"/>
      <c r="E42" s="117"/>
      <c r="F42" s="118"/>
      <c r="G42" s="103" t="s">
        <v>202</v>
      </c>
      <c r="H42" s="104">
        <v>1</v>
      </c>
      <c r="I42" s="105">
        <v>250</v>
      </c>
      <c r="J42" s="105">
        <f t="shared" si="0"/>
        <v>250</v>
      </c>
      <c r="K42" s="106"/>
      <c r="L42" s="103"/>
      <c r="S42" s="101"/>
    </row>
    <row r="43" spans="1:19" ht="25.5" customHeight="1">
      <c r="A43" s="5">
        <f t="shared" si="1"/>
        <v>38</v>
      </c>
      <c r="B43" s="115" t="s">
        <v>141</v>
      </c>
      <c r="C43" s="119"/>
      <c r="D43" s="117"/>
      <c r="E43" s="117"/>
      <c r="F43" s="118"/>
      <c r="G43" s="103" t="s">
        <v>202</v>
      </c>
      <c r="H43" s="104">
        <v>1</v>
      </c>
      <c r="I43" s="105">
        <v>245</v>
      </c>
      <c r="J43" s="105">
        <f t="shared" si="0"/>
        <v>245</v>
      </c>
      <c r="K43" s="106"/>
      <c r="L43" s="103"/>
      <c r="S43" s="101"/>
    </row>
    <row r="44" spans="1:19" ht="25.5" customHeight="1">
      <c r="A44" s="5">
        <f t="shared" si="1"/>
        <v>39</v>
      </c>
      <c r="B44" s="115" t="s">
        <v>142</v>
      </c>
      <c r="C44" s="119"/>
      <c r="D44" s="117"/>
      <c r="E44" s="117"/>
      <c r="F44" s="118"/>
      <c r="G44" s="103" t="s">
        <v>202</v>
      </c>
      <c r="H44" s="104">
        <v>1</v>
      </c>
      <c r="I44" s="105">
        <v>250</v>
      </c>
      <c r="J44" s="105">
        <f t="shared" si="0"/>
        <v>250</v>
      </c>
      <c r="K44" s="106"/>
      <c r="L44" s="103"/>
      <c r="S44" s="101"/>
    </row>
    <row r="45" spans="1:19" ht="25.5" customHeight="1">
      <c r="A45" s="5">
        <f t="shared" si="1"/>
        <v>40</v>
      </c>
      <c r="B45" s="115" t="s">
        <v>143</v>
      </c>
      <c r="C45" s="119"/>
      <c r="D45" s="117"/>
      <c r="E45" s="117"/>
      <c r="F45" s="118"/>
      <c r="G45" s="103" t="s">
        <v>202</v>
      </c>
      <c r="H45" s="104">
        <v>1</v>
      </c>
      <c r="I45" s="105">
        <v>245</v>
      </c>
      <c r="J45" s="105">
        <f t="shared" si="0"/>
        <v>245</v>
      </c>
      <c r="K45" s="106"/>
      <c r="L45" s="103"/>
      <c r="S45" s="101"/>
    </row>
    <row r="46" spans="1:19" ht="25.5" customHeight="1">
      <c r="A46" s="5">
        <f t="shared" si="1"/>
        <v>41</v>
      </c>
      <c r="B46" s="115" t="s">
        <v>144</v>
      </c>
      <c r="C46" s="119"/>
      <c r="D46" s="117"/>
      <c r="E46" s="117"/>
      <c r="F46" s="118"/>
      <c r="G46" s="103" t="s">
        <v>202</v>
      </c>
      <c r="H46" s="104">
        <v>1</v>
      </c>
      <c r="I46" s="105">
        <v>200</v>
      </c>
      <c r="J46" s="105">
        <f t="shared" si="0"/>
        <v>200</v>
      </c>
      <c r="K46" s="106"/>
      <c r="L46" s="103"/>
      <c r="S46" s="101"/>
    </row>
    <row r="47" spans="1:19" ht="25.5" customHeight="1">
      <c r="A47" s="5">
        <f t="shared" si="1"/>
        <v>42</v>
      </c>
      <c r="B47" s="115" t="s">
        <v>145</v>
      </c>
      <c r="C47" s="119"/>
      <c r="D47" s="117"/>
      <c r="E47" s="117"/>
      <c r="F47" s="118"/>
      <c r="G47" s="103" t="s">
        <v>202</v>
      </c>
      <c r="H47" s="104">
        <v>1</v>
      </c>
      <c r="I47" s="105">
        <v>300</v>
      </c>
      <c r="J47" s="105">
        <f t="shared" si="0"/>
        <v>300</v>
      </c>
      <c r="K47" s="106"/>
      <c r="L47" s="103"/>
      <c r="S47" s="101"/>
    </row>
    <row r="48" spans="1:19" ht="25.5" customHeight="1">
      <c r="A48" s="5">
        <f t="shared" si="1"/>
        <v>43</v>
      </c>
      <c r="B48" s="115" t="s">
        <v>146</v>
      </c>
      <c r="C48" s="119"/>
      <c r="D48" s="117"/>
      <c r="E48" s="117"/>
      <c r="F48" s="118"/>
      <c r="G48" s="103" t="s">
        <v>202</v>
      </c>
      <c r="H48" s="104">
        <v>1</v>
      </c>
      <c r="I48" s="105">
        <v>175</v>
      </c>
      <c r="J48" s="105">
        <f t="shared" si="0"/>
        <v>175</v>
      </c>
      <c r="K48" s="106"/>
      <c r="L48" s="103"/>
      <c r="S48" s="101"/>
    </row>
    <row r="49" spans="1:19" ht="25.5" customHeight="1">
      <c r="A49" s="5">
        <f t="shared" si="1"/>
        <v>44</v>
      </c>
      <c r="B49" s="115" t="s">
        <v>147</v>
      </c>
      <c r="C49" s="119"/>
      <c r="D49" s="117"/>
      <c r="E49" s="117"/>
      <c r="F49" s="118"/>
      <c r="G49" s="103" t="s">
        <v>202</v>
      </c>
      <c r="H49" s="104">
        <v>1</v>
      </c>
      <c r="I49" s="105">
        <v>190</v>
      </c>
      <c r="J49" s="105">
        <f t="shared" si="0"/>
        <v>190</v>
      </c>
      <c r="K49" s="106"/>
      <c r="L49" s="103"/>
      <c r="S49" s="101"/>
    </row>
    <row r="50" spans="1:19" ht="25.5" customHeight="1">
      <c r="A50" s="5">
        <f t="shared" si="1"/>
        <v>45</v>
      </c>
      <c r="B50" s="115" t="s">
        <v>148</v>
      </c>
      <c r="C50" s="119"/>
      <c r="D50" s="117"/>
      <c r="E50" s="117"/>
      <c r="F50" s="118"/>
      <c r="G50" s="103" t="s">
        <v>202</v>
      </c>
      <c r="H50" s="104">
        <v>1</v>
      </c>
      <c r="I50" s="105">
        <v>250</v>
      </c>
      <c r="J50" s="105">
        <f t="shared" si="0"/>
        <v>250</v>
      </c>
      <c r="K50" s="106"/>
      <c r="L50" s="103"/>
      <c r="S50" s="101"/>
    </row>
    <row r="51" spans="1:19" ht="25.5" customHeight="1">
      <c r="A51" s="5">
        <f t="shared" si="1"/>
        <v>46</v>
      </c>
      <c r="B51" s="115" t="s">
        <v>149</v>
      </c>
      <c r="C51" s="119"/>
      <c r="D51" s="117"/>
      <c r="E51" s="117"/>
      <c r="F51" s="118"/>
      <c r="G51" s="103" t="s">
        <v>202</v>
      </c>
      <c r="H51" s="104">
        <v>1</v>
      </c>
      <c r="I51" s="105">
        <v>200</v>
      </c>
      <c r="J51" s="105">
        <f t="shared" si="0"/>
        <v>200</v>
      </c>
      <c r="K51" s="106"/>
      <c r="L51" s="103"/>
      <c r="S51" s="101"/>
    </row>
    <row r="52" spans="1:19" ht="25.5" customHeight="1">
      <c r="A52" s="5">
        <f t="shared" si="1"/>
        <v>47</v>
      </c>
      <c r="B52" s="115" t="s">
        <v>150</v>
      </c>
      <c r="C52" s="119"/>
      <c r="D52" s="117"/>
      <c r="E52" s="117"/>
      <c r="F52" s="118"/>
      <c r="G52" s="103" t="s">
        <v>202</v>
      </c>
      <c r="H52" s="104">
        <v>1</v>
      </c>
      <c r="I52" s="105">
        <v>100</v>
      </c>
      <c r="J52" s="105">
        <f t="shared" si="0"/>
        <v>100</v>
      </c>
      <c r="K52" s="106"/>
      <c r="L52" s="103"/>
      <c r="S52" s="101"/>
    </row>
    <row r="53" spans="1:19" ht="25.5" customHeight="1">
      <c r="A53" s="5">
        <f t="shared" si="1"/>
        <v>48</v>
      </c>
      <c r="B53" s="115" t="s">
        <v>151</v>
      </c>
      <c r="C53" s="119"/>
      <c r="D53" s="117"/>
      <c r="E53" s="117"/>
      <c r="F53" s="118"/>
      <c r="G53" s="103" t="s">
        <v>202</v>
      </c>
      <c r="H53" s="104">
        <v>1</v>
      </c>
      <c r="I53" s="105">
        <v>150</v>
      </c>
      <c r="J53" s="105">
        <f t="shared" si="0"/>
        <v>150</v>
      </c>
      <c r="K53" s="106"/>
      <c r="L53" s="103"/>
      <c r="S53" s="101"/>
    </row>
    <row r="54" spans="1:19" ht="25.5" customHeight="1">
      <c r="A54" s="5">
        <f t="shared" si="1"/>
        <v>49</v>
      </c>
      <c r="B54" s="115" t="s">
        <v>152</v>
      </c>
      <c r="C54" s="119"/>
      <c r="D54" s="117"/>
      <c r="E54" s="117"/>
      <c r="F54" s="118"/>
      <c r="G54" s="103" t="s">
        <v>202</v>
      </c>
      <c r="H54" s="104">
        <v>1</v>
      </c>
      <c r="I54" s="105">
        <v>175</v>
      </c>
      <c r="J54" s="105">
        <f t="shared" si="0"/>
        <v>175</v>
      </c>
      <c r="K54" s="106"/>
      <c r="L54" s="103"/>
      <c r="S54" s="101"/>
    </row>
    <row r="55" spans="1:19" ht="25.5" customHeight="1">
      <c r="A55" s="5">
        <f t="shared" si="1"/>
        <v>50</v>
      </c>
      <c r="B55" s="115" t="s">
        <v>153</v>
      </c>
      <c r="C55" s="119"/>
      <c r="D55" s="117"/>
      <c r="E55" s="117"/>
      <c r="F55" s="118"/>
      <c r="G55" s="103" t="s">
        <v>202</v>
      </c>
      <c r="H55" s="104">
        <v>1</v>
      </c>
      <c r="I55" s="105">
        <v>250</v>
      </c>
      <c r="J55" s="105">
        <f t="shared" si="0"/>
        <v>250</v>
      </c>
      <c r="K55" s="106"/>
      <c r="L55" s="103"/>
      <c r="S55" s="101"/>
    </row>
    <row r="56" spans="1:19" ht="25.5" customHeight="1">
      <c r="A56" s="5">
        <f t="shared" si="1"/>
        <v>51</v>
      </c>
      <c r="B56" s="115" t="s">
        <v>154</v>
      </c>
      <c r="C56" s="119"/>
      <c r="D56" s="117"/>
      <c r="E56" s="117"/>
      <c r="F56" s="118"/>
      <c r="G56" s="103" t="s">
        <v>202</v>
      </c>
      <c r="H56" s="104">
        <v>1</v>
      </c>
      <c r="I56" s="105">
        <v>250</v>
      </c>
      <c r="J56" s="105">
        <f t="shared" si="0"/>
        <v>250</v>
      </c>
      <c r="K56" s="106"/>
      <c r="L56" s="103"/>
      <c r="S56" s="101"/>
    </row>
    <row r="57" spans="1:19" ht="25.5" customHeight="1">
      <c r="A57" s="5">
        <f t="shared" si="1"/>
        <v>52</v>
      </c>
      <c r="B57" s="115" t="s">
        <v>155</v>
      </c>
      <c r="C57" s="119"/>
      <c r="D57" s="117"/>
      <c r="E57" s="117"/>
      <c r="F57" s="118"/>
      <c r="G57" s="103" t="s">
        <v>202</v>
      </c>
      <c r="H57" s="104">
        <v>1</v>
      </c>
      <c r="I57" s="105">
        <v>110</v>
      </c>
      <c r="J57" s="105">
        <f t="shared" si="0"/>
        <v>110</v>
      </c>
      <c r="K57" s="106"/>
      <c r="L57" s="103"/>
      <c r="S57" s="101"/>
    </row>
    <row r="58" spans="1:19" ht="25.5" customHeight="1">
      <c r="A58" s="5">
        <f t="shared" si="1"/>
        <v>53</v>
      </c>
      <c r="B58" s="115" t="s">
        <v>156</v>
      </c>
      <c r="C58" s="119"/>
      <c r="D58" s="117"/>
      <c r="E58" s="117"/>
      <c r="F58" s="118"/>
      <c r="G58" s="103" t="s">
        <v>202</v>
      </c>
      <c r="H58" s="104">
        <v>1</v>
      </c>
      <c r="I58" s="105">
        <v>190</v>
      </c>
      <c r="J58" s="105">
        <f t="shared" si="0"/>
        <v>190</v>
      </c>
      <c r="K58" s="106"/>
      <c r="L58" s="103"/>
      <c r="S58" s="101"/>
    </row>
    <row r="59" spans="1:19" ht="25.5" customHeight="1">
      <c r="A59" s="5">
        <f t="shared" si="1"/>
        <v>54</v>
      </c>
      <c r="B59" s="115" t="s">
        <v>157</v>
      </c>
      <c r="C59" s="119"/>
      <c r="D59" s="117"/>
      <c r="E59" s="117"/>
      <c r="F59" s="118"/>
      <c r="G59" s="103" t="s">
        <v>202</v>
      </c>
      <c r="H59" s="104">
        <v>1</v>
      </c>
      <c r="I59" s="105">
        <v>95</v>
      </c>
      <c r="J59" s="105">
        <f t="shared" si="0"/>
        <v>95</v>
      </c>
      <c r="K59" s="106"/>
      <c r="L59" s="103"/>
      <c r="S59" s="101"/>
    </row>
    <row r="60" spans="1:19" ht="25.5" customHeight="1">
      <c r="A60" s="5">
        <f t="shared" si="1"/>
        <v>55</v>
      </c>
      <c r="B60" s="115" t="s">
        <v>158</v>
      </c>
      <c r="C60" s="119"/>
      <c r="D60" s="117"/>
      <c r="E60" s="117"/>
      <c r="F60" s="118"/>
      <c r="G60" s="103" t="s">
        <v>202</v>
      </c>
      <c r="H60" s="104">
        <v>1</v>
      </c>
      <c r="I60" s="105">
        <v>95</v>
      </c>
      <c r="J60" s="105">
        <f t="shared" si="0"/>
        <v>95</v>
      </c>
      <c r="K60" s="106"/>
      <c r="L60" s="103"/>
      <c r="S60" s="101"/>
    </row>
    <row r="61" spans="1:19" ht="25.5" customHeight="1">
      <c r="A61" s="5">
        <f t="shared" si="1"/>
        <v>56</v>
      </c>
      <c r="B61" s="115" t="s">
        <v>159</v>
      </c>
      <c r="C61" s="119"/>
      <c r="D61" s="117"/>
      <c r="E61" s="117"/>
      <c r="F61" s="118"/>
      <c r="G61" s="103" t="s">
        <v>202</v>
      </c>
      <c r="H61" s="104">
        <v>1</v>
      </c>
      <c r="I61" s="105">
        <v>170</v>
      </c>
      <c r="J61" s="105">
        <f t="shared" si="0"/>
        <v>170</v>
      </c>
      <c r="K61" s="106"/>
      <c r="L61" s="103"/>
      <c r="S61" s="101"/>
    </row>
    <row r="62" spans="1:19" ht="25.5" customHeight="1">
      <c r="A62" s="5">
        <f t="shared" si="1"/>
        <v>57</v>
      </c>
      <c r="B62" s="115" t="s">
        <v>160</v>
      </c>
      <c r="C62" s="119"/>
      <c r="D62" s="117"/>
      <c r="E62" s="117"/>
      <c r="F62" s="118"/>
      <c r="G62" s="103" t="s">
        <v>202</v>
      </c>
      <c r="H62" s="104">
        <v>1</v>
      </c>
      <c r="I62" s="105">
        <v>200</v>
      </c>
      <c r="J62" s="105">
        <f t="shared" si="0"/>
        <v>200</v>
      </c>
      <c r="K62" s="106"/>
      <c r="L62" s="103"/>
      <c r="S62" s="101"/>
    </row>
    <row r="63" spans="1:19" ht="25.5" customHeight="1">
      <c r="A63" s="5">
        <f t="shared" si="1"/>
        <v>58</v>
      </c>
      <c r="B63" s="115" t="s">
        <v>161</v>
      </c>
      <c r="C63" s="119"/>
      <c r="D63" s="117"/>
      <c r="E63" s="117"/>
      <c r="F63" s="118"/>
      <c r="G63" s="103" t="s">
        <v>202</v>
      </c>
      <c r="H63" s="104">
        <v>1</v>
      </c>
      <c r="I63" s="105">
        <v>150</v>
      </c>
      <c r="J63" s="105">
        <f t="shared" si="0"/>
        <v>150</v>
      </c>
      <c r="K63" s="106"/>
      <c r="L63" s="103"/>
      <c r="S63" s="101"/>
    </row>
    <row r="64" spans="1:19" ht="25.5" customHeight="1">
      <c r="A64" s="5">
        <f t="shared" si="1"/>
        <v>59</v>
      </c>
      <c r="B64" s="115" t="s">
        <v>162</v>
      </c>
      <c r="C64" s="119"/>
      <c r="D64" s="117"/>
      <c r="E64" s="117"/>
      <c r="F64" s="118"/>
      <c r="G64" s="103" t="s">
        <v>202</v>
      </c>
      <c r="H64" s="104">
        <v>1</v>
      </c>
      <c r="I64" s="105">
        <v>150</v>
      </c>
      <c r="J64" s="105">
        <f t="shared" si="0"/>
        <v>150</v>
      </c>
      <c r="K64" s="106"/>
      <c r="L64" s="103"/>
      <c r="S64" s="101"/>
    </row>
    <row r="65" spans="1:19" ht="25.5" customHeight="1">
      <c r="A65" s="5">
        <f t="shared" si="1"/>
        <v>60</v>
      </c>
      <c r="B65" s="115" t="s">
        <v>163</v>
      </c>
      <c r="C65" s="119"/>
      <c r="D65" s="117"/>
      <c r="E65" s="117"/>
      <c r="F65" s="118"/>
      <c r="G65" s="103" t="s">
        <v>202</v>
      </c>
      <c r="H65" s="104">
        <v>1</v>
      </c>
      <c r="I65" s="105">
        <v>150</v>
      </c>
      <c r="J65" s="105">
        <f t="shared" si="0"/>
        <v>150</v>
      </c>
      <c r="K65" s="106"/>
      <c r="L65" s="103"/>
      <c r="S65" s="101"/>
    </row>
    <row r="66" spans="1:19" ht="25.5" customHeight="1">
      <c r="A66" s="5">
        <f t="shared" si="1"/>
        <v>61</v>
      </c>
      <c r="B66" s="115" t="s">
        <v>164</v>
      </c>
      <c r="C66" s="119"/>
      <c r="D66" s="117"/>
      <c r="E66" s="117"/>
      <c r="F66" s="118"/>
      <c r="G66" s="103" t="s">
        <v>202</v>
      </c>
      <c r="H66" s="104">
        <v>1</v>
      </c>
      <c r="I66" s="105">
        <v>150</v>
      </c>
      <c r="J66" s="105">
        <f t="shared" si="0"/>
        <v>150</v>
      </c>
      <c r="K66" s="106"/>
      <c r="L66" s="103"/>
      <c r="S66" s="101"/>
    </row>
    <row r="67" spans="1:19" ht="25.5" customHeight="1">
      <c r="A67" s="5">
        <f t="shared" si="1"/>
        <v>62</v>
      </c>
      <c r="B67" s="115" t="s">
        <v>165</v>
      </c>
      <c r="C67" s="119"/>
      <c r="D67" s="117"/>
      <c r="E67" s="117"/>
      <c r="F67" s="118"/>
      <c r="G67" s="103" t="s">
        <v>202</v>
      </c>
      <c r="H67" s="104">
        <v>1</v>
      </c>
      <c r="I67" s="105">
        <v>110</v>
      </c>
      <c r="J67" s="105">
        <f t="shared" si="0"/>
        <v>110</v>
      </c>
      <c r="K67" s="106"/>
      <c r="L67" s="103"/>
      <c r="S67" s="101"/>
    </row>
    <row r="68" spans="1:19" ht="25.5" customHeight="1">
      <c r="A68" s="5">
        <f t="shared" si="1"/>
        <v>63</v>
      </c>
      <c r="B68" s="115" t="s">
        <v>166</v>
      </c>
      <c r="C68" s="119"/>
      <c r="D68" s="117"/>
      <c r="E68" s="117"/>
      <c r="F68" s="118"/>
      <c r="G68" s="103" t="s">
        <v>202</v>
      </c>
      <c r="H68" s="104">
        <v>1</v>
      </c>
      <c r="I68" s="105">
        <v>135</v>
      </c>
      <c r="J68" s="105">
        <f t="shared" si="0"/>
        <v>135</v>
      </c>
      <c r="K68" s="106"/>
      <c r="L68" s="103"/>
      <c r="S68" s="101"/>
    </row>
    <row r="69" spans="1:19" ht="25.5" customHeight="1">
      <c r="A69" s="5">
        <f t="shared" si="1"/>
        <v>64</v>
      </c>
      <c r="B69" s="115" t="s">
        <v>167</v>
      </c>
      <c r="C69" s="119"/>
      <c r="D69" s="117"/>
      <c r="E69" s="117"/>
      <c r="F69" s="118"/>
      <c r="G69" s="103" t="s">
        <v>202</v>
      </c>
      <c r="H69" s="104">
        <v>1</v>
      </c>
      <c r="I69" s="105">
        <v>200</v>
      </c>
      <c r="J69" s="105">
        <f t="shared" si="0"/>
        <v>200</v>
      </c>
      <c r="K69" s="106"/>
      <c r="L69" s="103"/>
      <c r="S69" s="101"/>
    </row>
    <row r="70" spans="1:19" ht="25.5" customHeight="1">
      <c r="A70" s="5">
        <f t="shared" ref="A70:A102" si="2">ROW(A65)</f>
        <v>65</v>
      </c>
      <c r="B70" s="115" t="s">
        <v>168</v>
      </c>
      <c r="C70" s="119"/>
      <c r="D70" s="117"/>
      <c r="E70" s="117"/>
      <c r="F70" s="118"/>
      <c r="G70" s="103" t="s">
        <v>202</v>
      </c>
      <c r="H70" s="104">
        <v>1</v>
      </c>
      <c r="I70" s="105">
        <v>250</v>
      </c>
      <c r="J70" s="105">
        <f t="shared" si="0"/>
        <v>250</v>
      </c>
      <c r="K70" s="106"/>
      <c r="L70" s="103"/>
      <c r="S70" s="101"/>
    </row>
    <row r="71" spans="1:19" ht="25.5" customHeight="1">
      <c r="A71" s="5">
        <f t="shared" si="2"/>
        <v>66</v>
      </c>
      <c r="B71" s="115" t="s">
        <v>169</v>
      </c>
      <c r="C71" s="119"/>
      <c r="D71" s="117"/>
      <c r="E71" s="117"/>
      <c r="F71" s="118"/>
      <c r="G71" s="103" t="s">
        <v>202</v>
      </c>
      <c r="H71" s="104">
        <v>1</v>
      </c>
      <c r="I71" s="105">
        <v>200</v>
      </c>
      <c r="J71" s="105">
        <f t="shared" ref="J71:J102" si="3">H71*I71</f>
        <v>200</v>
      </c>
      <c r="K71" s="106"/>
      <c r="L71" s="103"/>
      <c r="S71" s="101"/>
    </row>
    <row r="72" spans="1:19" ht="25.5" customHeight="1">
      <c r="A72" s="5">
        <f t="shared" si="2"/>
        <v>67</v>
      </c>
      <c r="B72" s="115" t="s">
        <v>170</v>
      </c>
      <c r="C72" s="119"/>
      <c r="D72" s="117"/>
      <c r="E72" s="117"/>
      <c r="F72" s="118"/>
      <c r="G72" s="103" t="s">
        <v>202</v>
      </c>
      <c r="H72" s="104">
        <v>1</v>
      </c>
      <c r="I72" s="105">
        <v>200</v>
      </c>
      <c r="J72" s="105">
        <f t="shared" si="3"/>
        <v>200</v>
      </c>
      <c r="K72" s="106"/>
      <c r="L72" s="103"/>
      <c r="S72" s="101"/>
    </row>
    <row r="73" spans="1:19" ht="25.5" customHeight="1">
      <c r="A73" s="5">
        <f t="shared" si="2"/>
        <v>68</v>
      </c>
      <c r="B73" s="115" t="s">
        <v>171</v>
      </c>
      <c r="C73" s="119"/>
      <c r="D73" s="117"/>
      <c r="E73" s="117"/>
      <c r="F73" s="118"/>
      <c r="G73" s="103" t="s">
        <v>202</v>
      </c>
      <c r="H73" s="104">
        <v>1</v>
      </c>
      <c r="I73" s="105">
        <v>200</v>
      </c>
      <c r="J73" s="105">
        <f t="shared" si="3"/>
        <v>200</v>
      </c>
      <c r="K73" s="106"/>
      <c r="L73" s="103"/>
      <c r="S73" s="101"/>
    </row>
    <row r="74" spans="1:19" ht="25.5" customHeight="1">
      <c r="A74" s="5">
        <f t="shared" si="2"/>
        <v>69</v>
      </c>
      <c r="B74" s="115" t="s">
        <v>172</v>
      </c>
      <c r="C74" s="119"/>
      <c r="D74" s="117"/>
      <c r="E74" s="117"/>
      <c r="F74" s="118"/>
      <c r="G74" s="103" t="s">
        <v>202</v>
      </c>
      <c r="H74" s="104">
        <v>1</v>
      </c>
      <c r="I74" s="105">
        <v>145</v>
      </c>
      <c r="J74" s="105">
        <f t="shared" si="3"/>
        <v>145</v>
      </c>
      <c r="K74" s="106"/>
      <c r="L74" s="103"/>
      <c r="S74" s="101"/>
    </row>
    <row r="75" spans="1:19" ht="25.5" customHeight="1">
      <c r="A75" s="5">
        <f t="shared" si="2"/>
        <v>70</v>
      </c>
      <c r="B75" s="115" t="s">
        <v>173</v>
      </c>
      <c r="C75" s="119"/>
      <c r="D75" s="117"/>
      <c r="E75" s="117"/>
      <c r="F75" s="118"/>
      <c r="G75" s="103" t="s">
        <v>202</v>
      </c>
      <c r="H75" s="104">
        <v>1</v>
      </c>
      <c r="I75" s="105">
        <v>100</v>
      </c>
      <c r="J75" s="105">
        <f t="shared" si="3"/>
        <v>100</v>
      </c>
      <c r="K75" s="106"/>
      <c r="L75" s="103"/>
      <c r="S75" s="101"/>
    </row>
    <row r="76" spans="1:19" ht="25.5" customHeight="1">
      <c r="A76" s="5">
        <f t="shared" si="2"/>
        <v>71</v>
      </c>
      <c r="B76" s="115" t="s">
        <v>174</v>
      </c>
      <c r="C76" s="119"/>
      <c r="D76" s="117"/>
      <c r="E76" s="117"/>
      <c r="F76" s="118"/>
      <c r="G76" s="103" t="s">
        <v>202</v>
      </c>
      <c r="H76" s="104">
        <v>1</v>
      </c>
      <c r="I76" s="105">
        <v>175</v>
      </c>
      <c r="J76" s="105">
        <f t="shared" si="3"/>
        <v>175</v>
      </c>
      <c r="K76" s="106"/>
      <c r="L76" s="103"/>
      <c r="S76" s="101"/>
    </row>
    <row r="77" spans="1:19" ht="25.5" customHeight="1">
      <c r="A77" s="5">
        <f t="shared" si="2"/>
        <v>72</v>
      </c>
      <c r="B77" s="115" t="s">
        <v>175</v>
      </c>
      <c r="C77" s="119"/>
      <c r="D77" s="117"/>
      <c r="E77" s="117"/>
      <c r="F77" s="118"/>
      <c r="G77" s="103" t="s">
        <v>202</v>
      </c>
      <c r="H77" s="104">
        <v>1</v>
      </c>
      <c r="I77" s="105">
        <v>95</v>
      </c>
      <c r="J77" s="105">
        <f t="shared" si="3"/>
        <v>95</v>
      </c>
      <c r="K77" s="106"/>
      <c r="L77" s="103"/>
      <c r="S77" s="101"/>
    </row>
    <row r="78" spans="1:19" ht="25.5" customHeight="1">
      <c r="A78" s="5">
        <f t="shared" si="2"/>
        <v>73</v>
      </c>
      <c r="B78" s="115" t="s">
        <v>176</v>
      </c>
      <c r="C78" s="119"/>
      <c r="D78" s="117"/>
      <c r="E78" s="117"/>
      <c r="F78" s="118"/>
      <c r="G78" s="103" t="s">
        <v>202</v>
      </c>
      <c r="H78" s="104">
        <v>1</v>
      </c>
      <c r="I78" s="105">
        <v>200</v>
      </c>
      <c r="J78" s="105">
        <f t="shared" si="3"/>
        <v>200</v>
      </c>
      <c r="K78" s="106"/>
      <c r="L78" s="103"/>
      <c r="S78" s="101"/>
    </row>
    <row r="79" spans="1:19" ht="25.5" customHeight="1">
      <c r="A79" s="5">
        <f t="shared" si="2"/>
        <v>74</v>
      </c>
      <c r="B79" s="115" t="s">
        <v>177</v>
      </c>
      <c r="C79" s="119"/>
      <c r="D79" s="117"/>
      <c r="E79" s="117"/>
      <c r="F79" s="118"/>
      <c r="G79" s="103" t="s">
        <v>202</v>
      </c>
      <c r="H79" s="104">
        <v>1</v>
      </c>
      <c r="I79" s="105">
        <v>170</v>
      </c>
      <c r="J79" s="105">
        <f t="shared" si="3"/>
        <v>170</v>
      </c>
      <c r="K79" s="106"/>
      <c r="L79" s="103"/>
      <c r="S79" s="101"/>
    </row>
    <row r="80" spans="1:19" ht="25.5" customHeight="1">
      <c r="A80" s="5">
        <f t="shared" si="2"/>
        <v>75</v>
      </c>
      <c r="B80" s="115" t="s">
        <v>178</v>
      </c>
      <c r="C80" s="119"/>
      <c r="D80" s="117"/>
      <c r="E80" s="117"/>
      <c r="F80" s="118"/>
      <c r="G80" s="103" t="s">
        <v>202</v>
      </c>
      <c r="H80" s="104">
        <v>1</v>
      </c>
      <c r="I80" s="105">
        <v>190</v>
      </c>
      <c r="J80" s="105">
        <f t="shared" si="3"/>
        <v>190</v>
      </c>
      <c r="K80" s="106"/>
      <c r="L80" s="103"/>
      <c r="S80" s="101"/>
    </row>
    <row r="81" spans="1:19" ht="25.5" customHeight="1">
      <c r="A81" s="5">
        <f t="shared" si="2"/>
        <v>76</v>
      </c>
      <c r="B81" s="115" t="s">
        <v>179</v>
      </c>
      <c r="C81" s="119"/>
      <c r="D81" s="117"/>
      <c r="E81" s="117"/>
      <c r="F81" s="118"/>
      <c r="G81" s="103" t="s">
        <v>202</v>
      </c>
      <c r="H81" s="104">
        <v>1</v>
      </c>
      <c r="I81" s="105">
        <v>190</v>
      </c>
      <c r="J81" s="105">
        <f t="shared" si="3"/>
        <v>190</v>
      </c>
      <c r="K81" s="106"/>
      <c r="L81" s="103"/>
      <c r="S81" s="101"/>
    </row>
    <row r="82" spans="1:19" ht="25.5" customHeight="1">
      <c r="A82" s="5">
        <f t="shared" si="2"/>
        <v>77</v>
      </c>
      <c r="B82" s="115" t="s">
        <v>180</v>
      </c>
      <c r="C82" s="119"/>
      <c r="D82" s="117"/>
      <c r="E82" s="117"/>
      <c r="F82" s="118"/>
      <c r="G82" s="103" t="s">
        <v>202</v>
      </c>
      <c r="H82" s="104">
        <v>1</v>
      </c>
      <c r="I82" s="105">
        <v>190</v>
      </c>
      <c r="J82" s="105">
        <f t="shared" si="3"/>
        <v>190</v>
      </c>
      <c r="K82" s="106"/>
      <c r="L82" s="103"/>
      <c r="S82" s="101"/>
    </row>
    <row r="83" spans="1:19" ht="25.5" customHeight="1">
      <c r="A83" s="5">
        <f t="shared" si="2"/>
        <v>78</v>
      </c>
      <c r="B83" s="115" t="s">
        <v>181</v>
      </c>
      <c r="C83" s="119"/>
      <c r="D83" s="117"/>
      <c r="E83" s="117"/>
      <c r="F83" s="118"/>
      <c r="G83" s="103" t="s">
        <v>202</v>
      </c>
      <c r="H83" s="104">
        <v>1</v>
      </c>
      <c r="I83" s="105">
        <v>200</v>
      </c>
      <c r="J83" s="105">
        <f t="shared" si="3"/>
        <v>200</v>
      </c>
      <c r="K83" s="106"/>
      <c r="L83" s="103"/>
      <c r="S83" s="101"/>
    </row>
    <row r="84" spans="1:19" ht="25.5" customHeight="1">
      <c r="A84" s="5">
        <f t="shared" si="2"/>
        <v>79</v>
      </c>
      <c r="B84" s="115" t="s">
        <v>182</v>
      </c>
      <c r="C84" s="119"/>
      <c r="D84" s="117"/>
      <c r="E84" s="117"/>
      <c r="F84" s="118"/>
      <c r="G84" s="103" t="s">
        <v>202</v>
      </c>
      <c r="H84" s="104">
        <v>1</v>
      </c>
      <c r="I84" s="105">
        <v>200</v>
      </c>
      <c r="J84" s="105">
        <f t="shared" si="3"/>
        <v>200</v>
      </c>
      <c r="K84" s="106"/>
      <c r="L84" s="103"/>
      <c r="S84" s="101"/>
    </row>
    <row r="85" spans="1:19" ht="25.5" customHeight="1">
      <c r="A85" s="5">
        <f t="shared" si="2"/>
        <v>80</v>
      </c>
      <c r="B85" s="115" t="s">
        <v>183</v>
      </c>
      <c r="C85" s="119"/>
      <c r="D85" s="117"/>
      <c r="E85" s="117"/>
      <c r="F85" s="118"/>
      <c r="G85" s="103" t="s">
        <v>202</v>
      </c>
      <c r="H85" s="104">
        <v>1</v>
      </c>
      <c r="I85" s="105">
        <v>150</v>
      </c>
      <c r="J85" s="105">
        <f t="shared" si="3"/>
        <v>150</v>
      </c>
      <c r="K85" s="106"/>
      <c r="L85" s="103"/>
      <c r="S85" s="101"/>
    </row>
    <row r="86" spans="1:19" ht="25.5" customHeight="1">
      <c r="A86" s="5">
        <f t="shared" si="2"/>
        <v>81</v>
      </c>
      <c r="B86" s="115" t="s">
        <v>184</v>
      </c>
      <c r="C86" s="119"/>
      <c r="D86" s="117"/>
      <c r="E86" s="117"/>
      <c r="F86" s="118"/>
      <c r="G86" s="103" t="s">
        <v>202</v>
      </c>
      <c r="H86" s="104">
        <v>1</v>
      </c>
      <c r="I86" s="105">
        <v>90</v>
      </c>
      <c r="J86" s="105">
        <f t="shared" si="3"/>
        <v>90</v>
      </c>
      <c r="K86" s="106"/>
      <c r="L86" s="103"/>
      <c r="S86" s="101"/>
    </row>
    <row r="87" spans="1:19" ht="25.5" customHeight="1">
      <c r="A87" s="5">
        <f t="shared" si="2"/>
        <v>82</v>
      </c>
      <c r="B87" s="115" t="s">
        <v>185</v>
      </c>
      <c r="C87" s="119"/>
      <c r="D87" s="117"/>
      <c r="E87" s="117"/>
      <c r="F87" s="118"/>
      <c r="G87" s="103" t="s">
        <v>202</v>
      </c>
      <c r="H87" s="104">
        <v>1</v>
      </c>
      <c r="I87" s="105">
        <v>95</v>
      </c>
      <c r="J87" s="105">
        <f t="shared" si="3"/>
        <v>95</v>
      </c>
      <c r="K87" s="106"/>
      <c r="L87" s="103"/>
      <c r="S87" s="101"/>
    </row>
    <row r="88" spans="1:19" ht="25.5" customHeight="1">
      <c r="A88" s="5">
        <f t="shared" si="2"/>
        <v>83</v>
      </c>
      <c r="B88" s="115" t="s">
        <v>186</v>
      </c>
      <c r="C88" s="119"/>
      <c r="D88" s="117"/>
      <c r="E88" s="117"/>
      <c r="F88" s="118"/>
      <c r="G88" s="103" t="s">
        <v>202</v>
      </c>
      <c r="H88" s="104">
        <v>1</v>
      </c>
      <c r="I88" s="105">
        <v>180</v>
      </c>
      <c r="J88" s="105">
        <f t="shared" si="3"/>
        <v>180</v>
      </c>
      <c r="K88" s="106"/>
      <c r="L88" s="103"/>
      <c r="S88" s="101"/>
    </row>
    <row r="89" spans="1:19" ht="25.5" customHeight="1">
      <c r="A89" s="5">
        <f t="shared" si="2"/>
        <v>84</v>
      </c>
      <c r="B89" s="115" t="s">
        <v>187</v>
      </c>
      <c r="C89" s="119"/>
      <c r="D89" s="117"/>
      <c r="E89" s="117"/>
      <c r="F89" s="118"/>
      <c r="G89" s="103" t="s">
        <v>202</v>
      </c>
      <c r="H89" s="104">
        <v>1</v>
      </c>
      <c r="I89" s="105">
        <v>175</v>
      </c>
      <c r="J89" s="105">
        <f t="shared" si="3"/>
        <v>175</v>
      </c>
      <c r="K89" s="106"/>
      <c r="L89" s="103"/>
      <c r="S89" s="101"/>
    </row>
    <row r="90" spans="1:19" ht="25.5" customHeight="1">
      <c r="A90" s="5">
        <f t="shared" si="2"/>
        <v>85</v>
      </c>
      <c r="B90" s="115" t="s">
        <v>188</v>
      </c>
      <c r="C90" s="119"/>
      <c r="D90" s="117"/>
      <c r="E90" s="117"/>
      <c r="F90" s="118"/>
      <c r="G90" s="103" t="s">
        <v>202</v>
      </c>
      <c r="H90" s="104">
        <v>1</v>
      </c>
      <c r="I90" s="105">
        <v>175</v>
      </c>
      <c r="J90" s="105">
        <f t="shared" si="3"/>
        <v>175</v>
      </c>
      <c r="K90" s="106"/>
      <c r="L90" s="107"/>
      <c r="S90" s="101"/>
    </row>
    <row r="91" spans="1:19" ht="25.5" customHeight="1">
      <c r="A91" s="5">
        <f t="shared" si="2"/>
        <v>86</v>
      </c>
      <c r="B91" s="115" t="s">
        <v>189</v>
      </c>
      <c r="C91" s="119"/>
      <c r="D91" s="117"/>
      <c r="E91" s="117"/>
      <c r="F91" s="118"/>
      <c r="G91" s="103" t="s">
        <v>202</v>
      </c>
      <c r="H91" s="104">
        <v>1</v>
      </c>
      <c r="I91" s="105">
        <v>175</v>
      </c>
      <c r="J91" s="105">
        <f t="shared" si="3"/>
        <v>175</v>
      </c>
      <c r="K91" s="106"/>
      <c r="L91" s="107"/>
      <c r="S91" s="101"/>
    </row>
    <row r="92" spans="1:19" ht="25.5" customHeight="1">
      <c r="A92" s="5">
        <f t="shared" si="2"/>
        <v>87</v>
      </c>
      <c r="B92" s="115" t="s">
        <v>190</v>
      </c>
      <c r="C92" s="119"/>
      <c r="D92" s="117"/>
      <c r="E92" s="117"/>
      <c r="F92" s="118"/>
      <c r="G92" s="103" t="s">
        <v>201</v>
      </c>
      <c r="H92" s="104">
        <v>1</v>
      </c>
      <c r="I92" s="105">
        <v>250</v>
      </c>
      <c r="J92" s="105">
        <f t="shared" si="3"/>
        <v>250</v>
      </c>
      <c r="K92" s="106"/>
      <c r="L92" s="107"/>
      <c r="S92" s="101"/>
    </row>
    <row r="93" spans="1:19" ht="25.5" customHeight="1">
      <c r="A93" s="5">
        <f t="shared" si="2"/>
        <v>88</v>
      </c>
      <c r="B93" s="115" t="s">
        <v>191</v>
      </c>
      <c r="C93" s="119"/>
      <c r="D93" s="117"/>
      <c r="E93" s="117"/>
      <c r="F93" s="118"/>
      <c r="G93" s="103" t="s">
        <v>202</v>
      </c>
      <c r="H93" s="104">
        <v>1</v>
      </c>
      <c r="I93" s="105">
        <v>190</v>
      </c>
      <c r="J93" s="105">
        <f t="shared" si="3"/>
        <v>190</v>
      </c>
      <c r="K93" s="106"/>
      <c r="L93" s="107"/>
      <c r="S93" s="101"/>
    </row>
    <row r="94" spans="1:19" ht="25.5" customHeight="1">
      <c r="A94" s="5">
        <f t="shared" si="2"/>
        <v>89</v>
      </c>
      <c r="B94" s="115" t="s">
        <v>192</v>
      </c>
      <c r="C94" s="119"/>
      <c r="D94" s="117"/>
      <c r="E94" s="117"/>
      <c r="F94" s="118"/>
      <c r="G94" s="103" t="s">
        <v>202</v>
      </c>
      <c r="H94" s="104">
        <v>1</v>
      </c>
      <c r="I94" s="105">
        <v>95</v>
      </c>
      <c r="J94" s="105">
        <f t="shared" si="3"/>
        <v>95</v>
      </c>
      <c r="K94" s="106"/>
      <c r="L94" s="107"/>
      <c r="S94" s="101"/>
    </row>
    <row r="95" spans="1:19" ht="25.5" customHeight="1">
      <c r="A95" s="5">
        <f t="shared" si="2"/>
        <v>90</v>
      </c>
      <c r="B95" s="115" t="s">
        <v>193</v>
      </c>
      <c r="C95" s="119"/>
      <c r="D95" s="117"/>
      <c r="E95" s="117"/>
      <c r="F95" s="118"/>
      <c r="G95" s="103" t="s">
        <v>202</v>
      </c>
      <c r="H95" s="104">
        <v>1</v>
      </c>
      <c r="I95" s="105">
        <v>190</v>
      </c>
      <c r="J95" s="105">
        <f t="shared" si="3"/>
        <v>190</v>
      </c>
      <c r="K95" s="106"/>
      <c r="L95" s="107"/>
      <c r="S95" s="101"/>
    </row>
    <row r="96" spans="1:19" ht="25.5" customHeight="1">
      <c r="A96" s="5">
        <f t="shared" si="2"/>
        <v>91</v>
      </c>
      <c r="B96" s="115" t="s">
        <v>194</v>
      </c>
      <c r="C96" s="119"/>
      <c r="D96" s="117"/>
      <c r="E96" s="117"/>
      <c r="F96" s="118"/>
      <c r="G96" s="103" t="s">
        <v>202</v>
      </c>
      <c r="H96" s="104">
        <v>1</v>
      </c>
      <c r="I96" s="105">
        <v>90</v>
      </c>
      <c r="J96" s="105">
        <f t="shared" si="3"/>
        <v>90</v>
      </c>
      <c r="K96" s="106"/>
      <c r="L96" s="107"/>
      <c r="S96" s="101"/>
    </row>
    <row r="97" spans="1:22" ht="25.5" customHeight="1">
      <c r="A97" s="5">
        <f t="shared" si="2"/>
        <v>92</v>
      </c>
      <c r="B97" s="115" t="s">
        <v>195</v>
      </c>
      <c r="C97" s="119"/>
      <c r="D97" s="117"/>
      <c r="E97" s="117"/>
      <c r="F97" s="118"/>
      <c r="G97" s="103" t="s">
        <v>202</v>
      </c>
      <c r="H97" s="104">
        <v>1</v>
      </c>
      <c r="I97" s="105">
        <v>190</v>
      </c>
      <c r="J97" s="105">
        <f t="shared" si="3"/>
        <v>190</v>
      </c>
      <c r="K97" s="106"/>
      <c r="L97" s="107"/>
      <c r="S97" s="101"/>
    </row>
    <row r="98" spans="1:22" ht="25.5" customHeight="1">
      <c r="A98" s="5">
        <f t="shared" si="2"/>
        <v>93</v>
      </c>
      <c r="B98" s="115" t="s">
        <v>196</v>
      </c>
      <c r="C98" s="119"/>
      <c r="D98" s="117"/>
      <c r="E98" s="117"/>
      <c r="F98" s="118"/>
      <c r="G98" s="103" t="s">
        <v>202</v>
      </c>
      <c r="H98" s="104">
        <v>1</v>
      </c>
      <c r="I98" s="105">
        <v>95</v>
      </c>
      <c r="J98" s="105">
        <f t="shared" si="3"/>
        <v>95</v>
      </c>
      <c r="K98" s="106"/>
      <c r="L98" s="107"/>
      <c r="S98" s="101"/>
    </row>
    <row r="99" spans="1:22" ht="25.5" customHeight="1">
      <c r="A99" s="5">
        <f t="shared" si="2"/>
        <v>94</v>
      </c>
      <c r="B99" s="115" t="s">
        <v>197</v>
      </c>
      <c r="C99" s="119"/>
      <c r="D99" s="117"/>
      <c r="E99" s="117"/>
      <c r="F99" s="118"/>
      <c r="G99" s="103" t="s">
        <v>202</v>
      </c>
      <c r="H99" s="104">
        <v>1</v>
      </c>
      <c r="I99" s="105">
        <v>190</v>
      </c>
      <c r="J99" s="105">
        <f t="shared" si="3"/>
        <v>190</v>
      </c>
      <c r="K99" s="106"/>
      <c r="L99" s="107"/>
      <c r="S99" s="101"/>
    </row>
    <row r="100" spans="1:22" ht="25.5" customHeight="1">
      <c r="A100" s="5">
        <f t="shared" si="2"/>
        <v>95</v>
      </c>
      <c r="B100" s="115" t="s">
        <v>198</v>
      </c>
      <c r="C100" s="119"/>
      <c r="D100" s="117"/>
      <c r="E100" s="117"/>
      <c r="F100" s="118"/>
      <c r="G100" s="103" t="s">
        <v>202</v>
      </c>
      <c r="H100" s="104">
        <v>1</v>
      </c>
      <c r="I100" s="105">
        <v>190</v>
      </c>
      <c r="J100" s="105">
        <f t="shared" si="3"/>
        <v>190</v>
      </c>
      <c r="K100" s="106"/>
      <c r="L100" s="107"/>
      <c r="S100" s="101"/>
    </row>
    <row r="101" spans="1:22" ht="25.5" customHeight="1">
      <c r="A101" s="5">
        <f t="shared" si="2"/>
        <v>96</v>
      </c>
      <c r="B101" s="115" t="s">
        <v>199</v>
      </c>
      <c r="C101" s="119"/>
      <c r="D101" s="117"/>
      <c r="E101" s="117"/>
      <c r="F101" s="118"/>
      <c r="G101" s="103" t="s">
        <v>202</v>
      </c>
      <c r="H101" s="104">
        <v>1</v>
      </c>
      <c r="I101" s="105">
        <v>175</v>
      </c>
      <c r="J101" s="105">
        <f t="shared" si="3"/>
        <v>175</v>
      </c>
      <c r="K101" s="106"/>
      <c r="L101" s="107"/>
      <c r="S101" s="101"/>
    </row>
    <row r="102" spans="1:22" ht="25.5" customHeight="1">
      <c r="A102" s="5">
        <f t="shared" si="2"/>
        <v>97</v>
      </c>
      <c r="B102" s="115" t="s">
        <v>200</v>
      </c>
      <c r="C102" s="119"/>
      <c r="D102" s="117"/>
      <c r="E102" s="117"/>
      <c r="F102" s="118"/>
      <c r="G102" s="103" t="s">
        <v>202</v>
      </c>
      <c r="H102" s="104">
        <v>1</v>
      </c>
      <c r="I102" s="105">
        <v>650</v>
      </c>
      <c r="J102" s="105">
        <f t="shared" si="3"/>
        <v>650</v>
      </c>
      <c r="K102" s="106"/>
      <c r="L102" s="107"/>
      <c r="S102" s="101"/>
    </row>
    <row r="103" spans="1:22" ht="25.5" customHeight="1">
      <c r="A103" s="124" t="s">
        <v>7</v>
      </c>
      <c r="B103" s="125"/>
      <c r="C103" s="108"/>
      <c r="D103" s="109"/>
      <c r="E103" s="109"/>
      <c r="F103" s="109"/>
      <c r="G103" s="110"/>
      <c r="H103" s="110"/>
      <c r="I103" s="111" t="s">
        <v>8</v>
      </c>
      <c r="J103" s="105">
        <f>SUM(J6:J102)</f>
        <v>16550</v>
      </c>
      <c r="K103" s="105"/>
      <c r="L103" s="112"/>
    </row>
    <row r="104" spans="1:22" ht="20.100000000000001" customHeight="1">
      <c r="A104" s="6" t="s">
        <v>9</v>
      </c>
      <c r="B104" s="7"/>
      <c r="C104" s="7"/>
      <c r="D104" s="7"/>
      <c r="E104" s="7"/>
      <c r="F104" s="7"/>
      <c r="G104" s="7"/>
      <c r="H104" s="7"/>
      <c r="I104" s="7"/>
      <c r="J104" s="7"/>
      <c r="K104" s="8"/>
      <c r="L104" s="9"/>
    </row>
    <row r="105" spans="1:22" ht="18" customHeight="1">
      <c r="A105" s="10"/>
      <c r="J105" s="1"/>
      <c r="K105" s="1"/>
      <c r="O105" s="11"/>
      <c r="P105" s="11"/>
      <c r="Q105" s="11"/>
      <c r="S105" s="126" t="s">
        <v>10</v>
      </c>
      <c r="T105" s="12" t="s">
        <v>11</v>
      </c>
      <c r="U105" s="13" t="s">
        <v>12</v>
      </c>
      <c r="V105" s="12" t="s">
        <v>13</v>
      </c>
    </row>
    <row r="106" spans="1:22" ht="50.1" customHeight="1">
      <c r="S106" s="127"/>
      <c r="T106" s="14"/>
      <c r="U106" s="15"/>
      <c r="V106" s="14"/>
    </row>
    <row r="107" spans="1:22" ht="17.100000000000001" customHeight="1">
      <c r="O107" s="11"/>
      <c r="P107" s="11"/>
      <c r="Q107" s="11"/>
      <c r="S107" s="121"/>
      <c r="T107" s="15" t="s">
        <v>14</v>
      </c>
      <c r="U107" s="15" t="s">
        <v>14</v>
      </c>
      <c r="V107" s="16" t="s">
        <v>14</v>
      </c>
    </row>
    <row r="108" spans="1:22" ht="15" customHeight="1">
      <c r="O108" s="17" t="s">
        <v>15</v>
      </c>
      <c r="P108" s="120" t="s">
        <v>16</v>
      </c>
      <c r="Q108" s="120" t="s">
        <v>17</v>
      </c>
    </row>
    <row r="109" spans="1:22" ht="18" customHeight="1">
      <c r="O109" s="18" t="s">
        <v>18</v>
      </c>
      <c r="P109" s="122"/>
      <c r="Q109" s="122"/>
      <c r="S109" s="126" t="s">
        <v>19</v>
      </c>
      <c r="T109" s="12" t="s">
        <v>11</v>
      </c>
      <c r="U109" s="12" t="s">
        <v>12</v>
      </c>
      <c r="V109" s="12" t="s">
        <v>13</v>
      </c>
    </row>
    <row r="110" spans="1:22" ht="50.1" customHeight="1">
      <c r="O110" s="14"/>
      <c r="P110" s="14"/>
      <c r="Q110" s="14"/>
      <c r="S110" s="127"/>
      <c r="T110" s="19"/>
      <c r="U110" s="19"/>
      <c r="V110" s="14"/>
    </row>
    <row r="111" spans="1:22" ht="17.100000000000001" customHeight="1">
      <c r="O111" s="16" t="s">
        <v>14</v>
      </c>
      <c r="P111" s="16" t="s">
        <v>14</v>
      </c>
      <c r="Q111" s="16" t="s">
        <v>14</v>
      </c>
      <c r="S111" s="121"/>
      <c r="T111" s="15" t="s">
        <v>14</v>
      </c>
      <c r="U111" s="15" t="s">
        <v>14</v>
      </c>
      <c r="V111" s="16" t="s">
        <v>14</v>
      </c>
    </row>
    <row r="112" spans="1:22" ht="9.9499999999999993" customHeight="1"/>
    <row r="113" spans="15:20" ht="19.899999999999999" customHeight="1"/>
    <row r="114" spans="15:20" ht="17.45" customHeight="1">
      <c r="O114" s="123"/>
      <c r="P114" s="123"/>
      <c r="Q114" s="123"/>
    </row>
    <row r="115" spans="15:20" ht="19.899999999999999" customHeight="1">
      <c r="O115" s="123"/>
      <c r="P115" s="123"/>
      <c r="Q115" s="123"/>
    </row>
    <row r="116" spans="15:20" ht="14.25">
      <c r="O116" s="11"/>
      <c r="P116" s="11"/>
      <c r="Q116" s="11"/>
    </row>
    <row r="117" spans="15:20" ht="65.099999999999994" customHeight="1"/>
    <row r="118" spans="15:20" ht="14.25">
      <c r="O118" s="11"/>
      <c r="P118" s="11"/>
      <c r="Q118" s="11"/>
    </row>
    <row r="119" spans="15:20" ht="19.899999999999999" customHeight="1"/>
    <row r="120" spans="15:20" ht="14.25"/>
    <row r="121" spans="15:20" ht="19.899999999999999" customHeight="1"/>
    <row r="122" spans="15:20" ht="14.25"/>
    <row r="123" spans="15:20" ht="19.899999999999999" customHeight="1"/>
    <row r="124" spans="15:20" ht="19.899999999999999" customHeight="1"/>
    <row r="125" spans="15:20" ht="64.900000000000006" customHeight="1"/>
    <row r="127" spans="15:20" ht="19.899999999999999" customHeight="1">
      <c r="T127" s="120" t="s">
        <v>20</v>
      </c>
    </row>
    <row r="128" spans="15:20" ht="19.899999999999999" customHeight="1">
      <c r="T128" s="122"/>
    </row>
    <row r="129" spans="15:22" ht="64.900000000000006" customHeight="1">
      <c r="T129" s="14"/>
    </row>
    <row r="133" spans="15:22" ht="21" customHeight="1">
      <c r="O133" s="120" t="s">
        <v>20</v>
      </c>
      <c r="P133" s="120" t="s">
        <v>20</v>
      </c>
      <c r="Q133" s="120" t="s">
        <v>20</v>
      </c>
      <c r="T133" s="120" t="s">
        <v>21</v>
      </c>
      <c r="U133" s="120" t="s">
        <v>12</v>
      </c>
      <c r="V133" s="120" t="s">
        <v>20</v>
      </c>
    </row>
    <row r="134" spans="15:22" ht="21" customHeight="1">
      <c r="O134" s="122"/>
      <c r="P134" s="122"/>
      <c r="Q134" s="122"/>
      <c r="T134" s="121"/>
      <c r="U134" s="121"/>
      <c r="V134" s="122"/>
    </row>
    <row r="135" spans="15:22" ht="64.900000000000006" customHeight="1">
      <c r="O135" s="14"/>
      <c r="P135" s="14"/>
      <c r="Q135" s="14"/>
      <c r="T135" s="14"/>
      <c r="U135" s="15"/>
      <c r="V135" s="14"/>
    </row>
    <row r="136" spans="15:22" ht="7.15" customHeight="1"/>
    <row r="137" spans="15:22" ht="21" customHeight="1">
      <c r="O137" s="120" t="s">
        <v>20</v>
      </c>
      <c r="P137" s="120" t="s">
        <v>20</v>
      </c>
      <c r="Q137" s="120" t="s">
        <v>20</v>
      </c>
      <c r="T137" s="120" t="s">
        <v>12</v>
      </c>
      <c r="U137" s="120" t="s">
        <v>21</v>
      </c>
      <c r="V137" s="120" t="s">
        <v>20</v>
      </c>
    </row>
    <row r="138" spans="15:22" ht="21" customHeight="1">
      <c r="O138" s="122"/>
      <c r="P138" s="122"/>
      <c r="Q138" s="122"/>
      <c r="T138" s="121"/>
      <c r="U138" s="121"/>
      <c r="V138" s="122"/>
    </row>
    <row r="139" spans="15:22" ht="64.900000000000006" customHeight="1">
      <c r="O139" s="14"/>
      <c r="P139" s="14"/>
      <c r="Q139" s="14"/>
      <c r="T139" s="15"/>
      <c r="U139" s="14"/>
      <c r="V139" s="14"/>
    </row>
  </sheetData>
  <mergeCells count="3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A103:B103"/>
    <mergeCell ref="S105:S107"/>
    <mergeCell ref="P108:P109"/>
    <mergeCell ref="Q108:Q109"/>
    <mergeCell ref="S109:S111"/>
    <mergeCell ref="O114:O115"/>
    <mergeCell ref="P114:P115"/>
    <mergeCell ref="Q114:Q115"/>
    <mergeCell ref="T127:T128"/>
    <mergeCell ref="O133:O134"/>
    <mergeCell ref="P133:P134"/>
    <mergeCell ref="Q133:Q134"/>
    <mergeCell ref="T133:T134"/>
    <mergeCell ref="U133:U134"/>
    <mergeCell ref="V133:V134"/>
    <mergeCell ref="O137:O138"/>
    <mergeCell ref="P137:P138"/>
    <mergeCell ref="Q137:Q138"/>
    <mergeCell ref="T137:T138"/>
    <mergeCell ref="U137:U138"/>
    <mergeCell ref="V137:V138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02"/>
  <sheetViews>
    <sheetView showGridLines="0" zoomScale="95" zoomScaleNormal="95" zoomScaleSheetLayoutView="70" workbookViewId="0">
      <pane ySplit="5" topLeftCell="A23" activePane="bottomLeft" state="frozen"/>
      <selection activeCell="D30" sqref="D30"/>
      <selection pane="bottomLeft" activeCell="D29" sqref="D29:F29"/>
    </sheetView>
  </sheetViews>
  <sheetFormatPr defaultColWidth="9" defaultRowHeight="21" customHeight="1"/>
  <cols>
    <col min="1" max="1" width="5.855468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4" t="s">
        <v>92</v>
      </c>
      <c r="B1" s="95"/>
      <c r="C1" s="95"/>
      <c r="D1" s="95"/>
      <c r="E1" s="95"/>
      <c r="F1" s="95"/>
      <c r="G1" s="1"/>
      <c r="J1" s="152" t="str">
        <f>+MRS!J1</f>
        <v>DAESHIN PLANT</v>
      </c>
      <c r="K1" s="153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20"/>
      <c r="H2" s="20"/>
      <c r="I2" s="20"/>
      <c r="J2" s="154" t="str">
        <f>+MRS!J2</f>
        <v>Subcontract name (SAC2-SC-IK-SMP-01)</v>
      </c>
      <c r="K2" s="155"/>
    </row>
    <row r="3" spans="1:18" ht="24.95" customHeight="1">
      <c r="A3" s="3" t="str">
        <f>+MRS!A3</f>
        <v xml:space="preserve">  MRS No : SAC2-DS-MRS-0062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45780</v>
      </c>
    </row>
    <row r="4" spans="1:18" ht="15.95" customHeight="1">
      <c r="A4" s="156" t="s">
        <v>1</v>
      </c>
      <c r="B4" s="157" t="s">
        <v>22</v>
      </c>
      <c r="C4" s="157"/>
      <c r="D4" s="156" t="s">
        <v>3</v>
      </c>
      <c r="E4" s="156"/>
      <c r="F4" s="156"/>
      <c r="G4" s="157" t="s">
        <v>4</v>
      </c>
      <c r="H4" s="156" t="s">
        <v>89</v>
      </c>
      <c r="I4" s="156" t="s">
        <v>23</v>
      </c>
      <c r="J4" s="156" t="s">
        <v>24</v>
      </c>
      <c r="K4" s="157" t="s">
        <v>6</v>
      </c>
    </row>
    <row r="5" spans="1:18" ht="15.95" customHeight="1">
      <c r="A5" s="156"/>
      <c r="B5" s="157"/>
      <c r="C5" s="157"/>
      <c r="D5" s="156"/>
      <c r="E5" s="156"/>
      <c r="F5" s="156"/>
      <c r="G5" s="157"/>
      <c r="H5" s="156"/>
      <c r="I5" s="156"/>
      <c r="J5" s="156"/>
      <c r="K5" s="157"/>
    </row>
    <row r="6" spans="1:18" ht="54" customHeight="1">
      <c r="A6" s="21">
        <f>+MRS!A6</f>
        <v>1</v>
      </c>
      <c r="B6" s="147" t="str">
        <f>MRS!B6</f>
        <v>Calibration of Pressure Gauge</v>
      </c>
      <c r="C6" s="148"/>
      <c r="D6" s="149">
        <f>MRS!D6</f>
        <v>0</v>
      </c>
      <c r="E6" s="150"/>
      <c r="F6" s="151"/>
      <c r="G6" s="98" t="str">
        <f>MRS!G6</f>
        <v>EA</v>
      </c>
      <c r="H6" s="98">
        <f>MRS!H6</f>
        <v>1</v>
      </c>
      <c r="I6" s="99">
        <f>MRS!I6</f>
        <v>110</v>
      </c>
      <c r="J6" s="99">
        <f>MRS!J6</f>
        <v>110</v>
      </c>
      <c r="K6" s="100"/>
      <c r="O6" s="101"/>
      <c r="P6" s="101"/>
      <c r="R6" s="101"/>
    </row>
    <row r="7" spans="1:18" ht="54" customHeight="1">
      <c r="A7" s="21">
        <f>+MRS!A7</f>
        <v>2</v>
      </c>
      <c r="B7" s="147" t="str">
        <f>MRS!B7</f>
        <v>Calibration of Pressure Relief Valve</v>
      </c>
      <c r="C7" s="148"/>
      <c r="D7" s="149">
        <f>MRS!D7</f>
        <v>0</v>
      </c>
      <c r="E7" s="150"/>
      <c r="F7" s="151"/>
      <c r="G7" s="98" t="str">
        <f>MRS!G7</f>
        <v>EA</v>
      </c>
      <c r="H7" s="98">
        <f>MRS!H7</f>
        <v>1</v>
      </c>
      <c r="I7" s="99">
        <f>MRS!I7</f>
        <v>110</v>
      </c>
      <c r="J7" s="99">
        <f>MRS!J7</f>
        <v>110</v>
      </c>
      <c r="K7" s="100"/>
      <c r="O7" s="101"/>
      <c r="P7" s="101"/>
      <c r="R7" s="101"/>
    </row>
    <row r="8" spans="1:18" ht="54" customHeight="1">
      <c r="A8" s="21">
        <f>+MRS!A8</f>
        <v>3</v>
      </c>
      <c r="B8" s="147" t="str">
        <f>MRS!B8</f>
        <v>Calibration of Electric Welding Machine</v>
      </c>
      <c r="C8" s="148"/>
      <c r="D8" s="149">
        <f>MRS!D8</f>
        <v>0</v>
      </c>
      <c r="E8" s="150"/>
      <c r="F8" s="151"/>
      <c r="G8" s="98" t="str">
        <f>MRS!G8</f>
        <v>EA</v>
      </c>
      <c r="H8" s="98">
        <f>MRS!H8</f>
        <v>1</v>
      </c>
      <c r="I8" s="99">
        <f>MRS!I8</f>
        <v>190</v>
      </c>
      <c r="J8" s="99">
        <f>MRS!J8</f>
        <v>190</v>
      </c>
      <c r="K8" s="100"/>
      <c r="O8" s="101"/>
      <c r="P8" s="101"/>
      <c r="R8" s="101"/>
    </row>
    <row r="9" spans="1:18" ht="54" customHeight="1">
      <c r="A9" s="21">
        <f>+MRS!A9</f>
        <v>4</v>
      </c>
      <c r="B9" s="147" t="str">
        <f>MRS!B9</f>
        <v>Calibration of Diesel Welding Machine</v>
      </c>
      <c r="C9" s="148"/>
      <c r="D9" s="149">
        <f>MRS!D9</f>
        <v>0</v>
      </c>
      <c r="E9" s="150"/>
      <c r="F9" s="151"/>
      <c r="G9" s="98" t="str">
        <f>MRS!G9</f>
        <v>EA</v>
      </c>
      <c r="H9" s="98">
        <f>MRS!H9</f>
        <v>1</v>
      </c>
      <c r="I9" s="99">
        <f>MRS!I9</f>
        <v>190</v>
      </c>
      <c r="J9" s="99">
        <f>MRS!J9</f>
        <v>190</v>
      </c>
      <c r="K9" s="100"/>
      <c r="O9" s="101"/>
      <c r="P9" s="101"/>
      <c r="R9" s="101"/>
    </row>
    <row r="10" spans="1:18" ht="54" customHeight="1">
      <c r="A10" s="21">
        <f>+MRS!A10</f>
        <v>5</v>
      </c>
      <c r="B10" s="147" t="str">
        <f>MRS!B10</f>
        <v>Calibration of Auto Welding Machine</v>
      </c>
      <c r="C10" s="148"/>
      <c r="D10" s="149">
        <f>MRS!D10</f>
        <v>0</v>
      </c>
      <c r="E10" s="150"/>
      <c r="F10" s="151"/>
      <c r="G10" s="98" t="str">
        <f>MRS!G10</f>
        <v>EA</v>
      </c>
      <c r="H10" s="98">
        <f>MRS!H10</f>
        <v>1</v>
      </c>
      <c r="I10" s="99">
        <f>MRS!I10</f>
        <v>190</v>
      </c>
      <c r="J10" s="99">
        <f>MRS!J10</f>
        <v>190</v>
      </c>
      <c r="K10" s="100"/>
      <c r="O10" s="101"/>
      <c r="P10" s="101"/>
      <c r="R10" s="101"/>
    </row>
    <row r="11" spans="1:18" ht="54" customHeight="1">
      <c r="A11" s="21">
        <f>+MRS!A11</f>
        <v>6</v>
      </c>
      <c r="B11" s="147" t="str">
        <f>MRS!B11</f>
        <v>Calibration of Baking/Holding/Bench/Mother oven</v>
      </c>
      <c r="C11" s="148"/>
      <c r="D11" s="149">
        <f>MRS!D11</f>
        <v>0</v>
      </c>
      <c r="E11" s="150"/>
      <c r="F11" s="151"/>
      <c r="G11" s="98" t="str">
        <f>MRS!G11</f>
        <v>EA</v>
      </c>
      <c r="H11" s="98">
        <f>MRS!H11</f>
        <v>1</v>
      </c>
      <c r="I11" s="99">
        <f>MRS!I11</f>
        <v>190</v>
      </c>
      <c r="J11" s="99">
        <f>MRS!J11</f>
        <v>190</v>
      </c>
      <c r="K11" s="100"/>
      <c r="O11" s="101"/>
      <c r="P11" s="101"/>
      <c r="R11" s="101"/>
    </row>
    <row r="12" spans="1:18" ht="54" customHeight="1">
      <c r="A12" s="21">
        <f>+MRS!A12</f>
        <v>7</v>
      </c>
      <c r="B12" s="147" t="str">
        <f>MRS!B12</f>
        <v>Calibration of Quiver (Portable Oven)</v>
      </c>
      <c r="C12" s="148"/>
      <c r="D12" s="149">
        <f>MRS!D12</f>
        <v>0</v>
      </c>
      <c r="E12" s="150"/>
      <c r="F12" s="151"/>
      <c r="G12" s="98" t="str">
        <f>MRS!G12</f>
        <v>EA</v>
      </c>
      <c r="H12" s="98">
        <f>MRS!H12</f>
        <v>1</v>
      </c>
      <c r="I12" s="99">
        <f>MRS!I12</f>
        <v>145</v>
      </c>
      <c r="J12" s="99">
        <f>MRS!J12</f>
        <v>145</v>
      </c>
      <c r="K12" s="100"/>
      <c r="O12" s="101"/>
      <c r="P12" s="101"/>
      <c r="R12" s="101"/>
    </row>
    <row r="13" spans="1:18" ht="54" customHeight="1">
      <c r="A13" s="21">
        <f>+MRS!A13</f>
        <v>8</v>
      </c>
      <c r="B13" s="147" t="str">
        <f>MRS!B13</f>
        <v>Calibration of O2 Analyzer</v>
      </c>
      <c r="C13" s="148"/>
      <c r="D13" s="149">
        <f>MRS!D13</f>
        <v>0</v>
      </c>
      <c r="E13" s="150"/>
      <c r="F13" s="151"/>
      <c r="G13" s="98" t="str">
        <f>MRS!G13</f>
        <v>EA</v>
      </c>
      <c r="H13" s="98">
        <f>MRS!H13</f>
        <v>1</v>
      </c>
      <c r="I13" s="99">
        <f>MRS!I13</f>
        <v>190</v>
      </c>
      <c r="J13" s="99">
        <f>MRS!J13</f>
        <v>190</v>
      </c>
      <c r="K13" s="100"/>
      <c r="O13" s="101"/>
      <c r="P13" s="101"/>
      <c r="R13" s="101"/>
    </row>
    <row r="14" spans="1:18" ht="54" customHeight="1">
      <c r="A14" s="21">
        <f>+MRS!A14</f>
        <v>9</v>
      </c>
      <c r="B14" s="147" t="str">
        <f>MRS!B14</f>
        <v>Calibration of Bridge Cam Gauge</v>
      </c>
      <c r="C14" s="148"/>
      <c r="D14" s="149">
        <f>MRS!D14</f>
        <v>0</v>
      </c>
      <c r="E14" s="150"/>
      <c r="F14" s="151"/>
      <c r="G14" s="98" t="str">
        <f>MRS!G14</f>
        <v>EA</v>
      </c>
      <c r="H14" s="98">
        <f>MRS!H14</f>
        <v>1</v>
      </c>
      <c r="I14" s="99">
        <f>MRS!I14</f>
        <v>95</v>
      </c>
      <c r="J14" s="99">
        <f>MRS!J14</f>
        <v>95</v>
      </c>
      <c r="K14" s="100"/>
      <c r="O14" s="101"/>
      <c r="P14" s="101"/>
      <c r="R14" s="101"/>
    </row>
    <row r="15" spans="1:18" ht="54" customHeight="1">
      <c r="A15" s="21">
        <f>+MRS!A15</f>
        <v>10</v>
      </c>
      <c r="B15" s="147" t="str">
        <f>MRS!B15</f>
        <v>Calibration of DFT Gauge</v>
      </c>
      <c r="C15" s="148"/>
      <c r="D15" s="149">
        <f>MRS!D15</f>
        <v>0</v>
      </c>
      <c r="E15" s="150"/>
      <c r="F15" s="151"/>
      <c r="G15" s="98" t="str">
        <f>MRS!G15</f>
        <v>EA</v>
      </c>
      <c r="H15" s="98">
        <f>MRS!H15</f>
        <v>1</v>
      </c>
      <c r="I15" s="99">
        <f>MRS!I15</f>
        <v>145</v>
      </c>
      <c r="J15" s="99">
        <f>MRS!J15</f>
        <v>145</v>
      </c>
      <c r="K15" s="100"/>
      <c r="O15" s="101"/>
      <c r="P15" s="101"/>
      <c r="R15" s="101"/>
    </row>
    <row r="16" spans="1:18" ht="54" customHeight="1">
      <c r="A16" s="21">
        <f>+MRS!A16</f>
        <v>11</v>
      </c>
      <c r="B16" s="147" t="str">
        <f>MRS!B16</f>
        <v>Calibration of Profile Gauge</v>
      </c>
      <c r="C16" s="148"/>
      <c r="D16" s="149">
        <f>MRS!D16</f>
        <v>0</v>
      </c>
      <c r="E16" s="150"/>
      <c r="F16" s="151"/>
      <c r="G16" s="98" t="str">
        <f>MRS!G16</f>
        <v>EA</v>
      </c>
      <c r="H16" s="98">
        <f>MRS!H16</f>
        <v>1</v>
      </c>
      <c r="I16" s="99">
        <f>MRS!I16</f>
        <v>100</v>
      </c>
      <c r="J16" s="99">
        <f>MRS!J16</f>
        <v>100</v>
      </c>
      <c r="K16" s="100"/>
      <c r="O16" s="101"/>
      <c r="P16" s="101"/>
      <c r="R16" s="101"/>
    </row>
    <row r="17" spans="1:18" ht="54" customHeight="1">
      <c r="A17" s="21">
        <f>+MRS!A17</f>
        <v>12</v>
      </c>
      <c r="B17" s="147" t="str">
        <f>MRS!B17</f>
        <v>Calibration of Surface Thermometer</v>
      </c>
      <c r="C17" s="148"/>
      <c r="D17" s="149">
        <f>MRS!D17</f>
        <v>0</v>
      </c>
      <c r="E17" s="150"/>
      <c r="F17" s="151"/>
      <c r="G17" s="98" t="str">
        <f>MRS!G17</f>
        <v>EA</v>
      </c>
      <c r="H17" s="98">
        <f>MRS!H17</f>
        <v>1</v>
      </c>
      <c r="I17" s="99">
        <f>MRS!I17</f>
        <v>100</v>
      </c>
      <c r="J17" s="99">
        <f>MRS!J17</f>
        <v>100</v>
      </c>
      <c r="K17" s="100"/>
      <c r="O17" s="101"/>
      <c r="P17" s="101"/>
      <c r="R17" s="101"/>
    </row>
    <row r="18" spans="1:18" ht="54" customHeight="1">
      <c r="A18" s="21">
        <f>+MRS!A18</f>
        <v>13</v>
      </c>
      <c r="B18" s="147" t="str">
        <f>MRS!B18</f>
        <v>Calibration of Hygrometer</v>
      </c>
      <c r="C18" s="148"/>
      <c r="D18" s="149">
        <f>MRS!D18</f>
        <v>0</v>
      </c>
      <c r="E18" s="150"/>
      <c r="F18" s="151"/>
      <c r="G18" s="98" t="str">
        <f>MRS!G18</f>
        <v>EA</v>
      </c>
      <c r="H18" s="98">
        <f>MRS!H18</f>
        <v>1</v>
      </c>
      <c r="I18" s="99">
        <f>MRS!I18</f>
        <v>145</v>
      </c>
      <c r="J18" s="99">
        <f>MRS!J18</f>
        <v>145</v>
      </c>
      <c r="K18" s="100"/>
      <c r="O18" s="101"/>
      <c r="P18" s="101"/>
      <c r="R18" s="101"/>
    </row>
    <row r="19" spans="1:18" ht="54" customHeight="1">
      <c r="A19" s="21">
        <f>+MRS!A19</f>
        <v>14</v>
      </c>
      <c r="B19" s="147" t="str">
        <f>MRS!B19</f>
        <v>Calibration of Micrometer (Inside Micrometer)</v>
      </c>
      <c r="C19" s="148"/>
      <c r="D19" s="149">
        <f>MRS!D19</f>
        <v>0</v>
      </c>
      <c r="E19" s="150"/>
      <c r="F19" s="151"/>
      <c r="G19" s="98" t="str">
        <f>MRS!G19</f>
        <v>EA</v>
      </c>
      <c r="H19" s="98">
        <f>MRS!H19</f>
        <v>1</v>
      </c>
      <c r="I19" s="99">
        <f>MRS!I19</f>
        <v>100</v>
      </c>
      <c r="J19" s="99">
        <f>MRS!J19</f>
        <v>100</v>
      </c>
      <c r="K19" s="100"/>
      <c r="O19" s="101"/>
      <c r="P19" s="101"/>
      <c r="R19" s="101"/>
    </row>
    <row r="20" spans="1:18" ht="54" customHeight="1">
      <c r="A20" s="21">
        <f>+MRS!A20</f>
        <v>15</v>
      </c>
      <c r="B20" s="147" t="str">
        <f>MRS!B20</f>
        <v>Calibration of Micrometer (Outside Micrometer)</v>
      </c>
      <c r="C20" s="148"/>
      <c r="D20" s="149">
        <f>MRS!D20</f>
        <v>0</v>
      </c>
      <c r="E20" s="150"/>
      <c r="F20" s="151"/>
      <c r="G20" s="98" t="str">
        <f>MRS!G20</f>
        <v>EA</v>
      </c>
      <c r="H20" s="98">
        <f>MRS!H20</f>
        <v>1</v>
      </c>
      <c r="I20" s="99">
        <f>MRS!I20</f>
        <v>100</v>
      </c>
      <c r="J20" s="99">
        <f>MRS!J20</f>
        <v>100</v>
      </c>
      <c r="K20" s="100"/>
      <c r="O20" s="101"/>
      <c r="P20" s="101"/>
      <c r="R20" s="101"/>
    </row>
    <row r="21" spans="1:18" ht="54" customHeight="1">
      <c r="A21" s="21">
        <f>+MRS!A21</f>
        <v>16</v>
      </c>
      <c r="B21" s="147" t="str">
        <f>MRS!B21</f>
        <v>Calibration of Vacuum Gauge</v>
      </c>
      <c r="C21" s="148"/>
      <c r="D21" s="149">
        <f>MRS!D21</f>
        <v>0</v>
      </c>
      <c r="E21" s="150"/>
      <c r="F21" s="151"/>
      <c r="G21" s="98" t="str">
        <f>MRS!G21</f>
        <v>EA</v>
      </c>
      <c r="H21" s="98">
        <f>MRS!H21</f>
        <v>1</v>
      </c>
      <c r="I21" s="99">
        <f>MRS!I21</f>
        <v>100</v>
      </c>
      <c r="J21" s="99">
        <f>MRS!J21</f>
        <v>100</v>
      </c>
      <c r="K21" s="100"/>
      <c r="O21" s="101"/>
      <c r="P21" s="101"/>
      <c r="R21" s="101"/>
    </row>
    <row r="22" spans="1:18" ht="54" customHeight="1">
      <c r="A22" s="21">
        <f>+MRS!A22</f>
        <v>17</v>
      </c>
      <c r="B22" s="147" t="str">
        <f>MRS!B22</f>
        <v>Calibration of Vernier Caliper</v>
      </c>
      <c r="C22" s="148"/>
      <c r="D22" s="149">
        <f>MRS!D22</f>
        <v>0</v>
      </c>
      <c r="E22" s="150"/>
      <c r="F22" s="151"/>
      <c r="G22" s="98" t="str">
        <f>MRS!G22</f>
        <v>EA</v>
      </c>
      <c r="H22" s="98">
        <f>MRS!H22</f>
        <v>1</v>
      </c>
      <c r="I22" s="99">
        <f>MRS!I22</f>
        <v>100</v>
      </c>
      <c r="J22" s="99">
        <f>MRS!J22</f>
        <v>100</v>
      </c>
      <c r="K22" s="100"/>
      <c r="O22" s="101"/>
      <c r="P22" s="101"/>
      <c r="R22" s="101"/>
    </row>
    <row r="23" spans="1:18" ht="54" customHeight="1">
      <c r="A23" s="21">
        <f>+MRS!A23</f>
        <v>18</v>
      </c>
      <c r="B23" s="147" t="str">
        <f>MRS!B23</f>
        <v>Calibration of Total Station</v>
      </c>
      <c r="C23" s="148"/>
      <c r="D23" s="149">
        <f>MRS!D23</f>
        <v>0</v>
      </c>
      <c r="E23" s="150"/>
      <c r="F23" s="151"/>
      <c r="G23" s="98" t="str">
        <f>MRS!G23</f>
        <v>EA</v>
      </c>
      <c r="H23" s="98">
        <f>MRS!H23</f>
        <v>1</v>
      </c>
      <c r="I23" s="99">
        <f>MRS!I23</f>
        <v>300</v>
      </c>
      <c r="J23" s="99">
        <f>MRS!J23</f>
        <v>300</v>
      </c>
      <c r="K23" s="100"/>
      <c r="O23" s="101"/>
      <c r="P23" s="101"/>
      <c r="R23" s="101"/>
    </row>
    <row r="24" spans="1:18" ht="54" customHeight="1">
      <c r="A24" s="21">
        <f>+MRS!A24</f>
        <v>19</v>
      </c>
      <c r="B24" s="147" t="str">
        <f>MRS!B24</f>
        <v>Calibration of Automatic Level</v>
      </c>
      <c r="C24" s="148"/>
      <c r="D24" s="149">
        <f>MRS!D24</f>
        <v>0</v>
      </c>
      <c r="E24" s="150"/>
      <c r="F24" s="151"/>
      <c r="G24" s="98" t="str">
        <f>MRS!G24</f>
        <v>EA</v>
      </c>
      <c r="H24" s="98">
        <f>MRS!H24</f>
        <v>1</v>
      </c>
      <c r="I24" s="99">
        <f>MRS!I24</f>
        <v>250</v>
      </c>
      <c r="J24" s="99">
        <f>MRS!J24</f>
        <v>250</v>
      </c>
      <c r="K24" s="100"/>
      <c r="O24" s="101"/>
      <c r="P24" s="101"/>
      <c r="R24" s="101"/>
    </row>
    <row r="25" spans="1:18" ht="54" customHeight="1">
      <c r="A25" s="21">
        <f>+MRS!A25</f>
        <v>20</v>
      </c>
      <c r="B25" s="147" t="str">
        <f>MRS!B25</f>
        <v>Calibration of Holiday Detector</v>
      </c>
      <c r="C25" s="148"/>
      <c r="D25" s="149">
        <f>MRS!D25</f>
        <v>0</v>
      </c>
      <c r="E25" s="150"/>
      <c r="F25" s="151"/>
      <c r="G25" s="98" t="str">
        <f>MRS!G25</f>
        <v>EA</v>
      </c>
      <c r="H25" s="98">
        <f>MRS!H25</f>
        <v>1</v>
      </c>
      <c r="I25" s="99">
        <f>MRS!I25</f>
        <v>200</v>
      </c>
      <c r="J25" s="99">
        <f>MRS!J25</f>
        <v>200</v>
      </c>
      <c r="K25" s="100"/>
      <c r="O25" s="101"/>
      <c r="P25" s="101"/>
      <c r="R25" s="101"/>
    </row>
    <row r="26" spans="1:18" ht="54" customHeight="1">
      <c r="A26" s="21">
        <f>+MRS!A26</f>
        <v>21</v>
      </c>
      <c r="B26" s="147" t="str">
        <f>MRS!B26</f>
        <v>Calibration of Feeler Gauge</v>
      </c>
      <c r="C26" s="148"/>
      <c r="D26" s="149">
        <f>MRS!D26</f>
        <v>0</v>
      </c>
      <c r="E26" s="150"/>
      <c r="F26" s="151"/>
      <c r="G26" s="98" t="str">
        <f>MRS!G26</f>
        <v>EA</v>
      </c>
      <c r="H26" s="98">
        <f>MRS!H26</f>
        <v>1</v>
      </c>
      <c r="I26" s="99">
        <f>MRS!I26</f>
        <v>95</v>
      </c>
      <c r="J26" s="99">
        <f>MRS!J26</f>
        <v>95</v>
      </c>
      <c r="K26" s="100"/>
      <c r="O26" s="101"/>
      <c r="P26" s="101"/>
      <c r="R26" s="101"/>
    </row>
    <row r="27" spans="1:18" ht="54" customHeight="1">
      <c r="A27" s="21">
        <f>+MRS!A27</f>
        <v>22</v>
      </c>
      <c r="B27" s="147" t="str">
        <f>MRS!B27</f>
        <v>Calibration of Barcol Impresser</v>
      </c>
      <c r="C27" s="148"/>
      <c r="D27" s="149">
        <f>MRS!D27</f>
        <v>0</v>
      </c>
      <c r="E27" s="150"/>
      <c r="F27" s="151"/>
      <c r="G27" s="98" t="str">
        <f>MRS!G27</f>
        <v>EA</v>
      </c>
      <c r="H27" s="98">
        <f>MRS!H27</f>
        <v>1</v>
      </c>
      <c r="I27" s="99">
        <f>MRS!I27</f>
        <v>200</v>
      </c>
      <c r="J27" s="99">
        <f>MRS!J27</f>
        <v>200</v>
      </c>
      <c r="K27" s="100"/>
      <c r="O27" s="101"/>
      <c r="P27" s="101"/>
      <c r="R27" s="101"/>
    </row>
    <row r="28" spans="1:18" ht="54" customHeight="1">
      <c r="A28" s="21">
        <f>+MRS!A28</f>
        <v>23</v>
      </c>
      <c r="B28" s="147" t="str">
        <f>MRS!B28</f>
        <v>Calibration of Digital Thermometer</v>
      </c>
      <c r="C28" s="148"/>
      <c r="D28" s="149">
        <f>MRS!D28</f>
        <v>0</v>
      </c>
      <c r="E28" s="150"/>
      <c r="F28" s="151"/>
      <c r="G28" s="98" t="str">
        <f>MRS!G28</f>
        <v>EA</v>
      </c>
      <c r="H28" s="98">
        <f>MRS!H28</f>
        <v>1</v>
      </c>
      <c r="I28" s="99">
        <f>MRS!I28</f>
        <v>145</v>
      </c>
      <c r="J28" s="99">
        <f>MRS!J28</f>
        <v>145</v>
      </c>
      <c r="K28" s="100"/>
      <c r="O28" s="101"/>
      <c r="P28" s="101"/>
      <c r="R28" s="101"/>
    </row>
    <row r="29" spans="1:18" ht="54" customHeight="1">
      <c r="A29" s="21">
        <f>+MRS!A29</f>
        <v>24</v>
      </c>
      <c r="B29" s="147" t="str">
        <f>MRS!B29</f>
        <v>Calibration of Multi Gas Detector</v>
      </c>
      <c r="C29" s="148"/>
      <c r="D29" s="149">
        <f>MRS!D29</f>
        <v>0</v>
      </c>
      <c r="E29" s="150"/>
      <c r="F29" s="151"/>
      <c r="G29" s="98" t="str">
        <f>MRS!G29</f>
        <v>EA</v>
      </c>
      <c r="H29" s="98">
        <f>MRS!H29</f>
        <v>1</v>
      </c>
      <c r="I29" s="99">
        <f>MRS!I29</f>
        <v>165</v>
      </c>
      <c r="J29" s="99">
        <f>MRS!J29</f>
        <v>165</v>
      </c>
      <c r="K29" s="100"/>
      <c r="O29" s="101"/>
      <c r="P29" s="101"/>
      <c r="R29" s="101"/>
    </row>
    <row r="30" spans="1:18" ht="54" customHeight="1">
      <c r="A30" s="21">
        <f>+MRS!A30</f>
        <v>25</v>
      </c>
      <c r="B30" s="147" t="str">
        <f>MRS!B30</f>
        <v>Calibration of Single Gas Detector</v>
      </c>
      <c r="C30" s="148"/>
      <c r="D30" s="149">
        <f>MRS!D30</f>
        <v>0</v>
      </c>
      <c r="E30" s="150"/>
      <c r="F30" s="151"/>
      <c r="G30" s="98" t="str">
        <f>MRS!G30</f>
        <v>EA</v>
      </c>
      <c r="H30" s="98">
        <f>MRS!H30</f>
        <v>1</v>
      </c>
      <c r="I30" s="99">
        <f>MRS!I30</f>
        <v>95</v>
      </c>
      <c r="J30" s="99">
        <f>MRS!J30</f>
        <v>95</v>
      </c>
      <c r="K30" s="100"/>
      <c r="O30" s="101"/>
      <c r="P30" s="101"/>
      <c r="R30" s="101"/>
    </row>
    <row r="31" spans="1:18" ht="54" customHeight="1">
      <c r="A31" s="21">
        <f>+MRS!A31</f>
        <v>26</v>
      </c>
      <c r="B31" s="147" t="str">
        <f>MRS!B31</f>
        <v>Calibration of Multimeter</v>
      </c>
      <c r="C31" s="148"/>
      <c r="D31" s="149">
        <f>MRS!D31</f>
        <v>0</v>
      </c>
      <c r="E31" s="150"/>
      <c r="F31" s="151"/>
      <c r="G31" s="98" t="str">
        <f>MRS!G31</f>
        <v>EA</v>
      </c>
      <c r="H31" s="98">
        <f>MRS!H31</f>
        <v>1</v>
      </c>
      <c r="I31" s="99">
        <f>MRS!I31</f>
        <v>175</v>
      </c>
      <c r="J31" s="99">
        <f>MRS!J31</f>
        <v>175</v>
      </c>
      <c r="K31" s="100"/>
      <c r="O31" s="101"/>
      <c r="P31" s="101"/>
      <c r="R31" s="101"/>
    </row>
    <row r="32" spans="1:18" ht="54" customHeight="1">
      <c r="A32" s="21">
        <f>+MRS!A32</f>
        <v>27</v>
      </c>
      <c r="B32" s="147" t="str">
        <f>MRS!B32</f>
        <v>Calibration of Insulation Tester 1kv</v>
      </c>
      <c r="C32" s="148"/>
      <c r="D32" s="149">
        <f>MRS!D32</f>
        <v>0</v>
      </c>
      <c r="E32" s="150"/>
      <c r="F32" s="151"/>
      <c r="G32" s="98" t="str">
        <f>MRS!G32</f>
        <v>EA</v>
      </c>
      <c r="H32" s="98">
        <f>MRS!H32</f>
        <v>1</v>
      </c>
      <c r="I32" s="99">
        <f>MRS!I32</f>
        <v>200</v>
      </c>
      <c r="J32" s="99">
        <f>MRS!J32</f>
        <v>200</v>
      </c>
      <c r="K32" s="100"/>
      <c r="O32" s="101"/>
      <c r="P32" s="101"/>
      <c r="R32" s="101"/>
    </row>
    <row r="33" spans="1:18" ht="54" customHeight="1">
      <c r="A33" s="21">
        <f>+MRS!A33</f>
        <v>28</v>
      </c>
      <c r="B33" s="147" t="str">
        <f>MRS!B33</f>
        <v>Calibration of Insulation Tester 5kv</v>
      </c>
      <c r="C33" s="148"/>
      <c r="D33" s="149">
        <f>MRS!D33</f>
        <v>0</v>
      </c>
      <c r="E33" s="150"/>
      <c r="F33" s="151"/>
      <c r="G33" s="98" t="str">
        <f>MRS!G33</f>
        <v>EA</v>
      </c>
      <c r="H33" s="98">
        <f>MRS!H33</f>
        <v>1</v>
      </c>
      <c r="I33" s="99">
        <f>MRS!I33</f>
        <v>200</v>
      </c>
      <c r="J33" s="99">
        <f>MRS!J33</f>
        <v>200</v>
      </c>
      <c r="K33" s="100"/>
      <c r="O33" s="101"/>
      <c r="P33" s="101"/>
      <c r="R33" s="101"/>
    </row>
    <row r="34" spans="1:18" ht="54" customHeight="1">
      <c r="A34" s="21">
        <f>+MRS!A34</f>
        <v>29</v>
      </c>
      <c r="B34" s="147" t="str">
        <f>MRS!B34</f>
        <v>Calibration of Digital Earth Tester</v>
      </c>
      <c r="C34" s="148"/>
      <c r="D34" s="149">
        <f>MRS!D34</f>
        <v>0</v>
      </c>
      <c r="E34" s="150"/>
      <c r="F34" s="151"/>
      <c r="G34" s="98" t="str">
        <f>MRS!G34</f>
        <v>EA</v>
      </c>
      <c r="H34" s="98">
        <f>MRS!H34</f>
        <v>1</v>
      </c>
      <c r="I34" s="99">
        <f>MRS!I34</f>
        <v>195</v>
      </c>
      <c r="J34" s="99">
        <f>MRS!J34</f>
        <v>195</v>
      </c>
      <c r="K34" s="100"/>
      <c r="O34" s="101"/>
      <c r="P34" s="101"/>
      <c r="R34" s="101"/>
    </row>
    <row r="35" spans="1:18" ht="54" customHeight="1">
      <c r="A35" s="21">
        <f>+MRS!A35</f>
        <v>30</v>
      </c>
      <c r="B35" s="147" t="str">
        <f>MRS!B35</f>
        <v>Calibration of Sound Level Meter</v>
      </c>
      <c r="C35" s="148"/>
      <c r="D35" s="149">
        <f>MRS!D35</f>
        <v>0</v>
      </c>
      <c r="E35" s="150"/>
      <c r="F35" s="151"/>
      <c r="G35" s="98" t="str">
        <f>MRS!G35</f>
        <v>EA</v>
      </c>
      <c r="H35" s="98">
        <f>MRS!H35</f>
        <v>1</v>
      </c>
      <c r="I35" s="99">
        <f>MRS!I35</f>
        <v>150</v>
      </c>
      <c r="J35" s="99">
        <f>MRS!J35</f>
        <v>150</v>
      </c>
      <c r="K35" s="100"/>
      <c r="O35" s="101"/>
      <c r="P35" s="101"/>
      <c r="R35" s="101"/>
    </row>
    <row r="36" spans="1:18" ht="54" customHeight="1">
      <c r="A36" s="21">
        <f>+MRS!A36</f>
        <v>31</v>
      </c>
      <c r="B36" s="147" t="str">
        <f>MRS!B36</f>
        <v>Calibration of Humidity Meter</v>
      </c>
      <c r="C36" s="148"/>
      <c r="D36" s="149">
        <f>MRS!D36</f>
        <v>0</v>
      </c>
      <c r="E36" s="150"/>
      <c r="F36" s="151"/>
      <c r="G36" s="98" t="str">
        <f>MRS!G36</f>
        <v>EA</v>
      </c>
      <c r="H36" s="98">
        <f>MRS!H36</f>
        <v>1</v>
      </c>
      <c r="I36" s="99">
        <f>MRS!I36</f>
        <v>145</v>
      </c>
      <c r="J36" s="99">
        <f>MRS!J36</f>
        <v>145</v>
      </c>
      <c r="K36" s="100"/>
      <c r="O36" s="101"/>
      <c r="P36" s="101"/>
      <c r="R36" s="101"/>
    </row>
    <row r="37" spans="1:18" ht="54" customHeight="1">
      <c r="A37" s="21">
        <f>+MRS!A37</f>
        <v>32</v>
      </c>
      <c r="B37" s="147" t="str">
        <f>MRS!B37</f>
        <v>Calibration of Infrared Thermometer</v>
      </c>
      <c r="C37" s="148"/>
      <c r="D37" s="149">
        <f>MRS!D37</f>
        <v>0</v>
      </c>
      <c r="E37" s="150"/>
      <c r="F37" s="151"/>
      <c r="G37" s="98" t="str">
        <f>MRS!G37</f>
        <v>EA</v>
      </c>
      <c r="H37" s="98">
        <f>MRS!H37</f>
        <v>1</v>
      </c>
      <c r="I37" s="99">
        <f>MRS!I37</f>
        <v>145</v>
      </c>
      <c r="J37" s="99">
        <f>MRS!J37</f>
        <v>145</v>
      </c>
      <c r="K37" s="100"/>
      <c r="O37" s="101"/>
      <c r="P37" s="101"/>
      <c r="R37" s="101"/>
    </row>
    <row r="38" spans="1:18" ht="54" customHeight="1">
      <c r="A38" s="21">
        <f>+MRS!A38</f>
        <v>33</v>
      </c>
      <c r="B38" s="147" t="str">
        <f>MRS!B38</f>
        <v>Calibration of Hi-Low Gauge</v>
      </c>
      <c r="C38" s="148"/>
      <c r="D38" s="149">
        <f>MRS!D38</f>
        <v>0</v>
      </c>
      <c r="E38" s="150"/>
      <c r="F38" s="151"/>
      <c r="G38" s="98" t="str">
        <f>MRS!G38</f>
        <v>EA</v>
      </c>
      <c r="H38" s="98">
        <f>MRS!H38</f>
        <v>1</v>
      </c>
      <c r="I38" s="99">
        <f>MRS!I38</f>
        <v>95</v>
      </c>
      <c r="J38" s="99">
        <f>MRS!J38</f>
        <v>95</v>
      </c>
      <c r="K38" s="100"/>
      <c r="O38" s="101"/>
      <c r="P38" s="101"/>
      <c r="R38" s="101"/>
    </row>
    <row r="39" spans="1:18" ht="54" customHeight="1">
      <c r="A39" s="21">
        <f>+MRS!A39</f>
        <v>34</v>
      </c>
      <c r="B39" s="147" t="str">
        <f>MRS!B39</f>
        <v>Calibration of Gas Regulator</v>
      </c>
      <c r="C39" s="148"/>
      <c r="D39" s="149">
        <f>MRS!D39</f>
        <v>0</v>
      </c>
      <c r="E39" s="150"/>
      <c r="F39" s="151"/>
      <c r="G39" s="98" t="str">
        <f>MRS!G39</f>
        <v>EA</v>
      </c>
      <c r="H39" s="98">
        <f>MRS!H39</f>
        <v>1</v>
      </c>
      <c r="I39" s="99">
        <f>MRS!I39</f>
        <v>120</v>
      </c>
      <c r="J39" s="99">
        <f>MRS!J39</f>
        <v>120</v>
      </c>
      <c r="K39" s="100"/>
      <c r="O39" s="101"/>
      <c r="P39" s="101"/>
      <c r="R39" s="101"/>
    </row>
    <row r="40" spans="1:18" ht="54" customHeight="1">
      <c r="A40" s="21">
        <f>+MRS!A40</f>
        <v>35</v>
      </c>
      <c r="B40" s="147" t="str">
        <f>MRS!B40</f>
        <v>Calibration of Frame Level</v>
      </c>
      <c r="C40" s="148"/>
      <c r="D40" s="149">
        <f>MRS!D40</f>
        <v>0</v>
      </c>
      <c r="E40" s="150"/>
      <c r="F40" s="151"/>
      <c r="G40" s="98" t="str">
        <f>MRS!G40</f>
        <v>EA</v>
      </c>
      <c r="H40" s="98">
        <f>MRS!H40</f>
        <v>1</v>
      </c>
      <c r="I40" s="99">
        <f>MRS!I40</f>
        <v>95</v>
      </c>
      <c r="J40" s="99">
        <f>MRS!J40</f>
        <v>95</v>
      </c>
      <c r="K40" s="100"/>
      <c r="O40" s="101"/>
      <c r="P40" s="101"/>
      <c r="R40" s="101"/>
    </row>
    <row r="41" spans="1:18" ht="54" customHeight="1">
      <c r="A41" s="21">
        <f>+MRS!A41</f>
        <v>36</v>
      </c>
      <c r="B41" s="147" t="str">
        <f>MRS!B41</f>
        <v>Calibration of Square Ruler</v>
      </c>
      <c r="C41" s="148"/>
      <c r="D41" s="149">
        <f>MRS!D41</f>
        <v>0</v>
      </c>
      <c r="E41" s="150"/>
      <c r="F41" s="151"/>
      <c r="G41" s="98" t="str">
        <f>MRS!G41</f>
        <v>EA</v>
      </c>
      <c r="H41" s="98">
        <f>MRS!H41</f>
        <v>1</v>
      </c>
      <c r="I41" s="99">
        <f>MRS!I41</f>
        <v>95</v>
      </c>
      <c r="J41" s="99">
        <f>MRS!J41</f>
        <v>95</v>
      </c>
      <c r="K41" s="100"/>
      <c r="O41" s="101"/>
      <c r="P41" s="101"/>
      <c r="R41" s="101"/>
    </row>
    <row r="42" spans="1:18" ht="54" customHeight="1">
      <c r="A42" s="21">
        <f>+MRS!A42</f>
        <v>37</v>
      </c>
      <c r="B42" s="147" t="str">
        <f>MRS!B42</f>
        <v>Calibration of Process Calibrator</v>
      </c>
      <c r="C42" s="148"/>
      <c r="D42" s="149">
        <f>MRS!D42</f>
        <v>0</v>
      </c>
      <c r="E42" s="150"/>
      <c r="F42" s="151"/>
      <c r="G42" s="98" t="str">
        <f>MRS!G42</f>
        <v>EA</v>
      </c>
      <c r="H42" s="98">
        <f>MRS!H42</f>
        <v>1</v>
      </c>
      <c r="I42" s="99">
        <f>MRS!I42</f>
        <v>250</v>
      </c>
      <c r="J42" s="99">
        <f>MRS!J42</f>
        <v>250</v>
      </c>
      <c r="K42" s="100"/>
      <c r="O42" s="101"/>
      <c r="P42" s="101"/>
      <c r="R42" s="101"/>
    </row>
    <row r="43" spans="1:18" ht="54" customHeight="1">
      <c r="A43" s="21">
        <f>+MRS!A43</f>
        <v>38</v>
      </c>
      <c r="B43" s="147" t="str">
        <f>MRS!B43</f>
        <v>Calibration of Pneumatic Pressure Pump</v>
      </c>
      <c r="C43" s="148"/>
      <c r="D43" s="149">
        <f>MRS!D43</f>
        <v>0</v>
      </c>
      <c r="E43" s="150"/>
      <c r="F43" s="151"/>
      <c r="G43" s="98" t="str">
        <f>MRS!G43</f>
        <v>EA</v>
      </c>
      <c r="H43" s="98">
        <f>MRS!H43</f>
        <v>1</v>
      </c>
      <c r="I43" s="99">
        <f>MRS!I43</f>
        <v>245</v>
      </c>
      <c r="J43" s="99">
        <f>MRS!J43</f>
        <v>245</v>
      </c>
      <c r="K43" s="100"/>
      <c r="O43" s="101"/>
      <c r="P43" s="101"/>
      <c r="R43" s="101"/>
    </row>
    <row r="44" spans="1:18" ht="54" customHeight="1">
      <c r="A44" s="21">
        <f>+MRS!A44</f>
        <v>39</v>
      </c>
      <c r="B44" s="147" t="str">
        <f>MRS!B44</f>
        <v>Calibration of Process Meter</v>
      </c>
      <c r="C44" s="148"/>
      <c r="D44" s="149">
        <f>MRS!D44</f>
        <v>0</v>
      </c>
      <c r="E44" s="150"/>
      <c r="F44" s="151"/>
      <c r="G44" s="98" t="str">
        <f>MRS!G44</f>
        <v>EA</v>
      </c>
      <c r="H44" s="98">
        <f>MRS!H44</f>
        <v>1</v>
      </c>
      <c r="I44" s="99">
        <f>MRS!I44</f>
        <v>250</v>
      </c>
      <c r="J44" s="99">
        <f>MRS!J44</f>
        <v>250</v>
      </c>
      <c r="K44" s="100"/>
      <c r="O44" s="101"/>
      <c r="P44" s="101"/>
      <c r="R44" s="101"/>
    </row>
    <row r="45" spans="1:18" ht="54" customHeight="1">
      <c r="A45" s="21">
        <f>+MRS!A45</f>
        <v>40</v>
      </c>
      <c r="B45" s="147" t="str">
        <f>MRS!B45</f>
        <v>Calibration of Hydraulic Pressure Pump</v>
      </c>
      <c r="C45" s="148"/>
      <c r="D45" s="149">
        <f>MRS!D45</f>
        <v>0</v>
      </c>
      <c r="E45" s="150"/>
      <c r="F45" s="151"/>
      <c r="G45" s="98" t="str">
        <f>MRS!G45</f>
        <v>EA</v>
      </c>
      <c r="H45" s="98">
        <f>MRS!H45</f>
        <v>1</v>
      </c>
      <c r="I45" s="99">
        <f>MRS!I45</f>
        <v>245</v>
      </c>
      <c r="J45" s="99">
        <f>MRS!J45</f>
        <v>245</v>
      </c>
      <c r="K45" s="100"/>
      <c r="O45" s="101"/>
      <c r="P45" s="101"/>
      <c r="R45" s="101"/>
    </row>
    <row r="46" spans="1:18" ht="54" customHeight="1">
      <c r="A46" s="21">
        <f>+MRS!A46</f>
        <v>41</v>
      </c>
      <c r="B46" s="147" t="str">
        <f>MRS!B46</f>
        <v>Calibration of Vacuum Pressure Module</v>
      </c>
      <c r="C46" s="148"/>
      <c r="D46" s="149">
        <f>MRS!D46</f>
        <v>0</v>
      </c>
      <c r="E46" s="150"/>
      <c r="F46" s="151"/>
      <c r="G46" s="98" t="str">
        <f>MRS!G46</f>
        <v>EA</v>
      </c>
      <c r="H46" s="98">
        <f>MRS!H46</f>
        <v>1</v>
      </c>
      <c r="I46" s="99">
        <f>MRS!I46</f>
        <v>200</v>
      </c>
      <c r="J46" s="99">
        <f>MRS!J46</f>
        <v>200</v>
      </c>
      <c r="K46" s="100"/>
      <c r="O46" s="101"/>
      <c r="P46" s="101"/>
      <c r="R46" s="101"/>
    </row>
    <row r="47" spans="1:18" ht="54" customHeight="1">
      <c r="A47" s="21">
        <f>+MRS!A47</f>
        <v>42</v>
      </c>
      <c r="B47" s="147" t="str">
        <f>MRS!B47</f>
        <v>Calibration of Theodolite</v>
      </c>
      <c r="C47" s="148"/>
      <c r="D47" s="149">
        <f>MRS!D47</f>
        <v>0</v>
      </c>
      <c r="E47" s="150"/>
      <c r="F47" s="151"/>
      <c r="G47" s="98" t="str">
        <f>MRS!G47</f>
        <v>EA</v>
      </c>
      <c r="H47" s="98">
        <f>MRS!H47</f>
        <v>1</v>
      </c>
      <c r="I47" s="99">
        <f>MRS!I47</f>
        <v>300</v>
      </c>
      <c r="J47" s="99">
        <f>MRS!J47</f>
        <v>300</v>
      </c>
      <c r="K47" s="100"/>
      <c r="O47" s="101"/>
      <c r="P47" s="101"/>
      <c r="R47" s="101"/>
    </row>
    <row r="48" spans="1:18" ht="54" customHeight="1">
      <c r="A48" s="21">
        <f>+MRS!A48</f>
        <v>43</v>
      </c>
      <c r="B48" s="147" t="str">
        <f>MRS!B48</f>
        <v>Calibration of Voltmeter</v>
      </c>
      <c r="C48" s="148"/>
      <c r="D48" s="149">
        <f>MRS!D48</f>
        <v>0</v>
      </c>
      <c r="E48" s="150"/>
      <c r="F48" s="151"/>
      <c r="G48" s="98" t="str">
        <f>MRS!G48</f>
        <v>EA</v>
      </c>
      <c r="H48" s="98">
        <f>MRS!H48</f>
        <v>1</v>
      </c>
      <c r="I48" s="99">
        <f>MRS!I48</f>
        <v>175</v>
      </c>
      <c r="J48" s="99">
        <f>MRS!J48</f>
        <v>175</v>
      </c>
      <c r="K48" s="100"/>
      <c r="O48" s="101"/>
      <c r="P48" s="101"/>
      <c r="R48" s="101"/>
    </row>
    <row r="49" spans="1:18" ht="54" customHeight="1">
      <c r="A49" s="21">
        <f>+MRS!A49</f>
        <v>44</v>
      </c>
      <c r="B49" s="147" t="str">
        <f>MRS!B49</f>
        <v>Calibration of Welding Rod Dry Box</v>
      </c>
      <c r="C49" s="148"/>
      <c r="D49" s="149">
        <f>MRS!D49</f>
        <v>0</v>
      </c>
      <c r="E49" s="150"/>
      <c r="F49" s="151"/>
      <c r="G49" s="98" t="str">
        <f>MRS!G49</f>
        <v>EA</v>
      </c>
      <c r="H49" s="98">
        <f>MRS!H49</f>
        <v>1</v>
      </c>
      <c r="I49" s="99">
        <f>MRS!I49</f>
        <v>190</v>
      </c>
      <c r="J49" s="99">
        <f>MRS!J49</f>
        <v>190</v>
      </c>
      <c r="K49" s="100"/>
      <c r="O49" s="101"/>
      <c r="P49" s="101"/>
      <c r="R49" s="101"/>
    </row>
    <row r="50" spans="1:18" ht="54" customHeight="1">
      <c r="A50" s="21">
        <f>+MRS!A50</f>
        <v>45</v>
      </c>
      <c r="B50" s="147" t="str">
        <f>MRS!B50</f>
        <v>Calibration of Pressure Testing Station</v>
      </c>
      <c r="C50" s="148"/>
      <c r="D50" s="149">
        <f>MRS!D50</f>
        <v>0</v>
      </c>
      <c r="E50" s="150"/>
      <c r="F50" s="151"/>
      <c r="G50" s="98" t="str">
        <f>MRS!G50</f>
        <v>EA</v>
      </c>
      <c r="H50" s="98">
        <f>MRS!H50</f>
        <v>1</v>
      </c>
      <c r="I50" s="99">
        <f>MRS!I50</f>
        <v>250</v>
      </c>
      <c r="J50" s="99">
        <f>MRS!J50</f>
        <v>250</v>
      </c>
      <c r="K50" s="100"/>
      <c r="O50" s="101"/>
      <c r="P50" s="101"/>
      <c r="R50" s="101"/>
    </row>
    <row r="51" spans="1:18" ht="54" customHeight="1">
      <c r="A51" s="21">
        <f>+MRS!A51</f>
        <v>46</v>
      </c>
      <c r="B51" s="147" t="str">
        <f>MRS!B51</f>
        <v>Calibration of DC Resistance Tester</v>
      </c>
      <c r="C51" s="148"/>
      <c r="D51" s="149">
        <f>MRS!D51</f>
        <v>0</v>
      </c>
      <c r="E51" s="150"/>
      <c r="F51" s="151"/>
      <c r="G51" s="98" t="str">
        <f>MRS!G51</f>
        <v>EA</v>
      </c>
      <c r="H51" s="98">
        <f>MRS!H51</f>
        <v>1</v>
      </c>
      <c r="I51" s="99">
        <f>MRS!I51</f>
        <v>200</v>
      </c>
      <c r="J51" s="99">
        <f>MRS!J51</f>
        <v>200</v>
      </c>
      <c r="K51" s="100"/>
      <c r="O51" s="101"/>
      <c r="P51" s="101"/>
      <c r="R51" s="101"/>
    </row>
    <row r="52" spans="1:18" ht="54" customHeight="1">
      <c r="A52" s="21">
        <f>+MRS!A52</f>
        <v>47</v>
      </c>
      <c r="B52" s="147" t="str">
        <f>MRS!B52</f>
        <v>Calibration of Depth Caliper</v>
      </c>
      <c r="C52" s="148"/>
      <c r="D52" s="149">
        <f>MRS!D52</f>
        <v>0</v>
      </c>
      <c r="E52" s="150"/>
      <c r="F52" s="151"/>
      <c r="G52" s="98" t="str">
        <f>MRS!G52</f>
        <v>EA</v>
      </c>
      <c r="H52" s="98">
        <f>MRS!H52</f>
        <v>1</v>
      </c>
      <c r="I52" s="99">
        <f>MRS!I52</f>
        <v>100</v>
      </c>
      <c r="J52" s="99">
        <f>MRS!J52</f>
        <v>100</v>
      </c>
      <c r="K52" s="100"/>
      <c r="O52" s="101"/>
      <c r="P52" s="101"/>
      <c r="R52" s="101"/>
    </row>
    <row r="53" spans="1:18" ht="54" customHeight="1">
      <c r="A53" s="21">
        <f>+MRS!A53</f>
        <v>48</v>
      </c>
      <c r="B53" s="147" t="str">
        <f>MRS!B53</f>
        <v>Calibration of Phase Indicator</v>
      </c>
      <c r="C53" s="148"/>
      <c r="D53" s="149">
        <f>MRS!D53</f>
        <v>0</v>
      </c>
      <c r="E53" s="150"/>
      <c r="F53" s="151"/>
      <c r="G53" s="98" t="str">
        <f>MRS!G53</f>
        <v>EA</v>
      </c>
      <c r="H53" s="98">
        <f>MRS!H53</f>
        <v>1</v>
      </c>
      <c r="I53" s="99">
        <f>MRS!I53</f>
        <v>150</v>
      </c>
      <c r="J53" s="99">
        <f>MRS!J53</f>
        <v>150</v>
      </c>
      <c r="K53" s="100"/>
      <c r="O53" s="101"/>
      <c r="P53" s="101"/>
      <c r="R53" s="101"/>
    </row>
    <row r="54" spans="1:18" ht="54" customHeight="1">
      <c r="A54" s="21">
        <f>+MRS!A54</f>
        <v>49</v>
      </c>
      <c r="B54" s="147" t="str">
        <f>MRS!B54</f>
        <v>Calibration of Double Clamp Phase Voltmeter</v>
      </c>
      <c r="C54" s="148"/>
      <c r="D54" s="149">
        <f>MRS!D54</f>
        <v>0</v>
      </c>
      <c r="E54" s="150"/>
      <c r="F54" s="151"/>
      <c r="G54" s="98" t="str">
        <f>MRS!G54</f>
        <v>EA</v>
      </c>
      <c r="H54" s="98">
        <f>MRS!H54</f>
        <v>1</v>
      </c>
      <c r="I54" s="99">
        <f>MRS!I54</f>
        <v>175</v>
      </c>
      <c r="J54" s="99">
        <f>MRS!J54</f>
        <v>175</v>
      </c>
      <c r="K54" s="100"/>
      <c r="O54" s="101"/>
      <c r="P54" s="101"/>
      <c r="R54" s="101"/>
    </row>
    <row r="55" spans="1:18" ht="54" customHeight="1">
      <c r="A55" s="21">
        <f>+MRS!A55</f>
        <v>50</v>
      </c>
      <c r="B55" s="147" t="str">
        <f>MRS!B55</f>
        <v>Calibration of Dry Well Calibrator</v>
      </c>
      <c r="C55" s="148"/>
      <c r="D55" s="149">
        <f>MRS!D55</f>
        <v>0</v>
      </c>
      <c r="E55" s="150"/>
      <c r="F55" s="151"/>
      <c r="G55" s="98" t="str">
        <f>MRS!G55</f>
        <v>EA</v>
      </c>
      <c r="H55" s="98">
        <f>MRS!H55</f>
        <v>1</v>
      </c>
      <c r="I55" s="99">
        <f>MRS!I55</f>
        <v>250</v>
      </c>
      <c r="J55" s="99">
        <f>MRS!J55</f>
        <v>250</v>
      </c>
      <c r="K55" s="100"/>
      <c r="O55" s="101"/>
      <c r="P55" s="101"/>
      <c r="R55" s="101"/>
    </row>
    <row r="56" spans="1:18" ht="54" customHeight="1">
      <c r="A56" s="21">
        <f>+MRS!A56</f>
        <v>51</v>
      </c>
      <c r="B56" s="147" t="str">
        <f>MRS!B56</f>
        <v>Calibration of Digital Pressure Calibrator</v>
      </c>
      <c r="C56" s="148"/>
      <c r="D56" s="149">
        <f>MRS!D56</f>
        <v>0</v>
      </c>
      <c r="E56" s="150"/>
      <c r="F56" s="151"/>
      <c r="G56" s="98" t="str">
        <f>MRS!G56</f>
        <v>EA</v>
      </c>
      <c r="H56" s="98">
        <f>MRS!H56</f>
        <v>1</v>
      </c>
      <c r="I56" s="99">
        <f>MRS!I56</f>
        <v>250</v>
      </c>
      <c r="J56" s="99">
        <f>MRS!J56</f>
        <v>250</v>
      </c>
      <c r="K56" s="100"/>
      <c r="O56" s="101"/>
      <c r="P56" s="101"/>
      <c r="R56" s="101"/>
    </row>
    <row r="57" spans="1:18" ht="54" customHeight="1">
      <c r="A57" s="21">
        <f>+MRS!A57</f>
        <v>52</v>
      </c>
      <c r="B57" s="147" t="str">
        <f>MRS!B57</f>
        <v>Calibration of Needle Pressure Gauge</v>
      </c>
      <c r="C57" s="148"/>
      <c r="D57" s="149">
        <f>MRS!D57</f>
        <v>0</v>
      </c>
      <c r="E57" s="150"/>
      <c r="F57" s="151"/>
      <c r="G57" s="98" t="str">
        <f>MRS!G57</f>
        <v>EA</v>
      </c>
      <c r="H57" s="98">
        <f>MRS!H57</f>
        <v>1</v>
      </c>
      <c r="I57" s="99">
        <f>MRS!I57</f>
        <v>110</v>
      </c>
      <c r="J57" s="99">
        <f>MRS!J57</f>
        <v>110</v>
      </c>
      <c r="K57" s="100"/>
      <c r="O57" s="101"/>
      <c r="P57" s="101"/>
      <c r="R57" s="101"/>
    </row>
    <row r="58" spans="1:18" ht="54" customHeight="1">
      <c r="A58" s="21">
        <f>+MRS!A58</f>
        <v>53</v>
      </c>
      <c r="B58" s="147" t="str">
        <f>MRS!B58</f>
        <v>Calibration of Thermal Relay Tester</v>
      </c>
      <c r="C58" s="148"/>
      <c r="D58" s="149">
        <f>MRS!D58</f>
        <v>0</v>
      </c>
      <c r="E58" s="150"/>
      <c r="F58" s="151"/>
      <c r="G58" s="98" t="str">
        <f>MRS!G58</f>
        <v>EA</v>
      </c>
      <c r="H58" s="98">
        <f>MRS!H58</f>
        <v>1</v>
      </c>
      <c r="I58" s="99">
        <f>MRS!I58</f>
        <v>190</v>
      </c>
      <c r="J58" s="99">
        <f>MRS!J58</f>
        <v>190</v>
      </c>
      <c r="K58" s="100"/>
      <c r="O58" s="101"/>
      <c r="P58" s="101"/>
      <c r="R58" s="101"/>
    </row>
    <row r="59" spans="1:18" ht="54" customHeight="1">
      <c r="A59" s="21">
        <f>+MRS!A59</f>
        <v>54</v>
      </c>
      <c r="B59" s="147" t="str">
        <f>MRS!B59</f>
        <v>Calibration of Single Purpose Weld Gauge</v>
      </c>
      <c r="C59" s="148"/>
      <c r="D59" s="149">
        <f>MRS!D59</f>
        <v>0</v>
      </c>
      <c r="E59" s="150"/>
      <c r="F59" s="151"/>
      <c r="G59" s="98" t="str">
        <f>MRS!G59</f>
        <v>EA</v>
      </c>
      <c r="H59" s="98">
        <f>MRS!H59</f>
        <v>1</v>
      </c>
      <c r="I59" s="99">
        <f>MRS!I59</f>
        <v>95</v>
      </c>
      <c r="J59" s="99">
        <f>MRS!J59</f>
        <v>95</v>
      </c>
      <c r="K59" s="100"/>
      <c r="O59" s="101"/>
      <c r="P59" s="101"/>
      <c r="R59" s="101"/>
    </row>
    <row r="60" spans="1:18" ht="54" customHeight="1">
      <c r="A60" s="21">
        <f>+MRS!A60</f>
        <v>55</v>
      </c>
      <c r="B60" s="147" t="str">
        <f>MRS!B60</f>
        <v>Calibration of Wet Film Thickness Gauge</v>
      </c>
      <c r="C60" s="148"/>
      <c r="D60" s="149">
        <f>MRS!D60</f>
        <v>0</v>
      </c>
      <c r="E60" s="150"/>
      <c r="F60" s="151"/>
      <c r="G60" s="98" t="str">
        <f>MRS!G60</f>
        <v>EA</v>
      </c>
      <c r="H60" s="98">
        <f>MRS!H60</f>
        <v>1</v>
      </c>
      <c r="I60" s="99">
        <f>MRS!I60</f>
        <v>95</v>
      </c>
      <c r="J60" s="99">
        <f>MRS!J60</f>
        <v>95</v>
      </c>
      <c r="K60" s="100"/>
      <c r="O60" s="101"/>
      <c r="P60" s="101"/>
      <c r="R60" s="101"/>
    </row>
    <row r="61" spans="1:18" ht="54" customHeight="1">
      <c r="A61" s="21">
        <f>+MRS!A61</f>
        <v>56</v>
      </c>
      <c r="B61" s="147" t="str">
        <f>MRS!B61</f>
        <v>Calibration of Wind Temperature Gauge</v>
      </c>
      <c r="C61" s="148"/>
      <c r="D61" s="149">
        <f>MRS!D61</f>
        <v>0</v>
      </c>
      <c r="E61" s="150"/>
      <c r="F61" s="151"/>
      <c r="G61" s="98" t="str">
        <f>MRS!G61</f>
        <v>EA</v>
      </c>
      <c r="H61" s="98">
        <f>MRS!H61</f>
        <v>1</v>
      </c>
      <c r="I61" s="99">
        <f>MRS!I61</f>
        <v>170</v>
      </c>
      <c r="J61" s="99">
        <f>MRS!J61</f>
        <v>170</v>
      </c>
      <c r="K61" s="100"/>
      <c r="O61" s="101"/>
      <c r="P61" s="101"/>
      <c r="R61" s="101"/>
    </row>
    <row r="62" spans="1:18" ht="54" customHeight="1">
      <c r="A62" s="21">
        <f>+MRS!A62</f>
        <v>57</v>
      </c>
      <c r="B62" s="147" t="str">
        <f>MRS!B62</f>
        <v>Calibration of Vibration Meter</v>
      </c>
      <c r="C62" s="148"/>
      <c r="D62" s="149">
        <f>MRS!D62</f>
        <v>0</v>
      </c>
      <c r="E62" s="150"/>
      <c r="F62" s="151"/>
      <c r="G62" s="98" t="str">
        <f>MRS!G62</f>
        <v>EA</v>
      </c>
      <c r="H62" s="98">
        <f>MRS!H62</f>
        <v>1</v>
      </c>
      <c r="I62" s="99">
        <f>MRS!I62</f>
        <v>200</v>
      </c>
      <c r="J62" s="99">
        <f>MRS!J62</f>
        <v>200</v>
      </c>
      <c r="K62" s="100"/>
      <c r="O62" s="101"/>
      <c r="P62" s="101"/>
      <c r="R62" s="101"/>
    </row>
    <row r="63" spans="1:18" ht="54" customHeight="1">
      <c r="A63" s="21">
        <f>+MRS!A63</f>
        <v>58</v>
      </c>
      <c r="B63" s="147" t="str">
        <f>MRS!B63</f>
        <v>Calibration of Tachometer</v>
      </c>
      <c r="C63" s="148"/>
      <c r="D63" s="149">
        <f>MRS!D63</f>
        <v>0</v>
      </c>
      <c r="E63" s="150"/>
      <c r="F63" s="151"/>
      <c r="G63" s="98" t="str">
        <f>MRS!G63</f>
        <v>EA</v>
      </c>
      <c r="H63" s="98">
        <f>MRS!H63</f>
        <v>1</v>
      </c>
      <c r="I63" s="99">
        <f>MRS!I63</f>
        <v>150</v>
      </c>
      <c r="J63" s="99">
        <f>MRS!J63</f>
        <v>150</v>
      </c>
      <c r="K63" s="100"/>
      <c r="O63" s="101"/>
      <c r="P63" s="101"/>
      <c r="R63" s="101"/>
    </row>
    <row r="64" spans="1:18" ht="54" customHeight="1">
      <c r="A64" s="21">
        <f>+MRS!A64</f>
        <v>59</v>
      </c>
      <c r="B64" s="147" t="str">
        <f>MRS!B64</f>
        <v>Calibration of Laser Line Level</v>
      </c>
      <c r="C64" s="148"/>
      <c r="D64" s="149">
        <f>MRS!D64</f>
        <v>0</v>
      </c>
      <c r="E64" s="150"/>
      <c r="F64" s="151"/>
      <c r="G64" s="98" t="str">
        <f>MRS!G64</f>
        <v>EA</v>
      </c>
      <c r="H64" s="98">
        <f>MRS!H64</f>
        <v>1</v>
      </c>
      <c r="I64" s="99">
        <f>MRS!I64</f>
        <v>150</v>
      </c>
      <c r="J64" s="99">
        <f>MRS!J64</f>
        <v>150</v>
      </c>
      <c r="K64" s="100"/>
      <c r="O64" s="101"/>
      <c r="P64" s="101"/>
      <c r="R64" s="101"/>
    </row>
    <row r="65" spans="1:18" ht="54" customHeight="1">
      <c r="A65" s="21">
        <f>+MRS!A65</f>
        <v>60</v>
      </c>
      <c r="B65" s="147" t="str">
        <f>MRS!B65</f>
        <v>Calibration of Durometer</v>
      </c>
      <c r="C65" s="148"/>
      <c r="D65" s="149">
        <f>MRS!D65</f>
        <v>0</v>
      </c>
      <c r="E65" s="150"/>
      <c r="F65" s="151"/>
      <c r="G65" s="98" t="str">
        <f>MRS!G65</f>
        <v>EA</v>
      </c>
      <c r="H65" s="98">
        <f>MRS!H65</f>
        <v>1</v>
      </c>
      <c r="I65" s="99">
        <f>MRS!I65</f>
        <v>150</v>
      </c>
      <c r="J65" s="99">
        <f>MRS!J65</f>
        <v>150</v>
      </c>
      <c r="K65" s="100"/>
      <c r="O65" s="101"/>
      <c r="P65" s="101"/>
      <c r="R65" s="101"/>
    </row>
    <row r="66" spans="1:18" ht="54" customHeight="1">
      <c r="A66" s="21">
        <f>+MRS!A66</f>
        <v>61</v>
      </c>
      <c r="B66" s="147" t="str">
        <f>MRS!B66</f>
        <v>Calibration of DFT Content Meter</v>
      </c>
      <c r="C66" s="148"/>
      <c r="D66" s="149">
        <f>MRS!D66</f>
        <v>0</v>
      </c>
      <c r="E66" s="150"/>
      <c r="F66" s="151"/>
      <c r="G66" s="98" t="str">
        <f>MRS!G66</f>
        <v>EA</v>
      </c>
      <c r="H66" s="98">
        <f>MRS!H66</f>
        <v>1</v>
      </c>
      <c r="I66" s="99">
        <f>MRS!I66</f>
        <v>150</v>
      </c>
      <c r="J66" s="99">
        <f>MRS!J66</f>
        <v>150</v>
      </c>
      <c r="K66" s="100"/>
      <c r="O66" s="101"/>
      <c r="P66" s="101"/>
      <c r="R66" s="101"/>
    </row>
    <row r="67" spans="1:18" ht="54" customHeight="1">
      <c r="A67" s="21">
        <f>+MRS!A67</f>
        <v>62</v>
      </c>
      <c r="B67" s="147" t="str">
        <f>MRS!B67</f>
        <v>Calibration of Dial Test Indicator</v>
      </c>
      <c r="C67" s="148"/>
      <c r="D67" s="149">
        <f>MRS!D67</f>
        <v>0</v>
      </c>
      <c r="E67" s="150"/>
      <c r="F67" s="151"/>
      <c r="G67" s="98" t="str">
        <f>MRS!G67</f>
        <v>EA</v>
      </c>
      <c r="H67" s="98">
        <f>MRS!H67</f>
        <v>1</v>
      </c>
      <c r="I67" s="99">
        <f>MRS!I67</f>
        <v>110</v>
      </c>
      <c r="J67" s="99">
        <f>MRS!J67</f>
        <v>110</v>
      </c>
      <c r="K67" s="100"/>
      <c r="O67" s="101"/>
      <c r="P67" s="101"/>
      <c r="R67" s="101"/>
    </row>
    <row r="68" spans="1:18" ht="54" customHeight="1">
      <c r="A68" s="21">
        <f>+MRS!A68</f>
        <v>63</v>
      </c>
      <c r="B68" s="147" t="str">
        <f>MRS!B68</f>
        <v>Calibration of Cable Ground Fault Locator</v>
      </c>
      <c r="C68" s="148"/>
      <c r="D68" s="149">
        <f>MRS!D68</f>
        <v>0</v>
      </c>
      <c r="E68" s="150"/>
      <c r="F68" s="151"/>
      <c r="G68" s="98" t="str">
        <f>MRS!G68</f>
        <v>EA</v>
      </c>
      <c r="H68" s="98">
        <f>MRS!H68</f>
        <v>1</v>
      </c>
      <c r="I68" s="99">
        <f>MRS!I68</f>
        <v>135</v>
      </c>
      <c r="J68" s="99">
        <f>MRS!J68</f>
        <v>135</v>
      </c>
      <c r="K68" s="100"/>
      <c r="O68" s="101"/>
      <c r="P68" s="101"/>
      <c r="R68" s="101"/>
    </row>
    <row r="69" spans="1:18" ht="54" customHeight="1">
      <c r="A69" s="21">
        <f>+MRS!A69</f>
        <v>64</v>
      </c>
      <c r="B69" s="147" t="str">
        <f>MRS!B69</f>
        <v>Calibration of Portable Micro Ohm Meter</v>
      </c>
      <c r="C69" s="148"/>
      <c r="D69" s="149">
        <f>MRS!D69</f>
        <v>0</v>
      </c>
      <c r="E69" s="150"/>
      <c r="F69" s="151"/>
      <c r="G69" s="98" t="str">
        <f>MRS!G69</f>
        <v>EA</v>
      </c>
      <c r="H69" s="98">
        <f>MRS!H69</f>
        <v>1</v>
      </c>
      <c r="I69" s="99">
        <f>MRS!I69</f>
        <v>200</v>
      </c>
      <c r="J69" s="99">
        <f>MRS!J69</f>
        <v>200</v>
      </c>
      <c r="K69" s="100"/>
      <c r="O69" s="101"/>
      <c r="P69" s="101"/>
      <c r="R69" s="101"/>
    </row>
    <row r="70" spans="1:18" ht="54" customHeight="1">
      <c r="A70" s="21">
        <f>+MRS!A70</f>
        <v>65</v>
      </c>
      <c r="B70" s="147" t="str">
        <f>MRS!B70</f>
        <v>Calibration of Portable Pressure Calibration</v>
      </c>
      <c r="C70" s="148"/>
      <c r="D70" s="149">
        <f>MRS!D70</f>
        <v>0</v>
      </c>
      <c r="E70" s="150"/>
      <c r="F70" s="151"/>
      <c r="G70" s="98" t="str">
        <f>MRS!G70</f>
        <v>EA</v>
      </c>
      <c r="H70" s="98">
        <f>MRS!H70</f>
        <v>1</v>
      </c>
      <c r="I70" s="99">
        <f>MRS!I70</f>
        <v>250</v>
      </c>
      <c r="J70" s="99">
        <f>MRS!J70</f>
        <v>250</v>
      </c>
      <c r="K70" s="100"/>
      <c r="O70" s="101"/>
      <c r="P70" s="101"/>
      <c r="R70" s="101"/>
    </row>
    <row r="71" spans="1:18" ht="54" customHeight="1">
      <c r="A71" s="21">
        <f>+MRS!A71</f>
        <v>66</v>
      </c>
      <c r="B71" s="147" t="str">
        <f>MRS!B71</f>
        <v>Calibration of Torque Wrench, any range or capacity</v>
      </c>
      <c r="C71" s="148"/>
      <c r="D71" s="149">
        <f>MRS!D71</f>
        <v>0</v>
      </c>
      <c r="E71" s="150"/>
      <c r="F71" s="151"/>
      <c r="G71" s="98" t="str">
        <f>MRS!G71</f>
        <v>EA</v>
      </c>
      <c r="H71" s="98">
        <f>MRS!H71</f>
        <v>1</v>
      </c>
      <c r="I71" s="99">
        <f>MRS!I71</f>
        <v>200</v>
      </c>
      <c r="J71" s="99">
        <f>MRS!J71</f>
        <v>200</v>
      </c>
      <c r="K71" s="100"/>
      <c r="O71" s="101"/>
      <c r="P71" s="101"/>
      <c r="R71" s="101"/>
    </row>
    <row r="72" spans="1:18" ht="54" customHeight="1">
      <c r="A72" s="21">
        <f>+MRS!A72</f>
        <v>67</v>
      </c>
      <c r="B72" s="147" t="str">
        <f>MRS!B72</f>
        <v>Calibration of Temperature Recorder</v>
      </c>
      <c r="C72" s="148"/>
      <c r="D72" s="149">
        <f>MRS!D72</f>
        <v>0</v>
      </c>
      <c r="E72" s="150"/>
      <c r="F72" s="151"/>
      <c r="G72" s="98" t="str">
        <f>MRS!G72</f>
        <v>EA</v>
      </c>
      <c r="H72" s="98">
        <f>MRS!H72</f>
        <v>1</v>
      </c>
      <c r="I72" s="99">
        <f>MRS!I72</f>
        <v>200</v>
      </c>
      <c r="J72" s="99">
        <f>MRS!J72</f>
        <v>200</v>
      </c>
      <c r="K72" s="100"/>
      <c r="O72" s="101"/>
      <c r="P72" s="101"/>
      <c r="R72" s="101"/>
    </row>
    <row r="73" spans="1:18" ht="54" customHeight="1">
      <c r="A73" s="21">
        <f>+MRS!A73</f>
        <v>68</v>
      </c>
      <c r="B73" s="147" t="str">
        <f>MRS!B73</f>
        <v>Calibration of Pressure Recorder</v>
      </c>
      <c r="C73" s="148"/>
      <c r="D73" s="149">
        <f>MRS!D73</f>
        <v>0</v>
      </c>
      <c r="E73" s="150"/>
      <c r="F73" s="151"/>
      <c r="G73" s="98" t="str">
        <f>MRS!G73</f>
        <v>EA</v>
      </c>
      <c r="H73" s="98">
        <f>MRS!H73</f>
        <v>1</v>
      </c>
      <c r="I73" s="99">
        <f>MRS!I73</f>
        <v>200</v>
      </c>
      <c r="J73" s="99">
        <f>MRS!J73</f>
        <v>200</v>
      </c>
      <c r="K73" s="100"/>
      <c r="O73" s="101"/>
      <c r="P73" s="101"/>
      <c r="R73" s="101"/>
    </row>
    <row r="74" spans="1:18" ht="54" customHeight="1">
      <c r="A74" s="21">
        <f>+MRS!A74</f>
        <v>69</v>
      </c>
      <c r="B74" s="147" t="str">
        <f>MRS!B74</f>
        <v>Calibration of Temperature &amp; Humidity Meter</v>
      </c>
      <c r="C74" s="148"/>
      <c r="D74" s="149">
        <f>MRS!D74</f>
        <v>0</v>
      </c>
      <c r="E74" s="150"/>
      <c r="F74" s="151"/>
      <c r="G74" s="98" t="str">
        <f>MRS!G74</f>
        <v>EA</v>
      </c>
      <c r="H74" s="98">
        <f>MRS!H74</f>
        <v>1</v>
      </c>
      <c r="I74" s="99">
        <f>MRS!I74</f>
        <v>145</v>
      </c>
      <c r="J74" s="99">
        <f>MRS!J74</f>
        <v>145</v>
      </c>
      <c r="K74" s="100"/>
      <c r="O74" s="101"/>
      <c r="P74" s="101"/>
      <c r="R74" s="101"/>
    </row>
    <row r="75" spans="1:18" ht="54" customHeight="1">
      <c r="A75" s="21">
        <f>+MRS!A75</f>
        <v>70</v>
      </c>
      <c r="B75" s="147" t="str">
        <f>MRS!B75</f>
        <v>Calibration of Depth Gauge</v>
      </c>
      <c r="C75" s="148"/>
      <c r="D75" s="149">
        <f>MRS!D75</f>
        <v>0</v>
      </c>
      <c r="E75" s="150"/>
      <c r="F75" s="151"/>
      <c r="G75" s="98" t="str">
        <f>MRS!G75</f>
        <v>EA</v>
      </c>
      <c r="H75" s="98">
        <f>MRS!H75</f>
        <v>1</v>
      </c>
      <c r="I75" s="99">
        <f>MRS!I75</f>
        <v>100</v>
      </c>
      <c r="J75" s="99">
        <f>MRS!J75</f>
        <v>100</v>
      </c>
      <c r="K75" s="100"/>
      <c r="O75" s="101"/>
      <c r="P75" s="101"/>
      <c r="R75" s="101"/>
    </row>
    <row r="76" spans="1:18" ht="54" customHeight="1">
      <c r="A76" s="21">
        <f>+MRS!A76</f>
        <v>71</v>
      </c>
      <c r="B76" s="147" t="str">
        <f>MRS!B76</f>
        <v>Calibration of Temperature Gauge</v>
      </c>
      <c r="C76" s="148"/>
      <c r="D76" s="149">
        <f>MRS!D76</f>
        <v>0</v>
      </c>
      <c r="E76" s="150"/>
      <c r="F76" s="151"/>
      <c r="G76" s="98" t="str">
        <f>MRS!G76</f>
        <v>EA</v>
      </c>
      <c r="H76" s="98">
        <f>MRS!H76</f>
        <v>1</v>
      </c>
      <c r="I76" s="99">
        <f>MRS!I76</f>
        <v>175</v>
      </c>
      <c r="J76" s="99">
        <f>MRS!J76</f>
        <v>175</v>
      </c>
      <c r="K76" s="100"/>
      <c r="O76" s="101"/>
      <c r="P76" s="101"/>
      <c r="R76" s="101"/>
    </row>
    <row r="77" spans="1:18" ht="54" customHeight="1">
      <c r="A77" s="21">
        <f>+MRS!A77</f>
        <v>72</v>
      </c>
      <c r="B77" s="147" t="str">
        <f>MRS!B77</f>
        <v>Calibration of Precision Level</v>
      </c>
      <c r="C77" s="148"/>
      <c r="D77" s="149">
        <f>MRS!D77</f>
        <v>0</v>
      </c>
      <c r="E77" s="150"/>
      <c r="F77" s="151"/>
      <c r="G77" s="98" t="str">
        <f>MRS!G77</f>
        <v>EA</v>
      </c>
      <c r="H77" s="98">
        <f>MRS!H77</f>
        <v>1</v>
      </c>
      <c r="I77" s="99">
        <f>MRS!I77</f>
        <v>95</v>
      </c>
      <c r="J77" s="99">
        <f>MRS!J77</f>
        <v>95</v>
      </c>
      <c r="K77" s="100"/>
      <c r="O77" s="101"/>
      <c r="P77" s="101"/>
      <c r="R77" s="101"/>
    </row>
    <row r="78" spans="1:18" ht="54" customHeight="1">
      <c r="A78" s="21">
        <f>+MRS!A78</f>
        <v>73</v>
      </c>
      <c r="B78" s="147" t="str">
        <f>MRS!B78</f>
        <v>Calibration of Torque Multiplier</v>
      </c>
      <c r="C78" s="148"/>
      <c r="D78" s="149">
        <f>MRS!D78</f>
        <v>0</v>
      </c>
      <c r="E78" s="150"/>
      <c r="F78" s="151"/>
      <c r="G78" s="98" t="str">
        <f>MRS!G78</f>
        <v>EA</v>
      </c>
      <c r="H78" s="98">
        <f>MRS!H78</f>
        <v>1</v>
      </c>
      <c r="I78" s="99">
        <f>MRS!I78</f>
        <v>200</v>
      </c>
      <c r="J78" s="99">
        <f>MRS!J78</f>
        <v>200</v>
      </c>
      <c r="K78" s="100"/>
      <c r="O78" s="101"/>
      <c r="P78" s="101"/>
      <c r="R78" s="101"/>
    </row>
    <row r="79" spans="1:18" ht="54" customHeight="1">
      <c r="A79" s="21">
        <f>+MRS!A79</f>
        <v>74</v>
      </c>
      <c r="B79" s="147" t="str">
        <f>MRS!B79</f>
        <v>Calibration of Environmental Meter</v>
      </c>
      <c r="C79" s="148"/>
      <c r="D79" s="149">
        <f>MRS!D79</f>
        <v>0</v>
      </c>
      <c r="E79" s="150"/>
      <c r="F79" s="151"/>
      <c r="G79" s="98" t="str">
        <f>MRS!G79</f>
        <v>EA</v>
      </c>
      <c r="H79" s="98">
        <f>MRS!H79</f>
        <v>1</v>
      </c>
      <c r="I79" s="99">
        <f>MRS!I79</f>
        <v>170</v>
      </c>
      <c r="J79" s="99">
        <f>MRS!J79</f>
        <v>170</v>
      </c>
      <c r="K79" s="100"/>
      <c r="O79" s="101"/>
      <c r="P79" s="101"/>
      <c r="R79" s="101"/>
    </row>
    <row r="80" spans="1:18" ht="54" customHeight="1">
      <c r="A80" s="21">
        <f>+MRS!A80</f>
        <v>75</v>
      </c>
      <c r="B80" s="147" t="str">
        <f>MRS!B80</f>
        <v>Inspection of Tower Light</v>
      </c>
      <c r="C80" s="148"/>
      <c r="D80" s="149">
        <f>MRS!D80</f>
        <v>0</v>
      </c>
      <c r="E80" s="150"/>
      <c r="F80" s="151"/>
      <c r="G80" s="98" t="str">
        <f>MRS!G80</f>
        <v>EA</v>
      </c>
      <c r="H80" s="98">
        <f>MRS!H80</f>
        <v>1</v>
      </c>
      <c r="I80" s="99">
        <f>MRS!I80</f>
        <v>190</v>
      </c>
      <c r="J80" s="99">
        <f>MRS!J80</f>
        <v>190</v>
      </c>
      <c r="K80" s="100"/>
      <c r="O80" s="101"/>
      <c r="P80" s="101"/>
      <c r="R80" s="101"/>
    </row>
    <row r="81" spans="1:18" ht="54" customHeight="1">
      <c r="A81" s="21">
        <f>+MRS!A81</f>
        <v>76</v>
      </c>
      <c r="B81" s="147" t="str">
        <f>MRS!B81</f>
        <v>Inspection Diesel Generator</v>
      </c>
      <c r="C81" s="148"/>
      <c r="D81" s="149">
        <f>MRS!D81</f>
        <v>0</v>
      </c>
      <c r="E81" s="150"/>
      <c r="F81" s="151"/>
      <c r="G81" s="98" t="str">
        <f>MRS!G81</f>
        <v>EA</v>
      </c>
      <c r="H81" s="98">
        <f>MRS!H81</f>
        <v>1</v>
      </c>
      <c r="I81" s="99">
        <f>MRS!I81</f>
        <v>190</v>
      </c>
      <c r="J81" s="99">
        <f>MRS!J81</f>
        <v>190</v>
      </c>
      <c r="K81" s="100"/>
      <c r="O81" s="101"/>
      <c r="P81" s="101"/>
      <c r="R81" s="101"/>
    </row>
    <row r="82" spans="1:18" ht="54" customHeight="1">
      <c r="A82" s="21">
        <f>+MRS!A82</f>
        <v>77</v>
      </c>
      <c r="B82" s="147" t="str">
        <f>MRS!B82</f>
        <v>Inspection Engine Driven Welders</v>
      </c>
      <c r="C82" s="148"/>
      <c r="D82" s="149">
        <f>MRS!D82</f>
        <v>0</v>
      </c>
      <c r="E82" s="150"/>
      <c r="F82" s="151"/>
      <c r="G82" s="98" t="str">
        <f>MRS!G82</f>
        <v>EA</v>
      </c>
      <c r="H82" s="98">
        <f>MRS!H82</f>
        <v>1</v>
      </c>
      <c r="I82" s="99">
        <f>MRS!I82</f>
        <v>190</v>
      </c>
      <c r="J82" s="99">
        <f>MRS!J82</f>
        <v>190</v>
      </c>
      <c r="K82" s="100"/>
      <c r="O82" s="101"/>
      <c r="P82" s="101"/>
      <c r="R82" s="101"/>
    </row>
    <row r="83" spans="1:18" ht="54" customHeight="1">
      <c r="A83" s="21">
        <f>+MRS!A83</f>
        <v>78</v>
      </c>
      <c r="B83" s="147" t="str">
        <f>MRS!B83</f>
        <v>Calibration of Digital Ultrameter</v>
      </c>
      <c r="C83" s="148"/>
      <c r="D83" s="149">
        <f>MRS!D83</f>
        <v>0</v>
      </c>
      <c r="E83" s="150"/>
      <c r="F83" s="151"/>
      <c r="G83" s="98" t="str">
        <f>MRS!G83</f>
        <v>EA</v>
      </c>
      <c r="H83" s="98">
        <f>MRS!H83</f>
        <v>1</v>
      </c>
      <c r="I83" s="99">
        <f>MRS!I83</f>
        <v>200</v>
      </c>
      <c r="J83" s="99">
        <f>MRS!J83</f>
        <v>200</v>
      </c>
      <c r="K83" s="100"/>
      <c r="O83" s="101"/>
      <c r="P83" s="101"/>
      <c r="R83" s="101"/>
    </row>
    <row r="84" spans="1:18" ht="54" customHeight="1">
      <c r="A84" s="21">
        <f>+MRS!A84</f>
        <v>79</v>
      </c>
      <c r="B84" s="147" t="str">
        <f>MRS!B84</f>
        <v>Calibration of CO/CO2 Meter + Psychrometer</v>
      </c>
      <c r="C84" s="148"/>
      <c r="D84" s="149">
        <f>MRS!D84</f>
        <v>0</v>
      </c>
      <c r="E84" s="150"/>
      <c r="F84" s="151"/>
      <c r="G84" s="98" t="str">
        <f>MRS!G84</f>
        <v>EA</v>
      </c>
      <c r="H84" s="98">
        <f>MRS!H84</f>
        <v>1</v>
      </c>
      <c r="I84" s="99">
        <f>MRS!I84</f>
        <v>200</v>
      </c>
      <c r="J84" s="99">
        <f>MRS!J84</f>
        <v>200</v>
      </c>
      <c r="K84" s="100"/>
      <c r="O84" s="101"/>
      <c r="P84" s="101"/>
      <c r="R84" s="101"/>
    </row>
    <row r="85" spans="1:18" ht="54" customHeight="1">
      <c r="A85" s="21">
        <f>+MRS!A85</f>
        <v>80</v>
      </c>
      <c r="B85" s="147" t="str">
        <f>MRS!B85</f>
        <v>Calibration of Weighing Balance</v>
      </c>
      <c r="C85" s="148"/>
      <c r="D85" s="149">
        <f>MRS!D85</f>
        <v>0</v>
      </c>
      <c r="E85" s="150"/>
      <c r="F85" s="151"/>
      <c r="G85" s="98" t="str">
        <f>MRS!G85</f>
        <v>EA</v>
      </c>
      <c r="H85" s="98">
        <f>MRS!H85</f>
        <v>1</v>
      </c>
      <c r="I85" s="99">
        <f>MRS!I85</f>
        <v>150</v>
      </c>
      <c r="J85" s="99">
        <f>MRS!J85</f>
        <v>150</v>
      </c>
      <c r="K85" s="100"/>
      <c r="O85" s="101"/>
      <c r="P85" s="101"/>
      <c r="R85" s="101"/>
    </row>
    <row r="86" spans="1:18" ht="54" customHeight="1">
      <c r="A86" s="21">
        <f>+MRS!A86</f>
        <v>81</v>
      </c>
      <c r="B86" s="147" t="str">
        <f>MRS!B86</f>
        <v>Calibration of PI Tape</v>
      </c>
      <c r="C86" s="148"/>
      <c r="D86" s="149">
        <f>MRS!D86</f>
        <v>0</v>
      </c>
      <c r="E86" s="150"/>
      <c r="F86" s="151"/>
      <c r="G86" s="98" t="str">
        <f>MRS!G86</f>
        <v>EA</v>
      </c>
      <c r="H86" s="98">
        <f>MRS!H86</f>
        <v>1</v>
      </c>
      <c r="I86" s="99">
        <f>MRS!I86</f>
        <v>90</v>
      </c>
      <c r="J86" s="99">
        <f>MRS!J86</f>
        <v>90</v>
      </c>
      <c r="K86" s="100"/>
      <c r="O86" s="101"/>
      <c r="P86" s="101"/>
      <c r="R86" s="101"/>
    </row>
    <row r="87" spans="1:18" ht="54" customHeight="1">
      <c r="A87" s="21">
        <f>+MRS!A87</f>
        <v>82</v>
      </c>
      <c r="B87" s="147" t="str">
        <f>MRS!B87</f>
        <v>Calibration of Taper Scale</v>
      </c>
      <c r="C87" s="148"/>
      <c r="D87" s="149">
        <f>MRS!D87</f>
        <v>0</v>
      </c>
      <c r="E87" s="150"/>
      <c r="F87" s="151"/>
      <c r="G87" s="98" t="str">
        <f>MRS!G87</f>
        <v>EA</v>
      </c>
      <c r="H87" s="98">
        <f>MRS!H87</f>
        <v>1</v>
      </c>
      <c r="I87" s="99">
        <f>MRS!I87</f>
        <v>95</v>
      </c>
      <c r="J87" s="99">
        <f>MRS!J87</f>
        <v>95</v>
      </c>
      <c r="K87" s="100"/>
      <c r="O87" s="101"/>
      <c r="P87" s="101"/>
      <c r="R87" s="101"/>
    </row>
    <row r="88" spans="1:18" ht="54" customHeight="1">
      <c r="A88" s="21">
        <f>+MRS!A88</f>
        <v>83</v>
      </c>
      <c r="B88" s="147" t="str">
        <f>MRS!B88</f>
        <v>Inspection of Speed Gun</v>
      </c>
      <c r="C88" s="148"/>
      <c r="D88" s="149">
        <f>MRS!D88</f>
        <v>0</v>
      </c>
      <c r="E88" s="150"/>
      <c r="F88" s="151"/>
      <c r="G88" s="98" t="str">
        <f>MRS!G88</f>
        <v>EA</v>
      </c>
      <c r="H88" s="98">
        <f>MRS!H88</f>
        <v>1</v>
      </c>
      <c r="I88" s="99">
        <f>MRS!I88</f>
        <v>180</v>
      </c>
      <c r="J88" s="99">
        <f>MRS!J88</f>
        <v>180</v>
      </c>
      <c r="K88" s="100"/>
      <c r="O88" s="101"/>
      <c r="P88" s="101"/>
      <c r="R88" s="101"/>
    </row>
    <row r="89" spans="1:18" ht="54" customHeight="1">
      <c r="A89" s="21">
        <f>+MRS!A89</f>
        <v>84</v>
      </c>
      <c r="B89" s="147" t="str">
        <f>MRS!B89</f>
        <v>Calibration of Clamp Meter</v>
      </c>
      <c r="C89" s="148"/>
      <c r="D89" s="149">
        <f>MRS!D89</f>
        <v>0</v>
      </c>
      <c r="E89" s="150"/>
      <c r="F89" s="151"/>
      <c r="G89" s="98" t="str">
        <f>MRS!G89</f>
        <v>EA</v>
      </c>
      <c r="H89" s="98">
        <f>MRS!H89</f>
        <v>1</v>
      </c>
      <c r="I89" s="99">
        <f>MRS!I89</f>
        <v>175</v>
      </c>
      <c r="J89" s="99">
        <f>MRS!J89</f>
        <v>175</v>
      </c>
      <c r="K89" s="100"/>
      <c r="O89" s="101"/>
      <c r="P89" s="101"/>
      <c r="R89" s="101"/>
    </row>
    <row r="90" spans="1:18" ht="54" customHeight="1">
      <c r="A90" s="21">
        <f>+MRS!A90</f>
        <v>85</v>
      </c>
      <c r="B90" s="147" t="str">
        <f>MRS!B90</f>
        <v>Calibration of Densitometer</v>
      </c>
      <c r="C90" s="148"/>
      <c r="D90" s="149">
        <f>MRS!D90</f>
        <v>0</v>
      </c>
      <c r="E90" s="150"/>
      <c r="F90" s="151"/>
      <c r="G90" s="98" t="str">
        <f>MRS!G90</f>
        <v>EA</v>
      </c>
      <c r="H90" s="98">
        <f>MRS!H90</f>
        <v>1</v>
      </c>
      <c r="I90" s="99">
        <f>MRS!I90</f>
        <v>175</v>
      </c>
      <c r="J90" s="99">
        <f>MRS!J90</f>
        <v>175</v>
      </c>
      <c r="K90" s="100"/>
      <c r="O90" s="101"/>
      <c r="P90" s="101"/>
      <c r="R90" s="101"/>
    </row>
    <row r="91" spans="1:18" ht="54" customHeight="1">
      <c r="A91" s="21">
        <f>+MRS!A91</f>
        <v>86</v>
      </c>
      <c r="B91" s="147" t="str">
        <f>MRS!B91</f>
        <v>Calibration of High Voltage Probe</v>
      </c>
      <c r="C91" s="148"/>
      <c r="D91" s="149">
        <f>MRS!D91</f>
        <v>0</v>
      </c>
      <c r="E91" s="150"/>
      <c r="F91" s="151"/>
      <c r="G91" s="98" t="str">
        <f>MRS!G91</f>
        <v>EA</v>
      </c>
      <c r="H91" s="98">
        <f>MRS!H91</f>
        <v>1</v>
      </c>
      <c r="I91" s="99">
        <f>MRS!I91</f>
        <v>175</v>
      </c>
      <c r="J91" s="99">
        <f>MRS!J91</f>
        <v>175</v>
      </c>
      <c r="K91" s="100"/>
      <c r="O91" s="101"/>
      <c r="P91" s="101"/>
      <c r="R91" s="101"/>
    </row>
    <row r="92" spans="1:18" ht="54" customHeight="1">
      <c r="A92" s="21">
        <f>+MRS!A92</f>
        <v>87</v>
      </c>
      <c r="B92" s="147" t="str">
        <f>MRS!B92</f>
        <v>Calibration of Standard Weights</v>
      </c>
      <c r="C92" s="148"/>
      <c r="D92" s="149">
        <f>MRS!D92</f>
        <v>0</v>
      </c>
      <c r="E92" s="150"/>
      <c r="F92" s="151"/>
      <c r="G92" s="98" t="str">
        <f>MRS!G92</f>
        <v>BOX</v>
      </c>
      <c r="H92" s="98">
        <f>MRS!H92</f>
        <v>1</v>
      </c>
      <c r="I92" s="99">
        <f>MRS!I92</f>
        <v>250</v>
      </c>
      <c r="J92" s="99">
        <f>MRS!J92</f>
        <v>250</v>
      </c>
      <c r="K92" s="100"/>
      <c r="O92" s="101"/>
      <c r="P92" s="101"/>
      <c r="R92" s="101"/>
    </row>
    <row r="93" spans="1:18" ht="54" customHeight="1">
      <c r="A93" s="21">
        <f>+MRS!A93</f>
        <v>88</v>
      </c>
      <c r="B93" s="147" t="str">
        <f>MRS!B93</f>
        <v>Inspection of Pipe Threading Machine</v>
      </c>
      <c r="C93" s="148"/>
      <c r="D93" s="149">
        <f>MRS!D93</f>
        <v>0</v>
      </c>
      <c r="E93" s="150"/>
      <c r="F93" s="151"/>
      <c r="G93" s="98" t="str">
        <f>MRS!G93</f>
        <v>EA</v>
      </c>
      <c r="H93" s="98">
        <f>MRS!H93</f>
        <v>1</v>
      </c>
      <c r="I93" s="99">
        <f>MRS!I93</f>
        <v>190</v>
      </c>
      <c r="J93" s="99">
        <f>MRS!J93</f>
        <v>190</v>
      </c>
      <c r="K93" s="100"/>
      <c r="O93" s="101"/>
      <c r="P93" s="101"/>
      <c r="R93" s="101"/>
    </row>
    <row r="94" spans="1:18" ht="54" customHeight="1">
      <c r="A94" s="21">
        <f>+MRS!A94</f>
        <v>89</v>
      </c>
      <c r="B94" s="147" t="str">
        <f>MRS!B94</f>
        <v>Calibration of Spirit Level</v>
      </c>
      <c r="C94" s="148"/>
      <c r="D94" s="149">
        <f>MRS!D94</f>
        <v>0</v>
      </c>
      <c r="E94" s="150"/>
      <c r="F94" s="151"/>
      <c r="G94" s="98" t="str">
        <f>MRS!G94</f>
        <v>EA</v>
      </c>
      <c r="H94" s="98">
        <f>MRS!H94</f>
        <v>1</v>
      </c>
      <c r="I94" s="99">
        <f>MRS!I94</f>
        <v>95</v>
      </c>
      <c r="J94" s="99">
        <f>MRS!J94</f>
        <v>95</v>
      </c>
      <c r="K94" s="100"/>
      <c r="O94" s="101"/>
      <c r="P94" s="101"/>
      <c r="R94" s="101"/>
    </row>
    <row r="95" spans="1:18" ht="54" customHeight="1">
      <c r="A95" s="21">
        <f>+MRS!A95</f>
        <v>90</v>
      </c>
      <c r="B95" s="147" t="str">
        <f>MRS!B95</f>
        <v>Inspection of Air Compressor</v>
      </c>
      <c r="C95" s="148"/>
      <c r="D95" s="149">
        <f>MRS!D95</f>
        <v>0</v>
      </c>
      <c r="E95" s="150"/>
      <c r="F95" s="151"/>
      <c r="G95" s="98" t="str">
        <f>MRS!G95</f>
        <v>EA</v>
      </c>
      <c r="H95" s="98">
        <f>MRS!H95</f>
        <v>1</v>
      </c>
      <c r="I95" s="99">
        <f>MRS!I95</f>
        <v>190</v>
      </c>
      <c r="J95" s="99">
        <f>MRS!J95</f>
        <v>190</v>
      </c>
      <c r="K95" s="100"/>
      <c r="O95" s="101"/>
      <c r="P95" s="101"/>
      <c r="R95" s="101"/>
    </row>
    <row r="96" spans="1:18" ht="54" customHeight="1">
      <c r="A96" s="21">
        <f>+MRS!A96</f>
        <v>91</v>
      </c>
      <c r="B96" s="147" t="str">
        <f>MRS!B96</f>
        <v>Calibration of Measuring Tape</v>
      </c>
      <c r="C96" s="148"/>
      <c r="D96" s="149">
        <f>MRS!D96</f>
        <v>0</v>
      </c>
      <c r="E96" s="150"/>
      <c r="F96" s="151"/>
      <c r="G96" s="98" t="str">
        <f>MRS!G96</f>
        <v>EA</v>
      </c>
      <c r="H96" s="98">
        <f>MRS!H96</f>
        <v>1</v>
      </c>
      <c r="I96" s="99">
        <f>MRS!I96</f>
        <v>90</v>
      </c>
      <c r="J96" s="99">
        <f>MRS!J96</f>
        <v>90</v>
      </c>
      <c r="K96" s="100"/>
      <c r="O96" s="101"/>
      <c r="P96" s="101"/>
      <c r="R96" s="101"/>
    </row>
    <row r="97" spans="1:18" ht="54" customHeight="1">
      <c r="A97" s="21">
        <f>+MRS!A97</f>
        <v>92</v>
      </c>
      <c r="B97" s="147" t="str">
        <f>MRS!B97</f>
        <v>Inspection of Torch Light</v>
      </c>
      <c r="C97" s="148"/>
      <c r="D97" s="149">
        <f>MRS!D97</f>
        <v>0</v>
      </c>
      <c r="E97" s="150"/>
      <c r="F97" s="151"/>
      <c r="G97" s="98" t="str">
        <f>MRS!G97</f>
        <v>EA</v>
      </c>
      <c r="H97" s="98">
        <f>MRS!H97</f>
        <v>1</v>
      </c>
      <c r="I97" s="99">
        <f>MRS!I97</f>
        <v>190</v>
      </c>
      <c r="J97" s="99">
        <f>MRS!J97</f>
        <v>190</v>
      </c>
      <c r="K97" s="100"/>
      <c r="O97" s="101"/>
      <c r="P97" s="101"/>
      <c r="R97" s="101"/>
    </row>
    <row r="98" spans="1:18" ht="54" customHeight="1">
      <c r="A98" s="21">
        <f>+MRS!A98</f>
        <v>93</v>
      </c>
      <c r="B98" s="147" t="str">
        <f>MRS!B98</f>
        <v>Inspection of Inspection Mirror</v>
      </c>
      <c r="C98" s="148"/>
      <c r="D98" s="149">
        <f>MRS!D98</f>
        <v>0</v>
      </c>
      <c r="E98" s="150"/>
      <c r="F98" s="151"/>
      <c r="G98" s="98" t="str">
        <f>MRS!G98</f>
        <v>EA</v>
      </c>
      <c r="H98" s="98">
        <f>MRS!H98</f>
        <v>1</v>
      </c>
      <c r="I98" s="99">
        <f>MRS!I98</f>
        <v>95</v>
      </c>
      <c r="J98" s="99">
        <f>MRS!J98</f>
        <v>95</v>
      </c>
      <c r="K98" s="100"/>
      <c r="O98" s="101"/>
      <c r="P98" s="101"/>
      <c r="R98" s="101"/>
    </row>
    <row r="99" spans="1:18" ht="54" customHeight="1">
      <c r="A99" s="21">
        <f>+MRS!A99</f>
        <v>94</v>
      </c>
      <c r="B99" s="147" t="str">
        <f>MRS!B99</f>
        <v>Inspection of High Pressure Pump</v>
      </c>
      <c r="C99" s="148"/>
      <c r="D99" s="149">
        <f>MRS!D99</f>
        <v>0</v>
      </c>
      <c r="E99" s="150"/>
      <c r="F99" s="151"/>
      <c r="G99" s="98" t="str">
        <f>MRS!G99</f>
        <v>EA</v>
      </c>
      <c r="H99" s="98">
        <f>MRS!H99</f>
        <v>1</v>
      </c>
      <c r="I99" s="99">
        <f>MRS!I99</f>
        <v>190</v>
      </c>
      <c r="J99" s="99">
        <f>MRS!J99</f>
        <v>190</v>
      </c>
      <c r="K99" s="100"/>
      <c r="O99" s="101"/>
      <c r="P99" s="101"/>
      <c r="R99" s="101"/>
    </row>
    <row r="100" spans="1:18" ht="54" customHeight="1">
      <c r="A100" s="21">
        <f>+MRS!A100</f>
        <v>95</v>
      </c>
      <c r="B100" s="147" t="str">
        <f>MRS!B100</f>
        <v>Inspection of Water Pump</v>
      </c>
      <c r="C100" s="148"/>
      <c r="D100" s="149">
        <f>MRS!D100</f>
        <v>0</v>
      </c>
      <c r="E100" s="150"/>
      <c r="F100" s="151"/>
      <c r="G100" s="98" t="str">
        <f>MRS!G100</f>
        <v>EA</v>
      </c>
      <c r="H100" s="98">
        <f>MRS!H100</f>
        <v>1</v>
      </c>
      <c r="I100" s="99">
        <f>MRS!I100</f>
        <v>190</v>
      </c>
      <c r="J100" s="99">
        <f>MRS!J100</f>
        <v>190</v>
      </c>
      <c r="K100" s="100"/>
      <c r="O100" s="101"/>
      <c r="P100" s="101"/>
      <c r="R100" s="101"/>
    </row>
    <row r="101" spans="1:18" ht="54" customHeight="1">
      <c r="A101" s="21">
        <f>+MRS!A101</f>
        <v>96</v>
      </c>
      <c r="B101" s="147" t="str">
        <f>MRS!B101</f>
        <v>Calibration of Clamp On Ac/Dc Hi Tester</v>
      </c>
      <c r="C101" s="148"/>
      <c r="D101" s="149">
        <f>MRS!D101</f>
        <v>0</v>
      </c>
      <c r="E101" s="150"/>
      <c r="F101" s="151"/>
      <c r="G101" s="98" t="str">
        <f>MRS!G101</f>
        <v>EA</v>
      </c>
      <c r="H101" s="98">
        <f>MRS!H101</f>
        <v>1</v>
      </c>
      <c r="I101" s="99">
        <f>MRS!I101</f>
        <v>175</v>
      </c>
      <c r="J101" s="99">
        <f>MRS!J101</f>
        <v>175</v>
      </c>
      <c r="K101" s="100"/>
      <c r="O101" s="101"/>
      <c r="P101" s="101"/>
      <c r="R101" s="101"/>
    </row>
    <row r="102" spans="1:18" ht="54" customHeight="1">
      <c r="A102" s="21">
        <f>+MRS!A102</f>
        <v>97</v>
      </c>
      <c r="B102" s="147" t="str">
        <f>MRS!B102</f>
        <v>Air Quality Test for Air Compressor (Breathing Air)</v>
      </c>
      <c r="C102" s="148"/>
      <c r="D102" s="149">
        <f>MRS!D102</f>
        <v>0</v>
      </c>
      <c r="E102" s="150"/>
      <c r="F102" s="151"/>
      <c r="G102" s="98" t="str">
        <f>MRS!G102</f>
        <v>EA</v>
      </c>
      <c r="H102" s="98">
        <f>MRS!H102</f>
        <v>1</v>
      </c>
      <c r="I102" s="99">
        <f>MRS!I102</f>
        <v>650</v>
      </c>
      <c r="J102" s="99">
        <f>MRS!J102</f>
        <v>650</v>
      </c>
      <c r="K102" s="100"/>
      <c r="O102" s="101"/>
      <c r="P102" s="101"/>
      <c r="R102" s="101"/>
    </row>
  </sheetData>
  <mergeCells count="204">
    <mergeCell ref="B102:C102"/>
    <mergeCell ref="D102:F102"/>
    <mergeCell ref="B99:C99"/>
    <mergeCell ref="D99:F99"/>
    <mergeCell ref="B100:C100"/>
    <mergeCell ref="D100:F100"/>
    <mergeCell ref="B101:C101"/>
    <mergeCell ref="D101:F101"/>
    <mergeCell ref="B96:C96"/>
    <mergeCell ref="D96:F96"/>
    <mergeCell ref="B97:C97"/>
    <mergeCell ref="D97:F97"/>
    <mergeCell ref="B98:C98"/>
    <mergeCell ref="D98:F98"/>
    <mergeCell ref="B93:C93"/>
    <mergeCell ref="D93:F93"/>
    <mergeCell ref="B94:C94"/>
    <mergeCell ref="D94:F94"/>
    <mergeCell ref="B95:C95"/>
    <mergeCell ref="D95:F95"/>
    <mergeCell ref="B90:C90"/>
    <mergeCell ref="D90:F90"/>
    <mergeCell ref="B91:C91"/>
    <mergeCell ref="D91:F91"/>
    <mergeCell ref="B92:C92"/>
    <mergeCell ref="D92:F92"/>
    <mergeCell ref="B87:C87"/>
    <mergeCell ref="D87:F87"/>
    <mergeCell ref="B88:C88"/>
    <mergeCell ref="D88:F88"/>
    <mergeCell ref="B89:C89"/>
    <mergeCell ref="D89:F89"/>
    <mergeCell ref="B84:C84"/>
    <mergeCell ref="D84:F84"/>
    <mergeCell ref="B85:C85"/>
    <mergeCell ref="D85:F85"/>
    <mergeCell ref="B86:C86"/>
    <mergeCell ref="D86:F86"/>
    <mergeCell ref="B81:C81"/>
    <mergeCell ref="D81:F81"/>
    <mergeCell ref="B82:C82"/>
    <mergeCell ref="D82:F82"/>
    <mergeCell ref="B83:C83"/>
    <mergeCell ref="D83:F83"/>
    <mergeCell ref="B78:C78"/>
    <mergeCell ref="D78:F78"/>
    <mergeCell ref="B79:C79"/>
    <mergeCell ref="D79:F79"/>
    <mergeCell ref="B80:C80"/>
    <mergeCell ref="D80:F80"/>
    <mergeCell ref="B75:C75"/>
    <mergeCell ref="D75:F75"/>
    <mergeCell ref="B76:C76"/>
    <mergeCell ref="D76:F76"/>
    <mergeCell ref="B77:C77"/>
    <mergeCell ref="D77:F77"/>
    <mergeCell ref="B72:C72"/>
    <mergeCell ref="D72:F72"/>
    <mergeCell ref="B73:C73"/>
    <mergeCell ref="D73:F73"/>
    <mergeCell ref="B74:C74"/>
    <mergeCell ref="D74:F74"/>
    <mergeCell ref="B69:C69"/>
    <mergeCell ref="D69:F69"/>
    <mergeCell ref="B70:C70"/>
    <mergeCell ref="D70:F70"/>
    <mergeCell ref="B71:C71"/>
    <mergeCell ref="D71:F71"/>
    <mergeCell ref="B66:C66"/>
    <mergeCell ref="D66:F66"/>
    <mergeCell ref="B67:C67"/>
    <mergeCell ref="D67:F67"/>
    <mergeCell ref="B68:C68"/>
    <mergeCell ref="D68:F68"/>
    <mergeCell ref="B63:C63"/>
    <mergeCell ref="D63:F63"/>
    <mergeCell ref="B64:C64"/>
    <mergeCell ref="D64:F64"/>
    <mergeCell ref="B65:C65"/>
    <mergeCell ref="D65:F65"/>
    <mergeCell ref="B60:C60"/>
    <mergeCell ref="D60:F60"/>
    <mergeCell ref="B61:C61"/>
    <mergeCell ref="D61:F61"/>
    <mergeCell ref="B62:C62"/>
    <mergeCell ref="D62:F62"/>
    <mergeCell ref="B57:C57"/>
    <mergeCell ref="D57:F57"/>
    <mergeCell ref="B58:C58"/>
    <mergeCell ref="D58:F58"/>
    <mergeCell ref="B59:C59"/>
    <mergeCell ref="D59:F59"/>
    <mergeCell ref="B54:C54"/>
    <mergeCell ref="D54:F54"/>
    <mergeCell ref="B55:C55"/>
    <mergeCell ref="D55:F55"/>
    <mergeCell ref="B56:C56"/>
    <mergeCell ref="D56:F56"/>
    <mergeCell ref="B51:C51"/>
    <mergeCell ref="D51:F51"/>
    <mergeCell ref="B52:C52"/>
    <mergeCell ref="D52:F52"/>
    <mergeCell ref="B53:C53"/>
    <mergeCell ref="D53:F53"/>
    <mergeCell ref="B48:C48"/>
    <mergeCell ref="D48:F48"/>
    <mergeCell ref="B49:C49"/>
    <mergeCell ref="D49:F49"/>
    <mergeCell ref="B50:C50"/>
    <mergeCell ref="D50:F50"/>
    <mergeCell ref="B45:C45"/>
    <mergeCell ref="D45:F45"/>
    <mergeCell ref="B46:C46"/>
    <mergeCell ref="D46:F46"/>
    <mergeCell ref="B47:C47"/>
    <mergeCell ref="D47:F47"/>
    <mergeCell ref="B42:C42"/>
    <mergeCell ref="D42:F42"/>
    <mergeCell ref="B43:C43"/>
    <mergeCell ref="D43:F43"/>
    <mergeCell ref="B44:C44"/>
    <mergeCell ref="D44:F44"/>
    <mergeCell ref="B39:C39"/>
    <mergeCell ref="D39:F39"/>
    <mergeCell ref="B40:C40"/>
    <mergeCell ref="D40:F40"/>
    <mergeCell ref="B41:C41"/>
    <mergeCell ref="D41:F41"/>
    <mergeCell ref="B36:C36"/>
    <mergeCell ref="D36:F36"/>
    <mergeCell ref="B37:C37"/>
    <mergeCell ref="D37:F37"/>
    <mergeCell ref="B38:C38"/>
    <mergeCell ref="D38:F38"/>
    <mergeCell ref="B33:C33"/>
    <mergeCell ref="D33:F33"/>
    <mergeCell ref="B34:C34"/>
    <mergeCell ref="D34:F34"/>
    <mergeCell ref="B35:C35"/>
    <mergeCell ref="D35:F35"/>
    <mergeCell ref="B30:C30"/>
    <mergeCell ref="D30:F30"/>
    <mergeCell ref="B31:C31"/>
    <mergeCell ref="D31:F31"/>
    <mergeCell ref="B32:C32"/>
    <mergeCell ref="D32:F32"/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D26:F26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6:C16"/>
    <mergeCell ref="D16:F16"/>
    <mergeCell ref="B17:C17"/>
    <mergeCell ref="D17:F17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5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45" zoomScale="130" zoomScaleSheetLayoutView="130" workbookViewId="0">
      <selection activeCell="R58" sqref="R5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102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206</v>
      </c>
      <c r="D9" s="39"/>
      <c r="E9" s="39"/>
    </row>
    <row r="10" spans="2:13" s="39" customFormat="1">
      <c r="B10" s="72"/>
      <c r="C10" s="39" t="s">
        <v>31</v>
      </c>
      <c r="D10" s="76" t="s">
        <v>207</v>
      </c>
      <c r="J10" s="39" t="s">
        <v>32</v>
      </c>
      <c r="K10" s="158">
        <f>MRS!L3</f>
        <v>45780</v>
      </c>
      <c r="L10" s="159"/>
      <c r="M10" s="159"/>
    </row>
    <row r="11" spans="2:13" s="39" customFormat="1">
      <c r="B11" s="72"/>
      <c r="C11" s="75" t="s">
        <v>33</v>
      </c>
      <c r="D11" s="76" t="s">
        <v>208</v>
      </c>
      <c r="J11" s="39" t="s">
        <v>34</v>
      </c>
      <c r="K11" s="160" t="str">
        <f>SUBSTITUTE(SUBSTITUTE(+MRS!A3,"  MRS No : ",""),"-MRS","-PO")</f>
        <v>SAC2-DS-PO-0062</v>
      </c>
      <c r="L11" s="160"/>
      <c r="M11" s="160"/>
    </row>
    <row r="12" spans="2:13" s="39" customFormat="1">
      <c r="B12" s="72"/>
      <c r="C12" s="75" t="s">
        <v>35</v>
      </c>
      <c r="D12" s="39" t="s">
        <v>209</v>
      </c>
      <c r="J12" s="39" t="s">
        <v>36</v>
      </c>
    </row>
    <row r="13" spans="2:13" s="39" customFormat="1">
      <c r="B13" s="72"/>
      <c r="C13" s="77"/>
      <c r="D13" s="76" t="s">
        <v>210</v>
      </c>
      <c r="J13" s="39" t="s">
        <v>37</v>
      </c>
    </row>
    <row r="14" spans="2:13" s="39" customFormat="1">
      <c r="B14" s="72"/>
      <c r="C14" s="77" t="s">
        <v>211</v>
      </c>
      <c r="J14" s="39" t="s">
        <v>38</v>
      </c>
      <c r="K14" s="39" t="s">
        <v>213</v>
      </c>
    </row>
    <row r="15" spans="2:13" s="39" customFormat="1">
      <c r="B15" s="72"/>
      <c r="C15" s="77" t="s">
        <v>212</v>
      </c>
      <c r="J15" s="39" t="s">
        <v>39</v>
      </c>
      <c r="K15" s="78">
        <v>45760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61" t="s">
        <v>40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</row>
    <row r="19" spans="2:13" ht="12" customHeight="1"/>
    <row r="20" spans="2:13" s="31" customFormat="1" ht="12" customHeight="1">
      <c r="B20" s="162" t="s">
        <v>41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</row>
    <row r="21" spans="2:13" s="31" customFormat="1" ht="12" customHeight="1">
      <c r="B21" s="162" t="s">
        <v>42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</row>
    <row r="22" spans="2:13" s="31" customFormat="1" ht="12" customHeight="1">
      <c r="B22" s="162" t="s">
        <v>43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</row>
    <row r="23" spans="2:13" ht="6.95" customHeight="1"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</row>
    <row r="24" spans="2:13" ht="6.95" customHeight="1"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205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65" t="s">
        <v>95</v>
      </c>
      <c r="G29" s="165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65"/>
      <c r="G30" s="165"/>
    </row>
    <row r="31" spans="2:13" ht="15" customHeight="1">
      <c r="B31" s="32"/>
      <c r="C31" s="26" t="s">
        <v>50</v>
      </c>
      <c r="D31" s="35"/>
      <c r="E31" s="26" t="s">
        <v>48</v>
      </c>
      <c r="F31" s="165"/>
      <c r="G31" s="165"/>
      <c r="H31" s="33"/>
    </row>
    <row r="32" spans="2:13" ht="5.25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4.5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101</v>
      </c>
      <c r="P49" s="82"/>
    </row>
    <row r="50" spans="1:16" s="83" customFormat="1" ht="15" customHeight="1">
      <c r="B50" s="84" t="s">
        <v>64</v>
      </c>
      <c r="C50" s="81" t="s">
        <v>91</v>
      </c>
    </row>
    <row r="51" spans="1:16" s="83" customFormat="1" ht="15" customHeight="1">
      <c r="B51" s="84" t="s">
        <v>64</v>
      </c>
      <c r="C51" s="81" t="s">
        <v>90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40.5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RAKESH K. PILLAI</v>
      </c>
    </row>
    <row r="60" spans="1:16" ht="18" customHeight="1">
      <c r="B60" s="26" t="s">
        <v>70</v>
      </c>
      <c r="J60" s="26" t="s">
        <v>71</v>
      </c>
      <c r="K60" s="22" t="s">
        <v>214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103</v>
      </c>
      <c r="J62" s="166" t="str">
        <f>C9</f>
        <v>GTEC(Glory Technology Calibration and Inspection)</v>
      </c>
      <c r="K62" s="166"/>
      <c r="L62" s="166"/>
      <c r="M62" s="166"/>
      <c r="N62" s="166"/>
    </row>
    <row r="63" spans="1:16" ht="27.95" customHeight="1">
      <c r="A63" s="70" t="s">
        <v>74</v>
      </c>
      <c r="B63" s="70"/>
      <c r="C63" s="70"/>
      <c r="D63" s="70"/>
      <c r="E63" s="70"/>
      <c r="F63" s="70"/>
      <c r="G63" s="70"/>
      <c r="H63" s="70"/>
      <c r="I63" s="70"/>
      <c r="J63" s="166"/>
      <c r="K63" s="166"/>
      <c r="L63" s="166"/>
      <c r="M63" s="166"/>
      <c r="N63" s="16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F31:G31"/>
    <mergeCell ref="J62:N63"/>
    <mergeCell ref="B22:M22"/>
    <mergeCell ref="B23:M23"/>
    <mergeCell ref="B24:M24"/>
    <mergeCell ref="F29:G29"/>
    <mergeCell ref="F30:G30"/>
    <mergeCell ref="K10:M10"/>
    <mergeCell ref="K11:M11"/>
    <mergeCell ref="B18:M18"/>
    <mergeCell ref="B20:M20"/>
    <mergeCell ref="B21:M21"/>
  </mergeCells>
  <phoneticPr fontId="6" type="noConversion"/>
  <printOptions horizontalCentered="1"/>
  <pageMargins left="0.39370078740157499" right="0.39370078740157499" top="0.39370078740157499" bottom="0.143700787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13"/>
  <sheetViews>
    <sheetView showGridLines="0" view="pageBreakPreview" topLeftCell="A92" zoomScaleSheetLayoutView="100" zoomScalePageLayoutView="55" workbookViewId="0">
      <selection activeCell="G113" sqref="G113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6.285156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SAC2-DS-PO-0062</v>
      </c>
      <c r="C2" s="174" t="s">
        <v>76</v>
      </c>
      <c r="D2" s="174"/>
      <c r="E2" s="174"/>
      <c r="F2" s="174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45780</v>
      </c>
      <c r="C3" s="51"/>
      <c r="D3" s="52"/>
      <c r="E3" s="175" t="s">
        <v>78</v>
      </c>
      <c r="F3" s="175"/>
      <c r="G3" s="175"/>
      <c r="H3" s="175"/>
      <c r="I3" s="53"/>
    </row>
    <row r="4" spans="1:13" s="55" customFormat="1" ht="28.5" customHeight="1" thickTop="1">
      <c r="A4" s="176" t="s">
        <v>79</v>
      </c>
      <c r="B4" s="178" t="s">
        <v>80</v>
      </c>
      <c r="C4" s="179"/>
      <c r="D4" s="182" t="s">
        <v>81</v>
      </c>
      <c r="E4" s="182" t="s">
        <v>82</v>
      </c>
      <c r="F4" s="184" t="str">
        <f>'PO 1st page'!C9</f>
        <v>GTEC(Glory Technology Calibration and Inspection)</v>
      </c>
      <c r="G4" s="185"/>
      <c r="H4" s="186" t="s">
        <v>83</v>
      </c>
      <c r="K4" s="56"/>
      <c r="L4" s="56"/>
      <c r="M4" s="56"/>
    </row>
    <row r="5" spans="1:13" s="55" customFormat="1" ht="21.95" customHeight="1">
      <c r="A5" s="177"/>
      <c r="B5" s="180"/>
      <c r="C5" s="181"/>
      <c r="D5" s="183"/>
      <c r="E5" s="183"/>
      <c r="F5" s="57" t="s">
        <v>84</v>
      </c>
      <c r="G5" s="57" t="s">
        <v>50</v>
      </c>
      <c r="H5" s="187"/>
      <c r="K5" s="56"/>
      <c r="L5" s="56"/>
      <c r="M5" s="56"/>
    </row>
    <row r="6" spans="1:13" s="55" customFormat="1" ht="26.25" customHeight="1">
      <c r="A6" s="85">
        <f t="shared" ref="A6:A69" si="0">ROW(A1)</f>
        <v>1</v>
      </c>
      <c r="B6" s="172" t="str">
        <f>+'MRS LIST'!B6</f>
        <v>Calibration of Pressure Gauge</v>
      </c>
      <c r="C6" s="173"/>
      <c r="D6" s="86" t="str">
        <f>+'MRS LIST'!G6</f>
        <v>EA</v>
      </c>
      <c r="E6" s="87">
        <f>+'MRS LIST'!H6</f>
        <v>1</v>
      </c>
      <c r="F6" s="88">
        <f>+'MRS LIST'!I6</f>
        <v>110</v>
      </c>
      <c r="G6" s="89">
        <f>+'MRS LIST'!J6</f>
        <v>110</v>
      </c>
      <c r="H6" s="90"/>
      <c r="K6" s="91"/>
      <c r="L6" s="92"/>
      <c r="M6" s="56"/>
    </row>
    <row r="7" spans="1:13" s="55" customFormat="1" ht="26.25" customHeight="1">
      <c r="A7" s="85">
        <f t="shared" si="0"/>
        <v>2</v>
      </c>
      <c r="B7" s="172" t="str">
        <f>+'MRS LIST'!B7</f>
        <v>Calibration of Pressure Relief Valve</v>
      </c>
      <c r="C7" s="173"/>
      <c r="D7" s="86" t="str">
        <f>+'MRS LIST'!G7</f>
        <v>EA</v>
      </c>
      <c r="E7" s="87">
        <f>+'MRS LIST'!H7</f>
        <v>1</v>
      </c>
      <c r="F7" s="88">
        <f>+'MRS LIST'!I7</f>
        <v>110</v>
      </c>
      <c r="G7" s="89">
        <f>+'MRS LIST'!J7</f>
        <v>110</v>
      </c>
      <c r="H7" s="90"/>
      <c r="K7" s="91"/>
      <c r="L7" s="92"/>
      <c r="M7" s="56"/>
    </row>
    <row r="8" spans="1:13" s="55" customFormat="1" ht="26.25" customHeight="1">
      <c r="A8" s="85">
        <f t="shared" si="0"/>
        <v>3</v>
      </c>
      <c r="B8" s="172" t="str">
        <f>+'MRS LIST'!B8</f>
        <v>Calibration of Electric Welding Machine</v>
      </c>
      <c r="C8" s="173"/>
      <c r="D8" s="86" t="str">
        <f>+'MRS LIST'!G8</f>
        <v>EA</v>
      </c>
      <c r="E8" s="87">
        <f>+'MRS LIST'!H8</f>
        <v>1</v>
      </c>
      <c r="F8" s="88">
        <f>+'MRS LIST'!I8</f>
        <v>190</v>
      </c>
      <c r="G8" s="89">
        <f>+'MRS LIST'!J8</f>
        <v>190</v>
      </c>
      <c r="H8" s="90"/>
      <c r="K8" s="56"/>
      <c r="L8" s="56"/>
      <c r="M8" s="56"/>
    </row>
    <row r="9" spans="1:13" s="55" customFormat="1" ht="26.25" customHeight="1">
      <c r="A9" s="85">
        <f t="shared" si="0"/>
        <v>4</v>
      </c>
      <c r="B9" s="172" t="str">
        <f>+'MRS LIST'!B9</f>
        <v>Calibration of Diesel Welding Machine</v>
      </c>
      <c r="C9" s="173"/>
      <c r="D9" s="86" t="str">
        <f>+'MRS LIST'!G9</f>
        <v>EA</v>
      </c>
      <c r="E9" s="87">
        <f>+'MRS LIST'!H9</f>
        <v>1</v>
      </c>
      <c r="F9" s="88">
        <f>+'MRS LIST'!I9</f>
        <v>190</v>
      </c>
      <c r="G9" s="89">
        <f>+'MRS LIST'!J9</f>
        <v>190</v>
      </c>
      <c r="H9" s="93"/>
    </row>
    <row r="10" spans="1:13" s="55" customFormat="1" ht="26.25" customHeight="1">
      <c r="A10" s="85">
        <f t="shared" si="0"/>
        <v>5</v>
      </c>
      <c r="B10" s="172" t="str">
        <f>+'MRS LIST'!B10</f>
        <v>Calibration of Auto Welding Machine</v>
      </c>
      <c r="C10" s="173"/>
      <c r="D10" s="86" t="str">
        <f>+'MRS LIST'!G10</f>
        <v>EA</v>
      </c>
      <c r="E10" s="87">
        <f>+'MRS LIST'!H10</f>
        <v>1</v>
      </c>
      <c r="F10" s="88">
        <f>+'MRS LIST'!I10</f>
        <v>190</v>
      </c>
      <c r="G10" s="89">
        <f>+'MRS LIST'!J10</f>
        <v>190</v>
      </c>
      <c r="H10" s="93"/>
    </row>
    <row r="11" spans="1:13" s="55" customFormat="1" ht="26.25" customHeight="1">
      <c r="A11" s="85">
        <f t="shared" si="0"/>
        <v>6</v>
      </c>
      <c r="B11" s="172" t="str">
        <f>+'MRS LIST'!B11</f>
        <v>Calibration of Baking/Holding/Bench/Mother oven</v>
      </c>
      <c r="C11" s="173"/>
      <c r="D11" s="86" t="str">
        <f>+'MRS LIST'!G11</f>
        <v>EA</v>
      </c>
      <c r="E11" s="87">
        <f>+'MRS LIST'!H11</f>
        <v>1</v>
      </c>
      <c r="F11" s="88">
        <f>+'MRS LIST'!I11</f>
        <v>190</v>
      </c>
      <c r="G11" s="89">
        <f>+'MRS LIST'!J11</f>
        <v>190</v>
      </c>
      <c r="H11" s="93"/>
    </row>
    <row r="12" spans="1:13" s="55" customFormat="1" ht="26.25" customHeight="1">
      <c r="A12" s="85">
        <f t="shared" si="0"/>
        <v>7</v>
      </c>
      <c r="B12" s="172" t="str">
        <f>+'MRS LIST'!B12</f>
        <v>Calibration of Quiver (Portable Oven)</v>
      </c>
      <c r="C12" s="173"/>
      <c r="D12" s="86" t="str">
        <f>+'MRS LIST'!G12</f>
        <v>EA</v>
      </c>
      <c r="E12" s="87">
        <f>+'MRS LIST'!H12</f>
        <v>1</v>
      </c>
      <c r="F12" s="88">
        <f>+'MRS LIST'!I12</f>
        <v>145</v>
      </c>
      <c r="G12" s="89">
        <f>+'MRS LIST'!J12</f>
        <v>145</v>
      </c>
      <c r="H12" s="93"/>
    </row>
    <row r="13" spans="1:13" s="55" customFormat="1" ht="26.25" customHeight="1">
      <c r="A13" s="85">
        <f t="shared" si="0"/>
        <v>8</v>
      </c>
      <c r="B13" s="172" t="str">
        <f>+'MRS LIST'!B13</f>
        <v>Calibration of O2 Analyzer</v>
      </c>
      <c r="C13" s="173"/>
      <c r="D13" s="86" t="str">
        <f>+'MRS LIST'!G13</f>
        <v>EA</v>
      </c>
      <c r="E13" s="87">
        <f>+'MRS LIST'!H13</f>
        <v>1</v>
      </c>
      <c r="F13" s="88">
        <f>+'MRS LIST'!I13</f>
        <v>190</v>
      </c>
      <c r="G13" s="89">
        <f>+'MRS LIST'!J13</f>
        <v>190</v>
      </c>
      <c r="H13" s="93"/>
    </row>
    <row r="14" spans="1:13" s="55" customFormat="1" ht="26.25" customHeight="1">
      <c r="A14" s="85">
        <f t="shared" si="0"/>
        <v>9</v>
      </c>
      <c r="B14" s="172" t="str">
        <f>+'MRS LIST'!B14</f>
        <v>Calibration of Bridge Cam Gauge</v>
      </c>
      <c r="C14" s="173"/>
      <c r="D14" s="86" t="str">
        <f>+'MRS LIST'!G14</f>
        <v>EA</v>
      </c>
      <c r="E14" s="87">
        <f>+'MRS LIST'!H14</f>
        <v>1</v>
      </c>
      <c r="F14" s="88">
        <f>+'MRS LIST'!I14</f>
        <v>95</v>
      </c>
      <c r="G14" s="89">
        <f>+'MRS LIST'!J14</f>
        <v>95</v>
      </c>
      <c r="H14" s="93"/>
    </row>
    <row r="15" spans="1:13" s="55" customFormat="1" ht="26.25" customHeight="1">
      <c r="A15" s="85">
        <f t="shared" si="0"/>
        <v>10</v>
      </c>
      <c r="B15" s="172" t="str">
        <f>+'MRS LIST'!B15</f>
        <v>Calibration of DFT Gauge</v>
      </c>
      <c r="C15" s="173"/>
      <c r="D15" s="86" t="str">
        <f>+'MRS LIST'!G15</f>
        <v>EA</v>
      </c>
      <c r="E15" s="87">
        <f>+'MRS LIST'!H15</f>
        <v>1</v>
      </c>
      <c r="F15" s="88">
        <f>+'MRS LIST'!I15</f>
        <v>145</v>
      </c>
      <c r="G15" s="89">
        <f>+'MRS LIST'!J15</f>
        <v>145</v>
      </c>
      <c r="H15" s="93"/>
    </row>
    <row r="16" spans="1:13" s="55" customFormat="1" ht="26.25" customHeight="1">
      <c r="A16" s="85">
        <f t="shared" si="0"/>
        <v>11</v>
      </c>
      <c r="B16" s="172" t="str">
        <f>+'MRS LIST'!B16</f>
        <v>Calibration of Profile Gauge</v>
      </c>
      <c r="C16" s="173"/>
      <c r="D16" s="86" t="str">
        <f>+'MRS LIST'!G16</f>
        <v>EA</v>
      </c>
      <c r="E16" s="87">
        <f>+'MRS LIST'!H16</f>
        <v>1</v>
      </c>
      <c r="F16" s="88">
        <f>+'MRS LIST'!I16</f>
        <v>100</v>
      </c>
      <c r="G16" s="89">
        <f>+'MRS LIST'!J16</f>
        <v>100</v>
      </c>
      <c r="H16" s="93"/>
    </row>
    <row r="17" spans="1:8" s="55" customFormat="1" ht="26.25" customHeight="1">
      <c r="A17" s="85">
        <f t="shared" si="0"/>
        <v>12</v>
      </c>
      <c r="B17" s="172" t="str">
        <f>+'MRS LIST'!B17</f>
        <v>Calibration of Surface Thermometer</v>
      </c>
      <c r="C17" s="173"/>
      <c r="D17" s="86" t="str">
        <f>+'MRS LIST'!G17</f>
        <v>EA</v>
      </c>
      <c r="E17" s="87">
        <f>+'MRS LIST'!H17</f>
        <v>1</v>
      </c>
      <c r="F17" s="88">
        <f>+'MRS LIST'!I17</f>
        <v>100</v>
      </c>
      <c r="G17" s="89">
        <f>+'MRS LIST'!J17</f>
        <v>100</v>
      </c>
      <c r="H17" s="93"/>
    </row>
    <row r="18" spans="1:8" s="55" customFormat="1" ht="26.25" customHeight="1">
      <c r="A18" s="85">
        <f t="shared" si="0"/>
        <v>13</v>
      </c>
      <c r="B18" s="172" t="str">
        <f>+'MRS LIST'!B18</f>
        <v>Calibration of Hygrometer</v>
      </c>
      <c r="C18" s="173"/>
      <c r="D18" s="86" t="str">
        <f>+'MRS LIST'!G18</f>
        <v>EA</v>
      </c>
      <c r="E18" s="87">
        <f>+'MRS LIST'!H18</f>
        <v>1</v>
      </c>
      <c r="F18" s="88">
        <f>+'MRS LIST'!I18</f>
        <v>145</v>
      </c>
      <c r="G18" s="89">
        <f>+'MRS LIST'!J18</f>
        <v>145</v>
      </c>
      <c r="H18" s="93"/>
    </row>
    <row r="19" spans="1:8" s="55" customFormat="1" ht="26.25" customHeight="1">
      <c r="A19" s="85">
        <f t="shared" si="0"/>
        <v>14</v>
      </c>
      <c r="B19" s="172" t="str">
        <f>+'MRS LIST'!B19</f>
        <v>Calibration of Micrometer (Inside Micrometer)</v>
      </c>
      <c r="C19" s="173"/>
      <c r="D19" s="86" t="str">
        <f>+'MRS LIST'!G19</f>
        <v>EA</v>
      </c>
      <c r="E19" s="87">
        <f>+'MRS LIST'!H19</f>
        <v>1</v>
      </c>
      <c r="F19" s="88">
        <f>+'MRS LIST'!I19</f>
        <v>100</v>
      </c>
      <c r="G19" s="89">
        <f>+'MRS LIST'!J19</f>
        <v>100</v>
      </c>
      <c r="H19" s="93"/>
    </row>
    <row r="20" spans="1:8" s="55" customFormat="1" ht="26.25" customHeight="1">
      <c r="A20" s="85">
        <f t="shared" si="0"/>
        <v>15</v>
      </c>
      <c r="B20" s="172" t="str">
        <f>+'MRS LIST'!B20</f>
        <v>Calibration of Micrometer (Outside Micrometer)</v>
      </c>
      <c r="C20" s="173"/>
      <c r="D20" s="86" t="str">
        <f>+'MRS LIST'!G20</f>
        <v>EA</v>
      </c>
      <c r="E20" s="87">
        <f>+'MRS LIST'!H20</f>
        <v>1</v>
      </c>
      <c r="F20" s="88">
        <f>+'MRS LIST'!I20</f>
        <v>100</v>
      </c>
      <c r="G20" s="89">
        <f>+'MRS LIST'!J20</f>
        <v>100</v>
      </c>
      <c r="H20" s="93"/>
    </row>
    <row r="21" spans="1:8" s="55" customFormat="1" ht="26.25" customHeight="1">
      <c r="A21" s="85">
        <f t="shared" si="0"/>
        <v>16</v>
      </c>
      <c r="B21" s="172" t="str">
        <f>+'MRS LIST'!B21</f>
        <v>Calibration of Vacuum Gauge</v>
      </c>
      <c r="C21" s="173"/>
      <c r="D21" s="86" t="str">
        <f>+'MRS LIST'!G21</f>
        <v>EA</v>
      </c>
      <c r="E21" s="87">
        <f>+'MRS LIST'!H21</f>
        <v>1</v>
      </c>
      <c r="F21" s="88">
        <f>+'MRS LIST'!I21</f>
        <v>100</v>
      </c>
      <c r="G21" s="89">
        <f>+'MRS LIST'!J21</f>
        <v>100</v>
      </c>
      <c r="H21" s="93"/>
    </row>
    <row r="22" spans="1:8" s="55" customFormat="1" ht="26.25" customHeight="1">
      <c r="A22" s="85">
        <f t="shared" si="0"/>
        <v>17</v>
      </c>
      <c r="B22" s="172" t="str">
        <f>+'MRS LIST'!B22</f>
        <v>Calibration of Vernier Caliper</v>
      </c>
      <c r="C22" s="173"/>
      <c r="D22" s="86" t="str">
        <f>+'MRS LIST'!G22</f>
        <v>EA</v>
      </c>
      <c r="E22" s="87">
        <f>+'MRS LIST'!H22</f>
        <v>1</v>
      </c>
      <c r="F22" s="88">
        <f>+'MRS LIST'!I22</f>
        <v>100</v>
      </c>
      <c r="G22" s="89">
        <f>+'MRS LIST'!J22</f>
        <v>100</v>
      </c>
      <c r="H22" s="93"/>
    </row>
    <row r="23" spans="1:8" s="55" customFormat="1" ht="26.25" customHeight="1">
      <c r="A23" s="85">
        <f t="shared" si="0"/>
        <v>18</v>
      </c>
      <c r="B23" s="172" t="str">
        <f>+'MRS LIST'!B23</f>
        <v>Calibration of Total Station</v>
      </c>
      <c r="C23" s="173"/>
      <c r="D23" s="86" t="str">
        <f>+'MRS LIST'!G23</f>
        <v>EA</v>
      </c>
      <c r="E23" s="87">
        <f>+'MRS LIST'!H23</f>
        <v>1</v>
      </c>
      <c r="F23" s="88">
        <f>+'MRS LIST'!I23</f>
        <v>300</v>
      </c>
      <c r="G23" s="89">
        <f>+'MRS LIST'!J23</f>
        <v>300</v>
      </c>
      <c r="H23" s="93"/>
    </row>
    <row r="24" spans="1:8" s="55" customFormat="1" ht="26.25" customHeight="1">
      <c r="A24" s="85">
        <f t="shared" si="0"/>
        <v>19</v>
      </c>
      <c r="B24" s="172" t="str">
        <f>+'MRS LIST'!B24</f>
        <v>Calibration of Automatic Level</v>
      </c>
      <c r="C24" s="173"/>
      <c r="D24" s="86" t="str">
        <f>+'MRS LIST'!G24</f>
        <v>EA</v>
      </c>
      <c r="E24" s="87">
        <f>+'MRS LIST'!H24</f>
        <v>1</v>
      </c>
      <c r="F24" s="88">
        <f>+'MRS LIST'!I24</f>
        <v>250</v>
      </c>
      <c r="G24" s="89">
        <f>+'MRS LIST'!J24</f>
        <v>250</v>
      </c>
      <c r="H24" s="93"/>
    </row>
    <row r="25" spans="1:8" s="55" customFormat="1" ht="26.25" customHeight="1">
      <c r="A25" s="85">
        <f t="shared" si="0"/>
        <v>20</v>
      </c>
      <c r="B25" s="172" t="str">
        <f>+'MRS LIST'!B25</f>
        <v>Calibration of Holiday Detector</v>
      </c>
      <c r="C25" s="173"/>
      <c r="D25" s="86" t="str">
        <f>+'MRS LIST'!G25</f>
        <v>EA</v>
      </c>
      <c r="E25" s="87">
        <f>+'MRS LIST'!H25</f>
        <v>1</v>
      </c>
      <c r="F25" s="88">
        <f>+'MRS LIST'!I25</f>
        <v>200</v>
      </c>
      <c r="G25" s="89">
        <f>+'MRS LIST'!J25</f>
        <v>200</v>
      </c>
      <c r="H25" s="93"/>
    </row>
    <row r="26" spans="1:8" s="55" customFormat="1" ht="26.25" customHeight="1">
      <c r="A26" s="85">
        <f t="shared" si="0"/>
        <v>21</v>
      </c>
      <c r="B26" s="172" t="str">
        <f>+'MRS LIST'!B26</f>
        <v>Calibration of Feeler Gauge</v>
      </c>
      <c r="C26" s="173"/>
      <c r="D26" s="86" t="str">
        <f>+'MRS LIST'!G26</f>
        <v>EA</v>
      </c>
      <c r="E26" s="87">
        <f>+'MRS LIST'!H26</f>
        <v>1</v>
      </c>
      <c r="F26" s="88">
        <f>+'MRS LIST'!I26</f>
        <v>95</v>
      </c>
      <c r="G26" s="89">
        <f>+'MRS LIST'!J26</f>
        <v>95</v>
      </c>
      <c r="H26" s="93"/>
    </row>
    <row r="27" spans="1:8" s="55" customFormat="1" ht="26.25" customHeight="1">
      <c r="A27" s="85">
        <f t="shared" si="0"/>
        <v>22</v>
      </c>
      <c r="B27" s="172" t="str">
        <f>+'MRS LIST'!B27</f>
        <v>Calibration of Barcol Impresser</v>
      </c>
      <c r="C27" s="173"/>
      <c r="D27" s="86" t="str">
        <f>+'MRS LIST'!G27</f>
        <v>EA</v>
      </c>
      <c r="E27" s="87">
        <f>+'MRS LIST'!H27</f>
        <v>1</v>
      </c>
      <c r="F27" s="88">
        <f>+'MRS LIST'!I27</f>
        <v>200</v>
      </c>
      <c r="G27" s="89">
        <f>+'MRS LIST'!J27</f>
        <v>200</v>
      </c>
      <c r="H27" s="93"/>
    </row>
    <row r="28" spans="1:8" s="55" customFormat="1" ht="26.25" customHeight="1">
      <c r="A28" s="85">
        <f t="shared" si="0"/>
        <v>23</v>
      </c>
      <c r="B28" s="172" t="str">
        <f>+'MRS LIST'!B28</f>
        <v>Calibration of Digital Thermometer</v>
      </c>
      <c r="C28" s="173"/>
      <c r="D28" s="86" t="str">
        <f>+'MRS LIST'!G28</f>
        <v>EA</v>
      </c>
      <c r="E28" s="87">
        <f>+'MRS LIST'!H28</f>
        <v>1</v>
      </c>
      <c r="F28" s="88">
        <f>+'MRS LIST'!I28</f>
        <v>145</v>
      </c>
      <c r="G28" s="89">
        <f>+'MRS LIST'!J28</f>
        <v>145</v>
      </c>
      <c r="H28" s="93"/>
    </row>
    <row r="29" spans="1:8" s="55" customFormat="1" ht="26.25" customHeight="1">
      <c r="A29" s="85">
        <f t="shared" si="0"/>
        <v>24</v>
      </c>
      <c r="B29" s="172" t="str">
        <f>+'MRS LIST'!B29</f>
        <v>Calibration of Multi Gas Detector</v>
      </c>
      <c r="C29" s="173"/>
      <c r="D29" s="86" t="str">
        <f>+'MRS LIST'!G29</f>
        <v>EA</v>
      </c>
      <c r="E29" s="87">
        <f>+'MRS LIST'!H29</f>
        <v>1</v>
      </c>
      <c r="F29" s="88">
        <f>+'MRS LIST'!I29</f>
        <v>165</v>
      </c>
      <c r="G29" s="89">
        <f>+'MRS LIST'!J29</f>
        <v>165</v>
      </c>
      <c r="H29" s="93"/>
    </row>
    <row r="30" spans="1:8" s="55" customFormat="1" ht="26.25" customHeight="1">
      <c r="A30" s="85">
        <f t="shared" si="0"/>
        <v>25</v>
      </c>
      <c r="B30" s="172" t="str">
        <f>+'MRS LIST'!B30</f>
        <v>Calibration of Single Gas Detector</v>
      </c>
      <c r="C30" s="173"/>
      <c r="D30" s="86" t="str">
        <f>+'MRS LIST'!G30</f>
        <v>EA</v>
      </c>
      <c r="E30" s="87">
        <f>+'MRS LIST'!H30</f>
        <v>1</v>
      </c>
      <c r="F30" s="88">
        <f>+'MRS LIST'!I30</f>
        <v>95</v>
      </c>
      <c r="G30" s="89">
        <f>+'MRS LIST'!J30</f>
        <v>95</v>
      </c>
      <c r="H30" s="93"/>
    </row>
    <row r="31" spans="1:8" s="55" customFormat="1" ht="26.25" customHeight="1">
      <c r="A31" s="85">
        <f t="shared" si="0"/>
        <v>26</v>
      </c>
      <c r="B31" s="172" t="str">
        <f>+'MRS LIST'!B31</f>
        <v>Calibration of Multimeter</v>
      </c>
      <c r="C31" s="173"/>
      <c r="D31" s="86" t="str">
        <f>+'MRS LIST'!G31</f>
        <v>EA</v>
      </c>
      <c r="E31" s="87">
        <f>+'MRS LIST'!H31</f>
        <v>1</v>
      </c>
      <c r="F31" s="88">
        <f>+'MRS LIST'!I31</f>
        <v>175</v>
      </c>
      <c r="G31" s="89">
        <f>+'MRS LIST'!J31</f>
        <v>175</v>
      </c>
      <c r="H31" s="93"/>
    </row>
    <row r="32" spans="1:8" s="55" customFormat="1" ht="26.25" customHeight="1">
      <c r="A32" s="85">
        <f t="shared" si="0"/>
        <v>27</v>
      </c>
      <c r="B32" s="172" t="str">
        <f>+'MRS LIST'!B32</f>
        <v>Calibration of Insulation Tester 1kv</v>
      </c>
      <c r="C32" s="173"/>
      <c r="D32" s="86" t="str">
        <f>+'MRS LIST'!G32</f>
        <v>EA</v>
      </c>
      <c r="E32" s="87">
        <f>+'MRS LIST'!H32</f>
        <v>1</v>
      </c>
      <c r="F32" s="88">
        <f>+'MRS LIST'!I32</f>
        <v>200</v>
      </c>
      <c r="G32" s="89">
        <f>+'MRS LIST'!J32</f>
        <v>200</v>
      </c>
      <c r="H32" s="93"/>
    </row>
    <row r="33" spans="1:8" s="55" customFormat="1" ht="26.25" customHeight="1">
      <c r="A33" s="85">
        <f t="shared" si="0"/>
        <v>28</v>
      </c>
      <c r="B33" s="172" t="str">
        <f>+'MRS LIST'!B33</f>
        <v>Calibration of Insulation Tester 5kv</v>
      </c>
      <c r="C33" s="173"/>
      <c r="D33" s="86" t="str">
        <f>+'MRS LIST'!G33</f>
        <v>EA</v>
      </c>
      <c r="E33" s="87">
        <f>+'MRS LIST'!H33</f>
        <v>1</v>
      </c>
      <c r="F33" s="88">
        <f>+'MRS LIST'!I33</f>
        <v>200</v>
      </c>
      <c r="G33" s="89">
        <f>+'MRS LIST'!J33</f>
        <v>200</v>
      </c>
      <c r="H33" s="93"/>
    </row>
    <row r="34" spans="1:8" s="55" customFormat="1" ht="26.25" customHeight="1">
      <c r="A34" s="85">
        <f t="shared" si="0"/>
        <v>29</v>
      </c>
      <c r="B34" s="172" t="str">
        <f>+'MRS LIST'!B34</f>
        <v>Calibration of Digital Earth Tester</v>
      </c>
      <c r="C34" s="173"/>
      <c r="D34" s="86" t="str">
        <f>+'MRS LIST'!G34</f>
        <v>EA</v>
      </c>
      <c r="E34" s="87">
        <f>+'MRS LIST'!H34</f>
        <v>1</v>
      </c>
      <c r="F34" s="88">
        <f>+'MRS LIST'!I34</f>
        <v>195</v>
      </c>
      <c r="G34" s="89">
        <f>+'MRS LIST'!J34</f>
        <v>195</v>
      </c>
      <c r="H34" s="93"/>
    </row>
    <row r="35" spans="1:8" s="55" customFormat="1" ht="26.25" customHeight="1">
      <c r="A35" s="85">
        <f t="shared" si="0"/>
        <v>30</v>
      </c>
      <c r="B35" s="172" t="str">
        <f>+'MRS LIST'!B35</f>
        <v>Calibration of Sound Level Meter</v>
      </c>
      <c r="C35" s="173"/>
      <c r="D35" s="86" t="str">
        <f>+'MRS LIST'!G35</f>
        <v>EA</v>
      </c>
      <c r="E35" s="87">
        <f>+'MRS LIST'!H35</f>
        <v>1</v>
      </c>
      <c r="F35" s="88">
        <f>+'MRS LIST'!I35</f>
        <v>150</v>
      </c>
      <c r="G35" s="89">
        <f>+'MRS LIST'!J35</f>
        <v>150</v>
      </c>
      <c r="H35" s="93"/>
    </row>
    <row r="36" spans="1:8" s="55" customFormat="1" ht="26.25" customHeight="1">
      <c r="A36" s="85">
        <f t="shared" si="0"/>
        <v>31</v>
      </c>
      <c r="B36" s="172" t="str">
        <f>+'MRS LIST'!B36</f>
        <v>Calibration of Humidity Meter</v>
      </c>
      <c r="C36" s="173"/>
      <c r="D36" s="86" t="str">
        <f>+'MRS LIST'!G36</f>
        <v>EA</v>
      </c>
      <c r="E36" s="87">
        <f>+'MRS LIST'!H36</f>
        <v>1</v>
      </c>
      <c r="F36" s="88">
        <f>+'MRS LIST'!I36</f>
        <v>145</v>
      </c>
      <c r="G36" s="89">
        <f>+'MRS LIST'!J36</f>
        <v>145</v>
      </c>
      <c r="H36" s="93"/>
    </row>
    <row r="37" spans="1:8" s="55" customFormat="1" ht="26.25" customHeight="1">
      <c r="A37" s="85">
        <f t="shared" si="0"/>
        <v>32</v>
      </c>
      <c r="B37" s="172" t="str">
        <f>+'MRS LIST'!B37</f>
        <v>Calibration of Infrared Thermometer</v>
      </c>
      <c r="C37" s="173"/>
      <c r="D37" s="86" t="str">
        <f>+'MRS LIST'!G37</f>
        <v>EA</v>
      </c>
      <c r="E37" s="87">
        <f>+'MRS LIST'!H37</f>
        <v>1</v>
      </c>
      <c r="F37" s="88">
        <f>+'MRS LIST'!I37</f>
        <v>145</v>
      </c>
      <c r="G37" s="89">
        <f>+'MRS LIST'!J37</f>
        <v>145</v>
      </c>
      <c r="H37" s="93"/>
    </row>
    <row r="38" spans="1:8" s="55" customFormat="1" ht="26.25" customHeight="1">
      <c r="A38" s="85">
        <f t="shared" si="0"/>
        <v>33</v>
      </c>
      <c r="B38" s="172" t="str">
        <f>+'MRS LIST'!B38</f>
        <v>Calibration of Hi-Low Gauge</v>
      </c>
      <c r="C38" s="173"/>
      <c r="D38" s="86" t="str">
        <f>+'MRS LIST'!G38</f>
        <v>EA</v>
      </c>
      <c r="E38" s="87">
        <f>+'MRS LIST'!H38</f>
        <v>1</v>
      </c>
      <c r="F38" s="88">
        <f>+'MRS LIST'!I38</f>
        <v>95</v>
      </c>
      <c r="G38" s="89">
        <f>+'MRS LIST'!J38</f>
        <v>95</v>
      </c>
      <c r="H38" s="93"/>
    </row>
    <row r="39" spans="1:8" s="55" customFormat="1" ht="26.25" customHeight="1">
      <c r="A39" s="85">
        <f t="shared" si="0"/>
        <v>34</v>
      </c>
      <c r="B39" s="172" t="str">
        <f>+'MRS LIST'!B39</f>
        <v>Calibration of Gas Regulator</v>
      </c>
      <c r="C39" s="173"/>
      <c r="D39" s="86" t="str">
        <f>+'MRS LIST'!G39</f>
        <v>EA</v>
      </c>
      <c r="E39" s="87">
        <f>+'MRS LIST'!H39</f>
        <v>1</v>
      </c>
      <c r="F39" s="88">
        <f>+'MRS LIST'!I39</f>
        <v>120</v>
      </c>
      <c r="G39" s="89">
        <f>+'MRS LIST'!J39</f>
        <v>120</v>
      </c>
      <c r="H39" s="93"/>
    </row>
    <row r="40" spans="1:8" s="55" customFormat="1" ht="26.25" customHeight="1">
      <c r="A40" s="85">
        <f t="shared" si="0"/>
        <v>35</v>
      </c>
      <c r="B40" s="172" t="str">
        <f>+'MRS LIST'!B40</f>
        <v>Calibration of Frame Level</v>
      </c>
      <c r="C40" s="173"/>
      <c r="D40" s="86" t="str">
        <f>+'MRS LIST'!G40</f>
        <v>EA</v>
      </c>
      <c r="E40" s="87">
        <f>+'MRS LIST'!H40</f>
        <v>1</v>
      </c>
      <c r="F40" s="88">
        <f>+'MRS LIST'!I40</f>
        <v>95</v>
      </c>
      <c r="G40" s="89">
        <f>+'MRS LIST'!J40</f>
        <v>95</v>
      </c>
      <c r="H40" s="93"/>
    </row>
    <row r="41" spans="1:8" s="55" customFormat="1" ht="26.25" customHeight="1">
      <c r="A41" s="85">
        <f t="shared" si="0"/>
        <v>36</v>
      </c>
      <c r="B41" s="172" t="str">
        <f>+'MRS LIST'!B41</f>
        <v>Calibration of Square Ruler</v>
      </c>
      <c r="C41" s="173"/>
      <c r="D41" s="86" t="str">
        <f>+'MRS LIST'!G41</f>
        <v>EA</v>
      </c>
      <c r="E41" s="87">
        <f>+'MRS LIST'!H41</f>
        <v>1</v>
      </c>
      <c r="F41" s="88">
        <f>+'MRS LIST'!I41</f>
        <v>95</v>
      </c>
      <c r="G41" s="89">
        <f>+'MRS LIST'!J41</f>
        <v>95</v>
      </c>
      <c r="H41" s="93"/>
    </row>
    <row r="42" spans="1:8" s="55" customFormat="1" ht="26.25" customHeight="1">
      <c r="A42" s="85">
        <f t="shared" si="0"/>
        <v>37</v>
      </c>
      <c r="B42" s="172" t="str">
        <f>+'MRS LIST'!B42</f>
        <v>Calibration of Process Calibrator</v>
      </c>
      <c r="C42" s="173"/>
      <c r="D42" s="86" t="str">
        <f>+'MRS LIST'!G42</f>
        <v>EA</v>
      </c>
      <c r="E42" s="87">
        <f>+'MRS LIST'!H42</f>
        <v>1</v>
      </c>
      <c r="F42" s="88">
        <f>+'MRS LIST'!I42</f>
        <v>250</v>
      </c>
      <c r="G42" s="89">
        <f>+'MRS LIST'!J42</f>
        <v>250</v>
      </c>
      <c r="H42" s="93"/>
    </row>
    <row r="43" spans="1:8" s="55" customFormat="1" ht="26.25" customHeight="1">
      <c r="A43" s="85">
        <f t="shared" si="0"/>
        <v>38</v>
      </c>
      <c r="B43" s="172" t="str">
        <f>+'MRS LIST'!B43</f>
        <v>Calibration of Pneumatic Pressure Pump</v>
      </c>
      <c r="C43" s="173"/>
      <c r="D43" s="86" t="str">
        <f>+'MRS LIST'!G43</f>
        <v>EA</v>
      </c>
      <c r="E43" s="87">
        <f>+'MRS LIST'!H43</f>
        <v>1</v>
      </c>
      <c r="F43" s="88">
        <f>+'MRS LIST'!I43</f>
        <v>245</v>
      </c>
      <c r="G43" s="89">
        <f>+'MRS LIST'!J43</f>
        <v>245</v>
      </c>
      <c r="H43" s="93"/>
    </row>
    <row r="44" spans="1:8" s="55" customFormat="1" ht="26.25" customHeight="1">
      <c r="A44" s="85">
        <f t="shared" si="0"/>
        <v>39</v>
      </c>
      <c r="B44" s="172" t="str">
        <f>+'MRS LIST'!B44</f>
        <v>Calibration of Process Meter</v>
      </c>
      <c r="C44" s="173"/>
      <c r="D44" s="86" t="str">
        <f>+'MRS LIST'!G44</f>
        <v>EA</v>
      </c>
      <c r="E44" s="87">
        <f>+'MRS LIST'!H44</f>
        <v>1</v>
      </c>
      <c r="F44" s="88">
        <f>+'MRS LIST'!I44</f>
        <v>250</v>
      </c>
      <c r="G44" s="89">
        <f>+'MRS LIST'!J44</f>
        <v>250</v>
      </c>
      <c r="H44" s="93"/>
    </row>
    <row r="45" spans="1:8" s="55" customFormat="1" ht="26.25" customHeight="1">
      <c r="A45" s="85">
        <f t="shared" si="0"/>
        <v>40</v>
      </c>
      <c r="B45" s="172" t="str">
        <f>+'MRS LIST'!B45</f>
        <v>Calibration of Hydraulic Pressure Pump</v>
      </c>
      <c r="C45" s="173"/>
      <c r="D45" s="86" t="str">
        <f>+'MRS LIST'!G45</f>
        <v>EA</v>
      </c>
      <c r="E45" s="87">
        <f>+'MRS LIST'!H45</f>
        <v>1</v>
      </c>
      <c r="F45" s="88">
        <f>+'MRS LIST'!I45</f>
        <v>245</v>
      </c>
      <c r="G45" s="89">
        <f>+'MRS LIST'!J45</f>
        <v>245</v>
      </c>
      <c r="H45" s="93"/>
    </row>
    <row r="46" spans="1:8" s="55" customFormat="1" ht="26.25" customHeight="1">
      <c r="A46" s="85">
        <f t="shared" si="0"/>
        <v>41</v>
      </c>
      <c r="B46" s="172" t="str">
        <f>+'MRS LIST'!B46</f>
        <v>Calibration of Vacuum Pressure Module</v>
      </c>
      <c r="C46" s="173"/>
      <c r="D46" s="86" t="str">
        <f>+'MRS LIST'!G46</f>
        <v>EA</v>
      </c>
      <c r="E46" s="87">
        <f>+'MRS LIST'!H46</f>
        <v>1</v>
      </c>
      <c r="F46" s="88">
        <f>+'MRS LIST'!I46</f>
        <v>200</v>
      </c>
      <c r="G46" s="89">
        <f>+'MRS LIST'!J46</f>
        <v>200</v>
      </c>
      <c r="H46" s="93"/>
    </row>
    <row r="47" spans="1:8" s="55" customFormat="1" ht="26.25" customHeight="1">
      <c r="A47" s="85">
        <f t="shared" si="0"/>
        <v>42</v>
      </c>
      <c r="B47" s="172" t="str">
        <f>+'MRS LIST'!B47</f>
        <v>Calibration of Theodolite</v>
      </c>
      <c r="C47" s="173"/>
      <c r="D47" s="86" t="str">
        <f>+'MRS LIST'!G47</f>
        <v>EA</v>
      </c>
      <c r="E47" s="87">
        <f>+'MRS LIST'!H47</f>
        <v>1</v>
      </c>
      <c r="F47" s="88">
        <f>+'MRS LIST'!I47</f>
        <v>300</v>
      </c>
      <c r="G47" s="89">
        <f>+'MRS LIST'!J47</f>
        <v>300</v>
      </c>
      <c r="H47" s="93"/>
    </row>
    <row r="48" spans="1:8" s="55" customFormat="1" ht="26.25" customHeight="1">
      <c r="A48" s="85">
        <f t="shared" si="0"/>
        <v>43</v>
      </c>
      <c r="B48" s="172" t="str">
        <f>+'MRS LIST'!B48</f>
        <v>Calibration of Voltmeter</v>
      </c>
      <c r="C48" s="173"/>
      <c r="D48" s="86" t="str">
        <f>+'MRS LIST'!G48</f>
        <v>EA</v>
      </c>
      <c r="E48" s="87">
        <f>+'MRS LIST'!H48</f>
        <v>1</v>
      </c>
      <c r="F48" s="88">
        <f>+'MRS LIST'!I48</f>
        <v>175</v>
      </c>
      <c r="G48" s="89">
        <f>+'MRS LIST'!J48</f>
        <v>175</v>
      </c>
      <c r="H48" s="93"/>
    </row>
    <row r="49" spans="1:8" s="55" customFormat="1" ht="26.25" customHeight="1">
      <c r="A49" s="85">
        <f t="shared" si="0"/>
        <v>44</v>
      </c>
      <c r="B49" s="172" t="str">
        <f>+'MRS LIST'!B49</f>
        <v>Calibration of Welding Rod Dry Box</v>
      </c>
      <c r="C49" s="173"/>
      <c r="D49" s="86" t="str">
        <f>+'MRS LIST'!G49</f>
        <v>EA</v>
      </c>
      <c r="E49" s="87">
        <f>+'MRS LIST'!H49</f>
        <v>1</v>
      </c>
      <c r="F49" s="88">
        <f>+'MRS LIST'!I49</f>
        <v>190</v>
      </c>
      <c r="G49" s="89">
        <f>+'MRS LIST'!J49</f>
        <v>190</v>
      </c>
      <c r="H49" s="93"/>
    </row>
    <row r="50" spans="1:8" s="55" customFormat="1" ht="26.25" customHeight="1">
      <c r="A50" s="85">
        <f t="shared" si="0"/>
        <v>45</v>
      </c>
      <c r="B50" s="172" t="str">
        <f>+'MRS LIST'!B50</f>
        <v>Calibration of Pressure Testing Station</v>
      </c>
      <c r="C50" s="173"/>
      <c r="D50" s="86" t="str">
        <f>+'MRS LIST'!G50</f>
        <v>EA</v>
      </c>
      <c r="E50" s="87">
        <f>+'MRS LIST'!H50</f>
        <v>1</v>
      </c>
      <c r="F50" s="88">
        <f>+'MRS LIST'!I50</f>
        <v>250</v>
      </c>
      <c r="G50" s="89">
        <f>+'MRS LIST'!J50</f>
        <v>250</v>
      </c>
      <c r="H50" s="93"/>
    </row>
    <row r="51" spans="1:8" s="55" customFormat="1" ht="26.25" customHeight="1">
      <c r="A51" s="85">
        <f t="shared" si="0"/>
        <v>46</v>
      </c>
      <c r="B51" s="172" t="str">
        <f>+'MRS LIST'!B51</f>
        <v>Calibration of DC Resistance Tester</v>
      </c>
      <c r="C51" s="173"/>
      <c r="D51" s="86" t="str">
        <f>+'MRS LIST'!G51</f>
        <v>EA</v>
      </c>
      <c r="E51" s="87">
        <f>+'MRS LIST'!H51</f>
        <v>1</v>
      </c>
      <c r="F51" s="88">
        <f>+'MRS LIST'!I51</f>
        <v>200</v>
      </c>
      <c r="G51" s="89">
        <f>+'MRS LIST'!J51</f>
        <v>200</v>
      </c>
      <c r="H51" s="93"/>
    </row>
    <row r="52" spans="1:8" s="55" customFormat="1" ht="26.25" customHeight="1">
      <c r="A52" s="85">
        <f t="shared" si="0"/>
        <v>47</v>
      </c>
      <c r="B52" s="172" t="str">
        <f>+'MRS LIST'!B52</f>
        <v>Calibration of Depth Caliper</v>
      </c>
      <c r="C52" s="173"/>
      <c r="D52" s="86" t="str">
        <f>+'MRS LIST'!G52</f>
        <v>EA</v>
      </c>
      <c r="E52" s="87">
        <f>+'MRS LIST'!H52</f>
        <v>1</v>
      </c>
      <c r="F52" s="88">
        <f>+'MRS LIST'!I52</f>
        <v>100</v>
      </c>
      <c r="G52" s="89">
        <f>+'MRS LIST'!J52</f>
        <v>100</v>
      </c>
      <c r="H52" s="93"/>
    </row>
    <row r="53" spans="1:8" s="55" customFormat="1" ht="26.25" customHeight="1">
      <c r="A53" s="85">
        <f t="shared" si="0"/>
        <v>48</v>
      </c>
      <c r="B53" s="172" t="str">
        <f>+'MRS LIST'!B53</f>
        <v>Calibration of Phase Indicator</v>
      </c>
      <c r="C53" s="173"/>
      <c r="D53" s="86" t="str">
        <f>+'MRS LIST'!G53</f>
        <v>EA</v>
      </c>
      <c r="E53" s="87">
        <f>+'MRS LIST'!H53</f>
        <v>1</v>
      </c>
      <c r="F53" s="88">
        <f>+'MRS LIST'!I53</f>
        <v>150</v>
      </c>
      <c r="G53" s="89">
        <f>+'MRS LIST'!J53</f>
        <v>150</v>
      </c>
      <c r="H53" s="93"/>
    </row>
    <row r="54" spans="1:8" s="55" customFormat="1" ht="26.25" customHeight="1">
      <c r="A54" s="85">
        <f t="shared" si="0"/>
        <v>49</v>
      </c>
      <c r="B54" s="172" t="str">
        <f>+'MRS LIST'!B54</f>
        <v>Calibration of Double Clamp Phase Voltmeter</v>
      </c>
      <c r="C54" s="173"/>
      <c r="D54" s="86" t="str">
        <f>+'MRS LIST'!G54</f>
        <v>EA</v>
      </c>
      <c r="E54" s="87">
        <f>+'MRS LIST'!H54</f>
        <v>1</v>
      </c>
      <c r="F54" s="88">
        <f>+'MRS LIST'!I54</f>
        <v>175</v>
      </c>
      <c r="G54" s="89">
        <f>+'MRS LIST'!J54</f>
        <v>175</v>
      </c>
      <c r="H54" s="93"/>
    </row>
    <row r="55" spans="1:8" s="55" customFormat="1" ht="26.25" customHeight="1">
      <c r="A55" s="85">
        <f t="shared" si="0"/>
        <v>50</v>
      </c>
      <c r="B55" s="172" t="str">
        <f>+'MRS LIST'!B55</f>
        <v>Calibration of Dry Well Calibrator</v>
      </c>
      <c r="C55" s="173"/>
      <c r="D55" s="86" t="str">
        <f>+'MRS LIST'!G55</f>
        <v>EA</v>
      </c>
      <c r="E55" s="87">
        <f>+'MRS LIST'!H55</f>
        <v>1</v>
      </c>
      <c r="F55" s="88">
        <f>+'MRS LIST'!I55</f>
        <v>250</v>
      </c>
      <c r="G55" s="89">
        <f>+'MRS LIST'!J55</f>
        <v>250</v>
      </c>
      <c r="H55" s="93"/>
    </row>
    <row r="56" spans="1:8" s="55" customFormat="1" ht="26.25" customHeight="1">
      <c r="A56" s="85">
        <f t="shared" si="0"/>
        <v>51</v>
      </c>
      <c r="B56" s="172" t="str">
        <f>+'MRS LIST'!B56</f>
        <v>Calibration of Digital Pressure Calibrator</v>
      </c>
      <c r="C56" s="173"/>
      <c r="D56" s="86" t="str">
        <f>+'MRS LIST'!G56</f>
        <v>EA</v>
      </c>
      <c r="E56" s="87">
        <f>+'MRS LIST'!H56</f>
        <v>1</v>
      </c>
      <c r="F56" s="88">
        <f>+'MRS LIST'!I56</f>
        <v>250</v>
      </c>
      <c r="G56" s="89">
        <f>+'MRS LIST'!J56</f>
        <v>250</v>
      </c>
      <c r="H56" s="93"/>
    </row>
    <row r="57" spans="1:8" s="55" customFormat="1" ht="26.25" customHeight="1">
      <c r="A57" s="85">
        <f t="shared" si="0"/>
        <v>52</v>
      </c>
      <c r="B57" s="172" t="str">
        <f>+'MRS LIST'!B57</f>
        <v>Calibration of Needle Pressure Gauge</v>
      </c>
      <c r="C57" s="173"/>
      <c r="D57" s="86" t="str">
        <f>+'MRS LIST'!G57</f>
        <v>EA</v>
      </c>
      <c r="E57" s="87">
        <f>+'MRS LIST'!H57</f>
        <v>1</v>
      </c>
      <c r="F57" s="88">
        <f>+'MRS LIST'!I57</f>
        <v>110</v>
      </c>
      <c r="G57" s="89">
        <f>+'MRS LIST'!J57</f>
        <v>110</v>
      </c>
      <c r="H57" s="93"/>
    </row>
    <row r="58" spans="1:8" s="55" customFormat="1" ht="26.25" customHeight="1">
      <c r="A58" s="85">
        <f t="shared" si="0"/>
        <v>53</v>
      </c>
      <c r="B58" s="172" t="str">
        <f>+'MRS LIST'!B58</f>
        <v>Calibration of Thermal Relay Tester</v>
      </c>
      <c r="C58" s="173"/>
      <c r="D58" s="86" t="str">
        <f>+'MRS LIST'!G58</f>
        <v>EA</v>
      </c>
      <c r="E58" s="87">
        <f>+'MRS LIST'!H58</f>
        <v>1</v>
      </c>
      <c r="F58" s="88">
        <f>+'MRS LIST'!I58</f>
        <v>190</v>
      </c>
      <c r="G58" s="89">
        <f>+'MRS LIST'!J58</f>
        <v>190</v>
      </c>
      <c r="H58" s="93"/>
    </row>
    <row r="59" spans="1:8" s="55" customFormat="1" ht="26.25" customHeight="1">
      <c r="A59" s="85">
        <f t="shared" si="0"/>
        <v>54</v>
      </c>
      <c r="B59" s="172" t="str">
        <f>+'MRS LIST'!B59</f>
        <v>Calibration of Single Purpose Weld Gauge</v>
      </c>
      <c r="C59" s="173"/>
      <c r="D59" s="86" t="str">
        <f>+'MRS LIST'!G59</f>
        <v>EA</v>
      </c>
      <c r="E59" s="87">
        <f>+'MRS LIST'!H59</f>
        <v>1</v>
      </c>
      <c r="F59" s="88">
        <f>+'MRS LIST'!I59</f>
        <v>95</v>
      </c>
      <c r="G59" s="89">
        <f>+'MRS LIST'!J59</f>
        <v>95</v>
      </c>
      <c r="H59" s="93"/>
    </row>
    <row r="60" spans="1:8" s="55" customFormat="1" ht="26.25" customHeight="1">
      <c r="A60" s="85">
        <f t="shared" si="0"/>
        <v>55</v>
      </c>
      <c r="B60" s="172" t="str">
        <f>+'MRS LIST'!B60</f>
        <v>Calibration of Wet Film Thickness Gauge</v>
      </c>
      <c r="C60" s="173"/>
      <c r="D60" s="86" t="str">
        <f>+'MRS LIST'!G60</f>
        <v>EA</v>
      </c>
      <c r="E60" s="87">
        <f>+'MRS LIST'!H60</f>
        <v>1</v>
      </c>
      <c r="F60" s="88">
        <f>+'MRS LIST'!I60</f>
        <v>95</v>
      </c>
      <c r="G60" s="89">
        <f>+'MRS LIST'!J60</f>
        <v>95</v>
      </c>
      <c r="H60" s="93"/>
    </row>
    <row r="61" spans="1:8" s="55" customFormat="1" ht="26.25" customHeight="1">
      <c r="A61" s="85">
        <f t="shared" si="0"/>
        <v>56</v>
      </c>
      <c r="B61" s="172" t="str">
        <f>+'MRS LIST'!B61</f>
        <v>Calibration of Wind Temperature Gauge</v>
      </c>
      <c r="C61" s="173"/>
      <c r="D61" s="86" t="str">
        <f>+'MRS LIST'!G61</f>
        <v>EA</v>
      </c>
      <c r="E61" s="87">
        <f>+'MRS LIST'!H61</f>
        <v>1</v>
      </c>
      <c r="F61" s="88">
        <f>+'MRS LIST'!I61</f>
        <v>170</v>
      </c>
      <c r="G61" s="89">
        <f>+'MRS LIST'!J61</f>
        <v>170</v>
      </c>
      <c r="H61" s="93"/>
    </row>
    <row r="62" spans="1:8" s="55" customFormat="1" ht="26.25" customHeight="1">
      <c r="A62" s="85">
        <f t="shared" si="0"/>
        <v>57</v>
      </c>
      <c r="B62" s="172" t="str">
        <f>+'MRS LIST'!B62</f>
        <v>Calibration of Vibration Meter</v>
      </c>
      <c r="C62" s="173"/>
      <c r="D62" s="86" t="str">
        <f>+'MRS LIST'!G62</f>
        <v>EA</v>
      </c>
      <c r="E62" s="87">
        <f>+'MRS LIST'!H62</f>
        <v>1</v>
      </c>
      <c r="F62" s="88">
        <f>+'MRS LIST'!I62</f>
        <v>200</v>
      </c>
      <c r="G62" s="89">
        <f>+'MRS LIST'!J62</f>
        <v>200</v>
      </c>
      <c r="H62" s="93"/>
    </row>
    <row r="63" spans="1:8" s="55" customFormat="1" ht="26.25" customHeight="1">
      <c r="A63" s="85">
        <f t="shared" si="0"/>
        <v>58</v>
      </c>
      <c r="B63" s="172" t="str">
        <f>+'MRS LIST'!B63</f>
        <v>Calibration of Tachometer</v>
      </c>
      <c r="C63" s="173"/>
      <c r="D63" s="86" t="str">
        <f>+'MRS LIST'!G63</f>
        <v>EA</v>
      </c>
      <c r="E63" s="87">
        <f>+'MRS LIST'!H63</f>
        <v>1</v>
      </c>
      <c r="F63" s="88">
        <f>+'MRS LIST'!I63</f>
        <v>150</v>
      </c>
      <c r="G63" s="89">
        <f>+'MRS LIST'!J63</f>
        <v>150</v>
      </c>
      <c r="H63" s="93"/>
    </row>
    <row r="64" spans="1:8" s="55" customFormat="1" ht="26.25" customHeight="1">
      <c r="A64" s="85">
        <f t="shared" si="0"/>
        <v>59</v>
      </c>
      <c r="B64" s="172" t="str">
        <f>+'MRS LIST'!B64</f>
        <v>Calibration of Laser Line Level</v>
      </c>
      <c r="C64" s="173"/>
      <c r="D64" s="86" t="str">
        <f>+'MRS LIST'!G64</f>
        <v>EA</v>
      </c>
      <c r="E64" s="87">
        <f>+'MRS LIST'!H64</f>
        <v>1</v>
      </c>
      <c r="F64" s="88">
        <f>+'MRS LIST'!I64</f>
        <v>150</v>
      </c>
      <c r="G64" s="89">
        <f>+'MRS LIST'!J64</f>
        <v>150</v>
      </c>
      <c r="H64" s="93"/>
    </row>
    <row r="65" spans="1:8" s="55" customFormat="1" ht="26.25" customHeight="1">
      <c r="A65" s="85">
        <f t="shared" si="0"/>
        <v>60</v>
      </c>
      <c r="B65" s="172" t="str">
        <f>+'MRS LIST'!B65</f>
        <v>Calibration of Durometer</v>
      </c>
      <c r="C65" s="173"/>
      <c r="D65" s="86" t="str">
        <f>+'MRS LIST'!G65</f>
        <v>EA</v>
      </c>
      <c r="E65" s="87">
        <f>+'MRS LIST'!H65</f>
        <v>1</v>
      </c>
      <c r="F65" s="88">
        <f>+'MRS LIST'!I65</f>
        <v>150</v>
      </c>
      <c r="G65" s="89">
        <f>+'MRS LIST'!J65</f>
        <v>150</v>
      </c>
      <c r="H65" s="93"/>
    </row>
    <row r="66" spans="1:8" s="55" customFormat="1" ht="26.25" customHeight="1">
      <c r="A66" s="85">
        <f t="shared" si="0"/>
        <v>61</v>
      </c>
      <c r="B66" s="172" t="str">
        <f>+'MRS LIST'!B66</f>
        <v>Calibration of DFT Content Meter</v>
      </c>
      <c r="C66" s="173"/>
      <c r="D66" s="86" t="str">
        <f>+'MRS LIST'!G66</f>
        <v>EA</v>
      </c>
      <c r="E66" s="87">
        <f>+'MRS LIST'!H66</f>
        <v>1</v>
      </c>
      <c r="F66" s="88">
        <f>+'MRS LIST'!I66</f>
        <v>150</v>
      </c>
      <c r="G66" s="89">
        <f>+'MRS LIST'!J66</f>
        <v>150</v>
      </c>
      <c r="H66" s="93"/>
    </row>
    <row r="67" spans="1:8" s="55" customFormat="1" ht="26.25" customHeight="1">
      <c r="A67" s="85">
        <f t="shared" si="0"/>
        <v>62</v>
      </c>
      <c r="B67" s="172" t="str">
        <f>+'MRS LIST'!B67</f>
        <v>Calibration of Dial Test Indicator</v>
      </c>
      <c r="C67" s="173"/>
      <c r="D67" s="86" t="str">
        <f>+'MRS LIST'!G67</f>
        <v>EA</v>
      </c>
      <c r="E67" s="87">
        <f>+'MRS LIST'!H67</f>
        <v>1</v>
      </c>
      <c r="F67" s="88">
        <f>+'MRS LIST'!I67</f>
        <v>110</v>
      </c>
      <c r="G67" s="89">
        <f>+'MRS LIST'!J67</f>
        <v>110</v>
      </c>
      <c r="H67" s="93"/>
    </row>
    <row r="68" spans="1:8" s="55" customFormat="1" ht="26.25" customHeight="1">
      <c r="A68" s="85">
        <f t="shared" si="0"/>
        <v>63</v>
      </c>
      <c r="B68" s="172" t="str">
        <f>+'MRS LIST'!B68</f>
        <v>Calibration of Cable Ground Fault Locator</v>
      </c>
      <c r="C68" s="173"/>
      <c r="D68" s="86" t="str">
        <f>+'MRS LIST'!G68</f>
        <v>EA</v>
      </c>
      <c r="E68" s="87">
        <f>+'MRS LIST'!H68</f>
        <v>1</v>
      </c>
      <c r="F68" s="88">
        <f>+'MRS LIST'!I68</f>
        <v>135</v>
      </c>
      <c r="G68" s="89">
        <f>+'MRS LIST'!J68</f>
        <v>135</v>
      </c>
      <c r="H68" s="93"/>
    </row>
    <row r="69" spans="1:8" s="55" customFormat="1" ht="26.25" customHeight="1">
      <c r="A69" s="85">
        <f t="shared" si="0"/>
        <v>64</v>
      </c>
      <c r="B69" s="172" t="str">
        <f>+'MRS LIST'!B69</f>
        <v>Calibration of Portable Micro Ohm Meter</v>
      </c>
      <c r="C69" s="173"/>
      <c r="D69" s="86" t="str">
        <f>+'MRS LIST'!G69</f>
        <v>EA</v>
      </c>
      <c r="E69" s="87">
        <f>+'MRS LIST'!H69</f>
        <v>1</v>
      </c>
      <c r="F69" s="88">
        <f>+'MRS LIST'!I69</f>
        <v>200</v>
      </c>
      <c r="G69" s="89">
        <f>+'MRS LIST'!J69</f>
        <v>200</v>
      </c>
      <c r="H69" s="93"/>
    </row>
    <row r="70" spans="1:8" s="55" customFormat="1" ht="26.25" customHeight="1">
      <c r="A70" s="85">
        <f t="shared" ref="A70:A102" si="1">ROW(A65)</f>
        <v>65</v>
      </c>
      <c r="B70" s="172" t="str">
        <f>+'MRS LIST'!B70</f>
        <v>Calibration of Portable Pressure Calibration</v>
      </c>
      <c r="C70" s="173"/>
      <c r="D70" s="86" t="str">
        <f>+'MRS LIST'!G70</f>
        <v>EA</v>
      </c>
      <c r="E70" s="87">
        <f>+'MRS LIST'!H70</f>
        <v>1</v>
      </c>
      <c r="F70" s="88">
        <f>+'MRS LIST'!I70</f>
        <v>250</v>
      </c>
      <c r="G70" s="89">
        <f>+'MRS LIST'!J70</f>
        <v>250</v>
      </c>
      <c r="H70" s="93"/>
    </row>
    <row r="71" spans="1:8" s="55" customFormat="1" ht="34.5" customHeight="1">
      <c r="A71" s="85">
        <f t="shared" si="1"/>
        <v>66</v>
      </c>
      <c r="B71" s="172" t="str">
        <f>+'MRS LIST'!B71</f>
        <v>Calibration of Torque Wrench, any range or capacity</v>
      </c>
      <c r="C71" s="173"/>
      <c r="D71" s="86" t="str">
        <f>+'MRS LIST'!G71</f>
        <v>EA</v>
      </c>
      <c r="E71" s="87">
        <f>+'MRS LIST'!H71</f>
        <v>1</v>
      </c>
      <c r="F71" s="88">
        <f>+'MRS LIST'!I71</f>
        <v>200</v>
      </c>
      <c r="G71" s="89">
        <f>+'MRS LIST'!J71</f>
        <v>200</v>
      </c>
      <c r="H71" s="93"/>
    </row>
    <row r="72" spans="1:8" s="55" customFormat="1" ht="26.25" customHeight="1">
      <c r="A72" s="85">
        <f t="shared" si="1"/>
        <v>67</v>
      </c>
      <c r="B72" s="172" t="str">
        <f>+'MRS LIST'!B72</f>
        <v>Calibration of Temperature Recorder</v>
      </c>
      <c r="C72" s="173"/>
      <c r="D72" s="86" t="str">
        <f>+'MRS LIST'!G72</f>
        <v>EA</v>
      </c>
      <c r="E72" s="87">
        <f>+'MRS LIST'!H72</f>
        <v>1</v>
      </c>
      <c r="F72" s="88">
        <f>+'MRS LIST'!I72</f>
        <v>200</v>
      </c>
      <c r="G72" s="89">
        <f>+'MRS LIST'!J72</f>
        <v>200</v>
      </c>
      <c r="H72" s="93"/>
    </row>
    <row r="73" spans="1:8" s="55" customFormat="1" ht="26.25" customHeight="1">
      <c r="A73" s="85">
        <f t="shared" si="1"/>
        <v>68</v>
      </c>
      <c r="B73" s="172" t="str">
        <f>+'MRS LIST'!B73</f>
        <v>Calibration of Pressure Recorder</v>
      </c>
      <c r="C73" s="173"/>
      <c r="D73" s="86" t="str">
        <f>+'MRS LIST'!G73</f>
        <v>EA</v>
      </c>
      <c r="E73" s="87">
        <f>+'MRS LIST'!H73</f>
        <v>1</v>
      </c>
      <c r="F73" s="88">
        <f>+'MRS LIST'!I73</f>
        <v>200</v>
      </c>
      <c r="G73" s="89">
        <f>+'MRS LIST'!J73</f>
        <v>200</v>
      </c>
      <c r="H73" s="93"/>
    </row>
    <row r="74" spans="1:8" s="55" customFormat="1" ht="26.25" customHeight="1">
      <c r="A74" s="85">
        <f t="shared" si="1"/>
        <v>69</v>
      </c>
      <c r="B74" s="172" t="str">
        <f>+'MRS LIST'!B74</f>
        <v>Calibration of Temperature &amp; Humidity Meter</v>
      </c>
      <c r="C74" s="173"/>
      <c r="D74" s="86" t="str">
        <f>+'MRS LIST'!G74</f>
        <v>EA</v>
      </c>
      <c r="E74" s="87">
        <f>+'MRS LIST'!H74</f>
        <v>1</v>
      </c>
      <c r="F74" s="88">
        <f>+'MRS LIST'!I74</f>
        <v>145</v>
      </c>
      <c r="G74" s="89">
        <f>+'MRS LIST'!J74</f>
        <v>145</v>
      </c>
      <c r="H74" s="93"/>
    </row>
    <row r="75" spans="1:8" s="55" customFormat="1" ht="26.25" customHeight="1">
      <c r="A75" s="85">
        <f t="shared" si="1"/>
        <v>70</v>
      </c>
      <c r="B75" s="172" t="str">
        <f>+'MRS LIST'!B75</f>
        <v>Calibration of Depth Gauge</v>
      </c>
      <c r="C75" s="173"/>
      <c r="D75" s="86" t="str">
        <f>+'MRS LIST'!G75</f>
        <v>EA</v>
      </c>
      <c r="E75" s="87">
        <f>+'MRS LIST'!H75</f>
        <v>1</v>
      </c>
      <c r="F75" s="88">
        <f>+'MRS LIST'!I75</f>
        <v>100</v>
      </c>
      <c r="G75" s="89">
        <f>+'MRS LIST'!J75</f>
        <v>100</v>
      </c>
      <c r="H75" s="93"/>
    </row>
    <row r="76" spans="1:8" s="55" customFormat="1" ht="26.25" customHeight="1">
      <c r="A76" s="85">
        <f t="shared" si="1"/>
        <v>71</v>
      </c>
      <c r="B76" s="172" t="str">
        <f>+'MRS LIST'!B76</f>
        <v>Calibration of Temperature Gauge</v>
      </c>
      <c r="C76" s="173"/>
      <c r="D76" s="86" t="str">
        <f>+'MRS LIST'!G76</f>
        <v>EA</v>
      </c>
      <c r="E76" s="87">
        <f>+'MRS LIST'!H76</f>
        <v>1</v>
      </c>
      <c r="F76" s="88">
        <f>+'MRS LIST'!I76</f>
        <v>175</v>
      </c>
      <c r="G76" s="89">
        <f>+'MRS LIST'!J76</f>
        <v>175</v>
      </c>
      <c r="H76" s="93"/>
    </row>
    <row r="77" spans="1:8" s="55" customFormat="1" ht="26.25" customHeight="1">
      <c r="A77" s="85">
        <f t="shared" si="1"/>
        <v>72</v>
      </c>
      <c r="B77" s="172" t="str">
        <f>+'MRS LIST'!B77</f>
        <v>Calibration of Precision Level</v>
      </c>
      <c r="C77" s="173"/>
      <c r="D77" s="86" t="str">
        <f>+'MRS LIST'!G77</f>
        <v>EA</v>
      </c>
      <c r="E77" s="87">
        <f>+'MRS LIST'!H77</f>
        <v>1</v>
      </c>
      <c r="F77" s="88">
        <f>+'MRS LIST'!I77</f>
        <v>95</v>
      </c>
      <c r="G77" s="89">
        <f>+'MRS LIST'!J77</f>
        <v>95</v>
      </c>
      <c r="H77" s="93"/>
    </row>
    <row r="78" spans="1:8" s="55" customFormat="1" ht="26.25" customHeight="1">
      <c r="A78" s="85">
        <f t="shared" si="1"/>
        <v>73</v>
      </c>
      <c r="B78" s="172" t="str">
        <f>+'MRS LIST'!B78</f>
        <v>Calibration of Torque Multiplier</v>
      </c>
      <c r="C78" s="173"/>
      <c r="D78" s="86" t="str">
        <f>+'MRS LIST'!G78</f>
        <v>EA</v>
      </c>
      <c r="E78" s="87">
        <f>+'MRS LIST'!H78</f>
        <v>1</v>
      </c>
      <c r="F78" s="88">
        <f>+'MRS LIST'!I78</f>
        <v>200</v>
      </c>
      <c r="G78" s="89">
        <f>+'MRS LIST'!J78</f>
        <v>200</v>
      </c>
      <c r="H78" s="93"/>
    </row>
    <row r="79" spans="1:8" s="55" customFormat="1" ht="26.25" customHeight="1">
      <c r="A79" s="85">
        <f t="shared" si="1"/>
        <v>74</v>
      </c>
      <c r="B79" s="172" t="str">
        <f>+'MRS LIST'!B79</f>
        <v>Calibration of Environmental Meter</v>
      </c>
      <c r="C79" s="173"/>
      <c r="D79" s="86" t="str">
        <f>+'MRS LIST'!G79</f>
        <v>EA</v>
      </c>
      <c r="E79" s="87">
        <f>+'MRS LIST'!H79</f>
        <v>1</v>
      </c>
      <c r="F79" s="88">
        <f>+'MRS LIST'!I79</f>
        <v>170</v>
      </c>
      <c r="G79" s="89">
        <f>+'MRS LIST'!J79</f>
        <v>170</v>
      </c>
      <c r="H79" s="93"/>
    </row>
    <row r="80" spans="1:8" s="55" customFormat="1" ht="26.25" customHeight="1">
      <c r="A80" s="85">
        <f t="shared" si="1"/>
        <v>75</v>
      </c>
      <c r="B80" s="172" t="str">
        <f>+'MRS LIST'!B80</f>
        <v>Inspection of Tower Light</v>
      </c>
      <c r="C80" s="173"/>
      <c r="D80" s="86" t="str">
        <f>+'MRS LIST'!G80</f>
        <v>EA</v>
      </c>
      <c r="E80" s="87">
        <f>+'MRS LIST'!H80</f>
        <v>1</v>
      </c>
      <c r="F80" s="88">
        <f>+'MRS LIST'!I80</f>
        <v>190</v>
      </c>
      <c r="G80" s="89">
        <f>+'MRS LIST'!J80</f>
        <v>190</v>
      </c>
      <c r="H80" s="93"/>
    </row>
    <row r="81" spans="1:8" s="55" customFormat="1" ht="26.25" customHeight="1">
      <c r="A81" s="85">
        <f t="shared" si="1"/>
        <v>76</v>
      </c>
      <c r="B81" s="172" t="str">
        <f>+'MRS LIST'!B81</f>
        <v>Inspection Diesel Generator</v>
      </c>
      <c r="C81" s="173"/>
      <c r="D81" s="86" t="str">
        <f>+'MRS LIST'!G81</f>
        <v>EA</v>
      </c>
      <c r="E81" s="87">
        <f>+'MRS LIST'!H81</f>
        <v>1</v>
      </c>
      <c r="F81" s="88">
        <f>+'MRS LIST'!I81</f>
        <v>190</v>
      </c>
      <c r="G81" s="89">
        <f>+'MRS LIST'!J81</f>
        <v>190</v>
      </c>
      <c r="H81" s="93"/>
    </row>
    <row r="82" spans="1:8" s="55" customFormat="1" ht="26.25" customHeight="1">
      <c r="A82" s="85">
        <f t="shared" si="1"/>
        <v>77</v>
      </c>
      <c r="B82" s="172" t="str">
        <f>+'MRS LIST'!B82</f>
        <v>Inspection Engine Driven Welders</v>
      </c>
      <c r="C82" s="173"/>
      <c r="D82" s="86" t="str">
        <f>+'MRS LIST'!G82</f>
        <v>EA</v>
      </c>
      <c r="E82" s="87">
        <f>+'MRS LIST'!H82</f>
        <v>1</v>
      </c>
      <c r="F82" s="88">
        <f>+'MRS LIST'!I82</f>
        <v>190</v>
      </c>
      <c r="G82" s="89">
        <f>+'MRS LIST'!J82</f>
        <v>190</v>
      </c>
      <c r="H82" s="93"/>
    </row>
    <row r="83" spans="1:8" s="55" customFormat="1" ht="26.25" customHeight="1">
      <c r="A83" s="85">
        <f t="shared" si="1"/>
        <v>78</v>
      </c>
      <c r="B83" s="172" t="str">
        <f>+'MRS LIST'!B83</f>
        <v>Calibration of Digital Ultrameter</v>
      </c>
      <c r="C83" s="173"/>
      <c r="D83" s="86" t="str">
        <f>+'MRS LIST'!G83</f>
        <v>EA</v>
      </c>
      <c r="E83" s="87">
        <f>+'MRS LIST'!H83</f>
        <v>1</v>
      </c>
      <c r="F83" s="88">
        <f>+'MRS LIST'!I83</f>
        <v>200</v>
      </c>
      <c r="G83" s="89">
        <f>+'MRS LIST'!J83</f>
        <v>200</v>
      </c>
      <c r="H83" s="93"/>
    </row>
    <row r="84" spans="1:8" s="55" customFormat="1" ht="26.25" customHeight="1">
      <c r="A84" s="85">
        <f t="shared" si="1"/>
        <v>79</v>
      </c>
      <c r="B84" s="172" t="str">
        <f>+'MRS LIST'!B84</f>
        <v>Calibration of CO/CO2 Meter + Psychrometer</v>
      </c>
      <c r="C84" s="173"/>
      <c r="D84" s="86" t="str">
        <f>+'MRS LIST'!G84</f>
        <v>EA</v>
      </c>
      <c r="E84" s="87">
        <f>+'MRS LIST'!H84</f>
        <v>1</v>
      </c>
      <c r="F84" s="88">
        <f>+'MRS LIST'!I84</f>
        <v>200</v>
      </c>
      <c r="G84" s="89">
        <f>+'MRS LIST'!J84</f>
        <v>200</v>
      </c>
      <c r="H84" s="93"/>
    </row>
    <row r="85" spans="1:8" s="55" customFormat="1" ht="26.25" customHeight="1">
      <c r="A85" s="85">
        <f t="shared" si="1"/>
        <v>80</v>
      </c>
      <c r="B85" s="172" t="str">
        <f>+'MRS LIST'!B85</f>
        <v>Calibration of Weighing Balance</v>
      </c>
      <c r="C85" s="173"/>
      <c r="D85" s="86" t="str">
        <f>+'MRS LIST'!G85</f>
        <v>EA</v>
      </c>
      <c r="E85" s="87">
        <f>+'MRS LIST'!H85</f>
        <v>1</v>
      </c>
      <c r="F85" s="88">
        <f>+'MRS LIST'!I85</f>
        <v>150</v>
      </c>
      <c r="G85" s="89">
        <f>+'MRS LIST'!J85</f>
        <v>150</v>
      </c>
      <c r="H85" s="93"/>
    </row>
    <row r="86" spans="1:8" s="55" customFormat="1" ht="26.25" customHeight="1">
      <c r="A86" s="85">
        <f t="shared" si="1"/>
        <v>81</v>
      </c>
      <c r="B86" s="172" t="str">
        <f>+'MRS LIST'!B86</f>
        <v>Calibration of PI Tape</v>
      </c>
      <c r="C86" s="173"/>
      <c r="D86" s="86" t="str">
        <f>+'MRS LIST'!G86</f>
        <v>EA</v>
      </c>
      <c r="E86" s="87">
        <f>+'MRS LIST'!H86</f>
        <v>1</v>
      </c>
      <c r="F86" s="88">
        <f>+'MRS LIST'!I86</f>
        <v>90</v>
      </c>
      <c r="G86" s="89">
        <f>+'MRS LIST'!J86</f>
        <v>90</v>
      </c>
      <c r="H86" s="93"/>
    </row>
    <row r="87" spans="1:8" s="55" customFormat="1" ht="26.25" customHeight="1">
      <c r="A87" s="85">
        <f t="shared" si="1"/>
        <v>82</v>
      </c>
      <c r="B87" s="172" t="str">
        <f>+'MRS LIST'!B87</f>
        <v>Calibration of Taper Scale</v>
      </c>
      <c r="C87" s="173"/>
      <c r="D87" s="86" t="str">
        <f>+'MRS LIST'!G87</f>
        <v>EA</v>
      </c>
      <c r="E87" s="87">
        <f>+'MRS LIST'!H87</f>
        <v>1</v>
      </c>
      <c r="F87" s="88">
        <f>+'MRS LIST'!I87</f>
        <v>95</v>
      </c>
      <c r="G87" s="89">
        <f>+'MRS LIST'!J87</f>
        <v>95</v>
      </c>
      <c r="H87" s="93"/>
    </row>
    <row r="88" spans="1:8" s="55" customFormat="1" ht="26.25" customHeight="1">
      <c r="A88" s="85">
        <f t="shared" si="1"/>
        <v>83</v>
      </c>
      <c r="B88" s="172" t="str">
        <f>+'MRS LIST'!B88</f>
        <v>Inspection of Speed Gun</v>
      </c>
      <c r="C88" s="173"/>
      <c r="D88" s="86" t="str">
        <f>+'MRS LIST'!G88</f>
        <v>EA</v>
      </c>
      <c r="E88" s="87">
        <f>+'MRS LIST'!H88</f>
        <v>1</v>
      </c>
      <c r="F88" s="88">
        <f>+'MRS LIST'!I88</f>
        <v>180</v>
      </c>
      <c r="G88" s="89">
        <f>+'MRS LIST'!J88</f>
        <v>180</v>
      </c>
      <c r="H88" s="93"/>
    </row>
    <row r="89" spans="1:8" s="55" customFormat="1" ht="26.25" customHeight="1">
      <c r="A89" s="85">
        <f t="shared" si="1"/>
        <v>84</v>
      </c>
      <c r="B89" s="172" t="str">
        <f>+'MRS LIST'!B89</f>
        <v>Calibration of Clamp Meter</v>
      </c>
      <c r="C89" s="173"/>
      <c r="D89" s="86" t="str">
        <f>+'MRS LIST'!G89</f>
        <v>EA</v>
      </c>
      <c r="E89" s="87">
        <f>+'MRS LIST'!H89</f>
        <v>1</v>
      </c>
      <c r="F89" s="88">
        <f>+'MRS LIST'!I89</f>
        <v>175</v>
      </c>
      <c r="G89" s="89">
        <f>+'MRS LIST'!J89</f>
        <v>175</v>
      </c>
      <c r="H89" s="93"/>
    </row>
    <row r="90" spans="1:8" s="55" customFormat="1" ht="26.25" customHeight="1">
      <c r="A90" s="85">
        <f t="shared" si="1"/>
        <v>85</v>
      </c>
      <c r="B90" s="172" t="str">
        <f>+'MRS LIST'!B90</f>
        <v>Calibration of Densitometer</v>
      </c>
      <c r="C90" s="173"/>
      <c r="D90" s="86" t="str">
        <f>+'MRS LIST'!G90</f>
        <v>EA</v>
      </c>
      <c r="E90" s="87">
        <f>+'MRS LIST'!H90</f>
        <v>1</v>
      </c>
      <c r="F90" s="88">
        <f>+'MRS LIST'!I90</f>
        <v>175</v>
      </c>
      <c r="G90" s="89">
        <f>+'MRS LIST'!J90</f>
        <v>175</v>
      </c>
      <c r="H90" s="93"/>
    </row>
    <row r="91" spans="1:8" s="55" customFormat="1" ht="26.25" customHeight="1">
      <c r="A91" s="85">
        <f t="shared" si="1"/>
        <v>86</v>
      </c>
      <c r="B91" s="172" t="str">
        <f>+'MRS LIST'!B91</f>
        <v>Calibration of High Voltage Probe</v>
      </c>
      <c r="C91" s="173"/>
      <c r="D91" s="86" t="str">
        <f>+'MRS LIST'!G91</f>
        <v>EA</v>
      </c>
      <c r="E91" s="87">
        <f>+'MRS LIST'!H91</f>
        <v>1</v>
      </c>
      <c r="F91" s="88">
        <f>+'MRS LIST'!I91</f>
        <v>175</v>
      </c>
      <c r="G91" s="89">
        <f>+'MRS LIST'!J91</f>
        <v>175</v>
      </c>
      <c r="H91" s="93"/>
    </row>
    <row r="92" spans="1:8" s="55" customFormat="1" ht="26.25" customHeight="1">
      <c r="A92" s="85">
        <f t="shared" si="1"/>
        <v>87</v>
      </c>
      <c r="B92" s="172" t="str">
        <f>+'MRS LIST'!B92</f>
        <v>Calibration of Standard Weights</v>
      </c>
      <c r="C92" s="173"/>
      <c r="D92" s="86" t="str">
        <f>+'MRS LIST'!G92</f>
        <v>BOX</v>
      </c>
      <c r="E92" s="87">
        <f>+'MRS LIST'!H92</f>
        <v>1</v>
      </c>
      <c r="F92" s="88">
        <f>+'MRS LIST'!I92</f>
        <v>250</v>
      </c>
      <c r="G92" s="89">
        <f>+'MRS LIST'!J92</f>
        <v>250</v>
      </c>
      <c r="H92" s="93"/>
    </row>
    <row r="93" spans="1:8" s="55" customFormat="1" ht="26.25" customHeight="1">
      <c r="A93" s="85">
        <f t="shared" si="1"/>
        <v>88</v>
      </c>
      <c r="B93" s="172" t="str">
        <f>+'MRS LIST'!B93</f>
        <v>Inspection of Pipe Threading Machine</v>
      </c>
      <c r="C93" s="173"/>
      <c r="D93" s="86" t="str">
        <f>+'MRS LIST'!G93</f>
        <v>EA</v>
      </c>
      <c r="E93" s="87">
        <f>+'MRS LIST'!H93</f>
        <v>1</v>
      </c>
      <c r="F93" s="88">
        <f>+'MRS LIST'!I93</f>
        <v>190</v>
      </c>
      <c r="G93" s="89">
        <f>+'MRS LIST'!J93</f>
        <v>190</v>
      </c>
      <c r="H93" s="93"/>
    </row>
    <row r="94" spans="1:8" s="55" customFormat="1" ht="26.25" customHeight="1">
      <c r="A94" s="85">
        <f t="shared" si="1"/>
        <v>89</v>
      </c>
      <c r="B94" s="172" t="str">
        <f>+'MRS LIST'!B94</f>
        <v>Calibration of Spirit Level</v>
      </c>
      <c r="C94" s="173"/>
      <c r="D94" s="86" t="str">
        <f>+'MRS LIST'!G94</f>
        <v>EA</v>
      </c>
      <c r="E94" s="87">
        <f>+'MRS LIST'!H94</f>
        <v>1</v>
      </c>
      <c r="F94" s="88">
        <f>+'MRS LIST'!I94</f>
        <v>95</v>
      </c>
      <c r="G94" s="89">
        <f>+'MRS LIST'!J94</f>
        <v>95</v>
      </c>
      <c r="H94" s="93"/>
    </row>
    <row r="95" spans="1:8" s="55" customFormat="1" ht="26.25" customHeight="1">
      <c r="A95" s="85">
        <f t="shared" si="1"/>
        <v>90</v>
      </c>
      <c r="B95" s="172" t="str">
        <f>+'MRS LIST'!B95</f>
        <v>Inspection of Air Compressor</v>
      </c>
      <c r="C95" s="173"/>
      <c r="D95" s="86" t="str">
        <f>+'MRS LIST'!G95</f>
        <v>EA</v>
      </c>
      <c r="E95" s="87">
        <f>+'MRS LIST'!H95</f>
        <v>1</v>
      </c>
      <c r="F95" s="88">
        <f>+'MRS LIST'!I95</f>
        <v>190</v>
      </c>
      <c r="G95" s="89">
        <f>+'MRS LIST'!J95</f>
        <v>190</v>
      </c>
      <c r="H95" s="93"/>
    </row>
    <row r="96" spans="1:8" s="55" customFormat="1" ht="26.25" customHeight="1">
      <c r="A96" s="85">
        <f t="shared" si="1"/>
        <v>91</v>
      </c>
      <c r="B96" s="172" t="str">
        <f>+'MRS LIST'!B96</f>
        <v>Calibration of Measuring Tape</v>
      </c>
      <c r="C96" s="173"/>
      <c r="D96" s="86" t="str">
        <f>+'MRS LIST'!G96</f>
        <v>EA</v>
      </c>
      <c r="E96" s="87">
        <f>+'MRS LIST'!H96</f>
        <v>1</v>
      </c>
      <c r="F96" s="88">
        <f>+'MRS LIST'!I96</f>
        <v>90</v>
      </c>
      <c r="G96" s="89">
        <f>+'MRS LIST'!J96</f>
        <v>90</v>
      </c>
      <c r="H96" s="93"/>
    </row>
    <row r="97" spans="1:13" s="55" customFormat="1" ht="26.25" customHeight="1">
      <c r="A97" s="85">
        <f t="shared" si="1"/>
        <v>92</v>
      </c>
      <c r="B97" s="172" t="str">
        <f>+'MRS LIST'!B97</f>
        <v>Inspection of Torch Light</v>
      </c>
      <c r="C97" s="173"/>
      <c r="D97" s="86" t="str">
        <f>+'MRS LIST'!G97</f>
        <v>EA</v>
      </c>
      <c r="E97" s="87">
        <f>+'MRS LIST'!H97</f>
        <v>1</v>
      </c>
      <c r="F97" s="88">
        <f>+'MRS LIST'!I97</f>
        <v>190</v>
      </c>
      <c r="G97" s="89">
        <f>+'MRS LIST'!J97</f>
        <v>190</v>
      </c>
      <c r="H97" s="93"/>
    </row>
    <row r="98" spans="1:13" s="55" customFormat="1" ht="26.25" customHeight="1">
      <c r="A98" s="85">
        <f t="shared" si="1"/>
        <v>93</v>
      </c>
      <c r="B98" s="172" t="str">
        <f>+'MRS LIST'!B98</f>
        <v>Inspection of Inspection Mirror</v>
      </c>
      <c r="C98" s="173"/>
      <c r="D98" s="86" t="str">
        <f>+'MRS LIST'!G98</f>
        <v>EA</v>
      </c>
      <c r="E98" s="87">
        <f>+'MRS LIST'!H98</f>
        <v>1</v>
      </c>
      <c r="F98" s="88">
        <f>+'MRS LIST'!I98</f>
        <v>95</v>
      </c>
      <c r="G98" s="89">
        <f>+'MRS LIST'!J98</f>
        <v>95</v>
      </c>
      <c r="H98" s="93"/>
    </row>
    <row r="99" spans="1:13" s="55" customFormat="1" ht="26.25" customHeight="1">
      <c r="A99" s="85">
        <f t="shared" si="1"/>
        <v>94</v>
      </c>
      <c r="B99" s="172" t="str">
        <f>+'MRS LIST'!B99</f>
        <v>Inspection of High Pressure Pump</v>
      </c>
      <c r="C99" s="173"/>
      <c r="D99" s="86" t="str">
        <f>+'MRS LIST'!G99</f>
        <v>EA</v>
      </c>
      <c r="E99" s="87">
        <f>+'MRS LIST'!H99</f>
        <v>1</v>
      </c>
      <c r="F99" s="88">
        <f>+'MRS LIST'!I99</f>
        <v>190</v>
      </c>
      <c r="G99" s="89">
        <f>+'MRS LIST'!J99</f>
        <v>190</v>
      </c>
      <c r="H99" s="93"/>
    </row>
    <row r="100" spans="1:13" s="55" customFormat="1" ht="26.25" customHeight="1">
      <c r="A100" s="85">
        <f t="shared" si="1"/>
        <v>95</v>
      </c>
      <c r="B100" s="172" t="str">
        <f>+'MRS LIST'!B100</f>
        <v>Inspection of Water Pump</v>
      </c>
      <c r="C100" s="173"/>
      <c r="D100" s="86" t="str">
        <f>+'MRS LIST'!G100</f>
        <v>EA</v>
      </c>
      <c r="E100" s="87">
        <f>+'MRS LIST'!H100</f>
        <v>1</v>
      </c>
      <c r="F100" s="88">
        <f>+'MRS LIST'!I100</f>
        <v>190</v>
      </c>
      <c r="G100" s="89">
        <f>+'MRS LIST'!J100</f>
        <v>190</v>
      </c>
      <c r="H100" s="93"/>
    </row>
    <row r="101" spans="1:13" s="55" customFormat="1" ht="26.25" customHeight="1">
      <c r="A101" s="85">
        <f t="shared" si="1"/>
        <v>96</v>
      </c>
      <c r="B101" s="172" t="str">
        <f>+'MRS LIST'!B101</f>
        <v>Calibration of Clamp On Ac/Dc Hi Tester</v>
      </c>
      <c r="C101" s="173"/>
      <c r="D101" s="86" t="str">
        <f>+'MRS LIST'!G101</f>
        <v>EA</v>
      </c>
      <c r="E101" s="87">
        <f>+'MRS LIST'!H101</f>
        <v>1</v>
      </c>
      <c r="F101" s="88">
        <f>+'MRS LIST'!I101</f>
        <v>175</v>
      </c>
      <c r="G101" s="89">
        <f>+'MRS LIST'!J101</f>
        <v>175</v>
      </c>
      <c r="H101" s="93"/>
    </row>
    <row r="102" spans="1:13" s="55" customFormat="1" ht="26.25" customHeight="1">
      <c r="A102" s="85">
        <f t="shared" si="1"/>
        <v>97</v>
      </c>
      <c r="B102" s="172" t="str">
        <f>+'MRS LIST'!B102</f>
        <v>Air Quality Test for Air Compressor (Breathing Air)</v>
      </c>
      <c r="C102" s="173"/>
      <c r="D102" s="86" t="str">
        <f>+'MRS LIST'!G102</f>
        <v>EA</v>
      </c>
      <c r="E102" s="87">
        <f>+'MRS LIST'!H102</f>
        <v>1</v>
      </c>
      <c r="F102" s="88">
        <f>+'MRS LIST'!I102</f>
        <v>650</v>
      </c>
      <c r="G102" s="89">
        <f>+'MRS LIST'!J102</f>
        <v>650</v>
      </c>
      <c r="H102" s="93"/>
    </row>
    <row r="103" spans="1:13" s="55" customFormat="1" ht="23.1" customHeight="1">
      <c r="A103" s="167" t="s">
        <v>85</v>
      </c>
      <c r="B103" s="168"/>
      <c r="C103" s="168"/>
      <c r="D103" s="168"/>
      <c r="E103" s="168"/>
      <c r="F103" s="168"/>
      <c r="G103" s="58">
        <f>SUM(G6:G102)</f>
        <v>16550</v>
      </c>
      <c r="H103" s="59"/>
    </row>
    <row r="104" spans="1:13" s="55" customFormat="1" ht="23.1" customHeight="1">
      <c r="A104" s="167" t="s">
        <v>49</v>
      </c>
      <c r="B104" s="168"/>
      <c r="C104" s="168"/>
      <c r="D104" s="168"/>
      <c r="E104" s="168"/>
      <c r="F104" s="168"/>
      <c r="G104" s="58">
        <f>+G103*0.15</f>
        <v>2482.5</v>
      </c>
      <c r="H104" s="59"/>
    </row>
    <row r="105" spans="1:13" s="55" customFormat="1" ht="24.95" customHeight="1" thickBot="1">
      <c r="A105" s="169" t="s">
        <v>86</v>
      </c>
      <c r="B105" s="170"/>
      <c r="C105" s="170"/>
      <c r="D105" s="170"/>
      <c r="E105" s="170"/>
      <c r="F105" s="170"/>
      <c r="G105" s="60">
        <f>G104+G103</f>
        <v>19032.5</v>
      </c>
      <c r="H105" s="61"/>
    </row>
    <row r="106" spans="1:13" ht="15.75" thickTop="1">
      <c r="A106" s="62" t="str">
        <f>" 1) Above Price are as per your quotation with ref "&amp;'PO 1st page'!K14</f>
        <v xml:space="preserve"> 1) Above Price are as per your quotation with ref GTEC/AJ/25/QTN/0332</v>
      </c>
      <c r="B106" s="63"/>
      <c r="C106" s="63"/>
      <c r="D106" s="64"/>
      <c r="E106" s="64"/>
      <c r="F106" s="64"/>
      <c r="G106" s="64"/>
      <c r="H106" s="64"/>
    </row>
    <row r="107" spans="1:13" ht="15">
      <c r="A107" s="65" t="s">
        <v>87</v>
      </c>
      <c r="B107" s="66"/>
      <c r="C107" s="66"/>
      <c r="D107" s="67"/>
      <c r="E107" s="67"/>
      <c r="F107" s="67"/>
      <c r="G107" s="67"/>
      <c r="H107" s="67"/>
      <c r="I107" s="68"/>
    </row>
    <row r="108" spans="1:13" ht="15.75">
      <c r="A108" s="69"/>
    </row>
    <row r="109" spans="1:13">
      <c r="A109" s="171" t="s">
        <v>88</v>
      </c>
      <c r="B109" s="171"/>
      <c r="C109" s="171"/>
      <c r="D109" s="171"/>
      <c r="E109" s="171"/>
      <c r="F109" s="171"/>
      <c r="G109" s="171"/>
      <c r="H109" s="171"/>
      <c r="I109" s="70"/>
      <c r="J109" s="70"/>
      <c r="K109" s="70"/>
      <c r="L109" s="70"/>
      <c r="M109" s="70"/>
    </row>
    <row r="110" spans="1:13" ht="15.75">
      <c r="A110" s="69"/>
      <c r="C110" s="71"/>
    </row>
    <row r="111" spans="1:13" ht="15.75">
      <c r="A111" s="69"/>
      <c r="C111" s="71"/>
    </row>
    <row r="113" ht="12" customHeight="1"/>
  </sheetData>
  <mergeCells count="109"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27:C2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03:F103"/>
    <mergeCell ref="A104:F104"/>
    <mergeCell ref="A105:F105"/>
    <mergeCell ref="A109:H10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2025-05-04T11:11:19Z</cp:lastPrinted>
  <dcterms:created xsi:type="dcterms:W3CDTF">2024-10-20T11:50:19Z</dcterms:created>
  <dcterms:modified xsi:type="dcterms:W3CDTF">2025-05-04T11:12:38Z</dcterms:modified>
</cp:coreProperties>
</file>