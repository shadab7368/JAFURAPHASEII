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AC6A648C-CB3D-497E-BE3E-98B468A8B07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9" i="3" l="1"/>
  <c r="B6" i="4"/>
  <c r="H6" i="4"/>
  <c r="E3" i="1" l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<sst xmlns="http://schemas.openxmlformats.org/spreadsheetml/2006/main" count="153" uniqueCount="119">
  <si>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</si>
  <si>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</si>
  <si>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</si>
  <si>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</si>
  <si>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</si>
  <si>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</si>
  <si>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</si>
  <si>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</si>
  <si>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</si>
  <si>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</si>
  <si>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</si>
  <si>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</si>
  <si>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</si>
  <si>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</si>
  <si>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</si>
  <si>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</si>
  <si>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</si>
  <si>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</si>
  <si>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</si>
  <si>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</si>
  <si>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</si>
  <si>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</si>
  <si>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</si>
  <si>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</si>
  <si>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</si>
  <si>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</si>
  <si>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</si>
  <si>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</si>
  <si>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</si>
  <si>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</si>
  <si>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</si>
  <si>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</si>
  <si>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</si>
  <si>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</si>
  <si>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</si>
  <si>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</si>
  <si>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</si>
  <si>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</si>
  <si>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</si>
  <si>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</si>
  <si>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</si>
  <si>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</si>
  <si>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</si>
  <si>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</si>
  <si>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</si>
  <si>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</si>
  <si>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</si>
  <si>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</si>
  <si>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</si>
  <si>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</si>
  <si>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</si>
  <si>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</si>
  <si>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</si>
  <si>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</si>
  <si>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</si>
  <si>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</si>
  <si>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</si>
  <si>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</si>
  <si>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</si>
  <si>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</si>
  <si>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</si>
  <si>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</si>
  <si>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</si>
  <si>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</si>
  <si>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</si>
  <si>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</si>
  <si>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</si>
  <si>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</si>
  <si>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</si>
  <si>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</si>
  <si>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</si>
  <si>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</si>
  <si>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</si>
  <si>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</si>
  <si>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</si>
  <si>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</si>
  <si>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</si>
  <si>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</si>
  <si>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</si>
  <si>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</si>
  <si>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</si>
  <si>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</si>
  <si>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</si>
  <si>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</si>
  <si>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</si>
  <si>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</si>
  <si>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</si>
  <si>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</si>
  <si>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</si>
  <si>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</si>
  <si>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</si>
  <si>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</si>
  <si>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</si>
  <si>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</si>
  <si>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</si>
  <si>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</si>
  <si>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</si>
  <si>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</si>
  <si>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</si>
  <si>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</si>
  <si>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 xml:space="preserve">Hourly Based 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</si>
  <si>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</si>
  <si>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</si>
  <si>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Monthly Based</t>
  </si>
  <si>
    <t>Aramco Approved</t>
  </si>
  <si>
    <t>KCCC</t>
  </si>
  <si>
    <t>HR</t>
  </si>
  <si>
    <t>UTA-2669</t>
  </si>
  <si>
    <t>KCCC(Kayada Chark Contracting Company)</t>
  </si>
  <si>
    <t>2050181117</t>
  </si>
  <si>
    <t>Mohammed Shahif</t>
  </si>
  <si>
    <t>Business Development Executive</t>
  </si>
  <si>
    <t>+966 56 905 7633 / Email:shahif@unitecharabia.com</t>
  </si>
  <si>
    <t>Jabal Street, Al Jubail, Kingdom of Saudi Arabia</t>
  </si>
  <si>
    <t>Mobile : +966 56 905 7633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</si>
  <si>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-MRS-0119</t>
    </r>
  </si>
  <si>
    <t>312009841900003</t>
  </si>
  <si>
    <t>Rigger Level 3</t>
  </si>
  <si>
    <t>Rigger Level 3 Aramco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</si>
</sst>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&quot;Required delivery date : &quot;[$-409]d&quot;-&quot;mmm&quot;-&quot;yyyy;@"/>
    <numFmt numFmtId="167" formatCode="&quot;Date of writing :&quot;\ dd/mmm/yyyy"/>
    <numFmt numFmtId="168" formatCode="#,##0;[Red]\-#,##0;"/>
    <numFmt numFmtId="169" formatCode="#,##0.00\ ;\-#,##0.00\ ;"/>
    <numFmt numFmtId="170" formatCode="#,##0;\-#,##0;"/>
    <numFmt numFmtId="171" formatCode="[$-409]d\-mmm\-yyyy;@"/>
    <numFmt numFmtId="172" formatCode="[$-409]d/mmm/yy;@"/>
    <numFmt numFmtId="173" formatCode="_([$SAR]\ * #,##0.00_);_([$SAR]\ * \(#,##0.00\);_([$SAR]\ * &quot;-&quot;??_);_(@_)"/>
    <numFmt numFmtId="174" formatCode="dd/mmm/yyyy"/>
    <numFmt numFmtId="175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165" fontId="4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165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2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1" fontId="7" fillId="0" borderId="0" xfId="6" quotePrefix="1" applyNumberFormat="1" applyFont="1" applyAlignment="1">
      <alignment horizontal="left" vertical="top"/>
    </xf>
    <xf numFmtId="174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165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3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2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165" fontId="5" fillId="0" borderId="40" xfId="9" quotePrefix="1" applyFont="1" applyFill="1" applyBorder="1" applyAlignment="1">
      <alignment vertical="center"/>
    </xf>
    <xf numFmtId="165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165" fontId="5" fillId="0" borderId="22" xfId="9" quotePrefix="1" applyFont="1" applyFill="1" applyBorder="1" applyAlignment="1">
      <alignment vertical="center"/>
    </xf>
    <xf numFmtId="165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165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7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5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70" fontId="5" fillId="0" borderId="22" xfId="0" applyNumberFormat="1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169" fontId="2" fillId="0" borderId="16" xfId="0" applyNumberFormat="1" applyFont="1" applyBorder="1" applyAlignment="1">
      <alignment horizontal="right" vertical="center" wrapText="1"/>
    </xf>
    <xf numFmtId="169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9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1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173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6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1" fontId="33" fillId="3" borderId="0" xfId="5" quotePrefix="1" applyNumberFormat="1" applyFont="1" applyFill="1" applyAlignment="1">
      <alignment horizontal="left" vertical="center"/>
    </xf>
    <xf numFmtId="171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3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3318AC58-0842-40B2-9794-513543302AB9}"/>
    <cellStyle name="쉼표 [0] 2 2 3" xfId="12" xr:uid="{21975012-6124-4624-917D-D958A7236598}"/>
    <cellStyle name="쉼표 2" xfId="9" xr:uid="{F2A3A689-A30F-4FCA-9C51-F28F11796A46}"/>
    <cellStyle name="쉼표 2 2" xfId="18" xr:uid="{30965E5B-BD16-4761-8F2A-20B1A66EF638}"/>
    <cellStyle name="쉼표 2 3" xfId="14" xr:uid="{EBF854AA-1BBC-4B60-A393-EF216CD623B2}"/>
    <cellStyle name="표준 2 2" xfId="2" xr:uid="{12B761D3-4229-4E14-8168-D5975293A996}"/>
    <cellStyle name="표준 2 2 2" xfId="15" xr:uid="{23D9CF93-A0DE-4474-B204-3CFFB35C7239}"/>
    <cellStyle name="표준 2 2 3" xfId="11" xr:uid="{BF77E8BB-EBC2-4557-9D3A-E9B902F30C84}"/>
    <cellStyle name="표준 2 3 2 2" xfId="5" xr:uid="{BD51BFCC-3D36-446B-BE80-7856DF8371E9}"/>
    <cellStyle name="표준 2 3 2 2 2" xfId="17" xr:uid="{DC66ED9D-D108-4AD5-B820-79E2A38ED09D}"/>
    <cellStyle name="표준 2 3 2 2 3" xfId="13" xr:uid="{2FF1064B-F914-488F-91BF-8B194E779540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16</xdr:row>
          <xdr:rowOff>240630</xdr:rowOff>
        </xdr:from>
        <xdr:to>
          <xdr:col>12</xdr:col>
          <xdr:colOff>10528</xdr:colOff>
          <xdr:row>23</xdr:row>
          <xdr:rowOff>200526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35842" y="4973051"/>
              <a:ext cx="40812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F22" sqref="F2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98</v>
      </c>
      <c r="B1" s="110"/>
      <c r="C1" s="110"/>
      <c r="D1" s="110"/>
      <c r="E1" s="110"/>
      <c r="F1" s="110"/>
      <c r="G1" s="1"/>
      <c r="J1" s="141" t="s">
        <v>92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101</v>
      </c>
      <c r="E2" s="101"/>
      <c r="F2" s="101"/>
      <c r="G2" s="101"/>
      <c r="H2" s="101"/>
      <c r="I2" s="4"/>
      <c r="J2" s="144" t="s">
        <v>99</v>
      </c>
      <c r="K2" s="145"/>
      <c r="L2" s="146"/>
    </row>
    <row r="3" spans="1:19" ht="20.100000000000001" customHeight="1">
      <c r="A3" s="3" t="s">
        <v>115</v>
      </c>
      <c r="B3" s="101"/>
      <c r="C3" s="101"/>
      <c r="D3" s="101"/>
      <c r="E3" s="147">
        <f>+L3</f>
        <v>45902</v>
      </c>
      <c r="F3" s="147"/>
      <c r="G3" s="147"/>
      <c r="H3" s="147"/>
      <c r="I3" s="147"/>
      <c r="J3" s="101"/>
      <c r="K3" s="101"/>
      <c r="L3" s="122">
        <v>45902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96</v>
      </c>
      <c r="J4" s="148" t="s">
        <v>97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117</v>
      </c>
      <c r="C6" s="130"/>
      <c r="D6" s="131" t="s">
        <v>104</v>
      </c>
      <c r="E6" s="132"/>
      <c r="F6" s="133"/>
      <c r="G6" s="111" t="s">
        <v>106</v>
      </c>
      <c r="H6" s="112">
        <v>1</v>
      </c>
      <c r="I6" s="113">
        <v>65</v>
      </c>
      <c r="J6" s="113">
        <f>H6*I6</f>
        <v>65</v>
      </c>
      <c r="K6" s="114" t="s">
        <v>105</v>
      </c>
      <c r="L6" s="115" t="s">
        <v>103</v>
      </c>
      <c r="S6" s="106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65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T8" sqref="T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()</v>
      </c>
      <c r="K2" s="146"/>
    </row>
    <row r="3" spans="1:18" ht="24.95" customHeight="1">
      <c r="A3" s="3" t="str">
        <f>+MRS!A3</f>
        <v xml:space="preserve">  MRS No : SAC2-DS-MRS-0119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45902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93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Rigger Level 3</v>
      </c>
      <c r="C6" s="166"/>
      <c r="D6" s="167" t="str">
        <f>MRS!D6</f>
        <v>Aramco Approved</v>
      </c>
      <c r="E6" s="168"/>
      <c r="F6" s="169"/>
      <c r="G6" s="103" t="str">
        <f>MRS!G6</f>
        <v>HR</v>
      </c>
      <c r="H6" s="103">
        <f>MRS!H6</f>
        <v>1</v>
      </c>
      <c r="I6" s="104">
        <f>MRS!I6</f>
        <v>65</v>
      </c>
      <c r="J6" s="104">
        <f>MRS!J6</f>
        <v>65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108</v>
      </c>
      <c r="D9" s="39"/>
      <c r="E9" s="39"/>
    </row>
    <row r="10" spans="2:13" s="39" customFormat="1">
      <c r="B10" s="72"/>
      <c r="C10" s="39" t="s">
        <v>33</v>
      </c>
      <c r="D10" s="76" t="s">
        <v>109</v>
      </c>
      <c r="J10" s="39" t="s">
        <v>34</v>
      </c>
      <c r="K10" s="173">
        <f>MRS!L3</f>
        <v>45902</v>
      </c>
      <c r="L10" s="174"/>
      <c r="M10" s="174"/>
    </row>
    <row r="11" spans="2:13" s="39" customFormat="1">
      <c r="B11" s="72"/>
      <c r="C11" s="75" t="s">
        <v>35</v>
      </c>
      <c r="D11" s="76" t="s">
        <v>116</v>
      </c>
      <c r="J11" s="39" t="s">
        <v>36</v>
      </c>
      <c r="K11" s="175" t="str">
        <f>SUBSTITUTE(SUBSTITUTE(+MRS!A3,"  MRS No : ",""),"-MRS","-PO")</f>
        <v>SAC2-DS-PO-0119</v>
      </c>
      <c r="L11" s="175"/>
      <c r="M11" s="175"/>
    </row>
    <row r="12" spans="2:13" s="39" customFormat="1">
      <c r="B12" s="72"/>
      <c r="C12" s="75" t="s">
        <v>37</v>
      </c>
      <c r="D12" s="39" t="s">
        <v>110</v>
      </c>
      <c r="J12" s="39" t="s">
        <v>38</v>
      </c>
    </row>
    <row r="13" spans="2:13" s="39" customFormat="1">
      <c r="B13" s="72"/>
      <c r="C13" s="77"/>
      <c r="D13" s="76" t="s">
        <v>112</v>
      </c>
      <c r="J13" s="39" t="s">
        <v>39</v>
      </c>
    </row>
    <row r="14" spans="2:13" s="39" customFormat="1">
      <c r="B14" s="72"/>
      <c r="C14" s="77" t="s">
        <v>113</v>
      </c>
      <c r="J14" s="39" t="s">
        <v>40</v>
      </c>
      <c r="K14" s="39" t="s">
        <v>107</v>
      </c>
    </row>
    <row r="15" spans="2:13" s="39" customFormat="1">
      <c r="B15" s="72"/>
      <c r="C15" s="77" t="s">
        <v>114</v>
      </c>
      <c r="J15" s="39" t="s">
        <v>41</v>
      </c>
      <c r="K15" s="78">
        <v>45901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118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24" t="s">
        <v>100</v>
      </c>
      <c r="G29" s="124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102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Shahif</v>
      </c>
    </row>
    <row r="60" spans="1:16" ht="18" customHeight="1">
      <c r="B60" s="26" t="s">
        <v>72</v>
      </c>
      <c r="J60" s="26" t="s">
        <v>73</v>
      </c>
      <c r="K60" s="22" t="s">
        <v>111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KCCC(Kayada Chark Contracting Company)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SAC2-DS-PO-0119</v>
      </c>
      <c r="C2" s="188" t="s">
        <v>79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45902</v>
      </c>
      <c r="C3" s="51"/>
      <c r="D3" s="52"/>
      <c r="E3" s="189" t="s">
        <v>81</v>
      </c>
      <c r="F3" s="189"/>
      <c r="G3" s="189"/>
      <c r="H3" s="189"/>
      <c r="I3" s="53"/>
    </row>
    <row r="4" spans="1:13" s="55" customFormat="1" ht="28.5" customHeight="1" thickTop="1">
      <c r="A4" s="190" t="s">
        <v>82</v>
      </c>
      <c r="B4" s="192" t="s">
        <v>83</v>
      </c>
      <c r="C4" s="193"/>
      <c r="D4" s="196" t="s">
        <v>84</v>
      </c>
      <c r="E4" s="196" t="s">
        <v>85</v>
      </c>
      <c r="F4" s="198" t="str">
        <f>'PO 1st page'!C9</f>
        <v>KCCC(Kayada Chark Contracting Company)</v>
      </c>
      <c r="G4" s="199"/>
      <c r="H4" s="200" t="s">
        <v>86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87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CONCATENATE(MRS!B6," ",MRS!D6)</f>
        <v>Rigger Level 3 Aramco Approved</v>
      </c>
      <c r="C6" s="203"/>
      <c r="D6" s="86" t="str">
        <f>+'MRS LIST'!G6</f>
        <v>HR</v>
      </c>
      <c r="E6" s="87">
        <f>+'MRS LIST'!H6</f>
        <v>1</v>
      </c>
      <c r="F6" s="88">
        <f>+'MRS LIST'!I6</f>
        <v>65</v>
      </c>
      <c r="G6" s="89">
        <f>+'MRS LIST'!J6</f>
        <v>65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/>
      <c r="C7" s="20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88</v>
      </c>
      <c r="B18" s="183"/>
      <c r="C18" s="183"/>
      <c r="D18" s="183"/>
      <c r="E18" s="183"/>
      <c r="F18" s="183"/>
      <c r="G18" s="58">
        <f>SUM(G6:G17)</f>
        <v>65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9.75</v>
      </c>
      <c r="H19" s="59"/>
    </row>
    <row r="20" spans="1:13" s="55" customFormat="1" ht="24.95" customHeight="1" thickBot="1">
      <c r="A20" s="184" t="s">
        <v>89</v>
      </c>
      <c r="B20" s="185"/>
      <c r="C20" s="185"/>
      <c r="D20" s="185"/>
      <c r="E20" s="185"/>
      <c r="F20" s="185"/>
      <c r="G20" s="60">
        <f>G19+G18</f>
        <v>74.75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UTA-2669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2025-09-02T05:52:13Z</cp:lastPrinted>
  <dcterms:created xsi:type="dcterms:W3CDTF">2024-10-20T11:50:19Z</dcterms:created>
  <dcterms:modified xsi:type="dcterms:W3CDTF">2025-09-02T05:52:21Z</dcterms:modified>
</cp:coreProperties>
</file>