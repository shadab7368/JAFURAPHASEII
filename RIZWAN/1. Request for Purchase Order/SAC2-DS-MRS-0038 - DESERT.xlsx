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876FBC00-1872-4ED1-92C1-0C78E75B1CFD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<sst xmlns="http://schemas.openxmlformats.org/spreadsheetml/2006/main" count="152" uniqueCount="117">
  <si>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</si>
  <si>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</si>
  <si>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</si>
  <si>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</si>
  <si>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</si>
  <si>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</si>
  <si>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</si>
  <si>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</si>
  <si>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</si>
  <si>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</si>
  <si>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</si>
  <si>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</si>
  <si>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</si>
  <si>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</si>
  <si>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</si>
  <si>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</si>
  <si>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</si>
  <si>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</si>
  <si>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</si>
  <si>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</si>
  <si>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</si>
  <si>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</si>
  <si>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</si>
  <si>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</si>
  <si>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</si>
  <si>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</si>
  <si>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</si>
  <si>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</si>
  <si>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</si>
  <si>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</si>
  <si>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</si>
  <si>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</si>
  <si>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</si>
  <si>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</si>
  <si>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</si>
  <si>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</si>
  <si>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</si>
  <si>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</si>
  <si>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</si>
  <si>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</si>
  <si>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</si>
  <si>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</si>
  <si>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</si>
  <si>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</si>
  <si>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</si>
  <si>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</si>
  <si>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</si>
  <si>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</si>
  <si>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</si>
  <si>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</si>
  <si>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</si>
  <si>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</si>
  <si>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</si>
  <si>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</si>
  <si>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</si>
  <si>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</si>
  <si>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</si>
  <si>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</si>
  <si>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</si>
  <si>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</si>
  <si>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</si>
  <si>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</si>
  <si>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</si>
  <si>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</si>
  <si>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</si>
  <si>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</si>
  <si>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</si>
  <si>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</si>
  <si>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</si>
  <si>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</si>
  <si>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</si>
  <si>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</si>
  <si>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</si>
  <si>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</si>
  <si>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</si>
  <si>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</si>
  <si>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</si>
  <si>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</si>
  <si>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</si>
  <si>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</si>
  <si>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</si>
  <si>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</si>
  <si>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</si>
  <si>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</si>
  <si>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</si>
  <si>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</si>
  <si>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</si>
  <si>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</si>
  <si>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</si>
  <si>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</si>
  <si>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</si>
  <si>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</si>
  <si>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</si>
  <si>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</si>
  <si>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</si>
  <si>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</si>
  <si>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</si>
  <si>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</si>
  <si>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</si>
  <si>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</si>
  <si>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</si>
  <si>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</si>
  <si>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Bldg No . 4645  King Fahad Street, Opposite Jubail Mall , Al Jubail</t>
  </si>
  <si>
    <t>Shameer Rehaman</t>
  </si>
  <si>
    <t>+966 53 3121661 / Email:shameer@desertsolutionindus.com</t>
  </si>
  <si>
    <t>Landline: +966 13 362 3735 / Mobile : +966 533121661</t>
  </si>
  <si>
    <t>Managing Partner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</si>
  <si>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</si>
  <si>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</si>
  <si>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-MRS-0038</t>
    </r>
  </si>
  <si>
    <t xml:space="preserve">Bus </t>
  </si>
  <si>
    <t>Monthly</t>
  </si>
  <si>
    <t>Monthly Based</t>
  </si>
  <si>
    <t>Bus with Driver</t>
  </si>
  <si>
    <t>DSCE/DAE/Q-10853</t>
  </si>
  <si>
    <t xml:space="preserve">  Delivery &amp; Payment : Dong Chang Kim / Daeshin Admin. [ Mobile No. : +966 53 748 5762 / Email : kdchjs@daeshinplant.com ]</t>
  </si>
  <si>
    <t>Division (In charge Name) : ADMIN MANAGER (Dong Chang Kim)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</si>
</sst>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N12" sqref="N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108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116</v>
      </c>
      <c r="E2" s="101"/>
      <c r="F2" s="101"/>
      <c r="G2" s="101"/>
      <c r="H2" s="101"/>
      <c r="I2" s="4"/>
      <c r="J2" s="128" t="s">
        <v>107</v>
      </c>
      <c r="K2" s="129"/>
      <c r="L2" s="130"/>
    </row>
    <row r="3" spans="1:19" ht="20.100000000000001" customHeight="1">
      <c r="A3" s="3" t="s">
        <v>109</v>
      </c>
      <c r="B3" s="101"/>
      <c r="C3" s="101"/>
      <c r="D3" s="101"/>
      <c r="E3" s="131">
        <f>+L3</f>
        <v>45742</v>
      </c>
      <c r="F3" s="131"/>
      <c r="G3" s="131"/>
      <c r="H3" s="131"/>
      <c r="I3" s="131"/>
      <c r="J3" s="101"/>
      <c r="K3" s="101"/>
      <c r="L3" s="122">
        <v>45742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96</v>
      </c>
      <c r="J4" s="132" t="s">
        <v>97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110</v>
      </c>
      <c r="C6" s="145"/>
      <c r="D6" s="146" t="s">
        <v>113</v>
      </c>
      <c r="E6" s="147"/>
      <c r="F6" s="148"/>
      <c r="G6" s="111" t="s">
        <v>111</v>
      </c>
      <c r="H6" s="112">
        <v>1</v>
      </c>
      <c r="I6" s="113">
        <v>11500</v>
      </c>
      <c r="J6" s="113">
        <f>H6*I6</f>
        <v>11500</v>
      </c>
      <c r="K6" s="114" t="s">
        <v>99</v>
      </c>
      <c r="L6" s="115" t="s">
        <v>112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SAC2-DS-MRS-0038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45742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 xml:space="preserve">Bus </v>
      </c>
      <c r="C6" s="163"/>
      <c r="D6" s="164" t="str">
        <f>MRS!D6</f>
        <v>Bus with Driver</v>
      </c>
      <c r="E6" s="165"/>
      <c r="F6" s="166"/>
      <c r="G6" s="103" t="str">
        <f>MRS!G6</f>
        <v>Monthly</v>
      </c>
      <c r="H6" s="103">
        <f>MRS!H6</f>
        <v>1</v>
      </c>
      <c r="I6" s="104">
        <f>MRS!I6</f>
        <v>11500</v>
      </c>
      <c r="J6" s="104">
        <f>MRS!J6</f>
        <v>11500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25" zoomScale="130" zoomScaleNormal="100" zoomScaleSheetLayoutView="130" workbookViewId="0">
      <selection activeCell="P41" sqref="P4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>
        <v>2055104339</v>
      </c>
      <c r="J10" s="39" t="s">
        <v>34</v>
      </c>
      <c r="K10" s="173">
        <f>MRS!L3</f>
        <v>45742</v>
      </c>
      <c r="L10" s="174"/>
      <c r="M10" s="174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5" t="str">
        <f>SUBSTITUTE(SUBSTITUTE(+MRS!A3,"  MRS No : ",""),"-MRS","-PO")</f>
        <v>SAC2-DS-PO-0038</v>
      </c>
      <c r="L11" s="175"/>
      <c r="M11" s="175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104</v>
      </c>
      <c r="J13" s="39" t="s">
        <v>39</v>
      </c>
    </row>
    <row r="14" spans="2:13" s="39" customFormat="1">
      <c r="B14" s="72"/>
      <c r="C14" s="77" t="s">
        <v>102</v>
      </c>
      <c r="J14" s="39" t="s">
        <v>40</v>
      </c>
      <c r="K14" s="39" t="s">
        <v>114</v>
      </c>
    </row>
    <row r="15" spans="2:13" s="39" customFormat="1">
      <c r="B15" s="72"/>
      <c r="C15" s="77" t="s">
        <v>105</v>
      </c>
      <c r="J15" s="39" t="s">
        <v>41</v>
      </c>
      <c r="K15" s="78">
        <v>45690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112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115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Shameer Rehaman</v>
      </c>
    </row>
    <row r="60" spans="1:16" ht="18" customHeight="1">
      <c r="B60" s="26" t="s">
        <v>72</v>
      </c>
      <c r="J60" s="26" t="s">
        <v>73</v>
      </c>
      <c r="K60" s="22" t="s">
        <v>106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J6" sqref="J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SAC2-DS-PO-0038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45742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DSGC(Desert Solution General Contracting Company LLC)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 xml:space="preserve">Bus </v>
      </c>
      <c r="C6" s="199"/>
      <c r="D6" s="86" t="str">
        <f>+'MRS LIST'!G6</f>
        <v>Monthly</v>
      </c>
      <c r="E6" s="87">
        <f>+'MRS LIST'!H6</f>
        <v>1</v>
      </c>
      <c r="F6" s="88">
        <f>+'MRS LIST'!I6</f>
        <v>11500</v>
      </c>
      <c r="G6" s="89">
        <f>+'MRS LIST'!J6</f>
        <v>11500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/>
      <c r="C7" s="19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11500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1725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13225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DSCE/DAE/Q-10853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2025-03-27T02:46:31Z</cp:lastPrinted>
  <dcterms:created xsi:type="dcterms:W3CDTF">2024-10-20T11:50:19Z</dcterms:created>
  <dcterms:modified xsi:type="dcterms:W3CDTF">2025-03-27T02:47:35Z</dcterms:modified>
</cp:coreProperties>
</file>