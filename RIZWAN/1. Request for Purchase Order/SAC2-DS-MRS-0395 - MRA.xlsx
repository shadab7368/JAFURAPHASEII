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20FE7E1-ADE2-4FDE-9BD7-E784975EB372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29" i="3"/>
  <c r="F18" i="4" l="1"/>
  <c r="G18" i="4" s="1"/>
  <c r="E18" i="4"/>
  <c r="D18" i="4"/>
  <c r="F17" i="4"/>
  <c r="G17" i="4" s="1"/>
  <c r="E17" i="4"/>
  <c r="D17" i="4"/>
  <c r="F16" i="4"/>
  <c r="G16" i="4" s="1"/>
  <c r="E16" i="4"/>
  <c r="D16" i="4"/>
  <c r="F15" i="4"/>
  <c r="G15" i="4" s="1"/>
  <c r="E15" i="4"/>
  <c r="D15" i="4"/>
  <c r="F14" i="4"/>
  <c r="G14" i="4" s="1"/>
  <c r="E14" i="4"/>
  <c r="D14" i="4"/>
  <c r="F13" i="4"/>
  <c r="G13" i="4" s="1"/>
  <c r="E13" i="4"/>
  <c r="D13" i="4"/>
  <c r="F12" i="4"/>
  <c r="G12" i="4" s="1"/>
  <c r="E12" i="4"/>
  <c r="D12" i="4"/>
  <c r="F11" i="4"/>
  <c r="G11" i="4" s="1"/>
  <c r="E11" i="4"/>
  <c r="D11" i="4"/>
  <c r="F10" i="4"/>
  <c r="G10" i="4" s="1"/>
  <c r="E10" i="4"/>
  <c r="D10" i="4"/>
  <c r="F9" i="4"/>
  <c r="G9" i="4" s="1"/>
  <c r="E9" i="4"/>
  <c r="D9" i="4"/>
  <c r="F8" i="4"/>
  <c r="G8" i="4" s="1"/>
  <c r="E8" i="4"/>
  <c r="D8" i="4"/>
  <c r="F7" i="4"/>
  <c r="G7" i="4" s="1"/>
  <c r="E7" i="4"/>
  <c r="D7" i="4"/>
  <c r="B18" i="4"/>
  <c r="B17" i="4"/>
  <c r="B16" i="4"/>
  <c r="B15" i="4"/>
  <c r="B14" i="4"/>
  <c r="B13" i="4"/>
  <c r="B12" i="4"/>
  <c r="B11" i="4"/>
  <c r="B10" i="4"/>
  <c r="J9" i="1"/>
  <c r="J8" i="1"/>
  <c r="J7" i="1"/>
  <c r="J16" i="1"/>
  <c r="J15" i="1"/>
  <c r="J14" i="1"/>
  <c r="A18" i="1" l="1"/>
  <c r="A17" i="1"/>
  <c r="A16" i="1"/>
  <c r="A15" i="1"/>
  <c r="A14" i="1"/>
  <c r="A13" i="1"/>
  <c r="A12" i="1"/>
  <c r="A11" i="1"/>
  <c r="E3" i="1"/>
  <c r="H6" i="4" l="1"/>
  <c r="A8" i="1"/>
  <c r="A9" i="1"/>
  <c r="A10" i="1"/>
  <c r="J11" i="1"/>
  <c r="J11" i="2" s="1"/>
  <c r="J10" i="1"/>
  <c r="J10" i="2" s="1"/>
  <c r="F6" i="4"/>
  <c r="E6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7" i="1"/>
  <c r="J14" i="2" s="1"/>
  <c r="I13" i="2"/>
  <c r="H13" i="2"/>
  <c r="G13" i="2"/>
  <c r="D13" i="2"/>
  <c r="B13" i="2"/>
  <c r="I12" i="2"/>
  <c r="H12" i="2"/>
  <c r="G12" i="2"/>
  <c r="D12" i="2"/>
  <c r="B12" i="2"/>
  <c r="J16" i="2"/>
  <c r="J18" i="1"/>
  <c r="J15" i="2" s="1"/>
  <c r="J13" i="1"/>
  <c r="J13" i="2" s="1"/>
  <c r="J12" i="1"/>
  <c r="J12" i="2" s="1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6" i="4" l="1"/>
  <c r="J6" i="1"/>
  <c r="J19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6" i="2" l="1"/>
  <c r="G20" i="4" s="1"/>
  <c r="G21" i="4" l="1"/>
  <c r="G22" i="4" l="1"/>
</calcChain>
</file>

<file path=xl/sharedStrings.xml><?xml version="1.0" encoding="utf-8"?>
<sst xmlns="http://schemas.openxmlformats.org/spreadsheetml/2006/main" count="195" uniqueCount="153">
  <si>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</si>
  <si>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</si>
  <si>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</si>
  <si>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</si>
  <si>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</si>
  <si>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</si>
  <si>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</si>
  <si>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</si>
  <si>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</si>
  <si>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</si>
  <si>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</si>
  <si>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</si>
  <si>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</si>
  <si>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</si>
  <si>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</si>
  <si>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</si>
  <si>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</si>
  <si>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</si>
  <si>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</si>
  <si>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</si>
  <si>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</si>
  <si>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</si>
  <si>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</si>
  <si>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</si>
  <si>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</si>
  <si>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</si>
  <si>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</si>
  <si>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</si>
  <si>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</si>
  <si>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</si>
  <si>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</si>
  <si>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</si>
  <si>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</si>
  <si>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</si>
  <si>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</si>
  <si>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</si>
  <si>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</si>
  <si>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</si>
  <si>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</si>
  <si>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</si>
  <si>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</si>
  <si>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</si>
  <si>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</si>
  <si>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</si>
  <si>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</si>
  <si>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</si>
  <si>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</si>
  <si>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</si>
  <si>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</si>
  <si>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</si>
  <si>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</si>
  <si>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</si>
  <si>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</si>
  <si>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</si>
  <si>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</si>
  <si>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</si>
  <si>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</si>
  <si>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</si>
  <si>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</si>
  <si>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</si>
  <si>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</si>
  <si>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</si>
  <si>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</si>
  <si>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</si>
  <si>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</si>
  <si>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</si>
  <si>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</si>
  <si>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</si>
  <si>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</si>
  <si>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</si>
  <si>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</si>
  <si>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</si>
  <si>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</si>
  <si>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</si>
  <si>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</si>
  <si>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</si>
  <si>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</si>
  <si>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</si>
  <si>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</si>
  <si>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</si>
  <si>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</si>
  <si>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</si>
  <si>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</si>
  <si>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</si>
  <si>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</si>
  <si>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</si>
  <si>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</si>
  <si>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</si>
  <si>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</si>
  <si>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</si>
  <si>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</si>
  <si>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</si>
  <si>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</si>
  <si>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</si>
  <si>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</si>
  <si>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</si>
  <si>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</si>
  <si>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</si>
  <si>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</si>
  <si>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</si>
  <si>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Branch of Hyundai Engineering and Const. Co., Ltd. (HDEC)</t>
  </si>
  <si>
    <t>Bank Account Details:</t>
  </si>
  <si>
    <t>SAUDI NATIONAL BANK</t>
  </si>
  <si>
    <t>NCBKSAJE</t>
  </si>
  <si>
    <t>SAR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</si>
  <si>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</si>
  <si>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</si>
  <si>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</si>
  <si>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</si>
  <si>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</si>
  <si>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</si>
  <si>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</si>
  <si>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</si>
  <si>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SA74 1000 0001 4000 2058 0706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</si>
  <si>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</si>
  <si>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</si>
  <si>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</si>
  <si>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</si>
  <si>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</si>
  <si>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</si>
  <si>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</si>
  <si>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</si>
  <si>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</si>
  <si>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</si>
  <si>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</si>
  <si>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</si>
  <si>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</si>
  <si>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</si>
  <si>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Computer Set</t>
  </si>
  <si>
    <t>I5 14 Generation 8BG Ram 512SSD</t>
  </si>
  <si>
    <t>Dell Monitor</t>
  </si>
  <si>
    <t>24"</t>
  </si>
  <si>
    <t>A4 Box File 30Pcs/box</t>
  </si>
  <si>
    <t>Index Flag</t>
  </si>
  <si>
    <t>76 x 19mm</t>
  </si>
  <si>
    <t>Folding Chair</t>
  </si>
  <si>
    <t xml:space="preserve">Chair </t>
  </si>
  <si>
    <t>Neckless</t>
  </si>
  <si>
    <t>C2 Battery</t>
  </si>
  <si>
    <t>Duracell</t>
  </si>
  <si>
    <t>Wire Mike</t>
  </si>
  <si>
    <t>FR Coverall XAT 2 Forte</t>
  </si>
  <si>
    <t>AA Battery</t>
  </si>
  <si>
    <t>Duracell 1.5V 12*10Pkt*1Box</t>
  </si>
  <si>
    <t>AAA Battery</t>
  </si>
  <si>
    <t>Flag Man Vest Orrange</t>
  </si>
  <si>
    <t>Flag Man Flag</t>
  </si>
  <si>
    <t>EA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</si>
  <si>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</si>
  <si>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-MRS-0395</t>
    </r>
  </si>
  <si>
    <t>MRA/SQ000168</t>
  </si>
  <si>
    <t>Computer Set &amp; Office Materials</t>
  </si>
  <si>
    <t>ESTABLISHMENT MOHAMMED BEN RACHED BEN HAMAD ABORAUZE FOR GENERAL CONTR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</si>
</sst>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769520</xdr:colOff>
          <xdr:row>20</xdr:row>
          <xdr:rowOff>9525</xdr:rowOff>
        </xdr:from>
        <xdr:to>
          <xdr:col>11</xdr:col>
          <xdr:colOff>1456824</xdr:colOff>
          <xdr:row>26</xdr:row>
          <xdr:rowOff>247650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3:$Y$28" spid="_x0000_s12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1599" y="49926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5"/>
  <sheetViews>
    <sheetView showGridLines="0" tabSelected="1" view="pageBreakPreview" topLeftCell="A6" zoomScale="95" zoomScaleNormal="95" zoomScaleSheetLayoutView="95" workbookViewId="0">
      <selection activeCell="Q14" sqref="Q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9.71093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126</v>
      </c>
      <c r="B1" s="126"/>
      <c r="C1" s="101"/>
      <c r="D1" s="101"/>
      <c r="E1" s="101"/>
      <c r="F1" s="101"/>
      <c r="G1" s="1"/>
      <c r="J1" s="147" t="s">
        <v>79</v>
      </c>
      <c r="K1" s="148"/>
      <c r="L1" s="149"/>
    </row>
    <row r="2" spans="1:19" ht="20.100000000000001" customHeight="1">
      <c r="A2" s="3" t="s">
        <v>1</v>
      </c>
      <c r="B2" s="92"/>
      <c r="C2" s="92"/>
      <c r="D2" s="3" t="s">
        <v>127</v>
      </c>
      <c r="E2" s="92"/>
      <c r="F2" s="92"/>
      <c r="G2" s="92"/>
      <c r="H2" s="92"/>
      <c r="I2" s="4"/>
      <c r="J2" s="150" t="s">
        <v>87</v>
      </c>
      <c r="K2" s="151"/>
      <c r="L2" s="152"/>
    </row>
    <row r="3" spans="1:19" ht="20.100000000000001" customHeight="1">
      <c r="A3" s="3" t="s">
        <v>149</v>
      </c>
      <c r="B3" s="92"/>
      <c r="C3" s="92"/>
      <c r="D3" s="92"/>
      <c r="E3" s="153">
        <f>+L3+3</f>
        <v>46246</v>
      </c>
      <c r="F3" s="153"/>
      <c r="G3" s="153"/>
      <c r="H3" s="153"/>
      <c r="I3" s="153"/>
      <c r="J3" s="92"/>
      <c r="K3" s="92"/>
      <c r="L3" s="127">
        <v>46243</v>
      </c>
      <c r="M3" s="4"/>
    </row>
    <row r="4" spans="1:19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83</v>
      </c>
      <c r="J4" s="154" t="s">
        <v>84</v>
      </c>
      <c r="K4" s="164" t="s">
        <v>0</v>
      </c>
      <c r="L4" s="155" t="s">
        <v>7</v>
      </c>
    </row>
    <row r="5" spans="1:19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9" ht="18.75" customHeight="1">
      <c r="A6" s="5">
        <f t="shared" ref="A6:A18" si="0">ROW(A1)</f>
        <v>1</v>
      </c>
      <c r="B6" s="144" t="s">
        <v>128</v>
      </c>
      <c r="C6" s="145"/>
      <c r="D6" s="146" t="s">
        <v>129</v>
      </c>
      <c r="E6" s="146"/>
      <c r="F6" s="146"/>
      <c r="G6" s="102" t="s">
        <v>147</v>
      </c>
      <c r="H6" s="103">
        <v>5</v>
      </c>
      <c r="I6" s="104">
        <v>2790</v>
      </c>
      <c r="J6" s="104">
        <f>H6*I6</f>
        <v>13950</v>
      </c>
      <c r="K6" s="105" t="s">
        <v>99</v>
      </c>
      <c r="L6" s="115" t="s">
        <v>148</v>
      </c>
      <c r="S6" s="97"/>
    </row>
    <row r="7" spans="1:19" ht="18.75" customHeight="1">
      <c r="A7" s="5">
        <f t="shared" si="0"/>
        <v>2</v>
      </c>
      <c r="B7" s="144" t="s">
        <v>130</v>
      </c>
      <c r="C7" s="145"/>
      <c r="D7" s="146" t="s">
        <v>131</v>
      </c>
      <c r="E7" s="146"/>
      <c r="F7" s="146"/>
      <c r="G7" s="102" t="s">
        <v>147</v>
      </c>
      <c r="H7" s="103">
        <v>5</v>
      </c>
      <c r="I7" s="104">
        <v>375</v>
      </c>
      <c r="J7" s="104">
        <f t="shared" ref="J7:J9" si="1">H7*I7</f>
        <v>1875</v>
      </c>
      <c r="K7" s="105"/>
      <c r="L7" s="106"/>
      <c r="S7" s="97"/>
    </row>
    <row r="8" spans="1:19" ht="18.75" customHeight="1">
      <c r="A8" s="5">
        <f t="shared" si="0"/>
        <v>3</v>
      </c>
      <c r="B8" s="144" t="s">
        <v>132</v>
      </c>
      <c r="C8" s="145"/>
      <c r="D8" s="146"/>
      <c r="E8" s="146"/>
      <c r="F8" s="146"/>
      <c r="G8" s="102" t="s">
        <v>147</v>
      </c>
      <c r="H8" s="103">
        <v>5</v>
      </c>
      <c r="I8" s="104">
        <v>150</v>
      </c>
      <c r="J8" s="104">
        <f t="shared" si="1"/>
        <v>750</v>
      </c>
      <c r="K8" s="105"/>
      <c r="L8" s="106"/>
      <c r="S8" s="97"/>
    </row>
    <row r="9" spans="1:19" ht="18.75" customHeight="1">
      <c r="A9" s="5">
        <f t="shared" si="0"/>
        <v>4</v>
      </c>
      <c r="B9" s="144" t="s">
        <v>133</v>
      </c>
      <c r="C9" s="145"/>
      <c r="D9" s="146" t="s">
        <v>134</v>
      </c>
      <c r="E9" s="146"/>
      <c r="F9" s="146"/>
      <c r="G9" s="102" t="s">
        <v>147</v>
      </c>
      <c r="H9" s="103">
        <v>10</v>
      </c>
      <c r="I9" s="104">
        <v>4</v>
      </c>
      <c r="J9" s="104">
        <f t="shared" si="1"/>
        <v>40</v>
      </c>
      <c r="K9" s="105"/>
      <c r="L9" s="106"/>
      <c r="S9" s="97"/>
    </row>
    <row r="10" spans="1:19" ht="18.75" customHeight="1">
      <c r="A10" s="5">
        <f t="shared" si="0"/>
        <v>5</v>
      </c>
      <c r="B10" s="144" t="s">
        <v>135</v>
      </c>
      <c r="C10" s="145"/>
      <c r="D10" s="146"/>
      <c r="E10" s="146"/>
      <c r="F10" s="146"/>
      <c r="G10" s="102" t="s">
        <v>147</v>
      </c>
      <c r="H10" s="103">
        <v>20</v>
      </c>
      <c r="I10" s="107">
        <v>72</v>
      </c>
      <c r="J10" s="104">
        <f t="shared" ref="J10:J18" si="2">H10*I10</f>
        <v>1440</v>
      </c>
      <c r="K10" s="105"/>
      <c r="L10" s="102"/>
      <c r="S10" s="97"/>
    </row>
    <row r="11" spans="1:19" ht="18.75" customHeight="1">
      <c r="A11" s="5">
        <f t="shared" si="0"/>
        <v>6</v>
      </c>
      <c r="B11" s="144" t="s">
        <v>136</v>
      </c>
      <c r="C11" s="145"/>
      <c r="D11" s="146" t="s">
        <v>137</v>
      </c>
      <c r="E11" s="146"/>
      <c r="F11" s="146"/>
      <c r="G11" s="102" t="s">
        <v>147</v>
      </c>
      <c r="H11" s="103">
        <v>4</v>
      </c>
      <c r="I11" s="104">
        <v>155</v>
      </c>
      <c r="J11" s="104">
        <f t="shared" si="2"/>
        <v>620</v>
      </c>
      <c r="K11" s="105"/>
      <c r="L11" s="106"/>
      <c r="S11" s="97"/>
    </row>
    <row r="12" spans="1:19" ht="18.75" customHeight="1">
      <c r="A12" s="5">
        <f t="shared" si="0"/>
        <v>7</v>
      </c>
      <c r="B12" s="144" t="s">
        <v>138</v>
      </c>
      <c r="C12" s="145"/>
      <c r="D12" s="146" t="s">
        <v>139</v>
      </c>
      <c r="E12" s="146"/>
      <c r="F12" s="146"/>
      <c r="G12" s="102" t="s">
        <v>147</v>
      </c>
      <c r="H12" s="103">
        <v>8</v>
      </c>
      <c r="I12" s="107">
        <v>2</v>
      </c>
      <c r="J12" s="104">
        <f t="shared" si="2"/>
        <v>16</v>
      </c>
      <c r="K12" s="105"/>
      <c r="L12" s="102"/>
      <c r="S12" s="97"/>
    </row>
    <row r="13" spans="1:19" ht="18.75" customHeight="1">
      <c r="A13" s="5">
        <f t="shared" si="0"/>
        <v>8</v>
      </c>
      <c r="B13" s="144" t="s">
        <v>140</v>
      </c>
      <c r="C13" s="145"/>
      <c r="D13" s="146"/>
      <c r="E13" s="146"/>
      <c r="F13" s="146"/>
      <c r="G13" s="102" t="s">
        <v>147</v>
      </c>
      <c r="H13" s="103">
        <v>1</v>
      </c>
      <c r="I13" s="104">
        <v>95</v>
      </c>
      <c r="J13" s="104">
        <f t="shared" si="2"/>
        <v>95</v>
      </c>
      <c r="K13" s="105"/>
      <c r="L13" s="106"/>
      <c r="S13" s="97"/>
    </row>
    <row r="14" spans="1:19" ht="18.75" customHeight="1">
      <c r="A14" s="5">
        <f t="shared" si="0"/>
        <v>9</v>
      </c>
      <c r="B14" s="144" t="s">
        <v>141</v>
      </c>
      <c r="C14" s="145"/>
      <c r="D14" s="146"/>
      <c r="E14" s="146"/>
      <c r="F14" s="146"/>
      <c r="G14" s="102" t="s">
        <v>147</v>
      </c>
      <c r="H14" s="103">
        <v>150</v>
      </c>
      <c r="I14" s="104">
        <v>75</v>
      </c>
      <c r="J14" s="104">
        <f t="shared" si="2"/>
        <v>11250</v>
      </c>
      <c r="K14" s="105"/>
      <c r="L14" s="106"/>
      <c r="S14" s="97"/>
    </row>
    <row r="15" spans="1:19" ht="18.75" customHeight="1">
      <c r="A15" s="5">
        <f t="shared" si="0"/>
        <v>10</v>
      </c>
      <c r="B15" s="144" t="s">
        <v>142</v>
      </c>
      <c r="C15" s="145"/>
      <c r="D15" s="146" t="s">
        <v>143</v>
      </c>
      <c r="E15" s="146"/>
      <c r="F15" s="146"/>
      <c r="G15" s="102" t="s">
        <v>147</v>
      </c>
      <c r="H15" s="103">
        <v>120</v>
      </c>
      <c r="I15" s="104">
        <v>2</v>
      </c>
      <c r="J15" s="104">
        <f t="shared" si="2"/>
        <v>240</v>
      </c>
      <c r="K15" s="105"/>
      <c r="L15" s="106"/>
      <c r="S15" s="97"/>
    </row>
    <row r="16" spans="1:19" ht="18.75" customHeight="1">
      <c r="A16" s="5">
        <f t="shared" si="0"/>
        <v>11</v>
      </c>
      <c r="B16" s="144" t="s">
        <v>144</v>
      </c>
      <c r="C16" s="145"/>
      <c r="D16" s="146" t="s">
        <v>143</v>
      </c>
      <c r="E16" s="146"/>
      <c r="F16" s="146"/>
      <c r="G16" s="102" t="s">
        <v>147</v>
      </c>
      <c r="H16" s="103">
        <v>120</v>
      </c>
      <c r="I16" s="104">
        <v>2</v>
      </c>
      <c r="J16" s="104">
        <f t="shared" si="2"/>
        <v>240</v>
      </c>
      <c r="K16" s="105"/>
      <c r="L16" s="106"/>
      <c r="S16" s="97"/>
    </row>
    <row r="17" spans="1:26" ht="18.75" customHeight="1">
      <c r="A17" s="5">
        <f t="shared" si="0"/>
        <v>12</v>
      </c>
      <c r="B17" s="144" t="s">
        <v>145</v>
      </c>
      <c r="C17" s="145"/>
      <c r="D17" s="146"/>
      <c r="E17" s="146"/>
      <c r="F17" s="146"/>
      <c r="G17" s="102" t="s">
        <v>147</v>
      </c>
      <c r="H17" s="103">
        <v>50</v>
      </c>
      <c r="I17" s="104">
        <v>12.5</v>
      </c>
      <c r="J17" s="104">
        <f t="shared" si="2"/>
        <v>625</v>
      </c>
      <c r="K17" s="105"/>
      <c r="L17" s="106"/>
      <c r="S17" s="97"/>
    </row>
    <row r="18" spans="1:26" ht="18.75" customHeight="1">
      <c r="A18" s="5">
        <f t="shared" si="0"/>
        <v>13</v>
      </c>
      <c r="B18" s="144" t="s">
        <v>146</v>
      </c>
      <c r="C18" s="145"/>
      <c r="D18" s="146"/>
      <c r="E18" s="146"/>
      <c r="F18" s="146"/>
      <c r="G18" s="102" t="s">
        <v>147</v>
      </c>
      <c r="H18" s="103">
        <v>50</v>
      </c>
      <c r="I18" s="104">
        <v>4</v>
      </c>
      <c r="J18" s="104">
        <f t="shared" si="2"/>
        <v>200</v>
      </c>
      <c r="K18" s="105"/>
      <c r="L18" s="106"/>
      <c r="S18" s="97"/>
    </row>
    <row r="19" spans="1:26" ht="22.5" customHeight="1">
      <c r="A19" s="142" t="s">
        <v>8</v>
      </c>
      <c r="B19" s="143"/>
      <c r="C19" s="108"/>
      <c r="D19" s="109"/>
      <c r="E19" s="109"/>
      <c r="F19" s="109"/>
      <c r="G19" s="110"/>
      <c r="H19" s="110"/>
      <c r="I19" s="111" t="s">
        <v>9</v>
      </c>
      <c r="J19" s="104">
        <f>SUM(J6:J18)</f>
        <v>31341</v>
      </c>
      <c r="K19" s="104"/>
      <c r="L19" s="112"/>
    </row>
    <row r="20" spans="1:26" ht="20.100000000000001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  <c r="L20" s="9"/>
    </row>
    <row r="21" spans="1:26" ht="18" customHeight="1">
      <c r="A21" s="10"/>
      <c r="J21" s="1"/>
      <c r="K21" s="1"/>
      <c r="O21" s="11"/>
      <c r="P21" s="11"/>
      <c r="Q21" s="11"/>
      <c r="R21" s="11"/>
      <c r="S21" s="11"/>
      <c r="T21" s="11"/>
      <c r="U21" s="11"/>
      <c r="V21" s="11"/>
      <c r="W21" s="11"/>
      <c r="Y21" s="132"/>
      <c r="Z21" s="11"/>
    </row>
    <row r="22" spans="1:26" ht="50.1" customHeight="1">
      <c r="Y22" s="133"/>
    </row>
    <row r="23" spans="1:26" ht="15" customHeight="1">
      <c r="O23" s="128" t="s">
        <v>114</v>
      </c>
      <c r="P23" s="134"/>
      <c r="Q23" s="134"/>
      <c r="R23" s="129"/>
      <c r="S23" s="118"/>
      <c r="T23" s="128" t="s">
        <v>115</v>
      </c>
      <c r="U23" s="134"/>
      <c r="V23" s="134"/>
      <c r="W23" s="134"/>
      <c r="X23" s="134"/>
      <c r="Y23" s="129"/>
    </row>
    <row r="24" spans="1:26" ht="15" customHeight="1">
      <c r="O24" s="135" t="s">
        <v>116</v>
      </c>
      <c r="P24" s="137" t="s">
        <v>117</v>
      </c>
      <c r="Q24" s="135" t="s">
        <v>118</v>
      </c>
      <c r="R24" s="137" t="s">
        <v>119</v>
      </c>
      <c r="S24" s="118"/>
      <c r="T24" s="135" t="s">
        <v>120</v>
      </c>
      <c r="U24" s="137" t="s">
        <v>121</v>
      </c>
      <c r="V24" s="128" t="s">
        <v>122</v>
      </c>
      <c r="W24" s="134"/>
      <c r="X24" s="129"/>
      <c r="Y24" s="137" t="s">
        <v>123</v>
      </c>
    </row>
    <row r="25" spans="1:26" ht="18" customHeight="1">
      <c r="O25" s="136"/>
      <c r="P25" s="138"/>
      <c r="Q25" s="136"/>
      <c r="R25" s="138"/>
      <c r="S25" s="119"/>
      <c r="T25" s="136"/>
      <c r="U25" s="138"/>
      <c r="V25" s="13" t="s">
        <v>116</v>
      </c>
      <c r="W25" s="139" t="s">
        <v>124</v>
      </c>
      <c r="X25" s="140"/>
      <c r="Y25" s="138"/>
    </row>
    <row r="26" spans="1:26" ht="50.1" customHeight="1">
      <c r="O26" s="14"/>
      <c r="P26" s="14"/>
      <c r="Q26" s="14"/>
      <c r="R26" s="14"/>
      <c r="S26" s="118"/>
      <c r="T26" s="14"/>
      <c r="U26" s="14"/>
      <c r="V26" s="14"/>
      <c r="W26" s="128"/>
      <c r="X26" s="129"/>
      <c r="Y26" s="120"/>
    </row>
    <row r="27" spans="1:26" ht="36" customHeight="1">
      <c r="W27" s="121"/>
      <c r="X27" s="130" t="s">
        <v>125</v>
      </c>
      <c r="Y27" s="12" t="s">
        <v>123</v>
      </c>
    </row>
    <row r="28" spans="1:26" ht="50.1" customHeight="1">
      <c r="O28" s="122"/>
      <c r="P28" s="122"/>
      <c r="Q28" s="122"/>
      <c r="R28" s="122"/>
      <c r="S28" s="122"/>
      <c r="T28" s="122"/>
      <c r="U28" s="122"/>
      <c r="V28" s="122"/>
      <c r="W28" s="123"/>
      <c r="X28" s="131"/>
      <c r="Y28" s="124"/>
    </row>
    <row r="29" spans="1:26" ht="19.899999999999999" customHeight="1"/>
    <row r="30" spans="1:26" ht="17.45" customHeight="1">
      <c r="O30" s="141"/>
      <c r="P30" s="141"/>
    </row>
    <row r="31" spans="1:26" ht="19.899999999999999" customHeight="1">
      <c r="O31" s="141"/>
      <c r="P31" s="141"/>
    </row>
    <row r="32" spans="1:26" ht="14.25">
      <c r="O32" s="11"/>
      <c r="P32" s="11"/>
    </row>
    <row r="33" spans="15:20" ht="65.099999999999994" customHeight="1"/>
    <row r="34" spans="15:20" ht="14.25">
      <c r="O34" s="11"/>
      <c r="P34" s="11"/>
      <c r="Q34" s="11"/>
    </row>
    <row r="35" spans="15:20" ht="19.899999999999999" customHeight="1"/>
    <row r="36" spans="15:20" ht="14.25"/>
    <row r="37" spans="15:20" ht="19.899999999999999" customHeight="1"/>
    <row r="38" spans="15:20" ht="14.25"/>
    <row r="39" spans="15:20" ht="19.899999999999999" customHeight="1"/>
    <row r="40" spans="15:20" ht="19.899999999999999" customHeight="1"/>
    <row r="41" spans="15:20" ht="64.900000000000006" customHeight="1"/>
    <row r="43" spans="15:20" ht="19.899999999999999" customHeight="1">
      <c r="T43" s="137" t="s">
        <v>12</v>
      </c>
    </row>
    <row r="44" spans="15:20" ht="19.899999999999999" customHeight="1">
      <c r="T44" s="138"/>
    </row>
    <row r="45" spans="15:20" ht="64.900000000000006" customHeight="1">
      <c r="T45" s="14"/>
    </row>
    <row r="49" spans="15:22" ht="21" customHeight="1">
      <c r="O49" s="137" t="s">
        <v>12</v>
      </c>
      <c r="P49" s="137" t="s">
        <v>12</v>
      </c>
      <c r="Q49" s="137" t="s">
        <v>12</v>
      </c>
      <c r="T49" s="137" t="s">
        <v>13</v>
      </c>
      <c r="U49" s="137" t="s">
        <v>11</v>
      </c>
      <c r="V49" s="137" t="s">
        <v>12</v>
      </c>
    </row>
    <row r="50" spans="15:22" ht="21" customHeight="1">
      <c r="O50" s="138"/>
      <c r="P50" s="138"/>
      <c r="Q50" s="138"/>
      <c r="T50" s="136"/>
      <c r="U50" s="136"/>
      <c r="V50" s="138"/>
    </row>
    <row r="51" spans="15:22" ht="64.900000000000006" customHeight="1">
      <c r="O51" s="14"/>
      <c r="P51" s="14"/>
      <c r="Q51" s="14"/>
      <c r="T51" s="14"/>
      <c r="U51" s="15"/>
      <c r="V51" s="14"/>
    </row>
    <row r="52" spans="15:22" ht="7.15" customHeight="1"/>
    <row r="53" spans="15:22" ht="21" customHeight="1">
      <c r="O53" s="137" t="s">
        <v>12</v>
      </c>
      <c r="P53" s="137" t="s">
        <v>12</v>
      </c>
      <c r="Q53" s="137" t="s">
        <v>12</v>
      </c>
      <c r="T53" s="137" t="s">
        <v>11</v>
      </c>
      <c r="U53" s="137" t="s">
        <v>13</v>
      </c>
      <c r="V53" s="137" t="s">
        <v>12</v>
      </c>
    </row>
    <row r="54" spans="15:22" ht="21" customHeight="1">
      <c r="O54" s="138"/>
      <c r="P54" s="138"/>
      <c r="Q54" s="138"/>
      <c r="T54" s="136"/>
      <c r="U54" s="136"/>
      <c r="V54" s="138"/>
    </row>
    <row r="55" spans="15:22" ht="64.900000000000006" customHeight="1">
      <c r="O55" s="14"/>
      <c r="P55" s="14"/>
      <c r="Q55" s="14"/>
      <c r="T55" s="15"/>
      <c r="U55" s="14"/>
      <c r="V55" s="14"/>
    </row>
  </sheetData>
  <mergeCells count="68">
    <mergeCell ref="D16:F16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A19:B19"/>
    <mergeCell ref="P24:P25"/>
    <mergeCell ref="Q24:Q25"/>
    <mergeCell ref="B12:C12"/>
    <mergeCell ref="D12:F12"/>
    <mergeCell ref="B13:C13"/>
    <mergeCell ref="D13:F13"/>
    <mergeCell ref="B18:C18"/>
    <mergeCell ref="D18:F18"/>
    <mergeCell ref="B17:C17"/>
    <mergeCell ref="D17:F17"/>
    <mergeCell ref="B14:C14"/>
    <mergeCell ref="B15:C15"/>
    <mergeCell ref="B16:C16"/>
    <mergeCell ref="D14:F14"/>
    <mergeCell ref="D15:F15"/>
    <mergeCell ref="O30:O31"/>
    <mergeCell ref="P30:P31"/>
    <mergeCell ref="T43:T44"/>
    <mergeCell ref="O49:O50"/>
    <mergeCell ref="P49:P50"/>
    <mergeCell ref="Q49:Q50"/>
    <mergeCell ref="T49:T50"/>
    <mergeCell ref="U49:U50"/>
    <mergeCell ref="V49:V50"/>
    <mergeCell ref="O53:O54"/>
    <mergeCell ref="P53:P54"/>
    <mergeCell ref="Q53:Q54"/>
    <mergeCell ref="T53:T54"/>
    <mergeCell ref="U53:U54"/>
    <mergeCell ref="V53:V54"/>
    <mergeCell ref="W26:X26"/>
    <mergeCell ref="X27:X28"/>
    <mergeCell ref="Y21:Y22"/>
    <mergeCell ref="O23:R23"/>
    <mergeCell ref="T23:Y23"/>
    <mergeCell ref="O24:O25"/>
    <mergeCell ref="R24:R25"/>
    <mergeCell ref="T24:T25"/>
    <mergeCell ref="U24:U25"/>
    <mergeCell ref="V24:X24"/>
    <mergeCell ref="Y24:Y25"/>
    <mergeCell ref="W25:X2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I11" sqref="I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85</v>
      </c>
      <c r="B1" s="91"/>
      <c r="C1" s="91"/>
      <c r="D1" s="91"/>
      <c r="E1" s="91"/>
      <c r="F1" s="91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SAC2-DS-MRS-0395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46243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80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66" t="str">
        <f>MRS!B6</f>
        <v>Computer Set</v>
      </c>
      <c r="C6" s="167"/>
      <c r="D6" s="168" t="str">
        <f>MRS!D6</f>
        <v>I5 14 Generation 8BG Ram 512SSD</v>
      </c>
      <c r="E6" s="169"/>
      <c r="F6" s="170"/>
      <c r="G6" s="94" t="str">
        <f>MRS!G6</f>
        <v>EA</v>
      </c>
      <c r="H6" s="94">
        <f>MRS!H6</f>
        <v>5</v>
      </c>
      <c r="I6" s="95">
        <f>MRS!I6</f>
        <v>2790</v>
      </c>
      <c r="J6" s="95">
        <f>MRS!J6</f>
        <v>13950</v>
      </c>
      <c r="K6" s="96"/>
      <c r="O6" s="97"/>
      <c r="P6" s="97"/>
      <c r="R6" s="97"/>
    </row>
    <row r="7" spans="1:18" ht="105" customHeight="1">
      <c r="A7" s="17">
        <f>+MRS!A7</f>
        <v>2</v>
      </c>
      <c r="B7" s="166" t="str">
        <f>MRS!B7</f>
        <v>Dell Monitor</v>
      </c>
      <c r="C7" s="167"/>
      <c r="D7" s="168" t="str">
        <f>MRS!D7</f>
        <v>24"</v>
      </c>
      <c r="E7" s="169"/>
      <c r="F7" s="170"/>
      <c r="G7" s="94" t="str">
        <f>MRS!G7</f>
        <v>EA</v>
      </c>
      <c r="H7" s="94">
        <f>MRS!H7</f>
        <v>5</v>
      </c>
      <c r="I7" s="95">
        <f>MRS!I7</f>
        <v>375</v>
      </c>
      <c r="J7" s="95">
        <f>MRS!J7</f>
        <v>1875</v>
      </c>
      <c r="K7" s="96"/>
      <c r="O7" s="97"/>
      <c r="P7" s="97"/>
      <c r="R7" s="97"/>
    </row>
    <row r="8" spans="1:18" ht="105" customHeight="1">
      <c r="A8" s="17">
        <f>+MRS!A8</f>
        <v>3</v>
      </c>
      <c r="B8" s="166" t="str">
        <f>MRS!B8</f>
        <v>A4 Box File 30Pcs/box</v>
      </c>
      <c r="C8" s="167"/>
      <c r="D8" s="168">
        <f>MRS!D8</f>
        <v>0</v>
      </c>
      <c r="E8" s="169"/>
      <c r="F8" s="170"/>
      <c r="G8" s="94" t="str">
        <f>MRS!G8</f>
        <v>EA</v>
      </c>
      <c r="H8" s="94">
        <f>MRS!H8</f>
        <v>5</v>
      </c>
      <c r="I8" s="95">
        <f>MRS!I8</f>
        <v>150</v>
      </c>
      <c r="J8" s="95">
        <f>MRS!J8</f>
        <v>750</v>
      </c>
      <c r="K8" s="96"/>
      <c r="O8" s="97"/>
      <c r="P8" s="97"/>
      <c r="R8" s="97"/>
    </row>
    <row r="9" spans="1:18" ht="105" customHeight="1">
      <c r="A9" s="17">
        <f>+MRS!A9</f>
        <v>4</v>
      </c>
      <c r="B9" s="166" t="str">
        <f>MRS!B9</f>
        <v>Index Flag</v>
      </c>
      <c r="C9" s="167"/>
      <c r="D9" s="168" t="str">
        <f>MRS!D9</f>
        <v>76 x 19mm</v>
      </c>
      <c r="E9" s="169"/>
      <c r="F9" s="170"/>
      <c r="G9" s="94" t="str">
        <f>MRS!G9</f>
        <v>EA</v>
      </c>
      <c r="H9" s="94">
        <f>MRS!H9</f>
        <v>10</v>
      </c>
      <c r="I9" s="95">
        <f>MRS!I9</f>
        <v>4</v>
      </c>
      <c r="J9" s="95">
        <f>MRS!J9</f>
        <v>40</v>
      </c>
      <c r="K9" s="96"/>
      <c r="O9" s="97"/>
      <c r="P9" s="97"/>
      <c r="R9" s="97"/>
    </row>
    <row r="10" spans="1:18" ht="105" customHeight="1">
      <c r="A10" s="17">
        <f>+MRS!A10</f>
        <v>5</v>
      </c>
      <c r="B10" s="166" t="str">
        <f>MRS!B10</f>
        <v>Folding Chair</v>
      </c>
      <c r="C10" s="167"/>
      <c r="D10" s="168">
        <f>MRS!D10</f>
        <v>0</v>
      </c>
      <c r="E10" s="169"/>
      <c r="F10" s="170"/>
      <c r="G10" s="94" t="str">
        <f>MRS!G10</f>
        <v>EA</v>
      </c>
      <c r="H10" s="94">
        <f>MRS!H10</f>
        <v>20</v>
      </c>
      <c r="I10" s="95">
        <f>MRS!I10</f>
        <v>72</v>
      </c>
      <c r="J10" s="95">
        <f>MRS!J10</f>
        <v>1440</v>
      </c>
      <c r="K10" s="96"/>
      <c r="O10" s="97"/>
      <c r="P10" s="97"/>
      <c r="R10" s="97"/>
    </row>
    <row r="11" spans="1:18" ht="105" customHeight="1">
      <c r="A11" s="17">
        <f>+MRS!A11</f>
        <v>6</v>
      </c>
      <c r="B11" s="166" t="str">
        <f>MRS!B11</f>
        <v xml:space="preserve">Chair </v>
      </c>
      <c r="C11" s="167"/>
      <c r="D11" s="168" t="str">
        <f>MRS!D11</f>
        <v>Neckless</v>
      </c>
      <c r="E11" s="169"/>
      <c r="F11" s="170"/>
      <c r="G11" s="94" t="str">
        <f>MRS!G11</f>
        <v>EA</v>
      </c>
      <c r="H11" s="94">
        <f>MRS!H11</f>
        <v>4</v>
      </c>
      <c r="I11" s="95">
        <f>MRS!I11</f>
        <v>155</v>
      </c>
      <c r="J11" s="95">
        <f>MRS!J11</f>
        <v>620</v>
      </c>
      <c r="K11" s="96"/>
      <c r="O11" s="97"/>
      <c r="P11" s="97"/>
      <c r="R11" s="97"/>
    </row>
    <row r="12" spans="1:18" ht="105" customHeight="1">
      <c r="A12" s="17">
        <f>+MRS!A12</f>
        <v>7</v>
      </c>
      <c r="B12" s="166" t="str">
        <f>MRS!B12</f>
        <v>C2 Battery</v>
      </c>
      <c r="C12" s="167"/>
      <c r="D12" s="168" t="str">
        <f>MRS!D12</f>
        <v>Duracell</v>
      </c>
      <c r="E12" s="169"/>
      <c r="F12" s="170"/>
      <c r="G12" s="94" t="str">
        <f>MRS!G12</f>
        <v>EA</v>
      </c>
      <c r="H12" s="94">
        <f>MRS!H12</f>
        <v>8</v>
      </c>
      <c r="I12" s="95">
        <f>MRS!I12</f>
        <v>2</v>
      </c>
      <c r="J12" s="95">
        <f>MRS!J12</f>
        <v>16</v>
      </c>
      <c r="K12" s="96"/>
      <c r="O12" s="97"/>
      <c r="P12" s="97"/>
      <c r="R12" s="97"/>
    </row>
    <row r="13" spans="1:18" ht="105" customHeight="1">
      <c r="A13" s="17">
        <f>+MRS!A13</f>
        <v>8</v>
      </c>
      <c r="B13" s="166" t="str">
        <f>MRS!B13</f>
        <v>Wire Mike</v>
      </c>
      <c r="C13" s="167"/>
      <c r="D13" s="168">
        <f>MRS!D13</f>
        <v>0</v>
      </c>
      <c r="E13" s="169"/>
      <c r="F13" s="170"/>
      <c r="G13" s="94" t="str">
        <f>MRS!G13</f>
        <v>EA</v>
      </c>
      <c r="H13" s="94">
        <f>MRS!H13</f>
        <v>1</v>
      </c>
      <c r="I13" s="95">
        <f>MRS!I13</f>
        <v>95</v>
      </c>
      <c r="J13" s="95">
        <f>MRS!J13</f>
        <v>95</v>
      </c>
      <c r="K13" s="96"/>
      <c r="O13" s="97"/>
      <c r="P13" s="97"/>
      <c r="R13" s="97"/>
    </row>
    <row r="14" spans="1:18" ht="105" customHeight="1">
      <c r="A14" s="17">
        <f>+MRS!A18</f>
        <v>13</v>
      </c>
      <c r="B14" s="166" t="str">
        <f>MRS!B17</f>
        <v>Flag Man Vest Orrange</v>
      </c>
      <c r="C14" s="167"/>
      <c r="D14" s="168">
        <f>MRS!D17</f>
        <v>0</v>
      </c>
      <c r="E14" s="169"/>
      <c r="F14" s="170"/>
      <c r="G14" s="94" t="str">
        <f>MRS!G17</f>
        <v>EA</v>
      </c>
      <c r="H14" s="94">
        <f>MRS!H17</f>
        <v>50</v>
      </c>
      <c r="I14" s="95">
        <f>MRS!I17</f>
        <v>12.5</v>
      </c>
      <c r="J14" s="95">
        <f>MRS!J17</f>
        <v>625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66" t="str">
        <f>MRS!B18</f>
        <v>Flag Man Flag</v>
      </c>
      <c r="C15" s="167"/>
      <c r="D15" s="168">
        <f>MRS!D18</f>
        <v>0</v>
      </c>
      <c r="E15" s="169"/>
      <c r="F15" s="170"/>
      <c r="G15" s="94" t="str">
        <f>MRS!G18</f>
        <v>EA</v>
      </c>
      <c r="H15" s="94">
        <f>MRS!H18</f>
        <v>50</v>
      </c>
      <c r="I15" s="95">
        <f>MRS!I18</f>
        <v>4</v>
      </c>
      <c r="J15" s="95">
        <f>MRS!J18</f>
        <v>200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66" t="e">
        <f>MRS!#REF!</f>
        <v>#REF!</v>
      </c>
      <c r="C16" s="167"/>
      <c r="D16" s="168" t="e">
        <f>MRS!#REF!</f>
        <v>#REF!</v>
      </c>
      <c r="E16" s="169"/>
      <c r="F16" s="170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71"/>
      <c r="C17" s="172"/>
      <c r="D17" s="173"/>
      <c r="E17" s="174"/>
      <c r="F17" s="175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S20" sqref="S2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88</v>
      </c>
      <c r="D9" s="35"/>
      <c r="E9" s="35"/>
    </row>
    <row r="10" spans="2:13" s="35" customFormat="1">
      <c r="B10" s="68"/>
      <c r="C10" s="35" t="s">
        <v>89</v>
      </c>
      <c r="D10" s="72" t="s">
        <v>90</v>
      </c>
      <c r="J10" s="35" t="s">
        <v>24</v>
      </c>
      <c r="K10" s="179">
        <f>MRS!L3</f>
        <v>46243</v>
      </c>
      <c r="L10" s="180"/>
      <c r="M10" s="180"/>
    </row>
    <row r="11" spans="2:13" s="35" customFormat="1">
      <c r="B11" s="68"/>
      <c r="C11" s="71" t="s">
        <v>91</v>
      </c>
      <c r="D11" s="72" t="s">
        <v>92</v>
      </c>
      <c r="J11" s="35" t="s">
        <v>25</v>
      </c>
      <c r="K11" s="181" t="str">
        <f>SUBSTITUTE(SUBSTITUTE(+MRS!A3,"  MRS No : ",""),"-MRS","-PO")</f>
        <v>SAC2-DS-PO-0395</v>
      </c>
      <c r="L11" s="181"/>
      <c r="M11" s="181"/>
    </row>
    <row r="12" spans="2:13" s="35" customFormat="1">
      <c r="B12" s="68"/>
      <c r="C12" s="71" t="s">
        <v>93</v>
      </c>
      <c r="D12" s="35" t="s">
        <v>94</v>
      </c>
      <c r="J12" s="35" t="s">
        <v>26</v>
      </c>
    </row>
    <row r="13" spans="2:13" s="35" customFormat="1">
      <c r="B13" s="68"/>
      <c r="C13" s="73"/>
      <c r="D13" s="72" t="s">
        <v>95</v>
      </c>
      <c r="J13" s="35" t="s">
        <v>27</v>
      </c>
    </row>
    <row r="14" spans="2:13" s="35" customFormat="1">
      <c r="B14" s="68"/>
      <c r="C14" s="73" t="s">
        <v>96</v>
      </c>
      <c r="J14" s="35" t="s">
        <v>28</v>
      </c>
      <c r="K14" s="35" t="s">
        <v>150</v>
      </c>
    </row>
    <row r="15" spans="2:13" s="35" customFormat="1">
      <c r="B15" s="68"/>
      <c r="C15" s="73" t="s">
        <v>97</v>
      </c>
      <c r="J15" s="35" t="s">
        <v>29</v>
      </c>
      <c r="K15" s="74">
        <v>46242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2" t="s">
        <v>30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27" customFormat="1" ht="12" customHeight="1">
      <c r="B20" s="183" t="s">
        <v>31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27" customFormat="1" ht="12" customHeight="1">
      <c r="B21" s="183" t="s">
        <v>32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27" customFormat="1" ht="12" customHeight="1">
      <c r="B22" s="183" t="s">
        <v>33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">
        <v>151</v>
      </c>
      <c r="M26" s="75" t="s">
        <v>35</v>
      </c>
    </row>
    <row r="27" spans="2:13" ht="11.1" customHeight="1">
      <c r="B27" s="28"/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4">
        <f>'PO 2nd page'!G20</f>
        <v>31341</v>
      </c>
      <c r="G29" s="114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4">
        <f>'PO 2nd page'!G21</f>
        <v>4701.1499999999996</v>
      </c>
      <c r="G30" s="114"/>
    </row>
    <row r="31" spans="2:13" ht="15" customHeight="1">
      <c r="B31" s="28"/>
      <c r="C31" s="22" t="s">
        <v>40</v>
      </c>
      <c r="D31" s="31"/>
      <c r="E31" s="22" t="s">
        <v>38</v>
      </c>
      <c r="F31" s="114">
        <f>'PO 2nd page'!G22</f>
        <v>36042.15</v>
      </c>
      <c r="G31" s="11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101</v>
      </c>
    </row>
    <row r="54" spans="2:16" ht="12" customHeight="1">
      <c r="B54" s="80" t="s">
        <v>54</v>
      </c>
      <c r="C54" s="116" t="s">
        <v>106</v>
      </c>
      <c r="F54" s="116" t="s">
        <v>152</v>
      </c>
    </row>
    <row r="55" spans="2:16" ht="12" customHeight="1">
      <c r="B55" s="80" t="s">
        <v>54</v>
      </c>
      <c r="C55" s="116" t="s">
        <v>107</v>
      </c>
      <c r="F55" s="117" t="s">
        <v>105</v>
      </c>
    </row>
    <row r="56" spans="2:16" ht="12" customHeight="1">
      <c r="B56" s="80" t="s">
        <v>54</v>
      </c>
      <c r="C56" s="116" t="s">
        <v>108</v>
      </c>
      <c r="F56" s="22" t="s">
        <v>113</v>
      </c>
    </row>
    <row r="57" spans="2:16" ht="12" customHeight="1">
      <c r="B57" s="80" t="s">
        <v>54</v>
      </c>
      <c r="C57" s="116" t="s">
        <v>109</v>
      </c>
      <c r="F57" s="22" t="s">
        <v>102</v>
      </c>
    </row>
    <row r="58" spans="2:16" ht="12" customHeight="1">
      <c r="B58" s="80" t="s">
        <v>54</v>
      </c>
      <c r="C58" s="116" t="s">
        <v>110</v>
      </c>
      <c r="F58" s="22" t="s">
        <v>103</v>
      </c>
    </row>
    <row r="59" spans="2:16" ht="12" customHeight="1">
      <c r="B59" s="80" t="s">
        <v>54</v>
      </c>
      <c r="C59" s="116" t="s">
        <v>111</v>
      </c>
      <c r="F59" s="22" t="s">
        <v>104</v>
      </c>
    </row>
    <row r="60" spans="2:16" ht="12" customHeight="1">
      <c r="B60" s="80"/>
      <c r="C60" s="116" t="s">
        <v>112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Mohammed Nabeel</v>
      </c>
    </row>
    <row r="68" spans="1:13" ht="18" customHeight="1">
      <c r="B68" s="22" t="s">
        <v>60</v>
      </c>
      <c r="J68" s="22" t="s">
        <v>61</v>
      </c>
      <c r="K68" s="18" t="s">
        <v>98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100</v>
      </c>
      <c r="J70" s="186" t="str">
        <f>C9</f>
        <v>MRA(MRA General Contracting Est.)</v>
      </c>
      <c r="K70" s="186"/>
      <c r="L70" s="186"/>
      <c r="M70" s="186"/>
    </row>
    <row r="71" spans="1:13" ht="27.95" customHeight="1">
      <c r="A71" s="178" t="s">
        <v>64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topLeftCell="A8" zoomScaleSheetLayoutView="100" zoomScalePageLayoutView="55" workbookViewId="0">
      <selection activeCell="K19" sqref="K1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SAC2-DS-PO-0395</v>
      </c>
      <c r="C2" s="193" t="s">
        <v>66</v>
      </c>
      <c r="D2" s="193"/>
      <c r="E2" s="193"/>
      <c r="F2" s="193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46243</v>
      </c>
      <c r="C3" s="47"/>
      <c r="D3" s="48"/>
      <c r="E3" s="194" t="s">
        <v>68</v>
      </c>
      <c r="F3" s="194"/>
      <c r="G3" s="194"/>
      <c r="H3" s="194"/>
      <c r="I3" s="49"/>
    </row>
    <row r="4" spans="1:13" s="51" customFormat="1" ht="28.5" customHeight="1" thickTop="1">
      <c r="A4" s="195" t="s">
        <v>69</v>
      </c>
      <c r="B4" s="197" t="s">
        <v>70</v>
      </c>
      <c r="C4" s="198"/>
      <c r="D4" s="201" t="s">
        <v>71</v>
      </c>
      <c r="E4" s="201" t="s">
        <v>72</v>
      </c>
      <c r="F4" s="203" t="str">
        <f>'PO 1st page'!C9</f>
        <v>MRA(MRA General Contracting Est.)</v>
      </c>
      <c r="G4" s="204"/>
      <c r="H4" s="205" t="s">
        <v>73</v>
      </c>
      <c r="K4" s="52"/>
      <c r="L4" s="52"/>
      <c r="M4" s="52"/>
    </row>
    <row r="5" spans="1:13" s="51" customFormat="1" ht="21.95" customHeight="1">
      <c r="A5" s="196"/>
      <c r="B5" s="199"/>
      <c r="C5" s="200"/>
      <c r="D5" s="202"/>
      <c r="E5" s="202"/>
      <c r="F5" s="53" t="s">
        <v>74</v>
      </c>
      <c r="G5" s="53" t="s">
        <v>40</v>
      </c>
      <c r="H5" s="206"/>
      <c r="K5" s="52"/>
      <c r="L5" s="52"/>
      <c r="M5" s="52"/>
    </row>
    <row r="6" spans="1:13" s="51" customFormat="1" ht="32.1" customHeight="1">
      <c r="A6" s="81">
        <f t="shared" ref="A6:A19" si="0">ROW(A1)</f>
        <v>1</v>
      </c>
      <c r="B6" s="191" t="str">
        <f>CONCATENATE(MRS!B6," ",MRS!D6)</f>
        <v>Computer Set I5 14 Generation 8BG Ram 512SSD</v>
      </c>
      <c r="C6" s="192"/>
      <c r="D6" s="82" t="str">
        <f>MRS!G6</f>
        <v>EA</v>
      </c>
      <c r="E6" s="83">
        <f>MRS!H6</f>
        <v>5</v>
      </c>
      <c r="F6" s="84">
        <f>MRS!I6</f>
        <v>2790</v>
      </c>
      <c r="G6" s="85">
        <f>F6*E6</f>
        <v>13950</v>
      </c>
      <c r="H6" s="86" t="str">
        <f>MRS!L6</f>
        <v>One Time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1" t="str">
        <f>CONCATENATE(MRS!B7," ",MRS!D7)</f>
        <v>Dell Monitor 24"</v>
      </c>
      <c r="C7" s="192"/>
      <c r="D7" s="82" t="str">
        <f>MRS!G7</f>
        <v>EA</v>
      </c>
      <c r="E7" s="83">
        <f>MRS!H7</f>
        <v>5</v>
      </c>
      <c r="F7" s="84">
        <f>MRS!I7</f>
        <v>375</v>
      </c>
      <c r="G7" s="85">
        <f t="shared" ref="G7:G18" si="1">F7*E7</f>
        <v>1875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1" t="str">
        <f>CONCATENATE(MRS!B8," ",MRS!D8)</f>
        <v xml:space="preserve">A4 Box File 30Pcs/box </v>
      </c>
      <c r="C8" s="192"/>
      <c r="D8" s="82" t="str">
        <f>MRS!G8</f>
        <v>EA</v>
      </c>
      <c r="E8" s="83">
        <f>MRS!H8</f>
        <v>5</v>
      </c>
      <c r="F8" s="84">
        <f>MRS!I8</f>
        <v>150</v>
      </c>
      <c r="G8" s="85">
        <f t="shared" si="1"/>
        <v>750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91" t="str">
        <f>CONCATENATE(MRS!B9," ",MRS!D9)</f>
        <v>Index Flag 76 x 19mm</v>
      </c>
      <c r="C9" s="192"/>
      <c r="D9" s="82" t="str">
        <f>MRS!G9</f>
        <v>EA</v>
      </c>
      <c r="E9" s="83">
        <f>MRS!H9</f>
        <v>10</v>
      </c>
      <c r="F9" s="84">
        <f>MRS!I9</f>
        <v>4</v>
      </c>
      <c r="G9" s="85">
        <f t="shared" si="1"/>
        <v>40</v>
      </c>
      <c r="H9" s="90"/>
    </row>
    <row r="10" spans="1:13" s="51" customFormat="1" ht="32.1" customHeight="1">
      <c r="A10" s="89">
        <f t="shared" si="0"/>
        <v>5</v>
      </c>
      <c r="B10" s="191" t="str">
        <f>CONCATENATE(MRS!B10," ",MRS!D10)</f>
        <v xml:space="preserve">Folding Chair </v>
      </c>
      <c r="C10" s="192"/>
      <c r="D10" s="82" t="str">
        <f>MRS!G10</f>
        <v>EA</v>
      </c>
      <c r="E10" s="83">
        <f>MRS!H10</f>
        <v>20</v>
      </c>
      <c r="F10" s="84">
        <f>MRS!I10</f>
        <v>72</v>
      </c>
      <c r="G10" s="85">
        <f t="shared" si="1"/>
        <v>1440</v>
      </c>
      <c r="H10" s="90"/>
    </row>
    <row r="11" spans="1:13" s="51" customFormat="1" ht="32.1" customHeight="1">
      <c r="A11" s="89">
        <f t="shared" si="0"/>
        <v>6</v>
      </c>
      <c r="B11" s="191" t="str">
        <f>CONCATENATE(MRS!B11," ",MRS!D11)</f>
        <v>Chair  Neckless</v>
      </c>
      <c r="C11" s="192"/>
      <c r="D11" s="82" t="str">
        <f>MRS!G11</f>
        <v>EA</v>
      </c>
      <c r="E11" s="83">
        <f>MRS!H11</f>
        <v>4</v>
      </c>
      <c r="F11" s="84">
        <f>MRS!I11</f>
        <v>155</v>
      </c>
      <c r="G11" s="85">
        <f t="shared" si="1"/>
        <v>620</v>
      </c>
      <c r="H11" s="90"/>
    </row>
    <row r="12" spans="1:13" s="51" customFormat="1" ht="32.1" customHeight="1">
      <c r="A12" s="89">
        <f t="shared" si="0"/>
        <v>7</v>
      </c>
      <c r="B12" s="191" t="str">
        <f>CONCATENATE(MRS!B12," ",MRS!D12)</f>
        <v>C2 Battery Duracell</v>
      </c>
      <c r="C12" s="192"/>
      <c r="D12" s="82" t="str">
        <f>MRS!G12</f>
        <v>EA</v>
      </c>
      <c r="E12" s="83">
        <f>MRS!H12</f>
        <v>8</v>
      </c>
      <c r="F12" s="84">
        <f>MRS!I12</f>
        <v>2</v>
      </c>
      <c r="G12" s="85">
        <f t="shared" si="1"/>
        <v>16</v>
      </c>
      <c r="H12" s="90"/>
    </row>
    <row r="13" spans="1:13" s="51" customFormat="1" ht="32.1" customHeight="1">
      <c r="A13" s="89">
        <f t="shared" si="0"/>
        <v>8</v>
      </c>
      <c r="B13" s="191" t="str">
        <f>CONCATENATE(MRS!B13," ",MRS!D13)</f>
        <v xml:space="preserve">Wire Mike </v>
      </c>
      <c r="C13" s="192"/>
      <c r="D13" s="82" t="str">
        <f>MRS!G13</f>
        <v>EA</v>
      </c>
      <c r="E13" s="83">
        <f>MRS!H13</f>
        <v>1</v>
      </c>
      <c r="F13" s="84">
        <f>MRS!I13</f>
        <v>95</v>
      </c>
      <c r="G13" s="85">
        <f t="shared" si="1"/>
        <v>95</v>
      </c>
      <c r="H13" s="90"/>
    </row>
    <row r="14" spans="1:13" s="51" customFormat="1" ht="32.1" customHeight="1">
      <c r="A14" s="89">
        <f t="shared" si="0"/>
        <v>9</v>
      </c>
      <c r="B14" s="191" t="str">
        <f>CONCATENATE(MRS!B14," ",MRS!D14)</f>
        <v xml:space="preserve">FR Coverall XAT 2 Forte </v>
      </c>
      <c r="C14" s="192"/>
      <c r="D14" s="82" t="str">
        <f>MRS!G14</f>
        <v>EA</v>
      </c>
      <c r="E14" s="83">
        <f>MRS!H14</f>
        <v>150</v>
      </c>
      <c r="F14" s="84">
        <f>MRS!I14</f>
        <v>75</v>
      </c>
      <c r="G14" s="85">
        <f t="shared" si="1"/>
        <v>11250</v>
      </c>
      <c r="H14" s="90"/>
    </row>
    <row r="15" spans="1:13" s="51" customFormat="1" ht="32.1" customHeight="1">
      <c r="A15" s="89">
        <f t="shared" si="0"/>
        <v>10</v>
      </c>
      <c r="B15" s="191" t="str">
        <f>CONCATENATE(MRS!B15," ",MRS!D15)</f>
        <v>AA Battery Duracell 1.5V 12*10Pkt*1Box</v>
      </c>
      <c r="C15" s="192"/>
      <c r="D15" s="82" t="str">
        <f>MRS!G15</f>
        <v>EA</v>
      </c>
      <c r="E15" s="83">
        <f>MRS!H15</f>
        <v>120</v>
      </c>
      <c r="F15" s="84">
        <f>MRS!I15</f>
        <v>2</v>
      </c>
      <c r="G15" s="85">
        <f t="shared" si="1"/>
        <v>240</v>
      </c>
      <c r="H15" s="90"/>
    </row>
    <row r="16" spans="1:13" s="51" customFormat="1" ht="32.1" customHeight="1">
      <c r="A16" s="89">
        <f t="shared" si="0"/>
        <v>11</v>
      </c>
      <c r="B16" s="191" t="str">
        <f>CONCATENATE(MRS!B16," ",MRS!D16)</f>
        <v>AAA Battery Duracell 1.5V 12*10Pkt*1Box</v>
      </c>
      <c r="C16" s="192"/>
      <c r="D16" s="82" t="str">
        <f>MRS!G16</f>
        <v>EA</v>
      </c>
      <c r="E16" s="83">
        <f>MRS!H16</f>
        <v>120</v>
      </c>
      <c r="F16" s="84">
        <f>MRS!I16</f>
        <v>2</v>
      </c>
      <c r="G16" s="85">
        <f t="shared" si="1"/>
        <v>240</v>
      </c>
      <c r="H16" s="90"/>
    </row>
    <row r="17" spans="1:13" s="51" customFormat="1" ht="32.1" customHeight="1">
      <c r="A17" s="89">
        <f t="shared" si="0"/>
        <v>12</v>
      </c>
      <c r="B17" s="191" t="str">
        <f>CONCATENATE(MRS!B17," ",MRS!D17)</f>
        <v xml:space="preserve">Flag Man Vest Orrange </v>
      </c>
      <c r="C17" s="192"/>
      <c r="D17" s="82" t="str">
        <f>MRS!G17</f>
        <v>EA</v>
      </c>
      <c r="E17" s="83">
        <f>MRS!H17</f>
        <v>50</v>
      </c>
      <c r="F17" s="84">
        <f>MRS!I17</f>
        <v>12.5</v>
      </c>
      <c r="G17" s="85">
        <f t="shared" si="1"/>
        <v>625</v>
      </c>
      <c r="H17" s="90"/>
    </row>
    <row r="18" spans="1:13" s="51" customFormat="1" ht="32.1" customHeight="1">
      <c r="A18" s="89">
        <f t="shared" si="0"/>
        <v>13</v>
      </c>
      <c r="B18" s="191" t="str">
        <f>CONCATENATE(MRS!B18," ",MRS!D18)</f>
        <v xml:space="preserve">Flag Man Flag </v>
      </c>
      <c r="C18" s="192"/>
      <c r="D18" s="82" t="str">
        <f>MRS!G18</f>
        <v>EA</v>
      </c>
      <c r="E18" s="83">
        <f>MRS!H18</f>
        <v>50</v>
      </c>
      <c r="F18" s="84">
        <f>MRS!I18</f>
        <v>4</v>
      </c>
      <c r="G18" s="85">
        <f t="shared" si="1"/>
        <v>200</v>
      </c>
      <c r="H18" s="90"/>
    </row>
    <row r="19" spans="1:13" s="51" customFormat="1" ht="32.1" customHeight="1">
      <c r="A19" s="89">
        <f t="shared" si="0"/>
        <v>14</v>
      </c>
      <c r="B19" s="191"/>
      <c r="C19" s="192"/>
      <c r="D19" s="82"/>
      <c r="E19" s="83"/>
      <c r="F19" s="84"/>
      <c r="G19" s="85"/>
      <c r="H19" s="90"/>
    </row>
    <row r="20" spans="1:13" s="51" customFormat="1" ht="23.1" customHeight="1">
      <c r="A20" s="187" t="s">
        <v>75</v>
      </c>
      <c r="B20" s="188"/>
      <c r="C20" s="188"/>
      <c r="D20" s="188"/>
      <c r="E20" s="188"/>
      <c r="F20" s="188"/>
      <c r="G20" s="54">
        <f>SUM(G6:G19)</f>
        <v>31341</v>
      </c>
      <c r="H20" s="55"/>
    </row>
    <row r="21" spans="1:13" s="51" customFormat="1" ht="23.1" customHeight="1">
      <c r="A21" s="187" t="s">
        <v>39</v>
      </c>
      <c r="B21" s="188"/>
      <c r="C21" s="188"/>
      <c r="D21" s="188"/>
      <c r="E21" s="188"/>
      <c r="F21" s="188"/>
      <c r="G21" s="54">
        <f>+G20*0.15</f>
        <v>4701.1499999999996</v>
      </c>
      <c r="H21" s="55"/>
    </row>
    <row r="22" spans="1:13" s="51" customFormat="1" ht="24.95" customHeight="1" thickBot="1">
      <c r="A22" s="189" t="s">
        <v>76</v>
      </c>
      <c r="B22" s="190"/>
      <c r="C22" s="190"/>
      <c r="D22" s="190"/>
      <c r="E22" s="190"/>
      <c r="F22" s="190"/>
      <c r="G22" s="56">
        <f>G21+G20</f>
        <v>36042.15</v>
      </c>
      <c r="H22" s="57"/>
    </row>
    <row r="23" spans="1:13" ht="15.75" thickTop="1">
      <c r="A23" s="58" t="str">
        <f>" 1) Above Price are as per your quotation with ref "&amp;'PO 1st page'!K14</f>
        <v xml:space="preserve"> 1) Above Price are as per your quotation with ref MRA/SQ000168</v>
      </c>
      <c r="B23" s="59"/>
      <c r="C23" s="59"/>
      <c r="D23" s="60"/>
      <c r="E23" s="60"/>
      <c r="F23" s="60"/>
      <c r="G23" s="60"/>
      <c r="H23" s="60"/>
    </row>
    <row r="24" spans="1:13" ht="15">
      <c r="A24" s="61" t="s">
        <v>77</v>
      </c>
      <c r="B24" s="62"/>
      <c r="C24" s="62"/>
      <c r="D24" s="63"/>
      <c r="E24" s="63"/>
      <c r="F24" s="63"/>
      <c r="G24" s="63"/>
      <c r="H24" s="63"/>
      <c r="I24" s="64"/>
    </row>
    <row r="25" spans="1:13" ht="15.75">
      <c r="A25" s="65"/>
    </row>
    <row r="26" spans="1:13">
      <c r="A26" s="178" t="s">
        <v>78</v>
      </c>
      <c r="B26" s="178"/>
      <c r="C26" s="178"/>
      <c r="D26" s="178"/>
      <c r="E26" s="178"/>
      <c r="F26" s="178"/>
      <c r="G26" s="178"/>
      <c r="H26" s="178"/>
      <c r="I26" s="66"/>
      <c r="J26" s="66"/>
      <c r="K26" s="66"/>
      <c r="L26" s="66"/>
      <c r="M26" s="66"/>
    </row>
    <row r="27" spans="1:13" ht="15.75">
      <c r="A27" s="65"/>
      <c r="C27" s="67"/>
    </row>
    <row r="28" spans="1:13" ht="15.75">
      <c r="A28" s="65"/>
      <c r="C28" s="67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2026-08-12T03:46:28Z</cp:lastPrinted>
  <dcterms:created xsi:type="dcterms:W3CDTF">2024-10-20T11:50:19Z</dcterms:created>
  <dcterms:modified xsi:type="dcterms:W3CDTF">2026-08-12T03:48:11Z</dcterms:modified>
</cp:coreProperties>
</file>