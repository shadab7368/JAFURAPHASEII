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43C1D8D6-03F1-49E0-98BA-0961C582C8C6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page'!$A$1:$H$28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B15" i="4"/>
  <c r="B14" i="4"/>
  <c r="B13" i="4"/>
  <c r="B12" i="4"/>
  <c r="B11" i="4"/>
  <c r="B10" i="4"/>
  <c r="B9" i="4"/>
  <c r="B8" i="4"/>
  <c r="A15" i="4"/>
  <c r="B7" i="4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5" i="2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A14" i="2" s="1"/>
  <c r="A15" i="1"/>
  <c r="J15" i="1"/>
  <c r="J15" i="2" s="1"/>
  <c r="J14" i="1"/>
  <c r="J14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J16" i="1" l="1"/>
  <c r="K67" i="3"/>
  <c r="E3" i="1"/>
  <c r="K10" i="3" l="1"/>
  <c r="A25" i="4" l="1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22" i="4" s="1"/>
  <c r="F29" i="3" s="1"/>
  <c r="G23" i="4" l="1"/>
  <c r="F30" i="3" s="1"/>
  <c r="G24" i="4" l="1"/>
  <c r="F31" i="3" s="1"/>
</calcChain>
</file>

<file path=xl/sharedStrings.xml><?xml version="1.0" encoding="utf-8"?>
<sst xmlns="http://schemas.openxmlformats.org/spreadsheetml/2006/main" count="176" uniqueCount="141">
  <si>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</si>
  <si>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</si>
  <si>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</si>
  <si>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</si>
  <si>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</si>
  <si>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</si>
  <si>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</si>
  <si>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</si>
  <si>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</si>
  <si>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</si>
  <si>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</si>
  <si>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</si>
  <si>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</si>
  <si>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</si>
  <si>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</si>
  <si>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</si>
  <si>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</si>
  <si>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</si>
  <si>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</si>
  <si>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</si>
  <si>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</si>
  <si>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</si>
  <si>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</si>
  <si>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</si>
  <si>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</si>
  <si>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</si>
  <si>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</si>
  <si>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</si>
  <si>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</si>
  <si>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</si>
  <si>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</si>
  <si>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</si>
  <si>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</si>
  <si>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</si>
  <si>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</si>
  <si>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</si>
  <si>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</si>
  <si>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</si>
  <si>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</si>
  <si>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</si>
  <si>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</si>
  <si>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</si>
  <si>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</si>
  <si>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</si>
  <si>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</si>
  <si>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</si>
  <si>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</si>
  <si>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</si>
  <si>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</si>
  <si>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</si>
  <si>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</si>
  <si>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</si>
  <si>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</si>
  <si>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</si>
  <si>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</si>
  <si>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</si>
  <si>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</si>
  <si>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</si>
  <si>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</si>
  <si>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</si>
  <si>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</si>
  <si>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</si>
  <si>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</si>
  <si>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</si>
  <si>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</si>
  <si>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</si>
  <si>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</si>
  <si>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</si>
  <si>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</si>
  <si>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</si>
  <si>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</si>
  <si>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</si>
  <si>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</si>
  <si>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</si>
  <si>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</si>
  <si>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</si>
  <si>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</si>
  <si>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</si>
  <si>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</si>
  <si>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</si>
  <si>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</si>
  <si>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</si>
  <si>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</si>
  <si>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</si>
  <si>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</si>
  <si>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</si>
  <si>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</si>
  <si>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</si>
  <si>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</si>
  <si>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</si>
  <si>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</si>
  <si>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</si>
  <si>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</si>
  <si>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</si>
  <si>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</si>
  <si>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</si>
  <si>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</si>
  <si>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</si>
  <si>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</si>
  <si>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</si>
  <si>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</si>
  <si>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</si>
  <si>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</si>
  <si>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</si>
  <si>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</si>
  <si>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</si>
  <si>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</si>
  <si>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</si>
  <si>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</si>
  <si>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</si>
  <si>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</si>
  <si>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Scaffolding Tube Galvinized</t>
  </si>
  <si>
    <t>EN10219- 48.3mm x 3.2 mm x 6.0Mtr</t>
  </si>
  <si>
    <t>Pcs</t>
  </si>
  <si>
    <t>YATCO</t>
  </si>
  <si>
    <t>Board Retaining Clamp (BRC)</t>
  </si>
  <si>
    <t>Double / Fixed Coupler</t>
  </si>
  <si>
    <t>Scaffolding LVL Osha Board</t>
  </si>
  <si>
    <t>225mm x 38mm x 4.0 Mtr</t>
  </si>
  <si>
    <t>Single/Putlog Coupler</t>
  </si>
  <si>
    <t>Swivel/Movable Coupler</t>
  </si>
  <si>
    <t>Scaffolding Steel Ladder</t>
  </si>
  <si>
    <t>6.0 Mtr</t>
  </si>
  <si>
    <t>Sleeve Coupler/Joint Box</t>
  </si>
  <si>
    <t>Base Plate</t>
  </si>
  <si>
    <t>Adjustable Base Jack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</si>
  <si>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-MRS-0235</t>
    </r>
  </si>
  <si>
    <t>QTN-YATCO-SCAF-000053</t>
  </si>
  <si>
    <t>YATCO(Yaqoot Arabia Trading Company)</t>
  </si>
  <si>
    <t>Scaffolding Materials</t>
  </si>
  <si>
    <t>2050187866</t>
  </si>
  <si>
    <t>312249720500003</t>
  </si>
  <si>
    <t>YAQOOT ARABIA TRADING COMPANY</t>
  </si>
  <si>
    <t>Haris</t>
  </si>
  <si>
    <t>Mobile No. +966 565731662</t>
  </si>
  <si>
    <t>Abu Bakr Al-Razi Street Near Dharhan - Jubail Highway, Dammam 34223</t>
  </si>
  <si>
    <t>Mobile: +966 565731662</t>
  </si>
  <si>
    <t>509000010006080500631</t>
  </si>
  <si>
    <t>SA11 8000 0509 6080 1050 0631</t>
  </si>
  <si>
    <t>ALRAJHI BANK</t>
  </si>
  <si>
    <t>RJHISARI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</si>
</sst>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13" fillId="0" borderId="22" xfId="0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17</xdr:row>
          <xdr:rowOff>20054</xdr:rowOff>
        </xdr:from>
        <xdr:to>
          <xdr:col>12</xdr:col>
          <xdr:colOff>499</xdr:colOff>
          <xdr:row>24</xdr:row>
          <xdr:rowOff>20056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9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96</v>
      </c>
      <c r="B1" s="99"/>
      <c r="C1" s="99"/>
      <c r="D1" s="99"/>
      <c r="E1" s="99"/>
      <c r="F1" s="99"/>
      <c r="G1" s="1"/>
      <c r="J1" s="126" t="s">
        <v>87</v>
      </c>
      <c r="K1" s="127"/>
      <c r="L1" s="128"/>
    </row>
    <row r="2" spans="1:18" ht="20.100000000000001" customHeight="1">
      <c r="A2" s="3" t="s">
        <v>1</v>
      </c>
      <c r="B2" s="93"/>
      <c r="C2" s="93"/>
      <c r="D2" s="3" t="s">
        <v>95</v>
      </c>
      <c r="E2" s="93"/>
      <c r="F2" s="93"/>
      <c r="G2" s="93"/>
      <c r="H2" s="93"/>
      <c r="I2" s="4"/>
      <c r="J2" s="129" t="s">
        <v>94</v>
      </c>
      <c r="K2" s="130"/>
      <c r="L2" s="131"/>
    </row>
    <row r="3" spans="1:18" ht="20.100000000000001" customHeight="1">
      <c r="A3" s="3" t="s">
        <v>126</v>
      </c>
      <c r="B3" s="93"/>
      <c r="C3" s="93"/>
      <c r="D3" s="93"/>
      <c r="E3" s="132">
        <f>+L3</f>
        <v>46081</v>
      </c>
      <c r="F3" s="132"/>
      <c r="G3" s="132"/>
      <c r="H3" s="132"/>
      <c r="I3" s="132"/>
      <c r="J3" s="93"/>
      <c r="K3" s="93"/>
      <c r="L3" s="105">
        <v>46081</v>
      </c>
      <c r="M3" s="4"/>
    </row>
    <row r="4" spans="1:18" ht="15.95" customHeight="1">
      <c r="A4" s="135" t="s">
        <v>2</v>
      </c>
      <c r="B4" s="136" t="s">
        <v>3</v>
      </c>
      <c r="C4" s="136"/>
      <c r="D4" s="137" t="s">
        <v>4</v>
      </c>
      <c r="E4" s="138"/>
      <c r="F4" s="139"/>
      <c r="G4" s="143" t="s">
        <v>5</v>
      </c>
      <c r="H4" s="133" t="s">
        <v>6</v>
      </c>
      <c r="I4" s="133" t="s">
        <v>91</v>
      </c>
      <c r="J4" s="135" t="s">
        <v>92</v>
      </c>
      <c r="K4" s="133" t="s">
        <v>0</v>
      </c>
      <c r="L4" s="136" t="s">
        <v>7</v>
      </c>
    </row>
    <row r="5" spans="1:18" ht="15.95" customHeight="1">
      <c r="A5" s="135"/>
      <c r="B5" s="136"/>
      <c r="C5" s="136"/>
      <c r="D5" s="140"/>
      <c r="E5" s="141"/>
      <c r="F5" s="142"/>
      <c r="G5" s="144"/>
      <c r="H5" s="134"/>
      <c r="I5" s="134"/>
      <c r="J5" s="135"/>
      <c r="K5" s="134"/>
      <c r="L5" s="136"/>
    </row>
    <row r="6" spans="1:18" ht="30" customHeight="1">
      <c r="A6" s="5">
        <f t="shared" ref="A6:A15" si="0">ROW(A1)</f>
        <v>1</v>
      </c>
      <c r="B6" s="121" t="s">
        <v>111</v>
      </c>
      <c r="C6" s="122"/>
      <c r="D6" s="123" t="s">
        <v>112</v>
      </c>
      <c r="E6" s="124"/>
      <c r="F6" s="125"/>
      <c r="G6" s="112" t="s">
        <v>113</v>
      </c>
      <c r="H6" s="189">
        <v>7640</v>
      </c>
      <c r="I6" s="113">
        <v>79</v>
      </c>
      <c r="J6" s="100">
        <f>H6*I6</f>
        <v>603560</v>
      </c>
      <c r="K6" s="101" t="s">
        <v>114</v>
      </c>
      <c r="L6" s="102" t="s">
        <v>99</v>
      </c>
      <c r="R6" s="98"/>
    </row>
    <row r="7" spans="1:18" ht="30" customHeight="1">
      <c r="A7" s="5">
        <f t="shared" si="0"/>
        <v>2</v>
      </c>
      <c r="B7" s="121" t="s">
        <v>115</v>
      </c>
      <c r="C7" s="122"/>
      <c r="D7" s="123"/>
      <c r="E7" s="124"/>
      <c r="F7" s="125"/>
      <c r="G7" s="112" t="s">
        <v>113</v>
      </c>
      <c r="H7" s="189">
        <v>5000</v>
      </c>
      <c r="I7" s="113">
        <v>3.9</v>
      </c>
      <c r="J7" s="100">
        <f t="shared" ref="J7:J15" si="1">H7*I7</f>
        <v>19500</v>
      </c>
      <c r="K7" s="101"/>
      <c r="L7" s="102"/>
      <c r="R7" s="98"/>
    </row>
    <row r="8" spans="1:18" ht="23.25" customHeight="1">
      <c r="A8" s="5">
        <f t="shared" si="0"/>
        <v>3</v>
      </c>
      <c r="B8" s="121" t="s">
        <v>116</v>
      </c>
      <c r="C8" s="122"/>
      <c r="D8" s="123"/>
      <c r="E8" s="124"/>
      <c r="F8" s="125"/>
      <c r="G8" s="112" t="s">
        <v>113</v>
      </c>
      <c r="H8" s="189">
        <v>70000</v>
      </c>
      <c r="I8" s="113">
        <v>6.2</v>
      </c>
      <c r="J8" s="100">
        <f t="shared" si="1"/>
        <v>434000</v>
      </c>
      <c r="K8" s="101"/>
      <c r="L8" s="102"/>
      <c r="R8" s="98"/>
    </row>
    <row r="9" spans="1:18" ht="23.25" customHeight="1">
      <c r="A9" s="5">
        <f t="shared" si="0"/>
        <v>4</v>
      </c>
      <c r="B9" s="121" t="s">
        <v>117</v>
      </c>
      <c r="C9" s="122"/>
      <c r="D9" s="123" t="s">
        <v>118</v>
      </c>
      <c r="E9" s="124"/>
      <c r="F9" s="125"/>
      <c r="G9" s="112" t="s">
        <v>113</v>
      </c>
      <c r="H9" s="189">
        <v>3000</v>
      </c>
      <c r="I9" s="113">
        <v>61.5</v>
      </c>
      <c r="J9" s="100">
        <f t="shared" si="1"/>
        <v>184500</v>
      </c>
      <c r="K9" s="101"/>
      <c r="L9" s="102"/>
      <c r="R9" s="98"/>
    </row>
    <row r="10" spans="1:18" ht="23.25" customHeight="1">
      <c r="A10" s="5">
        <f t="shared" si="0"/>
        <v>5</v>
      </c>
      <c r="B10" s="121" t="s">
        <v>119</v>
      </c>
      <c r="C10" s="122"/>
      <c r="D10" s="123"/>
      <c r="E10" s="124"/>
      <c r="F10" s="125"/>
      <c r="G10" s="112" t="s">
        <v>113</v>
      </c>
      <c r="H10" s="189">
        <v>2000</v>
      </c>
      <c r="I10" s="113">
        <v>3.8</v>
      </c>
      <c r="J10" s="100">
        <f t="shared" si="1"/>
        <v>7600</v>
      </c>
      <c r="K10" s="101"/>
      <c r="L10" s="102"/>
      <c r="R10" s="98"/>
    </row>
    <row r="11" spans="1:18" ht="23.25" customHeight="1">
      <c r="A11" s="5">
        <f t="shared" si="0"/>
        <v>6</v>
      </c>
      <c r="B11" s="121" t="s">
        <v>120</v>
      </c>
      <c r="C11" s="122"/>
      <c r="D11" s="123"/>
      <c r="E11" s="124"/>
      <c r="F11" s="125"/>
      <c r="G11" s="112" t="s">
        <v>113</v>
      </c>
      <c r="H11" s="189">
        <v>3000</v>
      </c>
      <c r="I11" s="113">
        <v>6.5</v>
      </c>
      <c r="J11" s="100">
        <f t="shared" si="1"/>
        <v>19500</v>
      </c>
      <c r="K11" s="101"/>
      <c r="L11" s="102"/>
      <c r="R11" s="98"/>
    </row>
    <row r="12" spans="1:18" ht="23.25" customHeight="1">
      <c r="A12" s="5">
        <f t="shared" si="0"/>
        <v>7</v>
      </c>
      <c r="B12" s="121" t="s">
        <v>121</v>
      </c>
      <c r="C12" s="122"/>
      <c r="D12" s="123" t="s">
        <v>122</v>
      </c>
      <c r="E12" s="124"/>
      <c r="F12" s="125"/>
      <c r="G12" s="112" t="s">
        <v>113</v>
      </c>
      <c r="H12" s="189">
        <v>50</v>
      </c>
      <c r="I12" s="113">
        <v>195</v>
      </c>
      <c r="J12" s="100">
        <f t="shared" si="1"/>
        <v>9750</v>
      </c>
      <c r="K12" s="101"/>
      <c r="L12" s="102"/>
      <c r="R12" s="98"/>
    </row>
    <row r="13" spans="1:18" ht="23.25" customHeight="1">
      <c r="A13" s="5">
        <f t="shared" si="0"/>
        <v>8</v>
      </c>
      <c r="B13" s="121" t="s">
        <v>123</v>
      </c>
      <c r="C13" s="122"/>
      <c r="D13" s="123"/>
      <c r="E13" s="124"/>
      <c r="F13" s="125"/>
      <c r="G13" s="112" t="s">
        <v>113</v>
      </c>
      <c r="H13" s="189">
        <v>200</v>
      </c>
      <c r="I13" s="113">
        <v>6</v>
      </c>
      <c r="J13" s="100">
        <f t="shared" si="1"/>
        <v>1200</v>
      </c>
      <c r="K13" s="101"/>
      <c r="L13" s="102"/>
      <c r="R13" s="98"/>
    </row>
    <row r="14" spans="1:18" ht="23.25" customHeight="1">
      <c r="A14" s="5">
        <f t="shared" si="0"/>
        <v>9</v>
      </c>
      <c r="B14" s="121" t="s">
        <v>124</v>
      </c>
      <c r="C14" s="122"/>
      <c r="D14" s="123"/>
      <c r="E14" s="124"/>
      <c r="F14" s="125"/>
      <c r="G14" s="112" t="s">
        <v>113</v>
      </c>
      <c r="H14" s="189">
        <v>100</v>
      </c>
      <c r="I14" s="113">
        <v>6.7</v>
      </c>
      <c r="J14" s="100">
        <f t="shared" si="1"/>
        <v>670</v>
      </c>
      <c r="K14" s="101"/>
      <c r="L14" s="102"/>
      <c r="R14" s="98"/>
    </row>
    <row r="15" spans="1:18" ht="23.25" customHeight="1">
      <c r="A15" s="5">
        <f t="shared" si="0"/>
        <v>10</v>
      </c>
      <c r="B15" s="121" t="s">
        <v>125</v>
      </c>
      <c r="C15" s="122"/>
      <c r="D15" s="123"/>
      <c r="E15" s="124"/>
      <c r="F15" s="125"/>
      <c r="G15" s="112" t="s">
        <v>113</v>
      </c>
      <c r="H15" s="189">
        <v>250</v>
      </c>
      <c r="I15" s="113">
        <v>20</v>
      </c>
      <c r="J15" s="100">
        <f t="shared" si="1"/>
        <v>5000</v>
      </c>
      <c r="K15" s="101"/>
      <c r="L15" s="102"/>
      <c r="R15" s="98"/>
    </row>
    <row r="16" spans="1:18" ht="23.25" customHeight="1">
      <c r="A16" s="145" t="s">
        <v>8</v>
      </c>
      <c r="B16" s="146"/>
      <c r="C16" s="103"/>
      <c r="D16" s="109"/>
      <c r="E16" s="109"/>
      <c r="F16" s="109"/>
      <c r="G16" s="110"/>
      <c r="H16" s="110"/>
      <c r="I16" s="111" t="s">
        <v>9</v>
      </c>
      <c r="J16" s="100">
        <f>SUM(J6:J15)</f>
        <v>1285280</v>
      </c>
      <c r="K16" s="100"/>
      <c r="L16" s="104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47" t="s">
        <v>11</v>
      </c>
      <c r="S18" s="13" t="s">
        <v>12</v>
      </c>
    </row>
    <row r="19" spans="1:19" ht="50.1" customHeight="1">
      <c r="R19" s="148"/>
      <c r="S19" s="15"/>
    </row>
    <row r="20" spans="1:19" ht="17.100000000000001" customHeight="1">
      <c r="O20" s="11"/>
      <c r="P20" s="11"/>
      <c r="R20" s="149"/>
      <c r="S20" s="15" t="s">
        <v>13</v>
      </c>
    </row>
    <row r="21" spans="1:19" ht="15" customHeight="1">
      <c r="O21" s="17" t="s">
        <v>14</v>
      </c>
      <c r="P21" s="150" t="s">
        <v>15</v>
      </c>
    </row>
    <row r="22" spans="1:19" ht="18" customHeight="1">
      <c r="O22" s="18" t="s">
        <v>16</v>
      </c>
      <c r="P22" s="151"/>
      <c r="R22" s="147" t="s">
        <v>17</v>
      </c>
      <c r="S22" s="12" t="s">
        <v>12</v>
      </c>
    </row>
    <row r="23" spans="1:19" ht="50.1" customHeight="1">
      <c r="O23" s="14"/>
      <c r="P23" s="14"/>
      <c r="R23" s="148"/>
      <c r="S23" s="19"/>
    </row>
    <row r="24" spans="1:19" ht="17.100000000000001" customHeight="1">
      <c r="O24" s="16" t="s">
        <v>13</v>
      </c>
      <c r="P24" s="16" t="s">
        <v>13</v>
      </c>
      <c r="R24" s="149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52"/>
      <c r="P27" s="152"/>
    </row>
    <row r="28" spans="1:19" ht="19.899999999999999" customHeight="1">
      <c r="O28" s="152"/>
      <c r="P28" s="152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0" t="s">
        <v>18</v>
      </c>
      <c r="P46" s="150" t="s">
        <v>18</v>
      </c>
      <c r="S46" s="150" t="s">
        <v>12</v>
      </c>
    </row>
    <row r="47" spans="15:19" ht="21" customHeight="1">
      <c r="O47" s="151"/>
      <c r="P47" s="151"/>
      <c r="S47" s="149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0" t="s">
        <v>18</v>
      </c>
      <c r="P50" s="150" t="s">
        <v>18</v>
      </c>
      <c r="S50" s="150" t="s">
        <v>19</v>
      </c>
    </row>
    <row r="51" spans="15:19" ht="21" customHeight="1">
      <c r="O51" s="151"/>
      <c r="P51" s="151"/>
      <c r="S51" s="149"/>
    </row>
    <row r="52" spans="15:19" ht="64.900000000000006" customHeight="1">
      <c r="O52" s="14"/>
      <c r="P52" s="14"/>
      <c r="S52" s="14"/>
    </row>
  </sheetData>
  <mergeCells count="44">
    <mergeCell ref="S46:S47"/>
    <mergeCell ref="O50:O51"/>
    <mergeCell ref="P50:P51"/>
    <mergeCell ref="S50:S51"/>
    <mergeCell ref="O27:O28"/>
    <mergeCell ref="P27:P28"/>
    <mergeCell ref="O46:O47"/>
    <mergeCell ref="P46:P47"/>
    <mergeCell ref="A16:B16"/>
    <mergeCell ref="R18:R20"/>
    <mergeCell ref="P21:P22"/>
    <mergeCell ref="R22:R24"/>
    <mergeCell ref="B9:C9"/>
    <mergeCell ref="D9:F9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A4:A5"/>
    <mergeCell ref="B4:C5"/>
    <mergeCell ref="D4:F5"/>
    <mergeCell ref="G4:G5"/>
    <mergeCell ref="H4:H5"/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93</v>
      </c>
      <c r="B1" s="92"/>
      <c r="C1" s="92"/>
      <c r="D1" s="92"/>
      <c r="E1" s="92"/>
      <c r="F1" s="92"/>
      <c r="G1" s="1"/>
      <c r="J1" s="126" t="str">
        <f>+MRS!J1</f>
        <v>DAESHIN PLANT</v>
      </c>
      <c r="K1" s="128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29" t="str">
        <f>+MRS!J2</f>
        <v>Subcontract name (SAC2-SC-IK-SMP-01)</v>
      </c>
      <c r="K2" s="131"/>
    </row>
    <row r="3" spans="1:18" ht="24.95" customHeight="1">
      <c r="A3" s="3" t="str">
        <f>+MRS!A3</f>
        <v xml:space="preserve">  MRS No : SAC2-DS-MRS-0235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46081</v>
      </c>
    </row>
    <row r="4" spans="1:18" ht="15.95" customHeight="1">
      <c r="A4" s="158" t="s">
        <v>2</v>
      </c>
      <c r="B4" s="159" t="s">
        <v>20</v>
      </c>
      <c r="C4" s="159"/>
      <c r="D4" s="158" t="s">
        <v>4</v>
      </c>
      <c r="E4" s="158"/>
      <c r="F4" s="158"/>
      <c r="G4" s="159" t="s">
        <v>5</v>
      </c>
      <c r="H4" s="158" t="s">
        <v>88</v>
      </c>
      <c r="I4" s="158" t="s">
        <v>21</v>
      </c>
      <c r="J4" s="158" t="s">
        <v>22</v>
      </c>
      <c r="K4" s="159" t="s">
        <v>7</v>
      </c>
    </row>
    <row r="5" spans="1:18" ht="15.95" customHeight="1">
      <c r="A5" s="158"/>
      <c r="B5" s="159"/>
      <c r="C5" s="159"/>
      <c r="D5" s="158"/>
      <c r="E5" s="158"/>
      <c r="F5" s="158"/>
      <c r="G5" s="159"/>
      <c r="H5" s="158"/>
      <c r="I5" s="158"/>
      <c r="J5" s="158"/>
      <c r="K5" s="159"/>
    </row>
    <row r="6" spans="1:18" ht="105" customHeight="1">
      <c r="A6" s="21">
        <f>+MRS!A6</f>
        <v>1</v>
      </c>
      <c r="B6" s="153" t="str">
        <f>MRS!B6</f>
        <v>Scaffolding Tube Galvinized</v>
      </c>
      <c r="C6" s="154"/>
      <c r="D6" s="155" t="str">
        <f>MRS!D6</f>
        <v>EN10219- 48.3mm x 3.2 mm x 6.0Mtr</v>
      </c>
      <c r="E6" s="156"/>
      <c r="F6" s="157"/>
      <c r="G6" s="95" t="str">
        <f>MRS!G6</f>
        <v>Pcs</v>
      </c>
      <c r="H6" s="95">
        <f>MRS!H6</f>
        <v>7640</v>
      </c>
      <c r="I6" s="96">
        <f>MRS!I6</f>
        <v>79</v>
      </c>
      <c r="J6" s="96">
        <f>MRS!J6</f>
        <v>603560</v>
      </c>
      <c r="K6" s="97"/>
      <c r="O6" s="98"/>
      <c r="P6" s="98"/>
      <c r="R6" s="98"/>
    </row>
    <row r="7" spans="1:18" ht="105" customHeight="1">
      <c r="A7" s="21">
        <f>+MRS!A7</f>
        <v>2</v>
      </c>
      <c r="B7" s="153" t="str">
        <f>MRS!B7</f>
        <v>Board Retaining Clamp (BRC)</v>
      </c>
      <c r="C7" s="154"/>
      <c r="D7" s="155">
        <f>MRS!D7</f>
        <v>0</v>
      </c>
      <c r="E7" s="156"/>
      <c r="F7" s="157"/>
      <c r="G7" s="95" t="str">
        <f>MRS!G7</f>
        <v>Pcs</v>
      </c>
      <c r="H7" s="95">
        <f>MRS!H7</f>
        <v>5000</v>
      </c>
      <c r="I7" s="96">
        <f>MRS!I7</f>
        <v>3.9</v>
      </c>
      <c r="J7" s="96">
        <f>MRS!J7</f>
        <v>19500</v>
      </c>
      <c r="K7" s="97"/>
      <c r="O7" s="98"/>
      <c r="P7" s="98"/>
      <c r="R7" s="98"/>
    </row>
    <row r="8" spans="1:18" ht="105" customHeight="1">
      <c r="A8" s="21">
        <f>+MRS!A8</f>
        <v>3</v>
      </c>
      <c r="B8" s="153" t="str">
        <f>MRS!B8</f>
        <v>Double / Fixed Coupler</v>
      </c>
      <c r="C8" s="154"/>
      <c r="D8" s="155">
        <f>MRS!D8</f>
        <v>0</v>
      </c>
      <c r="E8" s="156"/>
      <c r="F8" s="157"/>
      <c r="G8" s="95" t="str">
        <f>MRS!G8</f>
        <v>Pcs</v>
      </c>
      <c r="H8" s="95">
        <f>MRS!H8</f>
        <v>70000</v>
      </c>
      <c r="I8" s="96">
        <f>MRS!I8</f>
        <v>6.2</v>
      </c>
      <c r="J8" s="96">
        <f>MRS!J8</f>
        <v>434000</v>
      </c>
      <c r="K8" s="97"/>
      <c r="O8" s="98"/>
      <c r="P8" s="98"/>
      <c r="R8" s="98"/>
    </row>
    <row r="9" spans="1:18" ht="105" customHeight="1">
      <c r="A9" s="21">
        <f>+MRS!A9</f>
        <v>4</v>
      </c>
      <c r="B9" s="153" t="str">
        <f>MRS!B9</f>
        <v>Scaffolding LVL Osha Board</v>
      </c>
      <c r="C9" s="154"/>
      <c r="D9" s="155" t="str">
        <f>MRS!D9</f>
        <v>225mm x 38mm x 4.0 Mtr</v>
      </c>
      <c r="E9" s="156"/>
      <c r="F9" s="157"/>
      <c r="G9" s="95" t="str">
        <f>MRS!G9</f>
        <v>Pcs</v>
      </c>
      <c r="H9" s="95">
        <f>MRS!H9</f>
        <v>3000</v>
      </c>
      <c r="I9" s="96">
        <f>MRS!I9</f>
        <v>61.5</v>
      </c>
      <c r="J9" s="96">
        <f>MRS!J9</f>
        <v>184500</v>
      </c>
      <c r="K9" s="97"/>
      <c r="O9" s="98"/>
      <c r="P9" s="98"/>
      <c r="R9" s="98"/>
    </row>
    <row r="10" spans="1:18" ht="105" customHeight="1">
      <c r="A10" s="21">
        <f>+MRS!A10</f>
        <v>5</v>
      </c>
      <c r="B10" s="153" t="str">
        <f>MRS!B10</f>
        <v>Single/Putlog Coupler</v>
      </c>
      <c r="C10" s="154"/>
      <c r="D10" s="155">
        <f>MRS!D10</f>
        <v>0</v>
      </c>
      <c r="E10" s="156"/>
      <c r="F10" s="157"/>
      <c r="G10" s="95" t="str">
        <f>MRS!G10</f>
        <v>Pcs</v>
      </c>
      <c r="H10" s="95">
        <f>MRS!H10</f>
        <v>2000</v>
      </c>
      <c r="I10" s="96">
        <f>MRS!I10</f>
        <v>3.8</v>
      </c>
      <c r="J10" s="96">
        <f>MRS!J10</f>
        <v>7600</v>
      </c>
      <c r="K10" s="97"/>
      <c r="O10" s="98"/>
      <c r="P10" s="98"/>
      <c r="R10" s="98"/>
    </row>
    <row r="11" spans="1:18" ht="105" customHeight="1">
      <c r="A11" s="21">
        <f>+MRS!A11</f>
        <v>6</v>
      </c>
      <c r="B11" s="153" t="str">
        <f>MRS!B11</f>
        <v>Swivel/Movable Coupler</v>
      </c>
      <c r="C11" s="154"/>
      <c r="D11" s="155">
        <f>MRS!D11</f>
        <v>0</v>
      </c>
      <c r="E11" s="156"/>
      <c r="F11" s="157"/>
      <c r="G11" s="95" t="str">
        <f>MRS!G11</f>
        <v>Pcs</v>
      </c>
      <c r="H11" s="95">
        <f>MRS!H11</f>
        <v>3000</v>
      </c>
      <c r="I11" s="96">
        <f>MRS!I11</f>
        <v>6.5</v>
      </c>
      <c r="J11" s="96">
        <f>MRS!J11</f>
        <v>19500</v>
      </c>
      <c r="K11" s="97"/>
      <c r="O11" s="98"/>
      <c r="P11" s="98"/>
      <c r="R11" s="98"/>
    </row>
    <row r="12" spans="1:18" ht="105" customHeight="1">
      <c r="A12" s="21">
        <f>+MRS!A12</f>
        <v>7</v>
      </c>
      <c r="B12" s="153" t="str">
        <f>MRS!B12</f>
        <v>Scaffolding Steel Ladder</v>
      </c>
      <c r="C12" s="154"/>
      <c r="D12" s="155" t="str">
        <f>MRS!D12</f>
        <v>6.0 Mtr</v>
      </c>
      <c r="E12" s="156"/>
      <c r="F12" s="157"/>
      <c r="G12" s="95" t="str">
        <f>MRS!G12</f>
        <v>Pcs</v>
      </c>
      <c r="H12" s="95">
        <f>MRS!H12</f>
        <v>50</v>
      </c>
      <c r="I12" s="96">
        <f>MRS!I12</f>
        <v>195</v>
      </c>
      <c r="J12" s="96">
        <f>MRS!J12</f>
        <v>9750</v>
      </c>
      <c r="K12" s="97"/>
      <c r="O12" s="98"/>
      <c r="P12" s="98"/>
      <c r="R12" s="98"/>
    </row>
    <row r="13" spans="1:18" ht="105" customHeight="1">
      <c r="A13" s="21">
        <f>+MRS!A13</f>
        <v>8</v>
      </c>
      <c r="B13" s="153" t="str">
        <f>MRS!B13</f>
        <v>Sleeve Coupler/Joint Box</v>
      </c>
      <c r="C13" s="154"/>
      <c r="D13" s="155">
        <f>MRS!D13</f>
        <v>0</v>
      </c>
      <c r="E13" s="156"/>
      <c r="F13" s="157"/>
      <c r="G13" s="95" t="str">
        <f>MRS!G13</f>
        <v>Pcs</v>
      </c>
      <c r="H13" s="95">
        <f>MRS!H13</f>
        <v>200</v>
      </c>
      <c r="I13" s="96">
        <f>MRS!I13</f>
        <v>6</v>
      </c>
      <c r="J13" s="96">
        <f>MRS!J13</f>
        <v>1200</v>
      </c>
      <c r="K13" s="97"/>
      <c r="O13" s="98"/>
      <c r="P13" s="98"/>
      <c r="R13" s="98"/>
    </row>
    <row r="14" spans="1:18" ht="105" customHeight="1">
      <c r="A14" s="21">
        <f>+MRS!A14</f>
        <v>9</v>
      </c>
      <c r="B14" s="153" t="str">
        <f>MRS!B14</f>
        <v>Base Plate</v>
      </c>
      <c r="C14" s="154"/>
      <c r="D14" s="155">
        <f>MRS!D14</f>
        <v>0</v>
      </c>
      <c r="E14" s="156"/>
      <c r="F14" s="157"/>
      <c r="G14" s="95" t="str">
        <f>MRS!G14</f>
        <v>Pcs</v>
      </c>
      <c r="H14" s="95">
        <f>MRS!H14</f>
        <v>100</v>
      </c>
      <c r="I14" s="96">
        <f>MRS!I14</f>
        <v>6.7</v>
      </c>
      <c r="J14" s="96">
        <f>MRS!J14</f>
        <v>670</v>
      </c>
      <c r="K14" s="97"/>
      <c r="O14" s="98"/>
      <c r="P14" s="98"/>
      <c r="R14" s="98"/>
    </row>
    <row r="15" spans="1:18" ht="105" customHeight="1">
      <c r="A15" s="21">
        <f>+MRS!A15</f>
        <v>10</v>
      </c>
      <c r="B15" s="153" t="str">
        <f>MRS!B15</f>
        <v>Adjustable Base Jack</v>
      </c>
      <c r="C15" s="154"/>
      <c r="D15" s="155">
        <f>MRS!D15</f>
        <v>0</v>
      </c>
      <c r="E15" s="156"/>
      <c r="F15" s="157"/>
      <c r="G15" s="95" t="str">
        <f>MRS!G15</f>
        <v>Pcs</v>
      </c>
      <c r="H15" s="95">
        <f>MRS!H15</f>
        <v>250</v>
      </c>
      <c r="I15" s="96">
        <f>MRS!I15</f>
        <v>20</v>
      </c>
      <c r="J15" s="96">
        <f>MRS!J15</f>
        <v>5000</v>
      </c>
      <c r="K15" s="97"/>
      <c r="O15" s="98"/>
      <c r="P15" s="98"/>
      <c r="R15" s="98"/>
    </row>
    <row r="16" spans="1:18" ht="105" customHeight="1">
      <c r="A16" s="21"/>
      <c r="B16" s="153"/>
      <c r="C16" s="154"/>
      <c r="D16" s="155"/>
      <c r="E16" s="156"/>
      <c r="F16" s="157"/>
      <c r="G16" s="95"/>
      <c r="H16" s="95"/>
      <c r="I16" s="96"/>
      <c r="J16" s="96"/>
      <c r="K16" s="97"/>
      <c r="O16" s="98"/>
      <c r="P16" s="98"/>
      <c r="R16" s="98"/>
    </row>
    <row r="17" spans="1:18" ht="105" customHeight="1">
      <c r="A17" s="21"/>
      <c r="B17" s="153"/>
      <c r="C17" s="154"/>
      <c r="D17" s="155"/>
      <c r="E17" s="156"/>
      <c r="F17" s="157"/>
      <c r="G17" s="95"/>
      <c r="H17" s="95"/>
      <c r="I17" s="96"/>
      <c r="J17" s="96"/>
      <c r="K17" s="97"/>
      <c r="O17" s="98"/>
      <c r="P17" s="98"/>
      <c r="R17" s="98"/>
    </row>
    <row r="18" spans="1:18" ht="105" customHeight="1">
      <c r="A18" s="21"/>
      <c r="B18" s="153"/>
      <c r="C18" s="154"/>
      <c r="D18" s="155"/>
      <c r="E18" s="156"/>
      <c r="F18" s="157"/>
      <c r="G18" s="95"/>
      <c r="H18" s="95"/>
      <c r="I18" s="96"/>
      <c r="J18" s="96"/>
      <c r="K18" s="97"/>
      <c r="O18" s="98"/>
      <c r="P18" s="98"/>
      <c r="R18" s="98"/>
    </row>
    <row r="19" spans="1:18" ht="105" customHeight="1">
      <c r="A19" s="21"/>
      <c r="B19" s="153"/>
      <c r="C19" s="154"/>
      <c r="D19" s="155"/>
      <c r="E19" s="156"/>
      <c r="F19" s="157"/>
      <c r="G19" s="95"/>
      <c r="H19" s="95"/>
      <c r="I19" s="96"/>
      <c r="J19" s="96"/>
      <c r="K19" s="97"/>
      <c r="O19" s="98"/>
      <c r="P19" s="98"/>
      <c r="R19" s="98"/>
    </row>
    <row r="20" spans="1:18" ht="105" customHeight="1">
      <c r="A20" s="21"/>
      <c r="B20" s="153"/>
      <c r="C20" s="154"/>
      <c r="D20" s="155"/>
      <c r="E20" s="156"/>
      <c r="F20" s="157"/>
      <c r="G20" s="95"/>
      <c r="H20" s="95"/>
      <c r="I20" s="96"/>
      <c r="J20" s="96"/>
      <c r="K20" s="97"/>
      <c r="O20" s="98"/>
      <c r="P20" s="98"/>
      <c r="R20" s="98"/>
    </row>
    <row r="21" spans="1:18" ht="105" customHeight="1">
      <c r="A21" s="21"/>
      <c r="B21" s="153"/>
      <c r="C21" s="154"/>
      <c r="D21" s="155"/>
      <c r="E21" s="156"/>
      <c r="F21" s="157"/>
      <c r="G21" s="95"/>
      <c r="H21" s="95"/>
      <c r="I21" s="96"/>
      <c r="J21" s="96"/>
      <c r="K21" s="97"/>
      <c r="O21" s="98"/>
      <c r="P21" s="98"/>
      <c r="R21" s="98"/>
    </row>
    <row r="23" spans="1:18" ht="21" customHeight="1">
      <c r="J23" s="114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G58" sqref="G58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5.42578125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128</v>
      </c>
      <c r="D9" s="38"/>
      <c r="E9" s="38"/>
    </row>
    <row r="10" spans="2:13" s="38" customFormat="1">
      <c r="B10" s="69"/>
      <c r="C10" s="38" t="s">
        <v>29</v>
      </c>
      <c r="D10" s="73" t="s">
        <v>130</v>
      </c>
      <c r="J10" s="38" t="s">
        <v>30</v>
      </c>
      <c r="K10" s="161">
        <f>MRS!L3</f>
        <v>46081</v>
      </c>
      <c r="L10" s="162"/>
      <c r="M10" s="162"/>
    </row>
    <row r="11" spans="2:13" s="38" customFormat="1">
      <c r="B11" s="69"/>
      <c r="C11" s="72" t="s">
        <v>31</v>
      </c>
      <c r="D11" s="73" t="s">
        <v>131</v>
      </c>
      <c r="J11" s="38" t="s">
        <v>32</v>
      </c>
      <c r="K11" s="163" t="str">
        <f>SUBSTITUTE(SUBSTITUTE(+MRS!A3,"  MRS No : ",""),"-MRS","-PO")</f>
        <v>SAC2-DS-PO-0235</v>
      </c>
      <c r="L11" s="163"/>
      <c r="M11" s="163"/>
    </row>
    <row r="12" spans="2:13" s="38" customFormat="1">
      <c r="B12" s="69"/>
      <c r="C12" s="72" t="s">
        <v>33</v>
      </c>
      <c r="D12" s="38" t="s">
        <v>133</v>
      </c>
      <c r="J12" s="38" t="s">
        <v>34</v>
      </c>
    </row>
    <row r="13" spans="2:13" s="38" customFormat="1">
      <c r="B13" s="69"/>
      <c r="C13" s="74"/>
      <c r="D13" s="73" t="s">
        <v>134</v>
      </c>
      <c r="J13" s="38" t="s">
        <v>35</v>
      </c>
    </row>
    <row r="14" spans="2:13" s="38" customFormat="1">
      <c r="B14" s="69"/>
      <c r="C14" s="115" t="s">
        <v>135</v>
      </c>
      <c r="J14" s="38" t="s">
        <v>36</v>
      </c>
      <c r="K14" s="38" t="s">
        <v>127</v>
      </c>
    </row>
    <row r="15" spans="2:13" s="38" customFormat="1">
      <c r="B15" s="69"/>
      <c r="C15" s="72" t="s">
        <v>136</v>
      </c>
      <c r="J15" s="38" t="s">
        <v>37</v>
      </c>
      <c r="K15" s="75">
        <v>46077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4" t="s">
        <v>38</v>
      </c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</row>
    <row r="19" spans="2:13" ht="12" customHeight="1"/>
    <row r="20" spans="2:13" s="31" customFormat="1" ht="12" customHeight="1">
      <c r="B20" s="165" t="s">
        <v>39</v>
      </c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</row>
    <row r="21" spans="2:13" s="31" customFormat="1" ht="12" customHeight="1">
      <c r="B21" s="165" t="s">
        <v>40</v>
      </c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</row>
    <row r="22" spans="2:13" s="31" customFormat="1" ht="12" customHeight="1">
      <c r="B22" s="165" t="s">
        <v>41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</row>
    <row r="23" spans="2:13" ht="3.75" customHeight="1"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</row>
    <row r="24" spans="2:13" ht="6.95" customHeight="1"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129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6">
        <f>'PO 2nd page'!G22</f>
        <v>1285280</v>
      </c>
      <c r="G29" s="108"/>
      <c r="H29" s="108"/>
      <c r="M29" s="33"/>
    </row>
    <row r="30" spans="2:13" ht="15" customHeight="1">
      <c r="B30" s="32"/>
      <c r="C30" s="26" t="s">
        <v>47</v>
      </c>
      <c r="E30" s="26" t="s">
        <v>46</v>
      </c>
      <c r="F30" s="116">
        <f>'PO 2nd page'!G23</f>
        <v>192792</v>
      </c>
      <c r="G30" s="108"/>
      <c r="H30" s="108"/>
    </row>
    <row r="31" spans="2:13" ht="15" customHeight="1">
      <c r="B31" s="32"/>
      <c r="C31" s="26" t="s">
        <v>48</v>
      </c>
      <c r="D31" s="34"/>
      <c r="E31" s="26" t="s">
        <v>46</v>
      </c>
      <c r="F31" s="116">
        <f>'PO 2nd page'!G24</f>
        <v>1478072</v>
      </c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102</v>
      </c>
    </row>
    <row r="54" spans="2:16" ht="12" customHeight="1">
      <c r="B54" s="81" t="s">
        <v>62</v>
      </c>
      <c r="C54" s="117" t="s">
        <v>104</v>
      </c>
      <c r="F54" s="26" t="s">
        <v>132</v>
      </c>
      <c r="P54" s="26" t="str">
        <f>UPPER(F54)</f>
        <v>YAQOOT ARABIA TRADING COMPANY</v>
      </c>
    </row>
    <row r="55" spans="2:16" ht="12" customHeight="1">
      <c r="B55" s="81" t="s">
        <v>62</v>
      </c>
      <c r="C55" s="117" t="s">
        <v>105</v>
      </c>
      <c r="F55" s="118" t="s">
        <v>137</v>
      </c>
    </row>
    <row r="56" spans="2:16" ht="12" customHeight="1">
      <c r="B56" s="81" t="s">
        <v>62</v>
      </c>
      <c r="C56" s="117" t="s">
        <v>106</v>
      </c>
      <c r="F56" s="26" t="s">
        <v>138</v>
      </c>
    </row>
    <row r="57" spans="2:16" ht="12" customHeight="1">
      <c r="B57" s="81" t="s">
        <v>62</v>
      </c>
      <c r="C57" s="117" t="s">
        <v>107</v>
      </c>
      <c r="F57" s="26" t="s">
        <v>139</v>
      </c>
    </row>
    <row r="58" spans="2:16" ht="12" customHeight="1">
      <c r="B58" s="81" t="s">
        <v>62</v>
      </c>
      <c r="C58" s="117" t="s">
        <v>108</v>
      </c>
      <c r="F58" s="26" t="s">
        <v>140</v>
      </c>
    </row>
    <row r="59" spans="2:16" ht="12" customHeight="1">
      <c r="B59" s="81" t="s">
        <v>62</v>
      </c>
      <c r="C59" s="117" t="s">
        <v>109</v>
      </c>
      <c r="F59" s="26" t="s">
        <v>103</v>
      </c>
    </row>
    <row r="60" spans="2:16" ht="12" customHeight="1">
      <c r="B60" s="81"/>
      <c r="C60" s="117" t="s">
        <v>110</v>
      </c>
    </row>
    <row r="61" spans="2:16" ht="6.75" customHeight="1">
      <c r="B61" s="81"/>
      <c r="C61" s="117"/>
    </row>
    <row r="62" spans="2:16" ht="6" customHeight="1">
      <c r="B62" s="119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Haris</v>
      </c>
    </row>
    <row r="68" spans="1:13" ht="13.5" customHeight="1">
      <c r="B68" s="26" t="s">
        <v>68</v>
      </c>
      <c r="J68" s="26" t="s">
        <v>69</v>
      </c>
      <c r="K68" s="22" t="s">
        <v>98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100</v>
      </c>
      <c r="J70" s="168" t="str">
        <f>C9</f>
        <v>YATCO(Yaqoot Arabia Trading Company)</v>
      </c>
      <c r="K70" s="168"/>
      <c r="L70" s="168"/>
      <c r="M70" s="168"/>
    </row>
    <row r="71" spans="1:13" ht="27.95" customHeight="1">
      <c r="A71" s="160" t="s">
        <v>72</v>
      </c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2"/>
  <sheetViews>
    <sheetView showGridLines="0" view="pageBreakPreview" zoomScaleSheetLayoutView="100" zoomScalePageLayoutView="55" workbookViewId="0">
      <selection activeCell="B7" sqref="B7:C7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7" width="19.85546875" style="42" customWidth="1"/>
    <col min="8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SAC2-DS-PO-0235</v>
      </c>
      <c r="C2" s="171" t="s">
        <v>74</v>
      </c>
      <c r="D2" s="171"/>
      <c r="E2" s="171"/>
      <c r="F2" s="171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46081</v>
      </c>
      <c r="C3" s="48"/>
      <c r="D3" s="49"/>
      <c r="E3" s="172" t="s">
        <v>76</v>
      </c>
      <c r="F3" s="172"/>
      <c r="G3" s="172"/>
      <c r="H3" s="172"/>
      <c r="I3" s="50"/>
    </row>
    <row r="4" spans="1:13" s="52" customFormat="1" ht="28.5" customHeight="1" thickTop="1">
      <c r="A4" s="173" t="s">
        <v>77</v>
      </c>
      <c r="B4" s="175" t="s">
        <v>78</v>
      </c>
      <c r="C4" s="176"/>
      <c r="D4" s="179" t="s">
        <v>79</v>
      </c>
      <c r="E4" s="179" t="s">
        <v>80</v>
      </c>
      <c r="F4" s="181" t="str">
        <f>'PO 1st page'!C9</f>
        <v>YATCO(Yaqoot Arabia Trading Company)</v>
      </c>
      <c r="G4" s="182"/>
      <c r="H4" s="183" t="s">
        <v>81</v>
      </c>
      <c r="K4" s="53"/>
      <c r="L4" s="53"/>
      <c r="M4" s="53"/>
    </row>
    <row r="5" spans="1:13" s="52" customFormat="1" ht="21.95" customHeight="1">
      <c r="A5" s="174"/>
      <c r="B5" s="177"/>
      <c r="C5" s="178"/>
      <c r="D5" s="180"/>
      <c r="E5" s="180"/>
      <c r="F5" s="54" t="s">
        <v>82</v>
      </c>
      <c r="G5" s="54" t="s">
        <v>48</v>
      </c>
      <c r="H5" s="184"/>
      <c r="K5" s="53"/>
      <c r="L5" s="53"/>
      <c r="M5" s="53"/>
    </row>
    <row r="6" spans="1:13" s="52" customFormat="1" ht="32.1" customHeight="1">
      <c r="A6" s="82">
        <f t="shared" ref="A6:A15" si="0">ROW(A1)</f>
        <v>1</v>
      </c>
      <c r="B6" s="169" t="str">
        <f>MRS!B6&amp;" "&amp;MRS!D6</f>
        <v>Scaffolding Tube Galvinized EN10219- 48.3mm x 3.2 mm x 6.0Mtr</v>
      </c>
      <c r="C6" s="170"/>
      <c r="D6" s="83" t="str">
        <f>MRS!G6</f>
        <v>Pcs</v>
      </c>
      <c r="E6" s="84">
        <f>MRS!H6</f>
        <v>7640</v>
      </c>
      <c r="F6" s="85">
        <f>+'MRS LIST'!I6</f>
        <v>79</v>
      </c>
      <c r="G6" s="86">
        <f>+'MRS LIST'!J6</f>
        <v>603560</v>
      </c>
      <c r="H6" s="87" t="s">
        <v>99</v>
      </c>
      <c r="K6" s="88"/>
      <c r="L6" s="89"/>
      <c r="M6" s="53"/>
    </row>
    <row r="7" spans="1:13" s="52" customFormat="1" ht="32.1" customHeight="1">
      <c r="A7" s="82">
        <f t="shared" si="0"/>
        <v>2</v>
      </c>
      <c r="B7" s="169" t="str">
        <f>MRS!B7&amp;" "&amp;MRS!D7</f>
        <v xml:space="preserve">Board Retaining Clamp (BRC) </v>
      </c>
      <c r="C7" s="170"/>
      <c r="D7" s="83" t="str">
        <f>MRS!G7</f>
        <v>Pcs</v>
      </c>
      <c r="E7" s="84">
        <f>MRS!H7</f>
        <v>5000</v>
      </c>
      <c r="F7" s="85">
        <f>+'MRS LIST'!I7</f>
        <v>3.9</v>
      </c>
      <c r="G7" s="86">
        <f>+'MRS LIST'!J7</f>
        <v>19500</v>
      </c>
      <c r="H7" s="87"/>
      <c r="K7" s="88"/>
      <c r="L7" s="89"/>
      <c r="M7" s="53"/>
    </row>
    <row r="8" spans="1:13" s="52" customFormat="1" ht="32.1" customHeight="1">
      <c r="A8" s="90">
        <f t="shared" si="0"/>
        <v>3</v>
      </c>
      <c r="B8" s="169" t="str">
        <f>MRS!B8&amp;" "&amp;MRS!D8</f>
        <v xml:space="preserve">Double / Fixed Coupler </v>
      </c>
      <c r="C8" s="170"/>
      <c r="D8" s="83" t="str">
        <f>MRS!G8</f>
        <v>Pcs</v>
      </c>
      <c r="E8" s="84">
        <f>MRS!H8</f>
        <v>70000</v>
      </c>
      <c r="F8" s="85">
        <f>+'MRS LIST'!I8</f>
        <v>6.2</v>
      </c>
      <c r="G8" s="86">
        <f>+'MRS LIST'!J8</f>
        <v>434000</v>
      </c>
      <c r="H8" s="87"/>
      <c r="K8" s="53"/>
      <c r="L8" s="53"/>
      <c r="M8" s="53"/>
    </row>
    <row r="9" spans="1:13" s="52" customFormat="1" ht="32.1" customHeight="1">
      <c r="A9" s="90">
        <f t="shared" si="0"/>
        <v>4</v>
      </c>
      <c r="B9" s="169" t="str">
        <f>MRS!B9&amp;" "&amp;MRS!D9</f>
        <v>Scaffolding LVL Osha Board 225mm x 38mm x 4.0 Mtr</v>
      </c>
      <c r="C9" s="170"/>
      <c r="D9" s="83" t="str">
        <f>MRS!G9</f>
        <v>Pcs</v>
      </c>
      <c r="E9" s="84">
        <f>MRS!H9</f>
        <v>3000</v>
      </c>
      <c r="F9" s="85">
        <f>+'MRS LIST'!I9</f>
        <v>61.5</v>
      </c>
      <c r="G9" s="86">
        <f>+'MRS LIST'!J9</f>
        <v>184500</v>
      </c>
      <c r="H9" s="91"/>
    </row>
    <row r="10" spans="1:13" s="52" customFormat="1" ht="32.1" customHeight="1">
      <c r="A10" s="90">
        <f t="shared" si="0"/>
        <v>5</v>
      </c>
      <c r="B10" s="169" t="str">
        <f>MRS!B10&amp;" "&amp;MRS!D10</f>
        <v xml:space="preserve">Single/Putlog Coupler </v>
      </c>
      <c r="C10" s="170"/>
      <c r="D10" s="83" t="str">
        <f>MRS!G10</f>
        <v>Pcs</v>
      </c>
      <c r="E10" s="84">
        <f>MRS!H10</f>
        <v>2000</v>
      </c>
      <c r="F10" s="85">
        <f>+'MRS LIST'!I10</f>
        <v>3.8</v>
      </c>
      <c r="G10" s="86">
        <f>+'MRS LIST'!J10</f>
        <v>7600</v>
      </c>
      <c r="H10" s="91"/>
    </row>
    <row r="11" spans="1:13" s="52" customFormat="1" ht="32.1" customHeight="1">
      <c r="A11" s="90">
        <f t="shared" si="0"/>
        <v>6</v>
      </c>
      <c r="B11" s="169" t="str">
        <f>MRS!B11&amp;" "&amp;MRS!D11</f>
        <v xml:space="preserve">Swivel/Movable Coupler </v>
      </c>
      <c r="C11" s="170"/>
      <c r="D11" s="83" t="str">
        <f>MRS!G11</f>
        <v>Pcs</v>
      </c>
      <c r="E11" s="84">
        <f>MRS!H11</f>
        <v>3000</v>
      </c>
      <c r="F11" s="85">
        <f>+'MRS LIST'!I11</f>
        <v>6.5</v>
      </c>
      <c r="G11" s="86">
        <f>+'MRS LIST'!J11</f>
        <v>19500</v>
      </c>
      <c r="H11" s="91"/>
    </row>
    <row r="12" spans="1:13" s="52" customFormat="1" ht="32.1" customHeight="1">
      <c r="A12" s="90">
        <f t="shared" si="0"/>
        <v>7</v>
      </c>
      <c r="B12" s="169" t="str">
        <f>MRS!B12&amp;" "&amp;MRS!D12</f>
        <v>Scaffolding Steel Ladder 6.0 Mtr</v>
      </c>
      <c r="C12" s="170"/>
      <c r="D12" s="83" t="str">
        <f>MRS!G12</f>
        <v>Pcs</v>
      </c>
      <c r="E12" s="84">
        <f>MRS!H12</f>
        <v>50</v>
      </c>
      <c r="F12" s="85">
        <f>+'MRS LIST'!I12</f>
        <v>195</v>
      </c>
      <c r="G12" s="86">
        <f>+'MRS LIST'!J12</f>
        <v>9750</v>
      </c>
      <c r="H12" s="91"/>
    </row>
    <row r="13" spans="1:13" s="52" customFormat="1" ht="32.1" customHeight="1">
      <c r="A13" s="90">
        <f t="shared" si="0"/>
        <v>8</v>
      </c>
      <c r="B13" s="169" t="str">
        <f>MRS!B13&amp;" "&amp;MRS!D13</f>
        <v xml:space="preserve">Sleeve Coupler/Joint Box </v>
      </c>
      <c r="C13" s="170"/>
      <c r="D13" s="83" t="str">
        <f>MRS!G13</f>
        <v>Pcs</v>
      </c>
      <c r="E13" s="84">
        <f>MRS!H13</f>
        <v>200</v>
      </c>
      <c r="F13" s="85">
        <f>+'MRS LIST'!I13</f>
        <v>6</v>
      </c>
      <c r="G13" s="86">
        <f>+'MRS LIST'!J13</f>
        <v>1200</v>
      </c>
      <c r="H13" s="91"/>
    </row>
    <row r="14" spans="1:13" s="52" customFormat="1" ht="32.1" customHeight="1">
      <c r="A14" s="90">
        <f t="shared" si="0"/>
        <v>9</v>
      </c>
      <c r="B14" s="169" t="str">
        <f>MRS!B14&amp;" "&amp;MRS!D14</f>
        <v xml:space="preserve">Base Plate </v>
      </c>
      <c r="C14" s="170"/>
      <c r="D14" s="83" t="str">
        <f>MRS!G14</f>
        <v>Pcs</v>
      </c>
      <c r="E14" s="84">
        <f>MRS!H14</f>
        <v>100</v>
      </c>
      <c r="F14" s="85">
        <f>+'MRS LIST'!I14</f>
        <v>6.7</v>
      </c>
      <c r="G14" s="86">
        <f>+'MRS LIST'!J14</f>
        <v>670</v>
      </c>
      <c r="H14" s="91"/>
    </row>
    <row r="15" spans="1:13" s="52" customFormat="1" ht="32.1" customHeight="1">
      <c r="A15" s="90">
        <f t="shared" si="0"/>
        <v>10</v>
      </c>
      <c r="B15" s="169" t="str">
        <f>MRS!B15&amp;" "&amp;MRS!D15</f>
        <v xml:space="preserve">Adjustable Base Jack </v>
      </c>
      <c r="C15" s="170"/>
      <c r="D15" s="83" t="str">
        <f>MRS!G15</f>
        <v>Pcs</v>
      </c>
      <c r="E15" s="84">
        <f>MRS!H15</f>
        <v>250</v>
      </c>
      <c r="F15" s="85">
        <f>+'MRS LIST'!I15</f>
        <v>20</v>
      </c>
      <c r="G15" s="86">
        <f>+'MRS LIST'!J15</f>
        <v>5000</v>
      </c>
      <c r="H15" s="91"/>
    </row>
    <row r="16" spans="1:13" s="52" customFormat="1" ht="32.1" customHeight="1">
      <c r="A16" s="90"/>
      <c r="B16" s="169"/>
      <c r="C16" s="170"/>
      <c r="D16" s="83"/>
      <c r="E16" s="84"/>
      <c r="F16" s="85"/>
      <c r="G16" s="86"/>
      <c r="H16" s="91"/>
    </row>
    <row r="17" spans="1:13" s="52" customFormat="1" ht="32.1" customHeight="1">
      <c r="A17" s="90"/>
      <c r="B17" s="169"/>
      <c r="C17" s="170"/>
      <c r="D17" s="83"/>
      <c r="E17" s="84"/>
      <c r="F17" s="85"/>
      <c r="G17" s="86"/>
      <c r="H17" s="91"/>
    </row>
    <row r="18" spans="1:13" s="52" customFormat="1" ht="32.1" customHeight="1">
      <c r="A18" s="90"/>
      <c r="B18" s="169"/>
      <c r="C18" s="170"/>
      <c r="D18" s="83"/>
      <c r="E18" s="84"/>
      <c r="F18" s="85"/>
      <c r="G18" s="86"/>
      <c r="H18" s="91"/>
    </row>
    <row r="19" spans="1:13" s="52" customFormat="1" ht="32.1" customHeight="1">
      <c r="A19" s="90"/>
      <c r="B19" s="169"/>
      <c r="C19" s="170"/>
      <c r="D19" s="83"/>
      <c r="E19" s="84"/>
      <c r="F19" s="85"/>
      <c r="G19" s="86"/>
      <c r="H19" s="91"/>
    </row>
    <row r="20" spans="1:13" s="52" customFormat="1" ht="32.1" customHeight="1">
      <c r="A20" s="90"/>
      <c r="B20" s="169"/>
      <c r="C20" s="170"/>
      <c r="D20" s="83"/>
      <c r="E20" s="84"/>
      <c r="F20" s="85"/>
      <c r="G20" s="86"/>
      <c r="H20" s="91"/>
    </row>
    <row r="21" spans="1:13" s="52" customFormat="1" ht="32.1" customHeight="1">
      <c r="A21" s="90"/>
      <c r="B21" s="169"/>
      <c r="C21" s="170"/>
      <c r="D21" s="83"/>
      <c r="E21" s="84"/>
      <c r="F21" s="85"/>
      <c r="G21" s="86"/>
      <c r="H21" s="91"/>
    </row>
    <row r="22" spans="1:13" s="52" customFormat="1" ht="23.1" customHeight="1">
      <c r="A22" s="185" t="s">
        <v>83</v>
      </c>
      <c r="B22" s="186"/>
      <c r="C22" s="186"/>
      <c r="D22" s="186"/>
      <c r="E22" s="186"/>
      <c r="F22" s="186"/>
      <c r="G22" s="55">
        <f>SUM(G6:G21)</f>
        <v>1285280</v>
      </c>
      <c r="H22" s="56"/>
    </row>
    <row r="23" spans="1:13" s="52" customFormat="1" ht="23.1" customHeight="1">
      <c r="A23" s="185" t="s">
        <v>47</v>
      </c>
      <c r="B23" s="186"/>
      <c r="C23" s="186"/>
      <c r="D23" s="186"/>
      <c r="E23" s="186"/>
      <c r="F23" s="186"/>
      <c r="G23" s="55">
        <f>+G22*0.15</f>
        <v>192792</v>
      </c>
      <c r="H23" s="56"/>
    </row>
    <row r="24" spans="1:13" s="52" customFormat="1" ht="24.95" customHeight="1" thickBot="1">
      <c r="A24" s="187" t="s">
        <v>84</v>
      </c>
      <c r="B24" s="188"/>
      <c r="C24" s="188"/>
      <c r="D24" s="188"/>
      <c r="E24" s="188"/>
      <c r="F24" s="188"/>
      <c r="G24" s="57">
        <f>G23+G22</f>
        <v>1478072</v>
      </c>
      <c r="H24" s="58"/>
    </row>
    <row r="25" spans="1:13" ht="15.75" thickTop="1">
      <c r="A25" s="59" t="str">
        <f>" 1) Above Price are as per your quotation with ref "&amp;'PO 1st page'!K14</f>
        <v xml:space="preserve"> 1) Above Price are as per your quotation with ref QTN-YATCO-SCAF-000053</v>
      </c>
      <c r="B25" s="60"/>
      <c r="C25" s="60"/>
      <c r="D25" s="61"/>
      <c r="E25" s="61"/>
      <c r="F25" s="61"/>
      <c r="G25" s="61"/>
      <c r="H25" s="61"/>
    </row>
    <row r="26" spans="1:13" ht="15">
      <c r="A26" s="62" t="s">
        <v>85</v>
      </c>
      <c r="B26" s="63"/>
      <c r="C26" s="63"/>
      <c r="D26" s="64"/>
      <c r="E26" s="64"/>
      <c r="F26" s="64"/>
      <c r="G26" s="64"/>
      <c r="H26" s="64"/>
      <c r="I26" s="65"/>
    </row>
    <row r="27" spans="1:13" ht="15.75">
      <c r="A27" s="66"/>
    </row>
    <row r="28" spans="1:13">
      <c r="A28" s="160" t="s">
        <v>86</v>
      </c>
      <c r="B28" s="160"/>
      <c r="C28" s="160"/>
      <c r="D28" s="160"/>
      <c r="E28" s="160"/>
      <c r="F28" s="160"/>
      <c r="G28" s="160"/>
      <c r="H28" s="160"/>
      <c r="I28" s="67"/>
      <c r="J28" s="67"/>
      <c r="K28" s="67"/>
      <c r="L28" s="67"/>
      <c r="M28" s="67"/>
    </row>
    <row r="29" spans="1:13" ht="15.75">
      <c r="A29" s="66"/>
      <c r="C29" s="68"/>
    </row>
    <row r="30" spans="1:13" ht="15.75">
      <c r="A30" s="66"/>
      <c r="C30" s="68"/>
    </row>
    <row r="32" spans="1:13" ht="12" customHeight="1"/>
  </sheetData>
  <mergeCells count="28">
    <mergeCell ref="A22:F22"/>
    <mergeCell ref="A23:F23"/>
    <mergeCell ref="A24:F24"/>
    <mergeCell ref="A28:H28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1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2026-02-28T05:23:14Z</cp:lastPrinted>
  <dcterms:created xsi:type="dcterms:W3CDTF">2024-10-20T11:50:19Z</dcterms:created>
  <dcterms:modified xsi:type="dcterms:W3CDTF">2026-02-28T05:23:16Z</dcterms:modified>
</cp:coreProperties>
</file>