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A9950494-960D-4AA2-AE8D-C518694DDB9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H6" i="4" l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59" i="3"/>
  <c r="E3" i="1"/>
  <c r="H7" i="2"/>
  <c r="G7" i="2"/>
  <c r="D7" i="2"/>
  <c r="B7" i="2"/>
  <c r="J6" i="1" l="1"/>
  <c r="J16" i="1" s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<sst xmlns="http://schemas.openxmlformats.org/spreadsheetml/2006/main" count="158" uniqueCount="123">
  <si>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</si>
  <si>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</si>
  <si>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</si>
  <si>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</si>
  <si>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</si>
  <si>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</si>
  <si>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</si>
  <si>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</si>
  <si>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</si>
  <si>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</si>
  <si>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</si>
  <si>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</si>
  <si>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</si>
  <si>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</si>
  <si>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</si>
  <si>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</si>
  <si>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</si>
  <si>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</si>
  <si>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</si>
  <si>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</si>
  <si>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</si>
  <si>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</si>
  <si>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</si>
  <si>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</si>
  <si>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</si>
  <si>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</si>
  <si>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</si>
  <si>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</si>
  <si>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</si>
  <si>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</si>
  <si>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</si>
  <si>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</si>
  <si>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</si>
  <si>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</si>
  <si>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</si>
  <si>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</si>
  <si>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</si>
  <si>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</si>
  <si>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</si>
  <si>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</si>
  <si>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</si>
  <si>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</si>
  <si>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</si>
  <si>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</si>
  <si>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</si>
  <si>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</si>
  <si>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</si>
  <si>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</si>
  <si>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</si>
  <si>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</si>
  <si>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</si>
  <si>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</si>
  <si>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</si>
  <si>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</si>
  <si>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</si>
  <si>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</si>
  <si>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</si>
  <si>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</si>
  <si>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</si>
  <si>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</si>
  <si>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</si>
  <si>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</si>
  <si>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</si>
  <si>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</si>
  <si>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</si>
  <si>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</si>
  <si>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</si>
  <si>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</si>
  <si>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</si>
  <si>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</si>
  <si>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</si>
  <si>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</si>
  <si>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</si>
  <si>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</si>
  <si>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</si>
  <si>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</si>
  <si>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</si>
  <si>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</si>
  <si>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</si>
  <si>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</si>
  <si>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</si>
  <si>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</si>
  <si>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</si>
  <si>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</si>
  <si>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</si>
  <si>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</si>
  <si>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</si>
  <si>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</si>
  <si>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</si>
  <si>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</si>
  <si>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</si>
  <si>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</si>
  <si>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</si>
  <si>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</si>
  <si>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</si>
  <si>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</si>
  <si>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</si>
  <si>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</si>
  <si>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</si>
  <si>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</si>
  <si>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</si>
  <si>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</si>
  <si>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</si>
  <si>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</si>
  <si>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-MRS-0074</t>
    </r>
  </si>
  <si>
    <t>Crane</t>
  </si>
  <si>
    <t>Crawler Crane 135T</t>
  </si>
  <si>
    <t>FEOL</t>
  </si>
  <si>
    <t>Monthly Based</t>
  </si>
  <si>
    <t>Mob. &amp; De-Mob. / per unit - lump sum</t>
    <phoneticPr fontId="3" type="noConversion"/>
  </si>
  <si>
    <t>L / S</t>
    <phoneticPr fontId="10" type="noConversion"/>
  </si>
  <si>
    <t>Crane Mob &amp; De-Mob. Charge</t>
  </si>
  <si>
    <t>One time</t>
  </si>
  <si>
    <t>2050124322</t>
  </si>
  <si>
    <t>QT-FEOL-25-256R1</t>
  </si>
  <si>
    <t>135T Crawler Crane with operator</t>
  </si>
  <si>
    <t>Sarvesh Martha B</t>
  </si>
  <si>
    <t>+966 541913087 / Email:sarvesh@feol.com.sa</t>
  </si>
  <si>
    <t>Sales Executive</t>
  </si>
  <si>
    <t>Landline: +966(0) 13 3441337 / Mobile : +966 541913087</t>
  </si>
  <si>
    <t>311502100700003</t>
  </si>
  <si>
    <t>7034, Expressway No. 1, Abu Musa Al Ashary-District , Al Jubail 35525, KSA</t>
  </si>
  <si>
    <t>FEOL(FEOL Machines &amp; Equipment Co.)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</si>
</sst>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2" fillId="0" borderId="8" xfId="0" quotePrefix="1" applyFont="1" applyBorder="1" applyAlignment="1">
      <alignment horizontal="center" vertical="center" wrapText="1"/>
    </xf>
    <xf numFmtId="0" fontId="35" fillId="3" borderId="0" xfId="5" applyFont="1" applyFill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2" fillId="3" borderId="16" xfId="0" quotePrefix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7" sqref="B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90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5" t="s">
        <v>97</v>
      </c>
      <c r="K2" s="146"/>
      <c r="L2" s="147"/>
    </row>
    <row r="3" spans="1:19" ht="20.100000000000001" customHeight="1">
      <c r="A3" s="3" t="s">
        <v>104</v>
      </c>
      <c r="B3" s="100"/>
      <c r="C3" s="100"/>
      <c r="D3" s="100"/>
      <c r="E3" s="148">
        <f>+L3</f>
        <v>45802</v>
      </c>
      <c r="F3" s="148"/>
      <c r="G3" s="148"/>
      <c r="H3" s="148"/>
      <c r="I3" s="148"/>
      <c r="J3" s="100"/>
      <c r="K3" s="100"/>
      <c r="L3" s="121">
        <v>45802</v>
      </c>
      <c r="M3" s="4"/>
    </row>
    <row r="4" spans="1:19" ht="15.95" customHeight="1">
      <c r="A4" s="151" t="s">
        <v>2</v>
      </c>
      <c r="B4" s="152" t="s">
        <v>3</v>
      </c>
      <c r="C4" s="152"/>
      <c r="D4" s="154" t="s">
        <v>4</v>
      </c>
      <c r="E4" s="155"/>
      <c r="F4" s="156"/>
      <c r="G4" s="160" t="s">
        <v>5</v>
      </c>
      <c r="H4" s="149" t="s">
        <v>6</v>
      </c>
      <c r="I4" s="149" t="s">
        <v>94</v>
      </c>
      <c r="J4" s="151" t="s">
        <v>95</v>
      </c>
      <c r="K4" s="149" t="s">
        <v>0</v>
      </c>
      <c r="L4" s="152" t="s">
        <v>7</v>
      </c>
    </row>
    <row r="5" spans="1:19" ht="15.95" customHeight="1">
      <c r="A5" s="151"/>
      <c r="B5" s="152"/>
      <c r="C5" s="152"/>
      <c r="D5" s="157"/>
      <c r="E5" s="158"/>
      <c r="F5" s="159"/>
      <c r="G5" s="161"/>
      <c r="H5" s="150"/>
      <c r="I5" s="150"/>
      <c r="J5" s="151"/>
      <c r="K5" s="150"/>
      <c r="L5" s="152"/>
    </row>
    <row r="6" spans="1:19" ht="21.75" customHeight="1">
      <c r="A6" s="5">
        <f t="shared" ref="A6:A15" si="0">ROW(A1)</f>
        <v>1</v>
      </c>
      <c r="B6" s="131" t="s">
        <v>105</v>
      </c>
      <c r="C6" s="132"/>
      <c r="D6" s="133" t="s">
        <v>106</v>
      </c>
      <c r="E6" s="134"/>
      <c r="F6" s="135"/>
      <c r="G6" s="110">
        <v>1</v>
      </c>
      <c r="H6" s="111">
        <v>1</v>
      </c>
      <c r="I6" s="112">
        <v>95000</v>
      </c>
      <c r="J6" s="112">
        <f>H6*I6</f>
        <v>95000</v>
      </c>
      <c r="K6" s="113" t="s">
        <v>107</v>
      </c>
      <c r="L6" s="125" t="s">
        <v>108</v>
      </c>
      <c r="S6" s="105"/>
    </row>
    <row r="7" spans="1:19" ht="21.75" customHeight="1">
      <c r="A7" s="5">
        <f t="shared" si="0"/>
        <v>2</v>
      </c>
      <c r="B7" s="131" t="s">
        <v>111</v>
      </c>
      <c r="C7" s="132"/>
      <c r="D7" s="153" t="s">
        <v>109</v>
      </c>
      <c r="E7" s="134"/>
      <c r="F7" s="135"/>
      <c r="G7" s="110" t="s">
        <v>110</v>
      </c>
      <c r="H7" s="111">
        <v>1</v>
      </c>
      <c r="I7" s="112">
        <v>40000</v>
      </c>
      <c r="J7" s="112">
        <v>40000</v>
      </c>
      <c r="K7" s="113" t="s">
        <v>107</v>
      </c>
      <c r="L7" s="125" t="s">
        <v>112</v>
      </c>
      <c r="S7" s="105"/>
    </row>
    <row r="8" spans="1:19" ht="21.7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S8" s="105"/>
    </row>
    <row r="9" spans="1:19" ht="21.7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S9" s="105"/>
    </row>
    <row r="10" spans="1:19" ht="21.75" customHeight="1">
      <c r="A10" s="5">
        <f t="shared" si="0"/>
        <v>5</v>
      </c>
      <c r="B10" s="131"/>
      <c r="C10" s="132"/>
      <c r="D10" s="141"/>
      <c r="E10" s="141"/>
      <c r="F10" s="141"/>
      <c r="G10" s="110"/>
      <c r="H10" s="111"/>
      <c r="I10" s="112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135000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7" t="s">
        <v>17</v>
      </c>
      <c r="Q21" s="127" t="s">
        <v>18</v>
      </c>
    </row>
    <row r="22" spans="1:22" ht="18" customHeight="1">
      <c r="O22" s="18" t="s">
        <v>19</v>
      </c>
      <c r="P22" s="129"/>
      <c r="Q22" s="129"/>
      <c r="S22" s="13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21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21</v>
      </c>
      <c r="P46" s="127" t="s">
        <v>21</v>
      </c>
      <c r="Q46" s="127" t="s">
        <v>21</v>
      </c>
      <c r="T46" s="127" t="s">
        <v>22</v>
      </c>
      <c r="U46" s="127" t="s">
        <v>13</v>
      </c>
      <c r="V46" s="127" t="s">
        <v>21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21</v>
      </c>
      <c r="P50" s="127" t="s">
        <v>21</v>
      </c>
      <c r="Q50" s="127" t="s">
        <v>21</v>
      </c>
      <c r="T50" s="127" t="s">
        <v>13</v>
      </c>
      <c r="U50" s="127" t="s">
        <v>22</v>
      </c>
      <c r="V50" s="127" t="s">
        <v>21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A4:A5"/>
    <mergeCell ref="B4:C5"/>
    <mergeCell ref="D4:F5"/>
    <mergeCell ref="G4:G5"/>
    <mergeCell ref="H4:H5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SAC2-DS-MRS-0074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45802</v>
      </c>
    </row>
    <row r="4" spans="1:18" ht="15.95" customHeight="1">
      <c r="A4" s="172" t="s">
        <v>2</v>
      </c>
      <c r="B4" s="173" t="s">
        <v>23</v>
      </c>
      <c r="C4" s="173"/>
      <c r="D4" s="172" t="s">
        <v>4</v>
      </c>
      <c r="E4" s="172"/>
      <c r="F4" s="172"/>
      <c r="G4" s="173" t="s">
        <v>5</v>
      </c>
      <c r="H4" s="172" t="s">
        <v>91</v>
      </c>
      <c r="I4" s="172" t="s">
        <v>24</v>
      </c>
      <c r="J4" s="172" t="s">
        <v>25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Crane</v>
      </c>
      <c r="C6" s="168"/>
      <c r="D6" s="169" t="str">
        <f>MRS!D6</f>
        <v>Crawler Crane 135T</v>
      </c>
      <c r="E6" s="170"/>
      <c r="F6" s="171"/>
      <c r="G6" s="102">
        <f>MRS!G6</f>
        <v>1</v>
      </c>
      <c r="H6" s="102">
        <f>MRS!H6</f>
        <v>1</v>
      </c>
      <c r="I6" s="103">
        <f>MRS!I6</f>
        <v>95000</v>
      </c>
      <c r="J6" s="103">
        <f>MRS!J6</f>
        <v>95000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 t="str">
        <f>MRS!B7</f>
        <v>Crane Mob &amp; De-Mob. Charge</v>
      </c>
      <c r="C7" s="168"/>
      <c r="D7" s="169" t="str">
        <f>MRS!D7</f>
        <v>Mob. &amp; De-Mob. / per unit - lump sum</v>
      </c>
      <c r="E7" s="170"/>
      <c r="F7" s="171"/>
      <c r="G7" s="102" t="str">
        <f>MRS!G7</f>
        <v>L / S</v>
      </c>
      <c r="H7" s="102">
        <f>MRS!H7</f>
        <v>1</v>
      </c>
      <c r="I7" s="103">
        <f>MRS!I7</f>
        <v>40000</v>
      </c>
      <c r="J7" s="103">
        <f>MRS!J7</f>
        <v>40000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122</v>
      </c>
      <c r="D9" s="38"/>
      <c r="E9" s="38"/>
    </row>
    <row r="10" spans="2:13" s="38" customFormat="1">
      <c r="B10" s="71"/>
      <c r="C10" s="38" t="s">
        <v>32</v>
      </c>
      <c r="D10" s="75" t="s">
        <v>113</v>
      </c>
      <c r="J10" s="38" t="s">
        <v>33</v>
      </c>
      <c r="K10" s="175">
        <f>MRS!L3</f>
        <v>45802</v>
      </c>
      <c r="L10" s="176"/>
      <c r="M10" s="176"/>
    </row>
    <row r="11" spans="2:13" s="38" customFormat="1">
      <c r="B11" s="71"/>
      <c r="C11" s="74" t="s">
        <v>34</v>
      </c>
      <c r="D11" s="75" t="s">
        <v>120</v>
      </c>
      <c r="J11" s="38" t="s">
        <v>35</v>
      </c>
      <c r="K11" s="177" t="str">
        <f>SUBSTITUTE(SUBSTITUTE(+MRS!A3,"  MRS No : ",""),"-MRS","-PO")</f>
        <v>SAC2-DS-PO-0074</v>
      </c>
      <c r="L11" s="177"/>
      <c r="M11" s="177"/>
    </row>
    <row r="12" spans="2:13" s="38" customFormat="1">
      <c r="B12" s="71"/>
      <c r="C12" s="74" t="s">
        <v>36</v>
      </c>
      <c r="D12" s="38" t="s">
        <v>116</v>
      </c>
      <c r="J12" s="38" t="s">
        <v>37</v>
      </c>
    </row>
    <row r="13" spans="2:13" s="38" customFormat="1">
      <c r="B13" s="71"/>
      <c r="C13" s="76"/>
      <c r="D13" s="75" t="s">
        <v>117</v>
      </c>
      <c r="J13" s="38" t="s">
        <v>38</v>
      </c>
    </row>
    <row r="14" spans="2:13" s="38" customFormat="1">
      <c r="B14" s="71"/>
      <c r="C14" s="126" t="s">
        <v>121</v>
      </c>
      <c r="J14" s="38" t="s">
        <v>39</v>
      </c>
      <c r="K14" s="38" t="s">
        <v>114</v>
      </c>
    </row>
    <row r="15" spans="2:13" s="38" customFormat="1">
      <c r="B15" s="71"/>
      <c r="C15" s="76" t="s">
        <v>119</v>
      </c>
      <c r="J15" s="38" t="s">
        <v>40</v>
      </c>
      <c r="K15" s="77">
        <v>45788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42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43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44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115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108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Sarvesh Martha B</v>
      </c>
    </row>
    <row r="60" spans="1:16" ht="18" customHeight="1">
      <c r="B60" s="26" t="s">
        <v>71</v>
      </c>
      <c r="J60" s="26" t="s">
        <v>72</v>
      </c>
      <c r="K60" s="22" t="s">
        <v>118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82" t="str">
        <f>C9</f>
        <v>FEOL(FEOL Machines &amp; Equipment Co.)</v>
      </c>
      <c r="K62" s="182"/>
      <c r="L62" s="182"/>
      <c r="M62" s="182"/>
    </row>
    <row r="63" spans="1:16" ht="27.95" customHeight="1">
      <c r="A63" s="174" t="s">
        <v>75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N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4" ht="16.5" customHeight="1"/>
    <row r="2" spans="1:14" ht="27" customHeight="1">
      <c r="A2" s="46" t="s">
        <v>76</v>
      </c>
      <c r="B2" s="46" t="str">
        <f>+'PO 1st page'!K11</f>
        <v>SAC2-DS-PO-0074</v>
      </c>
      <c r="C2" s="191" t="s">
        <v>77</v>
      </c>
      <c r="D2" s="191"/>
      <c r="E2" s="191"/>
      <c r="F2" s="191"/>
      <c r="G2" s="47"/>
      <c r="H2" s="47"/>
    </row>
    <row r="3" spans="1:14" s="53" customFormat="1" ht="28.5" customHeight="1" thickBot="1">
      <c r="A3" s="48" t="s">
        <v>78</v>
      </c>
      <c r="B3" s="49">
        <f>+'PO 1st page'!K10</f>
        <v>45802</v>
      </c>
      <c r="C3" s="50"/>
      <c r="D3" s="51"/>
      <c r="E3" s="192" t="s">
        <v>79</v>
      </c>
      <c r="F3" s="192"/>
      <c r="G3" s="192"/>
      <c r="H3" s="192"/>
      <c r="I3" s="52"/>
    </row>
    <row r="4" spans="1:14" s="54" customFormat="1" ht="28.5" customHeight="1" thickTop="1">
      <c r="A4" s="193" t="s">
        <v>80</v>
      </c>
      <c r="B4" s="195" t="s">
        <v>81</v>
      </c>
      <c r="C4" s="196"/>
      <c r="D4" s="199" t="s">
        <v>82</v>
      </c>
      <c r="E4" s="199" t="s">
        <v>83</v>
      </c>
      <c r="F4" s="201" t="str">
        <f>'PO 1st page'!C9</f>
        <v>FEOL(FEOL Machines &amp; Equipment Co.)</v>
      </c>
      <c r="G4" s="202"/>
      <c r="H4" s="203" t="s">
        <v>84</v>
      </c>
      <c r="K4" s="55"/>
      <c r="L4" s="55"/>
      <c r="M4" s="55"/>
    </row>
    <row r="5" spans="1:14" s="54" customFormat="1" ht="21.95" customHeight="1">
      <c r="A5" s="194"/>
      <c r="B5" s="197"/>
      <c r="C5" s="198"/>
      <c r="D5" s="200"/>
      <c r="E5" s="200"/>
      <c r="F5" s="56" t="s">
        <v>85</v>
      </c>
      <c r="G5" s="56" t="s">
        <v>51</v>
      </c>
      <c r="H5" s="204"/>
      <c r="K5" s="55"/>
      <c r="L5" s="55"/>
      <c r="M5" s="55"/>
    </row>
    <row r="6" spans="1:14" s="54" customFormat="1" ht="27" customHeight="1">
      <c r="A6" s="84">
        <f t="shared" ref="A6:A17" si="0">ROW(A1)</f>
        <v>1</v>
      </c>
      <c r="B6" s="187" t="str">
        <f>+'MRS LIST'!B6&amp;" "&amp;MRS!D6</f>
        <v>Crane Crawler Crane 135T</v>
      </c>
      <c r="C6" s="188"/>
      <c r="D6" s="85">
        <f>+'MRS LIST'!G6</f>
        <v>1</v>
      </c>
      <c r="E6" s="86">
        <f>+'MRS LIST'!H6</f>
        <v>1</v>
      </c>
      <c r="F6" s="87">
        <f>+'MRS LIST'!I6</f>
        <v>95000</v>
      </c>
      <c r="G6" s="88">
        <f>+'MRS LIST'!J6</f>
        <v>95000</v>
      </c>
      <c r="H6" s="89" t="str">
        <f>MRS!L6</f>
        <v>Monthly Based</v>
      </c>
      <c r="K6" s="90"/>
      <c r="L6" s="91"/>
      <c r="M6" s="55"/>
    </row>
    <row r="7" spans="1:14" s="54" customFormat="1" ht="27" customHeight="1">
      <c r="A7" s="84">
        <f t="shared" si="0"/>
        <v>2</v>
      </c>
      <c r="B7" s="187" t="str">
        <f>+'MRS LIST'!B7&amp;" "&amp;MRS!D7</f>
        <v>Crane Mob &amp; De-Mob. Charge Mob. &amp; De-Mob. / per unit - lump sum</v>
      </c>
      <c r="C7" s="188"/>
      <c r="D7" s="85" t="str">
        <f>+'MRS LIST'!G7</f>
        <v>L / S</v>
      </c>
      <c r="E7" s="86">
        <f>+'MRS LIST'!H7</f>
        <v>1</v>
      </c>
      <c r="F7" s="87">
        <f>+'MRS LIST'!I7</f>
        <v>40000</v>
      </c>
      <c r="G7" s="88">
        <f>+'MRS LIST'!J7</f>
        <v>40000</v>
      </c>
      <c r="H7" s="89" t="str">
        <f>MRS!L7</f>
        <v>One time</v>
      </c>
      <c r="K7" s="90"/>
      <c r="L7" s="91"/>
      <c r="M7" s="55"/>
    </row>
    <row r="8" spans="1:14" s="54" customFormat="1" ht="27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4" s="54" customFormat="1" ht="27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4" s="54" customFormat="1" ht="27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4" s="54" customFormat="1" ht="27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4" s="54" customFormat="1" ht="27" customHeight="1">
      <c r="A12" s="92">
        <f t="shared" si="0"/>
        <v>7</v>
      </c>
      <c r="B12" s="187"/>
      <c r="C12" s="188"/>
      <c r="D12" s="85"/>
      <c r="E12" s="86"/>
      <c r="F12" s="87"/>
      <c r="G12" s="88"/>
      <c r="H12" s="97"/>
      <c r="N12" s="54" t="s">
        <v>103</v>
      </c>
    </row>
    <row r="13" spans="1:14" s="54" customFormat="1" ht="32.1" customHeight="1">
      <c r="A13" s="92">
        <f t="shared" si="0"/>
        <v>8</v>
      </c>
      <c r="B13" s="189"/>
      <c r="C13" s="190"/>
      <c r="D13" s="93"/>
      <c r="E13" s="94"/>
      <c r="F13" s="95"/>
      <c r="G13" s="96"/>
      <c r="H13" s="97"/>
    </row>
    <row r="14" spans="1:14" s="54" customFormat="1" ht="32.1" customHeight="1">
      <c r="A14" s="92">
        <f t="shared" si="0"/>
        <v>9</v>
      </c>
      <c r="B14" s="189"/>
      <c r="C14" s="190"/>
      <c r="D14" s="93"/>
      <c r="E14" s="94"/>
      <c r="F14" s="98"/>
      <c r="G14" s="96"/>
      <c r="H14" s="97"/>
    </row>
    <row r="15" spans="1:14" s="54" customFormat="1" ht="32.1" customHeight="1">
      <c r="A15" s="92">
        <f t="shared" si="0"/>
        <v>10</v>
      </c>
      <c r="B15" s="189"/>
      <c r="C15" s="190"/>
      <c r="D15" s="93"/>
      <c r="E15" s="94"/>
      <c r="F15" s="98"/>
      <c r="G15" s="96"/>
      <c r="H15" s="97"/>
    </row>
    <row r="16" spans="1:14" s="54" customFormat="1" ht="32.1" customHeight="1">
      <c r="A16" s="92">
        <f t="shared" si="0"/>
        <v>11</v>
      </c>
      <c r="B16" s="189"/>
      <c r="C16" s="190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89"/>
      <c r="C17" s="190"/>
      <c r="D17" s="93"/>
      <c r="E17" s="94"/>
      <c r="F17" s="95"/>
      <c r="G17" s="96"/>
      <c r="H17" s="97"/>
    </row>
    <row r="18" spans="1:13" s="54" customFormat="1" ht="23.1" customHeight="1">
      <c r="A18" s="183" t="s">
        <v>86</v>
      </c>
      <c r="B18" s="184"/>
      <c r="C18" s="184"/>
      <c r="D18" s="184"/>
      <c r="E18" s="184"/>
      <c r="F18" s="184"/>
      <c r="G18" s="57">
        <f>SUM(G6:G17)</f>
        <v>135000</v>
      </c>
      <c r="H18" s="58"/>
    </row>
    <row r="19" spans="1:13" s="54" customFormat="1" ht="23.1" customHeight="1">
      <c r="A19" s="183" t="s">
        <v>50</v>
      </c>
      <c r="B19" s="184"/>
      <c r="C19" s="184"/>
      <c r="D19" s="184"/>
      <c r="E19" s="184"/>
      <c r="F19" s="184"/>
      <c r="G19" s="57">
        <f>+G18*0.15</f>
        <v>20250</v>
      </c>
      <c r="H19" s="58"/>
    </row>
    <row r="20" spans="1:13" s="54" customFormat="1" ht="24.95" customHeight="1" thickBot="1">
      <c r="A20" s="185" t="s">
        <v>87</v>
      </c>
      <c r="B20" s="186"/>
      <c r="C20" s="186"/>
      <c r="D20" s="186"/>
      <c r="E20" s="186"/>
      <c r="F20" s="186"/>
      <c r="G20" s="59">
        <f>G19+G18</f>
        <v>155250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QT-FEOL-25-256R1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89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2025-05-25T07:32:34Z</cp:lastPrinted>
  <dcterms:created xsi:type="dcterms:W3CDTF">2024-10-20T11:50:19Z</dcterms:created>
  <dcterms:modified xsi:type="dcterms:W3CDTF">2025-06-16T02:57:17Z</dcterms:modified>
</cp:coreProperties>
</file>