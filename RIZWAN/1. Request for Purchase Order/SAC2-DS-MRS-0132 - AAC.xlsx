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21F722C-267E-4776-BDD6-53BEDEFE7D1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<sst xmlns="http://schemas.openxmlformats.org/spreadsheetml/2006/main" count="153" uniqueCount="118">
  <si>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</si>
  <si>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</si>
  <si>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</si>
  <si>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</si>
  <si>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</si>
  <si>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</si>
  <si>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</si>
  <si>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</si>
  <si>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</si>
  <si>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</si>
  <si>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</si>
  <si>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</si>
  <si>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</si>
  <si>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</si>
  <si>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</si>
  <si>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</si>
  <si>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</si>
  <si>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</si>
  <si>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</si>
  <si>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</si>
  <si>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</si>
  <si>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</si>
  <si>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</si>
  <si>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</si>
  <si>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</si>
  <si>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</si>
  <si>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</si>
  <si>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</si>
  <si>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</si>
  <si>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</si>
  <si>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</si>
  <si>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</si>
  <si>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</si>
  <si>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</si>
  <si>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</si>
  <si>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</si>
  <si>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</si>
  <si>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</si>
  <si>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</si>
  <si>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</si>
  <si>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</si>
  <si>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</si>
  <si>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</si>
  <si>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</si>
  <si>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</si>
  <si>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</si>
  <si>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</si>
  <si>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</si>
  <si>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</si>
  <si>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</si>
  <si>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</si>
  <si>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</si>
  <si>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</si>
  <si>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</si>
  <si>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</si>
  <si>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</si>
  <si>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</si>
  <si>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</si>
  <si>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</si>
  <si>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</si>
  <si>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</si>
  <si>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</si>
  <si>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</si>
  <si>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</si>
  <si>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</si>
  <si>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</si>
  <si>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</si>
  <si>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</si>
  <si>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</si>
  <si>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</si>
  <si>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</si>
  <si>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</si>
  <si>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</si>
  <si>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</si>
  <si>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</si>
  <si>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</si>
  <si>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</si>
  <si>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</si>
  <si>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</si>
  <si>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</si>
  <si>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</si>
  <si>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</si>
  <si>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</si>
  <si>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</si>
  <si>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</si>
  <si>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</si>
  <si>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</si>
  <si>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</si>
  <si>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</si>
  <si>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</si>
  <si>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</si>
  <si>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</si>
  <si>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</si>
  <si>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</si>
  <si>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</si>
  <si>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</si>
  <si>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</si>
  <si>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</si>
  <si>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Hourly Based</t>
  </si>
  <si>
    <t>Division (In charge Name) : ADMIN MANAGER (Dong Chang Kim)</t>
  </si>
  <si>
    <t>Hour</t>
  </si>
  <si>
    <t>Subcontract name (SAC2-SC-IK-SMP-01)</t>
  </si>
  <si>
    <t>AAC</t>
  </si>
  <si>
    <t>Aramco Approved &amp; CBT Passed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</si>
  <si>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</si>
  <si>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</si>
  <si>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</si>
  <si>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</si>
  <si>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</si>
  <si>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</si>
  <si>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AAC(Ali Mohammed Hassan Al-Alwan Cont. Est.)</t>
  </si>
  <si>
    <t>■ Purchase Requisition of Material / Manpower / Equipment Rental / ETC.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</si>
  <si>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-MRS-0132</t>
    </r>
  </si>
  <si>
    <t>Mechanical Rotating QC Inspector</t>
  </si>
  <si>
    <t>Monthly Based</t>
  </si>
  <si>
    <t>AAC-3053/25</t>
  </si>
  <si>
    <t>Branch of Hyundai Engineering and Const. Co., Ltd. (HDEC)</t>
  </si>
  <si>
    <t>BRANCH OF HYUNDAI ENG. &amp; CONST.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</si>
</sst>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7" fillId="3" borderId="0" xfId="5" applyFont="1" applyFill="1" applyAlignment="1">
      <alignment horizontal="left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111</v>
      </c>
      <c r="B1" s="110"/>
      <c r="C1" s="110"/>
      <c r="D1" s="110"/>
      <c r="E1" s="110"/>
      <c r="F1" s="110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44" t="s">
        <v>101</v>
      </c>
      <c r="K2" s="145"/>
      <c r="L2" s="146"/>
    </row>
    <row r="3" spans="1:19" ht="20.100000000000001" customHeight="1">
      <c r="A3" s="3" t="s">
        <v>112</v>
      </c>
      <c r="B3" s="101"/>
      <c r="C3" s="101"/>
      <c r="D3" s="101"/>
      <c r="E3" s="147">
        <f>+L3</f>
        <v>45929</v>
      </c>
      <c r="F3" s="147"/>
      <c r="G3" s="147"/>
      <c r="H3" s="147"/>
      <c r="I3" s="147"/>
      <c r="J3" s="101"/>
      <c r="K3" s="101"/>
      <c r="L3" s="122">
        <v>45929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95</v>
      </c>
      <c r="J4" s="148" t="s">
        <v>96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113</v>
      </c>
      <c r="C6" s="130"/>
      <c r="D6" s="131" t="s">
        <v>103</v>
      </c>
      <c r="E6" s="132"/>
      <c r="F6" s="133"/>
      <c r="G6" s="111" t="s">
        <v>100</v>
      </c>
      <c r="H6" s="112">
        <v>1</v>
      </c>
      <c r="I6" s="113">
        <v>106</v>
      </c>
      <c r="J6" s="113">
        <f>H6*I6</f>
        <v>106</v>
      </c>
      <c r="K6" s="114" t="s">
        <v>102</v>
      </c>
      <c r="L6" s="115" t="s">
        <v>114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106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SAC2-DS-MRS-0132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45929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Mechanical Rotating QC Inspector</v>
      </c>
      <c r="C6" s="166"/>
      <c r="D6" s="167" t="str">
        <f>MRS!D6</f>
        <v>Aramco Approved &amp; CBT Passed</v>
      </c>
      <c r="E6" s="168"/>
      <c r="F6" s="169"/>
      <c r="G6" s="103" t="str">
        <f>MRS!G6</f>
        <v>Hour</v>
      </c>
      <c r="H6" s="103">
        <f>MRS!H6</f>
        <v>1</v>
      </c>
      <c r="I6" s="104">
        <f>MRS!I6</f>
        <v>106</v>
      </c>
      <c r="J6" s="104">
        <f>MRS!J6</f>
        <v>106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G27" sqref="G2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110</v>
      </c>
      <c r="D9" s="39"/>
      <c r="E9" s="39"/>
    </row>
    <row r="10" spans="2:13" s="39" customFormat="1">
      <c r="B10" s="72"/>
      <c r="C10" s="39" t="s">
        <v>32</v>
      </c>
      <c r="D10" s="76" t="s">
        <v>104</v>
      </c>
      <c r="J10" s="39" t="s">
        <v>33</v>
      </c>
      <c r="K10" s="173">
        <f>MRS!L3</f>
        <v>45929</v>
      </c>
      <c r="L10" s="174"/>
      <c r="M10" s="174"/>
    </row>
    <row r="11" spans="2:13" s="39" customFormat="1">
      <c r="B11" s="72"/>
      <c r="C11" s="75" t="s">
        <v>34</v>
      </c>
      <c r="D11" s="76" t="s">
        <v>105</v>
      </c>
      <c r="J11" s="39" t="s">
        <v>35</v>
      </c>
      <c r="K11" s="175" t="str">
        <f>SUBSTITUTE(SUBSTITUTE(+MRS!A3,"  MRS No : ",""),"-MRS","-PO")</f>
        <v>SAC2-DS-PO-0132</v>
      </c>
      <c r="L11" s="175"/>
      <c r="M11" s="175"/>
    </row>
    <row r="12" spans="2:13" s="39" customFormat="1">
      <c r="B12" s="72"/>
      <c r="C12" s="75" t="s">
        <v>36</v>
      </c>
      <c r="D12" s="39" t="s">
        <v>106</v>
      </c>
      <c r="J12" s="39" t="s">
        <v>37</v>
      </c>
    </row>
    <row r="13" spans="2:13" s="39" customFormat="1">
      <c r="B13" s="72"/>
      <c r="C13" s="77"/>
      <c r="D13" s="76" t="s">
        <v>107</v>
      </c>
      <c r="J13" s="39" t="s">
        <v>38</v>
      </c>
    </row>
    <row r="14" spans="2:13" s="39" customFormat="1">
      <c r="B14" s="72"/>
      <c r="C14" s="77" t="s">
        <v>108</v>
      </c>
      <c r="J14" s="39" t="s">
        <v>39</v>
      </c>
      <c r="K14" s="39" t="s">
        <v>115</v>
      </c>
    </row>
    <row r="15" spans="2:13" s="39" customFormat="1">
      <c r="B15" s="72"/>
      <c r="C15" s="77" t="s">
        <v>109</v>
      </c>
      <c r="J15" s="39" t="s">
        <v>40</v>
      </c>
      <c r="K15" s="78">
        <v>45909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113</v>
      </c>
      <c r="M26" s="79" t="s">
        <v>46</v>
      </c>
    </row>
    <row r="27" spans="2:13" ht="12" customHeight="1">
      <c r="B27" s="32"/>
      <c r="C27" s="204" t="s">
        <v>103</v>
      </c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98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Mohammed Thouseef</v>
      </c>
    </row>
    <row r="60" spans="1:16" ht="18" customHeight="1">
      <c r="B60" s="26" t="s">
        <v>71</v>
      </c>
      <c r="J60" s="26" t="s">
        <v>72</v>
      </c>
      <c r="K60" s="22"/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116</v>
      </c>
      <c r="J62" s="181" t="str">
        <f>C9</f>
        <v>AAC(Ali Mohammed Hassan Al-Alwan Cont. Est.)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SAC2-DS-PO-0132</v>
      </c>
      <c r="C2" s="190" t="s">
        <v>77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45929</v>
      </c>
      <c r="C3" s="51"/>
      <c r="D3" s="52"/>
      <c r="E3" s="191" t="s">
        <v>79</v>
      </c>
      <c r="F3" s="191"/>
      <c r="G3" s="191"/>
      <c r="H3" s="191"/>
      <c r="I3" s="53"/>
    </row>
    <row r="4" spans="1:13" s="55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AAC(Ali Mohammed Hassan Al-Alwan Cont. Est.)</v>
      </c>
      <c r="G4" s="201"/>
      <c r="H4" s="202" t="s">
        <v>84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85</v>
      </c>
      <c r="G5" s="57" t="s">
        <v>51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8" t="str">
        <f>CONCATENATE(MRS!B6," ",MRS!D6)</f>
        <v>Mechanical Rotating QC Inspector Aramco Approved &amp; CBT Passed</v>
      </c>
      <c r="C6" s="189"/>
      <c r="D6" s="86" t="str">
        <f>+'MRS LIST'!G6</f>
        <v>Hour</v>
      </c>
      <c r="E6" s="87">
        <f>+'MRS LIST'!H6</f>
        <v>1</v>
      </c>
      <c r="F6" s="88">
        <f>+'MRS LIST'!I6</f>
        <v>106</v>
      </c>
      <c r="G6" s="89">
        <f>+'MRS LIST'!J6</f>
        <v>106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8"/>
      <c r="C7" s="189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8"/>
      <c r="C8" s="189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8"/>
      <c r="C9" s="189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8"/>
      <c r="C10" s="189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86</v>
      </c>
      <c r="B18" s="183"/>
      <c r="C18" s="183"/>
      <c r="D18" s="183"/>
      <c r="E18" s="183"/>
      <c r="F18" s="183"/>
      <c r="G18" s="58">
        <f>SUM(G6:G17)</f>
        <v>106</v>
      </c>
      <c r="H18" s="59"/>
    </row>
    <row r="19" spans="1:13" s="55" customFormat="1" ht="23.1" customHeight="1">
      <c r="A19" s="182" t="s">
        <v>50</v>
      </c>
      <c r="B19" s="183"/>
      <c r="C19" s="183"/>
      <c r="D19" s="183"/>
      <c r="E19" s="183"/>
      <c r="F19" s="183"/>
      <c r="G19" s="58">
        <f>+G18*0.15</f>
        <v>15.899999999999999</v>
      </c>
      <c r="H19" s="59"/>
    </row>
    <row r="20" spans="1:13" s="55" customFormat="1" ht="24.95" customHeight="1" thickBot="1">
      <c r="A20" s="184" t="s">
        <v>87</v>
      </c>
      <c r="B20" s="185"/>
      <c r="C20" s="185"/>
      <c r="D20" s="185"/>
      <c r="E20" s="185"/>
      <c r="F20" s="185"/>
      <c r="G20" s="60">
        <f>G19+G18</f>
        <v>121.9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AAC-3053/25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2025-09-29T11:37:55Z</cp:lastPrinted>
  <dcterms:created xsi:type="dcterms:W3CDTF">2024-10-20T11:50:19Z</dcterms:created>
  <dcterms:modified xsi:type="dcterms:W3CDTF">2025-09-29T11:40:10Z</dcterms:modified>
</cp:coreProperties>
</file>