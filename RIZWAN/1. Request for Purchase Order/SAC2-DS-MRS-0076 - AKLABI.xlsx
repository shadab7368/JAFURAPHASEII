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B5408383-9E34-475C-90AA-B76C811892F9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4" l="1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<sst xmlns="http://schemas.openxmlformats.org/spreadsheetml/2006/main" count="153" uniqueCount="117">
  <si>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</si>
  <si>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</si>
  <si>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</si>
  <si>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</si>
  <si>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</si>
  <si>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</si>
  <si>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</si>
  <si>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</si>
  <si>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</si>
  <si>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</si>
  <si>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</si>
  <si>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</si>
  <si>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</si>
  <si>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</si>
  <si>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</si>
  <si>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</si>
  <si>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</si>
  <si>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</si>
  <si>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</si>
  <si>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</si>
  <si>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</si>
  <si>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</si>
  <si>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</si>
  <si>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</si>
  <si>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</si>
  <si>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</si>
  <si>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</si>
  <si>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</si>
  <si>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</si>
  <si>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</si>
  <si>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</si>
  <si>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</si>
  <si>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</si>
  <si>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</si>
  <si>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</si>
  <si>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</si>
  <si>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</si>
  <si>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</si>
  <si>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</si>
  <si>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</si>
  <si>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</si>
  <si>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</si>
  <si>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</si>
  <si>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</si>
  <si>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</si>
  <si>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</si>
  <si>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</si>
  <si>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</si>
  <si>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</si>
  <si>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</si>
  <si>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</si>
  <si>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</si>
  <si>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</si>
  <si>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</si>
  <si>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</si>
  <si>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</si>
  <si>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</si>
  <si>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</si>
  <si>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</si>
  <si>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</si>
  <si>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</si>
  <si>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</si>
  <si>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</si>
  <si>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</si>
  <si>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</si>
  <si>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</si>
  <si>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</si>
  <si>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</si>
  <si>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</si>
  <si>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</si>
  <si>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</si>
  <si>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</si>
  <si>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</si>
  <si>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</si>
  <si>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</si>
  <si>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</si>
  <si>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</si>
  <si>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</si>
  <si>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</si>
  <si>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</si>
  <si>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</si>
  <si>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</si>
  <si>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</si>
  <si>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</si>
  <si>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</si>
  <si>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</si>
  <si>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</si>
  <si>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</si>
  <si>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</si>
  <si>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</si>
  <si>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</si>
  <si>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</si>
  <si>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</si>
  <si>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</si>
  <si>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</si>
  <si>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</si>
  <si>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</si>
  <si>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</si>
  <si>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Operation Manager</t>
  </si>
  <si>
    <t>Hourly Based</t>
  </si>
  <si>
    <t>AMAA(Abdullah Mohammed Al-Aklabi for Gen. Cont. Est.</t>
  </si>
  <si>
    <t>Rigan Khan</t>
  </si>
  <si>
    <t>2055006023</t>
  </si>
  <si>
    <t>300448163100003</t>
  </si>
  <si>
    <t>+966 544290277 / Email:al-aklabi@rigankhan.com</t>
  </si>
  <si>
    <t>Mobile : +966 544290277</t>
  </si>
  <si>
    <t>AMAA</t>
  </si>
  <si>
    <t>AGC-20238877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</si>
  <si>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-MRS-0076</t>
    </r>
  </si>
  <si>
    <t>Division (In charge Name) : ADMIN MANAGER (Dong Chang Kim)</t>
  </si>
  <si>
    <t>Pipe Welder</t>
  </si>
  <si>
    <t>Hour</t>
  </si>
  <si>
    <t>Hyundai Engineering and Const. Co., Ltd. (HDEC)</t>
  </si>
  <si>
    <t>HYUNDAI ENG. &amp; CONST. CO., LTD.</t>
  </si>
  <si>
    <t>Subcontract name (SAC2-SC-IK-SMP-01)</t>
  </si>
  <si>
    <t>■ Purchase Requisition of Material / Manpower / Equipment Rental / ETC.</t>
  </si>
  <si>
    <t>P.O. Box 372, Al Jubail 31951 - KSA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</si>
</sst>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1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/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115</v>
      </c>
      <c r="B1" s="110"/>
      <c r="C1" s="110"/>
      <c r="D1" s="110"/>
      <c r="E1" s="110"/>
      <c r="F1" s="110"/>
      <c r="G1" s="1"/>
      <c r="J1" s="141" t="s">
        <v>90</v>
      </c>
      <c r="K1" s="142"/>
      <c r="L1" s="143"/>
    </row>
    <row r="2" spans="1:19" ht="20.100000000000001" customHeight="1">
      <c r="A2" s="3" t="s">
        <v>1</v>
      </c>
      <c r="B2" s="101"/>
      <c r="C2" s="101"/>
      <c r="D2" s="3" t="s">
        <v>109</v>
      </c>
      <c r="E2" s="101"/>
      <c r="F2" s="101"/>
      <c r="G2" s="101"/>
      <c r="H2" s="101"/>
      <c r="I2" s="4"/>
      <c r="J2" s="144" t="s">
        <v>114</v>
      </c>
      <c r="K2" s="145"/>
      <c r="L2" s="146"/>
    </row>
    <row r="3" spans="1:19" ht="20.100000000000001" customHeight="1">
      <c r="A3" s="3" t="s">
        <v>108</v>
      </c>
      <c r="B3" s="101"/>
      <c r="C3" s="101"/>
      <c r="D3" s="101"/>
      <c r="E3" s="147">
        <f>+L3</f>
        <v>45805</v>
      </c>
      <c r="F3" s="147"/>
      <c r="G3" s="147"/>
      <c r="H3" s="147"/>
      <c r="I3" s="147"/>
      <c r="J3" s="101"/>
      <c r="K3" s="101"/>
      <c r="L3" s="122">
        <v>45805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95</v>
      </c>
      <c r="J4" s="148" t="s">
        <v>96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110</v>
      </c>
      <c r="C6" s="130"/>
      <c r="D6" s="131"/>
      <c r="E6" s="132"/>
      <c r="F6" s="133"/>
      <c r="G6" s="111" t="s">
        <v>111</v>
      </c>
      <c r="H6" s="112">
        <v>20</v>
      </c>
      <c r="I6" s="113">
        <v>45</v>
      </c>
      <c r="J6" s="113">
        <f>H6*I6</f>
        <v>900</v>
      </c>
      <c r="K6" s="114" t="s">
        <v>106</v>
      </c>
      <c r="L6" s="115" t="s">
        <v>99</v>
      </c>
      <c r="S6" s="106"/>
    </row>
    <row r="7" spans="1:19" ht="22.5" customHeight="1">
      <c r="A7" s="5">
        <f t="shared" si="0"/>
        <v>2</v>
      </c>
      <c r="B7" s="129"/>
      <c r="C7" s="130"/>
      <c r="D7" s="140"/>
      <c r="E7" s="132"/>
      <c r="F7" s="133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4" t="s">
        <v>8</v>
      </c>
      <c r="B16" s="13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900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SAC2-DS-MRS-0076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45805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91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Pipe Welder</v>
      </c>
      <c r="C6" s="166"/>
      <c r="D6" s="167">
        <f>MRS!D6</f>
        <v>0</v>
      </c>
      <c r="E6" s="168"/>
      <c r="F6" s="169"/>
      <c r="G6" s="103" t="str">
        <f>MRS!G6</f>
        <v>Hour</v>
      </c>
      <c r="H6" s="103">
        <f>MRS!H6</f>
        <v>20</v>
      </c>
      <c r="I6" s="104">
        <f>MRS!I6</f>
        <v>45</v>
      </c>
      <c r="J6" s="104">
        <f>MRS!J6</f>
        <v>900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5">
        <f>MRS!B9</f>
        <v>0</v>
      </c>
      <c r="C9" s="166"/>
      <c r="D9" s="167">
        <f>MRS!D9</f>
        <v>0</v>
      </c>
      <c r="E9" s="168"/>
      <c r="F9" s="169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Normal="100" zoomScaleSheetLayoutView="130" workbookViewId="0">
      <selection activeCell="C15" sqref="C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113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100</v>
      </c>
      <c r="D9" s="39"/>
      <c r="E9" s="39"/>
    </row>
    <row r="10" spans="2:13" s="39" customFormat="1">
      <c r="B10" s="72"/>
      <c r="C10" s="39" t="s">
        <v>32</v>
      </c>
      <c r="D10" s="76" t="s">
        <v>102</v>
      </c>
      <c r="J10" s="39" t="s">
        <v>33</v>
      </c>
      <c r="K10" s="173">
        <f>MRS!L3</f>
        <v>45805</v>
      </c>
      <c r="L10" s="174"/>
      <c r="M10" s="174"/>
    </row>
    <row r="11" spans="2:13" s="39" customFormat="1">
      <c r="B11" s="72"/>
      <c r="C11" s="75" t="s">
        <v>34</v>
      </c>
      <c r="D11" s="76" t="s">
        <v>103</v>
      </c>
      <c r="J11" s="39" t="s">
        <v>35</v>
      </c>
      <c r="K11" s="175" t="str">
        <f>SUBSTITUTE(SUBSTITUTE(+MRS!A3,"  MRS No : ",""),"-MRS","-PO")</f>
        <v>SAC2-DS-PO-0076</v>
      </c>
      <c r="L11" s="175"/>
      <c r="M11" s="175"/>
    </row>
    <row r="12" spans="2:13" s="39" customFormat="1">
      <c r="B12" s="72"/>
      <c r="C12" s="75" t="s">
        <v>36</v>
      </c>
      <c r="D12" s="39" t="s">
        <v>101</v>
      </c>
      <c r="J12" s="39" t="s">
        <v>37</v>
      </c>
    </row>
    <row r="13" spans="2:13" s="39" customFormat="1">
      <c r="B13" s="72"/>
      <c r="C13" s="77"/>
      <c r="D13" s="76" t="s">
        <v>104</v>
      </c>
      <c r="J13" s="39" t="s">
        <v>38</v>
      </c>
    </row>
    <row r="14" spans="2:13" s="39" customFormat="1">
      <c r="B14" s="72"/>
      <c r="C14" s="77" t="s">
        <v>116</v>
      </c>
      <c r="J14" s="39" t="s">
        <v>39</v>
      </c>
      <c r="K14" s="39" t="s">
        <v>107</v>
      </c>
    </row>
    <row r="15" spans="2:13" s="39" customFormat="1">
      <c r="B15" s="72"/>
      <c r="C15" s="77" t="s">
        <v>105</v>
      </c>
      <c r="J15" s="39" t="s">
        <v>40</v>
      </c>
      <c r="K15" s="78">
        <v>45805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43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44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45</v>
      </c>
    </row>
    <row r="26" spans="2:13" s="39" customFormat="1" ht="15" customHeight="1">
      <c r="B26" s="73"/>
      <c r="C26" s="76" t="s">
        <v>110</v>
      </c>
      <c r="M26" s="79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80" t="s">
        <v>99</v>
      </c>
      <c r="G29" s="180"/>
      <c r="H29" s="33"/>
      <c r="M29" s="34"/>
    </row>
    <row r="30" spans="2:13" ht="15" customHeight="1">
      <c r="B30" s="32"/>
      <c r="C30" s="26" t="s">
        <v>50</v>
      </c>
      <c r="E30" s="26" t="s">
        <v>49</v>
      </c>
      <c r="F30" s="180"/>
      <c r="G30" s="180"/>
    </row>
    <row r="31" spans="2:13" ht="15" customHeight="1">
      <c r="B31" s="32"/>
      <c r="C31" s="26" t="s">
        <v>51</v>
      </c>
      <c r="D31" s="35"/>
      <c r="E31" s="26" t="s">
        <v>49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9" customFormat="1" ht="15" customHeight="1">
      <c r="B49" s="80" t="s">
        <v>65</v>
      </c>
      <c r="C49" s="81" t="s">
        <v>93</v>
      </c>
      <c r="P49" s="82"/>
    </row>
    <row r="50" spans="1:16" s="83" customFormat="1" ht="15" customHeight="1">
      <c r="B50" s="84" t="s">
        <v>65</v>
      </c>
      <c r="C50" s="81" t="s">
        <v>94</v>
      </c>
    </row>
    <row r="51" spans="1:16" s="83" customFormat="1" ht="15" customHeight="1">
      <c r="B51" s="84" t="s">
        <v>65</v>
      </c>
      <c r="C51" s="81" t="s">
        <v>92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">
        <v>101</v>
      </c>
    </row>
    <row r="60" spans="1:16" ht="18" customHeight="1">
      <c r="B60" s="26" t="s">
        <v>71</v>
      </c>
      <c r="J60" s="26" t="s">
        <v>72</v>
      </c>
      <c r="K60" s="22" t="s">
        <v>98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112</v>
      </c>
      <c r="J62" s="181" t="str">
        <f>C9</f>
        <v>AMAA(Abdullah Mohammed Al-Aklabi for Gen. Cont. Est.</v>
      </c>
      <c r="K62" s="181"/>
      <c r="L62" s="181"/>
      <c r="M62" s="181"/>
    </row>
    <row r="63" spans="1:16" ht="27.95" customHeight="1">
      <c r="A63" s="172" t="s">
        <v>75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16" sqref="G1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SAC2-DS-PO-0076</v>
      </c>
      <c r="C2" s="190" t="s">
        <v>77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45805</v>
      </c>
      <c r="C3" s="51"/>
      <c r="D3" s="52"/>
      <c r="E3" s="191" t="s">
        <v>79</v>
      </c>
      <c r="F3" s="191"/>
      <c r="G3" s="191"/>
      <c r="H3" s="191"/>
      <c r="I3" s="53"/>
    </row>
    <row r="4" spans="1:13" s="55" customFormat="1" ht="28.5" customHeight="1" thickTop="1">
      <c r="A4" s="192" t="s">
        <v>80</v>
      </c>
      <c r="B4" s="194" t="s">
        <v>81</v>
      </c>
      <c r="C4" s="195"/>
      <c r="D4" s="198" t="s">
        <v>82</v>
      </c>
      <c r="E4" s="198" t="s">
        <v>83</v>
      </c>
      <c r="F4" s="200" t="str">
        <f>'PO 1st page'!C9</f>
        <v>AMAA(Abdullah Mohammed Al-Aklabi for Gen. Cont. Est.</v>
      </c>
      <c r="G4" s="201"/>
      <c r="H4" s="202" t="s">
        <v>84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85</v>
      </c>
      <c r="G5" s="57" t="s">
        <v>51</v>
      </c>
      <c r="H5" s="203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8" t="str">
        <f>+'MRS LIST'!B6</f>
        <v>Pipe Welder</v>
      </c>
      <c r="C6" s="189"/>
      <c r="D6" s="86" t="str">
        <f>+'MRS LIST'!G6</f>
        <v>Hour</v>
      </c>
      <c r="E6" s="87">
        <f>+'MRS LIST'!H6</f>
        <v>20</v>
      </c>
      <c r="F6" s="88">
        <f>+'MRS LIST'!I6</f>
        <v>45</v>
      </c>
      <c r="G6" s="89">
        <f>+'MRS LIST'!J6</f>
        <v>900</v>
      </c>
      <c r="H6" s="90" t="str">
        <f>MRS!L6</f>
        <v>Hourly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8"/>
      <c r="C7" s="189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8"/>
      <c r="C8" s="189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8"/>
      <c r="C9" s="189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8"/>
      <c r="C10" s="189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8"/>
      <c r="C11" s="189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86</v>
      </c>
      <c r="B18" s="183"/>
      <c r="C18" s="183"/>
      <c r="D18" s="183"/>
      <c r="E18" s="183"/>
      <c r="F18" s="183"/>
      <c r="G18" s="58">
        <f>SUM(G6:G17)</f>
        <v>900</v>
      </c>
      <c r="H18" s="59"/>
    </row>
    <row r="19" spans="1:13" s="55" customFormat="1" ht="23.1" customHeight="1">
      <c r="A19" s="182" t="s">
        <v>50</v>
      </c>
      <c r="B19" s="183"/>
      <c r="C19" s="183"/>
      <c r="D19" s="183"/>
      <c r="E19" s="183"/>
      <c r="F19" s="183"/>
      <c r="G19" s="58">
        <f>+G18*0.15</f>
        <v>135</v>
      </c>
      <c r="H19" s="59"/>
    </row>
    <row r="20" spans="1:13" s="55" customFormat="1" ht="24.95" customHeight="1" thickBot="1">
      <c r="A20" s="184" t="s">
        <v>87</v>
      </c>
      <c r="B20" s="185"/>
      <c r="C20" s="185"/>
      <c r="D20" s="185"/>
      <c r="E20" s="185"/>
      <c r="F20" s="185"/>
      <c r="G20" s="60">
        <f>G19+G18</f>
        <v>1035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AGC-20238877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89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2025-06-04T05:41:21Z</cp:lastPrinted>
  <dcterms:created xsi:type="dcterms:W3CDTF">2024-10-20T11:50:19Z</dcterms:created>
  <dcterms:modified xsi:type="dcterms:W3CDTF">2025-06-04T05:48:37Z</dcterms:modified>
</cp:coreProperties>
</file>