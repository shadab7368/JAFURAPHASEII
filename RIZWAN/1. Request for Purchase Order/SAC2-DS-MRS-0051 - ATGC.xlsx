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1D2D5016-E9CF-476A-9858-A7273503FF11}" xr6:coauthVersionLast="47" xr6:coauthVersionMax="47" xr10:uidLastSave="{00000000-0000-0000-0000-000000000000}"/>
  <bookViews>
    <workbookView xWindow="-120" yWindow="-120" windowWidth="29040" windowHeight="1584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3" l="1"/>
  <c r="F30" i="3"/>
  <c r="F29" i="3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<sst xmlns="http://schemas.openxmlformats.org/spreadsheetml/2006/main" count="151" uniqueCount="117">
  <si>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</si>
  <si>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</si>
  <si>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</si>
  <si>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</si>
  <si>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</si>
  <si>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</si>
  <si>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</si>
  <si>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</si>
  <si>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</si>
  <si>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</si>
  <si>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</si>
  <si>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</si>
  <si>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</si>
  <si>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</si>
  <si>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</si>
  <si>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</si>
  <si>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</si>
  <si>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</si>
  <si>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</si>
  <si>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</si>
  <si>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</si>
  <si>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</si>
  <si>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</si>
  <si>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</si>
  <si>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</si>
  <si>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</si>
  <si>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</si>
  <si>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</si>
  <si>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</si>
  <si>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</si>
  <si>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</si>
  <si>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</si>
  <si>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</si>
  <si>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</si>
  <si>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</si>
  <si>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</si>
  <si>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</si>
  <si>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</si>
  <si>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</si>
  <si>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</si>
  <si>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</si>
  <si>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</si>
  <si>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</si>
  <si>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</si>
  <si>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</si>
  <si>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</si>
  <si>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</si>
  <si>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</si>
  <si>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</si>
  <si>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</si>
  <si>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</si>
  <si>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</si>
  <si>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</si>
  <si>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</si>
  <si>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</si>
  <si>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</si>
  <si>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</si>
  <si>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</si>
  <si>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</si>
  <si>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</si>
  <si>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</si>
  <si>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</si>
  <si>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</si>
  <si>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</si>
  <si>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</si>
  <si>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</si>
  <si>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</si>
  <si>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</si>
  <si>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</si>
  <si>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</si>
  <si>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</si>
  <si>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</si>
  <si>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</si>
  <si>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</si>
  <si>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</si>
  <si>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</si>
  <si>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</si>
  <si>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</si>
  <si>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</si>
  <si>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</si>
  <si>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</si>
  <si>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</si>
  <si>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</si>
  <si>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</si>
  <si>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</si>
  <si>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</si>
  <si>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</si>
  <si>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</si>
  <si>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</si>
  <si>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</si>
  <si>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</si>
  <si>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</si>
  <si>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</si>
  <si>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</si>
  <si>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</si>
  <si>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</si>
  <si>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</si>
  <si>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</si>
  <si>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</si>
  <si>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</si>
  <si>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Manager</t>
  </si>
  <si>
    <t>ATGC</t>
  </si>
  <si>
    <t>300900558400003</t>
  </si>
  <si>
    <t>Abdulla Muhaf</t>
  </si>
  <si>
    <t>+966 59 5245015 / Email:info@alrmoozsa.com</t>
  </si>
  <si>
    <t>P.O. Box 2746, Al-Jubail 31951</t>
  </si>
  <si>
    <t>Landline : +99 13 8022775. : Mobile : +966 595245015</t>
  </si>
  <si>
    <t>ATGC(Alrmooz Technical for General Contracting Est.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</si>
  <si>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</si>
  <si>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</si>
  <si>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</si>
  <si>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Hourly Based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</si>
  <si>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</si>
  <si>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-MRS-0051</t>
    </r>
  </si>
  <si>
    <t>Hard Disc</t>
  </si>
  <si>
    <t>1 TB</t>
  </si>
  <si>
    <t>QUO-MAT-25041606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</si>
</sst>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172" fontId="18" fillId="3" borderId="0" xfId="5" applyNumberFormat="1" applyFont="1" applyFill="1"/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C21" sqref="C2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110</v>
      </c>
      <c r="B1" s="109"/>
      <c r="C1" s="109"/>
      <c r="D1" s="109"/>
      <c r="E1" s="109"/>
      <c r="F1" s="109"/>
      <c r="G1" s="1"/>
      <c r="J1" s="124" t="s">
        <v>92</v>
      </c>
      <c r="K1" s="125"/>
      <c r="L1" s="126"/>
    </row>
    <row r="2" spans="1:19" ht="20.100000000000001" customHeight="1">
      <c r="A2" s="3" t="s">
        <v>1</v>
      </c>
      <c r="B2" s="100"/>
      <c r="C2" s="100"/>
      <c r="D2" s="3" t="s">
        <v>109</v>
      </c>
      <c r="E2" s="100"/>
      <c r="F2" s="100"/>
      <c r="G2" s="100"/>
      <c r="H2" s="100"/>
      <c r="I2" s="4"/>
      <c r="J2" s="127" t="s">
        <v>108</v>
      </c>
      <c r="K2" s="128"/>
      <c r="L2" s="129"/>
    </row>
    <row r="3" spans="1:19" ht="20.100000000000001" customHeight="1">
      <c r="A3" s="3" t="s">
        <v>113</v>
      </c>
      <c r="B3" s="100"/>
      <c r="C3" s="100"/>
      <c r="D3" s="100"/>
      <c r="E3" s="130">
        <f>+L3</f>
        <v>45764</v>
      </c>
      <c r="F3" s="130"/>
      <c r="G3" s="130"/>
      <c r="H3" s="130"/>
      <c r="I3" s="130"/>
      <c r="J3" s="100"/>
      <c r="K3" s="100"/>
      <c r="L3" s="121">
        <v>45764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96</v>
      </c>
      <c r="J4" s="131" t="s">
        <v>97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114</v>
      </c>
      <c r="C6" s="144"/>
      <c r="D6" s="145" t="s">
        <v>115</v>
      </c>
      <c r="E6" s="146"/>
      <c r="F6" s="147"/>
      <c r="G6" s="110" t="s">
        <v>99</v>
      </c>
      <c r="H6" s="111">
        <v>1</v>
      </c>
      <c r="I6" s="112">
        <v>218</v>
      </c>
      <c r="J6" s="112">
        <f>H6*I6</f>
        <v>218</v>
      </c>
      <c r="K6" s="113" t="s">
        <v>101</v>
      </c>
      <c r="L6" s="114"/>
      <c r="S6" s="105"/>
    </row>
    <row r="7" spans="1:19" ht="22.5" customHeight="1">
      <c r="A7" s="5">
        <f t="shared" si="0"/>
        <v>2</v>
      </c>
      <c r="B7" s="143"/>
      <c r="C7" s="144"/>
      <c r="D7" s="148"/>
      <c r="E7" s="146"/>
      <c r="F7" s="147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1" t="s">
        <v>8</v>
      </c>
      <c r="B16" s="152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218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98</v>
      </c>
      <c r="B1" s="99"/>
      <c r="C1" s="99"/>
      <c r="D1" s="99"/>
      <c r="E1" s="99"/>
      <c r="F1" s="99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7" t="str">
        <f>+MRS!J2</f>
        <v>Subcontract name (SAC2-SC-IK-SMP-01)</v>
      </c>
      <c r="K2" s="129"/>
    </row>
    <row r="3" spans="1:18" ht="24.95" customHeight="1">
      <c r="A3" s="3" t="str">
        <f>+MRS!A3</f>
        <v xml:space="preserve">  MRS No : SAC2-DS-MRS-0051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45764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93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Hard Disc</v>
      </c>
      <c r="C6" s="162"/>
      <c r="D6" s="163" t="str">
        <f>MRS!D6</f>
        <v>1 TB</v>
      </c>
      <c r="E6" s="164"/>
      <c r="F6" s="165"/>
      <c r="G6" s="102" t="str">
        <f>MRS!G6</f>
        <v>EA</v>
      </c>
      <c r="H6" s="102">
        <f>MRS!H6</f>
        <v>1</v>
      </c>
      <c r="I6" s="103">
        <f>MRS!I6</f>
        <v>218</v>
      </c>
      <c r="J6" s="103">
        <f>MRS!J6</f>
        <v>218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1">
        <f>MRS!B7</f>
        <v>0</v>
      </c>
      <c r="C7" s="162"/>
      <c r="D7" s="163">
        <f>MRS!D7</f>
        <v>0</v>
      </c>
      <c r="E7" s="164"/>
      <c r="F7" s="165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1">
        <f>MRS!B8</f>
        <v>0</v>
      </c>
      <c r="C8" s="162"/>
      <c r="D8" s="163">
        <f>MRS!D8</f>
        <v>0</v>
      </c>
      <c r="E8" s="164"/>
      <c r="F8" s="165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1">
        <f>MRS!B9</f>
        <v>0</v>
      </c>
      <c r="C9" s="162"/>
      <c r="D9" s="163">
        <f>MRS!D9</f>
        <v>0</v>
      </c>
      <c r="E9" s="164"/>
      <c r="F9" s="165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1">
        <f>MRS!B10</f>
        <v>0</v>
      </c>
      <c r="C10" s="162"/>
      <c r="D10" s="163">
        <f>MRS!D10</f>
        <v>0</v>
      </c>
      <c r="E10" s="164"/>
      <c r="F10" s="165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1">
        <f>MRS!B11</f>
        <v>0</v>
      </c>
      <c r="C11" s="162"/>
      <c r="D11" s="163">
        <f>MRS!D11</f>
        <v>0</v>
      </c>
      <c r="E11" s="164"/>
      <c r="F11" s="165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3" zoomScale="130" zoomScaleNormal="100" zoomScaleSheetLayoutView="130" workbookViewId="0">
      <selection activeCell="P56" sqref="P5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3" customFormat="1" ht="13.5">
      <c r="B9" s="71" t="s">
        <v>32</v>
      </c>
      <c r="C9" s="72" t="s">
        <v>107</v>
      </c>
      <c r="D9" s="38"/>
      <c r="E9" s="38"/>
    </row>
    <row r="10" spans="2:13" s="38" customFormat="1">
      <c r="B10" s="71"/>
      <c r="C10" s="38" t="s">
        <v>33</v>
      </c>
      <c r="D10" s="75">
        <v>2053026325</v>
      </c>
      <c r="J10" s="38" t="s">
        <v>34</v>
      </c>
      <c r="K10" s="172">
        <f>MRS!L3</f>
        <v>45764</v>
      </c>
      <c r="L10" s="173"/>
      <c r="M10" s="173"/>
    </row>
    <row r="11" spans="2:13" s="38" customFormat="1">
      <c r="B11" s="71"/>
      <c r="C11" s="74" t="s">
        <v>35</v>
      </c>
      <c r="D11" s="75" t="s">
        <v>102</v>
      </c>
      <c r="J11" s="38" t="s">
        <v>36</v>
      </c>
      <c r="K11" s="174" t="str">
        <f>SUBSTITUTE(SUBSTITUTE(+MRS!A3,"  MRS No : ",""),"-MRS","-PO")</f>
        <v>SAC2-DS-PO-0051</v>
      </c>
      <c r="L11" s="174"/>
      <c r="M11" s="174"/>
    </row>
    <row r="12" spans="2:13" s="38" customFormat="1">
      <c r="B12" s="71"/>
      <c r="C12" s="74" t="s">
        <v>37</v>
      </c>
      <c r="D12" s="38" t="s">
        <v>103</v>
      </c>
      <c r="J12" s="38" t="s">
        <v>38</v>
      </c>
    </row>
    <row r="13" spans="2:13" s="38" customFormat="1">
      <c r="B13" s="71"/>
      <c r="C13" s="76"/>
      <c r="D13" s="75" t="s">
        <v>104</v>
      </c>
      <c r="J13" s="38" t="s">
        <v>39</v>
      </c>
    </row>
    <row r="14" spans="2:13" s="38" customFormat="1">
      <c r="B14" s="71"/>
      <c r="C14" s="76" t="s">
        <v>105</v>
      </c>
      <c r="J14" s="38" t="s">
        <v>40</v>
      </c>
      <c r="K14" s="38" t="s">
        <v>116</v>
      </c>
    </row>
    <row r="15" spans="2:13" s="38" customFormat="1">
      <c r="B15" s="71"/>
      <c r="C15" s="76" t="s">
        <v>106</v>
      </c>
      <c r="J15" s="38" t="s">
        <v>41</v>
      </c>
      <c r="K15" s="77">
        <v>45763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8" customFormat="1" ht="15" customHeight="1">
      <c r="B26" s="72"/>
      <c r="C26" s="75" t="s">
        <v>114</v>
      </c>
      <c r="M26" s="78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202">
        <f>'PO 2nd page'!G18</f>
        <v>218</v>
      </c>
      <c r="G29" s="202"/>
      <c r="H29" s="202"/>
      <c r="M29" s="33"/>
    </row>
    <row r="30" spans="2:13" ht="15" customHeight="1">
      <c r="B30" s="32"/>
      <c r="C30" s="26" t="s">
        <v>51</v>
      </c>
      <c r="E30" s="26" t="s">
        <v>50</v>
      </c>
      <c r="F30" s="202">
        <f>'PO 2nd page'!G19</f>
        <v>32.699999999999996</v>
      </c>
      <c r="G30" s="202"/>
      <c r="H30" s="202"/>
    </row>
    <row r="31" spans="2:13" ht="15" customHeight="1">
      <c r="B31" s="32"/>
      <c r="C31" s="26" t="s">
        <v>52</v>
      </c>
      <c r="D31" s="34"/>
      <c r="E31" s="26" t="s">
        <v>50</v>
      </c>
      <c r="F31" s="202">
        <f>'PO 2nd page'!G20</f>
        <v>250.7</v>
      </c>
      <c r="G31" s="202"/>
      <c r="H31" s="202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5" t="s">
        <v>60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61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62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63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64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8" customFormat="1" ht="15" customHeight="1">
      <c r="B49" s="79" t="s">
        <v>66</v>
      </c>
      <c r="C49" s="80" t="s">
        <v>112</v>
      </c>
      <c r="P49" s="81"/>
    </row>
    <row r="50" spans="1:16" s="82" customFormat="1" ht="15" customHeight="1">
      <c r="B50" s="83" t="s">
        <v>66</v>
      </c>
      <c r="C50" s="80" t="s">
        <v>95</v>
      </c>
    </row>
    <row r="51" spans="1:16" s="82" customFormat="1" ht="15" customHeight="1">
      <c r="B51" s="83" t="s">
        <v>66</v>
      </c>
      <c r="C51" s="80" t="s">
        <v>94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Abdulla Muhaf</v>
      </c>
    </row>
    <row r="60" spans="1:16" ht="18" customHeight="1">
      <c r="B60" s="26" t="s">
        <v>72</v>
      </c>
      <c r="J60" s="26" t="s">
        <v>73</v>
      </c>
      <c r="K60" s="22" t="s">
        <v>100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79" t="str">
        <f>C9</f>
        <v>ATGC(Alrmooz Technical for General Contracting Est.</v>
      </c>
      <c r="K62" s="179"/>
      <c r="L62" s="179"/>
      <c r="M62" s="179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topLeftCell="A4" zoomScaleSheetLayoutView="100" zoomScalePageLayoutView="55" workbookViewId="0">
      <selection activeCell="K17" sqref="K17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78</v>
      </c>
      <c r="B2" s="46" t="str">
        <f>+'PO 1st page'!K11</f>
        <v>SAC2-DS-PO-0051</v>
      </c>
      <c r="C2" s="182" t="s">
        <v>79</v>
      </c>
      <c r="D2" s="182"/>
      <c r="E2" s="182"/>
      <c r="F2" s="182"/>
      <c r="G2" s="47"/>
      <c r="H2" s="47"/>
    </row>
    <row r="3" spans="1:13" s="53" customFormat="1" ht="28.5" customHeight="1" thickBot="1">
      <c r="A3" s="48" t="s">
        <v>80</v>
      </c>
      <c r="B3" s="49">
        <f>+'PO 1st page'!K10</f>
        <v>45764</v>
      </c>
      <c r="C3" s="50"/>
      <c r="D3" s="51"/>
      <c r="E3" s="183" t="s">
        <v>81</v>
      </c>
      <c r="F3" s="183"/>
      <c r="G3" s="183"/>
      <c r="H3" s="183"/>
      <c r="I3" s="52"/>
    </row>
    <row r="4" spans="1:13" s="54" customFormat="1" ht="28.5" customHeight="1" thickTop="1">
      <c r="A4" s="184" t="s">
        <v>82</v>
      </c>
      <c r="B4" s="186" t="s">
        <v>83</v>
      </c>
      <c r="C4" s="187"/>
      <c r="D4" s="190" t="s">
        <v>84</v>
      </c>
      <c r="E4" s="190" t="s">
        <v>85</v>
      </c>
      <c r="F4" s="192" t="str">
        <f>'PO 1st page'!C9</f>
        <v>ATGC(Alrmooz Technical for General Contracting Est.</v>
      </c>
      <c r="G4" s="193"/>
      <c r="H4" s="194" t="s">
        <v>86</v>
      </c>
      <c r="K4" s="55"/>
      <c r="L4" s="55"/>
      <c r="M4" s="55"/>
    </row>
    <row r="5" spans="1:13" s="54" customFormat="1" ht="21.95" customHeight="1">
      <c r="A5" s="185"/>
      <c r="B5" s="188"/>
      <c r="C5" s="189"/>
      <c r="D5" s="191"/>
      <c r="E5" s="191"/>
      <c r="F5" s="56" t="s">
        <v>87</v>
      </c>
      <c r="G5" s="56" t="s">
        <v>52</v>
      </c>
      <c r="H5" s="195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0" t="str">
        <f>+'MRS LIST'!B6</f>
        <v>Hard Disc</v>
      </c>
      <c r="C6" s="181"/>
      <c r="D6" s="85" t="str">
        <f>+'MRS LIST'!G6</f>
        <v>EA</v>
      </c>
      <c r="E6" s="86">
        <f>+'MRS LIST'!H6</f>
        <v>1</v>
      </c>
      <c r="F6" s="87">
        <f>+'MRS LIST'!I6</f>
        <v>218</v>
      </c>
      <c r="G6" s="88">
        <f>+'MRS LIST'!J6</f>
        <v>218</v>
      </c>
      <c r="H6" s="89" t="s">
        <v>111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0"/>
      <c r="C7" s="181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0"/>
      <c r="C8" s="181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0"/>
      <c r="C9" s="181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0"/>
      <c r="C10" s="181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0"/>
      <c r="C11" s="181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0"/>
      <c r="C12" s="201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0"/>
      <c r="C13" s="201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0"/>
      <c r="C14" s="201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0"/>
      <c r="C15" s="201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0"/>
      <c r="C16" s="201"/>
      <c r="D16" s="93"/>
      <c r="E16" s="94"/>
      <c r="F16" s="95"/>
      <c r="G16" s="96"/>
      <c r="H16" s="97"/>
    </row>
    <row r="17" spans="1:13" s="54" customFormat="1" ht="32.1" customHeight="1">
      <c r="A17" s="92">
        <f t="shared" si="0"/>
        <v>12</v>
      </c>
      <c r="B17" s="200"/>
      <c r="C17" s="201"/>
      <c r="D17" s="93"/>
      <c r="E17" s="94"/>
      <c r="F17" s="95"/>
      <c r="G17" s="96"/>
      <c r="H17" s="97"/>
    </row>
    <row r="18" spans="1:13" s="54" customFormat="1" ht="23.1" customHeight="1">
      <c r="A18" s="196" t="s">
        <v>88</v>
      </c>
      <c r="B18" s="197"/>
      <c r="C18" s="197"/>
      <c r="D18" s="197"/>
      <c r="E18" s="197"/>
      <c r="F18" s="197"/>
      <c r="G18" s="57">
        <f>SUM(G6:G17)</f>
        <v>218</v>
      </c>
      <c r="H18" s="58"/>
    </row>
    <row r="19" spans="1:13" s="54" customFormat="1" ht="23.1" customHeight="1">
      <c r="A19" s="196" t="s">
        <v>51</v>
      </c>
      <c r="B19" s="197"/>
      <c r="C19" s="197"/>
      <c r="D19" s="197"/>
      <c r="E19" s="197"/>
      <c r="F19" s="197"/>
      <c r="G19" s="57">
        <f>+G18*0.15</f>
        <v>32.699999999999996</v>
      </c>
      <c r="H19" s="58"/>
    </row>
    <row r="20" spans="1:13" s="54" customFormat="1" ht="24.95" customHeight="1" thickBot="1">
      <c r="A20" s="198" t="s">
        <v>89</v>
      </c>
      <c r="B20" s="199"/>
      <c r="C20" s="199"/>
      <c r="D20" s="199"/>
      <c r="E20" s="199"/>
      <c r="F20" s="199"/>
      <c r="G20" s="59">
        <f>G19+G18</f>
        <v>250.7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QUO-MAT-25041606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90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2025-04-17T08:11:48Z</cp:lastPrinted>
  <dcterms:created xsi:type="dcterms:W3CDTF">2024-10-20T11:50:19Z</dcterms:created>
  <dcterms:modified xsi:type="dcterms:W3CDTF">2025-04-17T08:11:50Z</dcterms:modified>
</cp:coreProperties>
</file>