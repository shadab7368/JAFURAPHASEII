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E66D64B2-BF4F-438E-A63B-E43D4AFED35E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H7" i="4" l="1"/>
  <c r="H6" i="4"/>
  <c r="K59" i="3"/>
  <c r="E3" i="1"/>
  <c r="E7" i="4"/>
  <c r="D7" i="4"/>
  <c r="H7" i="2"/>
  <c r="G7" i="2"/>
  <c r="D7" i="2"/>
  <c r="B7" i="2"/>
  <c r="B7" i="4" s="1"/>
  <c r="J7" i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<sst xmlns="http://schemas.openxmlformats.org/spreadsheetml/2006/main" count="158" uniqueCount="125">
  <si>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</si>
  <si>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</si>
  <si>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</si>
  <si>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</si>
  <si>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</si>
  <si>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</si>
  <si>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</si>
  <si>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</si>
  <si>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</si>
  <si>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</si>
  <si>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</si>
  <si>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</si>
  <si>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</si>
  <si>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</si>
  <si>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</si>
  <si>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</si>
  <si>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</si>
  <si>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</si>
  <si>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</si>
  <si>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</si>
  <si>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</si>
  <si>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</si>
  <si>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</si>
  <si>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</si>
  <si>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</si>
  <si>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</si>
  <si>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</si>
  <si>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</si>
  <si>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</si>
  <si>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</si>
  <si>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</si>
  <si>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</si>
  <si>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</si>
  <si>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</si>
  <si>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</si>
  <si>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</si>
  <si>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</si>
  <si>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</si>
  <si>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</si>
  <si>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</si>
  <si>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</si>
  <si>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</si>
  <si>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</si>
  <si>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</si>
  <si>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</si>
  <si>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</si>
  <si>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</si>
  <si>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</si>
  <si>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</si>
  <si>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</si>
  <si>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</si>
  <si>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</si>
  <si>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</si>
  <si>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</si>
  <si>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</si>
  <si>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</si>
  <si>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</si>
  <si>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</si>
  <si>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</si>
  <si>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</si>
  <si>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</si>
  <si>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</si>
  <si>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</si>
  <si>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</si>
  <si>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</si>
  <si>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</si>
  <si>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</si>
  <si>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</si>
  <si>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</si>
  <si>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</si>
  <si>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</si>
  <si>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</si>
  <si>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</si>
  <si>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</si>
  <si>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</si>
  <si>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</si>
  <si>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</si>
  <si>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</si>
  <si>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</si>
  <si>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</si>
  <si>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</si>
  <si>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</si>
  <si>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</si>
  <si>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</si>
  <si>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</si>
  <si>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</si>
  <si>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</si>
  <si>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</si>
  <si>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</si>
  <si>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</si>
  <si>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</si>
  <si>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</si>
  <si>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</si>
  <si>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</si>
  <si>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</si>
  <si>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</si>
  <si>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</si>
  <si>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</si>
  <si>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</si>
  <si>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t>Business Development Manager</t>
  </si>
  <si>
    <t>Mob. &amp; De-Mob. / per unit - lump sum</t>
    <phoneticPr fontId="3" type="noConversion"/>
  </si>
  <si>
    <t>L / S</t>
    <phoneticPr fontId="10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</si>
  <si>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</si>
  <si>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UTCC</t>
  </si>
  <si>
    <t>UTCC(United Technology Contracting Co. Ltd.)</t>
  </si>
  <si>
    <t>Muhammed Huzaifa</t>
  </si>
  <si>
    <t>2055009069</t>
  </si>
  <si>
    <t>Landline: +966 136 6080 / Mobile : +966 54 6313999</t>
  </si>
  <si>
    <t>Bldg No . 9278 King Abdul Aziz Street,Tebah District , Al Jubail</t>
  </si>
  <si>
    <t>+966 54 631 3999 / Email:operation@unitedco.uk</t>
  </si>
  <si>
    <t>Monthly based</t>
  </si>
  <si>
    <t>Monthly Based</t>
  </si>
  <si>
    <t>One Time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</si>
  <si>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</si>
  <si>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</si>
  <si>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</si>
  <si>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</si>
  <si>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310157378500003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</si>
  <si>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-MRS-0120</t>
    </r>
  </si>
  <si>
    <t>Manlift</t>
  </si>
  <si>
    <t>Manlift Mob &amp; De-Mob. Charge</t>
  </si>
  <si>
    <t>26 Mtr Articulated Manlift with SPSP Operator</t>
  </si>
  <si>
    <t>"</t>
  </si>
  <si>
    <t>UT-EQUO-25-3292-(R1)</t>
  </si>
  <si>
    <t>26 Mtr Atriculated Manlift with SPSP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</si>
</sst>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theme="1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3" borderId="0" xfId="5" applyFont="1" applyFill="1"/>
    <xf numFmtId="0" fontId="50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10026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26605" y="4983079"/>
              <a:ext cx="3780423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K8" sqref="K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5" t="s">
        <v>114</v>
      </c>
      <c r="B1" s="110"/>
      <c r="C1" s="110"/>
      <c r="D1" s="110"/>
      <c r="E1" s="110"/>
      <c r="F1" s="110"/>
      <c r="G1" s="1"/>
      <c r="J1" s="142" t="s">
        <v>92</v>
      </c>
      <c r="K1" s="143"/>
      <c r="L1" s="144"/>
    </row>
    <row r="2" spans="1:19" ht="20.100000000000001" customHeight="1">
      <c r="A2" s="3" t="s">
        <v>1</v>
      </c>
      <c r="B2" s="101"/>
      <c r="C2" s="101"/>
      <c r="D2" s="3" t="s">
        <v>115</v>
      </c>
      <c r="E2" s="101"/>
      <c r="F2" s="101"/>
      <c r="G2" s="101"/>
      <c r="H2" s="101"/>
      <c r="I2" s="4"/>
      <c r="J2" s="158" t="s">
        <v>113</v>
      </c>
      <c r="K2" s="159"/>
      <c r="L2" s="160"/>
    </row>
    <row r="3" spans="1:19" ht="20.100000000000001" customHeight="1">
      <c r="A3" s="3" t="s">
        <v>118</v>
      </c>
      <c r="B3" s="101"/>
      <c r="C3" s="101"/>
      <c r="D3" s="101"/>
      <c r="E3" s="145">
        <f>+L3</f>
        <v>45903</v>
      </c>
      <c r="F3" s="145"/>
      <c r="G3" s="145"/>
      <c r="H3" s="145"/>
      <c r="I3" s="145"/>
      <c r="J3" s="101"/>
      <c r="K3" s="101"/>
      <c r="L3" s="122">
        <v>45903</v>
      </c>
      <c r="M3" s="4"/>
    </row>
    <row r="4" spans="1:19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56" t="s">
        <v>6</v>
      </c>
      <c r="I4" s="156" t="s">
        <v>97</v>
      </c>
      <c r="J4" s="146" t="s">
        <v>98</v>
      </c>
      <c r="K4" s="156" t="s">
        <v>0</v>
      </c>
      <c r="L4" s="147" t="s">
        <v>7</v>
      </c>
    </row>
    <row r="5" spans="1:19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9" ht="22.5" customHeight="1">
      <c r="A6" s="5">
        <f t="shared" ref="A6:A15" si="0">ROW(A1)</f>
        <v>1</v>
      </c>
      <c r="B6" s="130" t="s">
        <v>119</v>
      </c>
      <c r="C6" s="131"/>
      <c r="D6" s="132" t="s">
        <v>121</v>
      </c>
      <c r="E6" s="133"/>
      <c r="F6" s="134"/>
      <c r="G6" s="111" t="s">
        <v>93</v>
      </c>
      <c r="H6" s="112">
        <v>1</v>
      </c>
      <c r="I6" s="113">
        <v>20000</v>
      </c>
      <c r="J6" s="113">
        <f>H6*I6</f>
        <v>20000</v>
      </c>
      <c r="K6" s="114" t="s">
        <v>103</v>
      </c>
      <c r="L6" s="115" t="s">
        <v>111</v>
      </c>
      <c r="S6" s="106"/>
    </row>
    <row r="7" spans="1:19" ht="22.5" customHeight="1">
      <c r="A7" s="5">
        <f t="shared" si="0"/>
        <v>2</v>
      </c>
      <c r="B7" s="130" t="s">
        <v>120</v>
      </c>
      <c r="C7" s="131"/>
      <c r="D7" s="141" t="s">
        <v>100</v>
      </c>
      <c r="E7" s="133"/>
      <c r="F7" s="134"/>
      <c r="G7" s="111" t="s">
        <v>101</v>
      </c>
      <c r="H7" s="112">
        <v>1</v>
      </c>
      <c r="I7" s="113">
        <v>2500</v>
      </c>
      <c r="J7" s="113">
        <f>H7*I7</f>
        <v>2500</v>
      </c>
      <c r="K7" s="114" t="s">
        <v>122</v>
      </c>
      <c r="L7" s="115" t="s">
        <v>112</v>
      </c>
      <c r="S7" s="106"/>
    </row>
    <row r="8" spans="1:19" ht="22.5" customHeight="1">
      <c r="A8" s="5">
        <f t="shared" si="0"/>
        <v>3</v>
      </c>
      <c r="B8" s="130"/>
      <c r="C8" s="131"/>
      <c r="D8" s="132"/>
      <c r="E8" s="133"/>
      <c r="F8" s="134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30"/>
      <c r="C9" s="131"/>
      <c r="D9" s="132"/>
      <c r="E9" s="133"/>
      <c r="F9" s="134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9"/>
      <c r="C10" s="139"/>
      <c r="D10" s="140"/>
      <c r="E10" s="140"/>
      <c r="F10" s="14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0"/>
      <c r="C11" s="131"/>
      <c r="D11" s="132"/>
      <c r="E11" s="133"/>
      <c r="F11" s="134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9"/>
      <c r="C12" s="139"/>
      <c r="D12" s="140"/>
      <c r="E12" s="140"/>
      <c r="F12" s="14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0"/>
      <c r="C13" s="131"/>
      <c r="D13" s="132"/>
      <c r="E13" s="133"/>
      <c r="F13" s="134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0"/>
      <c r="C14" s="131"/>
      <c r="D14" s="132"/>
      <c r="E14" s="133"/>
      <c r="F14" s="134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0"/>
      <c r="C15" s="131"/>
      <c r="D15" s="132"/>
      <c r="E15" s="133"/>
      <c r="F15" s="134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5" t="s">
        <v>8</v>
      </c>
      <c r="B16" s="136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22500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8"/>
      <c r="T19" s="14"/>
      <c r="U19" s="15"/>
      <c r="V19" s="14"/>
    </row>
    <row r="20" spans="1:22" ht="17.100000000000001" customHeight="1">
      <c r="O20" s="11"/>
      <c r="P20" s="11"/>
      <c r="Q20" s="11"/>
      <c r="S20" s="12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6" t="s">
        <v>17</v>
      </c>
      <c r="Q21" s="126" t="s">
        <v>18</v>
      </c>
    </row>
    <row r="22" spans="1:22" ht="18" customHeight="1">
      <c r="O22" s="18" t="s">
        <v>19</v>
      </c>
      <c r="P22" s="128"/>
      <c r="Q22" s="128"/>
      <c r="S22" s="13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9"/>
      <c r="P27" s="129"/>
      <c r="Q27" s="129"/>
    </row>
    <row r="28" spans="1:22" ht="19.899999999999999" customHeight="1">
      <c r="O28" s="129"/>
      <c r="P28" s="129"/>
      <c r="Q28" s="12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6" t="s">
        <v>21</v>
      </c>
    </row>
    <row r="41" spans="15:22" ht="19.899999999999999" customHeight="1">
      <c r="T41" s="128"/>
    </row>
    <row r="42" spans="15:22" ht="64.900000000000006" customHeight="1">
      <c r="T42" s="14"/>
    </row>
    <row r="46" spans="15:22" ht="21" customHeight="1">
      <c r="O46" s="126" t="s">
        <v>21</v>
      </c>
      <c r="P46" s="126" t="s">
        <v>21</v>
      </c>
      <c r="Q46" s="126" t="s">
        <v>21</v>
      </c>
      <c r="T46" s="126" t="s">
        <v>22</v>
      </c>
      <c r="U46" s="126" t="s">
        <v>13</v>
      </c>
      <c r="V46" s="126" t="s">
        <v>21</v>
      </c>
    </row>
    <row r="47" spans="15:22" ht="21" customHeight="1">
      <c r="O47" s="128"/>
      <c r="P47" s="128"/>
      <c r="Q47" s="128"/>
      <c r="T47" s="127"/>
      <c r="U47" s="127"/>
      <c r="V47" s="12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6" t="s">
        <v>21</v>
      </c>
      <c r="P50" s="126" t="s">
        <v>21</v>
      </c>
      <c r="Q50" s="126" t="s">
        <v>21</v>
      </c>
      <c r="T50" s="126" t="s">
        <v>13</v>
      </c>
      <c r="U50" s="126" t="s">
        <v>22</v>
      </c>
      <c r="V50" s="126" t="s">
        <v>21</v>
      </c>
    </row>
    <row r="51" spans="15:22" ht="21" customHeight="1">
      <c r="O51" s="128"/>
      <c r="P51" s="128"/>
      <c r="Q51" s="128"/>
      <c r="T51" s="127"/>
      <c r="U51" s="127"/>
      <c r="V51" s="12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102</v>
      </c>
      <c r="B1" s="100"/>
      <c r="C1" s="100"/>
      <c r="D1" s="100"/>
      <c r="E1" s="100"/>
      <c r="F1" s="100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58" t="str">
        <f>+MRS!J2</f>
        <v>Subcontract name (SAC2-SC-IK-SMP-01)</v>
      </c>
      <c r="K2" s="160"/>
    </row>
    <row r="3" spans="1:18" ht="24.95" customHeight="1">
      <c r="A3" s="3" t="str">
        <f>+MRS!A3</f>
        <v xml:space="preserve">  MRS No : SAC2-DS-MRS-0120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45903</v>
      </c>
    </row>
    <row r="4" spans="1:18" ht="15.95" customHeight="1">
      <c r="A4" s="171" t="s">
        <v>2</v>
      </c>
      <c r="B4" s="172" t="s">
        <v>23</v>
      </c>
      <c r="C4" s="172"/>
      <c r="D4" s="171" t="s">
        <v>4</v>
      </c>
      <c r="E4" s="171"/>
      <c r="F4" s="171"/>
      <c r="G4" s="172" t="s">
        <v>5</v>
      </c>
      <c r="H4" s="171" t="s">
        <v>94</v>
      </c>
      <c r="I4" s="171" t="s">
        <v>24</v>
      </c>
      <c r="J4" s="171" t="s">
        <v>25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Manlift</v>
      </c>
      <c r="C6" s="167"/>
      <c r="D6" s="168" t="str">
        <f>MRS!D6</f>
        <v>26 Mtr Articulated Manlift with SPSP Operator</v>
      </c>
      <c r="E6" s="169"/>
      <c r="F6" s="170"/>
      <c r="G6" s="103" t="str">
        <f>MRS!G6</f>
        <v>Month</v>
      </c>
      <c r="H6" s="103">
        <f>MRS!H6</f>
        <v>1</v>
      </c>
      <c r="I6" s="104">
        <f>MRS!I6</f>
        <v>20000</v>
      </c>
      <c r="J6" s="104">
        <f>MRS!J6</f>
        <v>20000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6" t="str">
        <f>MRS!B7</f>
        <v>Manlift Mob &amp; De-Mob. Charge</v>
      </c>
      <c r="C7" s="167"/>
      <c r="D7" s="168" t="str">
        <f>MRS!D7</f>
        <v>Mob. &amp; De-Mob. / per unit - lump sum</v>
      </c>
      <c r="E7" s="169"/>
      <c r="F7" s="170"/>
      <c r="G7" s="103" t="str">
        <f>MRS!G7</f>
        <v>L / S</v>
      </c>
      <c r="H7" s="103">
        <f>MRS!H7</f>
        <v>1</v>
      </c>
      <c r="I7" s="104">
        <f>MRS!I7</f>
        <v>2500</v>
      </c>
      <c r="J7" s="104">
        <f>MRS!J7</f>
        <v>2500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1"/>
      <c r="C8" s="162"/>
      <c r="D8" s="163"/>
      <c r="E8" s="164"/>
      <c r="F8" s="165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1"/>
      <c r="C9" s="162"/>
      <c r="D9" s="163"/>
      <c r="E9" s="164"/>
      <c r="F9" s="165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1"/>
      <c r="C10" s="162"/>
      <c r="D10" s="163"/>
      <c r="E10" s="164"/>
      <c r="F10" s="165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1"/>
      <c r="C11" s="162"/>
      <c r="D11" s="163"/>
      <c r="E11" s="164"/>
      <c r="F11" s="165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1"/>
      <c r="C12" s="162"/>
      <c r="D12" s="163"/>
      <c r="E12" s="164"/>
      <c r="F12" s="16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1"/>
      <c r="C13" s="162"/>
      <c r="D13" s="163"/>
      <c r="E13" s="164"/>
      <c r="F13" s="16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1"/>
      <c r="C14" s="162"/>
      <c r="D14" s="163"/>
      <c r="E14" s="164"/>
      <c r="F14" s="16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1"/>
      <c r="C15" s="162"/>
      <c r="D15" s="163"/>
      <c r="E15" s="164"/>
      <c r="F15" s="16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SheetLayoutView="130" workbookViewId="0">
      <selection activeCell="F34" sqref="F34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104</v>
      </c>
      <c r="D9" s="39"/>
      <c r="E9" s="39"/>
    </row>
    <row r="10" spans="2:13" s="39" customFormat="1">
      <c r="B10" s="72"/>
      <c r="C10" s="39" t="s">
        <v>33</v>
      </c>
      <c r="D10" s="76" t="s">
        <v>106</v>
      </c>
      <c r="J10" s="39" t="s">
        <v>34</v>
      </c>
      <c r="K10" s="174">
        <f>MRS!L3</f>
        <v>45903</v>
      </c>
      <c r="L10" s="175"/>
      <c r="M10" s="175"/>
    </row>
    <row r="11" spans="2:13" s="39" customFormat="1">
      <c r="B11" s="72"/>
      <c r="C11" s="75" t="s">
        <v>35</v>
      </c>
      <c r="D11" s="76" t="s">
        <v>117</v>
      </c>
      <c r="J11" s="39" t="s">
        <v>36</v>
      </c>
      <c r="K11" s="176" t="str">
        <f>SUBSTITUTE(SUBSTITUTE(+MRS!A3,"  MRS No : ",""),"-MRS","-PO")</f>
        <v>SAC2-DS-PO-0120</v>
      </c>
      <c r="L11" s="176"/>
      <c r="M11" s="176"/>
    </row>
    <row r="12" spans="2:13" s="39" customFormat="1">
      <c r="B12" s="72"/>
      <c r="C12" s="75" t="s">
        <v>37</v>
      </c>
      <c r="D12" s="39" t="s">
        <v>105</v>
      </c>
      <c r="J12" s="39" t="s">
        <v>38</v>
      </c>
    </row>
    <row r="13" spans="2:13" s="39" customFormat="1">
      <c r="B13" s="72"/>
      <c r="C13" s="77"/>
      <c r="D13" s="76" t="s">
        <v>109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123</v>
      </c>
    </row>
    <row r="15" spans="2:13" s="39" customFormat="1">
      <c r="B15" s="72"/>
      <c r="C15" s="77" t="s">
        <v>107</v>
      </c>
      <c r="J15" s="39" t="s">
        <v>41</v>
      </c>
      <c r="K15" s="78">
        <v>45901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42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124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1" t="s">
        <v>110</v>
      </c>
      <c r="G29" s="181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1"/>
      <c r="G30" s="181"/>
    </row>
    <row r="31" spans="2:13" ht="15" customHeight="1">
      <c r="B31" s="32"/>
      <c r="C31" s="26" t="s">
        <v>52</v>
      </c>
      <c r="D31" s="35"/>
      <c r="E31" s="26" t="s">
        <v>50</v>
      </c>
      <c r="F31" s="181"/>
      <c r="G31" s="181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116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95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Muhammed Huzaifa</v>
      </c>
    </row>
    <row r="60" spans="1:16" ht="18" customHeight="1">
      <c r="B60" s="26" t="s">
        <v>72</v>
      </c>
      <c r="J60" s="26" t="s">
        <v>73</v>
      </c>
      <c r="K60" s="22" t="s">
        <v>99</v>
      </c>
    </row>
    <row r="61" spans="1:16" ht="15" customHeight="1">
      <c r="B61" s="26" t="s">
        <v>74</v>
      </c>
      <c r="J61" s="26" t="s">
        <v>75</v>
      </c>
    </row>
    <row r="62" spans="1:16" s="28" customFormat="1" ht="15" customHeight="1">
      <c r="B62" s="25" t="s">
        <v>76</v>
      </c>
      <c r="J62" s="124" t="str">
        <f>C9</f>
        <v>UTCC(United Technology Contracting Co. Ltd.)</v>
      </c>
    </row>
    <row r="63" spans="1:16" ht="27.95" customHeight="1">
      <c r="A63" s="173" t="s">
        <v>77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ignoredErrors>
    <ignoredError sqref="D10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A20" sqref="A20:F2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SAC2-DS-PO-0120</v>
      </c>
      <c r="C2" s="188" t="s">
        <v>79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45903</v>
      </c>
      <c r="C3" s="51"/>
      <c r="D3" s="52"/>
      <c r="E3" s="189" t="s">
        <v>81</v>
      </c>
      <c r="F3" s="189"/>
      <c r="G3" s="189"/>
      <c r="H3" s="189"/>
      <c r="I3" s="53"/>
    </row>
    <row r="4" spans="1:13" s="55" customFormat="1" ht="28.5" customHeight="1" thickTop="1">
      <c r="A4" s="190" t="s">
        <v>82</v>
      </c>
      <c r="B4" s="192" t="s">
        <v>83</v>
      </c>
      <c r="C4" s="193"/>
      <c r="D4" s="196" t="s">
        <v>84</v>
      </c>
      <c r="E4" s="196" t="s">
        <v>85</v>
      </c>
      <c r="F4" s="198" t="str">
        <f>'PO 1st page'!C9</f>
        <v>UTCC(United Technology Contracting Co. Ltd.)</v>
      </c>
      <c r="G4" s="199"/>
      <c r="H4" s="200" t="s">
        <v>86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87</v>
      </c>
      <c r="G5" s="57" t="s">
        <v>52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CONCATENATE(MRS!B6," ",MRS!D6)</f>
        <v>Manlift 26 Mtr Articulated Manlift with SPSP Operator</v>
      </c>
      <c r="C6" s="203"/>
      <c r="D6" s="86" t="str">
        <f>+'MRS LIST'!G6</f>
        <v>Month</v>
      </c>
      <c r="E6" s="87">
        <f>+'MRS LIST'!H6</f>
        <v>1</v>
      </c>
      <c r="F6" s="88">
        <f>+'MRS LIST'!I6</f>
        <v>20000</v>
      </c>
      <c r="G6" s="89">
        <f>+'MRS LIST'!J6</f>
        <v>20000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 t="str">
        <f>+'MRS LIST'!B7</f>
        <v>Manlift Mob &amp; De-Mob. Charge</v>
      </c>
      <c r="C7" s="203"/>
      <c r="D7" s="86" t="str">
        <f>+'MRS LIST'!G7</f>
        <v>L / S</v>
      </c>
      <c r="E7" s="87">
        <f>+'MRS LIST'!H7</f>
        <v>1</v>
      </c>
      <c r="F7" s="88">
        <f>+'MRS LIST'!I7</f>
        <v>2500</v>
      </c>
      <c r="G7" s="89">
        <f>+'MRS LIST'!J7</f>
        <v>2500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88</v>
      </c>
      <c r="B18" s="183"/>
      <c r="C18" s="183"/>
      <c r="D18" s="183"/>
      <c r="E18" s="183"/>
      <c r="F18" s="183"/>
      <c r="G18" s="58">
        <f>SUM(G6:G17)</f>
        <v>22500</v>
      </c>
      <c r="H18" s="59"/>
    </row>
    <row r="19" spans="1:13" s="55" customFormat="1" ht="23.1" customHeight="1">
      <c r="A19" s="182" t="s">
        <v>51</v>
      </c>
      <c r="B19" s="183"/>
      <c r="C19" s="183"/>
      <c r="D19" s="183"/>
      <c r="E19" s="183"/>
      <c r="F19" s="183"/>
      <c r="G19" s="58">
        <f>+G18*0.15</f>
        <v>3375</v>
      </c>
      <c r="H19" s="59"/>
    </row>
    <row r="20" spans="1:13" s="55" customFormat="1" ht="24.95" customHeight="1" thickBot="1">
      <c r="A20" s="184" t="s">
        <v>89</v>
      </c>
      <c r="B20" s="185"/>
      <c r="C20" s="185"/>
      <c r="D20" s="185"/>
      <c r="E20" s="185"/>
      <c r="F20" s="185"/>
      <c r="G20" s="60">
        <f>G19+G18</f>
        <v>25875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UT-EQUO-25-3292-(R1)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91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2025-09-03T02:42:26Z</cp:lastPrinted>
  <dcterms:created xsi:type="dcterms:W3CDTF">2024-10-20T11:50:19Z</dcterms:created>
  <dcterms:modified xsi:type="dcterms:W3CDTF">2025-09-03T02:46:52Z</dcterms:modified>
</cp:coreProperties>
</file>