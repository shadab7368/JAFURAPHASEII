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D663621-880B-49B7-BE4E-8C2C8F712A8A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MRS!$A$1:$L$19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page'!$A$1:$H$27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F9" i="4" l="1"/>
  <c r="G9" i="4" s="1"/>
  <c r="E9" i="4"/>
  <c r="D9" i="4"/>
  <c r="F8" i="4"/>
  <c r="E8" i="4"/>
  <c r="D8" i="4"/>
  <c r="G8" i="4" l="1"/>
  <c r="J9" i="1"/>
  <c r="J8" i="1"/>
  <c r="E3" i="1"/>
  <c r="H7" i="4" l="1"/>
  <c r="A9" i="1"/>
  <c r="J11" i="2"/>
  <c r="J10" i="2"/>
  <c r="F7" i="4"/>
  <c r="E7" i="4"/>
  <c r="D7" i="4"/>
  <c r="A19" i="4"/>
  <c r="A20" i="4"/>
  <c r="A18" i="4"/>
  <c r="A17" i="4"/>
  <c r="A15" i="4"/>
  <c r="A16" i="4"/>
  <c r="B9" i="4"/>
  <c r="B8" i="4"/>
  <c r="B7" i="4"/>
  <c r="A12" i="4"/>
  <c r="A13" i="4"/>
  <c r="A14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2"/>
  <c r="I13" i="2"/>
  <c r="H13" i="2"/>
  <c r="G13" i="2"/>
  <c r="D13" i="2"/>
  <c r="B13" i="2"/>
  <c r="I12" i="2"/>
  <c r="H12" i="2"/>
  <c r="G12" i="2"/>
  <c r="D12" i="2"/>
  <c r="B12" i="2"/>
  <c r="J16" i="2"/>
  <c r="J10" i="1"/>
  <c r="J15" i="2" s="1"/>
  <c r="J13" i="2"/>
  <c r="J12" i="2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G7" i="4" l="1"/>
  <c r="J7" i="1"/>
  <c r="J11" i="1" s="1"/>
  <c r="K10" i="3"/>
  <c r="A24" i="4" l="1"/>
  <c r="J7" i="2"/>
  <c r="I7" i="2"/>
  <c r="I6" i="2"/>
  <c r="H6" i="2"/>
  <c r="G6" i="2"/>
  <c r="D6" i="2"/>
  <c r="B6" i="2"/>
  <c r="A11" i="4"/>
  <c r="A10" i="4"/>
  <c r="A9" i="4"/>
  <c r="A8" i="4"/>
  <c r="A7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8" i="1"/>
  <c r="A7" i="2" s="1"/>
  <c r="A7" i="1"/>
  <c r="A6" i="2" s="1"/>
  <c r="J6" i="2" l="1"/>
  <c r="G21" i="4" s="1"/>
  <c r="G22" i="4" l="1"/>
  <c r="G23" i="4" l="1"/>
</calcChain>
</file>

<file path=xl/sharedStrings.xml><?xml version="1.0" encoding="utf-8"?>
<sst xmlns="http://schemas.openxmlformats.org/spreadsheetml/2006/main" count="170" uniqueCount="138">
  <si>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</si>
  <si>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</si>
  <si>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</si>
  <si>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</si>
  <si>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</si>
  <si>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</si>
  <si>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</si>
  <si>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</si>
  <si>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</si>
  <si>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</si>
  <si>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</si>
  <si>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</si>
  <si>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</si>
  <si>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</si>
  <si>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</si>
  <si>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</si>
  <si>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</si>
  <si>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</si>
  <si>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</si>
  <si>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</si>
  <si>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</si>
  <si>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</si>
  <si>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</si>
  <si>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</si>
  <si>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</si>
  <si>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</si>
  <si>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</si>
  <si>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</si>
  <si>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</si>
  <si>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</si>
  <si>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</si>
  <si>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</si>
  <si>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</si>
  <si>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</si>
  <si>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</si>
  <si>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</si>
  <si>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</si>
  <si>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</si>
  <si>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</si>
  <si>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</si>
  <si>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</si>
  <si>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</si>
  <si>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</si>
  <si>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</si>
  <si>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</si>
  <si>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</si>
  <si>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</si>
  <si>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</si>
  <si>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</si>
  <si>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</si>
  <si>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</si>
  <si>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</si>
  <si>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</si>
  <si>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</si>
  <si>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</si>
  <si>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</si>
  <si>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</si>
  <si>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</si>
  <si>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</si>
  <si>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</si>
  <si>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</si>
  <si>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</si>
  <si>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</si>
  <si>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</si>
  <si>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</si>
  <si>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</si>
  <si>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</si>
  <si>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</si>
  <si>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</si>
  <si>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</si>
  <si>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</si>
  <si>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</si>
  <si>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</si>
  <si>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</si>
  <si>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</si>
  <si>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</si>
  <si>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</si>
  <si>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</si>
  <si>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</si>
  <si>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</si>
  <si>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</si>
  <si>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</si>
  <si>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</si>
  <si>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</si>
  <si>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</si>
  <si>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</si>
  <si>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Delivery &amp; Payment : Dong Chang Kim / Daeshin Admin. [ Mobile No. : +966 53 748 5762 / Email : kdchjs@daeshinplant.com ]</t>
  </si>
  <si>
    <t>Subcontract name (SAC2-SC-IK-SMP-01)</t>
  </si>
  <si>
    <t xml:space="preserve"> CR No. :</t>
    <phoneticPr fontId="7" type="noConversion"/>
  </si>
  <si>
    <t xml:space="preserve"> VAT No. : </t>
    <phoneticPr fontId="7" type="noConversion"/>
  </si>
  <si>
    <t xml:space="preserve"> In Charge :</t>
    <phoneticPr fontId="7" type="noConversion"/>
  </si>
  <si>
    <t>Branch of Hyundai Engineering and Const. Co., Ltd. (HDEC)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</si>
  <si>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</si>
  <si>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</si>
  <si>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</si>
  <si>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</si>
  <si>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</si>
  <si>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</si>
  <si>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</si>
  <si>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</si>
  <si>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</si>
  <si>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Monthly based</t>
  </si>
  <si>
    <t>Monthly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</si>
  <si>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</si>
  <si>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</si>
  <si>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</si>
  <si>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</si>
  <si>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</si>
  <si>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</si>
  <si>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</si>
  <si>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</si>
  <si>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</si>
  <si>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</si>
  <si>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</si>
  <si>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</si>
  <si>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</si>
  <si>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</si>
  <si>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-MRS-0412</t>
    </r>
  </si>
  <si>
    <t>Training and certification of below
MJI-10 Head Torqued Flange Bolted Connections
Duration - 1 Day</t>
  </si>
  <si>
    <t>ECITB Training and certification of below
MJI-10 Hand Torqued Flange Bolted Connections
MJI-18 Hydraulically Tensioned Bolted Connections
MJI-19 Hydraulically Torqued Bolted Connections
Duration - 1 Day</t>
  </si>
  <si>
    <t>ECITB Training and certification of below
MJI-10 Hand Torqued Flange Bolted Connections
MJI-19 Hydraulically Torqued Bolted Connections
Duaration - 1 Day</t>
  </si>
  <si>
    <t>EA</t>
  </si>
  <si>
    <t>SMART</t>
  </si>
  <si>
    <t>PROPOSAL FOR BOLTING TRAINING</t>
  </si>
  <si>
    <t>SMART(Smart Integrated Trading)</t>
  </si>
  <si>
    <t>SMART INTEGRATED TRADING ESTABLISHMENT</t>
  </si>
  <si>
    <t>3049363409940</t>
  </si>
  <si>
    <t>SA03 2000 0003 0493 6340 9940</t>
  </si>
  <si>
    <t>RIYAD BANK</t>
  </si>
  <si>
    <t>RIBLSARI</t>
  </si>
  <si>
    <t>2055141728</t>
  </si>
  <si>
    <t>312079907600003</t>
  </si>
  <si>
    <t>Jaram Babu</t>
  </si>
  <si>
    <t>+966 550769676 /  Email:jaram@smintrade.com</t>
  </si>
  <si>
    <t>Bldg No 7407Altawi Distict, Jubail, KSA</t>
  </si>
  <si>
    <t>Mobile : +966 550769676</t>
  </si>
  <si>
    <t>SMIN-2608528 Rev.02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</si>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</sst>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6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0" fillId="3" borderId="0" xfId="5" applyFont="1" applyFill="1"/>
    <xf numFmtId="0" fontId="16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vertical="center"/>
    </xf>
    <xf numFmtId="0" fontId="6" fillId="0" borderId="37" xfId="6" applyFont="1" applyFill="1" applyBorder="1" applyAlignment="1">
      <alignment horizontal="center" vertical="center" wrapText="1"/>
    </xf>
    <xf numFmtId="0" fontId="6" fillId="0" borderId="47" xfId="6" applyFont="1" applyFill="1" applyBorder="1" applyAlignment="1">
      <alignment horizontal="center" vertical="center" wrapText="1"/>
    </xf>
    <xf numFmtId="0" fontId="6" fillId="0" borderId="48" xfId="6" applyFont="1" applyFill="1" applyBorder="1" applyAlignment="1">
      <alignment horizontal="center" vertical="center" wrapText="1"/>
    </xf>
    <xf numFmtId="0" fontId="6" fillId="0" borderId="23" xfId="6" applyFont="1" applyFill="1" applyBorder="1" applyAlignment="1">
      <alignment horizontal="left" vertical="center" wrapText="1"/>
    </xf>
    <xf numFmtId="0" fontId="6" fillId="0" borderId="24" xfId="6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1180599</xdr:colOff>
          <xdr:row>11</xdr:row>
          <xdr:rowOff>250156</xdr:rowOff>
        </xdr:from>
        <xdr:to>
          <xdr:col>11</xdr:col>
          <xdr:colOff>1587166</xdr:colOff>
          <xdr:row>18</xdr:row>
          <xdr:rowOff>237623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CBB5211-7494-DB71-890A-3C0080CEB4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5:$Y$20" spid="_x0000_s13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72678" y="5273340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47"/>
  <sheetViews>
    <sheetView showGridLines="0" view="pageBreakPreview" zoomScale="95" zoomScaleNormal="95" zoomScaleSheetLayoutView="95" workbookViewId="0">
      <selection activeCell="R9" sqref="R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8.8554687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24" t="s">
        <v>115</v>
      </c>
      <c r="B1" s="125"/>
      <c r="C1" s="101"/>
      <c r="D1" s="101"/>
      <c r="E1" s="101"/>
      <c r="F1" s="101"/>
      <c r="G1" s="1"/>
      <c r="J1" s="134" t="s">
        <v>79</v>
      </c>
      <c r="K1" s="135"/>
      <c r="L1" s="136"/>
    </row>
    <row r="2" spans="1:26" ht="20.100000000000001" customHeight="1">
      <c r="A2" s="3" t="s">
        <v>1</v>
      </c>
      <c r="B2" s="92"/>
      <c r="C2" s="92"/>
      <c r="D2" s="3" t="s">
        <v>116</v>
      </c>
      <c r="E2" s="92"/>
      <c r="F2" s="92"/>
      <c r="G2" s="92"/>
      <c r="H2" s="92"/>
      <c r="I2" s="4"/>
      <c r="J2" s="137" t="s">
        <v>87</v>
      </c>
      <c r="K2" s="138"/>
      <c r="L2" s="139"/>
    </row>
    <row r="3" spans="1:26" ht="20.100000000000001" customHeight="1">
      <c r="A3" s="3" t="s">
        <v>117</v>
      </c>
      <c r="B3" s="92"/>
      <c r="C3" s="92"/>
      <c r="D3" s="92"/>
      <c r="E3" s="140">
        <f>+L3+3</f>
        <v>46248</v>
      </c>
      <c r="F3" s="140"/>
      <c r="G3" s="140"/>
      <c r="H3" s="140"/>
      <c r="I3" s="140"/>
      <c r="J3" s="92"/>
      <c r="K3" s="92"/>
      <c r="L3" s="126">
        <v>46245</v>
      </c>
      <c r="M3" s="4"/>
    </row>
    <row r="4" spans="1:26" ht="15.95" customHeight="1">
      <c r="A4" s="141" t="s">
        <v>2</v>
      </c>
      <c r="B4" s="142" t="s">
        <v>3</v>
      </c>
      <c r="C4" s="142"/>
      <c r="D4" s="143" t="s">
        <v>4</v>
      </c>
      <c r="E4" s="144"/>
      <c r="F4" s="145"/>
      <c r="G4" s="149" t="s">
        <v>5</v>
      </c>
      <c r="H4" s="151" t="s">
        <v>6</v>
      </c>
      <c r="I4" s="151" t="s">
        <v>83</v>
      </c>
      <c r="J4" s="141" t="s">
        <v>84</v>
      </c>
      <c r="K4" s="151" t="s">
        <v>0</v>
      </c>
      <c r="L4" s="142" t="s">
        <v>7</v>
      </c>
    </row>
    <row r="5" spans="1:26" ht="15.95" customHeight="1">
      <c r="A5" s="141"/>
      <c r="B5" s="142"/>
      <c r="C5" s="142"/>
      <c r="D5" s="146"/>
      <c r="E5" s="147"/>
      <c r="F5" s="148"/>
      <c r="G5" s="150"/>
      <c r="H5" s="152"/>
      <c r="I5" s="152"/>
      <c r="J5" s="141"/>
      <c r="K5" s="152"/>
      <c r="L5" s="142"/>
    </row>
    <row r="6" spans="1:26" ht="15.95" customHeight="1">
      <c r="A6" s="127"/>
      <c r="B6" s="218" t="s">
        <v>123</v>
      </c>
      <c r="C6" s="216"/>
      <c r="D6" s="130"/>
      <c r="E6" s="130"/>
      <c r="F6" s="131"/>
      <c r="G6" s="132"/>
      <c r="H6" s="133"/>
      <c r="I6" s="129"/>
      <c r="J6" s="217"/>
      <c r="K6" s="129"/>
      <c r="L6" s="128"/>
    </row>
    <row r="7" spans="1:26" ht="71.25" customHeight="1">
      <c r="A7" s="5">
        <f>ROW(A1)</f>
        <v>1</v>
      </c>
      <c r="B7" s="153" t="s">
        <v>118</v>
      </c>
      <c r="C7" s="215"/>
      <c r="D7" s="215"/>
      <c r="E7" s="215"/>
      <c r="F7" s="154"/>
      <c r="G7" s="102" t="s">
        <v>121</v>
      </c>
      <c r="H7" s="103">
        <v>1</v>
      </c>
      <c r="I7" s="104">
        <v>1100</v>
      </c>
      <c r="J7" s="104">
        <f>H7*I7</f>
        <v>1100</v>
      </c>
      <c r="K7" s="105" t="s">
        <v>122</v>
      </c>
      <c r="L7" s="114" t="s">
        <v>101</v>
      </c>
      <c r="S7" s="97"/>
    </row>
    <row r="8" spans="1:26" ht="71.25" customHeight="1">
      <c r="A8" s="5">
        <f>ROW(A2)</f>
        <v>2</v>
      </c>
      <c r="B8" s="153" t="s">
        <v>120</v>
      </c>
      <c r="C8" s="215"/>
      <c r="D8" s="215"/>
      <c r="E8" s="215"/>
      <c r="F8" s="154"/>
      <c r="G8" s="102" t="s">
        <v>121</v>
      </c>
      <c r="H8" s="103">
        <v>1</v>
      </c>
      <c r="I8" s="104">
        <v>1900</v>
      </c>
      <c r="J8" s="104">
        <f t="shared" ref="J8:J9" si="0">H8*I8</f>
        <v>1900</v>
      </c>
      <c r="K8" s="105"/>
      <c r="L8" s="106"/>
      <c r="S8" s="97"/>
    </row>
    <row r="9" spans="1:26" ht="71.25" customHeight="1">
      <c r="A9" s="5">
        <f>ROW(A3)</f>
        <v>3</v>
      </c>
      <c r="B9" s="153" t="s">
        <v>119</v>
      </c>
      <c r="C9" s="215"/>
      <c r="D9" s="215"/>
      <c r="E9" s="215"/>
      <c r="F9" s="154"/>
      <c r="G9" s="102" t="s">
        <v>121</v>
      </c>
      <c r="H9" s="103">
        <v>1</v>
      </c>
      <c r="I9" s="104">
        <v>2300</v>
      </c>
      <c r="J9" s="104">
        <f t="shared" si="0"/>
        <v>2300</v>
      </c>
      <c r="K9" s="105"/>
      <c r="L9" s="106"/>
      <c r="S9" s="97"/>
    </row>
    <row r="10" spans="1:26" ht="22.5" customHeight="1">
      <c r="A10" s="5"/>
      <c r="B10" s="153"/>
      <c r="C10" s="154"/>
      <c r="D10" s="155"/>
      <c r="E10" s="156"/>
      <c r="F10" s="157"/>
      <c r="G10" s="102"/>
      <c r="H10" s="103"/>
      <c r="I10" s="104"/>
      <c r="J10" s="104">
        <f t="shared" ref="J10" si="1">H10*I10</f>
        <v>0</v>
      </c>
      <c r="K10" s="105"/>
      <c r="L10" s="106"/>
      <c r="S10" s="97"/>
    </row>
    <row r="11" spans="1:26" ht="22.5" customHeight="1">
      <c r="A11" s="158" t="s">
        <v>8</v>
      </c>
      <c r="B11" s="159"/>
      <c r="C11" s="107"/>
      <c r="D11" s="108"/>
      <c r="E11" s="108"/>
      <c r="F11" s="108"/>
      <c r="G11" s="109"/>
      <c r="H11" s="109"/>
      <c r="I11" s="110" t="s">
        <v>9</v>
      </c>
      <c r="J11" s="104">
        <f>SUM(J7:J10)</f>
        <v>5300</v>
      </c>
      <c r="K11" s="104"/>
      <c r="L11" s="111"/>
    </row>
    <row r="12" spans="1:26" ht="20.100000000000001" customHeight="1">
      <c r="A12" s="6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8"/>
      <c r="L12" s="9"/>
    </row>
    <row r="13" spans="1:26" ht="18" customHeight="1">
      <c r="A13" s="10"/>
      <c r="J13" s="1"/>
      <c r="K13" s="1"/>
      <c r="O13" s="11"/>
      <c r="P13" s="11"/>
      <c r="Q13" s="11"/>
      <c r="R13" s="11"/>
      <c r="S13" s="11"/>
      <c r="T13" s="11"/>
      <c r="U13" s="11"/>
      <c r="V13" s="11"/>
      <c r="W13" s="11"/>
      <c r="Y13" s="169"/>
      <c r="Z13" s="11"/>
    </row>
    <row r="14" spans="1:26" ht="50.1" customHeight="1">
      <c r="Y14" s="170"/>
    </row>
    <row r="15" spans="1:26" ht="15" customHeight="1">
      <c r="O15" s="165" t="s">
        <v>103</v>
      </c>
      <c r="P15" s="171"/>
      <c r="Q15" s="171"/>
      <c r="R15" s="166"/>
      <c r="S15" s="117"/>
      <c r="T15" s="165" t="s">
        <v>104</v>
      </c>
      <c r="U15" s="171"/>
      <c r="V15" s="171"/>
      <c r="W15" s="171"/>
      <c r="X15" s="171"/>
      <c r="Y15" s="166"/>
    </row>
    <row r="16" spans="1:26" ht="15" customHeight="1">
      <c r="O16" s="162" t="s">
        <v>105</v>
      </c>
      <c r="P16" s="160" t="s">
        <v>106</v>
      </c>
      <c r="Q16" s="162" t="s">
        <v>107</v>
      </c>
      <c r="R16" s="160" t="s">
        <v>108</v>
      </c>
      <c r="S16" s="117"/>
      <c r="T16" s="162" t="s">
        <v>109</v>
      </c>
      <c r="U16" s="160" t="s">
        <v>110</v>
      </c>
      <c r="V16" s="165" t="s">
        <v>111</v>
      </c>
      <c r="W16" s="171"/>
      <c r="X16" s="166"/>
      <c r="Y16" s="160" t="s">
        <v>112</v>
      </c>
    </row>
    <row r="17" spans="15:25" ht="18" customHeight="1">
      <c r="O17" s="163"/>
      <c r="P17" s="161"/>
      <c r="Q17" s="163"/>
      <c r="R17" s="161"/>
      <c r="S17" s="118"/>
      <c r="T17" s="163"/>
      <c r="U17" s="161"/>
      <c r="V17" s="13" t="s">
        <v>105</v>
      </c>
      <c r="W17" s="172" t="s">
        <v>113</v>
      </c>
      <c r="X17" s="173"/>
      <c r="Y17" s="161"/>
    </row>
    <row r="18" spans="15:25" ht="50.1" customHeight="1">
      <c r="O18" s="14"/>
      <c r="P18" s="14"/>
      <c r="Q18" s="14"/>
      <c r="R18" s="14"/>
      <c r="S18" s="117"/>
      <c r="T18" s="14"/>
      <c r="U18" s="14"/>
      <c r="V18" s="14"/>
      <c r="W18" s="165"/>
      <c r="X18" s="166"/>
      <c r="Y18" s="119"/>
    </row>
    <row r="19" spans="15:25" ht="36" customHeight="1">
      <c r="W19" s="120"/>
      <c r="X19" s="167" t="s">
        <v>114</v>
      </c>
      <c r="Y19" s="12" t="s">
        <v>112</v>
      </c>
    </row>
    <row r="20" spans="15:25" ht="50.1" customHeight="1">
      <c r="O20" s="121"/>
      <c r="P20" s="121"/>
      <c r="Q20" s="121"/>
      <c r="R20" s="121"/>
      <c r="S20" s="121"/>
      <c r="T20" s="121"/>
      <c r="U20" s="121"/>
      <c r="V20" s="121"/>
      <c r="W20" s="122"/>
      <c r="X20" s="168"/>
      <c r="Y20" s="123"/>
    </row>
    <row r="21" spans="15:25" ht="19.899999999999999" customHeight="1"/>
    <row r="22" spans="15:25" ht="17.45" customHeight="1">
      <c r="O22" s="164"/>
      <c r="P22" s="164"/>
    </row>
    <row r="23" spans="15:25" ht="19.899999999999999" customHeight="1">
      <c r="O23" s="164"/>
      <c r="P23" s="164"/>
    </row>
    <row r="24" spans="15:25" ht="14.25">
      <c r="O24" s="11"/>
      <c r="P24" s="11"/>
    </row>
    <row r="25" spans="15:25" ht="65.099999999999994" customHeight="1"/>
    <row r="26" spans="15:25" ht="14.25">
      <c r="O26" s="11"/>
      <c r="P26" s="11"/>
      <c r="Q26" s="11"/>
    </row>
    <row r="27" spans="15:25" ht="19.899999999999999" customHeight="1"/>
    <row r="28" spans="15:25" ht="14.25"/>
    <row r="29" spans="15:25" ht="19.899999999999999" customHeight="1"/>
    <row r="30" spans="15:25" ht="14.25"/>
    <row r="31" spans="15:25" ht="19.899999999999999" customHeight="1"/>
    <row r="32" spans="15:25" ht="19.899999999999999" customHeight="1"/>
    <row r="33" spans="15:22" ht="64.900000000000006" customHeight="1"/>
    <row r="35" spans="15:22" ht="19.899999999999999" customHeight="1">
      <c r="T35" s="160" t="s">
        <v>12</v>
      </c>
    </row>
    <row r="36" spans="15:22" ht="19.899999999999999" customHeight="1">
      <c r="T36" s="161"/>
    </row>
    <row r="37" spans="15:22" ht="64.900000000000006" customHeight="1">
      <c r="T37" s="14"/>
    </row>
    <row r="41" spans="15:22" ht="21" customHeight="1">
      <c r="O41" s="160" t="s">
        <v>12</v>
      </c>
      <c r="P41" s="160" t="s">
        <v>12</v>
      </c>
      <c r="Q41" s="160" t="s">
        <v>12</v>
      </c>
      <c r="T41" s="160" t="s">
        <v>13</v>
      </c>
      <c r="U41" s="160" t="s">
        <v>11</v>
      </c>
      <c r="V41" s="160" t="s">
        <v>12</v>
      </c>
    </row>
    <row r="42" spans="15:22" ht="21" customHeight="1">
      <c r="O42" s="161"/>
      <c r="P42" s="161"/>
      <c r="Q42" s="161"/>
      <c r="T42" s="163"/>
      <c r="U42" s="163"/>
      <c r="V42" s="161"/>
    </row>
    <row r="43" spans="15:22" ht="64.900000000000006" customHeight="1">
      <c r="O43" s="14"/>
      <c r="P43" s="14"/>
      <c r="Q43" s="14"/>
      <c r="T43" s="14"/>
      <c r="U43" s="15"/>
      <c r="V43" s="14"/>
    </row>
    <row r="44" spans="15:22" ht="7.15" customHeight="1"/>
    <row r="45" spans="15:22" ht="21" customHeight="1">
      <c r="O45" s="160" t="s">
        <v>12</v>
      </c>
      <c r="P45" s="160" t="s">
        <v>12</v>
      </c>
      <c r="Q45" s="160" t="s">
        <v>12</v>
      </c>
      <c r="T45" s="160" t="s">
        <v>11</v>
      </c>
      <c r="U45" s="160" t="s">
        <v>13</v>
      </c>
      <c r="V45" s="160" t="s">
        <v>12</v>
      </c>
    </row>
    <row r="46" spans="15:22" ht="21" customHeight="1">
      <c r="O46" s="161"/>
      <c r="P46" s="161"/>
      <c r="Q46" s="161"/>
      <c r="T46" s="163"/>
      <c r="U46" s="163"/>
      <c r="V46" s="161"/>
    </row>
    <row r="47" spans="15:22" ht="64.900000000000006" customHeight="1">
      <c r="O47" s="14"/>
      <c r="P47" s="14"/>
      <c r="Q47" s="14"/>
      <c r="T47" s="15"/>
      <c r="U47" s="14"/>
      <c r="V47" s="14"/>
    </row>
  </sheetData>
  <mergeCells count="47">
    <mergeCell ref="W18:X18"/>
    <mergeCell ref="X19:X20"/>
    <mergeCell ref="Y13:Y14"/>
    <mergeCell ref="O15:R15"/>
    <mergeCell ref="T15:Y15"/>
    <mergeCell ref="O16:O17"/>
    <mergeCell ref="R16:R17"/>
    <mergeCell ref="T16:T17"/>
    <mergeCell ref="U16:U17"/>
    <mergeCell ref="V16:X16"/>
    <mergeCell ref="Y16:Y17"/>
    <mergeCell ref="W17:X17"/>
    <mergeCell ref="U41:U42"/>
    <mergeCell ref="V41:V42"/>
    <mergeCell ref="O45:O46"/>
    <mergeCell ref="P45:P46"/>
    <mergeCell ref="Q45:Q46"/>
    <mergeCell ref="T45:T46"/>
    <mergeCell ref="U45:U46"/>
    <mergeCell ref="V45:V46"/>
    <mergeCell ref="O22:O23"/>
    <mergeCell ref="P22:P23"/>
    <mergeCell ref="T35:T36"/>
    <mergeCell ref="O41:O42"/>
    <mergeCell ref="P41:P42"/>
    <mergeCell ref="Q41:Q42"/>
    <mergeCell ref="T41:T42"/>
    <mergeCell ref="A11:B11"/>
    <mergeCell ref="P16:P17"/>
    <mergeCell ref="Q16:Q17"/>
    <mergeCell ref="B10:C10"/>
    <mergeCell ref="D10:F10"/>
    <mergeCell ref="B7:F7"/>
    <mergeCell ref="B8:F8"/>
    <mergeCell ref="B9:F9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D12" sqref="D12:F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2" t="s">
        <v>85</v>
      </c>
      <c r="B1" s="91"/>
      <c r="C1" s="91"/>
      <c r="D1" s="91"/>
      <c r="E1" s="91"/>
      <c r="F1" s="91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MRS No : SAC2-DS-MRS-0412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46245</v>
      </c>
    </row>
    <row r="4" spans="1:18" ht="15.95" customHeight="1">
      <c r="A4" s="174" t="s">
        <v>2</v>
      </c>
      <c r="B4" s="175" t="s">
        <v>14</v>
      </c>
      <c r="C4" s="175"/>
      <c r="D4" s="174" t="s">
        <v>4</v>
      </c>
      <c r="E4" s="174"/>
      <c r="F4" s="174"/>
      <c r="G4" s="175" t="s">
        <v>5</v>
      </c>
      <c r="H4" s="174" t="s">
        <v>80</v>
      </c>
      <c r="I4" s="174" t="s">
        <v>15</v>
      </c>
      <c r="J4" s="174" t="s">
        <v>16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17">
        <f>+MRS!A7</f>
        <v>1</v>
      </c>
      <c r="B6" s="176" t="str">
        <f>MRS!B7</f>
        <v>Training and certification of below
MJI-10 Head Torqued Flange Bolted Connections
Duration - 1 Day</v>
      </c>
      <c r="C6" s="177"/>
      <c r="D6" s="178">
        <f>MRS!D7</f>
        <v>0</v>
      </c>
      <c r="E6" s="179"/>
      <c r="F6" s="180"/>
      <c r="G6" s="94" t="str">
        <f>MRS!G7</f>
        <v>EA</v>
      </c>
      <c r="H6" s="94">
        <f>MRS!H7</f>
        <v>1</v>
      </c>
      <c r="I6" s="95">
        <f>MRS!I7</f>
        <v>1100</v>
      </c>
      <c r="J6" s="95">
        <f>MRS!J7</f>
        <v>1100</v>
      </c>
      <c r="K6" s="96"/>
      <c r="O6" s="97"/>
      <c r="P6" s="97"/>
      <c r="R6" s="97"/>
    </row>
    <row r="7" spans="1:18" ht="105" customHeight="1">
      <c r="A7" s="17">
        <f>+MRS!A8</f>
        <v>2</v>
      </c>
      <c r="B7" s="176" t="str">
        <f>MRS!B8</f>
        <v>ECITB Training and certification of below
MJI-10 Hand Torqued Flange Bolted Connections
MJI-19 Hydraulically Torqued Bolted Connections
Duaration - 1 Day</v>
      </c>
      <c r="C7" s="177"/>
      <c r="D7" s="178">
        <f>MRS!D8</f>
        <v>0</v>
      </c>
      <c r="E7" s="179"/>
      <c r="F7" s="180"/>
      <c r="G7" s="94" t="str">
        <f>MRS!G8</f>
        <v>EA</v>
      </c>
      <c r="H7" s="94">
        <f>MRS!H8</f>
        <v>1</v>
      </c>
      <c r="I7" s="95">
        <f>MRS!I8</f>
        <v>1900</v>
      </c>
      <c r="J7" s="95">
        <f>MRS!J8</f>
        <v>1900</v>
      </c>
      <c r="K7" s="96"/>
      <c r="O7" s="97"/>
      <c r="P7" s="97"/>
      <c r="R7" s="97"/>
    </row>
    <row r="8" spans="1:18" ht="105" customHeight="1">
      <c r="A8" s="17">
        <f>+MRS!A9</f>
        <v>3</v>
      </c>
      <c r="B8" s="176" t="str">
        <f>MRS!B9</f>
        <v>ECITB Training and certification of below
MJI-10 Hand Torqued Flange Bolted Connections
MJI-18 Hydraulically Tensioned Bolted Connections
MJI-19 Hydraulically Torqued Bolted Connections
Duration - 1 Day</v>
      </c>
      <c r="C8" s="177"/>
      <c r="D8" s="178">
        <f>MRS!D9</f>
        <v>0</v>
      </c>
      <c r="E8" s="179"/>
      <c r="F8" s="180"/>
      <c r="G8" s="94" t="str">
        <f>MRS!G9</f>
        <v>EA</v>
      </c>
      <c r="H8" s="94">
        <f>MRS!H9</f>
        <v>1</v>
      </c>
      <c r="I8" s="95">
        <f>MRS!I9</f>
        <v>2300</v>
      </c>
      <c r="J8" s="95">
        <f>MRS!J9</f>
        <v>2300</v>
      </c>
      <c r="K8" s="96"/>
      <c r="O8" s="97"/>
      <c r="P8" s="97"/>
      <c r="R8" s="97"/>
    </row>
    <row r="9" spans="1:18" ht="105" customHeight="1">
      <c r="A9" s="17" t="e">
        <f>+MRS!#REF!</f>
        <v>#REF!</v>
      </c>
      <c r="B9" s="176" t="e">
        <f>MRS!#REF!</f>
        <v>#REF!</v>
      </c>
      <c r="C9" s="177"/>
      <c r="D9" s="178" t="e">
        <f>MRS!#REF!</f>
        <v>#REF!</v>
      </c>
      <c r="E9" s="179"/>
      <c r="F9" s="180"/>
      <c r="G9" s="94" t="e">
        <f>MRS!#REF!</f>
        <v>#REF!</v>
      </c>
      <c r="H9" s="94" t="e">
        <f>MRS!#REF!</f>
        <v>#REF!</v>
      </c>
      <c r="I9" s="95" t="e">
        <f>MRS!#REF!</f>
        <v>#REF!</v>
      </c>
      <c r="J9" s="95" t="e">
        <f>MRS!#REF!</f>
        <v>#REF!</v>
      </c>
      <c r="K9" s="96"/>
      <c r="O9" s="97"/>
      <c r="P9" s="97"/>
      <c r="R9" s="97"/>
    </row>
    <row r="10" spans="1:18" ht="105" customHeight="1">
      <c r="A10" s="17" t="e">
        <f>+MRS!#REF!</f>
        <v>#REF!</v>
      </c>
      <c r="B10" s="176" t="e">
        <f>MRS!#REF!</f>
        <v>#REF!</v>
      </c>
      <c r="C10" s="177"/>
      <c r="D10" s="178" t="e">
        <f>MRS!#REF!</f>
        <v>#REF!</v>
      </c>
      <c r="E10" s="179"/>
      <c r="F10" s="180"/>
      <c r="G10" s="94" t="e">
        <f>MRS!#REF!</f>
        <v>#REF!</v>
      </c>
      <c r="H10" s="94" t="e">
        <f>MRS!#REF!</f>
        <v>#REF!</v>
      </c>
      <c r="I10" s="95" t="e">
        <f>MRS!#REF!</f>
        <v>#REF!</v>
      </c>
      <c r="J10" s="95" t="e">
        <f>MRS!#REF!</f>
        <v>#REF!</v>
      </c>
      <c r="K10" s="96"/>
      <c r="O10" s="97"/>
      <c r="P10" s="97"/>
      <c r="R10" s="97"/>
    </row>
    <row r="11" spans="1:18" ht="105" customHeight="1">
      <c r="A11" s="17" t="e">
        <f>+MRS!#REF!</f>
        <v>#REF!</v>
      </c>
      <c r="B11" s="176" t="e">
        <f>MRS!#REF!</f>
        <v>#REF!</v>
      </c>
      <c r="C11" s="177"/>
      <c r="D11" s="178" t="e">
        <f>MRS!#REF!</f>
        <v>#REF!</v>
      </c>
      <c r="E11" s="179"/>
      <c r="F11" s="180"/>
      <c r="G11" s="94" t="e">
        <f>MRS!#REF!</f>
        <v>#REF!</v>
      </c>
      <c r="H11" s="94" t="e">
        <f>MRS!#REF!</f>
        <v>#REF!</v>
      </c>
      <c r="I11" s="95" t="e">
        <f>MRS!#REF!</f>
        <v>#REF!</v>
      </c>
      <c r="J11" s="95" t="e">
        <f>MRS!#REF!</f>
        <v>#REF!</v>
      </c>
      <c r="K11" s="96"/>
      <c r="O11" s="97"/>
      <c r="P11" s="97"/>
      <c r="R11" s="97"/>
    </row>
    <row r="12" spans="1:18" ht="105" customHeight="1">
      <c r="A12" s="17" t="e">
        <f>+MRS!#REF!</f>
        <v>#REF!</v>
      </c>
      <c r="B12" s="176" t="e">
        <f>MRS!#REF!</f>
        <v>#REF!</v>
      </c>
      <c r="C12" s="177"/>
      <c r="D12" s="178" t="e">
        <f>MRS!#REF!</f>
        <v>#REF!</v>
      </c>
      <c r="E12" s="179"/>
      <c r="F12" s="180"/>
      <c r="G12" s="94" t="e">
        <f>MRS!#REF!</f>
        <v>#REF!</v>
      </c>
      <c r="H12" s="94" t="e">
        <f>MRS!#REF!</f>
        <v>#REF!</v>
      </c>
      <c r="I12" s="95" t="e">
        <f>MRS!#REF!</f>
        <v>#REF!</v>
      </c>
      <c r="J12" s="95" t="e">
        <f>MRS!#REF!</f>
        <v>#REF!</v>
      </c>
      <c r="K12" s="96"/>
      <c r="O12" s="97"/>
      <c r="P12" s="97"/>
      <c r="R12" s="97"/>
    </row>
    <row r="13" spans="1:18" ht="105" customHeight="1">
      <c r="A13" s="17" t="e">
        <f>+MRS!#REF!</f>
        <v>#REF!</v>
      </c>
      <c r="B13" s="176" t="e">
        <f>MRS!#REF!</f>
        <v>#REF!</v>
      </c>
      <c r="C13" s="177"/>
      <c r="D13" s="178" t="e">
        <f>MRS!#REF!</f>
        <v>#REF!</v>
      </c>
      <c r="E13" s="179"/>
      <c r="F13" s="180"/>
      <c r="G13" s="94" t="e">
        <f>MRS!#REF!</f>
        <v>#REF!</v>
      </c>
      <c r="H13" s="94" t="e">
        <f>MRS!#REF!</f>
        <v>#REF!</v>
      </c>
      <c r="I13" s="95" t="e">
        <f>MRS!#REF!</f>
        <v>#REF!</v>
      </c>
      <c r="J13" s="95" t="e">
        <f>MRS!#REF!</f>
        <v>#REF!</v>
      </c>
      <c r="K13" s="96"/>
      <c r="O13" s="97"/>
      <c r="P13" s="97"/>
      <c r="R13" s="97"/>
    </row>
    <row r="14" spans="1:18" ht="105" customHeight="1">
      <c r="A14" s="17">
        <f>+MRS!A10</f>
        <v>0</v>
      </c>
      <c r="B14" s="176" t="e">
        <f>MRS!#REF!</f>
        <v>#REF!</v>
      </c>
      <c r="C14" s="177"/>
      <c r="D14" s="178" t="e">
        <f>MRS!#REF!</f>
        <v>#REF!</v>
      </c>
      <c r="E14" s="179"/>
      <c r="F14" s="180"/>
      <c r="G14" s="94" t="e">
        <f>MRS!#REF!</f>
        <v>#REF!</v>
      </c>
      <c r="H14" s="94" t="e">
        <f>MRS!#REF!</f>
        <v>#REF!</v>
      </c>
      <c r="I14" s="95" t="e">
        <f>MRS!#REF!</f>
        <v>#REF!</v>
      </c>
      <c r="J14" s="95" t="e">
        <f>MRS!#REF!</f>
        <v>#REF!</v>
      </c>
      <c r="K14" s="96"/>
      <c r="O14" s="97"/>
      <c r="P14" s="97"/>
      <c r="R14" s="97"/>
    </row>
    <row r="15" spans="1:18" ht="105" customHeight="1">
      <c r="A15" s="17" t="e">
        <f>+MRS!#REF!</f>
        <v>#REF!</v>
      </c>
      <c r="B15" s="176">
        <f>MRS!B10</f>
        <v>0</v>
      </c>
      <c r="C15" s="177"/>
      <c r="D15" s="178">
        <f>MRS!D10</f>
        <v>0</v>
      </c>
      <c r="E15" s="179"/>
      <c r="F15" s="180"/>
      <c r="G15" s="94">
        <f>MRS!G10</f>
        <v>0</v>
      </c>
      <c r="H15" s="94">
        <f>MRS!H10</f>
        <v>0</v>
      </c>
      <c r="I15" s="95">
        <f>MRS!I10</f>
        <v>0</v>
      </c>
      <c r="J15" s="95">
        <f>MRS!J10</f>
        <v>0</v>
      </c>
      <c r="K15" s="96"/>
      <c r="O15" s="97"/>
      <c r="P15" s="97"/>
      <c r="R15" s="97"/>
    </row>
    <row r="16" spans="1:18" ht="105" customHeight="1">
      <c r="A16" s="17" t="e">
        <f>+MRS!#REF!</f>
        <v>#REF!</v>
      </c>
      <c r="B16" s="176" t="e">
        <f>MRS!#REF!</f>
        <v>#REF!</v>
      </c>
      <c r="C16" s="177"/>
      <c r="D16" s="178" t="e">
        <f>MRS!#REF!</f>
        <v>#REF!</v>
      </c>
      <c r="E16" s="179"/>
      <c r="F16" s="180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105" customHeight="1">
      <c r="A17" s="17" t="e">
        <f>+MRS!#REF!</f>
        <v>#REF!</v>
      </c>
      <c r="B17" s="181"/>
      <c r="C17" s="182"/>
      <c r="D17" s="183"/>
      <c r="E17" s="184"/>
      <c r="F17" s="185"/>
      <c r="G17" s="98"/>
      <c r="H17" s="99"/>
      <c r="I17" s="100"/>
      <c r="J17" s="100"/>
      <c r="K17" s="96"/>
      <c r="O17" s="97"/>
      <c r="P17" s="97"/>
      <c r="R17" s="9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54" zoomScale="130" zoomScaleNormal="100" zoomScaleSheetLayoutView="130" workbookViewId="0">
      <selection activeCell="Q70" sqref="Q7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4.85546875" style="22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124</v>
      </c>
      <c r="D9" s="35"/>
      <c r="E9" s="35"/>
    </row>
    <row r="10" spans="2:13" s="35" customFormat="1">
      <c r="B10" s="68"/>
      <c r="C10" s="35" t="s">
        <v>88</v>
      </c>
      <c r="D10" s="72" t="s">
        <v>130</v>
      </c>
      <c r="J10" s="35" t="s">
        <v>24</v>
      </c>
      <c r="K10" s="187">
        <f>MRS!L3</f>
        <v>46245</v>
      </c>
      <c r="L10" s="188"/>
      <c r="M10" s="188"/>
    </row>
    <row r="11" spans="2:13" s="35" customFormat="1">
      <c r="B11" s="68"/>
      <c r="C11" s="71" t="s">
        <v>89</v>
      </c>
      <c r="D11" s="72" t="s">
        <v>131</v>
      </c>
      <c r="J11" s="35" t="s">
        <v>25</v>
      </c>
      <c r="K11" s="189" t="str">
        <f>SUBSTITUTE(SUBSTITUTE(+MRS!A3,"  MRS No : ",""),"-MRS","-PO")</f>
        <v>SAC2-DS-PO-0412</v>
      </c>
      <c r="L11" s="189"/>
      <c r="M11" s="189"/>
    </row>
    <row r="12" spans="2:13" s="35" customFormat="1">
      <c r="B12" s="68"/>
      <c r="C12" s="71" t="s">
        <v>90</v>
      </c>
      <c r="D12" s="35" t="s">
        <v>132</v>
      </c>
      <c r="J12" s="35" t="s">
        <v>26</v>
      </c>
    </row>
    <row r="13" spans="2:13" s="35" customFormat="1">
      <c r="B13" s="68"/>
      <c r="C13" s="73"/>
      <c r="D13" s="72" t="s">
        <v>133</v>
      </c>
      <c r="J13" s="35" t="s">
        <v>27</v>
      </c>
    </row>
    <row r="14" spans="2:13" s="35" customFormat="1">
      <c r="B14" s="68"/>
      <c r="C14" s="73" t="s">
        <v>134</v>
      </c>
      <c r="J14" s="35" t="s">
        <v>28</v>
      </c>
      <c r="K14" s="35" t="s">
        <v>136</v>
      </c>
    </row>
    <row r="15" spans="2:13" s="35" customFormat="1">
      <c r="B15" s="68"/>
      <c r="C15" s="73" t="s">
        <v>135</v>
      </c>
      <c r="J15" s="35" t="s">
        <v>29</v>
      </c>
      <c r="K15" s="74">
        <v>46239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0" t="s">
        <v>30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</row>
    <row r="19" spans="2:13" ht="12" customHeight="1"/>
    <row r="20" spans="2:13" s="27" customFormat="1" ht="12" customHeight="1">
      <c r="B20" s="191" t="s">
        <v>31</v>
      </c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</row>
    <row r="21" spans="2:13" s="27" customFormat="1" ht="12" customHeight="1">
      <c r="B21" s="191" t="s">
        <v>32</v>
      </c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</row>
    <row r="22" spans="2:13" s="27" customFormat="1" ht="12" customHeight="1">
      <c r="B22" s="191" t="s">
        <v>33</v>
      </c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</row>
    <row r="23" spans="2:13" ht="6.95" customHeight="1"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</row>
    <row r="24" spans="2:13" ht="6.95" customHeight="1"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</row>
    <row r="25" spans="2:13" s="28" customFormat="1" ht="15" customHeight="1">
      <c r="B25" s="28">
        <v>1</v>
      </c>
      <c r="C25" s="28" t="s">
        <v>34</v>
      </c>
    </row>
    <row r="26" spans="2:13" s="35" customFormat="1" ht="15" customHeight="1">
      <c r="B26" s="69"/>
      <c r="C26" s="72" t="s">
        <v>123</v>
      </c>
      <c r="M26" s="75" t="s">
        <v>35</v>
      </c>
    </row>
    <row r="27" spans="2:13" ht="11.1" customHeight="1">
      <c r="B27" s="28"/>
    </row>
    <row r="28" spans="2:13" ht="15" customHeight="1">
      <c r="B28" s="28">
        <v>2</v>
      </c>
      <c r="C28" s="28" t="s">
        <v>36</v>
      </c>
    </row>
    <row r="29" spans="2:13" ht="15" customHeight="1">
      <c r="B29" s="28"/>
      <c r="C29" s="22" t="s">
        <v>37</v>
      </c>
      <c r="E29" s="22" t="s">
        <v>38</v>
      </c>
      <c r="F29" s="113" t="s">
        <v>102</v>
      </c>
      <c r="G29" s="113"/>
      <c r="H29" s="29"/>
      <c r="M29" s="30"/>
    </row>
    <row r="30" spans="2:13" ht="15" customHeight="1">
      <c r="B30" s="28"/>
      <c r="C30" s="22" t="s">
        <v>39</v>
      </c>
      <c r="E30" s="22" t="s">
        <v>38</v>
      </c>
      <c r="F30" s="113"/>
      <c r="G30" s="113"/>
    </row>
    <row r="31" spans="2:13" ht="15" customHeight="1">
      <c r="B31" s="28"/>
      <c r="C31" s="22" t="s">
        <v>40</v>
      </c>
      <c r="D31" s="31"/>
      <c r="E31" s="22" t="s">
        <v>38</v>
      </c>
      <c r="F31" s="113"/>
      <c r="G31" s="113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6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6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6" t="s">
        <v>54</v>
      </c>
      <c r="C49" s="77" t="s">
        <v>86</v>
      </c>
      <c r="P49" s="78"/>
    </row>
    <row r="50" spans="2:16" s="79" customFormat="1" ht="12" customHeight="1">
      <c r="B50" s="80" t="s">
        <v>54</v>
      </c>
      <c r="C50" s="77" t="s">
        <v>82</v>
      </c>
    </row>
    <row r="51" spans="2:16" s="79" customFormat="1" ht="12" customHeight="1">
      <c r="B51" s="80" t="s">
        <v>54</v>
      </c>
      <c r="C51" s="77" t="s">
        <v>81</v>
      </c>
    </row>
    <row r="52" spans="2:16" ht="6" customHeight="1">
      <c r="B52" s="38"/>
    </row>
    <row r="53" spans="2:16" ht="15" customHeight="1">
      <c r="B53" s="38">
        <v>7</v>
      </c>
      <c r="C53" s="28" t="s">
        <v>92</v>
      </c>
    </row>
    <row r="54" spans="2:16" ht="12" customHeight="1">
      <c r="B54" s="80" t="s">
        <v>54</v>
      </c>
      <c r="C54" s="115" t="s">
        <v>94</v>
      </c>
      <c r="F54" s="22" t="s">
        <v>125</v>
      </c>
    </row>
    <row r="55" spans="2:16" ht="12" customHeight="1">
      <c r="B55" s="80" t="s">
        <v>54</v>
      </c>
      <c r="C55" s="115" t="s">
        <v>95</v>
      </c>
      <c r="F55" s="116" t="s">
        <v>126</v>
      </c>
    </row>
    <row r="56" spans="2:16" ht="12" customHeight="1">
      <c r="B56" s="80" t="s">
        <v>54</v>
      </c>
      <c r="C56" s="115" t="s">
        <v>96</v>
      </c>
      <c r="F56" s="22" t="s">
        <v>127</v>
      </c>
    </row>
    <row r="57" spans="2:16" ht="12" customHeight="1">
      <c r="B57" s="80" t="s">
        <v>54</v>
      </c>
      <c r="C57" s="115" t="s">
        <v>97</v>
      </c>
      <c r="F57" s="22" t="s">
        <v>128</v>
      </c>
    </row>
    <row r="58" spans="2:16" ht="12" customHeight="1">
      <c r="B58" s="80" t="s">
        <v>54</v>
      </c>
      <c r="C58" s="115" t="s">
        <v>98</v>
      </c>
      <c r="F58" s="22" t="s">
        <v>129</v>
      </c>
    </row>
    <row r="59" spans="2:16" ht="12" customHeight="1">
      <c r="B59" s="80" t="s">
        <v>54</v>
      </c>
      <c r="C59" s="115" t="s">
        <v>99</v>
      </c>
      <c r="F59" s="22" t="s">
        <v>93</v>
      </c>
    </row>
    <row r="60" spans="2:16" ht="12" customHeight="1">
      <c r="B60" s="80"/>
      <c r="C60" s="115" t="s">
        <v>100</v>
      </c>
    </row>
    <row r="61" spans="2:16" ht="8.25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6.75" customHeight="1">
      <c r="B63" s="38"/>
    </row>
    <row r="64" spans="2:16">
      <c r="B64" s="28" t="s">
        <v>55</v>
      </c>
      <c r="J64" s="28" t="s">
        <v>56</v>
      </c>
    </row>
    <row r="65" spans="1:13" ht="47.2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D12</f>
        <v>Jaram Babu</v>
      </c>
    </row>
    <row r="68" spans="1:13" ht="18" customHeight="1">
      <c r="B68" s="22" t="s">
        <v>60</v>
      </c>
      <c r="J68" s="22" t="s">
        <v>61</v>
      </c>
      <c r="K68" s="18" t="s">
        <v>137</v>
      </c>
    </row>
    <row r="69" spans="1:13" ht="15" customHeight="1">
      <c r="B69" s="22" t="s">
        <v>62</v>
      </c>
      <c r="J69" s="22" t="s">
        <v>63</v>
      </c>
    </row>
    <row r="70" spans="1:13" s="24" customFormat="1" ht="24.75" customHeight="1">
      <c r="B70" s="21" t="s">
        <v>91</v>
      </c>
      <c r="J70" s="194" t="str">
        <f>C9</f>
        <v>SMART(Smart Integrated Trading)</v>
      </c>
      <c r="K70" s="194"/>
      <c r="L70" s="194"/>
      <c r="M70" s="194"/>
    </row>
    <row r="71" spans="1:13" ht="27.95" customHeight="1">
      <c r="A71" s="186" t="s">
        <v>64</v>
      </c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1"/>
  <sheetViews>
    <sheetView showGridLines="0" tabSelected="1" view="pageBreakPreview" zoomScaleSheetLayoutView="100" zoomScalePageLayoutView="55" workbookViewId="0">
      <selection activeCell="M9" sqref="M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9.710937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SAC2-DS-PO-0412</v>
      </c>
      <c r="C2" s="197" t="s">
        <v>66</v>
      </c>
      <c r="D2" s="197"/>
      <c r="E2" s="197"/>
      <c r="F2" s="197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46245</v>
      </c>
      <c r="C3" s="47"/>
      <c r="D3" s="48"/>
      <c r="E3" s="198" t="s">
        <v>68</v>
      </c>
      <c r="F3" s="198"/>
      <c r="G3" s="198"/>
      <c r="H3" s="198"/>
      <c r="I3" s="49"/>
    </row>
    <row r="4" spans="1:13" s="51" customFormat="1" ht="28.5" customHeight="1" thickTop="1">
      <c r="A4" s="199" t="s">
        <v>69</v>
      </c>
      <c r="B4" s="201" t="s">
        <v>70</v>
      </c>
      <c r="C4" s="202"/>
      <c r="D4" s="205" t="s">
        <v>71</v>
      </c>
      <c r="E4" s="205" t="s">
        <v>72</v>
      </c>
      <c r="F4" s="207" t="str">
        <f>'PO 1st page'!C9</f>
        <v>SMART(Smart Integrated Trading)</v>
      </c>
      <c r="G4" s="208"/>
      <c r="H4" s="209" t="s">
        <v>73</v>
      </c>
      <c r="K4" s="52"/>
      <c r="L4" s="52"/>
      <c r="M4" s="52"/>
    </row>
    <row r="5" spans="1:13" s="51" customFormat="1" ht="21.95" customHeight="1">
      <c r="A5" s="200"/>
      <c r="B5" s="203"/>
      <c r="C5" s="204"/>
      <c r="D5" s="206"/>
      <c r="E5" s="206"/>
      <c r="F5" s="53" t="s">
        <v>74</v>
      </c>
      <c r="G5" s="53" t="s">
        <v>40</v>
      </c>
      <c r="H5" s="210"/>
      <c r="K5" s="52"/>
      <c r="L5" s="52"/>
      <c r="M5" s="52"/>
    </row>
    <row r="6" spans="1:13" s="51" customFormat="1" ht="21.95" customHeight="1">
      <c r="A6" s="219"/>
      <c r="B6" s="222" t="str">
        <f>MRS!B6</f>
        <v>PROPOSAL FOR BOLTING TRAINING</v>
      </c>
      <c r="C6" s="223"/>
      <c r="D6" s="220"/>
      <c r="E6" s="220"/>
      <c r="F6" s="220"/>
      <c r="G6" s="220"/>
      <c r="H6" s="221"/>
      <c r="K6" s="52"/>
      <c r="L6" s="52"/>
      <c r="M6" s="52"/>
    </row>
    <row r="7" spans="1:13" s="51" customFormat="1" ht="74.25" customHeight="1">
      <c r="A7" s="81">
        <f>ROW(A1)</f>
        <v>1</v>
      </c>
      <c r="B7" s="195" t="str">
        <f>CONCATENATE(MRS!B7," ",MRS!D7)</f>
        <v xml:space="preserve">Training and certification of below
MJI-10 Head Torqued Flange Bolted Connections
Duration - 1 Day </v>
      </c>
      <c r="C7" s="196"/>
      <c r="D7" s="82" t="str">
        <f>MRS!G7</f>
        <v>EA</v>
      </c>
      <c r="E7" s="83">
        <f>MRS!H7</f>
        <v>1</v>
      </c>
      <c r="F7" s="84">
        <f>MRS!I7</f>
        <v>1100</v>
      </c>
      <c r="G7" s="85">
        <f>F7*E7</f>
        <v>1100</v>
      </c>
      <c r="H7" s="86" t="str">
        <f>MRS!L7</f>
        <v>Monthly based</v>
      </c>
      <c r="K7" s="87"/>
      <c r="L7" s="88"/>
      <c r="M7" s="52"/>
    </row>
    <row r="8" spans="1:13" s="51" customFormat="1" ht="74.25" customHeight="1">
      <c r="A8" s="81">
        <f>ROW(A2)</f>
        <v>2</v>
      </c>
      <c r="B8" s="195" t="str">
        <f>CONCATENATE(MRS!B8," ",MRS!D8)</f>
        <v xml:space="preserve">ECITB Training and certification of below
MJI-10 Hand Torqued Flange Bolted Connections
MJI-19 Hydraulically Torqued Bolted Connections
Duaration - 1 Day </v>
      </c>
      <c r="C8" s="196"/>
      <c r="D8" s="82" t="str">
        <f>MRS!G8</f>
        <v>EA</v>
      </c>
      <c r="E8" s="83">
        <f>MRS!H8</f>
        <v>1</v>
      </c>
      <c r="F8" s="84">
        <f>MRS!I8</f>
        <v>1900</v>
      </c>
      <c r="G8" s="85">
        <f t="shared" ref="G8:G9" si="0">F8*E8</f>
        <v>1900</v>
      </c>
      <c r="H8" s="86"/>
      <c r="K8" s="87"/>
      <c r="L8" s="88"/>
      <c r="M8" s="52"/>
    </row>
    <row r="9" spans="1:13" s="51" customFormat="1" ht="74.25" customHeight="1">
      <c r="A9" s="89">
        <f>ROW(A3)</f>
        <v>3</v>
      </c>
      <c r="B9" s="195" t="str">
        <f>CONCATENATE(MRS!B9," ",MRS!D9)</f>
        <v xml:space="preserve">ECITB Training and certification of below
MJI-10 Hand Torqued Flange Bolted Connections
MJI-18 Hydraulically Tensioned Bolted Connections
MJI-19 Hydraulically Torqued Bolted Connections
Duration - 1 Day </v>
      </c>
      <c r="C9" s="196"/>
      <c r="D9" s="82" t="str">
        <f>MRS!G9</f>
        <v>EA</v>
      </c>
      <c r="E9" s="83">
        <f>MRS!H9</f>
        <v>1</v>
      </c>
      <c r="F9" s="84">
        <f>MRS!I9</f>
        <v>2300</v>
      </c>
      <c r="G9" s="85">
        <f t="shared" si="0"/>
        <v>2300</v>
      </c>
      <c r="H9" s="90"/>
      <c r="K9" s="52"/>
      <c r="L9" s="52"/>
      <c r="M9" s="52"/>
    </row>
    <row r="10" spans="1:13" s="51" customFormat="1" ht="32.1" customHeight="1">
      <c r="A10" s="89">
        <f>ROW(A4)</f>
        <v>4</v>
      </c>
      <c r="B10" s="195"/>
      <c r="C10" s="196"/>
      <c r="D10" s="82"/>
      <c r="E10" s="83"/>
      <c r="F10" s="84"/>
      <c r="G10" s="85"/>
      <c r="H10" s="90"/>
    </row>
    <row r="11" spans="1:13" s="51" customFormat="1" ht="32.1" customHeight="1">
      <c r="A11" s="89">
        <f>ROW(A5)</f>
        <v>5</v>
      </c>
      <c r="B11" s="195"/>
      <c r="C11" s="196"/>
      <c r="D11" s="82"/>
      <c r="E11" s="83"/>
      <c r="F11" s="84"/>
      <c r="G11" s="85"/>
      <c r="H11" s="90"/>
    </row>
    <row r="12" spans="1:13" s="51" customFormat="1" ht="32.1" customHeight="1">
      <c r="A12" s="89">
        <f t="shared" ref="A12:A20" si="1">ROW(A7)</f>
        <v>7</v>
      </c>
      <c r="B12" s="195"/>
      <c r="C12" s="196"/>
      <c r="D12" s="82"/>
      <c r="E12" s="83"/>
      <c r="F12" s="84"/>
      <c r="G12" s="85"/>
      <c r="H12" s="90"/>
    </row>
    <row r="13" spans="1:13" s="51" customFormat="1" ht="32.1" customHeight="1">
      <c r="A13" s="89">
        <f t="shared" si="1"/>
        <v>8</v>
      </c>
      <c r="B13" s="195"/>
      <c r="C13" s="196"/>
      <c r="D13" s="82"/>
      <c r="E13" s="83"/>
      <c r="F13" s="84"/>
      <c r="G13" s="85"/>
      <c r="H13" s="90"/>
    </row>
    <row r="14" spans="1:13" s="51" customFormat="1" ht="32.1" customHeight="1">
      <c r="A14" s="89">
        <f t="shared" si="1"/>
        <v>9</v>
      </c>
      <c r="B14" s="195"/>
      <c r="C14" s="196"/>
      <c r="D14" s="82"/>
      <c r="E14" s="83"/>
      <c r="F14" s="84"/>
      <c r="G14" s="85"/>
      <c r="H14" s="90"/>
    </row>
    <row r="15" spans="1:13" s="51" customFormat="1" ht="32.1" customHeight="1">
      <c r="A15" s="89">
        <f t="shared" si="1"/>
        <v>10</v>
      </c>
      <c r="B15" s="195"/>
      <c r="C15" s="196"/>
      <c r="D15" s="82"/>
      <c r="E15" s="83"/>
      <c r="F15" s="84"/>
      <c r="G15" s="85"/>
      <c r="H15" s="90"/>
    </row>
    <row r="16" spans="1:13" s="51" customFormat="1" ht="32.1" customHeight="1">
      <c r="A16" s="89">
        <f t="shared" si="1"/>
        <v>11</v>
      </c>
      <c r="B16" s="195"/>
      <c r="C16" s="196"/>
      <c r="D16" s="82"/>
      <c r="E16" s="83"/>
      <c r="F16" s="84"/>
      <c r="G16" s="85"/>
      <c r="H16" s="90"/>
    </row>
    <row r="17" spans="1:13" s="51" customFormat="1" ht="32.1" customHeight="1">
      <c r="A17" s="89">
        <f t="shared" si="1"/>
        <v>12</v>
      </c>
      <c r="B17" s="195"/>
      <c r="C17" s="196"/>
      <c r="D17" s="82"/>
      <c r="E17" s="83"/>
      <c r="F17" s="84"/>
      <c r="G17" s="85"/>
      <c r="H17" s="90"/>
    </row>
    <row r="18" spans="1:13" s="51" customFormat="1" ht="32.1" customHeight="1">
      <c r="A18" s="89">
        <f t="shared" si="1"/>
        <v>13</v>
      </c>
      <c r="B18" s="195"/>
      <c r="C18" s="196"/>
      <c r="D18" s="82"/>
      <c r="E18" s="83"/>
      <c r="F18" s="84"/>
      <c r="G18" s="85"/>
      <c r="H18" s="90"/>
    </row>
    <row r="19" spans="1:13" s="51" customFormat="1" ht="32.1" customHeight="1">
      <c r="A19" s="89">
        <f t="shared" si="1"/>
        <v>14</v>
      </c>
      <c r="B19" s="195"/>
      <c r="C19" s="196"/>
      <c r="D19" s="82"/>
      <c r="E19" s="83"/>
      <c r="F19" s="84"/>
      <c r="G19" s="85"/>
      <c r="H19" s="90"/>
    </row>
    <row r="20" spans="1:13" s="51" customFormat="1" ht="32.1" customHeight="1">
      <c r="A20" s="89">
        <f t="shared" si="1"/>
        <v>15</v>
      </c>
      <c r="B20" s="195"/>
      <c r="C20" s="196"/>
      <c r="D20" s="82"/>
      <c r="E20" s="83"/>
      <c r="F20" s="84"/>
      <c r="G20" s="85"/>
      <c r="H20" s="90"/>
    </row>
    <row r="21" spans="1:13" s="51" customFormat="1" ht="23.1" customHeight="1">
      <c r="A21" s="211" t="s">
        <v>75</v>
      </c>
      <c r="B21" s="212"/>
      <c r="C21" s="212"/>
      <c r="D21" s="212"/>
      <c r="E21" s="212"/>
      <c r="F21" s="212"/>
      <c r="G21" s="54">
        <f>SUM(G7:G20)</f>
        <v>5300</v>
      </c>
      <c r="H21" s="55"/>
    </row>
    <row r="22" spans="1:13" s="51" customFormat="1" ht="23.1" customHeight="1">
      <c r="A22" s="211" t="s">
        <v>39</v>
      </c>
      <c r="B22" s="212"/>
      <c r="C22" s="212"/>
      <c r="D22" s="212"/>
      <c r="E22" s="212"/>
      <c r="F22" s="212"/>
      <c r="G22" s="54">
        <f>+G21*0.15</f>
        <v>795</v>
      </c>
      <c r="H22" s="55"/>
    </row>
    <row r="23" spans="1:13" s="51" customFormat="1" ht="24.95" customHeight="1" thickBot="1">
      <c r="A23" s="213" t="s">
        <v>76</v>
      </c>
      <c r="B23" s="214"/>
      <c r="C23" s="214"/>
      <c r="D23" s="214"/>
      <c r="E23" s="214"/>
      <c r="F23" s="214"/>
      <c r="G23" s="56">
        <f>G22+G21</f>
        <v>6095</v>
      </c>
      <c r="H23" s="57"/>
    </row>
    <row r="24" spans="1:13" ht="15.75" thickTop="1">
      <c r="A24" s="58" t="str">
        <f>" 1) Above Price are as per your quotation with ref "&amp;'PO 1st page'!K14</f>
        <v xml:space="preserve"> 1) Above Price are as per your quotation with ref SMIN-2608528 Rev.02</v>
      </c>
      <c r="B24" s="59"/>
      <c r="C24" s="59"/>
      <c r="D24" s="60"/>
      <c r="E24" s="60"/>
      <c r="F24" s="60"/>
      <c r="G24" s="60"/>
      <c r="H24" s="60"/>
    </row>
    <row r="25" spans="1:13" ht="15">
      <c r="A25" s="61" t="s">
        <v>77</v>
      </c>
      <c r="B25" s="62"/>
      <c r="C25" s="62"/>
      <c r="D25" s="63"/>
      <c r="E25" s="63"/>
      <c r="F25" s="63"/>
      <c r="G25" s="63"/>
      <c r="H25" s="63"/>
      <c r="I25" s="64"/>
    </row>
    <row r="26" spans="1:13" ht="15.75">
      <c r="A26" s="65"/>
    </row>
    <row r="27" spans="1:13">
      <c r="A27" s="186" t="s">
        <v>78</v>
      </c>
      <c r="B27" s="186"/>
      <c r="C27" s="186"/>
      <c r="D27" s="186"/>
      <c r="E27" s="186"/>
      <c r="F27" s="186"/>
      <c r="G27" s="186"/>
      <c r="H27" s="186"/>
      <c r="I27" s="66"/>
      <c r="J27" s="66"/>
      <c r="K27" s="66"/>
      <c r="L27" s="66"/>
      <c r="M27" s="66"/>
    </row>
    <row r="28" spans="1:13" ht="15.75">
      <c r="A28" s="65"/>
      <c r="C28" s="67"/>
    </row>
    <row r="29" spans="1:13" ht="15.75">
      <c r="A29" s="65"/>
      <c r="C29" s="67"/>
    </row>
    <row r="31" spans="1:13" ht="12" customHeight="1"/>
  </sheetData>
  <mergeCells count="27">
    <mergeCell ref="A21:F21"/>
    <mergeCell ref="A22:F22"/>
    <mergeCell ref="A23:F23"/>
    <mergeCell ref="A27:H27"/>
    <mergeCell ref="B13:C13"/>
    <mergeCell ref="B14:C14"/>
    <mergeCell ref="B15:C15"/>
    <mergeCell ref="B16:C16"/>
    <mergeCell ref="B19:C19"/>
    <mergeCell ref="B20:C20"/>
    <mergeCell ref="B17:C17"/>
    <mergeCell ref="B18:C18"/>
    <mergeCell ref="B12:C12"/>
    <mergeCell ref="C2:F2"/>
    <mergeCell ref="E3:H3"/>
    <mergeCell ref="A4:A5"/>
    <mergeCell ref="B4:C5"/>
    <mergeCell ref="D4:D5"/>
    <mergeCell ref="E4:E5"/>
    <mergeCell ref="F4:G4"/>
    <mergeCell ref="H4:H5"/>
    <mergeCell ref="B7:C7"/>
    <mergeCell ref="B8:C8"/>
    <mergeCell ref="B9:C9"/>
    <mergeCell ref="B10:C10"/>
    <mergeCell ref="B11:C11"/>
    <mergeCell ref="B6:C6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2026-08-12T04:39:50Z</cp:lastPrinted>
  <dcterms:created xsi:type="dcterms:W3CDTF">2024-10-20T11:50:19Z</dcterms:created>
  <dcterms:modified xsi:type="dcterms:W3CDTF">2026-08-12T04:48:36Z</dcterms:modified>
</cp:coreProperties>
</file>