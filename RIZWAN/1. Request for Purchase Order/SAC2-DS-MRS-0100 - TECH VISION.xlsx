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8200109F-9A7B-4B78-8793-4570B9DF59DB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  <externalReference r:id="rId6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B7" i="4" l="1"/>
  <c r="B6" i="4"/>
  <c r="E7" i="4"/>
  <c r="D7" i="4"/>
  <c r="K7" i="1" l="1"/>
  <c r="J7" i="1" l="1"/>
  <c r="J6" i="1" l="1"/>
  <c r="B7" i="2"/>
  <c r="D7" i="2"/>
  <c r="G7" i="2"/>
  <c r="H7" i="2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<sst xmlns="http://schemas.openxmlformats.org/spreadsheetml/2006/main" count="157" uniqueCount="124">
  <si>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</si>
  <si>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</si>
  <si>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</si>
  <si>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</si>
  <si>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</si>
  <si>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</si>
  <si>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</si>
  <si>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</si>
  <si>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</si>
  <si>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</si>
  <si>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</si>
  <si>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</si>
  <si>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</si>
  <si>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</si>
  <si>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</si>
  <si>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</si>
  <si>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</si>
  <si>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</si>
  <si>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</si>
  <si>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</si>
  <si>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</si>
  <si>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</si>
  <si>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</si>
  <si>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</si>
  <si>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</si>
  <si>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</si>
  <si>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</si>
  <si>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</si>
  <si>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</si>
  <si>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</si>
  <si>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</si>
  <si>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</si>
  <si>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</si>
  <si>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</si>
  <si>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</si>
  <si>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</si>
  <si>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</si>
  <si>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</si>
  <si>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</si>
  <si>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</si>
  <si>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</si>
  <si>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</si>
  <si>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</si>
  <si>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</si>
  <si>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</si>
  <si>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</si>
  <si>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</si>
  <si>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</si>
  <si>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</si>
  <si>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</si>
  <si>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</si>
  <si>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</si>
  <si>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</si>
  <si>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</si>
  <si>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</si>
  <si>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</si>
  <si>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</si>
  <si>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</si>
  <si>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</si>
  <si>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</si>
  <si>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</si>
  <si>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</si>
  <si>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</si>
  <si>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</si>
  <si>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</si>
  <si>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</si>
  <si>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</si>
  <si>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</si>
  <si>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</si>
  <si>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</si>
  <si>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</si>
  <si>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</si>
  <si>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</si>
  <si>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</si>
  <si>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</si>
  <si>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</si>
  <si>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</si>
  <si>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</si>
  <si>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</si>
  <si>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</si>
  <si>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</si>
  <si>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</si>
  <si>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</si>
  <si>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</si>
  <si>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</si>
  <si>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</si>
  <si>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</si>
  <si>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</si>
  <si>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</si>
  <si>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</si>
  <si>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</si>
  <si>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</si>
  <si>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</si>
  <si>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</si>
  <si>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</si>
  <si>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</si>
  <si>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</si>
  <si>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</si>
  <si>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</si>
  <si>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Mobile : +966 55 87602885</t>
  </si>
  <si>
    <t>RT Crane</t>
  </si>
  <si>
    <t>Mob. &amp; De-Mob. / per unit - lump sum</t>
    <phoneticPr fontId="2" type="noConversion"/>
  </si>
  <si>
    <t>RT Crane Mob &amp; De-Mob. Charge</t>
  </si>
  <si>
    <t>L/S</t>
  </si>
  <si>
    <t>TVIS</t>
  </si>
  <si>
    <t>06 Ground Floor, Al Dana Bldng. King Faisal St. 
Opp. Kims Hospital,</t>
  </si>
  <si>
    <t>ALJubail 35819, Kingdom of Saudi Arabia</t>
  </si>
  <si>
    <t>TVIS(Faisal Mutlaq Mathkar Al-Othaibi Gen. Cont. Est.)</t>
  </si>
  <si>
    <t>310424405600003</t>
  </si>
  <si>
    <t>Division (In charge Name) : ADMIN MANAGER (Dong Chang Kim)</t>
  </si>
  <si>
    <t xml:space="preserve">  MRS No : SAC2-DS-MRS-0100</t>
  </si>
  <si>
    <t>100 Ton with Aramco Certified Operator</t>
  </si>
  <si>
    <t>QT-371</t>
  </si>
  <si>
    <t>100 Ton RT Crane with Aramco Certified Operator</t>
  </si>
  <si>
    <t>Kalandar Kausar</t>
  </si>
  <si>
    <t>Business Development Manager</t>
  </si>
  <si>
    <t>+966 569120745 / vk06431@gmail.com</t>
  </si>
  <si>
    <t>DAESHIN PLANT</t>
    <phoneticPr fontId="5" type="noConversion"/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</si>
  <si>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</si>
  <si>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</si>
  <si>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Month</t>
  </si>
  <si>
    <t>Mothly</t>
  </si>
  <si>
    <t>One time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</si>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</sst>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16" fillId="3" borderId="0" xfId="5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49" fillId="2" borderId="0" xfId="1" applyFont="1" applyFill="1" applyAlignment="1">
      <alignment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110286</xdr:rowOff>
        </xdr:from>
        <xdr:to>
          <xdr:col>12</xdr:col>
          <xdr:colOff>20554</xdr:colOff>
          <xdr:row>24</xdr:row>
          <xdr:rowOff>110287</xdr:rowOff>
        </xdr:to>
        <xdr:pic>
          <xdr:nvPicPr>
            <xdr:cNvPr id="3" name="그림 1">
              <a:extLst>
                <a:ext uri="{FF2B5EF4-FFF2-40B4-BE49-F238E27FC236}">
                  <a16:creationId xmlns:a16="http://schemas.microsoft.com/office/drawing/2014/main" id="{D235884B-B78F-427A-9117-CF2BD67B2B1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5093365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ESHIN%20FILES%20PHASE%20II\SAC2-DS-MRS-0002%20-%20AQ.xlsx" TargetMode="External"/><Relationship Id="rId1" Type="http://schemas.openxmlformats.org/officeDocument/2006/relationships/externalLinkPath" Target="SAC2-DS-MRS-0002%20-%20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S"/>
      <sheetName val="MRS LIST"/>
      <sheetName val="PO 1st page"/>
      <sheetName val="PO 2nd page"/>
    </sheetNames>
    <sheetDataSet>
      <sheetData sheetId="0"/>
      <sheetData sheetId="1">
        <row r="7">
          <cell r="B7" t="str">
            <v>Prime Generator Mob &amp; De-Mob. Charge</v>
          </cell>
          <cell r="G7" t="str">
            <v>L / S</v>
          </cell>
          <cell r="H7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4" sqref="D4:F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208" t="s">
        <v>119</v>
      </c>
      <c r="B1" s="111"/>
      <c r="C1" s="111"/>
      <c r="D1" s="111"/>
      <c r="E1" s="111"/>
      <c r="F1" s="111"/>
      <c r="G1" s="1"/>
      <c r="J1" s="202" t="s">
        <v>117</v>
      </c>
      <c r="K1" s="203"/>
      <c r="L1" s="204"/>
    </row>
    <row r="2" spans="1:19" ht="20.100000000000001" customHeight="1">
      <c r="A2" s="3" t="s">
        <v>1</v>
      </c>
      <c r="B2" s="102"/>
      <c r="C2" s="102"/>
      <c r="D2" s="3" t="s">
        <v>109</v>
      </c>
      <c r="E2" s="102"/>
      <c r="F2" s="102"/>
      <c r="G2" s="102"/>
      <c r="H2" s="102"/>
      <c r="I2" s="4"/>
      <c r="J2" s="205" t="s">
        <v>118</v>
      </c>
      <c r="K2" s="206"/>
      <c r="L2" s="207"/>
    </row>
    <row r="3" spans="1:19" ht="20.100000000000001" customHeight="1">
      <c r="A3" s="3" t="s">
        <v>110</v>
      </c>
      <c r="B3" s="102"/>
      <c r="C3" s="102"/>
      <c r="D3" s="102"/>
      <c r="E3" s="145">
        <f>+L3</f>
        <v>45875</v>
      </c>
      <c r="F3" s="145"/>
      <c r="G3" s="145"/>
      <c r="H3" s="145"/>
      <c r="I3" s="145"/>
      <c r="J3" s="102"/>
      <c r="K3" s="102"/>
      <c r="L3" s="123">
        <v>45875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29" t="s">
        <v>100</v>
      </c>
      <c r="C6" s="130"/>
      <c r="D6" s="131" t="s">
        <v>111</v>
      </c>
      <c r="E6" s="132"/>
      <c r="F6" s="133"/>
      <c r="G6" s="112" t="s">
        <v>120</v>
      </c>
      <c r="H6" s="113">
        <v>1</v>
      </c>
      <c r="I6" s="114">
        <v>86000</v>
      </c>
      <c r="J6" s="114">
        <f>H6*I6</f>
        <v>86000</v>
      </c>
      <c r="K6" s="115" t="s">
        <v>104</v>
      </c>
      <c r="L6" s="116" t="s">
        <v>121</v>
      </c>
      <c r="S6" s="107"/>
    </row>
    <row r="7" spans="1:19" ht="22.5" customHeight="1">
      <c r="A7" s="5">
        <f t="shared" si="0"/>
        <v>2</v>
      </c>
      <c r="B7" s="129" t="s">
        <v>102</v>
      </c>
      <c r="C7" s="130"/>
      <c r="D7" s="140" t="s">
        <v>101</v>
      </c>
      <c r="E7" s="132"/>
      <c r="F7" s="133"/>
      <c r="G7" s="112" t="s">
        <v>103</v>
      </c>
      <c r="H7" s="113">
        <v>1</v>
      </c>
      <c r="I7" s="114">
        <v>10000</v>
      </c>
      <c r="J7" s="114">
        <f>H7*I7</f>
        <v>10000</v>
      </c>
      <c r="K7" s="115" t="str">
        <f>K6</f>
        <v>TVIS</v>
      </c>
      <c r="L7" s="116" t="s">
        <v>122</v>
      </c>
      <c r="S7" s="107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8</v>
      </c>
      <c r="B16" s="135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96000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10" sqref="R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96</v>
      </c>
      <c r="B1" s="101"/>
      <c r="C1" s="101"/>
      <c r="D1" s="101"/>
      <c r="E1" s="101"/>
      <c r="F1" s="101"/>
      <c r="G1" s="1"/>
      <c r="J1" s="141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43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SAC2-DS-MRS-0100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45875</v>
      </c>
    </row>
    <row r="4" spans="1:18" ht="15.95" customHeight="1">
      <c r="A4" s="168" t="s">
        <v>2</v>
      </c>
      <c r="B4" s="169" t="s">
        <v>23</v>
      </c>
      <c r="C4" s="169"/>
      <c r="D4" s="168" t="s">
        <v>4</v>
      </c>
      <c r="E4" s="168"/>
      <c r="F4" s="168"/>
      <c r="G4" s="169" t="s">
        <v>5</v>
      </c>
      <c r="H4" s="168" t="s">
        <v>92</v>
      </c>
      <c r="I4" s="168" t="s">
        <v>24</v>
      </c>
      <c r="J4" s="168" t="s">
        <v>25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63" t="str">
        <f>MRS!B6</f>
        <v>RT Crane</v>
      </c>
      <c r="C6" s="164"/>
      <c r="D6" s="165" t="str">
        <f>MRS!D6</f>
        <v>100 Ton with Aramco Certified Operator</v>
      </c>
      <c r="E6" s="166"/>
      <c r="F6" s="167"/>
      <c r="G6" s="104" t="str">
        <f>MRS!G6</f>
        <v>Month</v>
      </c>
      <c r="H6" s="104">
        <f>MRS!H6</f>
        <v>1</v>
      </c>
      <c r="I6" s="105">
        <f>MRS!I6</f>
        <v>86000</v>
      </c>
      <c r="J6" s="105">
        <f>MRS!J6</f>
        <v>86000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3" t="str">
        <f>MRS!B7</f>
        <v>RT Crane Mob &amp; De-Mob. Charge</v>
      </c>
      <c r="C7" s="164"/>
      <c r="D7" s="165" t="str">
        <f>MRS!D7</f>
        <v>Mob. &amp; De-Mob. / per unit - lump sum</v>
      </c>
      <c r="E7" s="166"/>
      <c r="F7" s="167"/>
      <c r="G7" s="104" t="str">
        <f>MRS!G7</f>
        <v>L/S</v>
      </c>
      <c r="H7" s="104">
        <f>MRS!H7</f>
        <v>1</v>
      </c>
      <c r="I7" s="105">
        <f>MRS!I7</f>
        <v>10000</v>
      </c>
      <c r="J7" s="105">
        <f>MRS!J7</f>
        <v>10000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58"/>
      <c r="C8" s="159"/>
      <c r="D8" s="160"/>
      <c r="E8" s="161"/>
      <c r="F8" s="162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58"/>
      <c r="C9" s="159"/>
      <c r="D9" s="160"/>
      <c r="E9" s="161"/>
      <c r="F9" s="162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58"/>
      <c r="C10" s="159"/>
      <c r="D10" s="160"/>
      <c r="E10" s="161"/>
      <c r="F10" s="162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58"/>
      <c r="C11" s="159"/>
      <c r="D11" s="160"/>
      <c r="E11" s="161"/>
      <c r="F11" s="162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58"/>
      <c r="C12" s="159"/>
      <c r="D12" s="160"/>
      <c r="E12" s="161"/>
      <c r="F12" s="162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58"/>
      <c r="C13" s="159"/>
      <c r="D13" s="160"/>
      <c r="E13" s="161"/>
      <c r="F13" s="162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58"/>
      <c r="C14" s="159"/>
      <c r="D14" s="160"/>
      <c r="E14" s="161"/>
      <c r="F14" s="162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58"/>
      <c r="C15" s="159"/>
      <c r="D15" s="160"/>
      <c r="E15" s="161"/>
      <c r="F15" s="162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58"/>
      <c r="C16" s="159"/>
      <c r="D16" s="160"/>
      <c r="E16" s="161"/>
      <c r="F16" s="162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58"/>
      <c r="C17" s="159"/>
      <c r="D17" s="160"/>
      <c r="E17" s="161"/>
      <c r="F17" s="162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F29" sqref="F29:G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39">
        <v>2055126441</v>
      </c>
      <c r="J10" s="39" t="s">
        <v>34</v>
      </c>
      <c r="K10" s="171">
        <f>MRS!L3</f>
        <v>45875</v>
      </c>
      <c r="L10" s="172"/>
      <c r="M10" s="172"/>
    </row>
    <row r="11" spans="2:13" s="39" customFormat="1">
      <c r="B11" s="72"/>
      <c r="C11" s="75" t="s">
        <v>35</v>
      </c>
      <c r="D11" s="76" t="s">
        <v>108</v>
      </c>
      <c r="J11" s="39" t="s">
        <v>36</v>
      </c>
      <c r="K11" s="173" t="str">
        <f>SUBSTITUTE(SUBSTITUTE(+MRS!A3,"  MRS No : ",""),"-MRS","-PO")</f>
        <v>SAC2-DS-PO-0100</v>
      </c>
      <c r="L11" s="173"/>
      <c r="M11" s="173"/>
    </row>
    <row r="12" spans="2:13" s="39" customFormat="1">
      <c r="B12" s="72"/>
      <c r="C12" s="75" t="s">
        <v>37</v>
      </c>
      <c r="D12" s="39" t="s">
        <v>114</v>
      </c>
      <c r="J12" s="39" t="s">
        <v>38</v>
      </c>
    </row>
    <row r="13" spans="2:13" s="39" customFormat="1">
      <c r="B13" s="72"/>
      <c r="C13" s="77"/>
      <c r="D13" s="76" t="s">
        <v>116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112</v>
      </c>
    </row>
    <row r="15" spans="2:13" s="39" customFormat="1">
      <c r="B15" s="72"/>
      <c r="C15" s="77" t="s">
        <v>106</v>
      </c>
      <c r="J15" s="39" t="s">
        <v>41</v>
      </c>
      <c r="K15" s="78">
        <v>45873</v>
      </c>
    </row>
    <row r="16" spans="2:13" s="39" customFormat="1">
      <c r="C16" s="77" t="s">
        <v>99</v>
      </c>
      <c r="K16" s="78"/>
    </row>
    <row r="17" spans="2:13" ht="6.75" customHeight="1">
      <c r="C17" s="29"/>
      <c r="K17" s="30"/>
    </row>
    <row r="18" spans="2:13" ht="20.25">
      <c r="B18" s="174" t="s">
        <v>42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43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44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45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113</v>
      </c>
      <c r="M26" s="79" t="s">
        <v>47</v>
      </c>
    </row>
    <row r="27" spans="2:13" ht="6.75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8" t="s">
        <v>123</v>
      </c>
      <c r="G29" s="178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8"/>
      <c r="G30" s="178"/>
    </row>
    <row r="31" spans="2:13" ht="15" customHeight="1">
      <c r="B31" s="32"/>
      <c r="C31" s="26" t="s">
        <v>52</v>
      </c>
      <c r="D31" s="35"/>
      <c r="E31" s="26" t="s">
        <v>50</v>
      </c>
      <c r="F31" s="178"/>
      <c r="G31" s="178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37.5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UPPER(D12)</f>
        <v>KALANDAR KAUSAR</v>
      </c>
    </row>
    <row r="60" spans="1:16" ht="18" customHeight="1">
      <c r="B60" s="26" t="s">
        <v>72</v>
      </c>
      <c r="J60" s="26" t="s">
        <v>73</v>
      </c>
      <c r="K60" s="22" t="s">
        <v>115</v>
      </c>
    </row>
    <row r="61" spans="1:16" ht="15" customHeight="1">
      <c r="B61" s="26" t="s">
        <v>74</v>
      </c>
      <c r="J61" s="26" t="s">
        <v>75</v>
      </c>
    </row>
    <row r="62" spans="1:16" s="28" customFormat="1" ht="33.75" customHeight="1">
      <c r="B62" s="124" t="s">
        <v>76</v>
      </c>
      <c r="J62" s="179" t="str">
        <f>C9</f>
        <v>TVIS(Faisal Mutlaq Mathkar Al-Othaibi Gen. Cont. Est.)</v>
      </c>
      <c r="K62" s="179"/>
      <c r="L62" s="179"/>
      <c r="M62" s="179"/>
    </row>
    <row r="63" spans="1:16" ht="27.95" customHeight="1">
      <c r="A63" s="170" t="s">
        <v>77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99" right="0.39370078740157499" top="0.39370078740157499" bottom="0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A21" sqref="A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SAC2-DS-PO-0100</v>
      </c>
      <c r="C2" s="186" t="s">
        <v>79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45875</v>
      </c>
      <c r="C3" s="51"/>
      <c r="D3" s="52"/>
      <c r="E3" s="187" t="s">
        <v>81</v>
      </c>
      <c r="F3" s="187"/>
      <c r="G3" s="187"/>
      <c r="H3" s="187"/>
      <c r="I3" s="53"/>
    </row>
    <row r="4" spans="1:13" s="55" customFormat="1" ht="28.5" customHeight="1" thickTop="1">
      <c r="A4" s="188" t="s">
        <v>82</v>
      </c>
      <c r="B4" s="190" t="s">
        <v>83</v>
      </c>
      <c r="C4" s="191"/>
      <c r="D4" s="194" t="s">
        <v>84</v>
      </c>
      <c r="E4" s="194" t="s">
        <v>85</v>
      </c>
      <c r="F4" s="196" t="str">
        <f>'PO 1st page'!C9</f>
        <v>TVIS(Faisal Mutlaq Mathkar Al-Othaibi Gen. Cont. Est.)</v>
      </c>
      <c r="G4" s="197"/>
      <c r="H4" s="198" t="s">
        <v>86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87</v>
      </c>
      <c r="G5" s="57" t="s">
        <v>52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0" t="str">
        <f>CONCATENATE(MRS!B6," ",MRS!D6)</f>
        <v>RT Crane 100 Ton with Aramco Certified Operator</v>
      </c>
      <c r="C6" s="201"/>
      <c r="D6" s="86" t="str">
        <f>+'MRS LIST'!G6</f>
        <v>Month</v>
      </c>
      <c r="E6" s="87">
        <f>+'MRS LIST'!H6</f>
        <v>1</v>
      </c>
      <c r="F6" s="88">
        <f>+'MRS LIST'!I6</f>
        <v>86000</v>
      </c>
      <c r="G6" s="89">
        <f>+'MRS LIST'!J6</f>
        <v>86000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0" t="str">
        <f>CONCATENATE(MRS!B7," ",MRS!D7)</f>
        <v>RT Crane Mob &amp; De-Mob. Charge Mob. &amp; De-Mob. / per unit - lump sum</v>
      </c>
      <c r="C7" s="201"/>
      <c r="D7" s="86" t="str">
        <f>+'[2]MRS LIST'!G7</f>
        <v>L / S</v>
      </c>
      <c r="E7" s="87">
        <f>+'[2]MRS LIST'!H7</f>
        <v>1</v>
      </c>
      <c r="F7" s="88">
        <f>+'MRS LIST'!I7</f>
        <v>10000</v>
      </c>
      <c r="G7" s="89">
        <f>+'MRS LIST'!J7</f>
        <v>10000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4"/>
      <c r="C10" s="185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4"/>
      <c r="C12" s="18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4"/>
      <c r="C13" s="18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4"/>
      <c r="C14" s="18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4"/>
      <c r="C15" s="18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4"/>
      <c r="C16" s="18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4"/>
      <c r="C17" s="185"/>
      <c r="D17" s="94"/>
      <c r="E17" s="95"/>
      <c r="F17" s="96"/>
      <c r="G17" s="97"/>
      <c r="H17" s="98"/>
    </row>
    <row r="18" spans="1:13" s="55" customFormat="1" ht="23.1" customHeight="1">
      <c r="A18" s="180" t="s">
        <v>88</v>
      </c>
      <c r="B18" s="181"/>
      <c r="C18" s="181"/>
      <c r="D18" s="181"/>
      <c r="E18" s="181"/>
      <c r="F18" s="181"/>
      <c r="G18" s="58">
        <f>SUM(G6:G17)</f>
        <v>96000</v>
      </c>
      <c r="H18" s="59"/>
    </row>
    <row r="19" spans="1:13" s="55" customFormat="1" ht="23.1" customHeight="1">
      <c r="A19" s="180" t="s">
        <v>51</v>
      </c>
      <c r="B19" s="181"/>
      <c r="C19" s="181"/>
      <c r="D19" s="181"/>
      <c r="E19" s="181"/>
      <c r="F19" s="181"/>
      <c r="G19" s="58">
        <f>+G18*0.15</f>
        <v>14400</v>
      </c>
      <c r="H19" s="59"/>
    </row>
    <row r="20" spans="1:13" s="55" customFormat="1" ht="24.95" customHeight="1" thickBot="1">
      <c r="A20" s="182" t="s">
        <v>89</v>
      </c>
      <c r="B20" s="183"/>
      <c r="C20" s="183"/>
      <c r="D20" s="183"/>
      <c r="E20" s="183"/>
      <c r="F20" s="183"/>
      <c r="G20" s="60">
        <f>G19+G18</f>
        <v>110400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QT-371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0" t="s">
        <v>91</v>
      </c>
      <c r="B24" s="170"/>
      <c r="C24" s="170"/>
      <c r="D24" s="170"/>
      <c r="E24" s="170"/>
      <c r="F24" s="170"/>
      <c r="G24" s="170"/>
      <c r="H24" s="17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2025-08-06T13:25:32Z</cp:lastPrinted>
  <dcterms:created xsi:type="dcterms:W3CDTF">2024-10-20T11:50:19Z</dcterms:created>
  <dcterms:modified xsi:type="dcterms:W3CDTF">2025-08-06T13:27:30Z</dcterms:modified>
</cp:coreProperties>
</file>