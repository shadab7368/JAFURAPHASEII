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013A3AB5-B7E1-4532-9CCE-2769A65F3C6F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7" i="4"/>
  <c r="B9" i="4"/>
  <c r="J9" i="1"/>
  <c r="J7" i="1" l="1"/>
  <c r="P54" i="3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<sst xmlns="http://schemas.openxmlformats.org/spreadsheetml/2006/main" count="169" uniqueCount="137">
  <si>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</si>
  <si>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</si>
  <si>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</si>
  <si>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</si>
  <si>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</si>
  <si>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</si>
  <si>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</si>
  <si>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</si>
  <si>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</si>
  <si>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</si>
  <si>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</si>
  <si>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</si>
  <si>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</si>
  <si>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</si>
  <si>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</si>
  <si>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</si>
  <si>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</si>
  <si>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</si>
  <si>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</si>
  <si>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</si>
  <si>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</si>
  <si>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</si>
  <si>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</si>
  <si>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</si>
  <si>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</si>
  <si>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</si>
  <si>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</si>
  <si>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</si>
  <si>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</si>
  <si>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</si>
  <si>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</si>
  <si>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</si>
  <si>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</si>
  <si>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</si>
  <si>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</si>
  <si>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</si>
  <si>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</si>
  <si>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</si>
  <si>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</si>
  <si>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</si>
  <si>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</si>
  <si>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</si>
  <si>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</si>
  <si>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</si>
  <si>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</si>
  <si>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</si>
  <si>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</si>
  <si>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</si>
  <si>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</si>
  <si>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</si>
  <si>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</si>
  <si>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</si>
  <si>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</si>
  <si>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</si>
  <si>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</si>
  <si>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</si>
  <si>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</si>
  <si>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</si>
  <si>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</si>
  <si>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</si>
  <si>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</si>
  <si>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</si>
  <si>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</si>
  <si>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</si>
  <si>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</si>
  <si>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</si>
  <si>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</si>
  <si>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</si>
  <si>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</si>
  <si>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</si>
  <si>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</si>
  <si>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</si>
  <si>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</si>
  <si>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</si>
  <si>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</si>
  <si>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</si>
  <si>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</si>
  <si>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</si>
  <si>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</si>
  <si>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</si>
  <si>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</si>
  <si>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</si>
  <si>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</si>
  <si>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</si>
  <si>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</si>
  <si>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</si>
  <si>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</si>
  <si>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</si>
  <si>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</si>
  <si>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</si>
  <si>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</si>
  <si>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</si>
  <si>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</si>
  <si>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</si>
  <si>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</si>
  <si>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</si>
  <si>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</si>
  <si>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</si>
  <si>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</si>
  <si>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</si>
  <si>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</si>
  <si>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</si>
  <si>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</si>
  <si>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"</t>
  </si>
  <si>
    <t>NCBKSAJE</t>
  </si>
  <si>
    <t>SAUDI NATIONAL BANK</t>
  </si>
  <si>
    <t>Business Development Executive</t>
  </si>
  <si>
    <t>HMAS</t>
  </si>
  <si>
    <t>2053020130</t>
  </si>
  <si>
    <t>Faruq Jodder</t>
  </si>
  <si>
    <t>+966 57 166 3899 / Email: alsobity.gen@gmail.com</t>
  </si>
  <si>
    <t>Mobile : +966 57 166 3899</t>
  </si>
  <si>
    <t>P.O. Box: 309, Qatif Street, Al Jubail 31951, KSA</t>
  </si>
  <si>
    <t>04158745000101</t>
  </si>
  <si>
    <t>SA26 1000 0004 1587 4500 0101</t>
  </si>
  <si>
    <t>300717487100003</t>
  </si>
  <si>
    <t>AGC-20238877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</si>
  <si>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-MRS-0388</t>
    </r>
  </si>
  <si>
    <t>SS Welder</t>
  </si>
  <si>
    <t>CS Welder</t>
  </si>
  <si>
    <t>SS &amp; CS Welder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</si>
  <si>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</si>
  <si>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</si>
  <si>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</si>
  <si>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</si>
  <si>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</si>
  <si>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</si>
  <si>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</si>
  <si>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</si>
  <si>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</si>
  <si>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</si>
  <si>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</si>
  <si>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</si>
  <si>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</si>
  <si>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</si>
  <si>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HMAS (Hassan Mohammad Al Sobity General Contracting Est.)</t>
  </si>
  <si>
    <t>HASSAN MOHAMMAD AL SOBITY GENERAL CONTRACTING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</si>
</sst>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4" fontId="58" fillId="0" borderId="7" xfId="3" applyNumberFormat="1" applyFont="1" applyBorder="1" applyAlignment="1">
      <alignment horizontal="righ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766010</xdr:colOff>
          <xdr:row>17</xdr:row>
          <xdr:rowOff>42612</xdr:rowOff>
        </xdr:from>
        <xdr:to>
          <xdr:col>11</xdr:col>
          <xdr:colOff>1613233</xdr:colOff>
          <xdr:row>23</xdr:row>
          <xdr:rowOff>280737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CED9B80-B93D-865C-DF85-B6B8C06318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58089" y="5025691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133</v>
      </c>
      <c r="B1" s="132"/>
      <c r="C1" s="105"/>
      <c r="D1" s="105"/>
      <c r="E1" s="105"/>
      <c r="F1" s="105"/>
      <c r="G1" s="1"/>
      <c r="J1" s="134" t="s">
        <v>81</v>
      </c>
      <c r="K1" s="135"/>
      <c r="L1" s="136"/>
    </row>
    <row r="2" spans="1:19" ht="20.100000000000001" customHeight="1">
      <c r="A2" s="3" t="s">
        <v>1</v>
      </c>
      <c r="B2" s="96"/>
      <c r="C2" s="96"/>
      <c r="D2" s="3" t="s">
        <v>134</v>
      </c>
      <c r="E2" s="96"/>
      <c r="F2" s="96"/>
      <c r="G2" s="96"/>
      <c r="H2" s="96"/>
      <c r="I2" s="4"/>
      <c r="J2" s="137" t="s">
        <v>90</v>
      </c>
      <c r="K2" s="138"/>
      <c r="L2" s="139"/>
    </row>
    <row r="3" spans="1:19" ht="20.100000000000001" customHeight="1">
      <c r="A3" s="3" t="s">
        <v>117</v>
      </c>
      <c r="B3" s="96"/>
      <c r="C3" s="96"/>
      <c r="D3" s="96"/>
      <c r="E3" s="140">
        <f>+L3+3</f>
        <v>46238</v>
      </c>
      <c r="F3" s="140"/>
      <c r="G3" s="140"/>
      <c r="H3" s="140"/>
      <c r="I3" s="140"/>
      <c r="J3" s="96"/>
      <c r="K3" s="96"/>
      <c r="L3" s="133">
        <v>46235</v>
      </c>
      <c r="M3" s="4"/>
    </row>
    <row r="4" spans="1:19" ht="15.95" customHeight="1">
      <c r="A4" s="141" t="s">
        <v>2</v>
      </c>
      <c r="B4" s="142" t="s">
        <v>3</v>
      </c>
      <c r="C4" s="142"/>
      <c r="D4" s="143" t="s">
        <v>4</v>
      </c>
      <c r="E4" s="144"/>
      <c r="F4" s="145"/>
      <c r="G4" s="149" t="s">
        <v>5</v>
      </c>
      <c r="H4" s="151" t="s">
        <v>6</v>
      </c>
      <c r="I4" s="151" t="s">
        <v>86</v>
      </c>
      <c r="J4" s="141" t="s">
        <v>87</v>
      </c>
      <c r="K4" s="151" t="s">
        <v>0</v>
      </c>
      <c r="L4" s="142" t="s">
        <v>7</v>
      </c>
    </row>
    <row r="5" spans="1:19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19" ht="22.5" customHeight="1">
      <c r="A6" s="5">
        <f t="shared" ref="A6:A15" si="0">ROW(A1)</f>
        <v>1</v>
      </c>
      <c r="B6" s="153" t="s">
        <v>118</v>
      </c>
      <c r="C6" s="154"/>
      <c r="D6" s="155"/>
      <c r="E6" s="156"/>
      <c r="F6" s="157"/>
      <c r="G6" s="106" t="s">
        <v>89</v>
      </c>
      <c r="H6" s="107">
        <v>1</v>
      </c>
      <c r="I6" s="108">
        <v>50</v>
      </c>
      <c r="J6" s="108">
        <f>H6*I6</f>
        <v>50</v>
      </c>
      <c r="K6" s="109" t="s">
        <v>107</v>
      </c>
      <c r="L6" s="110" t="s">
        <v>91</v>
      </c>
      <c r="S6" s="101"/>
    </row>
    <row r="7" spans="1:19" ht="22.5" customHeight="1">
      <c r="A7" s="5">
        <f t="shared" si="0"/>
        <v>2</v>
      </c>
      <c r="B7" s="153" t="s">
        <v>119</v>
      </c>
      <c r="C7" s="154"/>
      <c r="D7" s="155"/>
      <c r="E7" s="156"/>
      <c r="F7" s="157"/>
      <c r="G7" s="106" t="s">
        <v>89</v>
      </c>
      <c r="H7" s="107">
        <v>1</v>
      </c>
      <c r="I7" s="108">
        <v>40</v>
      </c>
      <c r="J7" s="108">
        <f>H7*I7</f>
        <v>40</v>
      </c>
      <c r="K7" s="109" t="s">
        <v>103</v>
      </c>
      <c r="L7" s="110" t="s">
        <v>103</v>
      </c>
      <c r="S7" s="101"/>
    </row>
    <row r="8" spans="1:19" ht="22.5" customHeight="1">
      <c r="A8" s="5">
        <f t="shared" si="0"/>
        <v>3</v>
      </c>
      <c r="B8" s="153"/>
      <c r="C8" s="154"/>
      <c r="D8" s="155"/>
      <c r="E8" s="156"/>
      <c r="F8" s="157"/>
      <c r="G8" s="106"/>
      <c r="H8" s="107"/>
      <c r="I8" s="108"/>
      <c r="J8" s="108"/>
      <c r="K8" s="109"/>
      <c r="L8" s="110"/>
      <c r="S8" s="101"/>
    </row>
    <row r="9" spans="1:19" ht="22.5" customHeight="1">
      <c r="A9" s="5">
        <f t="shared" si="0"/>
        <v>4</v>
      </c>
      <c r="B9" s="153"/>
      <c r="C9" s="154"/>
      <c r="D9" s="155"/>
      <c r="E9" s="156"/>
      <c r="F9" s="157"/>
      <c r="G9" s="106"/>
      <c r="H9" s="107"/>
      <c r="I9" s="108"/>
      <c r="J9" s="108">
        <f>H9*I9</f>
        <v>0</v>
      </c>
      <c r="K9" s="109"/>
      <c r="L9" s="110"/>
      <c r="S9" s="101"/>
    </row>
    <row r="10" spans="1:19" ht="22.5" customHeight="1">
      <c r="A10" s="5">
        <f t="shared" si="0"/>
        <v>5</v>
      </c>
      <c r="B10" s="158"/>
      <c r="C10" s="158"/>
      <c r="D10" s="159"/>
      <c r="E10" s="159"/>
      <c r="F10" s="159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53"/>
      <c r="C11" s="154"/>
      <c r="D11" s="155"/>
      <c r="E11" s="156"/>
      <c r="F11" s="157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58"/>
      <c r="C12" s="158"/>
      <c r="D12" s="159"/>
      <c r="E12" s="159"/>
      <c r="F12" s="159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53"/>
      <c r="C13" s="154"/>
      <c r="D13" s="155"/>
      <c r="E13" s="156"/>
      <c r="F13" s="157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53"/>
      <c r="C14" s="154"/>
      <c r="D14" s="155"/>
      <c r="E14" s="156"/>
      <c r="F14" s="157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53"/>
      <c r="C15" s="154"/>
      <c r="D15" s="155"/>
      <c r="E15" s="156"/>
      <c r="F15" s="157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60" t="s">
        <v>8</v>
      </c>
      <c r="B16" s="161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90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1"/>
      <c r="Z18" s="11"/>
    </row>
    <row r="19" spans="1:26" ht="50.1" customHeight="1">
      <c r="Y19" s="172"/>
    </row>
    <row r="20" spans="1:26" ht="15" customHeight="1">
      <c r="O20" s="167" t="s">
        <v>121</v>
      </c>
      <c r="P20" s="173"/>
      <c r="Q20" s="173"/>
      <c r="R20" s="168"/>
      <c r="S20" s="124"/>
      <c r="T20" s="167" t="s">
        <v>122</v>
      </c>
      <c r="U20" s="173"/>
      <c r="V20" s="173"/>
      <c r="W20" s="173"/>
      <c r="X20" s="173"/>
      <c r="Y20" s="168"/>
    </row>
    <row r="21" spans="1:26" ht="15" customHeight="1">
      <c r="O21" s="164" t="s">
        <v>123</v>
      </c>
      <c r="P21" s="162" t="s">
        <v>124</v>
      </c>
      <c r="Q21" s="164" t="s">
        <v>125</v>
      </c>
      <c r="R21" s="162" t="s">
        <v>126</v>
      </c>
      <c r="S21" s="124"/>
      <c r="T21" s="164" t="s">
        <v>127</v>
      </c>
      <c r="U21" s="162" t="s">
        <v>128</v>
      </c>
      <c r="V21" s="167" t="s">
        <v>129</v>
      </c>
      <c r="W21" s="173"/>
      <c r="X21" s="168"/>
      <c r="Y21" s="162" t="s">
        <v>130</v>
      </c>
    </row>
    <row r="22" spans="1:26" ht="18" customHeight="1">
      <c r="O22" s="165"/>
      <c r="P22" s="163"/>
      <c r="Q22" s="165"/>
      <c r="R22" s="163"/>
      <c r="S22" s="125"/>
      <c r="T22" s="165"/>
      <c r="U22" s="163"/>
      <c r="V22" s="13" t="s">
        <v>123</v>
      </c>
      <c r="W22" s="174" t="s">
        <v>131</v>
      </c>
      <c r="X22" s="175"/>
      <c r="Y22" s="163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67"/>
      <c r="X23" s="168"/>
      <c r="Y23" s="126"/>
    </row>
    <row r="24" spans="1:26" ht="36" customHeight="1">
      <c r="W24" s="127"/>
      <c r="X24" s="169" t="s">
        <v>132</v>
      </c>
      <c r="Y24" s="12" t="s">
        <v>130</v>
      </c>
    </row>
    <row r="25" spans="1:26" ht="50.1" customHeight="1">
      <c r="O25" s="128"/>
      <c r="P25" s="128"/>
      <c r="Q25" s="128"/>
      <c r="R25" s="128"/>
      <c r="S25" s="128"/>
      <c r="T25" s="128"/>
      <c r="U25" s="128"/>
      <c r="V25" s="128"/>
      <c r="W25" s="129"/>
      <c r="X25" s="170"/>
      <c r="Y25" s="130"/>
    </row>
    <row r="26" spans="1:26" ht="19.899999999999999" customHeight="1"/>
    <row r="27" spans="1:26" ht="17.45" customHeight="1">
      <c r="O27" s="166"/>
      <c r="P27" s="166"/>
      <c r="Q27" s="166"/>
    </row>
    <row r="28" spans="1:26" ht="19.899999999999999" customHeight="1">
      <c r="O28" s="166"/>
      <c r="P28" s="166"/>
      <c r="Q28" s="16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2" t="s">
        <v>12</v>
      </c>
    </row>
    <row r="41" spans="15:22" ht="19.899999999999999" customHeight="1">
      <c r="T41" s="163"/>
    </row>
    <row r="42" spans="15:22" ht="64.900000000000006" customHeight="1">
      <c r="T42" s="14"/>
    </row>
    <row r="46" spans="15:22" ht="21" customHeight="1">
      <c r="O46" s="162" t="s">
        <v>12</v>
      </c>
      <c r="P46" s="162" t="s">
        <v>12</v>
      </c>
      <c r="Q46" s="162" t="s">
        <v>12</v>
      </c>
      <c r="T46" s="162" t="s">
        <v>13</v>
      </c>
      <c r="U46" s="162" t="s">
        <v>11</v>
      </c>
      <c r="V46" s="162" t="s">
        <v>12</v>
      </c>
    </row>
    <row r="47" spans="15:22" ht="21" customHeight="1">
      <c r="O47" s="163"/>
      <c r="P47" s="163"/>
      <c r="Q47" s="163"/>
      <c r="T47" s="165"/>
      <c r="U47" s="165"/>
      <c r="V47" s="16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2" t="s">
        <v>12</v>
      </c>
      <c r="P50" s="162" t="s">
        <v>12</v>
      </c>
      <c r="Q50" s="162" t="s">
        <v>12</v>
      </c>
      <c r="T50" s="162" t="s">
        <v>11</v>
      </c>
      <c r="U50" s="162" t="s">
        <v>13</v>
      </c>
      <c r="V50" s="162" t="s">
        <v>12</v>
      </c>
    </row>
    <row r="51" spans="15:22" ht="21" customHeight="1">
      <c r="O51" s="163"/>
      <c r="P51" s="163"/>
      <c r="Q51" s="163"/>
      <c r="T51" s="165"/>
      <c r="U51" s="165"/>
      <c r="V51" s="16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88</v>
      </c>
      <c r="B1" s="95"/>
      <c r="C1" s="95"/>
      <c r="D1" s="95"/>
      <c r="E1" s="95"/>
      <c r="F1" s="95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SAC2-DS-MRS-0388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46235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82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SS Welder</v>
      </c>
      <c r="C6" s="179"/>
      <c r="D6" s="180">
        <f>MRS!D6</f>
        <v>0</v>
      </c>
      <c r="E6" s="181"/>
      <c r="F6" s="182"/>
      <c r="G6" s="98" t="str">
        <f>MRS!G6</f>
        <v>Hour</v>
      </c>
      <c r="H6" s="98">
        <f>MRS!H6</f>
        <v>1</v>
      </c>
      <c r="I6" s="99">
        <f>MRS!I6</f>
        <v>50</v>
      </c>
      <c r="J6" s="99">
        <f>MRS!J6</f>
        <v>50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8" t="str">
        <f>MRS!B7</f>
        <v>CS Welder</v>
      </c>
      <c r="C7" s="179"/>
      <c r="D7" s="180">
        <f>MRS!D7</f>
        <v>0</v>
      </c>
      <c r="E7" s="181"/>
      <c r="F7" s="182"/>
      <c r="G7" s="98" t="str">
        <f>MRS!G7</f>
        <v>Hour</v>
      </c>
      <c r="H7" s="98">
        <f>MRS!H7</f>
        <v>1</v>
      </c>
      <c r="I7" s="99">
        <f>MRS!I7</f>
        <v>40</v>
      </c>
      <c r="J7" s="99">
        <f>MRS!J7</f>
        <v>40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135</v>
      </c>
      <c r="D9" s="35"/>
      <c r="E9" s="35"/>
    </row>
    <row r="10" spans="2:13" s="35" customFormat="1">
      <c r="B10" s="68"/>
      <c r="C10" s="35" t="s">
        <v>23</v>
      </c>
      <c r="D10" s="72" t="s">
        <v>108</v>
      </c>
      <c r="J10" s="35" t="s">
        <v>24</v>
      </c>
      <c r="K10" s="189">
        <f>MRS!L3</f>
        <v>46235</v>
      </c>
      <c r="L10" s="190"/>
      <c r="M10" s="190"/>
    </row>
    <row r="11" spans="2:13" s="35" customFormat="1">
      <c r="B11" s="68"/>
      <c r="C11" s="71" t="s">
        <v>25</v>
      </c>
      <c r="D11" s="72" t="s">
        <v>115</v>
      </c>
      <c r="J11" s="35" t="s">
        <v>26</v>
      </c>
      <c r="K11" s="191" t="str">
        <f>SUBSTITUTE(SUBSTITUTE(+MRS!A3,"  MRS No : ",""),"-MRS","-PO")</f>
        <v>SAC2-DS-PO-0388</v>
      </c>
      <c r="L11" s="191"/>
      <c r="M11" s="191"/>
    </row>
    <row r="12" spans="2:13" s="35" customFormat="1">
      <c r="B12" s="68"/>
      <c r="C12" s="71" t="s">
        <v>27</v>
      </c>
      <c r="D12" s="35" t="s">
        <v>109</v>
      </c>
      <c r="J12" s="35" t="s">
        <v>28</v>
      </c>
    </row>
    <row r="13" spans="2:13" s="35" customFormat="1">
      <c r="B13" s="68"/>
      <c r="C13" s="73"/>
      <c r="D13" s="72" t="s">
        <v>110</v>
      </c>
      <c r="J13" s="35" t="s">
        <v>29</v>
      </c>
    </row>
    <row r="14" spans="2:13" s="35" customFormat="1">
      <c r="B14" s="68"/>
      <c r="C14" s="73" t="s">
        <v>112</v>
      </c>
      <c r="J14" s="35" t="s">
        <v>30</v>
      </c>
      <c r="K14" s="72" t="s">
        <v>116</v>
      </c>
    </row>
    <row r="15" spans="2:13" s="35" customFormat="1">
      <c r="B15" s="68"/>
      <c r="C15" s="73" t="s">
        <v>111</v>
      </c>
      <c r="D15" s="72"/>
      <c r="J15" s="35" t="s">
        <v>31</v>
      </c>
      <c r="K15" s="74">
        <v>46221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2" t="s">
        <v>120</v>
      </c>
      <c r="M26" s="123" t="s">
        <v>37</v>
      </c>
    </row>
    <row r="27" spans="2:13" ht="12" customHeight="1">
      <c r="B27" s="28"/>
      <c r="C27" s="118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6" t="s">
        <v>91</v>
      </c>
      <c r="G29" s="19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6"/>
      <c r="G30" s="196"/>
    </row>
    <row r="31" spans="2:13" ht="12" customHeight="1">
      <c r="B31" s="28"/>
      <c r="C31" s="22" t="s">
        <v>42</v>
      </c>
      <c r="D31" s="31"/>
      <c r="E31" s="22" t="s">
        <v>40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5" t="s">
        <v>56</v>
      </c>
      <c r="C49" s="76" t="s">
        <v>84</v>
      </c>
      <c r="P49" s="77"/>
    </row>
    <row r="50" spans="2:16" s="78" customFormat="1" ht="12" customHeight="1">
      <c r="B50" s="79" t="s">
        <v>56</v>
      </c>
      <c r="C50" s="76" t="s">
        <v>85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94</v>
      </c>
    </row>
    <row r="54" spans="2:16" ht="12" customHeight="1">
      <c r="B54" s="79" t="s">
        <v>56</v>
      </c>
      <c r="C54" s="119" t="s">
        <v>95</v>
      </c>
      <c r="F54" s="22" t="s">
        <v>136</v>
      </c>
      <c r="P54" s="22" t="str">
        <f>UPPER(F54)</f>
        <v>HASSAN MOHAMMAD AL SOBITY GENERAL CONTRACTING EST.</v>
      </c>
    </row>
    <row r="55" spans="2:16" ht="12" customHeight="1">
      <c r="B55" s="79" t="s">
        <v>56</v>
      </c>
      <c r="C55" s="119" t="s">
        <v>96</v>
      </c>
      <c r="F55" s="120" t="s">
        <v>113</v>
      </c>
    </row>
    <row r="56" spans="2:16" ht="12" customHeight="1">
      <c r="B56" s="79" t="s">
        <v>56</v>
      </c>
      <c r="C56" s="119" t="s">
        <v>97</v>
      </c>
      <c r="F56" s="22" t="s">
        <v>114</v>
      </c>
    </row>
    <row r="57" spans="2:16" ht="12" customHeight="1">
      <c r="B57" s="79" t="s">
        <v>56</v>
      </c>
      <c r="C57" s="119" t="s">
        <v>98</v>
      </c>
      <c r="F57" s="22" t="s">
        <v>105</v>
      </c>
    </row>
    <row r="58" spans="2:16" ht="12" customHeight="1">
      <c r="B58" s="79" t="s">
        <v>56</v>
      </c>
      <c r="C58" s="119" t="s">
        <v>99</v>
      </c>
      <c r="F58" s="22" t="s">
        <v>104</v>
      </c>
    </row>
    <row r="59" spans="2:16" ht="12" customHeight="1">
      <c r="B59" s="79" t="s">
        <v>56</v>
      </c>
      <c r="C59" s="119" t="s">
        <v>100</v>
      </c>
      <c r="F59" s="22" t="s">
        <v>101</v>
      </c>
    </row>
    <row r="60" spans="2:16" ht="12" customHeight="1">
      <c r="B60" s="79"/>
      <c r="C60" s="121" t="s">
        <v>102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Faruq Jodder</v>
      </c>
    </row>
    <row r="68" spans="1:13" ht="18" customHeight="1">
      <c r="B68" s="22" t="s">
        <v>62</v>
      </c>
      <c r="J68" s="22" t="s">
        <v>63</v>
      </c>
      <c r="K68" s="18" t="s">
        <v>106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97" t="str">
        <f>C9</f>
        <v>HMAS (Hassan Mohammad Al Sobity General Contracting Est.)</v>
      </c>
      <c r="K70" s="197"/>
      <c r="L70" s="197"/>
      <c r="M70" s="197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F12" sqref="F1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SAC2-DS-PO-0388</v>
      </c>
      <c r="C2" s="200" t="s">
        <v>68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46235</v>
      </c>
      <c r="C3" s="47"/>
      <c r="D3" s="48"/>
      <c r="E3" s="201" t="s">
        <v>70</v>
      </c>
      <c r="F3" s="201"/>
      <c r="G3" s="201"/>
      <c r="H3" s="201"/>
      <c r="I3" s="49"/>
    </row>
    <row r="4" spans="1:13" s="51" customFormat="1" ht="28.5" customHeight="1" thickTop="1">
      <c r="A4" s="202" t="s">
        <v>71</v>
      </c>
      <c r="B4" s="204" t="s">
        <v>72</v>
      </c>
      <c r="C4" s="205"/>
      <c r="D4" s="208" t="s">
        <v>73</v>
      </c>
      <c r="E4" s="208" t="s">
        <v>74</v>
      </c>
      <c r="F4" s="210" t="str">
        <f>'PO 1st page'!C9</f>
        <v>HMAS (Hassan Mohammad Al Sobity General Contracting Est.)</v>
      </c>
      <c r="G4" s="211"/>
      <c r="H4" s="212" t="s">
        <v>75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76</v>
      </c>
      <c r="G5" s="53" t="s">
        <v>42</v>
      </c>
      <c r="H5" s="213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98" t="str">
        <f>CONCATENATE(MRS!B6," ",MRS!D6)</f>
        <v xml:space="preserve">SS Welder </v>
      </c>
      <c r="C6" s="199"/>
      <c r="D6" s="81" t="str">
        <f>+'MRS LIST'!G6</f>
        <v>Hour</v>
      </c>
      <c r="E6" s="82">
        <f>+'MRS LIST'!H6</f>
        <v>1</v>
      </c>
      <c r="F6" s="83">
        <f>+'MRS LIST'!I6</f>
        <v>50</v>
      </c>
      <c r="G6" s="84">
        <f>+'MRS LIST'!J6</f>
        <v>50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98" t="str">
        <f>CONCATENATE(MRS!B7," ",MRS!D7)</f>
        <v xml:space="preserve">CS Welder </v>
      </c>
      <c r="C7" s="199"/>
      <c r="D7" s="81" t="str">
        <f>+'MRS LIST'!G7</f>
        <v>Hour</v>
      </c>
      <c r="E7" s="82">
        <f>+'MRS LIST'!H7</f>
        <v>1</v>
      </c>
      <c r="F7" s="83">
        <f>+'MRS LIST'!I7</f>
        <v>40</v>
      </c>
      <c r="G7" s="84">
        <f>+'MRS LIST'!J7</f>
        <v>40</v>
      </c>
      <c r="H7" s="85" t="str">
        <f>MRS!L7</f>
        <v>"</v>
      </c>
      <c r="K7" s="86"/>
      <c r="L7" s="87"/>
      <c r="M7" s="52"/>
    </row>
    <row r="8" spans="1:13" s="51" customFormat="1" ht="32.1" customHeight="1">
      <c r="A8" s="88">
        <f t="shared" si="0"/>
        <v>3</v>
      </c>
      <c r="B8" s="198" t="str">
        <f>CONCATENATE(MRS!B8," ",MRS!D8)</f>
        <v xml:space="preserve"> </v>
      </c>
      <c r="C8" s="199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98" t="str">
        <f>CONCATENATE(MRS!B9," ",MRS!D9)</f>
        <v xml:space="preserve"> </v>
      </c>
      <c r="C9" s="199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98"/>
      <c r="C10" s="199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198"/>
      <c r="C11" s="199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218"/>
      <c r="C12" s="219"/>
      <c r="D12" s="89"/>
      <c r="E12" s="90"/>
      <c r="F12" s="91"/>
      <c r="G12" s="92"/>
      <c r="H12" s="93"/>
    </row>
    <row r="13" spans="1:13" s="51" customFormat="1" ht="32.1" customHeight="1">
      <c r="A13" s="88">
        <f t="shared" si="0"/>
        <v>8</v>
      </c>
      <c r="B13" s="218"/>
      <c r="C13" s="219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218"/>
      <c r="C14" s="219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218"/>
      <c r="C15" s="219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218"/>
      <c r="C16" s="219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218"/>
      <c r="C17" s="219"/>
      <c r="D17" s="89"/>
      <c r="E17" s="90"/>
      <c r="F17" s="91"/>
      <c r="G17" s="92"/>
      <c r="H17" s="93"/>
    </row>
    <row r="18" spans="1:13" s="51" customFormat="1" ht="23.1" customHeight="1">
      <c r="A18" s="214" t="s">
        <v>77</v>
      </c>
      <c r="B18" s="215"/>
      <c r="C18" s="215"/>
      <c r="D18" s="215"/>
      <c r="E18" s="215"/>
      <c r="F18" s="215"/>
      <c r="G18" s="54">
        <f>SUM(G6:G17)</f>
        <v>90</v>
      </c>
      <c r="H18" s="55"/>
    </row>
    <row r="19" spans="1:13" s="51" customFormat="1" ht="23.1" customHeight="1">
      <c r="A19" s="214" t="s">
        <v>41</v>
      </c>
      <c r="B19" s="215"/>
      <c r="C19" s="215"/>
      <c r="D19" s="215"/>
      <c r="E19" s="215"/>
      <c r="F19" s="215"/>
      <c r="G19" s="54">
        <f>+G18*0.15</f>
        <v>13.5</v>
      </c>
      <c r="H19" s="55"/>
    </row>
    <row r="20" spans="1:13" s="51" customFormat="1" ht="24.95" customHeight="1" thickBot="1">
      <c r="A20" s="216" t="s">
        <v>78</v>
      </c>
      <c r="B20" s="217"/>
      <c r="C20" s="217"/>
      <c r="D20" s="217"/>
      <c r="E20" s="217"/>
      <c r="F20" s="217"/>
      <c r="G20" s="56">
        <f>G19+G18</f>
        <v>103.5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AGC-20238877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80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2026-09-20T11:04:14Z</cp:lastPrinted>
  <dcterms:created xsi:type="dcterms:W3CDTF">2024-10-20T11:50:19Z</dcterms:created>
  <dcterms:modified xsi:type="dcterms:W3CDTF">2026-09-20T11:04:16Z</dcterms:modified>
</cp:coreProperties>
</file>