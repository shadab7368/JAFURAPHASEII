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CCC62653-844B-4541-A2E4-B505C79611DF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2" l="1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J8" i="2"/>
  <c r="I8" i="2"/>
  <c r="H8" i="2"/>
  <c r="G8" i="2"/>
  <c r="D8" i="2"/>
  <c r="B8" i="2"/>
  <c r="J9" i="2"/>
  <c r="K59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<sst xmlns="http://schemas.openxmlformats.org/spreadsheetml/2006/main" count="151" uniqueCount="117">
  <si>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</si>
  <si>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</si>
  <si>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</si>
  <si>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</si>
  <si>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</si>
  <si>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</si>
  <si>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</si>
  <si>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</si>
  <si>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</si>
  <si>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</si>
  <si>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</si>
  <si>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</si>
  <si>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</si>
  <si>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</si>
  <si>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</si>
  <si>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</si>
  <si>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</si>
  <si>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</si>
  <si>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</si>
  <si>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</si>
  <si>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</si>
  <si>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</si>
  <si>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</si>
  <si>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</si>
  <si>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</si>
  <si>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</si>
  <si>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</si>
  <si>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</si>
  <si>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</si>
  <si>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</si>
  <si>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</si>
  <si>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</si>
  <si>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</si>
  <si>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</si>
  <si>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</si>
  <si>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</si>
  <si>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</si>
  <si>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</si>
  <si>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</si>
  <si>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</si>
  <si>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</si>
  <si>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</si>
  <si>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</si>
  <si>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</si>
  <si>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</si>
  <si>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</si>
  <si>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</si>
  <si>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</si>
  <si>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</si>
  <si>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</si>
  <si>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</si>
  <si>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</si>
  <si>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</si>
  <si>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</si>
  <si>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</si>
  <si>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</si>
  <si>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</si>
  <si>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</si>
  <si>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</si>
  <si>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</si>
  <si>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</si>
  <si>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</si>
  <si>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</si>
  <si>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</si>
  <si>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</si>
  <si>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</si>
  <si>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</si>
  <si>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</si>
  <si>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</si>
  <si>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</si>
  <si>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</si>
  <si>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</si>
  <si>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</si>
  <si>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</si>
  <si>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</si>
  <si>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</si>
  <si>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</si>
  <si>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</si>
  <si>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</si>
  <si>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</si>
  <si>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</si>
  <si>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</si>
  <si>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</si>
  <si>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</si>
  <si>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</si>
  <si>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</si>
  <si>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</si>
  <si>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</si>
  <si>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</si>
  <si>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</si>
  <si>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</si>
  <si>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</si>
  <si>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</si>
  <si>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</si>
  <si>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</si>
  <si>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</si>
  <si>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</si>
  <si>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</si>
  <si>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</si>
  <si>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</si>
  <si>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BWCT</t>
  </si>
  <si>
    <t>BWCT(Blue Arabian Ways Co. for Trading)</t>
  </si>
  <si>
    <t>311461390400003</t>
  </si>
  <si>
    <t>Mustafa Mohammed Ali</t>
  </si>
  <si>
    <t>+966 56 431 5378 / Email:bluearabiaways@gmail.com</t>
  </si>
  <si>
    <t>Floor No. 2 Office No. 11, Dammam Al Anud 32426 KSA</t>
  </si>
  <si>
    <t>Mobile : +966 56 431 5378</t>
  </si>
  <si>
    <t>Manager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</si>
  <si>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-MRS-0037</t>
    </r>
  </si>
  <si>
    <t>Drinking Water</t>
  </si>
  <si>
    <t>1 Bottle 5 Gallon</t>
  </si>
  <si>
    <t>QT-BWC-2025-449</t>
  </si>
  <si>
    <t xml:space="preserve">  Delivery &amp; Payment : Dong Chang Kim / Daeshin Admin. [ Mobile No. : +966 53 748 5762 / Email : kdchjs@daeshinplant.com ]</t>
  </si>
  <si>
    <t>Division (In charge Name) : ADMIN MANAGER (Dong Chang Kim)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</si>
  <si>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</si>
  <si>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</si>
  <si>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SAR 7.00 per 5 Gallon ( 1 Bottle)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</si>
</sst>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5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7" fillId="3" borderId="0" xfId="5" applyNumberFormat="1" applyFont="1" applyFill="1"/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8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D19" sqref="D1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4" t="s">
        <v>115</v>
      </c>
      <c r="B1" s="110"/>
      <c r="C1" s="110"/>
      <c r="D1" s="110"/>
      <c r="E1" s="110"/>
      <c r="F1" s="110"/>
      <c r="G1" s="1"/>
      <c r="J1" s="142" t="s">
        <v>92</v>
      </c>
      <c r="K1" s="143"/>
      <c r="L1" s="144"/>
    </row>
    <row r="2" spans="1:19" ht="20.100000000000001" customHeight="1">
      <c r="A2" s="3" t="s">
        <v>1</v>
      </c>
      <c r="B2" s="101"/>
      <c r="C2" s="101"/>
      <c r="D2" s="3" t="s">
        <v>113</v>
      </c>
      <c r="E2" s="101"/>
      <c r="F2" s="101"/>
      <c r="G2" s="101"/>
      <c r="H2" s="101"/>
      <c r="I2" s="4"/>
      <c r="J2" s="145" t="s">
        <v>114</v>
      </c>
      <c r="K2" s="146"/>
      <c r="L2" s="147"/>
    </row>
    <row r="3" spans="1:19" ht="20.100000000000001" customHeight="1">
      <c r="A3" s="3" t="s">
        <v>108</v>
      </c>
      <c r="B3" s="101"/>
      <c r="C3" s="101"/>
      <c r="D3" s="101"/>
      <c r="E3" s="148">
        <f>+L3</f>
        <v>45761</v>
      </c>
      <c r="F3" s="148"/>
      <c r="G3" s="148"/>
      <c r="H3" s="148"/>
      <c r="I3" s="148"/>
      <c r="J3" s="101"/>
      <c r="K3" s="101"/>
      <c r="L3" s="122">
        <v>45761</v>
      </c>
      <c r="M3" s="4"/>
    </row>
    <row r="4" spans="1:19" ht="15.95" customHeight="1">
      <c r="A4" s="149" t="s">
        <v>2</v>
      </c>
      <c r="B4" s="150" t="s">
        <v>3</v>
      </c>
      <c r="C4" s="150"/>
      <c r="D4" s="151" t="s">
        <v>4</v>
      </c>
      <c r="E4" s="152"/>
      <c r="F4" s="153"/>
      <c r="G4" s="157" t="s">
        <v>5</v>
      </c>
      <c r="H4" s="159" t="s">
        <v>6</v>
      </c>
      <c r="I4" s="159" t="s">
        <v>96</v>
      </c>
      <c r="J4" s="149" t="s">
        <v>97</v>
      </c>
      <c r="K4" s="159" t="s">
        <v>0</v>
      </c>
      <c r="L4" s="150" t="s">
        <v>7</v>
      </c>
    </row>
    <row r="5" spans="1:19" ht="15.95" customHeight="1">
      <c r="A5" s="149"/>
      <c r="B5" s="150"/>
      <c r="C5" s="150"/>
      <c r="D5" s="154"/>
      <c r="E5" s="155"/>
      <c r="F5" s="156"/>
      <c r="G5" s="158"/>
      <c r="H5" s="160"/>
      <c r="I5" s="160"/>
      <c r="J5" s="149"/>
      <c r="K5" s="160"/>
      <c r="L5" s="150"/>
    </row>
    <row r="6" spans="1:19" ht="22.5" customHeight="1">
      <c r="A6" s="5">
        <f t="shared" ref="A6:A15" si="0">ROW(A1)</f>
        <v>1</v>
      </c>
      <c r="B6" s="130" t="s">
        <v>109</v>
      </c>
      <c r="C6" s="131"/>
      <c r="D6" s="132" t="s">
        <v>110</v>
      </c>
      <c r="E6" s="133"/>
      <c r="F6" s="134"/>
      <c r="G6" s="111" t="s">
        <v>99</v>
      </c>
      <c r="H6" s="112">
        <v>1</v>
      </c>
      <c r="I6" s="113">
        <v>7</v>
      </c>
      <c r="J6" s="113">
        <f>H6*I6</f>
        <v>7</v>
      </c>
      <c r="K6" s="114" t="s">
        <v>100</v>
      </c>
      <c r="L6" s="115"/>
      <c r="S6" s="106"/>
    </row>
    <row r="7" spans="1:19" ht="22.5" customHeight="1">
      <c r="A7" s="5">
        <f t="shared" si="0"/>
        <v>2</v>
      </c>
      <c r="B7" s="130"/>
      <c r="C7" s="131"/>
      <c r="D7" s="141"/>
      <c r="E7" s="133"/>
      <c r="F7" s="134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30"/>
      <c r="C8" s="131"/>
      <c r="D8" s="132"/>
      <c r="E8" s="133"/>
      <c r="F8" s="134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30"/>
      <c r="C9" s="131"/>
      <c r="D9" s="132"/>
      <c r="E9" s="133"/>
      <c r="F9" s="134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9"/>
      <c r="C10" s="139"/>
      <c r="D10" s="140"/>
      <c r="E10" s="140"/>
      <c r="F10" s="140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30"/>
      <c r="C11" s="131"/>
      <c r="D11" s="132"/>
      <c r="E11" s="133"/>
      <c r="F11" s="134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39"/>
      <c r="C12" s="139"/>
      <c r="D12" s="140"/>
      <c r="E12" s="140"/>
      <c r="F12" s="140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30"/>
      <c r="C13" s="131"/>
      <c r="D13" s="132"/>
      <c r="E13" s="133"/>
      <c r="F13" s="134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30"/>
      <c r="C14" s="131"/>
      <c r="D14" s="132"/>
      <c r="E14" s="133"/>
      <c r="F14" s="134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30"/>
      <c r="C15" s="131"/>
      <c r="D15" s="132"/>
      <c r="E15" s="133"/>
      <c r="F15" s="134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5" t="s">
        <v>8</v>
      </c>
      <c r="B16" s="136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7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7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8"/>
      <c r="T19" s="14"/>
      <c r="U19" s="15"/>
      <c r="V19" s="14"/>
    </row>
    <row r="20" spans="1:22" ht="17.100000000000001" customHeight="1">
      <c r="O20" s="11"/>
      <c r="P20" s="11"/>
      <c r="Q20" s="11"/>
      <c r="S20" s="127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6" t="s">
        <v>17</v>
      </c>
      <c r="Q21" s="126" t="s">
        <v>18</v>
      </c>
    </row>
    <row r="22" spans="1:22" ht="18" customHeight="1">
      <c r="O22" s="18" t="s">
        <v>19</v>
      </c>
      <c r="P22" s="128"/>
      <c r="Q22" s="128"/>
      <c r="S22" s="137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8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7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9"/>
      <c r="P27" s="129"/>
      <c r="Q27" s="129"/>
    </row>
    <row r="28" spans="1:22" ht="19.899999999999999" customHeight="1">
      <c r="O28" s="129"/>
      <c r="P28" s="129"/>
      <c r="Q28" s="12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6" t="s">
        <v>21</v>
      </c>
    </row>
    <row r="41" spans="15:22" ht="19.899999999999999" customHeight="1">
      <c r="T41" s="128"/>
    </row>
    <row r="42" spans="15:22" ht="64.900000000000006" customHeight="1">
      <c r="T42" s="14"/>
    </row>
    <row r="46" spans="15:22" ht="21" customHeight="1">
      <c r="O46" s="126" t="s">
        <v>21</v>
      </c>
      <c r="P46" s="126" t="s">
        <v>21</v>
      </c>
      <c r="Q46" s="126" t="s">
        <v>21</v>
      </c>
      <c r="T46" s="126" t="s">
        <v>22</v>
      </c>
      <c r="U46" s="126" t="s">
        <v>13</v>
      </c>
      <c r="V46" s="126" t="s">
        <v>21</v>
      </c>
    </row>
    <row r="47" spans="15:22" ht="21" customHeight="1">
      <c r="O47" s="128"/>
      <c r="P47" s="128"/>
      <c r="Q47" s="128"/>
      <c r="T47" s="127"/>
      <c r="U47" s="127"/>
      <c r="V47" s="12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6" t="s">
        <v>21</v>
      </c>
      <c r="P50" s="126" t="s">
        <v>21</v>
      </c>
      <c r="Q50" s="126" t="s">
        <v>21</v>
      </c>
      <c r="T50" s="126" t="s">
        <v>13</v>
      </c>
      <c r="U50" s="126" t="s">
        <v>22</v>
      </c>
      <c r="V50" s="126" t="s">
        <v>21</v>
      </c>
    </row>
    <row r="51" spans="15:22" ht="21" customHeight="1">
      <c r="O51" s="128"/>
      <c r="P51" s="128"/>
      <c r="Q51" s="128"/>
      <c r="T51" s="127"/>
      <c r="U51" s="127"/>
      <c r="V51" s="12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P10" sqref="P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98</v>
      </c>
      <c r="B1" s="100"/>
      <c r="C1" s="100"/>
      <c r="D1" s="100"/>
      <c r="E1" s="100"/>
      <c r="F1" s="100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5" t="str">
        <f>+MRS!J2</f>
        <v>Subcontract name (SAC2-SC-IK-SMP-01)</v>
      </c>
      <c r="K2" s="147"/>
    </row>
    <row r="3" spans="1:18" ht="24.95" customHeight="1">
      <c r="A3" s="3" t="str">
        <f>+MRS!A3</f>
        <v xml:space="preserve">  MRS No : SAC2-DS-MRS-0037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45761</v>
      </c>
    </row>
    <row r="4" spans="1:18" ht="15.95" customHeight="1">
      <c r="A4" s="171" t="s">
        <v>2</v>
      </c>
      <c r="B4" s="172" t="s">
        <v>23</v>
      </c>
      <c r="C4" s="172"/>
      <c r="D4" s="171" t="s">
        <v>4</v>
      </c>
      <c r="E4" s="171"/>
      <c r="F4" s="171"/>
      <c r="G4" s="172" t="s">
        <v>5</v>
      </c>
      <c r="H4" s="171" t="s">
        <v>93</v>
      </c>
      <c r="I4" s="171" t="s">
        <v>24</v>
      </c>
      <c r="J4" s="171" t="s">
        <v>25</v>
      </c>
      <c r="K4" s="172" t="s">
        <v>7</v>
      </c>
    </row>
    <row r="5" spans="1:18" ht="15.95" customHeight="1">
      <c r="A5" s="171"/>
      <c r="B5" s="172"/>
      <c r="C5" s="172"/>
      <c r="D5" s="171"/>
      <c r="E5" s="171"/>
      <c r="F5" s="171"/>
      <c r="G5" s="172"/>
      <c r="H5" s="171"/>
      <c r="I5" s="171"/>
      <c r="J5" s="171"/>
      <c r="K5" s="172"/>
    </row>
    <row r="6" spans="1:18" ht="105" customHeight="1">
      <c r="A6" s="21">
        <f>+MRS!A6</f>
        <v>1</v>
      </c>
      <c r="B6" s="166" t="str">
        <f>MRS!B6</f>
        <v>Drinking Water</v>
      </c>
      <c r="C6" s="167"/>
      <c r="D6" s="168" t="str">
        <f>MRS!D6</f>
        <v>1 Bottle 5 Gallon</v>
      </c>
      <c r="E6" s="169"/>
      <c r="F6" s="170"/>
      <c r="G6" s="103" t="str">
        <f>MRS!G6</f>
        <v>EA</v>
      </c>
      <c r="H6" s="103">
        <f>MRS!H6</f>
        <v>1</v>
      </c>
      <c r="I6" s="104">
        <f>MRS!I6</f>
        <v>7</v>
      </c>
      <c r="J6" s="104">
        <f>MRS!J6</f>
        <v>7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6">
        <f>MRS!B7</f>
        <v>0</v>
      </c>
      <c r="C7" s="167"/>
      <c r="D7" s="168">
        <f>MRS!D7</f>
        <v>0</v>
      </c>
      <c r="E7" s="169"/>
      <c r="F7" s="170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6">
        <f>MRS!B8</f>
        <v>0</v>
      </c>
      <c r="C8" s="167"/>
      <c r="D8" s="168">
        <f>MRS!D8</f>
        <v>0</v>
      </c>
      <c r="E8" s="169"/>
      <c r="F8" s="170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6">
        <f>MRS!B9</f>
        <v>0</v>
      </c>
      <c r="C9" s="167"/>
      <c r="D9" s="168">
        <f>MRS!D9</f>
        <v>0</v>
      </c>
      <c r="E9" s="169"/>
      <c r="F9" s="170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6">
        <f>MRS!B10</f>
        <v>0</v>
      </c>
      <c r="C10" s="167"/>
      <c r="D10" s="168">
        <f>MRS!D10</f>
        <v>0</v>
      </c>
      <c r="E10" s="169"/>
      <c r="F10" s="170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6">
        <f>MRS!B11</f>
        <v>0</v>
      </c>
      <c r="C11" s="167"/>
      <c r="D11" s="168">
        <f>MRS!D11</f>
        <v>0</v>
      </c>
      <c r="E11" s="169"/>
      <c r="F11" s="170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1"/>
      <c r="C12" s="162"/>
      <c r="D12" s="163"/>
      <c r="E12" s="164"/>
      <c r="F12" s="165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1"/>
      <c r="C13" s="162"/>
      <c r="D13" s="163"/>
      <c r="E13" s="164"/>
      <c r="F13" s="165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1"/>
      <c r="C14" s="162"/>
      <c r="D14" s="163"/>
      <c r="E14" s="164"/>
      <c r="F14" s="165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1"/>
      <c r="C15" s="162"/>
      <c r="D15" s="163"/>
      <c r="E15" s="164"/>
      <c r="F15" s="165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1"/>
      <c r="C16" s="162"/>
      <c r="D16" s="163"/>
      <c r="E16" s="164"/>
      <c r="F16" s="165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1"/>
      <c r="C17" s="162"/>
      <c r="D17" s="163"/>
      <c r="E17" s="164"/>
      <c r="F17" s="165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6" zoomScale="130" zoomScaleNormal="100" zoomScaleSheetLayoutView="130" workbookViewId="0">
      <selection activeCell="J29" sqref="J2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101</v>
      </c>
      <c r="D9" s="39"/>
      <c r="E9" s="39"/>
    </row>
    <row r="10" spans="2:13" s="39" customFormat="1">
      <c r="B10" s="72"/>
      <c r="C10" s="39" t="s">
        <v>33</v>
      </c>
      <c r="D10" s="76">
        <v>2051242967</v>
      </c>
      <c r="J10" s="39" t="s">
        <v>34</v>
      </c>
      <c r="K10" s="174">
        <f>MRS!L3</f>
        <v>45761</v>
      </c>
      <c r="L10" s="175"/>
      <c r="M10" s="175"/>
    </row>
    <row r="11" spans="2:13" s="39" customFormat="1">
      <c r="B11" s="72"/>
      <c r="C11" s="75" t="s">
        <v>35</v>
      </c>
      <c r="D11" s="76" t="s">
        <v>102</v>
      </c>
      <c r="J11" s="39" t="s">
        <v>36</v>
      </c>
      <c r="K11" s="176" t="str">
        <f>SUBSTITUTE(SUBSTITUTE(+MRS!A3,"  MRS No : ",""),"-MRS","-PO")</f>
        <v>SAC2-DS-PO-0037</v>
      </c>
      <c r="L11" s="176"/>
      <c r="M11" s="176"/>
    </row>
    <row r="12" spans="2:13" s="39" customFormat="1">
      <c r="B12" s="72"/>
      <c r="C12" s="75" t="s">
        <v>37</v>
      </c>
      <c r="D12" s="39" t="s">
        <v>103</v>
      </c>
      <c r="J12" s="39" t="s">
        <v>38</v>
      </c>
    </row>
    <row r="13" spans="2:13" s="39" customFormat="1">
      <c r="B13" s="72"/>
      <c r="C13" s="77"/>
      <c r="D13" s="76" t="s">
        <v>104</v>
      </c>
      <c r="J13" s="39" t="s">
        <v>39</v>
      </c>
    </row>
    <row r="14" spans="2:13" s="39" customFormat="1">
      <c r="B14" s="72"/>
      <c r="C14" s="77" t="s">
        <v>105</v>
      </c>
      <c r="J14" s="39" t="s">
        <v>40</v>
      </c>
      <c r="K14" s="39" t="s">
        <v>111</v>
      </c>
    </row>
    <row r="15" spans="2:13" s="39" customFormat="1">
      <c r="B15" s="72"/>
      <c r="C15" s="77" t="s">
        <v>106</v>
      </c>
      <c r="J15" s="39" t="s">
        <v>41</v>
      </c>
      <c r="K15" s="78">
        <v>45733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42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43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44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45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109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25" t="s">
        <v>116</v>
      </c>
      <c r="G29" s="125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81"/>
      <c r="G30" s="181"/>
    </row>
    <row r="31" spans="2:13" ht="15" customHeight="1">
      <c r="B31" s="32"/>
      <c r="C31" s="26" t="s">
        <v>52</v>
      </c>
      <c r="D31" s="35"/>
      <c r="E31" s="26" t="s">
        <v>50</v>
      </c>
      <c r="F31" s="181"/>
      <c r="G31" s="181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112</v>
      </c>
      <c r="P49" s="82"/>
    </row>
    <row r="50" spans="1:16" s="83" customFormat="1" ht="15" customHeight="1">
      <c r="B50" s="84" t="s">
        <v>66</v>
      </c>
      <c r="C50" s="81" t="s">
        <v>95</v>
      </c>
    </row>
    <row r="51" spans="1:16" s="83" customFormat="1" ht="15" customHeight="1">
      <c r="B51" s="84" t="s">
        <v>66</v>
      </c>
      <c r="C51" s="81" t="s">
        <v>94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Mustafa Mohammed Ali</v>
      </c>
    </row>
    <row r="60" spans="1:16" ht="18" customHeight="1">
      <c r="B60" s="26" t="s">
        <v>72</v>
      </c>
      <c r="J60" s="26" t="s">
        <v>73</v>
      </c>
      <c r="K60" s="22" t="s">
        <v>107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82" t="str">
        <f>C9</f>
        <v>BWCT(Blue Arabian Ways Co. for Trading)</v>
      </c>
      <c r="K62" s="182"/>
      <c r="L62" s="182"/>
      <c r="M62" s="182"/>
    </row>
    <row r="63" spans="1:16" ht="27.95" customHeight="1">
      <c r="A63" s="173" t="s">
        <v>77</v>
      </c>
      <c r="B63" s="173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F16" sqref="F1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SAC2-DS-PO-0037</v>
      </c>
      <c r="C2" s="191" t="s">
        <v>79</v>
      </c>
      <c r="D2" s="191"/>
      <c r="E2" s="191"/>
      <c r="F2" s="191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45761</v>
      </c>
      <c r="C3" s="51"/>
      <c r="D3" s="52"/>
      <c r="E3" s="192" t="s">
        <v>81</v>
      </c>
      <c r="F3" s="192"/>
      <c r="G3" s="192"/>
      <c r="H3" s="192"/>
      <c r="I3" s="53"/>
    </row>
    <row r="4" spans="1:13" s="55" customFormat="1" ht="28.5" customHeight="1" thickTop="1">
      <c r="A4" s="193" t="s">
        <v>82</v>
      </c>
      <c r="B4" s="195" t="s">
        <v>83</v>
      </c>
      <c r="C4" s="196"/>
      <c r="D4" s="199" t="s">
        <v>84</v>
      </c>
      <c r="E4" s="199" t="s">
        <v>85</v>
      </c>
      <c r="F4" s="201" t="str">
        <f>'PO 1st page'!C9</f>
        <v>BWCT(Blue Arabian Ways Co. for Trading)</v>
      </c>
      <c r="G4" s="202"/>
      <c r="H4" s="203" t="s">
        <v>86</v>
      </c>
      <c r="K4" s="56"/>
      <c r="L4" s="56"/>
      <c r="M4" s="56"/>
    </row>
    <row r="5" spans="1:13" s="55" customFormat="1" ht="21.95" customHeight="1">
      <c r="A5" s="194"/>
      <c r="B5" s="197"/>
      <c r="C5" s="198"/>
      <c r="D5" s="200"/>
      <c r="E5" s="200"/>
      <c r="F5" s="57" t="s">
        <v>87</v>
      </c>
      <c r="G5" s="57" t="s">
        <v>52</v>
      </c>
      <c r="H5" s="204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9" t="str">
        <f>+'MRS LIST'!B6</f>
        <v>Drinking Water</v>
      </c>
      <c r="C6" s="190"/>
      <c r="D6" s="86" t="str">
        <f>+'MRS LIST'!G6</f>
        <v>EA</v>
      </c>
      <c r="E6" s="87">
        <f>+'MRS LIST'!H6</f>
        <v>1</v>
      </c>
      <c r="F6" s="88">
        <f>+'MRS LIST'!I6</f>
        <v>7</v>
      </c>
      <c r="G6" s="89">
        <f>+'MRS LIST'!J6</f>
        <v>7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89"/>
      <c r="C7" s="190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9"/>
      <c r="C8" s="190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9"/>
      <c r="C9" s="190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89"/>
      <c r="C10" s="190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9"/>
      <c r="C11" s="190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187"/>
      <c r="C12" s="188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7"/>
      <c r="C13" s="188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7"/>
      <c r="C14" s="188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7"/>
      <c r="C15" s="188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7"/>
      <c r="C16" s="188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7"/>
      <c r="C17" s="188"/>
      <c r="D17" s="94"/>
      <c r="E17" s="95"/>
      <c r="F17" s="96"/>
      <c r="G17" s="97"/>
      <c r="H17" s="98"/>
    </row>
    <row r="18" spans="1:13" s="55" customFormat="1" ht="23.1" customHeight="1">
      <c r="A18" s="183" t="s">
        <v>88</v>
      </c>
      <c r="B18" s="184"/>
      <c r="C18" s="184"/>
      <c r="D18" s="184"/>
      <c r="E18" s="184"/>
      <c r="F18" s="184"/>
      <c r="G18" s="58">
        <f>SUM(G6:G17)</f>
        <v>7</v>
      </c>
      <c r="H18" s="59"/>
    </row>
    <row r="19" spans="1:13" s="55" customFormat="1" ht="23.1" customHeight="1">
      <c r="A19" s="183" t="s">
        <v>51</v>
      </c>
      <c r="B19" s="184"/>
      <c r="C19" s="184"/>
      <c r="D19" s="184"/>
      <c r="E19" s="184"/>
      <c r="F19" s="184"/>
      <c r="G19" s="58">
        <f>+G18*0.15</f>
        <v>1.05</v>
      </c>
      <c r="H19" s="59"/>
    </row>
    <row r="20" spans="1:13" s="55" customFormat="1" ht="24.95" customHeight="1" thickBot="1">
      <c r="A20" s="185" t="s">
        <v>89</v>
      </c>
      <c r="B20" s="186"/>
      <c r="C20" s="186"/>
      <c r="D20" s="186"/>
      <c r="E20" s="186"/>
      <c r="F20" s="186"/>
      <c r="G20" s="60">
        <f>G19+G18</f>
        <v>8.0500000000000007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QT-BWC-2025-449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91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2025-04-15T07:55:30Z</cp:lastPrinted>
  <dcterms:created xsi:type="dcterms:W3CDTF">2024-10-20T11:50:19Z</dcterms:created>
  <dcterms:modified xsi:type="dcterms:W3CDTF">2025-04-15T07:57:29Z</dcterms:modified>
</cp:coreProperties>
</file>