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1C16459-9CDC-4B81-8612-4C6F0F2A4E7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6" i="4" l="1"/>
  <c r="F6" i="4"/>
  <c r="D6" i="4"/>
  <c r="P54" i="3" l="1"/>
  <c r="B6" i="4" l="1"/>
  <c r="J7" i="2"/>
  <c r="H6" i="4"/>
  <c r="J8" i="2"/>
  <c r="I8" i="2"/>
  <c r="H8" i="2"/>
  <c r="G8" i="2"/>
  <c r="I7" i="2"/>
  <c r="H7" i="2"/>
  <c r="G7" i="2"/>
  <c r="D8" i="2"/>
  <c r="B8" i="2"/>
  <c r="D7" i="2"/>
  <c r="B7" i="2"/>
  <c r="E3" i="1"/>
  <c r="J6" i="1" l="1"/>
  <c r="G6" i="4" s="1"/>
  <c r="K10" i="3"/>
  <c r="A21" i="4" l="1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18" i="4" s="1"/>
  <c r="G19" i="4" l="1"/>
  <c r="G20" i="4" s="1"/>
</calcChain>
</file>

<file path=xl/sharedStrings.xml><?xml version="1.0" encoding="utf-8"?>
<sst xmlns="http://schemas.openxmlformats.org/spreadsheetml/2006/main" count="172" uniqueCount="132">
  <si>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</si>
  <si>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</si>
  <si>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</si>
  <si>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</si>
  <si>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</si>
  <si>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</si>
  <si>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</si>
  <si>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</si>
  <si>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</si>
  <si>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</si>
  <si>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</si>
  <si>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</si>
  <si>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</si>
  <si>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</si>
  <si>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</si>
  <si>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</si>
  <si>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</si>
  <si>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</si>
  <si>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</si>
  <si>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</si>
  <si>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</si>
  <si>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</si>
  <si>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</si>
  <si>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</si>
  <si>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</si>
  <si>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</si>
  <si>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</si>
  <si>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</si>
  <si>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</si>
  <si>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</si>
  <si>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</si>
  <si>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</si>
  <si>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</si>
  <si>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</si>
  <si>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</si>
  <si>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</si>
  <si>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</si>
  <si>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</si>
  <si>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</si>
  <si>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</si>
  <si>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</si>
  <si>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</si>
  <si>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</si>
  <si>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</si>
  <si>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</si>
  <si>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</si>
  <si>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</si>
  <si>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</si>
  <si>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</si>
  <si>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</si>
  <si>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</si>
  <si>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</si>
  <si>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</si>
  <si>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</si>
  <si>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</si>
  <si>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</si>
  <si>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</si>
  <si>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</si>
  <si>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</si>
  <si>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</si>
  <si>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</si>
  <si>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</si>
  <si>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</si>
  <si>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</si>
  <si>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</si>
  <si>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</si>
  <si>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</si>
  <si>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</si>
  <si>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</si>
  <si>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</si>
  <si>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</si>
  <si>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</si>
  <si>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</si>
  <si>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</si>
  <si>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</si>
  <si>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</si>
  <si>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</si>
  <si>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</si>
  <si>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</si>
  <si>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</si>
  <si>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</si>
  <si>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</si>
  <si>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</si>
  <si>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</si>
  <si>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</si>
  <si>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</si>
  <si>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</si>
  <si>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</si>
  <si>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</si>
  <si>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</si>
  <si>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</si>
  <si>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</si>
  <si>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</si>
  <si>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</si>
  <si>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</si>
  <si>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</si>
  <si>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</si>
  <si>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</si>
  <si>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</si>
  <si>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</si>
  <si>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</si>
  <si>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</si>
  <si>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</si>
  <si>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</si>
  <si>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</si>
  <si>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</si>
  <si>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</si>
  <si>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</si>
  <si>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</si>
  <si>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</si>
  <si>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</si>
  <si>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Boom Truck</t>
  </si>
  <si>
    <t xml:space="preserve"> CR No. :</t>
    <phoneticPr fontId="7" type="noConversion"/>
  </si>
  <si>
    <t xml:space="preserve"> VAT No. : </t>
    <phoneticPr fontId="7" type="noConversion"/>
  </si>
  <si>
    <t xml:space="preserve"> In Charge :</t>
    <phoneticPr fontId="7" type="noConversion"/>
  </si>
  <si>
    <t>Head of Equipment Division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</si>
  <si>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-MRS-0305</t>
    </r>
  </si>
  <si>
    <t>12 Ton with Aramco Certified Operator</t>
  </si>
  <si>
    <t>SMF</t>
  </si>
  <si>
    <t>SMF (Alshahid Modern Future Contracting Co.)</t>
  </si>
  <si>
    <t>2051261874</t>
  </si>
  <si>
    <t>312729632500003</t>
  </si>
  <si>
    <t>Shahid Farooq</t>
  </si>
  <si>
    <t>Building No. 6628, Al Khubar Ash Shamaliya Dist. 34429, KSA</t>
  </si>
  <si>
    <t>ALSHAHID MODERN FUTURE CONTRACTING CO.</t>
  </si>
  <si>
    <t>353374804001</t>
  </si>
  <si>
    <t>SA65 4500 0000 3533 7480 4001</t>
  </si>
  <si>
    <t>SAB</t>
  </si>
  <si>
    <t>SABBSARI</t>
  </si>
  <si>
    <t>Mobile : +966 59 290 6484</t>
  </si>
  <si>
    <t>+966 59 290 6484 /  Email:shahidfarooq820@gmail.com</t>
  </si>
  <si>
    <t>QUOTE0017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</si>
</sst>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6" fillId="3" borderId="0" xfId="5" applyFont="1" applyFill="1"/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8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10"/>
      <c r="C1" s="110"/>
      <c r="D1" s="110"/>
      <c r="E1" s="110"/>
      <c r="F1" s="110"/>
      <c r="G1" s="1"/>
      <c r="J1" s="137" t="s">
        <v>95</v>
      </c>
      <c r="K1" s="138"/>
      <c r="L1" s="139"/>
    </row>
    <row r="2" spans="1:19" ht="20.100000000000001" customHeight="1">
      <c r="A2" s="3" t="s">
        <v>96</v>
      </c>
      <c r="B2" s="101"/>
      <c r="C2" s="101"/>
      <c r="D2" s="3" t="s">
        <v>97</v>
      </c>
      <c r="E2" s="101"/>
      <c r="F2" s="101"/>
      <c r="G2" s="101"/>
      <c r="H2" s="101"/>
      <c r="I2" s="4"/>
      <c r="J2" s="140" t="s">
        <v>98</v>
      </c>
      <c r="K2" s="141"/>
      <c r="L2" s="142"/>
    </row>
    <row r="3" spans="1:19" ht="20.100000000000001" customHeight="1">
      <c r="A3" s="3" t="s">
        <v>116</v>
      </c>
      <c r="B3" s="101"/>
      <c r="C3" s="101"/>
      <c r="D3" s="101"/>
      <c r="E3" s="143">
        <f>+L3</f>
        <v>46146</v>
      </c>
      <c r="F3" s="143"/>
      <c r="G3" s="143"/>
      <c r="H3" s="143"/>
      <c r="I3" s="143"/>
      <c r="J3" s="101"/>
      <c r="K3" s="101"/>
      <c r="L3" s="122">
        <v>46146</v>
      </c>
      <c r="M3" s="4"/>
    </row>
    <row r="4" spans="1:19" ht="15.95" customHeight="1">
      <c r="A4" s="144" t="s">
        <v>1</v>
      </c>
      <c r="B4" s="145" t="s">
        <v>2</v>
      </c>
      <c r="C4" s="145"/>
      <c r="D4" s="146" t="s">
        <v>3</v>
      </c>
      <c r="E4" s="147"/>
      <c r="F4" s="148"/>
      <c r="G4" s="152" t="s">
        <v>4</v>
      </c>
      <c r="H4" s="154" t="s">
        <v>5</v>
      </c>
      <c r="I4" s="154" t="s">
        <v>91</v>
      </c>
      <c r="J4" s="144" t="s">
        <v>92</v>
      </c>
      <c r="K4" s="154" t="s">
        <v>0</v>
      </c>
      <c r="L4" s="145" t="s">
        <v>6</v>
      </c>
    </row>
    <row r="5" spans="1:19" ht="15.95" customHeight="1">
      <c r="A5" s="144"/>
      <c r="B5" s="145"/>
      <c r="C5" s="145"/>
      <c r="D5" s="149"/>
      <c r="E5" s="150"/>
      <c r="F5" s="151"/>
      <c r="G5" s="153"/>
      <c r="H5" s="155"/>
      <c r="I5" s="155"/>
      <c r="J5" s="144"/>
      <c r="K5" s="155"/>
      <c r="L5" s="145"/>
    </row>
    <row r="6" spans="1:19" ht="22.5" customHeight="1">
      <c r="A6" s="5">
        <f t="shared" ref="A6:A15" si="0">ROW(A1)</f>
        <v>1</v>
      </c>
      <c r="B6" s="156" t="s">
        <v>111</v>
      </c>
      <c r="C6" s="157"/>
      <c r="D6" s="158" t="s">
        <v>117</v>
      </c>
      <c r="E6" s="159"/>
      <c r="F6" s="160"/>
      <c r="G6" s="111" t="s">
        <v>86</v>
      </c>
      <c r="H6" s="112">
        <v>1</v>
      </c>
      <c r="I6" s="113">
        <v>34000</v>
      </c>
      <c r="J6" s="113">
        <f>H6*I6</f>
        <v>34000</v>
      </c>
      <c r="K6" s="114" t="s">
        <v>118</v>
      </c>
      <c r="L6" s="115" t="s">
        <v>93</v>
      </c>
      <c r="S6" s="106"/>
    </row>
    <row r="7" spans="1:19" ht="22.5" customHeight="1">
      <c r="A7" s="5">
        <f t="shared" si="0"/>
        <v>2</v>
      </c>
      <c r="B7" s="156"/>
      <c r="C7" s="157"/>
      <c r="D7" s="161"/>
      <c r="E7" s="159"/>
      <c r="F7" s="160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56"/>
      <c r="C8" s="157"/>
      <c r="D8" s="158"/>
      <c r="E8" s="159"/>
      <c r="F8" s="160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56"/>
      <c r="C9" s="157"/>
      <c r="D9" s="161"/>
      <c r="E9" s="159"/>
      <c r="F9" s="160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62"/>
      <c r="C10" s="162"/>
      <c r="D10" s="163"/>
      <c r="E10" s="163"/>
      <c r="F10" s="16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56"/>
      <c r="C11" s="157"/>
      <c r="D11" s="158"/>
      <c r="E11" s="159"/>
      <c r="F11" s="160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62"/>
      <c r="C12" s="162"/>
      <c r="D12" s="163"/>
      <c r="E12" s="163"/>
      <c r="F12" s="16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56"/>
      <c r="C13" s="157"/>
      <c r="D13" s="158"/>
      <c r="E13" s="159"/>
      <c r="F13" s="160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56"/>
      <c r="C14" s="157"/>
      <c r="D14" s="158"/>
      <c r="E14" s="159"/>
      <c r="F14" s="160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56"/>
      <c r="C15" s="157"/>
      <c r="D15" s="158"/>
      <c r="E15" s="159"/>
      <c r="F15" s="160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64" t="s">
        <v>7</v>
      </c>
      <c r="B16" s="165"/>
      <c r="C16" s="117"/>
      <c r="D16" s="118"/>
      <c r="E16" s="118"/>
      <c r="F16" s="118"/>
      <c r="G16" s="119"/>
      <c r="H16" s="119"/>
      <c r="I16" s="120" t="s">
        <v>8</v>
      </c>
      <c r="J16" s="113">
        <f>SUM(J6:J15)</f>
        <v>34000</v>
      </c>
      <c r="K16" s="113"/>
      <c r="L16" s="121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6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67"/>
      <c r="T19" s="14"/>
      <c r="U19" s="15"/>
      <c r="V19" s="14"/>
    </row>
    <row r="20" spans="1:22" ht="17.100000000000001" customHeight="1">
      <c r="O20" s="11"/>
      <c r="P20" s="11"/>
      <c r="Q20" s="11"/>
      <c r="S20" s="168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9" t="s">
        <v>16</v>
      </c>
      <c r="Q21" s="169" t="s">
        <v>17</v>
      </c>
    </row>
    <row r="22" spans="1:22" ht="18" customHeight="1">
      <c r="O22" s="18" t="s">
        <v>18</v>
      </c>
      <c r="P22" s="170"/>
      <c r="Q22" s="170"/>
      <c r="S22" s="166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67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8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71"/>
      <c r="P27" s="171"/>
      <c r="Q27" s="171"/>
    </row>
    <row r="28" spans="1:22" ht="19.899999999999999" customHeight="1">
      <c r="O28" s="171"/>
      <c r="P28" s="171"/>
      <c r="Q28" s="17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9" t="s">
        <v>20</v>
      </c>
    </row>
    <row r="41" spans="15:22" ht="19.899999999999999" customHeight="1">
      <c r="T41" s="170"/>
    </row>
    <row r="42" spans="15:22" ht="64.900000000000006" customHeight="1">
      <c r="T42" s="14"/>
    </row>
    <row r="46" spans="15:22" ht="21" customHeight="1">
      <c r="O46" s="169" t="s">
        <v>20</v>
      </c>
      <c r="P46" s="169" t="s">
        <v>20</v>
      </c>
      <c r="Q46" s="169" t="s">
        <v>20</v>
      </c>
      <c r="T46" s="169" t="s">
        <v>21</v>
      </c>
      <c r="U46" s="169" t="s">
        <v>12</v>
      </c>
      <c r="V46" s="169" t="s">
        <v>20</v>
      </c>
    </row>
    <row r="47" spans="15:22" ht="21" customHeight="1">
      <c r="O47" s="170"/>
      <c r="P47" s="170"/>
      <c r="Q47" s="170"/>
      <c r="T47" s="168"/>
      <c r="U47" s="168"/>
      <c r="V47" s="17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9" t="s">
        <v>20</v>
      </c>
      <c r="P50" s="169" t="s">
        <v>20</v>
      </c>
      <c r="Q50" s="169" t="s">
        <v>20</v>
      </c>
      <c r="T50" s="169" t="s">
        <v>12</v>
      </c>
      <c r="U50" s="169" t="s">
        <v>21</v>
      </c>
      <c r="V50" s="169" t="s">
        <v>20</v>
      </c>
    </row>
    <row r="51" spans="15:22" ht="21" customHeight="1">
      <c r="O51" s="170"/>
      <c r="P51" s="170"/>
      <c r="Q51" s="170"/>
      <c r="T51" s="168"/>
      <c r="U51" s="168"/>
      <c r="V51" s="17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90</v>
      </c>
      <c r="B1" s="100"/>
      <c r="C1" s="100"/>
      <c r="D1" s="100"/>
      <c r="E1" s="100"/>
      <c r="F1" s="100"/>
      <c r="G1" s="1"/>
      <c r="J1" s="172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74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SAC2-DS-MRS-0305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46146</v>
      </c>
    </row>
    <row r="4" spans="1:18" ht="15.95" customHeight="1">
      <c r="A4" s="176" t="s">
        <v>1</v>
      </c>
      <c r="B4" s="177" t="s">
        <v>22</v>
      </c>
      <c r="C4" s="177"/>
      <c r="D4" s="176" t="s">
        <v>3</v>
      </c>
      <c r="E4" s="176"/>
      <c r="F4" s="176"/>
      <c r="G4" s="177" t="s">
        <v>4</v>
      </c>
      <c r="H4" s="176" t="s">
        <v>87</v>
      </c>
      <c r="I4" s="176" t="s">
        <v>23</v>
      </c>
      <c r="J4" s="176" t="s">
        <v>24</v>
      </c>
      <c r="K4" s="177" t="s">
        <v>6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78" t="str">
        <f>MRS!B6</f>
        <v>Boom Truck</v>
      </c>
      <c r="C6" s="179"/>
      <c r="D6" s="180" t="str">
        <f>MRS!D6</f>
        <v>12 Ton with Aramco Certified Operator</v>
      </c>
      <c r="E6" s="181"/>
      <c r="F6" s="182"/>
      <c r="G6" s="103" t="str">
        <f>MRS!G6</f>
        <v>Month</v>
      </c>
      <c r="H6" s="103">
        <f>MRS!H6</f>
        <v>1</v>
      </c>
      <c r="I6" s="104">
        <f>MRS!I6</f>
        <v>34000</v>
      </c>
      <c r="J6" s="104">
        <f>MRS!J6</f>
        <v>34000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83"/>
      <c r="C9" s="184"/>
      <c r="D9" s="185"/>
      <c r="E9" s="186"/>
      <c r="F9" s="187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83"/>
      <c r="C10" s="184"/>
      <c r="D10" s="185"/>
      <c r="E10" s="186"/>
      <c r="F10" s="187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83"/>
      <c r="C11" s="184"/>
      <c r="D11" s="185"/>
      <c r="E11" s="186"/>
      <c r="F11" s="187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83"/>
      <c r="C12" s="184"/>
      <c r="D12" s="185"/>
      <c r="E12" s="186"/>
      <c r="F12" s="187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83"/>
      <c r="C13" s="184"/>
      <c r="D13" s="185"/>
      <c r="E13" s="186"/>
      <c r="F13" s="187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83"/>
      <c r="C14" s="184"/>
      <c r="D14" s="185"/>
      <c r="E14" s="186"/>
      <c r="F14" s="187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83"/>
      <c r="C15" s="184"/>
      <c r="D15" s="185"/>
      <c r="E15" s="186"/>
      <c r="F15" s="187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83"/>
      <c r="C16" s="184"/>
      <c r="D16" s="185"/>
      <c r="E16" s="186"/>
      <c r="F16" s="187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83"/>
      <c r="C17" s="184"/>
      <c r="D17" s="185"/>
      <c r="E17" s="186"/>
      <c r="F17" s="187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119</v>
      </c>
      <c r="D9" s="39"/>
      <c r="E9" s="39"/>
    </row>
    <row r="10" spans="2:13" s="39" customFormat="1">
      <c r="B10" s="72"/>
      <c r="C10" s="39" t="s">
        <v>112</v>
      </c>
      <c r="D10" s="76" t="s">
        <v>120</v>
      </c>
      <c r="J10" s="39" t="s">
        <v>31</v>
      </c>
      <c r="K10" s="129">
        <f>MRS!L3</f>
        <v>46146</v>
      </c>
      <c r="L10" s="130"/>
      <c r="M10" s="130"/>
    </row>
    <row r="11" spans="2:13" s="39" customFormat="1">
      <c r="B11" s="72"/>
      <c r="C11" s="75" t="s">
        <v>113</v>
      </c>
      <c r="D11" s="76" t="s">
        <v>121</v>
      </c>
      <c r="J11" s="39" t="s">
        <v>32</v>
      </c>
      <c r="K11" s="131" t="str">
        <f>SUBSTITUTE(SUBSTITUTE(+MRS!A3,"  MRS No : ",""),"-MRS","-PO")</f>
        <v>SAC2-DS-PO-0305</v>
      </c>
      <c r="L11" s="131"/>
      <c r="M11" s="131"/>
    </row>
    <row r="12" spans="2:13" s="39" customFormat="1">
      <c r="B12" s="72"/>
      <c r="C12" s="75" t="s">
        <v>114</v>
      </c>
      <c r="D12" s="39" t="s">
        <v>122</v>
      </c>
      <c r="J12" s="39" t="s">
        <v>33</v>
      </c>
    </row>
    <row r="13" spans="2:13" s="39" customFormat="1">
      <c r="B13" s="72"/>
      <c r="C13" s="77"/>
      <c r="D13" s="76" t="s">
        <v>130</v>
      </c>
      <c r="J13" s="39" t="s">
        <v>34</v>
      </c>
    </row>
    <row r="14" spans="2:13" s="39" customFormat="1">
      <c r="B14" s="72"/>
      <c r="C14" s="77" t="s">
        <v>123</v>
      </c>
      <c r="J14" s="39" t="s">
        <v>35</v>
      </c>
      <c r="K14" s="39" t="s">
        <v>131</v>
      </c>
    </row>
    <row r="15" spans="2:13" s="39" customFormat="1">
      <c r="B15" s="72"/>
      <c r="C15" s="77" t="s">
        <v>129</v>
      </c>
      <c r="J15" s="39" t="s">
        <v>36</v>
      </c>
      <c r="K15" s="78">
        <v>46146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32" t="s">
        <v>37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</row>
    <row r="19" spans="2:13" ht="12" customHeight="1"/>
    <row r="20" spans="2:13" s="31" customFormat="1" ht="12" customHeight="1">
      <c r="B20" s="133" t="s">
        <v>38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</row>
    <row r="21" spans="2:13" s="31" customFormat="1" ht="12" customHeight="1">
      <c r="B21" s="133" t="s">
        <v>39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</row>
    <row r="22" spans="2:13" s="31" customFormat="1" ht="12" customHeight="1">
      <c r="B22" s="133" t="s">
        <v>40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</row>
    <row r="23" spans="2:13" ht="6.95" customHeight="1"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r="24" spans="2:13" ht="6.95" customHeight="1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4" t="str">
        <f>_xlfn.CONCAT(MRS!B6," ",MRS!D6)</f>
        <v>Boom Truck 12 Ton with Aramco Certified Operator</v>
      </c>
      <c r="M26" s="79" t="s">
        <v>42</v>
      </c>
    </row>
    <row r="27" spans="2:13" ht="11.1" customHeight="1">
      <c r="B27" s="32"/>
      <c r="C27" s="126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36" t="s">
        <v>93</v>
      </c>
      <c r="G29" s="136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36"/>
      <c r="G30" s="136"/>
    </row>
    <row r="31" spans="2:13" ht="12" customHeight="1">
      <c r="B31" s="32"/>
      <c r="C31" s="26" t="s">
        <v>47</v>
      </c>
      <c r="D31" s="35"/>
      <c r="E31" s="26" t="s">
        <v>45</v>
      </c>
      <c r="F31" s="136"/>
      <c r="G31" s="136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5" t="s">
        <v>103</v>
      </c>
      <c r="F54" s="26" t="s">
        <v>124</v>
      </c>
      <c r="P54" s="26" t="str">
        <f>UPPER(F54)</f>
        <v>ALSHAHID MODERN FUTURE CONTRACTING CO.</v>
      </c>
    </row>
    <row r="55" spans="2:16" ht="12" customHeight="1">
      <c r="B55" s="84" t="s">
        <v>61</v>
      </c>
      <c r="C55" s="125" t="s">
        <v>104</v>
      </c>
      <c r="F55" s="126" t="s">
        <v>125</v>
      </c>
    </row>
    <row r="56" spans="2:16" ht="12" customHeight="1">
      <c r="B56" s="84" t="s">
        <v>61</v>
      </c>
      <c r="C56" s="125" t="s">
        <v>105</v>
      </c>
      <c r="F56" s="126" t="s">
        <v>126</v>
      </c>
    </row>
    <row r="57" spans="2:16" ht="12" customHeight="1">
      <c r="B57" s="84" t="s">
        <v>61</v>
      </c>
      <c r="C57" s="125" t="s">
        <v>106</v>
      </c>
      <c r="F57" s="26" t="s">
        <v>127</v>
      </c>
    </row>
    <row r="58" spans="2:16" ht="12" customHeight="1">
      <c r="B58" s="84" t="s">
        <v>61</v>
      </c>
      <c r="C58" s="125" t="s">
        <v>107</v>
      </c>
      <c r="F58" s="26" t="s">
        <v>128</v>
      </c>
    </row>
    <row r="59" spans="2:16" ht="12" customHeight="1">
      <c r="B59" s="84" t="s">
        <v>61</v>
      </c>
      <c r="C59" s="125" t="s">
        <v>108</v>
      </c>
      <c r="F59" s="26" t="s">
        <v>109</v>
      </c>
    </row>
    <row r="60" spans="2:16" ht="12" customHeight="1">
      <c r="B60" s="84"/>
      <c r="C60" s="125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SHAHID FAROOQ</v>
      </c>
    </row>
    <row r="68" spans="1:13" ht="18" customHeight="1">
      <c r="B68" s="26" t="s">
        <v>67</v>
      </c>
      <c r="J68" s="26" t="s">
        <v>68</v>
      </c>
      <c r="K68" s="22" t="s">
        <v>115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127" t="str">
        <f>C9</f>
        <v>SMF (Alshahid Modern Future Contracting Co.)</v>
      </c>
    </row>
    <row r="71" spans="1:13" ht="27.95" customHeight="1">
      <c r="A71" s="128" t="s">
        <v>71</v>
      </c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SAC2-DS-PO-0305</v>
      </c>
      <c r="C2" s="190" t="s">
        <v>73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46146</v>
      </c>
      <c r="C3" s="51"/>
      <c r="D3" s="52"/>
      <c r="E3" s="191" t="s">
        <v>75</v>
      </c>
      <c r="F3" s="191"/>
      <c r="G3" s="191"/>
      <c r="H3" s="191"/>
      <c r="I3" s="53"/>
    </row>
    <row r="4" spans="1:13" s="55" customFormat="1" ht="28.5" customHeight="1" thickTop="1">
      <c r="A4" s="192" t="s">
        <v>76</v>
      </c>
      <c r="B4" s="194" t="s">
        <v>77</v>
      </c>
      <c r="C4" s="195"/>
      <c r="D4" s="198" t="s">
        <v>78</v>
      </c>
      <c r="E4" s="198" t="s">
        <v>79</v>
      </c>
      <c r="F4" s="200" t="str">
        <f>'PO 1st page'!C9</f>
        <v>SMF (Alshahid Modern Future Contracting Co.)</v>
      </c>
      <c r="G4" s="201"/>
      <c r="H4" s="202" t="s">
        <v>80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81</v>
      </c>
      <c r="G5" s="57" t="s">
        <v>47</v>
      </c>
      <c r="H5" s="203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4" t="str">
        <f>CONCATENATE(MRS!B6," ",MRS!D6)</f>
        <v>Boom Truck 12 Ton with Aramco Certified Operator</v>
      </c>
      <c r="C6" s="205"/>
      <c r="D6" s="86" t="str">
        <f>MRS!G6</f>
        <v>Month</v>
      </c>
      <c r="E6" s="86">
        <f>MRS!H6</f>
        <v>1</v>
      </c>
      <c r="F6" s="87">
        <f>MRS!I6</f>
        <v>34000</v>
      </c>
      <c r="G6" s="88">
        <f>MRS!J6</f>
        <v>34000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5">
        <f t="shared" si="0"/>
        <v>2</v>
      </c>
      <c r="B7" s="204"/>
      <c r="C7" s="205"/>
      <c r="D7" s="86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204"/>
      <c r="C8" s="205"/>
      <c r="D8" s="86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204"/>
      <c r="C9" s="205"/>
      <c r="D9" s="86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8"/>
      <c r="C10" s="189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8"/>
      <c r="C11" s="189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5" customFormat="1" ht="23.1" customHeight="1">
      <c r="A18" s="206" t="s">
        <v>82</v>
      </c>
      <c r="B18" s="207"/>
      <c r="C18" s="207"/>
      <c r="D18" s="207"/>
      <c r="E18" s="207"/>
      <c r="F18" s="207"/>
      <c r="G18" s="58">
        <f>SUM(G6:G17)</f>
        <v>34000</v>
      </c>
      <c r="H18" s="59"/>
    </row>
    <row r="19" spans="1:13" s="55" customFormat="1" ht="23.1" customHeight="1">
      <c r="A19" s="206" t="s">
        <v>46</v>
      </c>
      <c r="B19" s="207"/>
      <c r="C19" s="207"/>
      <c r="D19" s="207"/>
      <c r="E19" s="207"/>
      <c r="F19" s="207"/>
      <c r="G19" s="58">
        <f>+G18*0.15</f>
        <v>5100</v>
      </c>
      <c r="H19" s="59"/>
    </row>
    <row r="20" spans="1:13" s="55" customFormat="1" ht="24.95" customHeight="1" thickBot="1">
      <c r="A20" s="208" t="s">
        <v>83</v>
      </c>
      <c r="B20" s="209"/>
      <c r="C20" s="209"/>
      <c r="D20" s="209"/>
      <c r="E20" s="209"/>
      <c r="F20" s="209"/>
      <c r="G20" s="60">
        <f>G19+G18</f>
        <v>39100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QUOTE0017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8" t="s">
        <v>85</v>
      </c>
      <c r="B24" s="128"/>
      <c r="C24" s="128"/>
      <c r="D24" s="128"/>
      <c r="E24" s="128"/>
      <c r="F24" s="128"/>
      <c r="G24" s="128"/>
      <c r="H24" s="128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2026-05-04T15:29:50Z</cp:lastPrinted>
  <dcterms:created xsi:type="dcterms:W3CDTF">2024-10-20T11:50:19Z</dcterms:created>
  <dcterms:modified xsi:type="dcterms:W3CDTF">2026-05-04T15:29:54Z</dcterms:modified>
</cp:coreProperties>
</file>