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E3044FE-6B28-4EA2-9A7F-E09432FA2285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MRS!$A$1:$L$127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4" l="1"/>
  <c r="G117" i="4"/>
  <c r="F117" i="4"/>
  <c r="E117" i="4"/>
  <c r="D117" i="4"/>
  <c r="B117" i="4"/>
  <c r="G116" i="4"/>
  <c r="F116" i="4"/>
  <c r="E116" i="4"/>
  <c r="D116" i="4"/>
  <c r="B116" i="4"/>
  <c r="G115" i="4"/>
  <c r="F115" i="4"/>
  <c r="E115" i="4"/>
  <c r="D115" i="4"/>
  <c r="B115" i="4"/>
  <c r="G114" i="4"/>
  <c r="F114" i="4"/>
  <c r="E114" i="4"/>
  <c r="D114" i="4"/>
  <c r="B114" i="4"/>
  <c r="G113" i="4"/>
  <c r="F113" i="4"/>
  <c r="E113" i="4"/>
  <c r="D113" i="4"/>
  <c r="B113" i="4"/>
  <c r="G112" i="4"/>
  <c r="F112" i="4"/>
  <c r="E112" i="4"/>
  <c r="D112" i="4"/>
  <c r="B112" i="4"/>
  <c r="G111" i="4"/>
  <c r="F111" i="4"/>
  <c r="E111" i="4"/>
  <c r="D111" i="4"/>
  <c r="B111" i="4"/>
  <c r="G110" i="4"/>
  <c r="F110" i="4"/>
  <c r="E110" i="4"/>
  <c r="D110" i="4"/>
  <c r="B110" i="4"/>
  <c r="G109" i="4"/>
  <c r="F109" i="4"/>
  <c r="E109" i="4"/>
  <c r="D109" i="4"/>
  <c r="B109" i="4"/>
  <c r="G108" i="4"/>
  <c r="F108" i="4"/>
  <c r="E108" i="4"/>
  <c r="D108" i="4"/>
  <c r="B108" i="4"/>
  <c r="G107" i="4"/>
  <c r="F107" i="4"/>
  <c r="E107" i="4"/>
  <c r="D107" i="4"/>
  <c r="B107" i="4"/>
  <c r="G106" i="4"/>
  <c r="F106" i="4"/>
  <c r="E106" i="4"/>
  <c r="D106" i="4"/>
  <c r="B106" i="4"/>
  <c r="G105" i="4"/>
  <c r="F105" i="4"/>
  <c r="E105" i="4"/>
  <c r="D105" i="4"/>
  <c r="B105" i="4"/>
  <c r="G104" i="4"/>
  <c r="F104" i="4"/>
  <c r="E104" i="4"/>
  <c r="D104" i="4"/>
  <c r="B104" i="4"/>
  <c r="G103" i="4"/>
  <c r="F103" i="4"/>
  <c r="E103" i="4"/>
  <c r="D103" i="4"/>
  <c r="B103" i="4"/>
  <c r="G102" i="4"/>
  <c r="F102" i="4"/>
  <c r="E102" i="4"/>
  <c r="D102" i="4"/>
  <c r="B102" i="4"/>
  <c r="G101" i="4"/>
  <c r="F101" i="4"/>
  <c r="E101" i="4"/>
  <c r="D101" i="4"/>
  <c r="B101" i="4"/>
  <c r="G100" i="4"/>
  <c r="F100" i="4"/>
  <c r="E100" i="4"/>
  <c r="D100" i="4"/>
  <c r="B100" i="4"/>
  <c r="G99" i="4"/>
  <c r="F99" i="4"/>
  <c r="E99" i="4"/>
  <c r="D99" i="4"/>
  <c r="B99" i="4"/>
  <c r="G98" i="4"/>
  <c r="F98" i="4"/>
  <c r="E98" i="4"/>
  <c r="D98" i="4"/>
  <c r="B98" i="4"/>
  <c r="G97" i="4"/>
  <c r="F97" i="4"/>
  <c r="E97" i="4"/>
  <c r="D97" i="4"/>
  <c r="B97" i="4"/>
  <c r="G96" i="4"/>
  <c r="F96" i="4"/>
  <c r="E96" i="4"/>
  <c r="D96" i="4"/>
  <c r="B96" i="4"/>
  <c r="G95" i="4"/>
  <c r="F95" i="4"/>
  <c r="E95" i="4"/>
  <c r="D95" i="4"/>
  <c r="B95" i="4"/>
  <c r="G94" i="4"/>
  <c r="F94" i="4"/>
  <c r="E94" i="4"/>
  <c r="D94" i="4"/>
  <c r="B94" i="4"/>
  <c r="G93" i="4"/>
  <c r="F93" i="4"/>
  <c r="E93" i="4"/>
  <c r="D93" i="4"/>
  <c r="B93" i="4"/>
  <c r="G92" i="4"/>
  <c r="F92" i="4"/>
  <c r="E92" i="4"/>
  <c r="D92" i="4"/>
  <c r="B92" i="4"/>
  <c r="G91" i="4"/>
  <c r="F91" i="4"/>
  <c r="E91" i="4"/>
  <c r="D91" i="4"/>
  <c r="B91" i="4"/>
  <c r="G90" i="4"/>
  <c r="F90" i="4"/>
  <c r="E90" i="4"/>
  <c r="D90" i="4"/>
  <c r="B90" i="4"/>
  <c r="G89" i="4"/>
  <c r="F89" i="4"/>
  <c r="E89" i="4"/>
  <c r="D89" i="4"/>
  <c r="B89" i="4"/>
  <c r="G88" i="4"/>
  <c r="F88" i="4"/>
  <c r="E88" i="4"/>
  <c r="D88" i="4"/>
  <c r="B88" i="4"/>
  <c r="G87" i="4"/>
  <c r="F87" i="4"/>
  <c r="E87" i="4"/>
  <c r="D87" i="4"/>
  <c r="B87" i="4"/>
  <c r="G86" i="4"/>
  <c r="F86" i="4"/>
  <c r="E86" i="4"/>
  <c r="D86" i="4"/>
  <c r="B86" i="4"/>
  <c r="G85" i="4"/>
  <c r="F85" i="4"/>
  <c r="E85" i="4"/>
  <c r="D85" i="4"/>
  <c r="B85" i="4"/>
  <c r="G84" i="4"/>
  <c r="F84" i="4"/>
  <c r="E84" i="4"/>
  <c r="D84" i="4"/>
  <c r="B84" i="4"/>
  <c r="G83" i="4"/>
  <c r="F83" i="4"/>
  <c r="E83" i="4"/>
  <c r="D83" i="4"/>
  <c r="B83" i="4"/>
  <c r="G82" i="4"/>
  <c r="F82" i="4"/>
  <c r="E82" i="4"/>
  <c r="D82" i="4"/>
  <c r="B82" i="4"/>
  <c r="G81" i="4"/>
  <c r="F81" i="4"/>
  <c r="E81" i="4"/>
  <c r="D81" i="4"/>
  <c r="B81" i="4"/>
  <c r="G80" i="4"/>
  <c r="F80" i="4"/>
  <c r="E80" i="4"/>
  <c r="D80" i="4"/>
  <c r="B80" i="4"/>
  <c r="G79" i="4"/>
  <c r="F79" i="4"/>
  <c r="E79" i="4"/>
  <c r="D79" i="4"/>
  <c r="B79" i="4"/>
  <c r="G78" i="4"/>
  <c r="F78" i="4"/>
  <c r="E78" i="4"/>
  <c r="D78" i="4"/>
  <c r="B78" i="4"/>
  <c r="G77" i="4"/>
  <c r="F77" i="4"/>
  <c r="E77" i="4"/>
  <c r="D77" i="4"/>
  <c r="B77" i="4"/>
  <c r="G76" i="4"/>
  <c r="F76" i="4"/>
  <c r="E76" i="4"/>
  <c r="D76" i="4"/>
  <c r="B76" i="4"/>
  <c r="G75" i="4"/>
  <c r="F75" i="4"/>
  <c r="E75" i="4"/>
  <c r="D75" i="4"/>
  <c r="B75" i="4"/>
  <c r="G74" i="4"/>
  <c r="F74" i="4"/>
  <c r="E74" i="4"/>
  <c r="D74" i="4"/>
  <c r="B74" i="4"/>
  <c r="G73" i="4"/>
  <c r="F73" i="4"/>
  <c r="E73" i="4"/>
  <c r="D73" i="4"/>
  <c r="B73" i="4"/>
  <c r="G72" i="4"/>
  <c r="F72" i="4"/>
  <c r="E72" i="4"/>
  <c r="D72" i="4"/>
  <c r="B72" i="4"/>
  <c r="G71" i="4"/>
  <c r="F71" i="4"/>
  <c r="E71" i="4"/>
  <c r="D71" i="4"/>
  <c r="B71" i="4"/>
  <c r="G70" i="4"/>
  <c r="F70" i="4"/>
  <c r="E70" i="4"/>
  <c r="D70" i="4"/>
  <c r="B70" i="4"/>
  <c r="G69" i="4"/>
  <c r="F69" i="4"/>
  <c r="E69" i="4"/>
  <c r="D69" i="4"/>
  <c r="B69" i="4"/>
  <c r="G68" i="4"/>
  <c r="F68" i="4"/>
  <c r="E68" i="4"/>
  <c r="D68" i="4"/>
  <c r="B68" i="4"/>
  <c r="G67" i="4"/>
  <c r="F67" i="4"/>
  <c r="E67" i="4"/>
  <c r="D67" i="4"/>
  <c r="B67" i="4"/>
  <c r="G66" i="4"/>
  <c r="F66" i="4"/>
  <c r="E66" i="4"/>
  <c r="D66" i="4"/>
  <c r="B66" i="4"/>
  <c r="G65" i="4"/>
  <c r="F65" i="4"/>
  <c r="E65" i="4"/>
  <c r="D65" i="4"/>
  <c r="B65" i="4"/>
  <c r="G64" i="4"/>
  <c r="F64" i="4"/>
  <c r="E64" i="4"/>
  <c r="D64" i="4"/>
  <c r="B64" i="4"/>
  <c r="G63" i="4"/>
  <c r="F63" i="4"/>
  <c r="E63" i="4"/>
  <c r="D63" i="4"/>
  <c r="B63" i="4"/>
  <c r="G62" i="4"/>
  <c r="F62" i="4"/>
  <c r="E62" i="4"/>
  <c r="D62" i="4"/>
  <c r="B62" i="4"/>
  <c r="G61" i="4"/>
  <c r="F61" i="4"/>
  <c r="E61" i="4"/>
  <c r="D61" i="4"/>
  <c r="B61" i="4"/>
  <c r="G60" i="4"/>
  <c r="F60" i="4"/>
  <c r="E60" i="4"/>
  <c r="D60" i="4"/>
  <c r="B60" i="4"/>
  <c r="G59" i="4"/>
  <c r="F59" i="4"/>
  <c r="E59" i="4"/>
  <c r="D59" i="4"/>
  <c r="B59" i="4"/>
  <c r="G58" i="4"/>
  <c r="F58" i="4"/>
  <c r="E58" i="4"/>
  <c r="D58" i="4"/>
  <c r="B58" i="4"/>
  <c r="G57" i="4"/>
  <c r="F57" i="4"/>
  <c r="E57" i="4"/>
  <c r="D57" i="4"/>
  <c r="B57" i="4"/>
  <c r="G56" i="4"/>
  <c r="F56" i="4"/>
  <c r="E56" i="4"/>
  <c r="D56" i="4"/>
  <c r="B56" i="4"/>
  <c r="G55" i="4"/>
  <c r="F55" i="4"/>
  <c r="E55" i="4"/>
  <c r="D55" i="4"/>
  <c r="B55" i="4"/>
  <c r="G54" i="4"/>
  <c r="F54" i="4"/>
  <c r="E54" i="4"/>
  <c r="D54" i="4"/>
  <c r="B54" i="4"/>
  <c r="G53" i="4"/>
  <c r="F53" i="4"/>
  <c r="E53" i="4"/>
  <c r="D53" i="4"/>
  <c r="B53" i="4"/>
  <c r="G52" i="4"/>
  <c r="F52" i="4"/>
  <c r="E52" i="4"/>
  <c r="D52" i="4"/>
  <c r="B52" i="4"/>
  <c r="G51" i="4"/>
  <c r="F51" i="4"/>
  <c r="E51" i="4"/>
  <c r="D51" i="4"/>
  <c r="B51" i="4"/>
  <c r="G50" i="4"/>
  <c r="F50" i="4"/>
  <c r="E50" i="4"/>
  <c r="D50" i="4"/>
  <c r="B50" i="4"/>
  <c r="G49" i="4"/>
  <c r="F49" i="4"/>
  <c r="E49" i="4"/>
  <c r="D49" i="4"/>
  <c r="B49" i="4"/>
  <c r="G48" i="4"/>
  <c r="F48" i="4"/>
  <c r="E48" i="4"/>
  <c r="D48" i="4"/>
  <c r="B48" i="4"/>
  <c r="G47" i="4"/>
  <c r="F47" i="4"/>
  <c r="E47" i="4"/>
  <c r="D47" i="4"/>
  <c r="B47" i="4"/>
  <c r="G46" i="4"/>
  <c r="F46" i="4"/>
  <c r="E46" i="4"/>
  <c r="D46" i="4"/>
  <c r="B46" i="4"/>
  <c r="G45" i="4"/>
  <c r="F45" i="4"/>
  <c r="E45" i="4"/>
  <c r="D45" i="4"/>
  <c r="B45" i="4"/>
  <c r="G44" i="4"/>
  <c r="F44" i="4"/>
  <c r="E44" i="4"/>
  <c r="D44" i="4"/>
  <c r="B44" i="4"/>
  <c r="G43" i="4"/>
  <c r="F43" i="4"/>
  <c r="E43" i="4"/>
  <c r="D43" i="4"/>
  <c r="B43" i="4"/>
  <c r="G42" i="4"/>
  <c r="F42" i="4"/>
  <c r="E42" i="4"/>
  <c r="D42" i="4"/>
  <c r="B42" i="4"/>
  <c r="G41" i="4"/>
  <c r="F41" i="4"/>
  <c r="E41" i="4"/>
  <c r="D41" i="4"/>
  <c r="B41" i="4"/>
  <c r="G40" i="4"/>
  <c r="F40" i="4"/>
  <c r="E40" i="4"/>
  <c r="D40" i="4"/>
  <c r="B40" i="4"/>
  <c r="G39" i="4"/>
  <c r="F39" i="4"/>
  <c r="E39" i="4"/>
  <c r="D39" i="4"/>
  <c r="B39" i="4"/>
  <c r="G38" i="4"/>
  <c r="F38" i="4"/>
  <c r="E38" i="4"/>
  <c r="D38" i="4"/>
  <c r="B38" i="4"/>
  <c r="G37" i="4"/>
  <c r="F37" i="4"/>
  <c r="E37" i="4"/>
  <c r="D37" i="4"/>
  <c r="B37" i="4"/>
  <c r="G36" i="4"/>
  <c r="F36" i="4"/>
  <c r="E36" i="4"/>
  <c r="D36" i="4"/>
  <c r="B36" i="4"/>
  <c r="G35" i="4"/>
  <c r="F35" i="4"/>
  <c r="E35" i="4"/>
  <c r="D35" i="4"/>
  <c r="B35" i="4"/>
  <c r="G34" i="4"/>
  <c r="F34" i="4"/>
  <c r="E34" i="4"/>
  <c r="D34" i="4"/>
  <c r="B34" i="4"/>
  <c r="G33" i="4"/>
  <c r="F33" i="4"/>
  <c r="E33" i="4"/>
  <c r="D33" i="4"/>
  <c r="B33" i="4"/>
  <c r="G32" i="4"/>
  <c r="F32" i="4"/>
  <c r="E32" i="4"/>
  <c r="D32" i="4"/>
  <c r="B32" i="4"/>
  <c r="G31" i="4"/>
  <c r="F31" i="4"/>
  <c r="E31" i="4"/>
  <c r="D31" i="4"/>
  <c r="B31" i="4"/>
  <c r="G30" i="4"/>
  <c r="F30" i="4"/>
  <c r="E30" i="4"/>
  <c r="D30" i="4"/>
  <c r="B30" i="4"/>
  <c r="G29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G17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F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J117" i="2"/>
  <c r="I117" i="2"/>
  <c r="H117" i="2"/>
  <c r="G117" i="2"/>
  <c r="D117" i="2"/>
  <c r="B117" i="2"/>
  <c r="A117" i="2"/>
  <c r="J116" i="2"/>
  <c r="I116" i="2"/>
  <c r="H116" i="2"/>
  <c r="G116" i="2"/>
  <c r="D116" i="2"/>
  <c r="B116" i="2"/>
  <c r="A116" i="2"/>
  <c r="J115" i="2"/>
  <c r="I115" i="2"/>
  <c r="H115" i="2"/>
  <c r="G115" i="2"/>
  <c r="D115" i="2"/>
  <c r="B115" i="2"/>
  <c r="A115" i="2"/>
  <c r="J114" i="2"/>
  <c r="I114" i="2"/>
  <c r="H114" i="2"/>
  <c r="G114" i="2"/>
  <c r="D114" i="2"/>
  <c r="B114" i="2"/>
  <c r="A114" i="2"/>
  <c r="J113" i="2"/>
  <c r="I113" i="2"/>
  <c r="H113" i="2"/>
  <c r="G113" i="2"/>
  <c r="D113" i="2"/>
  <c r="B113" i="2"/>
  <c r="A113" i="2"/>
  <c r="J112" i="2"/>
  <c r="I112" i="2"/>
  <c r="H112" i="2"/>
  <c r="G112" i="2"/>
  <c r="D112" i="2"/>
  <c r="B112" i="2"/>
  <c r="A112" i="2"/>
  <c r="J111" i="2"/>
  <c r="I111" i="2"/>
  <c r="H111" i="2"/>
  <c r="G111" i="2"/>
  <c r="D111" i="2"/>
  <c r="B111" i="2"/>
  <c r="A111" i="2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A55" i="2"/>
  <c r="J54" i="2"/>
  <c r="I54" i="2"/>
  <c r="H54" i="2"/>
  <c r="G54" i="2"/>
  <c r="D54" i="2"/>
  <c r="B54" i="2"/>
  <c r="A54" i="2"/>
  <c r="J53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J17" i="2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J14" i="2"/>
  <c r="I14" i="2"/>
  <c r="H14" i="2"/>
  <c r="G14" i="2"/>
  <c r="D14" i="2"/>
  <c r="B14" i="2"/>
  <c r="A14" i="2"/>
  <c r="J13" i="2"/>
  <c r="I13" i="2"/>
  <c r="H13" i="2"/>
  <c r="G13" i="2"/>
  <c r="D13" i="2"/>
  <c r="B13" i="2"/>
  <c r="A13" i="2"/>
  <c r="J12" i="2"/>
  <c r="I12" i="2"/>
  <c r="H12" i="2"/>
  <c r="G12" i="2"/>
  <c r="D12" i="2"/>
  <c r="B12" i="2"/>
  <c r="A12" i="2"/>
  <c r="J11" i="2"/>
  <c r="I11" i="2"/>
  <c r="H11" i="2"/>
  <c r="G11" i="2"/>
  <c r="D11" i="2"/>
  <c r="B11" i="2"/>
  <c r="A11" i="2"/>
  <c r="J10" i="2"/>
  <c r="I10" i="2"/>
  <c r="H10" i="2"/>
  <c r="G10" i="2"/>
  <c r="D10" i="2"/>
  <c r="B10" i="2"/>
  <c r="A10" i="2"/>
  <c r="J9" i="2"/>
  <c r="I9" i="2"/>
  <c r="H9" i="2"/>
  <c r="G9" i="2"/>
  <c r="D9" i="2"/>
  <c r="B9" i="2"/>
  <c r="A9" i="2"/>
  <c r="J8" i="2"/>
  <c r="I8" i="2"/>
  <c r="H8" i="2"/>
  <c r="G8" i="2"/>
  <c r="D8" i="2"/>
  <c r="B8" i="2"/>
  <c r="A8" i="2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82" i="1"/>
  <c r="A83" i="1"/>
  <c r="F6" i="4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9" i="1"/>
  <c r="A10" i="1"/>
  <c r="A11" i="1"/>
  <c r="A12" i="1"/>
  <c r="A13" i="1"/>
  <c r="J14" i="1"/>
  <c r="J13" i="1"/>
  <c r="J12" i="1"/>
  <c r="J11" i="1"/>
  <c r="J10" i="1"/>
  <c r="J9" i="1"/>
  <c r="J8" i="1"/>
  <c r="J7" i="1"/>
  <c r="J7" i="2" s="1"/>
  <c r="J6" i="1"/>
  <c r="J6" i="2" s="1"/>
  <c r="G6" i="4" l="1"/>
  <c r="J118" i="1"/>
  <c r="K67" i="3"/>
  <c r="E3" i="1"/>
  <c r="K10" i="3" l="1"/>
  <c r="A121" i="4" l="1"/>
  <c r="I6" i="2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19" i="4" l="1"/>
  <c r="F30" i="3" s="1"/>
  <c r="G120" i="4" l="1"/>
  <c r="F31" i="3" s="1"/>
</calcChain>
</file>

<file path=xl/sharedStrings.xml><?xml version="1.0" encoding="utf-8"?>
<sst xmlns="http://schemas.openxmlformats.org/spreadsheetml/2006/main" count="377" uniqueCount="243">
  <si>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</si>
  <si>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</si>
  <si>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</si>
  <si>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</si>
  <si>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</si>
  <si>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</si>
  <si>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</si>
  <si>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</si>
  <si>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</si>
  <si>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</si>
  <si>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</si>
  <si>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</si>
  <si>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</si>
  <si>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</si>
  <si>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</si>
  <si>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</si>
  <si>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</si>
  <si>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</si>
  <si>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</si>
  <si>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</si>
  <si>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</si>
  <si>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</si>
  <si>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</si>
  <si>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</si>
  <si>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</si>
  <si>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</si>
  <si>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</si>
  <si>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</si>
  <si>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</si>
  <si>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</si>
  <si>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</si>
  <si>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</si>
  <si>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</si>
  <si>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</si>
  <si>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</si>
  <si>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</si>
  <si>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</si>
  <si>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</si>
  <si>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</si>
  <si>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</si>
  <si>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</si>
  <si>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</si>
  <si>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</si>
  <si>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</si>
  <si>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</si>
  <si>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</si>
  <si>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</si>
  <si>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</si>
  <si>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</si>
  <si>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</si>
  <si>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</si>
  <si>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</si>
  <si>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</si>
  <si>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</si>
  <si>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</si>
  <si>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</si>
  <si>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</si>
  <si>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</si>
  <si>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</si>
  <si>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</si>
  <si>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</si>
  <si>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</si>
  <si>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</si>
  <si>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</si>
  <si>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</si>
  <si>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</si>
  <si>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</si>
  <si>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</si>
  <si>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</si>
  <si>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</si>
  <si>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</si>
  <si>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</si>
  <si>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</si>
  <si>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</si>
  <si>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</si>
  <si>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</si>
  <si>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</si>
  <si>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</si>
  <si>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</si>
  <si>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</si>
  <si>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</si>
  <si>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</si>
  <si>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</si>
  <si>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</si>
  <si>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</si>
  <si>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</si>
  <si>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</si>
  <si>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</si>
  <si>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</si>
  <si>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</si>
  <si>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</si>
  <si>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</si>
  <si>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</si>
  <si>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</si>
  <si>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</si>
  <si>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</si>
  <si>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</si>
  <si>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</si>
  <si>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</si>
  <si>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</si>
  <si>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</si>
  <si>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</si>
  <si>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</si>
  <si>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</si>
  <si>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</si>
  <si>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</si>
  <si>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</si>
  <si>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</si>
  <si>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</si>
  <si>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</si>
  <si>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</si>
  <si>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</si>
  <si>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</si>
  <si>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</si>
  <si>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</si>
  <si>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YAQOOT ARABIA TRADING COMPANY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</si>
  <si>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</si>
  <si>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</si>
  <si>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</si>
  <si>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</si>
  <si>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</si>
  <si>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</si>
  <si>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</si>
  <si>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</si>
  <si>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t>PCS</t>
  </si>
  <si>
    <t>PKT</t>
  </si>
  <si>
    <t>ROLL</t>
  </si>
  <si>
    <t>PAIR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</si>
  <si>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-MRS-0338</t>
    </r>
  </si>
  <si>
    <t xml:space="preserve">Cutting Scissor - 5" </t>
  </si>
  <si>
    <t xml:space="preserve">Carbon Brush For Angle Grinder Machine 4" Dewalt 4002 </t>
  </si>
  <si>
    <t xml:space="preserve">Angle Grinder Machine Switch 4" Dewalt 4002 </t>
  </si>
  <si>
    <t xml:space="preserve">Aramacture For Angle Grinder Machine 4" Dewalt 4002 </t>
  </si>
  <si>
    <t xml:space="preserve">Twist Drill Bit 12Mm Dewesser </t>
  </si>
  <si>
    <t xml:space="preserve">Twist Drill Bit 10Mm Dewesser </t>
  </si>
  <si>
    <t xml:space="preserve">Twist Drill Bit 8Mm Dewesser </t>
  </si>
  <si>
    <t xml:space="preserve">Twist Drill Bit 6Mm Dewesser </t>
  </si>
  <si>
    <t xml:space="preserve">Yellow Tag </t>
  </si>
  <si>
    <t xml:space="preserve">Red Tag Holder </t>
  </si>
  <si>
    <t>Green Tag</t>
  </si>
  <si>
    <t xml:space="preserve">Ratchet Spanner Size : 19/21Mm ( Brand : Clarke ) </t>
  </si>
  <si>
    <t xml:space="preserve">Std Tool Lanyard ( Brand : Maskweld ) </t>
  </si>
  <si>
    <t xml:space="preserve">Plumbob 400Garm ( 40Mtr ) </t>
  </si>
  <si>
    <t xml:space="preserve">Hydrolic Bendind Machine Super Ego </t>
  </si>
  <si>
    <t>Cable Cutter Lk-38A</t>
  </si>
  <si>
    <t xml:space="preserve">Walkie - Talkie
 Tyt Radio - (Th-Uv8000D </t>
  </si>
  <si>
    <t>Sata. Tubing Cutter 3Mm-32Mm</t>
  </si>
  <si>
    <t>Sata. Wire And Cable Cutting Pliers 8'' Ench</t>
  </si>
  <si>
    <t xml:space="preserve">Manual Tube Bending Machine 1/2" Ips-1 1/4" Ips  ( Brand : Clarke ) </t>
  </si>
  <si>
    <t xml:space="preserve">Flexible Conduit Hose - 20Mm X 50Mtr  ( Brand : Hi-Tech ) </t>
  </si>
  <si>
    <t>Pvc Channel - 1/2"</t>
  </si>
  <si>
    <t xml:space="preserve">Solding Wire </t>
  </si>
  <si>
    <t>Sholding Iron Paste 100Gm</t>
  </si>
  <si>
    <t xml:space="preserve">Part Of Respirator Mask ( Brand : 3M ) </t>
  </si>
  <si>
    <t>Torque Wrench Dr3/4" 75-350Mm Ft/Lb  ( Brand : Clarke )</t>
  </si>
  <si>
    <t xml:space="preserve">Torque Wrench Dr1" 300-1500Mm Ft/Lb  ( Brand : Clarke ) </t>
  </si>
  <si>
    <t xml:space="preserve">Industrial Mist Fan - 26"   ( Brand : Giffex ) </t>
  </si>
  <si>
    <t xml:space="preserve">Measurement Tape Steel Type - 30Mtr ( Brand : Clarke ) </t>
  </si>
  <si>
    <t xml:space="preserve">Measurement Tape Steel Type - 50Mtr ( Brand : Clarke ) </t>
  </si>
  <si>
    <t xml:space="preserve">Measurement Tape Steel Type - 100Mtr ( Brand : Clarke ) </t>
  </si>
  <si>
    <t xml:space="preserve">Leather Scaffolding Tool Belt - Kasweld </t>
  </si>
  <si>
    <t xml:space="preserve">Anti Vibrationn Hand Gloves - Xl </t>
  </si>
  <si>
    <t xml:space="preserve">Diamond Cutting Disc 4"  ( Brand : Clarke ) </t>
  </si>
  <si>
    <t xml:space="preserve">Diamond Grinder Disc 4"  ( Brand : Roto ) </t>
  </si>
  <si>
    <t xml:space="preserve">Tube Cutter 6Mm-64Mm ( Brand : Sata ) </t>
  </si>
  <si>
    <t xml:space="preserve">Tube Cutter Blade ( Brand : Super -Ego ) </t>
  </si>
  <si>
    <t xml:space="preserve">Carbide Rotary Burr Hx 1232 Flame </t>
  </si>
  <si>
    <t xml:space="preserve">Air Gun Nozzle </t>
  </si>
  <si>
    <t>Torque Wrench 60 - 330 Ft-Lb (With Open Wrench Set (13-30Mm) 11Pcs/Set</t>
  </si>
  <si>
    <t>Long And Short Socket Set 22Mm-36Mm                                                  (22S-4 , 22L -2 , 27S-2, 27L-2, 32S-2 , 32L-2 , 36S-2 , 36L-2 )</t>
  </si>
  <si>
    <t xml:space="preserve">Torque Wrench Open Type 40 - 200 Ft-Lb Drive 1/2" ( Brand : Tower_ Made In Taiwan ) </t>
  </si>
  <si>
    <t xml:space="preserve">Anti Slip Tape For Safety 2/5Cm </t>
  </si>
  <si>
    <t xml:space="preserve">Npt Chicago Male &amp; Female  - 3/4"  </t>
  </si>
  <si>
    <t xml:space="preserve">Chicago Pin - 1/8" </t>
  </si>
  <si>
    <t xml:space="preserve">Recepro Saw Blade 165X18X1.0Mm ( 6-5/16" _ Brand : Makita ) </t>
  </si>
  <si>
    <t xml:space="preserve">Fire Blanket Orange – 1 X 50M X 0.45T ( Brand : Kaspro ) </t>
  </si>
  <si>
    <t xml:space="preserve">Spirit Level - 600Mm ( Brand : Clarke ) </t>
  </si>
  <si>
    <t xml:space="preserve">Magnetic Sprit Level - 600Mm ( Brand : Clarke ) </t>
  </si>
  <si>
    <t xml:space="preserve">Cs Right Angle - 150 X 100Mm ( Brand : Kaspro ) </t>
  </si>
  <si>
    <t xml:space="preserve">Laser Cutting Open Wrench Spanner Size : 32Mm </t>
  </si>
  <si>
    <t xml:space="preserve">Laser Cutting Open Wrench Spanner Size : 36Mm </t>
  </si>
  <si>
    <t xml:space="preserve">Snoop Liquid Leak Detector, Make-Swagelok, 3.8Ltr
 </t>
  </si>
  <si>
    <t xml:space="preserve">Scaffolding Leather Hand Gloves </t>
  </si>
  <si>
    <t xml:space="preserve">Reading Magnifying Glass Small ( Brand : Kaspro ) </t>
  </si>
  <si>
    <t xml:space="preserve">Combination Spanner Size : 41Mm  ( Brand : Apt) </t>
  </si>
  <si>
    <t xml:space="preserve">Combination Spanner Size : 46Mm ( Brand : Apt) </t>
  </si>
  <si>
    <t xml:space="preserve">Combination Spanner Size : 50Mm ( Brand : Apt) </t>
  </si>
  <si>
    <t xml:space="preserve">Spiral Screw Extractor 8Pcs/Set </t>
  </si>
  <si>
    <t xml:space="preserve">Hex Nut M6 X 1.0 - Lh, Din 934 / Iso 4032, A2-70 (Sus304) </t>
  </si>
  <si>
    <t>Handsaw 18'' Cct</t>
  </si>
  <si>
    <t xml:space="preserve">Helmet-Mounted Ear Muff  3M </t>
  </si>
  <si>
    <t xml:space="preserve">Scaffolding Canvas Bucket Capacity 40Kg ( Brand : Kaspro ) </t>
  </si>
  <si>
    <t xml:space="preserve">Combination Spanner Size : 22Mm ( Brand : Roto ) </t>
  </si>
  <si>
    <t xml:space="preserve">Combination Spanner Size : 32Mm ( Brand : Roto ) </t>
  </si>
  <si>
    <t>Combination Spanner Size : 36Mm ( Brand : Roto )</t>
  </si>
  <si>
    <t xml:space="preserve">Circular Saw Blade - 9" ( Brand : Clarke ) </t>
  </si>
  <si>
    <t>Sata. Adjustable Wrench 12''\ Ench</t>
  </si>
  <si>
    <t>Combination Spanner 17Mm Roto-Germany</t>
  </si>
  <si>
    <t>Combination Spanner 20Mm Roto-Germany</t>
  </si>
  <si>
    <t>Sata. Linesman Pliers 8'' Ench</t>
  </si>
  <si>
    <t>Sata. 9 Pcs Metric Long Hex Key Set 105-10Mm,</t>
  </si>
  <si>
    <t xml:space="preserve">Measurment Tape - 5Mtr ( Brand : Clarke ) </t>
  </si>
  <si>
    <t xml:space="preserve">Cs Hacksaw Blade  ( Brand : Clarke ) </t>
  </si>
  <si>
    <t xml:space="preserve">Magnetic Sprit Level - 230Mm  ( Brand : Clarke ) </t>
  </si>
  <si>
    <t xml:space="preserve">Scaffolding Canvas Bucket - 30 Kg  ( Brand : Kaspro ) </t>
  </si>
  <si>
    <t xml:space="preserve">Scaffolding Sprit Level  - 10"  ( Brand : Kaspro ) </t>
  </si>
  <si>
    <t xml:space="preserve">Respirator Mask 6200 </t>
  </si>
  <si>
    <t xml:space="preserve">Rubber Hand Gloves </t>
  </si>
  <si>
    <t xml:space="preserve">Mega Speaker Battery 1.5V Lr14 </t>
  </si>
  <si>
    <t>Bench Vice Cast Steel 8"</t>
  </si>
  <si>
    <t>Adjustable Base Jack</t>
  </si>
  <si>
    <t xml:space="preserve">Cable Tie
4.8 X 300 Giffex Brand 
(100Pc/Pkt) </t>
  </si>
  <si>
    <t xml:space="preserve">Scaffolding Caster Wheel
100Mm Non Moving  </t>
  </si>
  <si>
    <t xml:space="preserve">Scaffolding Caster Wheel
100Mm Moving </t>
  </si>
  <si>
    <t>6 Pcs Mini Needle File Set Roto</t>
  </si>
  <si>
    <t xml:space="preserve">Sata. 7 Pcs T-Series Vde Insulated Screwdriver Set
 </t>
  </si>
  <si>
    <t>Toe Foot Guard</t>
  </si>
  <si>
    <t>Diagonal Cutting Plier 6" Cr-V</t>
  </si>
  <si>
    <t xml:space="preserve">Sata. Heavy Duty Pipe Wrinch 12'' Ench
 </t>
  </si>
  <si>
    <t xml:space="preserve">Sata. Diagonal Pliers 7'' Ench
 </t>
  </si>
  <si>
    <t xml:space="preserve">Allen Key Set Hex Types Size : 1Mm - 10Mm (Brand : Roto )
 </t>
  </si>
  <si>
    <t>Screw Driver Star 12"</t>
  </si>
  <si>
    <t>Adjustable Wrench - 300Mm ( Brand Dewesser Germany )</t>
  </si>
  <si>
    <t xml:space="preserve">Cs Right Angle - 600Mm Kaspro Brand  </t>
  </si>
  <si>
    <t xml:space="preserve">Cs Right Angle - 300Mm Kaspro Brand  </t>
  </si>
  <si>
    <t xml:space="preserve">Mesuring Tape
8 Mtr Clarke Brand </t>
  </si>
  <si>
    <t xml:space="preserve">Spirit Level 1Mtr
Clarke Barnd </t>
  </si>
  <si>
    <t>Ventilation Fan Pvc Flexible Duct Hose 12"X5Mtr Roto</t>
  </si>
  <si>
    <t>Ventilation Fan 12" 550 Roto</t>
  </si>
  <si>
    <t>Aviation Snips - Straight</t>
  </si>
  <si>
    <t xml:space="preserve">Jigsaw Machine Bosch Gst18V50N </t>
  </si>
  <si>
    <t>Demolition Hammer Sds Max 1500W Gsh 7Vc Bosch</t>
  </si>
  <si>
    <t>Cordless Drill Machine 13Mm 18V #Dcd771 Dewalt</t>
  </si>
  <si>
    <t xml:space="preserve">Oil Pump With Section Pipe 1"X1Mtr </t>
  </si>
  <si>
    <t xml:space="preserve">Hammer Wrench
50Mm (Brand: Roto) </t>
  </si>
  <si>
    <t>Mannual Winch 10Mtr</t>
  </si>
  <si>
    <t xml:space="preserve">Tube Cutter Blade 1/8-1 1/8" </t>
  </si>
  <si>
    <t xml:space="preserve">Tube Cutter Blade 1/4-2 1/2" </t>
  </si>
  <si>
    <t xml:space="preserve">Mesurement Tape 7.5Mtr Roto Brand </t>
  </si>
  <si>
    <t>Ea</t>
  </si>
  <si>
    <t>Set</t>
  </si>
  <si>
    <t>QTN-C26-150677</t>
  </si>
  <si>
    <t>Site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</si>
</sst>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119</xdr:row>
          <xdr:rowOff>20054</xdr:rowOff>
        </xdr:from>
        <xdr:to>
          <xdr:col>12</xdr:col>
          <xdr:colOff>499</xdr:colOff>
          <xdr:row>126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0:$S$126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54"/>
  <sheetViews>
    <sheetView showGridLines="0" tabSelected="1" view="pageBreakPreview" topLeftCell="A104" zoomScale="95" zoomScaleNormal="95" zoomScaleSheetLayoutView="95" workbookViewId="0">
      <selection activeCell="D129" sqref="D129"/>
    </sheetView>
  </sheetViews>
  <sheetFormatPr defaultColWidth="9" defaultRowHeight="21" customHeight="1"/>
  <cols>
    <col min="1" max="1" width="4.7109375" style="2" customWidth="1"/>
    <col min="2" max="3" width="32.42578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5" t="s">
        <v>96</v>
      </c>
      <c r="B1" s="97"/>
      <c r="C1" s="97"/>
      <c r="D1" s="97"/>
      <c r="E1" s="97"/>
      <c r="F1" s="97"/>
      <c r="G1" s="1"/>
      <c r="J1" s="147" t="s">
        <v>87</v>
      </c>
      <c r="K1" s="148"/>
      <c r="L1" s="149"/>
    </row>
    <row r="2" spans="1:18" ht="20.100000000000001" customHeight="1">
      <c r="A2" s="3" t="s">
        <v>1</v>
      </c>
      <c r="B2" s="91"/>
      <c r="C2" s="91"/>
      <c r="D2" s="3" t="s">
        <v>95</v>
      </c>
      <c r="E2" s="91"/>
      <c r="F2" s="91"/>
      <c r="G2" s="91"/>
      <c r="H2" s="91"/>
      <c r="I2" s="4"/>
      <c r="J2" s="150" t="s">
        <v>94</v>
      </c>
      <c r="K2" s="151"/>
      <c r="L2" s="152"/>
    </row>
    <row r="3" spans="1:18" ht="20.100000000000001" customHeight="1">
      <c r="A3" s="3" t="s">
        <v>128</v>
      </c>
      <c r="B3" s="91"/>
      <c r="C3" s="91"/>
      <c r="D3" s="91"/>
      <c r="E3" s="153">
        <f>+L3</f>
        <v>46190</v>
      </c>
      <c r="F3" s="153"/>
      <c r="G3" s="153"/>
      <c r="H3" s="153"/>
      <c r="I3" s="153"/>
      <c r="J3" s="91"/>
      <c r="K3" s="91"/>
      <c r="L3" s="103">
        <v>46190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91</v>
      </c>
      <c r="J4" s="135" t="s">
        <v>92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15.75" customHeight="1">
      <c r="A6" s="5">
        <f t="shared" ref="A6:A69" si="0">ROW(A1)</f>
        <v>1</v>
      </c>
      <c r="B6" s="122" t="s">
        <v>129</v>
      </c>
      <c r="C6" s="123"/>
      <c r="D6" s="132"/>
      <c r="E6" s="133"/>
      <c r="F6" s="134"/>
      <c r="G6" s="110" t="s">
        <v>239</v>
      </c>
      <c r="H6" s="118">
        <v>2</v>
      </c>
      <c r="I6" s="111">
        <v>23</v>
      </c>
      <c r="J6" s="98">
        <f>H6*I6</f>
        <v>46</v>
      </c>
      <c r="K6" s="99" t="s">
        <v>111</v>
      </c>
      <c r="L6" s="100" t="s">
        <v>99</v>
      </c>
      <c r="R6" s="96"/>
    </row>
    <row r="7" spans="1:18" ht="15.75" customHeight="1">
      <c r="A7" s="5">
        <f t="shared" si="0"/>
        <v>2</v>
      </c>
      <c r="B7" s="122" t="s">
        <v>130</v>
      </c>
      <c r="C7" s="123"/>
      <c r="D7" s="132"/>
      <c r="E7" s="133"/>
      <c r="F7" s="134"/>
      <c r="G7" s="110" t="s">
        <v>239</v>
      </c>
      <c r="H7" s="118">
        <v>130</v>
      </c>
      <c r="I7" s="111">
        <v>13</v>
      </c>
      <c r="J7" s="98">
        <f t="shared" ref="J7:J117" si="1">H7*I7</f>
        <v>1690</v>
      </c>
      <c r="K7" s="99"/>
      <c r="L7" s="100"/>
      <c r="R7" s="96"/>
    </row>
    <row r="8" spans="1:18" ht="15.75" customHeight="1">
      <c r="A8" s="5">
        <f t="shared" si="0"/>
        <v>3</v>
      </c>
      <c r="B8" s="122" t="s">
        <v>131</v>
      </c>
      <c r="C8" s="123"/>
      <c r="D8" s="132"/>
      <c r="E8" s="133"/>
      <c r="F8" s="134"/>
      <c r="G8" s="110" t="s">
        <v>239</v>
      </c>
      <c r="H8" s="118">
        <v>100</v>
      </c>
      <c r="I8" s="111">
        <v>365</v>
      </c>
      <c r="J8" s="98">
        <f t="shared" si="1"/>
        <v>36500</v>
      </c>
      <c r="K8" s="99"/>
      <c r="L8" s="100"/>
      <c r="R8" s="96"/>
    </row>
    <row r="9" spans="1:18" ht="15.75" customHeight="1">
      <c r="A9" s="5">
        <f t="shared" si="0"/>
        <v>4</v>
      </c>
      <c r="B9" s="122" t="s">
        <v>132</v>
      </c>
      <c r="C9" s="123"/>
      <c r="D9" s="132"/>
      <c r="E9" s="133"/>
      <c r="F9" s="134"/>
      <c r="G9" s="110" t="s">
        <v>239</v>
      </c>
      <c r="H9" s="118">
        <v>50</v>
      </c>
      <c r="I9" s="111">
        <v>150</v>
      </c>
      <c r="J9" s="98">
        <f t="shared" si="1"/>
        <v>7500</v>
      </c>
      <c r="K9" s="99"/>
      <c r="L9" s="100"/>
      <c r="R9" s="96"/>
    </row>
    <row r="10" spans="1:18" ht="15.75" customHeight="1">
      <c r="A10" s="5">
        <f t="shared" si="0"/>
        <v>5</v>
      </c>
      <c r="B10" s="122" t="s">
        <v>133</v>
      </c>
      <c r="C10" s="123"/>
      <c r="D10" s="132"/>
      <c r="E10" s="133"/>
      <c r="F10" s="134"/>
      <c r="G10" s="110" t="s">
        <v>239</v>
      </c>
      <c r="H10" s="118">
        <v>20</v>
      </c>
      <c r="I10" s="111">
        <v>8.5</v>
      </c>
      <c r="J10" s="98">
        <f t="shared" si="1"/>
        <v>170</v>
      </c>
      <c r="K10" s="99"/>
      <c r="L10" s="100"/>
      <c r="R10" s="96"/>
    </row>
    <row r="11" spans="1:18" ht="15.75" customHeight="1">
      <c r="A11" s="5">
        <f t="shared" si="0"/>
        <v>6</v>
      </c>
      <c r="B11" s="122" t="s">
        <v>134</v>
      </c>
      <c r="C11" s="123"/>
      <c r="D11" s="132"/>
      <c r="E11" s="133"/>
      <c r="F11" s="134"/>
      <c r="G11" s="110" t="s">
        <v>239</v>
      </c>
      <c r="H11" s="118">
        <v>50</v>
      </c>
      <c r="I11" s="111">
        <v>6.5</v>
      </c>
      <c r="J11" s="98">
        <f t="shared" si="1"/>
        <v>325</v>
      </c>
      <c r="K11" s="99"/>
      <c r="L11" s="100"/>
      <c r="R11" s="96"/>
    </row>
    <row r="12" spans="1:18" ht="15.75" customHeight="1">
      <c r="A12" s="5">
        <f t="shared" si="0"/>
        <v>7</v>
      </c>
      <c r="B12" s="122" t="s">
        <v>135</v>
      </c>
      <c r="C12" s="123"/>
      <c r="D12" s="132"/>
      <c r="E12" s="133"/>
      <c r="F12" s="134"/>
      <c r="G12" s="110" t="s">
        <v>239</v>
      </c>
      <c r="H12" s="118">
        <v>50</v>
      </c>
      <c r="I12" s="111">
        <v>4.5</v>
      </c>
      <c r="J12" s="98">
        <f t="shared" si="1"/>
        <v>225</v>
      </c>
      <c r="K12" s="99"/>
      <c r="L12" s="100"/>
      <c r="R12" s="96"/>
    </row>
    <row r="13" spans="1:18" ht="15.75" customHeight="1">
      <c r="A13" s="5">
        <f t="shared" si="0"/>
        <v>8</v>
      </c>
      <c r="B13" s="122" t="s">
        <v>136</v>
      </c>
      <c r="C13" s="123"/>
      <c r="D13" s="132"/>
      <c r="E13" s="133"/>
      <c r="F13" s="134"/>
      <c r="G13" s="110" t="s">
        <v>239</v>
      </c>
      <c r="H13" s="118">
        <v>50</v>
      </c>
      <c r="I13" s="111">
        <v>2</v>
      </c>
      <c r="J13" s="98">
        <f t="shared" si="1"/>
        <v>100</v>
      </c>
      <c r="K13" s="99"/>
      <c r="L13" s="100"/>
      <c r="R13" s="96"/>
    </row>
    <row r="14" spans="1:18" ht="15.75" customHeight="1">
      <c r="A14" s="5">
        <f t="shared" si="0"/>
        <v>9</v>
      </c>
      <c r="B14" s="122" t="s">
        <v>130</v>
      </c>
      <c r="C14" s="123"/>
      <c r="D14" s="132"/>
      <c r="E14" s="133"/>
      <c r="F14" s="134"/>
      <c r="G14" s="110" t="s">
        <v>239</v>
      </c>
      <c r="H14" s="118">
        <v>50</v>
      </c>
      <c r="I14" s="111">
        <v>13</v>
      </c>
      <c r="J14" s="98">
        <f t="shared" si="1"/>
        <v>650</v>
      </c>
      <c r="K14" s="99"/>
      <c r="L14" s="100"/>
      <c r="R14" s="96"/>
    </row>
    <row r="15" spans="1:18" ht="15.75" customHeight="1">
      <c r="A15" s="5">
        <f t="shared" si="0"/>
        <v>10</v>
      </c>
      <c r="B15" s="122" t="s">
        <v>137</v>
      </c>
      <c r="C15" s="123"/>
      <c r="D15" s="119"/>
      <c r="E15" s="120"/>
      <c r="F15" s="121"/>
      <c r="G15" s="110" t="s">
        <v>124</v>
      </c>
      <c r="H15" s="118">
        <v>700</v>
      </c>
      <c r="I15" s="111">
        <v>3</v>
      </c>
      <c r="J15" s="98">
        <f t="shared" si="1"/>
        <v>2100</v>
      </c>
      <c r="K15" s="99"/>
      <c r="L15" s="100"/>
      <c r="R15" s="96"/>
    </row>
    <row r="16" spans="1:18" ht="15.75" customHeight="1">
      <c r="A16" s="5">
        <f t="shared" si="0"/>
        <v>11</v>
      </c>
      <c r="B16" s="122" t="s">
        <v>138</v>
      </c>
      <c r="C16" s="123"/>
      <c r="D16" s="119"/>
      <c r="E16" s="120"/>
      <c r="F16" s="121"/>
      <c r="G16" s="110" t="s">
        <v>124</v>
      </c>
      <c r="H16" s="118">
        <v>300</v>
      </c>
      <c r="I16" s="111">
        <v>10</v>
      </c>
      <c r="J16" s="98">
        <f t="shared" si="1"/>
        <v>3000</v>
      </c>
      <c r="K16" s="99"/>
      <c r="L16" s="100"/>
      <c r="R16" s="96"/>
    </row>
    <row r="17" spans="1:18" ht="15.75" customHeight="1">
      <c r="A17" s="5">
        <f t="shared" si="0"/>
        <v>12</v>
      </c>
      <c r="B17" s="122" t="s">
        <v>139</v>
      </c>
      <c r="C17" s="123"/>
      <c r="D17" s="119"/>
      <c r="E17" s="120"/>
      <c r="F17" s="121"/>
      <c r="G17" s="110" t="s">
        <v>124</v>
      </c>
      <c r="H17" s="118">
        <v>600</v>
      </c>
      <c r="I17" s="111">
        <v>3</v>
      </c>
      <c r="J17" s="98">
        <f t="shared" si="1"/>
        <v>1800</v>
      </c>
      <c r="K17" s="99"/>
      <c r="L17" s="100"/>
      <c r="R17" s="96"/>
    </row>
    <row r="18" spans="1:18" ht="15.75" customHeight="1">
      <c r="A18" s="5">
        <f t="shared" si="0"/>
        <v>13</v>
      </c>
      <c r="B18" s="122" t="s">
        <v>140</v>
      </c>
      <c r="C18" s="123"/>
      <c r="D18" s="119"/>
      <c r="E18" s="120"/>
      <c r="F18" s="121"/>
      <c r="G18" s="110" t="s">
        <v>124</v>
      </c>
      <c r="H18" s="118">
        <v>115</v>
      </c>
      <c r="I18" s="111">
        <v>38</v>
      </c>
      <c r="J18" s="98">
        <f t="shared" si="1"/>
        <v>4370</v>
      </c>
      <c r="K18" s="99"/>
      <c r="L18" s="100"/>
      <c r="R18" s="96"/>
    </row>
    <row r="19" spans="1:18" ht="15.75" customHeight="1">
      <c r="A19" s="5">
        <f t="shared" si="0"/>
        <v>14</v>
      </c>
      <c r="B19" s="122" t="s">
        <v>141</v>
      </c>
      <c r="C19" s="123"/>
      <c r="D19" s="119"/>
      <c r="E19" s="120"/>
      <c r="F19" s="121"/>
      <c r="G19" s="110" t="s">
        <v>124</v>
      </c>
      <c r="H19" s="118">
        <v>100</v>
      </c>
      <c r="I19" s="111">
        <v>20</v>
      </c>
      <c r="J19" s="98">
        <f t="shared" si="1"/>
        <v>2000</v>
      </c>
      <c r="K19" s="99"/>
      <c r="L19" s="100"/>
      <c r="R19" s="96"/>
    </row>
    <row r="20" spans="1:18" ht="15.75" customHeight="1">
      <c r="A20" s="5">
        <f t="shared" si="0"/>
        <v>15</v>
      </c>
      <c r="B20" s="122" t="s">
        <v>142</v>
      </c>
      <c r="C20" s="123"/>
      <c r="D20" s="119"/>
      <c r="E20" s="120"/>
      <c r="F20" s="121"/>
      <c r="G20" s="110" t="s">
        <v>239</v>
      </c>
      <c r="H20" s="118">
        <v>30</v>
      </c>
      <c r="I20" s="111">
        <v>75</v>
      </c>
      <c r="J20" s="98">
        <f t="shared" si="1"/>
        <v>2250</v>
      </c>
      <c r="K20" s="99"/>
      <c r="L20" s="100"/>
      <c r="R20" s="96"/>
    </row>
    <row r="21" spans="1:18" ht="15.75" customHeight="1">
      <c r="A21" s="5">
        <f t="shared" si="0"/>
        <v>16</v>
      </c>
      <c r="B21" s="122" t="s">
        <v>143</v>
      </c>
      <c r="C21" s="123"/>
      <c r="D21" s="119"/>
      <c r="E21" s="120"/>
      <c r="F21" s="121"/>
      <c r="G21" s="110" t="s">
        <v>239</v>
      </c>
      <c r="H21" s="118">
        <v>2</v>
      </c>
      <c r="I21" s="111">
        <v>4290</v>
      </c>
      <c r="J21" s="98">
        <f t="shared" si="1"/>
        <v>8580</v>
      </c>
      <c r="K21" s="99"/>
      <c r="L21" s="100"/>
      <c r="R21" s="96"/>
    </row>
    <row r="22" spans="1:18" ht="15.75" customHeight="1">
      <c r="A22" s="5">
        <f t="shared" si="0"/>
        <v>17</v>
      </c>
      <c r="B22" s="122" t="s">
        <v>144</v>
      </c>
      <c r="C22" s="123"/>
      <c r="D22" s="119"/>
      <c r="E22" s="120"/>
      <c r="F22" s="121"/>
      <c r="G22" s="110" t="s">
        <v>124</v>
      </c>
      <c r="H22" s="118">
        <v>2</v>
      </c>
      <c r="I22" s="111">
        <v>26</v>
      </c>
      <c r="J22" s="98">
        <f t="shared" si="1"/>
        <v>52</v>
      </c>
      <c r="K22" s="99"/>
      <c r="L22" s="100"/>
      <c r="R22" s="96"/>
    </row>
    <row r="23" spans="1:18" ht="15.75" customHeight="1">
      <c r="A23" s="5">
        <f t="shared" si="0"/>
        <v>18</v>
      </c>
      <c r="B23" s="122" t="s">
        <v>145</v>
      </c>
      <c r="C23" s="123"/>
      <c r="D23" s="119"/>
      <c r="E23" s="120"/>
      <c r="F23" s="121"/>
      <c r="G23" s="110" t="s">
        <v>124</v>
      </c>
      <c r="H23" s="118">
        <v>8</v>
      </c>
      <c r="I23" s="111">
        <v>380</v>
      </c>
      <c r="J23" s="98">
        <f t="shared" si="1"/>
        <v>3040</v>
      </c>
      <c r="K23" s="99"/>
      <c r="L23" s="100"/>
      <c r="R23" s="96"/>
    </row>
    <row r="24" spans="1:18" ht="15.75" customHeight="1">
      <c r="A24" s="5">
        <f t="shared" si="0"/>
        <v>19</v>
      </c>
      <c r="B24" s="122" t="s">
        <v>146</v>
      </c>
      <c r="C24" s="123"/>
      <c r="D24" s="119"/>
      <c r="E24" s="120"/>
      <c r="F24" s="121"/>
      <c r="G24" s="110" t="s">
        <v>239</v>
      </c>
      <c r="H24" s="118">
        <v>20</v>
      </c>
      <c r="I24" s="111">
        <v>70</v>
      </c>
      <c r="J24" s="98">
        <f t="shared" si="1"/>
        <v>1400</v>
      </c>
      <c r="K24" s="99"/>
      <c r="L24" s="100"/>
      <c r="R24" s="96"/>
    </row>
    <row r="25" spans="1:18" ht="15.75" customHeight="1">
      <c r="A25" s="5">
        <f t="shared" si="0"/>
        <v>20</v>
      </c>
      <c r="B25" s="122" t="s">
        <v>147</v>
      </c>
      <c r="C25" s="123"/>
      <c r="D25" s="119"/>
      <c r="E25" s="120"/>
      <c r="F25" s="121"/>
      <c r="G25" s="110" t="s">
        <v>239</v>
      </c>
      <c r="H25" s="118">
        <v>1</v>
      </c>
      <c r="I25" s="111">
        <v>58</v>
      </c>
      <c r="J25" s="98">
        <f t="shared" si="1"/>
        <v>58</v>
      </c>
      <c r="K25" s="99"/>
      <c r="L25" s="100"/>
      <c r="R25" s="96"/>
    </row>
    <row r="26" spans="1:18" ht="15.75" customHeight="1">
      <c r="A26" s="5">
        <f t="shared" si="0"/>
        <v>21</v>
      </c>
      <c r="B26" s="122" t="s">
        <v>148</v>
      </c>
      <c r="C26" s="123"/>
      <c r="D26" s="119"/>
      <c r="E26" s="120"/>
      <c r="F26" s="121"/>
      <c r="G26" s="110" t="s">
        <v>239</v>
      </c>
      <c r="H26" s="118">
        <v>2</v>
      </c>
      <c r="I26" s="111">
        <v>475</v>
      </c>
      <c r="J26" s="98">
        <f t="shared" si="1"/>
        <v>950</v>
      </c>
      <c r="K26" s="99"/>
      <c r="L26" s="100"/>
      <c r="R26" s="96"/>
    </row>
    <row r="27" spans="1:18" ht="15.75" customHeight="1">
      <c r="A27" s="5">
        <f t="shared" si="0"/>
        <v>22</v>
      </c>
      <c r="B27" s="122" t="s">
        <v>149</v>
      </c>
      <c r="C27" s="123"/>
      <c r="D27" s="119"/>
      <c r="E27" s="120"/>
      <c r="F27" s="121"/>
      <c r="G27" s="110" t="s">
        <v>126</v>
      </c>
      <c r="H27" s="118">
        <v>12</v>
      </c>
      <c r="I27" s="111">
        <v>135</v>
      </c>
      <c r="J27" s="98">
        <f t="shared" si="1"/>
        <v>1620</v>
      </c>
      <c r="K27" s="99"/>
      <c r="L27" s="100"/>
      <c r="R27" s="96"/>
    </row>
    <row r="28" spans="1:18" ht="15.75" customHeight="1">
      <c r="A28" s="5">
        <f t="shared" si="0"/>
        <v>23</v>
      </c>
      <c r="B28" s="122" t="s">
        <v>150</v>
      </c>
      <c r="C28" s="123"/>
      <c r="D28" s="119"/>
      <c r="E28" s="120"/>
      <c r="F28" s="121"/>
      <c r="G28" s="110" t="s">
        <v>239</v>
      </c>
      <c r="H28" s="118">
        <v>20</v>
      </c>
      <c r="I28" s="111">
        <v>3.5</v>
      </c>
      <c r="J28" s="98">
        <f t="shared" si="1"/>
        <v>70</v>
      </c>
      <c r="K28" s="99"/>
      <c r="L28" s="100"/>
      <c r="R28" s="96"/>
    </row>
    <row r="29" spans="1:18" ht="15.75" customHeight="1">
      <c r="A29" s="5">
        <f t="shared" si="0"/>
        <v>24</v>
      </c>
      <c r="B29" s="122" t="s">
        <v>151</v>
      </c>
      <c r="C29" s="123"/>
      <c r="D29" s="119"/>
      <c r="E29" s="120"/>
      <c r="F29" s="121"/>
      <c r="G29" s="110" t="s">
        <v>239</v>
      </c>
      <c r="H29" s="118">
        <v>1</v>
      </c>
      <c r="I29" s="111">
        <v>68</v>
      </c>
      <c r="J29" s="98">
        <f t="shared" si="1"/>
        <v>68</v>
      </c>
      <c r="K29" s="99"/>
      <c r="L29" s="100"/>
      <c r="R29" s="96"/>
    </row>
    <row r="30" spans="1:18" ht="15.75" customHeight="1">
      <c r="A30" s="5">
        <f t="shared" si="0"/>
        <v>25</v>
      </c>
      <c r="B30" s="122" t="s">
        <v>152</v>
      </c>
      <c r="C30" s="123"/>
      <c r="D30" s="119"/>
      <c r="E30" s="120"/>
      <c r="F30" s="121"/>
      <c r="G30" s="110" t="s">
        <v>239</v>
      </c>
      <c r="H30" s="118">
        <v>1</v>
      </c>
      <c r="I30" s="111">
        <v>13</v>
      </c>
      <c r="J30" s="98">
        <f t="shared" si="1"/>
        <v>13</v>
      </c>
      <c r="K30" s="99"/>
      <c r="L30" s="100"/>
      <c r="R30" s="96"/>
    </row>
    <row r="31" spans="1:18" ht="15.75" customHeight="1">
      <c r="A31" s="5">
        <f t="shared" si="0"/>
        <v>26</v>
      </c>
      <c r="B31" s="122" t="s">
        <v>153</v>
      </c>
      <c r="C31" s="123"/>
      <c r="D31" s="119"/>
      <c r="E31" s="120"/>
      <c r="F31" s="121"/>
      <c r="G31" s="110" t="s">
        <v>239</v>
      </c>
      <c r="H31" s="118">
        <v>130</v>
      </c>
      <c r="I31" s="111">
        <v>26</v>
      </c>
      <c r="J31" s="98">
        <f t="shared" si="1"/>
        <v>3380</v>
      </c>
      <c r="K31" s="99"/>
      <c r="L31" s="100"/>
      <c r="R31" s="96"/>
    </row>
    <row r="32" spans="1:18" ht="15.75" customHeight="1">
      <c r="A32" s="5">
        <f t="shared" si="0"/>
        <v>27</v>
      </c>
      <c r="B32" s="122" t="s">
        <v>154</v>
      </c>
      <c r="C32" s="123"/>
      <c r="D32" s="119"/>
      <c r="E32" s="120"/>
      <c r="F32" s="121"/>
      <c r="G32" s="110" t="s">
        <v>239</v>
      </c>
      <c r="H32" s="118">
        <v>1</v>
      </c>
      <c r="I32" s="111">
        <v>1485</v>
      </c>
      <c r="J32" s="98">
        <f t="shared" si="1"/>
        <v>1485</v>
      </c>
      <c r="K32" s="99"/>
      <c r="L32" s="100"/>
      <c r="R32" s="96"/>
    </row>
    <row r="33" spans="1:18" ht="15.75" customHeight="1">
      <c r="A33" s="5">
        <f t="shared" si="0"/>
        <v>28</v>
      </c>
      <c r="B33" s="122" t="s">
        <v>155</v>
      </c>
      <c r="C33" s="123"/>
      <c r="D33" s="119"/>
      <c r="E33" s="120"/>
      <c r="F33" s="121"/>
      <c r="G33" s="110" t="s">
        <v>239</v>
      </c>
      <c r="H33" s="118">
        <v>1</v>
      </c>
      <c r="I33" s="111">
        <v>2100</v>
      </c>
      <c r="J33" s="98">
        <f t="shared" si="1"/>
        <v>2100</v>
      </c>
      <c r="K33" s="99"/>
      <c r="L33" s="100"/>
      <c r="R33" s="96"/>
    </row>
    <row r="34" spans="1:18" ht="15.75" customHeight="1">
      <c r="A34" s="5">
        <f t="shared" si="0"/>
        <v>29</v>
      </c>
      <c r="B34" s="122" t="s">
        <v>156</v>
      </c>
      <c r="C34" s="123"/>
      <c r="D34" s="119"/>
      <c r="E34" s="120"/>
      <c r="F34" s="121"/>
      <c r="G34" s="110" t="s">
        <v>239</v>
      </c>
      <c r="H34" s="118">
        <v>7</v>
      </c>
      <c r="I34" s="111">
        <v>680</v>
      </c>
      <c r="J34" s="98">
        <f t="shared" si="1"/>
        <v>4760</v>
      </c>
      <c r="K34" s="99"/>
      <c r="L34" s="100"/>
      <c r="R34" s="96"/>
    </row>
    <row r="35" spans="1:18" ht="15.75" customHeight="1">
      <c r="A35" s="5">
        <f t="shared" si="0"/>
        <v>30</v>
      </c>
      <c r="B35" s="122" t="s">
        <v>157</v>
      </c>
      <c r="C35" s="123"/>
      <c r="D35" s="119"/>
      <c r="E35" s="120"/>
      <c r="F35" s="121"/>
      <c r="G35" s="110" t="s">
        <v>239</v>
      </c>
      <c r="H35" s="118">
        <v>3</v>
      </c>
      <c r="I35" s="111">
        <v>42</v>
      </c>
      <c r="J35" s="98">
        <f t="shared" si="1"/>
        <v>126</v>
      </c>
      <c r="K35" s="99"/>
      <c r="L35" s="100"/>
      <c r="R35" s="96"/>
    </row>
    <row r="36" spans="1:18" ht="15.75" customHeight="1">
      <c r="A36" s="5">
        <f t="shared" si="0"/>
        <v>31</v>
      </c>
      <c r="B36" s="122" t="s">
        <v>158</v>
      </c>
      <c r="C36" s="123"/>
      <c r="D36" s="119"/>
      <c r="E36" s="120"/>
      <c r="F36" s="121"/>
      <c r="G36" s="110" t="s">
        <v>239</v>
      </c>
      <c r="H36" s="118">
        <v>3</v>
      </c>
      <c r="I36" s="111">
        <v>62</v>
      </c>
      <c r="J36" s="98">
        <f t="shared" si="1"/>
        <v>186</v>
      </c>
      <c r="K36" s="99"/>
      <c r="L36" s="100"/>
      <c r="R36" s="96"/>
    </row>
    <row r="37" spans="1:18" ht="15.75" customHeight="1">
      <c r="A37" s="5">
        <f t="shared" si="0"/>
        <v>32</v>
      </c>
      <c r="B37" s="122" t="s">
        <v>159</v>
      </c>
      <c r="C37" s="123"/>
      <c r="D37" s="119"/>
      <c r="E37" s="120"/>
      <c r="F37" s="121"/>
      <c r="G37" s="110" t="s">
        <v>239</v>
      </c>
      <c r="H37" s="118">
        <v>6</v>
      </c>
      <c r="I37" s="111">
        <v>110</v>
      </c>
      <c r="J37" s="98">
        <f t="shared" si="1"/>
        <v>660</v>
      </c>
      <c r="K37" s="99"/>
      <c r="L37" s="100"/>
      <c r="R37" s="96"/>
    </row>
    <row r="38" spans="1:18" ht="15.75" customHeight="1">
      <c r="A38" s="5">
        <f t="shared" si="0"/>
        <v>33</v>
      </c>
      <c r="B38" s="122" t="s">
        <v>160</v>
      </c>
      <c r="C38" s="123"/>
      <c r="D38" s="119"/>
      <c r="E38" s="120"/>
      <c r="F38" s="121"/>
      <c r="G38" s="110" t="s">
        <v>239</v>
      </c>
      <c r="H38" s="118">
        <v>120</v>
      </c>
      <c r="I38" s="111">
        <v>110</v>
      </c>
      <c r="J38" s="98">
        <f t="shared" si="1"/>
        <v>13200</v>
      </c>
      <c r="K38" s="99"/>
      <c r="L38" s="100"/>
      <c r="R38" s="96"/>
    </row>
    <row r="39" spans="1:18" ht="15.75" customHeight="1">
      <c r="A39" s="5">
        <f t="shared" si="0"/>
        <v>34</v>
      </c>
      <c r="B39" s="122" t="s">
        <v>161</v>
      </c>
      <c r="C39" s="123"/>
      <c r="D39" s="119"/>
      <c r="E39" s="120"/>
      <c r="F39" s="121"/>
      <c r="G39" s="110" t="s">
        <v>127</v>
      </c>
      <c r="H39" s="118">
        <v>47</v>
      </c>
      <c r="I39" s="111">
        <v>32</v>
      </c>
      <c r="J39" s="98">
        <f t="shared" si="1"/>
        <v>1504</v>
      </c>
      <c r="K39" s="99"/>
      <c r="L39" s="100"/>
      <c r="R39" s="96"/>
    </row>
    <row r="40" spans="1:18" ht="15.75" customHeight="1">
      <c r="A40" s="5">
        <f t="shared" si="0"/>
        <v>35</v>
      </c>
      <c r="B40" s="122" t="s">
        <v>162</v>
      </c>
      <c r="C40" s="123"/>
      <c r="D40" s="119"/>
      <c r="E40" s="120"/>
      <c r="F40" s="121"/>
      <c r="G40" s="110" t="s">
        <v>239</v>
      </c>
      <c r="H40" s="118">
        <v>50</v>
      </c>
      <c r="I40" s="111">
        <v>18</v>
      </c>
      <c r="J40" s="98">
        <f t="shared" si="1"/>
        <v>900</v>
      </c>
      <c r="K40" s="99"/>
      <c r="L40" s="100"/>
      <c r="R40" s="96"/>
    </row>
    <row r="41" spans="1:18" ht="15.75" customHeight="1">
      <c r="A41" s="5">
        <f t="shared" si="0"/>
        <v>36</v>
      </c>
      <c r="B41" s="122" t="s">
        <v>163</v>
      </c>
      <c r="C41" s="123"/>
      <c r="D41" s="119"/>
      <c r="E41" s="120"/>
      <c r="F41" s="121"/>
      <c r="G41" s="110" t="s">
        <v>239</v>
      </c>
      <c r="H41" s="118">
        <v>100</v>
      </c>
      <c r="I41" s="111">
        <v>30</v>
      </c>
      <c r="J41" s="98">
        <f t="shared" si="1"/>
        <v>3000</v>
      </c>
      <c r="K41" s="99"/>
      <c r="L41" s="100"/>
      <c r="R41" s="96"/>
    </row>
    <row r="42" spans="1:18" ht="15.75" customHeight="1">
      <c r="A42" s="5">
        <f t="shared" si="0"/>
        <v>37</v>
      </c>
      <c r="B42" s="122" t="s">
        <v>164</v>
      </c>
      <c r="C42" s="123"/>
      <c r="D42" s="119"/>
      <c r="E42" s="120"/>
      <c r="F42" s="121"/>
      <c r="G42" s="110" t="s">
        <v>239</v>
      </c>
      <c r="H42" s="118">
        <v>4</v>
      </c>
      <c r="I42" s="111">
        <v>125</v>
      </c>
      <c r="J42" s="98">
        <f t="shared" si="1"/>
        <v>500</v>
      </c>
      <c r="K42" s="99"/>
      <c r="L42" s="100"/>
      <c r="R42" s="96"/>
    </row>
    <row r="43" spans="1:18" ht="15.75" customHeight="1">
      <c r="A43" s="5">
        <f t="shared" si="0"/>
        <v>38</v>
      </c>
      <c r="B43" s="122" t="s">
        <v>165</v>
      </c>
      <c r="C43" s="123"/>
      <c r="D43" s="119"/>
      <c r="E43" s="120"/>
      <c r="F43" s="121"/>
      <c r="G43" s="110" t="s">
        <v>239</v>
      </c>
      <c r="H43" s="118">
        <v>50</v>
      </c>
      <c r="I43" s="111">
        <v>19</v>
      </c>
      <c r="J43" s="98">
        <f t="shared" si="1"/>
        <v>950</v>
      </c>
      <c r="K43" s="99"/>
      <c r="L43" s="100"/>
      <c r="R43" s="96"/>
    </row>
    <row r="44" spans="1:18" ht="15.75" customHeight="1">
      <c r="A44" s="5">
        <f t="shared" si="0"/>
        <v>39</v>
      </c>
      <c r="B44" s="122" t="s">
        <v>166</v>
      </c>
      <c r="C44" s="123"/>
      <c r="D44" s="119"/>
      <c r="E44" s="120"/>
      <c r="F44" s="121"/>
      <c r="G44" s="110" t="s">
        <v>239</v>
      </c>
      <c r="H44" s="118">
        <v>20</v>
      </c>
      <c r="I44" s="111">
        <v>55</v>
      </c>
      <c r="J44" s="98">
        <f t="shared" si="1"/>
        <v>1100</v>
      </c>
      <c r="K44" s="99"/>
      <c r="L44" s="100"/>
      <c r="R44" s="96"/>
    </row>
    <row r="45" spans="1:18" ht="15.75" customHeight="1">
      <c r="A45" s="5">
        <f t="shared" si="0"/>
        <v>40</v>
      </c>
      <c r="B45" s="122" t="s">
        <v>167</v>
      </c>
      <c r="C45" s="123"/>
      <c r="D45" s="119"/>
      <c r="E45" s="120"/>
      <c r="F45" s="121"/>
      <c r="G45" s="110" t="s">
        <v>239</v>
      </c>
      <c r="H45" s="118">
        <v>3</v>
      </c>
      <c r="I45" s="111">
        <v>38</v>
      </c>
      <c r="J45" s="98">
        <f t="shared" si="1"/>
        <v>114</v>
      </c>
      <c r="K45" s="99"/>
      <c r="L45" s="100"/>
      <c r="R45" s="96"/>
    </row>
    <row r="46" spans="1:18" ht="15.75" customHeight="1">
      <c r="A46" s="5">
        <f t="shared" si="0"/>
        <v>41</v>
      </c>
      <c r="B46" s="122" t="s">
        <v>168</v>
      </c>
      <c r="C46" s="123"/>
      <c r="D46" s="119"/>
      <c r="E46" s="120"/>
      <c r="F46" s="121"/>
      <c r="G46" s="110" t="s">
        <v>239</v>
      </c>
      <c r="H46" s="118">
        <v>2</v>
      </c>
      <c r="I46" s="111">
        <v>1250</v>
      </c>
      <c r="J46" s="98">
        <f t="shared" si="1"/>
        <v>2500</v>
      </c>
      <c r="K46" s="99"/>
      <c r="L46" s="100"/>
      <c r="R46" s="96"/>
    </row>
    <row r="47" spans="1:18" ht="15.75" customHeight="1">
      <c r="A47" s="5">
        <f t="shared" si="0"/>
        <v>42</v>
      </c>
      <c r="B47" s="122" t="s">
        <v>169</v>
      </c>
      <c r="C47" s="123"/>
      <c r="D47" s="119"/>
      <c r="E47" s="120"/>
      <c r="F47" s="121"/>
      <c r="G47" s="110" t="s">
        <v>240</v>
      </c>
      <c r="H47" s="118">
        <v>1</v>
      </c>
      <c r="I47" s="111">
        <v>338</v>
      </c>
      <c r="J47" s="98">
        <f t="shared" si="1"/>
        <v>338</v>
      </c>
      <c r="K47" s="99"/>
      <c r="L47" s="100"/>
      <c r="R47" s="96"/>
    </row>
    <row r="48" spans="1:18" ht="15.75" customHeight="1">
      <c r="A48" s="5">
        <f t="shared" si="0"/>
        <v>43</v>
      </c>
      <c r="B48" s="122" t="s">
        <v>170</v>
      </c>
      <c r="C48" s="123"/>
      <c r="D48" s="119"/>
      <c r="E48" s="120"/>
      <c r="F48" s="121"/>
      <c r="G48" s="110" t="s">
        <v>239</v>
      </c>
      <c r="H48" s="118">
        <v>1</v>
      </c>
      <c r="I48" s="111">
        <v>395</v>
      </c>
      <c r="J48" s="98">
        <f t="shared" si="1"/>
        <v>395</v>
      </c>
      <c r="K48" s="99"/>
      <c r="L48" s="100"/>
      <c r="R48" s="96"/>
    </row>
    <row r="49" spans="1:18" ht="15.75" customHeight="1">
      <c r="A49" s="5">
        <f t="shared" si="0"/>
        <v>44</v>
      </c>
      <c r="B49" s="122" t="s">
        <v>171</v>
      </c>
      <c r="C49" s="123"/>
      <c r="D49" s="119"/>
      <c r="E49" s="120"/>
      <c r="F49" s="121"/>
      <c r="G49" s="110" t="s">
        <v>126</v>
      </c>
      <c r="H49" s="118">
        <v>30</v>
      </c>
      <c r="I49" s="111">
        <v>39</v>
      </c>
      <c r="J49" s="98">
        <f t="shared" si="1"/>
        <v>1170</v>
      </c>
      <c r="K49" s="99"/>
      <c r="L49" s="100"/>
      <c r="R49" s="96"/>
    </row>
    <row r="50" spans="1:18" ht="15.75" customHeight="1">
      <c r="A50" s="5">
        <f t="shared" si="0"/>
        <v>45</v>
      </c>
      <c r="B50" s="122" t="s">
        <v>172</v>
      </c>
      <c r="C50" s="123"/>
      <c r="D50" s="119"/>
      <c r="E50" s="120"/>
      <c r="F50" s="121"/>
      <c r="G50" s="110" t="s">
        <v>239</v>
      </c>
      <c r="H50" s="118">
        <v>4</v>
      </c>
      <c r="I50" s="111">
        <v>33</v>
      </c>
      <c r="J50" s="98">
        <f t="shared" si="1"/>
        <v>132</v>
      </c>
      <c r="K50" s="99"/>
      <c r="L50" s="100"/>
      <c r="R50" s="96"/>
    </row>
    <row r="51" spans="1:18" ht="15.75" customHeight="1">
      <c r="A51" s="5">
        <f t="shared" si="0"/>
        <v>46</v>
      </c>
      <c r="B51" s="122" t="s">
        <v>173</v>
      </c>
      <c r="C51" s="123"/>
      <c r="D51" s="119"/>
      <c r="E51" s="120"/>
      <c r="F51" s="121"/>
      <c r="G51" s="110" t="s">
        <v>239</v>
      </c>
      <c r="H51" s="118">
        <v>10</v>
      </c>
      <c r="I51" s="111">
        <v>2</v>
      </c>
      <c r="J51" s="98">
        <f t="shared" si="1"/>
        <v>20</v>
      </c>
      <c r="K51" s="99"/>
      <c r="L51" s="100"/>
      <c r="R51" s="96"/>
    </row>
    <row r="52" spans="1:18" ht="15.75" customHeight="1">
      <c r="A52" s="5">
        <f t="shared" si="0"/>
        <v>47</v>
      </c>
      <c r="B52" s="122" t="s">
        <v>174</v>
      </c>
      <c r="C52" s="123"/>
      <c r="D52" s="119"/>
      <c r="E52" s="120"/>
      <c r="F52" s="121"/>
      <c r="G52" s="110" t="s">
        <v>239</v>
      </c>
      <c r="H52" s="118">
        <v>130</v>
      </c>
      <c r="I52" s="111">
        <v>20</v>
      </c>
      <c r="J52" s="98">
        <f t="shared" si="1"/>
        <v>2600</v>
      </c>
      <c r="K52" s="99"/>
      <c r="L52" s="100"/>
      <c r="R52" s="96"/>
    </row>
    <row r="53" spans="1:18" ht="15.75" customHeight="1">
      <c r="A53" s="5">
        <f t="shared" si="0"/>
        <v>48</v>
      </c>
      <c r="B53" s="122" t="s">
        <v>175</v>
      </c>
      <c r="C53" s="123"/>
      <c r="D53" s="119"/>
      <c r="E53" s="120"/>
      <c r="F53" s="121"/>
      <c r="G53" s="110" t="s">
        <v>126</v>
      </c>
      <c r="H53" s="118">
        <v>110</v>
      </c>
      <c r="I53" s="111">
        <v>510</v>
      </c>
      <c r="J53" s="98">
        <f t="shared" si="1"/>
        <v>56100</v>
      </c>
      <c r="K53" s="99"/>
      <c r="L53" s="100"/>
      <c r="R53" s="96"/>
    </row>
    <row r="54" spans="1:18" ht="15.75" customHeight="1">
      <c r="A54" s="5">
        <f t="shared" si="0"/>
        <v>49</v>
      </c>
      <c r="B54" s="122" t="s">
        <v>176</v>
      </c>
      <c r="C54" s="123"/>
      <c r="D54" s="119"/>
      <c r="E54" s="120"/>
      <c r="F54" s="121"/>
      <c r="G54" s="110" t="s">
        <v>239</v>
      </c>
      <c r="H54" s="118">
        <v>36</v>
      </c>
      <c r="I54" s="111">
        <v>31</v>
      </c>
      <c r="J54" s="98">
        <f t="shared" si="1"/>
        <v>1116</v>
      </c>
      <c r="K54" s="99"/>
      <c r="L54" s="100"/>
      <c r="R54" s="96"/>
    </row>
    <row r="55" spans="1:18" ht="15.75" customHeight="1">
      <c r="A55" s="5">
        <f t="shared" si="0"/>
        <v>50</v>
      </c>
      <c r="B55" s="122" t="s">
        <v>177</v>
      </c>
      <c r="C55" s="123"/>
      <c r="D55" s="119"/>
      <c r="E55" s="120"/>
      <c r="F55" s="121"/>
      <c r="G55" s="110" t="s">
        <v>239</v>
      </c>
      <c r="H55" s="118">
        <v>50</v>
      </c>
      <c r="I55" s="111">
        <v>31</v>
      </c>
      <c r="J55" s="98">
        <f t="shared" si="1"/>
        <v>1550</v>
      </c>
      <c r="K55" s="99"/>
      <c r="L55" s="100"/>
      <c r="R55" s="96"/>
    </row>
    <row r="56" spans="1:18" ht="15.75" customHeight="1">
      <c r="A56" s="5">
        <f t="shared" si="0"/>
        <v>51</v>
      </c>
      <c r="B56" s="122" t="s">
        <v>178</v>
      </c>
      <c r="C56" s="123"/>
      <c r="D56" s="119"/>
      <c r="E56" s="120"/>
      <c r="F56" s="121"/>
      <c r="G56" s="110" t="s">
        <v>239</v>
      </c>
      <c r="H56" s="118">
        <v>10</v>
      </c>
      <c r="I56" s="111">
        <v>16</v>
      </c>
      <c r="J56" s="98">
        <f t="shared" si="1"/>
        <v>160</v>
      </c>
      <c r="K56" s="99"/>
      <c r="L56" s="100"/>
      <c r="R56" s="96"/>
    </row>
    <row r="57" spans="1:18" ht="15.75" customHeight="1">
      <c r="A57" s="5">
        <f t="shared" si="0"/>
        <v>52</v>
      </c>
      <c r="B57" s="122" t="s">
        <v>179</v>
      </c>
      <c r="C57" s="123"/>
      <c r="D57" s="119"/>
      <c r="E57" s="120"/>
      <c r="F57" s="121"/>
      <c r="G57" s="110" t="s">
        <v>239</v>
      </c>
      <c r="H57" s="118">
        <v>3</v>
      </c>
      <c r="I57" s="111">
        <v>65</v>
      </c>
      <c r="J57" s="98">
        <f t="shared" si="1"/>
        <v>195</v>
      </c>
      <c r="K57" s="99"/>
      <c r="L57" s="100"/>
      <c r="R57" s="96"/>
    </row>
    <row r="58" spans="1:18" ht="15.75" customHeight="1">
      <c r="A58" s="5">
        <f t="shared" si="0"/>
        <v>53</v>
      </c>
      <c r="B58" s="122" t="s">
        <v>180</v>
      </c>
      <c r="C58" s="123"/>
      <c r="D58" s="119"/>
      <c r="E58" s="120"/>
      <c r="F58" s="121"/>
      <c r="G58" s="110" t="s">
        <v>239</v>
      </c>
      <c r="H58" s="118">
        <v>2</v>
      </c>
      <c r="I58" s="111">
        <v>65</v>
      </c>
      <c r="J58" s="98">
        <f t="shared" si="1"/>
        <v>130</v>
      </c>
      <c r="K58" s="99"/>
      <c r="L58" s="100"/>
      <c r="R58" s="96"/>
    </row>
    <row r="59" spans="1:18" ht="15.75" customHeight="1">
      <c r="A59" s="5">
        <f t="shared" si="0"/>
        <v>54</v>
      </c>
      <c r="B59" s="122" t="s">
        <v>181</v>
      </c>
      <c r="C59" s="123"/>
      <c r="D59" s="119"/>
      <c r="E59" s="120"/>
      <c r="F59" s="121"/>
      <c r="G59" s="110" t="s">
        <v>124</v>
      </c>
      <c r="H59" s="118">
        <v>80</v>
      </c>
      <c r="I59" s="111">
        <v>765</v>
      </c>
      <c r="J59" s="98">
        <f t="shared" si="1"/>
        <v>61200</v>
      </c>
      <c r="K59" s="99"/>
      <c r="L59" s="100"/>
      <c r="R59" s="96"/>
    </row>
    <row r="60" spans="1:18" ht="15.75" customHeight="1">
      <c r="A60" s="5">
        <f t="shared" si="0"/>
        <v>55</v>
      </c>
      <c r="B60" s="122" t="s">
        <v>182</v>
      </c>
      <c r="C60" s="123"/>
      <c r="D60" s="119"/>
      <c r="E60" s="120"/>
      <c r="F60" s="121"/>
      <c r="G60" s="110" t="s">
        <v>124</v>
      </c>
      <c r="H60" s="118">
        <v>1180</v>
      </c>
      <c r="I60" s="111">
        <v>4.5</v>
      </c>
      <c r="J60" s="98">
        <f t="shared" si="1"/>
        <v>5310</v>
      </c>
      <c r="K60" s="99"/>
      <c r="L60" s="100"/>
      <c r="R60" s="96"/>
    </row>
    <row r="61" spans="1:18" ht="15.75" customHeight="1">
      <c r="A61" s="5">
        <f t="shared" si="0"/>
        <v>56</v>
      </c>
      <c r="B61" s="122" t="s">
        <v>183</v>
      </c>
      <c r="C61" s="123"/>
      <c r="D61" s="119"/>
      <c r="E61" s="120"/>
      <c r="F61" s="121"/>
      <c r="G61" s="110" t="s">
        <v>124</v>
      </c>
      <c r="H61" s="118">
        <v>2</v>
      </c>
      <c r="I61" s="111">
        <v>55</v>
      </c>
      <c r="J61" s="98">
        <f t="shared" si="1"/>
        <v>110</v>
      </c>
      <c r="K61" s="99"/>
      <c r="L61" s="100"/>
      <c r="R61" s="96"/>
    </row>
    <row r="62" spans="1:18" ht="15.75" customHeight="1">
      <c r="A62" s="5">
        <f t="shared" si="0"/>
        <v>57</v>
      </c>
      <c r="B62" s="122" t="s">
        <v>184</v>
      </c>
      <c r="C62" s="123"/>
      <c r="D62" s="119"/>
      <c r="E62" s="120"/>
      <c r="F62" s="121"/>
      <c r="G62" s="110" t="s">
        <v>124</v>
      </c>
      <c r="H62" s="118">
        <v>16</v>
      </c>
      <c r="I62" s="111">
        <v>52</v>
      </c>
      <c r="J62" s="98">
        <f t="shared" si="1"/>
        <v>832</v>
      </c>
      <c r="K62" s="99"/>
      <c r="L62" s="100"/>
      <c r="R62" s="96"/>
    </row>
    <row r="63" spans="1:18" ht="15.75" customHeight="1">
      <c r="A63" s="5">
        <f t="shared" si="0"/>
        <v>58</v>
      </c>
      <c r="B63" s="122" t="s">
        <v>185</v>
      </c>
      <c r="C63" s="123"/>
      <c r="D63" s="119"/>
      <c r="E63" s="120"/>
      <c r="F63" s="121"/>
      <c r="G63" s="110" t="s">
        <v>124</v>
      </c>
      <c r="H63" s="118">
        <v>16</v>
      </c>
      <c r="I63" s="111">
        <v>68</v>
      </c>
      <c r="J63" s="98">
        <f t="shared" si="1"/>
        <v>1088</v>
      </c>
      <c r="K63" s="99"/>
      <c r="L63" s="100"/>
      <c r="R63" s="96"/>
    </row>
    <row r="64" spans="1:18" ht="15.75" customHeight="1">
      <c r="A64" s="5">
        <f t="shared" si="0"/>
        <v>59</v>
      </c>
      <c r="B64" s="122" t="s">
        <v>186</v>
      </c>
      <c r="C64" s="123"/>
      <c r="D64" s="119"/>
      <c r="E64" s="120"/>
      <c r="F64" s="121"/>
      <c r="G64" s="110" t="s">
        <v>124</v>
      </c>
      <c r="H64" s="118">
        <v>6</v>
      </c>
      <c r="I64" s="111">
        <v>73</v>
      </c>
      <c r="J64" s="98">
        <f t="shared" si="1"/>
        <v>438</v>
      </c>
      <c r="K64" s="99"/>
      <c r="L64" s="100"/>
      <c r="R64" s="96"/>
    </row>
    <row r="65" spans="1:18" ht="15.75" customHeight="1">
      <c r="A65" s="5">
        <f t="shared" si="0"/>
        <v>60</v>
      </c>
      <c r="B65" s="122" t="s">
        <v>187</v>
      </c>
      <c r="C65" s="123"/>
      <c r="D65" s="119"/>
      <c r="E65" s="120"/>
      <c r="F65" s="121"/>
      <c r="G65" s="110" t="s">
        <v>124</v>
      </c>
      <c r="H65" s="118">
        <v>1</v>
      </c>
      <c r="I65" s="111">
        <v>25</v>
      </c>
      <c r="J65" s="98">
        <f t="shared" si="1"/>
        <v>25</v>
      </c>
      <c r="K65" s="99"/>
      <c r="L65" s="100"/>
      <c r="R65" s="96"/>
    </row>
    <row r="66" spans="1:18" ht="15.75" customHeight="1">
      <c r="A66" s="5">
        <f t="shared" si="0"/>
        <v>61</v>
      </c>
      <c r="B66" s="122" t="s">
        <v>188</v>
      </c>
      <c r="C66" s="123"/>
      <c r="D66" s="119"/>
      <c r="E66" s="120"/>
      <c r="F66" s="121"/>
      <c r="G66" s="110" t="s">
        <v>124</v>
      </c>
      <c r="H66" s="118">
        <v>200</v>
      </c>
      <c r="I66" s="111">
        <v>0.08</v>
      </c>
      <c r="J66" s="98">
        <f t="shared" si="1"/>
        <v>16</v>
      </c>
      <c r="K66" s="99"/>
      <c r="L66" s="100"/>
      <c r="R66" s="96"/>
    </row>
    <row r="67" spans="1:18" ht="15.75" customHeight="1">
      <c r="A67" s="5">
        <f t="shared" si="0"/>
        <v>62</v>
      </c>
      <c r="B67" s="122" t="s">
        <v>189</v>
      </c>
      <c r="C67" s="123"/>
      <c r="D67" s="119"/>
      <c r="E67" s="120"/>
      <c r="F67" s="121"/>
      <c r="G67" s="110" t="s">
        <v>124</v>
      </c>
      <c r="H67" s="118">
        <v>10</v>
      </c>
      <c r="I67" s="111">
        <v>18</v>
      </c>
      <c r="J67" s="98">
        <f t="shared" si="1"/>
        <v>180</v>
      </c>
      <c r="K67" s="99"/>
      <c r="L67" s="100"/>
      <c r="R67" s="96"/>
    </row>
    <row r="68" spans="1:18" ht="15.75" customHeight="1">
      <c r="A68" s="5">
        <f t="shared" si="0"/>
        <v>63</v>
      </c>
      <c r="B68" s="122" t="s">
        <v>190</v>
      </c>
      <c r="C68" s="123"/>
      <c r="D68" s="119"/>
      <c r="E68" s="120"/>
      <c r="F68" s="121"/>
      <c r="G68" s="110" t="s">
        <v>239</v>
      </c>
      <c r="H68" s="118">
        <v>50</v>
      </c>
      <c r="I68" s="111">
        <v>75</v>
      </c>
      <c r="J68" s="98">
        <f t="shared" si="1"/>
        <v>3750</v>
      </c>
      <c r="K68" s="99"/>
      <c r="L68" s="100"/>
      <c r="R68" s="96"/>
    </row>
    <row r="69" spans="1:18" ht="15.75" customHeight="1">
      <c r="A69" s="5">
        <f t="shared" si="0"/>
        <v>64</v>
      </c>
      <c r="B69" s="122" t="s">
        <v>191</v>
      </c>
      <c r="C69" s="123"/>
      <c r="D69" s="119"/>
      <c r="E69" s="120"/>
      <c r="F69" s="121"/>
      <c r="G69" s="110" t="s">
        <v>239</v>
      </c>
      <c r="H69" s="118">
        <v>10</v>
      </c>
      <c r="I69" s="111">
        <v>155</v>
      </c>
      <c r="J69" s="98">
        <f t="shared" si="1"/>
        <v>1550</v>
      </c>
      <c r="K69" s="99"/>
      <c r="L69" s="100"/>
      <c r="R69" s="96"/>
    </row>
    <row r="70" spans="1:18" ht="15.75" customHeight="1">
      <c r="A70" s="5">
        <f t="shared" ref="A70:A117" si="2">ROW(A65)</f>
        <v>65</v>
      </c>
      <c r="B70" s="122" t="s">
        <v>192</v>
      </c>
      <c r="C70" s="123"/>
      <c r="D70" s="119"/>
      <c r="E70" s="120"/>
      <c r="F70" s="121"/>
      <c r="G70" s="110" t="s">
        <v>239</v>
      </c>
      <c r="H70" s="118">
        <v>10</v>
      </c>
      <c r="I70" s="111">
        <v>16</v>
      </c>
      <c r="J70" s="98">
        <f t="shared" si="1"/>
        <v>160</v>
      </c>
      <c r="K70" s="99"/>
      <c r="L70" s="100"/>
      <c r="R70" s="96"/>
    </row>
    <row r="71" spans="1:18" ht="15.75" customHeight="1">
      <c r="A71" s="5">
        <f t="shared" si="2"/>
        <v>66</v>
      </c>
      <c r="B71" s="122" t="s">
        <v>193</v>
      </c>
      <c r="C71" s="123"/>
      <c r="D71" s="119"/>
      <c r="E71" s="120"/>
      <c r="F71" s="121"/>
      <c r="G71" s="110" t="s">
        <v>239</v>
      </c>
      <c r="H71" s="118">
        <v>10</v>
      </c>
      <c r="I71" s="111">
        <v>30</v>
      </c>
      <c r="J71" s="98">
        <f t="shared" si="1"/>
        <v>300</v>
      </c>
      <c r="K71" s="99"/>
      <c r="L71" s="100"/>
      <c r="R71" s="96"/>
    </row>
    <row r="72" spans="1:18" ht="15.75" customHeight="1">
      <c r="A72" s="5">
        <f t="shared" si="2"/>
        <v>67</v>
      </c>
      <c r="B72" s="122" t="s">
        <v>194</v>
      </c>
      <c r="C72" s="123"/>
      <c r="D72" s="119"/>
      <c r="E72" s="120"/>
      <c r="F72" s="121"/>
      <c r="G72" s="110" t="s">
        <v>239</v>
      </c>
      <c r="H72" s="118">
        <v>10</v>
      </c>
      <c r="I72" s="111">
        <v>40</v>
      </c>
      <c r="J72" s="98">
        <f t="shared" si="1"/>
        <v>400</v>
      </c>
      <c r="K72" s="99"/>
      <c r="L72" s="100"/>
      <c r="R72" s="96"/>
    </row>
    <row r="73" spans="1:18" ht="15.75" customHeight="1">
      <c r="A73" s="5">
        <f t="shared" si="2"/>
        <v>68</v>
      </c>
      <c r="B73" s="122" t="s">
        <v>195</v>
      </c>
      <c r="C73" s="123"/>
      <c r="D73" s="119"/>
      <c r="E73" s="120"/>
      <c r="F73" s="121"/>
      <c r="G73" s="110" t="s">
        <v>239</v>
      </c>
      <c r="H73" s="118">
        <v>5</v>
      </c>
      <c r="I73" s="111">
        <v>34</v>
      </c>
      <c r="J73" s="98">
        <f t="shared" si="1"/>
        <v>170</v>
      </c>
      <c r="K73" s="99"/>
      <c r="L73" s="100"/>
      <c r="R73" s="96"/>
    </row>
    <row r="74" spans="1:18" ht="15.75" customHeight="1">
      <c r="A74" s="5">
        <f t="shared" si="2"/>
        <v>69</v>
      </c>
      <c r="B74" s="122" t="s">
        <v>196</v>
      </c>
      <c r="C74" s="123"/>
      <c r="D74" s="119"/>
      <c r="E74" s="120"/>
      <c r="F74" s="121"/>
      <c r="G74" s="110" t="s">
        <v>124</v>
      </c>
      <c r="H74" s="118">
        <v>2</v>
      </c>
      <c r="I74" s="111">
        <v>42</v>
      </c>
      <c r="J74" s="98">
        <f t="shared" si="1"/>
        <v>84</v>
      </c>
      <c r="K74" s="99"/>
      <c r="L74" s="100"/>
      <c r="R74" s="96"/>
    </row>
    <row r="75" spans="1:18" ht="15.75" customHeight="1">
      <c r="A75" s="5">
        <f t="shared" si="2"/>
        <v>70</v>
      </c>
      <c r="B75" s="122" t="s">
        <v>197</v>
      </c>
      <c r="C75" s="123"/>
      <c r="D75" s="119"/>
      <c r="E75" s="120"/>
      <c r="F75" s="121"/>
      <c r="G75" s="110" t="s">
        <v>124</v>
      </c>
      <c r="H75" s="118">
        <v>2</v>
      </c>
      <c r="I75" s="111">
        <v>12</v>
      </c>
      <c r="J75" s="98">
        <f t="shared" si="1"/>
        <v>24</v>
      </c>
      <c r="K75" s="99"/>
      <c r="L75" s="100"/>
      <c r="R75" s="96"/>
    </row>
    <row r="76" spans="1:18" ht="15.75" customHeight="1">
      <c r="A76" s="5">
        <f t="shared" si="2"/>
        <v>71</v>
      </c>
      <c r="B76" s="122" t="s">
        <v>198</v>
      </c>
      <c r="C76" s="123"/>
      <c r="D76" s="119"/>
      <c r="E76" s="120"/>
      <c r="F76" s="121"/>
      <c r="G76" s="110" t="s">
        <v>124</v>
      </c>
      <c r="H76" s="118">
        <v>2</v>
      </c>
      <c r="I76" s="111">
        <v>16</v>
      </c>
      <c r="J76" s="98">
        <f t="shared" si="1"/>
        <v>32</v>
      </c>
      <c r="K76" s="99"/>
      <c r="L76" s="100"/>
      <c r="R76" s="96"/>
    </row>
    <row r="77" spans="1:18" ht="15.75" customHeight="1">
      <c r="A77" s="5">
        <f t="shared" si="2"/>
        <v>72</v>
      </c>
      <c r="B77" s="122" t="s">
        <v>199</v>
      </c>
      <c r="C77" s="123"/>
      <c r="D77" s="119"/>
      <c r="E77" s="120"/>
      <c r="F77" s="121"/>
      <c r="G77" s="110" t="s">
        <v>124</v>
      </c>
      <c r="H77" s="118">
        <v>2</v>
      </c>
      <c r="I77" s="111">
        <v>33</v>
      </c>
      <c r="J77" s="98">
        <f t="shared" si="1"/>
        <v>66</v>
      </c>
      <c r="K77" s="99"/>
      <c r="L77" s="100"/>
      <c r="R77" s="96"/>
    </row>
    <row r="78" spans="1:18" ht="15.75" customHeight="1">
      <c r="A78" s="5">
        <f t="shared" si="2"/>
        <v>73</v>
      </c>
      <c r="B78" s="122" t="s">
        <v>200</v>
      </c>
      <c r="C78" s="123"/>
      <c r="D78" s="119"/>
      <c r="E78" s="120"/>
      <c r="F78" s="121"/>
      <c r="G78" s="110" t="s">
        <v>124</v>
      </c>
      <c r="H78" s="118">
        <v>2</v>
      </c>
      <c r="I78" s="111">
        <v>29</v>
      </c>
      <c r="J78" s="98">
        <f t="shared" si="1"/>
        <v>58</v>
      </c>
      <c r="K78" s="99"/>
      <c r="L78" s="100"/>
      <c r="R78" s="96"/>
    </row>
    <row r="79" spans="1:18" ht="15.75" customHeight="1">
      <c r="A79" s="5">
        <f t="shared" si="2"/>
        <v>74</v>
      </c>
      <c r="B79" s="122" t="s">
        <v>201</v>
      </c>
      <c r="C79" s="123"/>
      <c r="D79" s="119"/>
      <c r="E79" s="120"/>
      <c r="F79" s="121"/>
      <c r="G79" s="110" t="s">
        <v>239</v>
      </c>
      <c r="H79" s="118">
        <v>69</v>
      </c>
      <c r="I79" s="111">
        <v>8</v>
      </c>
      <c r="J79" s="98">
        <f t="shared" si="1"/>
        <v>552</v>
      </c>
      <c r="K79" s="99"/>
      <c r="L79" s="100"/>
      <c r="R79" s="96"/>
    </row>
    <row r="80" spans="1:18" ht="15.75" customHeight="1">
      <c r="A80" s="5">
        <f t="shared" si="2"/>
        <v>75</v>
      </c>
      <c r="B80" s="122" t="s">
        <v>202</v>
      </c>
      <c r="C80" s="123"/>
      <c r="D80" s="119"/>
      <c r="E80" s="120"/>
      <c r="F80" s="121"/>
      <c r="G80" s="110" t="s">
        <v>239</v>
      </c>
      <c r="H80" s="118">
        <v>300</v>
      </c>
      <c r="I80" s="111">
        <v>2.5</v>
      </c>
      <c r="J80" s="98">
        <f t="shared" si="1"/>
        <v>750</v>
      </c>
      <c r="K80" s="99"/>
      <c r="L80" s="100"/>
      <c r="R80" s="96"/>
    </row>
    <row r="81" spans="1:18" ht="15.75" customHeight="1">
      <c r="A81" s="5">
        <f t="shared" si="2"/>
        <v>76</v>
      </c>
      <c r="B81" s="122" t="s">
        <v>203</v>
      </c>
      <c r="C81" s="123"/>
      <c r="D81" s="119"/>
      <c r="E81" s="120"/>
      <c r="F81" s="121"/>
      <c r="G81" s="110" t="s">
        <v>239</v>
      </c>
      <c r="H81" s="118">
        <v>26</v>
      </c>
      <c r="I81" s="111">
        <v>25</v>
      </c>
      <c r="J81" s="98">
        <f t="shared" si="1"/>
        <v>650</v>
      </c>
      <c r="K81" s="99"/>
      <c r="L81" s="100"/>
      <c r="R81" s="96"/>
    </row>
    <row r="82" spans="1:18" ht="15.75" customHeight="1">
      <c r="A82" s="5">
        <f t="shared" si="2"/>
        <v>77</v>
      </c>
      <c r="B82" s="122" t="s">
        <v>204</v>
      </c>
      <c r="C82" s="123"/>
      <c r="D82" s="119"/>
      <c r="E82" s="120"/>
      <c r="F82" s="121"/>
      <c r="G82" s="110" t="s">
        <v>239</v>
      </c>
      <c r="H82" s="118">
        <v>3</v>
      </c>
      <c r="I82" s="111">
        <v>85</v>
      </c>
      <c r="J82" s="98">
        <f t="shared" si="1"/>
        <v>255</v>
      </c>
      <c r="K82" s="99"/>
      <c r="L82" s="100"/>
      <c r="R82" s="96"/>
    </row>
    <row r="83" spans="1:18" ht="15.75" customHeight="1">
      <c r="A83" s="5">
        <f t="shared" si="2"/>
        <v>78</v>
      </c>
      <c r="B83" s="122" t="s">
        <v>205</v>
      </c>
      <c r="C83" s="123"/>
      <c r="D83" s="119"/>
      <c r="E83" s="120"/>
      <c r="F83" s="121"/>
      <c r="G83" s="110" t="s">
        <v>239</v>
      </c>
      <c r="H83" s="118">
        <v>30</v>
      </c>
      <c r="I83" s="111">
        <v>32</v>
      </c>
      <c r="J83" s="98">
        <f t="shared" si="1"/>
        <v>960</v>
      </c>
      <c r="K83" s="99"/>
      <c r="L83" s="100"/>
      <c r="R83" s="96"/>
    </row>
    <row r="84" spans="1:18" ht="15.75" customHeight="1">
      <c r="A84" s="5">
        <f t="shared" si="2"/>
        <v>79</v>
      </c>
      <c r="B84" s="122" t="s">
        <v>206</v>
      </c>
      <c r="C84" s="123"/>
      <c r="D84" s="119"/>
      <c r="E84" s="120"/>
      <c r="F84" s="121"/>
      <c r="G84" s="110" t="s">
        <v>239</v>
      </c>
      <c r="H84" s="118">
        <v>80</v>
      </c>
      <c r="I84" s="111">
        <v>48</v>
      </c>
      <c r="J84" s="98">
        <f t="shared" si="1"/>
        <v>3840</v>
      </c>
      <c r="K84" s="99"/>
      <c r="L84" s="100"/>
      <c r="R84" s="96"/>
    </row>
    <row r="85" spans="1:18" ht="15.75" customHeight="1">
      <c r="A85" s="5">
        <f t="shared" si="2"/>
        <v>80</v>
      </c>
      <c r="B85" s="122" t="s">
        <v>207</v>
      </c>
      <c r="C85" s="123"/>
      <c r="D85" s="119"/>
      <c r="E85" s="120"/>
      <c r="F85" s="121"/>
      <c r="G85" s="110" t="s">
        <v>127</v>
      </c>
      <c r="H85" s="118">
        <v>80</v>
      </c>
      <c r="I85" s="111">
        <v>4</v>
      </c>
      <c r="J85" s="98">
        <f t="shared" si="1"/>
        <v>320</v>
      </c>
      <c r="K85" s="99"/>
      <c r="L85" s="100"/>
      <c r="R85" s="96"/>
    </row>
    <row r="86" spans="1:18" ht="15.75" customHeight="1">
      <c r="A86" s="5">
        <f t="shared" si="2"/>
        <v>81</v>
      </c>
      <c r="B86" s="122" t="s">
        <v>208</v>
      </c>
      <c r="C86" s="123"/>
      <c r="D86" s="119"/>
      <c r="E86" s="120"/>
      <c r="F86" s="121"/>
      <c r="G86" s="110" t="s">
        <v>239</v>
      </c>
      <c r="H86" s="118">
        <v>60</v>
      </c>
      <c r="I86" s="111">
        <v>3.5</v>
      </c>
      <c r="J86" s="98">
        <f t="shared" si="1"/>
        <v>210</v>
      </c>
      <c r="K86" s="99"/>
      <c r="L86" s="100"/>
      <c r="R86" s="96"/>
    </row>
    <row r="87" spans="1:18" ht="15.75" customHeight="1">
      <c r="A87" s="5">
        <f t="shared" si="2"/>
        <v>82</v>
      </c>
      <c r="B87" s="122" t="s">
        <v>209</v>
      </c>
      <c r="C87" s="123"/>
      <c r="D87" s="119"/>
      <c r="E87" s="120"/>
      <c r="F87" s="121"/>
      <c r="G87" s="110" t="s">
        <v>239</v>
      </c>
      <c r="H87" s="118">
        <v>6</v>
      </c>
      <c r="I87" s="111">
        <v>420</v>
      </c>
      <c r="J87" s="98">
        <f t="shared" si="1"/>
        <v>2520</v>
      </c>
      <c r="K87" s="99"/>
      <c r="L87" s="100"/>
      <c r="R87" s="96"/>
    </row>
    <row r="88" spans="1:18" ht="15.75" customHeight="1">
      <c r="A88" s="5">
        <f t="shared" si="2"/>
        <v>83</v>
      </c>
      <c r="B88" s="122" t="s">
        <v>210</v>
      </c>
      <c r="C88" s="123"/>
      <c r="D88" s="119"/>
      <c r="E88" s="120"/>
      <c r="F88" s="121"/>
      <c r="G88" s="110" t="s">
        <v>124</v>
      </c>
      <c r="H88" s="118">
        <v>50</v>
      </c>
      <c r="I88" s="111">
        <v>23</v>
      </c>
      <c r="J88" s="98">
        <f t="shared" si="1"/>
        <v>1150</v>
      </c>
      <c r="K88" s="99"/>
      <c r="L88" s="100"/>
      <c r="R88" s="96"/>
    </row>
    <row r="89" spans="1:18" ht="15.75" customHeight="1">
      <c r="A89" s="5">
        <f t="shared" si="2"/>
        <v>84</v>
      </c>
      <c r="B89" s="122" t="s">
        <v>211</v>
      </c>
      <c r="C89" s="123"/>
      <c r="D89" s="119"/>
      <c r="E89" s="120"/>
      <c r="F89" s="121"/>
      <c r="G89" s="110" t="s">
        <v>125</v>
      </c>
      <c r="H89" s="118">
        <v>50</v>
      </c>
      <c r="I89" s="111">
        <v>13</v>
      </c>
      <c r="J89" s="98">
        <f t="shared" si="1"/>
        <v>650</v>
      </c>
      <c r="K89" s="99"/>
      <c r="L89" s="100"/>
      <c r="R89" s="96"/>
    </row>
    <row r="90" spans="1:18" ht="15.75" customHeight="1">
      <c r="A90" s="5">
        <f t="shared" si="2"/>
        <v>85</v>
      </c>
      <c r="B90" s="122" t="s">
        <v>212</v>
      </c>
      <c r="C90" s="123"/>
      <c r="D90" s="119"/>
      <c r="E90" s="120"/>
      <c r="F90" s="121"/>
      <c r="G90" s="110" t="s">
        <v>124</v>
      </c>
      <c r="H90" s="118">
        <v>10</v>
      </c>
      <c r="I90" s="111">
        <v>40</v>
      </c>
      <c r="J90" s="98">
        <f t="shared" si="1"/>
        <v>400</v>
      </c>
      <c r="K90" s="99"/>
      <c r="L90" s="100"/>
      <c r="R90" s="96"/>
    </row>
    <row r="91" spans="1:18" ht="15.75" customHeight="1">
      <c r="A91" s="5">
        <f t="shared" si="2"/>
        <v>86</v>
      </c>
      <c r="B91" s="122" t="s">
        <v>213</v>
      </c>
      <c r="C91" s="123"/>
      <c r="D91" s="119"/>
      <c r="E91" s="120"/>
      <c r="F91" s="121"/>
      <c r="G91" s="110" t="s">
        <v>124</v>
      </c>
      <c r="H91" s="118">
        <v>10</v>
      </c>
      <c r="I91" s="111">
        <v>45</v>
      </c>
      <c r="J91" s="98">
        <f t="shared" si="1"/>
        <v>450</v>
      </c>
      <c r="K91" s="99"/>
      <c r="L91" s="100"/>
      <c r="R91" s="96"/>
    </row>
    <row r="92" spans="1:18" ht="15.75" customHeight="1">
      <c r="A92" s="5">
        <f t="shared" si="2"/>
        <v>87</v>
      </c>
      <c r="B92" s="122" t="s">
        <v>214</v>
      </c>
      <c r="C92" s="123"/>
      <c r="D92" s="119"/>
      <c r="E92" s="120"/>
      <c r="F92" s="121"/>
      <c r="G92" s="110" t="s">
        <v>240</v>
      </c>
      <c r="H92" s="118">
        <v>2</v>
      </c>
      <c r="I92" s="111">
        <v>22</v>
      </c>
      <c r="J92" s="98">
        <f t="shared" si="1"/>
        <v>44</v>
      </c>
      <c r="K92" s="99"/>
      <c r="L92" s="100"/>
      <c r="R92" s="96"/>
    </row>
    <row r="93" spans="1:18" ht="15.75" customHeight="1">
      <c r="A93" s="5">
        <f t="shared" si="2"/>
        <v>88</v>
      </c>
      <c r="B93" s="122" t="s">
        <v>215</v>
      </c>
      <c r="C93" s="123"/>
      <c r="D93" s="119"/>
      <c r="E93" s="120"/>
      <c r="F93" s="121"/>
      <c r="G93" s="110" t="s">
        <v>240</v>
      </c>
      <c r="H93" s="118">
        <v>2</v>
      </c>
      <c r="I93" s="111">
        <v>85</v>
      </c>
      <c r="J93" s="98">
        <f t="shared" si="1"/>
        <v>170</v>
      </c>
      <c r="K93" s="99"/>
      <c r="L93" s="100"/>
      <c r="R93" s="96"/>
    </row>
    <row r="94" spans="1:18" ht="15.75" customHeight="1">
      <c r="A94" s="5">
        <f t="shared" si="2"/>
        <v>89</v>
      </c>
      <c r="B94" s="122" t="s">
        <v>216</v>
      </c>
      <c r="C94" s="123"/>
      <c r="D94" s="119"/>
      <c r="E94" s="120"/>
      <c r="F94" s="121"/>
      <c r="G94" s="110" t="s">
        <v>127</v>
      </c>
      <c r="H94" s="118">
        <v>6</v>
      </c>
      <c r="I94" s="111">
        <v>240</v>
      </c>
      <c r="J94" s="98">
        <f t="shared" si="1"/>
        <v>1440</v>
      </c>
      <c r="K94" s="99"/>
      <c r="L94" s="100"/>
      <c r="R94" s="96"/>
    </row>
    <row r="95" spans="1:18" ht="15.75" customHeight="1">
      <c r="A95" s="5">
        <f t="shared" si="2"/>
        <v>90</v>
      </c>
      <c r="B95" s="122" t="s">
        <v>217</v>
      </c>
      <c r="C95" s="123"/>
      <c r="D95" s="119"/>
      <c r="E95" s="120"/>
      <c r="F95" s="121"/>
      <c r="G95" s="110" t="s">
        <v>240</v>
      </c>
      <c r="H95" s="118">
        <v>4</v>
      </c>
      <c r="I95" s="111">
        <v>19</v>
      </c>
      <c r="J95" s="98">
        <f t="shared" si="1"/>
        <v>76</v>
      </c>
      <c r="K95" s="99"/>
      <c r="L95" s="100"/>
      <c r="R95" s="96"/>
    </row>
    <row r="96" spans="1:18" ht="15.75" customHeight="1">
      <c r="A96" s="5">
        <f t="shared" si="2"/>
        <v>91</v>
      </c>
      <c r="B96" s="122" t="s">
        <v>200</v>
      </c>
      <c r="C96" s="123"/>
      <c r="D96" s="119"/>
      <c r="E96" s="120"/>
      <c r="F96" s="121"/>
      <c r="G96" s="110" t="s">
        <v>240</v>
      </c>
      <c r="H96" s="118">
        <v>1</v>
      </c>
      <c r="I96" s="111">
        <v>29</v>
      </c>
      <c r="J96" s="98">
        <f t="shared" si="1"/>
        <v>29</v>
      </c>
      <c r="K96" s="99"/>
      <c r="L96" s="100"/>
      <c r="R96" s="96"/>
    </row>
    <row r="97" spans="1:18" ht="15.75" customHeight="1">
      <c r="A97" s="5">
        <f t="shared" si="2"/>
        <v>92</v>
      </c>
      <c r="B97" s="122" t="s">
        <v>218</v>
      </c>
      <c r="C97" s="123"/>
      <c r="D97" s="119"/>
      <c r="E97" s="120"/>
      <c r="F97" s="121"/>
      <c r="G97" s="110" t="s">
        <v>124</v>
      </c>
      <c r="H97" s="118">
        <v>1</v>
      </c>
      <c r="I97" s="111">
        <v>44</v>
      </c>
      <c r="J97" s="98">
        <f t="shared" si="1"/>
        <v>44</v>
      </c>
      <c r="K97" s="99"/>
      <c r="L97" s="100"/>
      <c r="R97" s="96"/>
    </row>
    <row r="98" spans="1:18" ht="15.75" customHeight="1">
      <c r="A98" s="5">
        <f t="shared" si="2"/>
        <v>93</v>
      </c>
      <c r="B98" s="122" t="s">
        <v>219</v>
      </c>
      <c r="C98" s="123"/>
      <c r="D98" s="119"/>
      <c r="E98" s="120"/>
      <c r="F98" s="121"/>
      <c r="G98" s="110" t="s">
        <v>124</v>
      </c>
      <c r="H98" s="118">
        <v>2</v>
      </c>
      <c r="I98" s="111">
        <v>38</v>
      </c>
      <c r="J98" s="98">
        <f t="shared" si="1"/>
        <v>76</v>
      </c>
      <c r="K98" s="99"/>
      <c r="L98" s="100"/>
      <c r="R98" s="96"/>
    </row>
    <row r="99" spans="1:18" ht="15.75" customHeight="1">
      <c r="A99" s="5">
        <f t="shared" si="2"/>
        <v>94</v>
      </c>
      <c r="B99" s="122" t="s">
        <v>220</v>
      </c>
      <c r="C99" s="123"/>
      <c r="D99" s="119"/>
      <c r="E99" s="120"/>
      <c r="F99" s="121"/>
      <c r="G99" s="110" t="s">
        <v>240</v>
      </c>
      <c r="H99" s="118">
        <v>1</v>
      </c>
      <c r="I99" s="111">
        <v>16</v>
      </c>
      <c r="J99" s="98">
        <f t="shared" si="1"/>
        <v>16</v>
      </c>
      <c r="K99" s="99"/>
      <c r="L99" s="100"/>
      <c r="R99" s="96"/>
    </row>
    <row r="100" spans="1:18" ht="15.75" customHeight="1">
      <c r="A100" s="5">
        <f t="shared" si="2"/>
        <v>95</v>
      </c>
      <c r="B100" s="122" t="s">
        <v>221</v>
      </c>
      <c r="C100" s="123"/>
      <c r="D100" s="119"/>
      <c r="E100" s="120"/>
      <c r="F100" s="121"/>
      <c r="G100" s="110" t="s">
        <v>124</v>
      </c>
      <c r="H100" s="118">
        <v>6</v>
      </c>
      <c r="I100" s="111">
        <v>10</v>
      </c>
      <c r="J100" s="98">
        <f t="shared" si="1"/>
        <v>60</v>
      </c>
      <c r="K100" s="99"/>
      <c r="L100" s="100"/>
      <c r="R100" s="96"/>
    </row>
    <row r="101" spans="1:18" ht="15.75" customHeight="1">
      <c r="A101" s="5">
        <f t="shared" si="2"/>
        <v>96</v>
      </c>
      <c r="B101" s="122" t="s">
        <v>222</v>
      </c>
      <c r="C101" s="123"/>
      <c r="D101" s="119"/>
      <c r="E101" s="120"/>
      <c r="F101" s="121"/>
      <c r="G101" s="110" t="s">
        <v>124</v>
      </c>
      <c r="H101" s="118">
        <v>6</v>
      </c>
      <c r="I101" s="111">
        <v>30</v>
      </c>
      <c r="J101" s="98">
        <f t="shared" si="1"/>
        <v>180</v>
      </c>
      <c r="K101" s="99"/>
      <c r="L101" s="100"/>
      <c r="R101" s="96"/>
    </row>
    <row r="102" spans="1:18" ht="15.75" customHeight="1">
      <c r="A102" s="5">
        <f t="shared" si="2"/>
        <v>97</v>
      </c>
      <c r="B102" s="122" t="s">
        <v>223</v>
      </c>
      <c r="C102" s="123"/>
      <c r="D102" s="119"/>
      <c r="E102" s="120"/>
      <c r="F102" s="121"/>
      <c r="G102" s="110" t="s">
        <v>124</v>
      </c>
      <c r="H102" s="118">
        <v>6</v>
      </c>
      <c r="I102" s="111">
        <v>48</v>
      </c>
      <c r="J102" s="98">
        <f t="shared" si="1"/>
        <v>288</v>
      </c>
      <c r="K102" s="99"/>
      <c r="L102" s="100"/>
      <c r="R102" s="96"/>
    </row>
    <row r="103" spans="1:18" ht="15.75" customHeight="1">
      <c r="A103" s="5">
        <f t="shared" si="2"/>
        <v>98</v>
      </c>
      <c r="B103" s="122" t="s">
        <v>224</v>
      </c>
      <c r="C103" s="123"/>
      <c r="D103" s="119"/>
      <c r="E103" s="120"/>
      <c r="F103" s="121"/>
      <c r="G103" s="110" t="s">
        <v>124</v>
      </c>
      <c r="H103" s="118">
        <v>6</v>
      </c>
      <c r="I103" s="111">
        <v>28</v>
      </c>
      <c r="J103" s="98">
        <f t="shared" si="1"/>
        <v>168</v>
      </c>
      <c r="K103" s="99"/>
      <c r="L103" s="100"/>
      <c r="R103" s="96"/>
    </row>
    <row r="104" spans="1:18" ht="15.75" customHeight="1">
      <c r="A104" s="5">
        <f t="shared" si="2"/>
        <v>99</v>
      </c>
      <c r="B104" s="122" t="s">
        <v>225</v>
      </c>
      <c r="C104" s="123"/>
      <c r="D104" s="119"/>
      <c r="E104" s="120"/>
      <c r="F104" s="121"/>
      <c r="G104" s="110" t="s">
        <v>124</v>
      </c>
      <c r="H104" s="118">
        <v>10</v>
      </c>
      <c r="I104" s="111">
        <v>15</v>
      </c>
      <c r="J104" s="98">
        <f t="shared" si="1"/>
        <v>150</v>
      </c>
      <c r="K104" s="99"/>
      <c r="L104" s="100"/>
      <c r="R104" s="96"/>
    </row>
    <row r="105" spans="1:18" ht="15.75" customHeight="1">
      <c r="A105" s="5">
        <f t="shared" si="2"/>
        <v>100</v>
      </c>
      <c r="B105" s="122" t="s">
        <v>226</v>
      </c>
      <c r="C105" s="123"/>
      <c r="D105" s="119"/>
      <c r="E105" s="120"/>
      <c r="F105" s="121"/>
      <c r="G105" s="110" t="s">
        <v>124</v>
      </c>
      <c r="H105" s="118">
        <v>6</v>
      </c>
      <c r="I105" s="111">
        <v>55</v>
      </c>
      <c r="J105" s="98">
        <f t="shared" si="1"/>
        <v>330</v>
      </c>
      <c r="K105" s="99"/>
      <c r="L105" s="100"/>
      <c r="R105" s="96"/>
    </row>
    <row r="106" spans="1:18" ht="15.75" customHeight="1">
      <c r="A106" s="5">
        <f t="shared" si="2"/>
        <v>101</v>
      </c>
      <c r="B106" s="122" t="s">
        <v>227</v>
      </c>
      <c r="C106" s="123"/>
      <c r="D106" s="119"/>
      <c r="E106" s="120"/>
      <c r="F106" s="121"/>
      <c r="G106" s="110" t="s">
        <v>124</v>
      </c>
      <c r="H106" s="118">
        <v>6</v>
      </c>
      <c r="I106" s="111">
        <v>360</v>
      </c>
      <c r="J106" s="98">
        <f t="shared" si="1"/>
        <v>2160</v>
      </c>
      <c r="K106" s="99"/>
      <c r="L106" s="100"/>
      <c r="R106" s="96"/>
    </row>
    <row r="107" spans="1:18" ht="15.75" customHeight="1">
      <c r="A107" s="5">
        <f t="shared" si="2"/>
        <v>102</v>
      </c>
      <c r="B107" s="122" t="s">
        <v>228</v>
      </c>
      <c r="C107" s="123"/>
      <c r="D107" s="119"/>
      <c r="E107" s="120"/>
      <c r="F107" s="121"/>
      <c r="G107" s="110" t="s">
        <v>124</v>
      </c>
      <c r="H107" s="118">
        <v>6</v>
      </c>
      <c r="I107" s="111">
        <v>165</v>
      </c>
      <c r="J107" s="98">
        <f t="shared" si="1"/>
        <v>990</v>
      </c>
      <c r="K107" s="99"/>
      <c r="L107" s="100"/>
      <c r="R107" s="96"/>
    </row>
    <row r="108" spans="1:18" ht="15.75" customHeight="1">
      <c r="A108" s="5">
        <f t="shared" si="2"/>
        <v>103</v>
      </c>
      <c r="B108" s="122" t="s">
        <v>229</v>
      </c>
      <c r="C108" s="123"/>
      <c r="D108" s="119"/>
      <c r="E108" s="120"/>
      <c r="F108" s="121"/>
      <c r="G108" s="110" t="s">
        <v>240</v>
      </c>
      <c r="H108" s="118">
        <v>3</v>
      </c>
      <c r="I108" s="111">
        <v>14</v>
      </c>
      <c r="J108" s="98">
        <f t="shared" si="1"/>
        <v>42</v>
      </c>
      <c r="K108" s="99"/>
      <c r="L108" s="100"/>
      <c r="R108" s="96"/>
    </row>
    <row r="109" spans="1:18" ht="15.75" customHeight="1">
      <c r="A109" s="5">
        <f t="shared" si="2"/>
        <v>104</v>
      </c>
      <c r="B109" s="122" t="s">
        <v>230</v>
      </c>
      <c r="C109" s="123"/>
      <c r="D109" s="119"/>
      <c r="E109" s="120"/>
      <c r="F109" s="121"/>
      <c r="G109" s="110" t="s">
        <v>124</v>
      </c>
      <c r="H109" s="118">
        <v>1</v>
      </c>
      <c r="I109" s="111">
        <v>1885</v>
      </c>
      <c r="J109" s="98">
        <f t="shared" si="1"/>
        <v>1885</v>
      </c>
      <c r="K109" s="99"/>
      <c r="L109" s="100"/>
      <c r="R109" s="96"/>
    </row>
    <row r="110" spans="1:18" ht="15.75" customHeight="1">
      <c r="A110" s="5">
        <f t="shared" si="2"/>
        <v>105</v>
      </c>
      <c r="B110" s="122" t="s">
        <v>231</v>
      </c>
      <c r="C110" s="123"/>
      <c r="D110" s="119"/>
      <c r="E110" s="120"/>
      <c r="F110" s="121"/>
      <c r="G110" s="110" t="s">
        <v>124</v>
      </c>
      <c r="H110" s="118">
        <v>1</v>
      </c>
      <c r="I110" s="111">
        <v>3525</v>
      </c>
      <c r="J110" s="98">
        <f t="shared" si="1"/>
        <v>3525</v>
      </c>
      <c r="K110" s="99"/>
      <c r="L110" s="100"/>
      <c r="R110" s="96"/>
    </row>
    <row r="111" spans="1:18" ht="15.75" customHeight="1">
      <c r="A111" s="5">
        <f t="shared" si="2"/>
        <v>106</v>
      </c>
      <c r="B111" s="122" t="s">
        <v>232</v>
      </c>
      <c r="C111" s="123"/>
      <c r="D111" s="119"/>
      <c r="E111" s="120"/>
      <c r="F111" s="121"/>
      <c r="G111" s="110" t="s">
        <v>124</v>
      </c>
      <c r="H111" s="118">
        <v>2</v>
      </c>
      <c r="I111" s="111">
        <v>845</v>
      </c>
      <c r="J111" s="98">
        <f t="shared" si="1"/>
        <v>1690</v>
      </c>
      <c r="K111" s="99"/>
      <c r="L111" s="100"/>
      <c r="R111" s="96"/>
    </row>
    <row r="112" spans="1:18" ht="15.75" customHeight="1">
      <c r="A112" s="5">
        <f t="shared" si="2"/>
        <v>107</v>
      </c>
      <c r="B112" s="122" t="s">
        <v>233</v>
      </c>
      <c r="C112" s="123"/>
      <c r="D112" s="119"/>
      <c r="E112" s="120"/>
      <c r="F112" s="121"/>
      <c r="G112" s="110" t="s">
        <v>124</v>
      </c>
      <c r="H112" s="118">
        <v>2</v>
      </c>
      <c r="I112" s="111">
        <v>98</v>
      </c>
      <c r="J112" s="98">
        <f t="shared" si="1"/>
        <v>196</v>
      </c>
      <c r="K112" s="99"/>
      <c r="L112" s="100"/>
      <c r="R112" s="96"/>
    </row>
    <row r="113" spans="1:19" ht="15.75" customHeight="1">
      <c r="A113" s="5">
        <f t="shared" si="2"/>
        <v>108</v>
      </c>
      <c r="B113" s="122" t="s">
        <v>234</v>
      </c>
      <c r="C113" s="123"/>
      <c r="D113" s="119"/>
      <c r="E113" s="120"/>
      <c r="F113" s="121"/>
      <c r="G113" s="110" t="s">
        <v>124</v>
      </c>
      <c r="H113" s="118">
        <v>1</v>
      </c>
      <c r="I113" s="111">
        <v>91</v>
      </c>
      <c r="J113" s="98">
        <f t="shared" si="1"/>
        <v>91</v>
      </c>
      <c r="K113" s="99"/>
      <c r="L113" s="100"/>
      <c r="R113" s="96"/>
    </row>
    <row r="114" spans="1:19" ht="15.75" customHeight="1">
      <c r="A114" s="5">
        <f t="shared" si="2"/>
        <v>109</v>
      </c>
      <c r="B114" s="122" t="s">
        <v>235</v>
      </c>
      <c r="C114" s="123"/>
      <c r="D114" s="119"/>
      <c r="E114" s="120"/>
      <c r="F114" s="121"/>
      <c r="G114" s="110" t="s">
        <v>124</v>
      </c>
      <c r="H114" s="118">
        <v>2</v>
      </c>
      <c r="I114" s="111">
        <v>142</v>
      </c>
      <c r="J114" s="98">
        <f t="shared" si="1"/>
        <v>284</v>
      </c>
      <c r="K114" s="99"/>
      <c r="L114" s="100"/>
      <c r="R114" s="96"/>
    </row>
    <row r="115" spans="1:19" ht="15.75" customHeight="1">
      <c r="A115" s="5">
        <f t="shared" si="2"/>
        <v>110</v>
      </c>
      <c r="B115" s="122" t="s">
        <v>236</v>
      </c>
      <c r="C115" s="123"/>
      <c r="D115" s="119"/>
      <c r="E115" s="120"/>
      <c r="F115" s="121"/>
      <c r="G115" s="110" t="s">
        <v>124</v>
      </c>
      <c r="H115" s="118">
        <v>50</v>
      </c>
      <c r="I115" s="111">
        <v>20</v>
      </c>
      <c r="J115" s="98">
        <f t="shared" si="1"/>
        <v>1000</v>
      </c>
      <c r="K115" s="99"/>
      <c r="L115" s="100"/>
      <c r="R115" s="96"/>
    </row>
    <row r="116" spans="1:19" ht="15.75" customHeight="1">
      <c r="A116" s="5">
        <f t="shared" si="2"/>
        <v>111</v>
      </c>
      <c r="B116" s="122" t="s">
        <v>237</v>
      </c>
      <c r="C116" s="123"/>
      <c r="D116" s="119"/>
      <c r="E116" s="120"/>
      <c r="F116" s="121"/>
      <c r="G116" s="110" t="s">
        <v>124</v>
      </c>
      <c r="H116" s="118">
        <v>27</v>
      </c>
      <c r="I116" s="111">
        <v>40</v>
      </c>
      <c r="J116" s="98">
        <f t="shared" si="1"/>
        <v>1080</v>
      </c>
      <c r="K116" s="99"/>
      <c r="L116" s="100"/>
      <c r="R116" s="96"/>
    </row>
    <row r="117" spans="1:19" ht="15.75" customHeight="1">
      <c r="A117" s="5">
        <f t="shared" si="2"/>
        <v>112</v>
      </c>
      <c r="B117" s="122" t="s">
        <v>238</v>
      </c>
      <c r="C117" s="123"/>
      <c r="D117" s="119"/>
      <c r="E117" s="120"/>
      <c r="F117" s="121"/>
      <c r="G117" s="110" t="s">
        <v>124</v>
      </c>
      <c r="H117" s="118">
        <v>10</v>
      </c>
      <c r="I117" s="111">
        <v>14</v>
      </c>
      <c r="J117" s="98">
        <f t="shared" si="1"/>
        <v>140</v>
      </c>
      <c r="K117" s="99"/>
      <c r="L117" s="100"/>
      <c r="R117" s="96"/>
    </row>
    <row r="118" spans="1:19" ht="23.25" customHeight="1">
      <c r="A118" s="128" t="s">
        <v>8</v>
      </c>
      <c r="B118" s="129"/>
      <c r="C118" s="101"/>
      <c r="D118" s="107"/>
      <c r="E118" s="107"/>
      <c r="F118" s="107"/>
      <c r="G118" s="108"/>
      <c r="H118" s="108"/>
      <c r="I118" s="109" t="s">
        <v>9</v>
      </c>
      <c r="J118" s="98">
        <f>SUM(J6:J117)</f>
        <v>283602</v>
      </c>
      <c r="K118" s="98"/>
      <c r="L118" s="102"/>
    </row>
    <row r="119" spans="1:19" ht="20.100000000000001" customHeight="1">
      <c r="A119" s="6" t="s">
        <v>10</v>
      </c>
      <c r="B119" s="7"/>
      <c r="C119" s="7"/>
      <c r="D119" s="7"/>
      <c r="E119" s="7"/>
      <c r="F119" s="7"/>
      <c r="G119" s="7"/>
      <c r="H119" s="7"/>
      <c r="I119" s="7"/>
      <c r="J119" s="7"/>
      <c r="K119" s="8"/>
      <c r="L119" s="9"/>
    </row>
    <row r="120" spans="1:19" ht="18" customHeight="1">
      <c r="A120" s="10"/>
      <c r="J120" s="1"/>
      <c r="K120" s="1"/>
      <c r="O120" s="11"/>
      <c r="P120" s="11"/>
      <c r="R120" s="130" t="s">
        <v>11</v>
      </c>
      <c r="S120" s="13" t="s">
        <v>12</v>
      </c>
    </row>
    <row r="121" spans="1:19" ht="50.1" customHeight="1">
      <c r="R121" s="131"/>
      <c r="S121" s="15"/>
    </row>
    <row r="122" spans="1:19" ht="17.100000000000001" customHeight="1">
      <c r="O122" s="11"/>
      <c r="P122" s="11"/>
      <c r="R122" s="125"/>
      <c r="S122" s="15" t="s">
        <v>13</v>
      </c>
    </row>
    <row r="123" spans="1:19" ht="15" customHeight="1">
      <c r="O123" s="17" t="s">
        <v>14</v>
      </c>
      <c r="P123" s="124" t="s">
        <v>15</v>
      </c>
    </row>
    <row r="124" spans="1:19" ht="18" customHeight="1">
      <c r="O124" s="18" t="s">
        <v>16</v>
      </c>
      <c r="P124" s="126"/>
      <c r="R124" s="130" t="s">
        <v>17</v>
      </c>
      <c r="S124" s="12" t="s">
        <v>12</v>
      </c>
    </row>
    <row r="125" spans="1:19" ht="50.1" customHeight="1">
      <c r="O125" s="14"/>
      <c r="P125" s="14"/>
      <c r="R125" s="131"/>
      <c r="S125" s="19"/>
    </row>
    <row r="126" spans="1:19" ht="17.100000000000001" customHeight="1">
      <c r="O126" s="16" t="s">
        <v>13</v>
      </c>
      <c r="P126" s="16" t="s">
        <v>13</v>
      </c>
      <c r="R126" s="125"/>
      <c r="S126" s="15" t="s">
        <v>13</v>
      </c>
    </row>
    <row r="127" spans="1:19" ht="9.9499999999999993" customHeight="1"/>
    <row r="128" spans="1:19" ht="19.899999999999999" customHeight="1"/>
    <row r="129" spans="15:16" ht="17.45" customHeight="1">
      <c r="O129" s="127"/>
      <c r="P129" s="127"/>
    </row>
    <row r="130" spans="15:16" ht="19.899999999999999" customHeight="1">
      <c r="O130" s="127"/>
      <c r="P130" s="127"/>
    </row>
    <row r="131" spans="15:16" ht="14.25">
      <c r="O131" s="11"/>
      <c r="P131" s="11"/>
    </row>
    <row r="132" spans="15:16" ht="65.099999999999994" customHeight="1"/>
    <row r="133" spans="15:16" ht="14.25">
      <c r="O133" s="11"/>
      <c r="P133" s="11"/>
    </row>
    <row r="134" spans="15:16" ht="19.899999999999999" customHeight="1"/>
    <row r="135" spans="15:16" ht="14.25"/>
    <row r="136" spans="15:16" ht="19.899999999999999" customHeight="1"/>
    <row r="137" spans="15:16" ht="14.25"/>
    <row r="138" spans="15:16" ht="19.899999999999999" customHeight="1"/>
    <row r="139" spans="15:16" ht="19.899999999999999" customHeight="1"/>
    <row r="140" spans="15:16" ht="64.900000000000006" customHeight="1"/>
    <row r="142" spans="15:16" ht="19.899999999999999" customHeight="1"/>
    <row r="143" spans="15:16" ht="19.899999999999999" customHeight="1"/>
    <row r="144" spans="15:16" ht="64.900000000000006" customHeight="1"/>
    <row r="148" spans="15:19" ht="21" customHeight="1">
      <c r="O148" s="124" t="s">
        <v>18</v>
      </c>
      <c r="P148" s="124" t="s">
        <v>18</v>
      </c>
      <c r="S148" s="124" t="s">
        <v>12</v>
      </c>
    </row>
    <row r="149" spans="15:19" ht="21" customHeight="1">
      <c r="O149" s="126"/>
      <c r="P149" s="126"/>
      <c r="S149" s="125"/>
    </row>
    <row r="150" spans="15:19" ht="64.900000000000006" customHeight="1">
      <c r="O150" s="14"/>
      <c r="P150" s="14"/>
      <c r="S150" s="15"/>
    </row>
    <row r="151" spans="15:19" ht="7.15" customHeight="1"/>
    <row r="152" spans="15:19" ht="21" customHeight="1">
      <c r="O152" s="124" t="s">
        <v>18</v>
      </c>
      <c r="P152" s="124" t="s">
        <v>18</v>
      </c>
      <c r="S152" s="124" t="s">
        <v>19</v>
      </c>
    </row>
    <row r="153" spans="15:19" ht="21" customHeight="1">
      <c r="O153" s="126"/>
      <c r="P153" s="126"/>
      <c r="S153" s="125"/>
    </row>
    <row r="154" spans="15:19" ht="64.900000000000006" customHeight="1">
      <c r="O154" s="14"/>
      <c r="P154" s="14"/>
      <c r="S154" s="14"/>
    </row>
  </sheetData>
  <mergeCells count="145"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15:C15"/>
    <mergeCell ref="B16:C16"/>
    <mergeCell ref="B17:C17"/>
    <mergeCell ref="B18:C18"/>
    <mergeCell ref="B19:C19"/>
    <mergeCell ref="S148:S149"/>
    <mergeCell ref="O152:O153"/>
    <mergeCell ref="P152:P153"/>
    <mergeCell ref="S152:S153"/>
    <mergeCell ref="O129:O130"/>
    <mergeCell ref="P129:P130"/>
    <mergeCell ref="O148:O149"/>
    <mergeCell ref="P148:P149"/>
    <mergeCell ref="A118:B118"/>
    <mergeCell ref="R120:R122"/>
    <mergeCell ref="P123:P124"/>
    <mergeCell ref="R124:R126"/>
    <mergeCell ref="B98:C98"/>
    <mergeCell ref="B99:C99"/>
    <mergeCell ref="B100:C100"/>
    <mergeCell ref="B101:C101"/>
    <mergeCell ref="B102:C102"/>
    <mergeCell ref="B103:C103"/>
    <mergeCell ref="B104:C10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117:C117"/>
    <mergeCell ref="B85:C85"/>
    <mergeCell ref="B113:C113"/>
    <mergeCell ref="B114:C114"/>
    <mergeCell ref="B115:C115"/>
    <mergeCell ref="B116:C116"/>
    <mergeCell ref="B80:C80"/>
    <mergeCell ref="B81:C81"/>
    <mergeCell ref="B82:C82"/>
    <mergeCell ref="B83:C83"/>
    <mergeCell ref="B84:C84"/>
    <mergeCell ref="B105:C105"/>
    <mergeCell ref="B106:C106"/>
    <mergeCell ref="B107:C107"/>
    <mergeCell ref="B108:C108"/>
    <mergeCell ref="B109:C109"/>
    <mergeCell ref="B110:C110"/>
    <mergeCell ref="B111:C111"/>
    <mergeCell ref="B112:C11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7"/>
  <sheetViews>
    <sheetView showGridLines="0" zoomScale="95" zoomScaleNormal="95" zoomScaleSheetLayoutView="70" workbookViewId="0">
      <pane ySplit="5" topLeftCell="A115" activePane="bottomLeft" state="frozen"/>
      <selection activeCell="D30" sqref="D30"/>
      <selection pane="bottomLeft" activeCell="H119" sqref="H119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4" t="s">
        <v>93</v>
      </c>
      <c r="B1" s="90"/>
      <c r="C1" s="90"/>
      <c r="D1" s="90"/>
      <c r="E1" s="90"/>
      <c r="F1" s="90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20"/>
      <c r="H2" s="20"/>
      <c r="I2" s="20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SAC2-DS-MRS-0338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46190</v>
      </c>
    </row>
    <row r="4" spans="1:18" ht="15.95" customHeight="1">
      <c r="A4" s="159" t="s">
        <v>2</v>
      </c>
      <c r="B4" s="160" t="s">
        <v>20</v>
      </c>
      <c r="C4" s="160"/>
      <c r="D4" s="159" t="s">
        <v>4</v>
      </c>
      <c r="E4" s="159"/>
      <c r="F4" s="159"/>
      <c r="G4" s="160" t="s">
        <v>5</v>
      </c>
      <c r="H4" s="159" t="s">
        <v>88</v>
      </c>
      <c r="I4" s="159" t="s">
        <v>21</v>
      </c>
      <c r="J4" s="159" t="s">
        <v>22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54" t="str">
        <f>MRS!B6</f>
        <v xml:space="preserve">Cutting Scissor - 5" </v>
      </c>
      <c r="C6" s="155"/>
      <c r="D6" s="156">
        <f>MRS!D6</f>
        <v>0</v>
      </c>
      <c r="E6" s="157"/>
      <c r="F6" s="158"/>
      <c r="G6" s="93" t="str">
        <f>MRS!G6</f>
        <v>Ea</v>
      </c>
      <c r="H6" s="93">
        <f>MRS!H6</f>
        <v>2</v>
      </c>
      <c r="I6" s="94">
        <f>MRS!I6</f>
        <v>23</v>
      </c>
      <c r="J6" s="94">
        <f>MRS!J6</f>
        <v>46</v>
      </c>
      <c r="K6" s="95"/>
      <c r="O6" s="96"/>
      <c r="P6" s="96"/>
      <c r="R6" s="96"/>
    </row>
    <row r="7" spans="1:18" ht="105" customHeight="1">
      <c r="A7" s="21">
        <f>+MRS!A7</f>
        <v>2</v>
      </c>
      <c r="B7" s="154" t="str">
        <f>MRS!B7</f>
        <v xml:space="preserve">Carbon Brush For Angle Grinder Machine 4" Dewalt 4002 </v>
      </c>
      <c r="C7" s="155"/>
      <c r="D7" s="156">
        <f>MRS!D7</f>
        <v>0</v>
      </c>
      <c r="E7" s="157"/>
      <c r="F7" s="158"/>
      <c r="G7" s="93" t="str">
        <f>MRS!G7</f>
        <v>Ea</v>
      </c>
      <c r="H7" s="93">
        <f>MRS!H7</f>
        <v>130</v>
      </c>
      <c r="I7" s="94">
        <f>MRS!I7</f>
        <v>13</v>
      </c>
      <c r="J7" s="94">
        <f>MRS!J7</f>
        <v>1690</v>
      </c>
      <c r="K7" s="95"/>
      <c r="O7" s="96"/>
      <c r="P7" s="96"/>
      <c r="R7" s="96"/>
    </row>
    <row r="8" spans="1:18" ht="105" customHeight="1">
      <c r="A8" s="21">
        <f>+MRS!A8</f>
        <v>3</v>
      </c>
      <c r="B8" s="154" t="str">
        <f>MRS!B8</f>
        <v xml:space="preserve">Angle Grinder Machine Switch 4" Dewalt 4002 </v>
      </c>
      <c r="C8" s="155"/>
      <c r="D8" s="156">
        <f>MRS!D8</f>
        <v>0</v>
      </c>
      <c r="E8" s="157"/>
      <c r="F8" s="158"/>
      <c r="G8" s="93" t="str">
        <f>MRS!G8</f>
        <v>Ea</v>
      </c>
      <c r="H8" s="93">
        <f>MRS!H8</f>
        <v>100</v>
      </c>
      <c r="I8" s="94">
        <f>MRS!I8</f>
        <v>365</v>
      </c>
      <c r="J8" s="94">
        <f>MRS!J8</f>
        <v>36500</v>
      </c>
      <c r="K8" s="95"/>
      <c r="O8" s="96"/>
      <c r="P8" s="96"/>
      <c r="R8" s="96"/>
    </row>
    <row r="9" spans="1:18" ht="105" customHeight="1">
      <c r="A9" s="21">
        <f>+MRS!A9</f>
        <v>4</v>
      </c>
      <c r="B9" s="154" t="str">
        <f>MRS!B9</f>
        <v xml:space="preserve">Aramacture For Angle Grinder Machine 4" Dewalt 4002 </v>
      </c>
      <c r="C9" s="155"/>
      <c r="D9" s="156">
        <f>MRS!D9</f>
        <v>0</v>
      </c>
      <c r="E9" s="157"/>
      <c r="F9" s="158"/>
      <c r="G9" s="93" t="str">
        <f>MRS!G9</f>
        <v>Ea</v>
      </c>
      <c r="H9" s="93">
        <f>MRS!H9</f>
        <v>50</v>
      </c>
      <c r="I9" s="94">
        <f>MRS!I9</f>
        <v>150</v>
      </c>
      <c r="J9" s="94">
        <f>MRS!J9</f>
        <v>7500</v>
      </c>
      <c r="K9" s="95"/>
      <c r="O9" s="96"/>
      <c r="P9" s="96"/>
      <c r="R9" s="96"/>
    </row>
    <row r="10" spans="1:18" ht="105" customHeight="1">
      <c r="A10" s="21">
        <f>+MRS!A10</f>
        <v>5</v>
      </c>
      <c r="B10" s="154" t="str">
        <f>MRS!B10</f>
        <v xml:space="preserve">Twist Drill Bit 12Mm Dewesser </v>
      </c>
      <c r="C10" s="155"/>
      <c r="D10" s="156">
        <f>MRS!D10</f>
        <v>0</v>
      </c>
      <c r="E10" s="157"/>
      <c r="F10" s="158"/>
      <c r="G10" s="93" t="str">
        <f>MRS!G10</f>
        <v>Ea</v>
      </c>
      <c r="H10" s="93">
        <f>MRS!H10</f>
        <v>20</v>
      </c>
      <c r="I10" s="94">
        <f>MRS!I10</f>
        <v>8.5</v>
      </c>
      <c r="J10" s="94">
        <f>MRS!J10</f>
        <v>170</v>
      </c>
      <c r="K10" s="95"/>
      <c r="O10" s="96"/>
      <c r="P10" s="96"/>
      <c r="R10" s="96"/>
    </row>
    <row r="11" spans="1:18" ht="105" customHeight="1">
      <c r="A11" s="21">
        <f>+MRS!A11</f>
        <v>6</v>
      </c>
      <c r="B11" s="154" t="str">
        <f>MRS!B11</f>
        <v xml:space="preserve">Twist Drill Bit 10Mm Dewesser </v>
      </c>
      <c r="C11" s="155"/>
      <c r="D11" s="156">
        <f>MRS!D11</f>
        <v>0</v>
      </c>
      <c r="E11" s="157"/>
      <c r="F11" s="158"/>
      <c r="G11" s="93" t="str">
        <f>MRS!G11</f>
        <v>Ea</v>
      </c>
      <c r="H11" s="93">
        <f>MRS!H11</f>
        <v>50</v>
      </c>
      <c r="I11" s="94">
        <f>MRS!I11</f>
        <v>6.5</v>
      </c>
      <c r="J11" s="94">
        <f>MRS!J11</f>
        <v>325</v>
      </c>
      <c r="K11" s="95"/>
      <c r="O11" s="96"/>
      <c r="P11" s="96"/>
      <c r="R11" s="96"/>
    </row>
    <row r="12" spans="1:18" ht="105" customHeight="1">
      <c r="A12" s="21">
        <f>+MRS!A12</f>
        <v>7</v>
      </c>
      <c r="B12" s="154" t="str">
        <f>MRS!B12</f>
        <v xml:space="preserve">Twist Drill Bit 8Mm Dewesser </v>
      </c>
      <c r="C12" s="155"/>
      <c r="D12" s="156">
        <f>MRS!D12</f>
        <v>0</v>
      </c>
      <c r="E12" s="157"/>
      <c r="F12" s="158"/>
      <c r="G12" s="93" t="str">
        <f>MRS!G12</f>
        <v>Ea</v>
      </c>
      <c r="H12" s="93">
        <f>MRS!H12</f>
        <v>50</v>
      </c>
      <c r="I12" s="94">
        <f>MRS!I12</f>
        <v>4.5</v>
      </c>
      <c r="J12" s="94">
        <f>MRS!J12</f>
        <v>225</v>
      </c>
      <c r="K12" s="95"/>
      <c r="O12" s="96"/>
      <c r="P12" s="96"/>
      <c r="R12" s="96"/>
    </row>
    <row r="13" spans="1:18" ht="105" customHeight="1">
      <c r="A13" s="21">
        <f>+MRS!A13</f>
        <v>8</v>
      </c>
      <c r="B13" s="154" t="str">
        <f>MRS!B13</f>
        <v xml:space="preserve">Twist Drill Bit 6Mm Dewesser </v>
      </c>
      <c r="C13" s="155"/>
      <c r="D13" s="156">
        <f>MRS!D13</f>
        <v>0</v>
      </c>
      <c r="E13" s="157"/>
      <c r="F13" s="158"/>
      <c r="G13" s="93" t="str">
        <f>MRS!G13</f>
        <v>Ea</v>
      </c>
      <c r="H13" s="93">
        <f>MRS!H13</f>
        <v>50</v>
      </c>
      <c r="I13" s="94">
        <f>MRS!I13</f>
        <v>2</v>
      </c>
      <c r="J13" s="94">
        <f>MRS!J13</f>
        <v>100</v>
      </c>
      <c r="K13" s="95"/>
      <c r="O13" s="96"/>
      <c r="P13" s="96"/>
      <c r="R13" s="96"/>
    </row>
    <row r="14" spans="1:18" ht="105" customHeight="1">
      <c r="A14" s="21">
        <f>+MRS!A14</f>
        <v>9</v>
      </c>
      <c r="B14" s="154" t="str">
        <f>MRS!B14</f>
        <v xml:space="preserve">Carbon Brush For Angle Grinder Machine 4" Dewalt 4002 </v>
      </c>
      <c r="C14" s="155"/>
      <c r="D14" s="156">
        <f>MRS!D14</f>
        <v>0</v>
      </c>
      <c r="E14" s="157"/>
      <c r="F14" s="158"/>
      <c r="G14" s="93" t="str">
        <f>MRS!G14</f>
        <v>Ea</v>
      </c>
      <c r="H14" s="93">
        <f>MRS!H14</f>
        <v>50</v>
      </c>
      <c r="I14" s="94">
        <f>MRS!I14</f>
        <v>13</v>
      </c>
      <c r="J14" s="94">
        <f>MRS!J14</f>
        <v>650</v>
      </c>
      <c r="K14" s="95"/>
      <c r="O14" s="96"/>
      <c r="P14" s="96"/>
      <c r="R14" s="96"/>
    </row>
    <row r="15" spans="1:18" ht="105" customHeight="1">
      <c r="A15" s="21">
        <f>+MRS!A15</f>
        <v>10</v>
      </c>
      <c r="B15" s="154" t="str">
        <f>MRS!B15</f>
        <v xml:space="preserve">Yellow Tag </v>
      </c>
      <c r="C15" s="155"/>
      <c r="D15" s="156">
        <f>MRS!D15</f>
        <v>0</v>
      </c>
      <c r="E15" s="157"/>
      <c r="F15" s="158"/>
      <c r="G15" s="93" t="str">
        <f>MRS!G15</f>
        <v>PCS</v>
      </c>
      <c r="H15" s="93">
        <f>MRS!H15</f>
        <v>700</v>
      </c>
      <c r="I15" s="94">
        <f>MRS!I15</f>
        <v>3</v>
      </c>
      <c r="J15" s="94">
        <f>MRS!J15</f>
        <v>2100</v>
      </c>
      <c r="K15" s="95"/>
      <c r="O15" s="96"/>
      <c r="P15" s="96"/>
      <c r="R15" s="96"/>
    </row>
    <row r="16" spans="1:18" ht="105" customHeight="1">
      <c r="A16" s="21">
        <f>+MRS!A16</f>
        <v>11</v>
      </c>
      <c r="B16" s="154" t="str">
        <f>MRS!B16</f>
        <v xml:space="preserve">Red Tag Holder </v>
      </c>
      <c r="C16" s="155"/>
      <c r="D16" s="156">
        <f>MRS!D16</f>
        <v>0</v>
      </c>
      <c r="E16" s="157"/>
      <c r="F16" s="158"/>
      <c r="G16" s="93" t="str">
        <f>MRS!G16</f>
        <v>PCS</v>
      </c>
      <c r="H16" s="93">
        <f>MRS!H16</f>
        <v>300</v>
      </c>
      <c r="I16" s="94">
        <f>MRS!I16</f>
        <v>10</v>
      </c>
      <c r="J16" s="94">
        <f>MRS!J16</f>
        <v>3000</v>
      </c>
      <c r="K16" s="95"/>
      <c r="O16" s="96"/>
      <c r="P16" s="96"/>
      <c r="R16" s="96"/>
    </row>
    <row r="17" spans="1:18" ht="105" customHeight="1">
      <c r="A17" s="21">
        <f>+MRS!A17</f>
        <v>12</v>
      </c>
      <c r="B17" s="154" t="str">
        <f>MRS!B17</f>
        <v>Green Tag</v>
      </c>
      <c r="C17" s="155"/>
      <c r="D17" s="156">
        <f>MRS!D17</f>
        <v>0</v>
      </c>
      <c r="E17" s="157"/>
      <c r="F17" s="158"/>
      <c r="G17" s="93" t="str">
        <f>MRS!G17</f>
        <v>PCS</v>
      </c>
      <c r="H17" s="93">
        <f>MRS!H17</f>
        <v>600</v>
      </c>
      <c r="I17" s="94">
        <f>MRS!I17</f>
        <v>3</v>
      </c>
      <c r="J17" s="94">
        <f>MRS!J17</f>
        <v>1800</v>
      </c>
      <c r="K17" s="95"/>
      <c r="O17" s="96"/>
      <c r="P17" s="96"/>
      <c r="R17" s="96"/>
    </row>
    <row r="18" spans="1:18" ht="105" customHeight="1">
      <c r="A18" s="21">
        <f>+MRS!A18</f>
        <v>13</v>
      </c>
      <c r="B18" s="154" t="str">
        <f>MRS!B18</f>
        <v xml:space="preserve">Ratchet Spanner Size : 19/21Mm ( Brand : Clarke ) </v>
      </c>
      <c r="C18" s="155"/>
      <c r="D18" s="156">
        <f>MRS!D18</f>
        <v>0</v>
      </c>
      <c r="E18" s="157"/>
      <c r="F18" s="158"/>
      <c r="G18" s="93" t="str">
        <f>MRS!G18</f>
        <v>PCS</v>
      </c>
      <c r="H18" s="93">
        <f>MRS!H18</f>
        <v>115</v>
      </c>
      <c r="I18" s="94">
        <f>MRS!I18</f>
        <v>38</v>
      </c>
      <c r="J18" s="94">
        <f>MRS!J18</f>
        <v>4370</v>
      </c>
      <c r="K18" s="95"/>
      <c r="O18" s="96"/>
      <c r="P18" s="96"/>
      <c r="R18" s="96"/>
    </row>
    <row r="19" spans="1:18" ht="105" customHeight="1">
      <c r="A19" s="21">
        <f>+MRS!A19</f>
        <v>14</v>
      </c>
      <c r="B19" s="154" t="str">
        <f>MRS!B19</f>
        <v xml:space="preserve">Std Tool Lanyard ( Brand : Maskweld ) </v>
      </c>
      <c r="C19" s="155"/>
      <c r="D19" s="156">
        <f>MRS!D19</f>
        <v>0</v>
      </c>
      <c r="E19" s="157"/>
      <c r="F19" s="158"/>
      <c r="G19" s="93" t="str">
        <f>MRS!G19</f>
        <v>PCS</v>
      </c>
      <c r="H19" s="93">
        <f>MRS!H19</f>
        <v>100</v>
      </c>
      <c r="I19" s="94">
        <f>MRS!I19</f>
        <v>20</v>
      </c>
      <c r="J19" s="94">
        <f>MRS!J19</f>
        <v>2000</v>
      </c>
      <c r="K19" s="95"/>
      <c r="O19" s="96"/>
      <c r="P19" s="96"/>
      <c r="R19" s="96"/>
    </row>
    <row r="20" spans="1:18" ht="105" customHeight="1">
      <c r="A20" s="21">
        <f>+MRS!A20</f>
        <v>15</v>
      </c>
      <c r="B20" s="154" t="str">
        <f>MRS!B20</f>
        <v xml:space="preserve">Plumbob 400Garm ( 40Mtr ) </v>
      </c>
      <c r="C20" s="155"/>
      <c r="D20" s="156">
        <f>MRS!D20</f>
        <v>0</v>
      </c>
      <c r="E20" s="157"/>
      <c r="F20" s="158"/>
      <c r="G20" s="93" t="str">
        <f>MRS!G20</f>
        <v>Ea</v>
      </c>
      <c r="H20" s="93">
        <f>MRS!H20</f>
        <v>30</v>
      </c>
      <c r="I20" s="94">
        <f>MRS!I20</f>
        <v>75</v>
      </c>
      <c r="J20" s="94">
        <f>MRS!J20</f>
        <v>2250</v>
      </c>
      <c r="K20" s="95"/>
      <c r="O20" s="96"/>
      <c r="P20" s="96"/>
      <c r="R20" s="96"/>
    </row>
    <row r="21" spans="1:18" ht="105" customHeight="1">
      <c r="A21" s="21">
        <f>+MRS!A21</f>
        <v>16</v>
      </c>
      <c r="B21" s="154" t="str">
        <f>MRS!B21</f>
        <v xml:space="preserve">Hydrolic Bendind Machine Super Ego </v>
      </c>
      <c r="C21" s="155"/>
      <c r="D21" s="156">
        <f>MRS!D21</f>
        <v>0</v>
      </c>
      <c r="E21" s="157"/>
      <c r="F21" s="158"/>
      <c r="G21" s="93" t="str">
        <f>MRS!G21</f>
        <v>Ea</v>
      </c>
      <c r="H21" s="93">
        <f>MRS!H21</f>
        <v>2</v>
      </c>
      <c r="I21" s="94">
        <f>MRS!I21</f>
        <v>4290</v>
      </c>
      <c r="J21" s="94">
        <f>MRS!J21</f>
        <v>8580</v>
      </c>
      <c r="K21" s="95"/>
      <c r="O21" s="96"/>
      <c r="P21" s="96"/>
      <c r="R21" s="96"/>
    </row>
    <row r="22" spans="1:18" ht="105" customHeight="1">
      <c r="A22" s="21">
        <f>+MRS!A22</f>
        <v>17</v>
      </c>
      <c r="B22" s="154" t="str">
        <f>MRS!B22</f>
        <v>Cable Cutter Lk-38A</v>
      </c>
      <c r="C22" s="155"/>
      <c r="D22" s="156">
        <f>MRS!D22</f>
        <v>0</v>
      </c>
      <c r="E22" s="157"/>
      <c r="F22" s="158"/>
      <c r="G22" s="93" t="str">
        <f>MRS!G22</f>
        <v>PCS</v>
      </c>
      <c r="H22" s="93">
        <f>MRS!H22</f>
        <v>2</v>
      </c>
      <c r="I22" s="94">
        <f>MRS!I22</f>
        <v>26</v>
      </c>
      <c r="J22" s="94">
        <f>MRS!J22</f>
        <v>52</v>
      </c>
      <c r="K22" s="95"/>
      <c r="O22" s="96"/>
      <c r="P22" s="96"/>
      <c r="R22" s="96"/>
    </row>
    <row r="23" spans="1:18" ht="105" customHeight="1">
      <c r="A23" s="21">
        <f>+MRS!A23</f>
        <v>18</v>
      </c>
      <c r="B23" s="154" t="str">
        <f>MRS!B23</f>
        <v xml:space="preserve">Walkie - Talkie
 Tyt Radio - (Th-Uv8000D </v>
      </c>
      <c r="C23" s="155"/>
      <c r="D23" s="156">
        <f>MRS!D23</f>
        <v>0</v>
      </c>
      <c r="E23" s="157"/>
      <c r="F23" s="158"/>
      <c r="G23" s="93" t="str">
        <f>MRS!G23</f>
        <v>PCS</v>
      </c>
      <c r="H23" s="93">
        <f>MRS!H23</f>
        <v>8</v>
      </c>
      <c r="I23" s="94">
        <f>MRS!I23</f>
        <v>380</v>
      </c>
      <c r="J23" s="94">
        <f>MRS!J23</f>
        <v>3040</v>
      </c>
      <c r="K23" s="95"/>
      <c r="O23" s="96"/>
      <c r="P23" s="96"/>
      <c r="R23" s="96"/>
    </row>
    <row r="24" spans="1:18" ht="105" customHeight="1">
      <c r="A24" s="21">
        <f>+MRS!A24</f>
        <v>19</v>
      </c>
      <c r="B24" s="154" t="str">
        <f>MRS!B24</f>
        <v>Sata. Tubing Cutter 3Mm-32Mm</v>
      </c>
      <c r="C24" s="155"/>
      <c r="D24" s="156">
        <f>MRS!D24</f>
        <v>0</v>
      </c>
      <c r="E24" s="157"/>
      <c r="F24" s="158"/>
      <c r="G24" s="93" t="str">
        <f>MRS!G24</f>
        <v>Ea</v>
      </c>
      <c r="H24" s="93">
        <f>MRS!H24</f>
        <v>20</v>
      </c>
      <c r="I24" s="94">
        <f>MRS!I24</f>
        <v>70</v>
      </c>
      <c r="J24" s="94">
        <f>MRS!J24</f>
        <v>1400</v>
      </c>
      <c r="K24" s="95"/>
      <c r="O24" s="96"/>
      <c r="P24" s="96"/>
      <c r="R24" s="96"/>
    </row>
    <row r="25" spans="1:18" ht="105" customHeight="1">
      <c r="A25" s="21">
        <f>+MRS!A25</f>
        <v>20</v>
      </c>
      <c r="B25" s="154" t="str">
        <f>MRS!B25</f>
        <v>Sata. Wire And Cable Cutting Pliers 8'' Ench</v>
      </c>
      <c r="C25" s="155"/>
      <c r="D25" s="156">
        <f>MRS!D25</f>
        <v>0</v>
      </c>
      <c r="E25" s="157"/>
      <c r="F25" s="158"/>
      <c r="G25" s="93" t="str">
        <f>MRS!G25</f>
        <v>Ea</v>
      </c>
      <c r="H25" s="93">
        <f>MRS!H25</f>
        <v>1</v>
      </c>
      <c r="I25" s="94">
        <f>MRS!I25</f>
        <v>58</v>
      </c>
      <c r="J25" s="94">
        <f>MRS!J25</f>
        <v>58</v>
      </c>
      <c r="K25" s="95"/>
      <c r="O25" s="96"/>
      <c r="P25" s="96"/>
      <c r="R25" s="96"/>
    </row>
    <row r="26" spans="1:18" ht="105" customHeight="1">
      <c r="A26" s="21">
        <f>+MRS!A26</f>
        <v>21</v>
      </c>
      <c r="B26" s="154" t="str">
        <f>MRS!B26</f>
        <v xml:space="preserve">Manual Tube Bending Machine 1/2" Ips-1 1/4" Ips  ( Brand : Clarke ) </v>
      </c>
      <c r="C26" s="155"/>
      <c r="D26" s="156">
        <f>MRS!D26</f>
        <v>0</v>
      </c>
      <c r="E26" s="157"/>
      <c r="F26" s="158"/>
      <c r="G26" s="93" t="str">
        <f>MRS!G26</f>
        <v>Ea</v>
      </c>
      <c r="H26" s="93">
        <f>MRS!H26</f>
        <v>2</v>
      </c>
      <c r="I26" s="94">
        <f>MRS!I26</f>
        <v>475</v>
      </c>
      <c r="J26" s="94">
        <f>MRS!J26</f>
        <v>950</v>
      </c>
      <c r="K26" s="95"/>
      <c r="O26" s="96"/>
      <c r="P26" s="96"/>
      <c r="R26" s="96"/>
    </row>
    <row r="27" spans="1:18" ht="105" customHeight="1">
      <c r="A27" s="21">
        <f>+MRS!A27</f>
        <v>22</v>
      </c>
      <c r="B27" s="154" t="str">
        <f>MRS!B27</f>
        <v xml:space="preserve">Flexible Conduit Hose - 20Mm X 50Mtr  ( Brand : Hi-Tech ) </v>
      </c>
      <c r="C27" s="155"/>
      <c r="D27" s="156">
        <f>MRS!D27</f>
        <v>0</v>
      </c>
      <c r="E27" s="157"/>
      <c r="F27" s="158"/>
      <c r="G27" s="93" t="str">
        <f>MRS!G27</f>
        <v>ROLL</v>
      </c>
      <c r="H27" s="93">
        <f>MRS!H27</f>
        <v>12</v>
      </c>
      <c r="I27" s="94">
        <f>MRS!I27</f>
        <v>135</v>
      </c>
      <c r="J27" s="94">
        <f>MRS!J27</f>
        <v>1620</v>
      </c>
      <c r="K27" s="95"/>
      <c r="O27" s="96"/>
      <c r="P27" s="96"/>
      <c r="R27" s="96"/>
    </row>
    <row r="28" spans="1:18" ht="105" customHeight="1">
      <c r="A28" s="21">
        <f>+MRS!A28</f>
        <v>23</v>
      </c>
      <c r="B28" s="154" t="str">
        <f>MRS!B28</f>
        <v>Pvc Channel - 1/2"</v>
      </c>
      <c r="C28" s="155"/>
      <c r="D28" s="156">
        <f>MRS!D28</f>
        <v>0</v>
      </c>
      <c r="E28" s="157"/>
      <c r="F28" s="158"/>
      <c r="G28" s="93" t="str">
        <f>MRS!G28</f>
        <v>Ea</v>
      </c>
      <c r="H28" s="93">
        <f>MRS!H28</f>
        <v>20</v>
      </c>
      <c r="I28" s="94">
        <f>MRS!I28</f>
        <v>3.5</v>
      </c>
      <c r="J28" s="94">
        <f>MRS!J28</f>
        <v>70</v>
      </c>
      <c r="K28" s="95"/>
      <c r="O28" s="96"/>
      <c r="P28" s="96"/>
      <c r="R28" s="96"/>
    </row>
    <row r="29" spans="1:18" ht="105" customHeight="1">
      <c r="A29" s="21">
        <f>+MRS!A29</f>
        <v>24</v>
      </c>
      <c r="B29" s="154" t="str">
        <f>MRS!B29</f>
        <v xml:space="preserve">Solding Wire </v>
      </c>
      <c r="C29" s="155"/>
      <c r="D29" s="156">
        <f>MRS!D29</f>
        <v>0</v>
      </c>
      <c r="E29" s="157"/>
      <c r="F29" s="158"/>
      <c r="G29" s="93" t="str">
        <f>MRS!G29</f>
        <v>Ea</v>
      </c>
      <c r="H29" s="93">
        <f>MRS!H29</f>
        <v>1</v>
      </c>
      <c r="I29" s="94">
        <f>MRS!I29</f>
        <v>68</v>
      </c>
      <c r="J29" s="94">
        <f>MRS!J29</f>
        <v>68</v>
      </c>
      <c r="K29" s="95"/>
      <c r="O29" s="96"/>
      <c r="P29" s="96"/>
      <c r="R29" s="96"/>
    </row>
    <row r="30" spans="1:18" ht="105" customHeight="1">
      <c r="A30" s="21">
        <f>+MRS!A30</f>
        <v>25</v>
      </c>
      <c r="B30" s="154" t="str">
        <f>MRS!B30</f>
        <v>Sholding Iron Paste 100Gm</v>
      </c>
      <c r="C30" s="155"/>
      <c r="D30" s="156">
        <f>MRS!D30</f>
        <v>0</v>
      </c>
      <c r="E30" s="157"/>
      <c r="F30" s="158"/>
      <c r="G30" s="93" t="str">
        <f>MRS!G30</f>
        <v>Ea</v>
      </c>
      <c r="H30" s="93">
        <f>MRS!H30</f>
        <v>1</v>
      </c>
      <c r="I30" s="94">
        <f>MRS!I30</f>
        <v>13</v>
      </c>
      <c r="J30" s="94">
        <f>MRS!J30</f>
        <v>13</v>
      </c>
      <c r="K30" s="95"/>
      <c r="O30" s="96"/>
      <c r="P30" s="96"/>
      <c r="R30" s="96"/>
    </row>
    <row r="31" spans="1:18" ht="105" customHeight="1">
      <c r="A31" s="21">
        <f>+MRS!A31</f>
        <v>26</v>
      </c>
      <c r="B31" s="154" t="str">
        <f>MRS!B31</f>
        <v xml:space="preserve">Part Of Respirator Mask ( Brand : 3M ) </v>
      </c>
      <c r="C31" s="155"/>
      <c r="D31" s="156">
        <f>MRS!D31</f>
        <v>0</v>
      </c>
      <c r="E31" s="157"/>
      <c r="F31" s="158"/>
      <c r="G31" s="93" t="str">
        <f>MRS!G31</f>
        <v>Ea</v>
      </c>
      <c r="H31" s="93">
        <f>MRS!H31</f>
        <v>130</v>
      </c>
      <c r="I31" s="94">
        <f>MRS!I31</f>
        <v>26</v>
      </c>
      <c r="J31" s="94">
        <f>MRS!J31</f>
        <v>3380</v>
      </c>
      <c r="K31" s="95"/>
      <c r="O31" s="96"/>
      <c r="P31" s="96"/>
      <c r="R31" s="96"/>
    </row>
    <row r="32" spans="1:18" ht="105" customHeight="1">
      <c r="A32" s="21">
        <f>+MRS!A32</f>
        <v>27</v>
      </c>
      <c r="B32" s="154" t="str">
        <f>MRS!B32</f>
        <v>Torque Wrench Dr3/4" 75-350Mm Ft/Lb  ( Brand : Clarke )</v>
      </c>
      <c r="C32" s="155"/>
      <c r="D32" s="156">
        <f>MRS!D32</f>
        <v>0</v>
      </c>
      <c r="E32" s="157"/>
      <c r="F32" s="158"/>
      <c r="G32" s="93" t="str">
        <f>MRS!G32</f>
        <v>Ea</v>
      </c>
      <c r="H32" s="93">
        <f>MRS!H32</f>
        <v>1</v>
      </c>
      <c r="I32" s="94">
        <f>MRS!I32</f>
        <v>1485</v>
      </c>
      <c r="J32" s="94">
        <f>MRS!J32</f>
        <v>1485</v>
      </c>
      <c r="K32" s="95"/>
      <c r="O32" s="96"/>
      <c r="P32" s="96"/>
      <c r="R32" s="96"/>
    </row>
    <row r="33" spans="1:18" ht="105" customHeight="1">
      <c r="A33" s="21">
        <f>+MRS!A33</f>
        <v>28</v>
      </c>
      <c r="B33" s="154" t="str">
        <f>MRS!B33</f>
        <v xml:space="preserve">Torque Wrench Dr1" 300-1500Mm Ft/Lb  ( Brand : Clarke ) </v>
      </c>
      <c r="C33" s="155"/>
      <c r="D33" s="156">
        <f>MRS!D33</f>
        <v>0</v>
      </c>
      <c r="E33" s="157"/>
      <c r="F33" s="158"/>
      <c r="G33" s="93" t="str">
        <f>MRS!G33</f>
        <v>Ea</v>
      </c>
      <c r="H33" s="93">
        <f>MRS!H33</f>
        <v>1</v>
      </c>
      <c r="I33" s="94">
        <f>MRS!I33</f>
        <v>2100</v>
      </c>
      <c r="J33" s="94">
        <f>MRS!J33</f>
        <v>2100</v>
      </c>
      <c r="K33" s="95"/>
      <c r="O33" s="96"/>
      <c r="P33" s="96"/>
      <c r="R33" s="96"/>
    </row>
    <row r="34" spans="1:18" ht="105" customHeight="1">
      <c r="A34" s="21">
        <f>+MRS!A34</f>
        <v>29</v>
      </c>
      <c r="B34" s="154" t="str">
        <f>MRS!B34</f>
        <v xml:space="preserve">Industrial Mist Fan - 26"   ( Brand : Giffex ) </v>
      </c>
      <c r="C34" s="155"/>
      <c r="D34" s="156">
        <f>MRS!D34</f>
        <v>0</v>
      </c>
      <c r="E34" s="157"/>
      <c r="F34" s="158"/>
      <c r="G34" s="93" t="str">
        <f>MRS!G34</f>
        <v>Ea</v>
      </c>
      <c r="H34" s="93">
        <f>MRS!H34</f>
        <v>7</v>
      </c>
      <c r="I34" s="94">
        <f>MRS!I34</f>
        <v>680</v>
      </c>
      <c r="J34" s="94">
        <f>MRS!J34</f>
        <v>4760</v>
      </c>
      <c r="K34" s="95"/>
      <c r="O34" s="96"/>
      <c r="P34" s="96"/>
      <c r="R34" s="96"/>
    </row>
    <row r="35" spans="1:18" ht="105" customHeight="1">
      <c r="A35" s="21">
        <f>+MRS!A35</f>
        <v>30</v>
      </c>
      <c r="B35" s="154" t="str">
        <f>MRS!B35</f>
        <v xml:space="preserve">Measurement Tape Steel Type - 30Mtr ( Brand : Clarke ) </v>
      </c>
      <c r="C35" s="155"/>
      <c r="D35" s="156">
        <f>MRS!D35</f>
        <v>0</v>
      </c>
      <c r="E35" s="157"/>
      <c r="F35" s="158"/>
      <c r="G35" s="93" t="str">
        <f>MRS!G35</f>
        <v>Ea</v>
      </c>
      <c r="H35" s="93">
        <f>MRS!H35</f>
        <v>3</v>
      </c>
      <c r="I35" s="94">
        <f>MRS!I35</f>
        <v>42</v>
      </c>
      <c r="J35" s="94">
        <f>MRS!J35</f>
        <v>126</v>
      </c>
      <c r="K35" s="95"/>
      <c r="O35" s="96"/>
      <c r="P35" s="96"/>
      <c r="R35" s="96"/>
    </row>
    <row r="36" spans="1:18" ht="105" customHeight="1">
      <c r="A36" s="21">
        <f>+MRS!A36</f>
        <v>31</v>
      </c>
      <c r="B36" s="154" t="str">
        <f>MRS!B36</f>
        <v xml:space="preserve">Measurement Tape Steel Type - 50Mtr ( Brand : Clarke ) </v>
      </c>
      <c r="C36" s="155"/>
      <c r="D36" s="156">
        <f>MRS!D36</f>
        <v>0</v>
      </c>
      <c r="E36" s="157"/>
      <c r="F36" s="158"/>
      <c r="G36" s="93" t="str">
        <f>MRS!G36</f>
        <v>Ea</v>
      </c>
      <c r="H36" s="93">
        <f>MRS!H36</f>
        <v>3</v>
      </c>
      <c r="I36" s="94">
        <f>MRS!I36</f>
        <v>62</v>
      </c>
      <c r="J36" s="94">
        <f>MRS!J36</f>
        <v>186</v>
      </c>
      <c r="K36" s="95"/>
      <c r="O36" s="96"/>
      <c r="P36" s="96"/>
      <c r="R36" s="96"/>
    </row>
    <row r="37" spans="1:18" ht="105" customHeight="1">
      <c r="A37" s="21">
        <f>+MRS!A37</f>
        <v>32</v>
      </c>
      <c r="B37" s="154" t="str">
        <f>MRS!B37</f>
        <v xml:space="preserve">Measurement Tape Steel Type - 100Mtr ( Brand : Clarke ) </v>
      </c>
      <c r="C37" s="155"/>
      <c r="D37" s="156">
        <f>MRS!D37</f>
        <v>0</v>
      </c>
      <c r="E37" s="157"/>
      <c r="F37" s="158"/>
      <c r="G37" s="93" t="str">
        <f>MRS!G37</f>
        <v>Ea</v>
      </c>
      <c r="H37" s="93">
        <f>MRS!H37</f>
        <v>6</v>
      </c>
      <c r="I37" s="94">
        <f>MRS!I37</f>
        <v>110</v>
      </c>
      <c r="J37" s="94">
        <f>MRS!J37</f>
        <v>660</v>
      </c>
      <c r="K37" s="95"/>
      <c r="O37" s="96"/>
      <c r="P37" s="96"/>
      <c r="R37" s="96"/>
    </row>
    <row r="38" spans="1:18" ht="105" customHeight="1">
      <c r="A38" s="21">
        <f>+MRS!A38</f>
        <v>33</v>
      </c>
      <c r="B38" s="154" t="str">
        <f>MRS!B38</f>
        <v xml:space="preserve">Leather Scaffolding Tool Belt - Kasweld </v>
      </c>
      <c r="C38" s="155"/>
      <c r="D38" s="156">
        <f>MRS!D38</f>
        <v>0</v>
      </c>
      <c r="E38" s="157"/>
      <c r="F38" s="158"/>
      <c r="G38" s="93" t="str">
        <f>MRS!G38</f>
        <v>Ea</v>
      </c>
      <c r="H38" s="93">
        <f>MRS!H38</f>
        <v>120</v>
      </c>
      <c r="I38" s="94">
        <f>MRS!I38</f>
        <v>110</v>
      </c>
      <c r="J38" s="94">
        <f>MRS!J38</f>
        <v>13200</v>
      </c>
      <c r="K38" s="95"/>
      <c r="O38" s="96"/>
      <c r="P38" s="96"/>
      <c r="R38" s="96"/>
    </row>
    <row r="39" spans="1:18" ht="105" customHeight="1">
      <c r="A39" s="21">
        <f>+MRS!A39</f>
        <v>34</v>
      </c>
      <c r="B39" s="154" t="str">
        <f>MRS!B39</f>
        <v xml:space="preserve">Anti Vibrationn Hand Gloves - Xl </v>
      </c>
      <c r="C39" s="155"/>
      <c r="D39" s="156">
        <f>MRS!D39</f>
        <v>0</v>
      </c>
      <c r="E39" s="157"/>
      <c r="F39" s="158"/>
      <c r="G39" s="93" t="str">
        <f>MRS!G39</f>
        <v>PAIR</v>
      </c>
      <c r="H39" s="93">
        <f>MRS!H39</f>
        <v>47</v>
      </c>
      <c r="I39" s="94">
        <f>MRS!I39</f>
        <v>32</v>
      </c>
      <c r="J39" s="94">
        <f>MRS!J39</f>
        <v>1504</v>
      </c>
      <c r="K39" s="95"/>
      <c r="O39" s="96"/>
      <c r="P39" s="96"/>
      <c r="R39" s="96"/>
    </row>
    <row r="40" spans="1:18" ht="105" customHeight="1">
      <c r="A40" s="21">
        <f>+MRS!A40</f>
        <v>35</v>
      </c>
      <c r="B40" s="154" t="str">
        <f>MRS!B40</f>
        <v xml:space="preserve">Diamond Cutting Disc 4"  ( Brand : Clarke ) </v>
      </c>
      <c r="C40" s="155"/>
      <c r="D40" s="156">
        <f>MRS!D40</f>
        <v>0</v>
      </c>
      <c r="E40" s="157"/>
      <c r="F40" s="158"/>
      <c r="G40" s="93" t="str">
        <f>MRS!G40</f>
        <v>Ea</v>
      </c>
      <c r="H40" s="93">
        <f>MRS!H40</f>
        <v>50</v>
      </c>
      <c r="I40" s="94">
        <f>MRS!I40</f>
        <v>18</v>
      </c>
      <c r="J40" s="94">
        <f>MRS!J40</f>
        <v>900</v>
      </c>
      <c r="K40" s="95"/>
      <c r="O40" s="96"/>
      <c r="P40" s="96"/>
      <c r="R40" s="96"/>
    </row>
    <row r="41" spans="1:18" ht="105" customHeight="1">
      <c r="A41" s="21">
        <f>+MRS!A41</f>
        <v>36</v>
      </c>
      <c r="B41" s="154" t="str">
        <f>MRS!B41</f>
        <v xml:space="preserve">Diamond Grinder Disc 4"  ( Brand : Roto ) </v>
      </c>
      <c r="C41" s="155"/>
      <c r="D41" s="156">
        <f>MRS!D41</f>
        <v>0</v>
      </c>
      <c r="E41" s="157"/>
      <c r="F41" s="158"/>
      <c r="G41" s="93" t="str">
        <f>MRS!G41</f>
        <v>Ea</v>
      </c>
      <c r="H41" s="93">
        <f>MRS!H41</f>
        <v>100</v>
      </c>
      <c r="I41" s="94">
        <f>MRS!I41</f>
        <v>30</v>
      </c>
      <c r="J41" s="94">
        <f>MRS!J41</f>
        <v>3000</v>
      </c>
      <c r="K41" s="95"/>
      <c r="O41" s="96"/>
      <c r="P41" s="96"/>
      <c r="R41" s="96"/>
    </row>
    <row r="42" spans="1:18" ht="105" customHeight="1">
      <c r="A42" s="21">
        <f>+MRS!A42</f>
        <v>37</v>
      </c>
      <c r="B42" s="154" t="str">
        <f>MRS!B42</f>
        <v xml:space="preserve">Tube Cutter 6Mm-64Mm ( Brand : Sata ) </v>
      </c>
      <c r="C42" s="155"/>
      <c r="D42" s="156">
        <f>MRS!D42</f>
        <v>0</v>
      </c>
      <c r="E42" s="157"/>
      <c r="F42" s="158"/>
      <c r="G42" s="93" t="str">
        <f>MRS!G42</f>
        <v>Ea</v>
      </c>
      <c r="H42" s="93">
        <f>MRS!H42</f>
        <v>4</v>
      </c>
      <c r="I42" s="94">
        <f>MRS!I42</f>
        <v>125</v>
      </c>
      <c r="J42" s="94">
        <f>MRS!J42</f>
        <v>500</v>
      </c>
      <c r="K42" s="95"/>
      <c r="O42" s="96"/>
      <c r="P42" s="96"/>
      <c r="R42" s="96"/>
    </row>
    <row r="43" spans="1:18" ht="105" customHeight="1">
      <c r="A43" s="21">
        <f>+MRS!A43</f>
        <v>38</v>
      </c>
      <c r="B43" s="154" t="str">
        <f>MRS!B43</f>
        <v xml:space="preserve">Tube Cutter Blade ( Brand : Super -Ego ) </v>
      </c>
      <c r="C43" s="155"/>
      <c r="D43" s="156">
        <f>MRS!D43</f>
        <v>0</v>
      </c>
      <c r="E43" s="157"/>
      <c r="F43" s="158"/>
      <c r="G43" s="93" t="str">
        <f>MRS!G43</f>
        <v>Ea</v>
      </c>
      <c r="H43" s="93">
        <f>MRS!H43</f>
        <v>50</v>
      </c>
      <c r="I43" s="94">
        <f>MRS!I43</f>
        <v>19</v>
      </c>
      <c r="J43" s="94">
        <f>MRS!J43</f>
        <v>950</v>
      </c>
      <c r="K43" s="95"/>
      <c r="O43" s="96"/>
      <c r="P43" s="96"/>
      <c r="R43" s="96"/>
    </row>
    <row r="44" spans="1:18" ht="105" customHeight="1">
      <c r="A44" s="21">
        <f>+MRS!A44</f>
        <v>39</v>
      </c>
      <c r="B44" s="154" t="str">
        <f>MRS!B44</f>
        <v xml:space="preserve">Carbide Rotary Burr Hx 1232 Flame </v>
      </c>
      <c r="C44" s="155"/>
      <c r="D44" s="156">
        <f>MRS!D44</f>
        <v>0</v>
      </c>
      <c r="E44" s="157"/>
      <c r="F44" s="158"/>
      <c r="G44" s="93" t="str">
        <f>MRS!G44</f>
        <v>Ea</v>
      </c>
      <c r="H44" s="93">
        <f>MRS!H44</f>
        <v>20</v>
      </c>
      <c r="I44" s="94">
        <f>MRS!I44</f>
        <v>55</v>
      </c>
      <c r="J44" s="94">
        <f>MRS!J44</f>
        <v>1100</v>
      </c>
      <c r="K44" s="95"/>
      <c r="O44" s="96"/>
      <c r="P44" s="96"/>
      <c r="R44" s="96"/>
    </row>
    <row r="45" spans="1:18" ht="105" customHeight="1">
      <c r="A45" s="21">
        <f>+MRS!A45</f>
        <v>40</v>
      </c>
      <c r="B45" s="154" t="str">
        <f>MRS!B45</f>
        <v xml:space="preserve">Air Gun Nozzle </v>
      </c>
      <c r="C45" s="155"/>
      <c r="D45" s="156">
        <f>MRS!D45</f>
        <v>0</v>
      </c>
      <c r="E45" s="157"/>
      <c r="F45" s="158"/>
      <c r="G45" s="93" t="str">
        <f>MRS!G45</f>
        <v>Ea</v>
      </c>
      <c r="H45" s="93">
        <f>MRS!H45</f>
        <v>3</v>
      </c>
      <c r="I45" s="94">
        <f>MRS!I45</f>
        <v>38</v>
      </c>
      <c r="J45" s="94">
        <f>MRS!J45</f>
        <v>114</v>
      </c>
      <c r="K45" s="95"/>
      <c r="O45" s="96"/>
      <c r="P45" s="96"/>
      <c r="R45" s="96"/>
    </row>
    <row r="46" spans="1:18" ht="105" customHeight="1">
      <c r="A46" s="21">
        <f>+MRS!A46</f>
        <v>41</v>
      </c>
      <c r="B46" s="154" t="str">
        <f>MRS!B46</f>
        <v>Torque Wrench 60 - 330 Ft-Lb (With Open Wrench Set (13-30Mm) 11Pcs/Set</v>
      </c>
      <c r="C46" s="155"/>
      <c r="D46" s="156">
        <f>MRS!D46</f>
        <v>0</v>
      </c>
      <c r="E46" s="157"/>
      <c r="F46" s="158"/>
      <c r="G46" s="93" t="str">
        <f>MRS!G46</f>
        <v>Ea</v>
      </c>
      <c r="H46" s="93">
        <f>MRS!H46</f>
        <v>2</v>
      </c>
      <c r="I46" s="94">
        <f>MRS!I46</f>
        <v>1250</v>
      </c>
      <c r="J46" s="94">
        <f>MRS!J46</f>
        <v>2500</v>
      </c>
      <c r="K46" s="95"/>
      <c r="O46" s="96"/>
      <c r="P46" s="96"/>
      <c r="R46" s="96"/>
    </row>
    <row r="47" spans="1:18" ht="105" customHeight="1">
      <c r="A47" s="21">
        <f>+MRS!A47</f>
        <v>42</v>
      </c>
      <c r="B47" s="154" t="str">
        <f>MRS!B47</f>
        <v>Long And Short Socket Set 22Mm-36Mm                                                  (22S-4 , 22L -2 , 27S-2, 27L-2, 32S-2 , 32L-2 , 36S-2 , 36L-2 )</v>
      </c>
      <c r="C47" s="155"/>
      <c r="D47" s="156">
        <f>MRS!D47</f>
        <v>0</v>
      </c>
      <c r="E47" s="157"/>
      <c r="F47" s="158"/>
      <c r="G47" s="93" t="str">
        <f>MRS!G47</f>
        <v>Set</v>
      </c>
      <c r="H47" s="93">
        <f>MRS!H47</f>
        <v>1</v>
      </c>
      <c r="I47" s="94">
        <f>MRS!I47</f>
        <v>338</v>
      </c>
      <c r="J47" s="94">
        <f>MRS!J47</f>
        <v>338</v>
      </c>
      <c r="K47" s="95"/>
      <c r="O47" s="96"/>
      <c r="P47" s="96"/>
      <c r="R47" s="96"/>
    </row>
    <row r="48" spans="1:18" ht="105" customHeight="1">
      <c r="A48" s="21">
        <f>+MRS!A48</f>
        <v>43</v>
      </c>
      <c r="B48" s="154" t="str">
        <f>MRS!B48</f>
        <v xml:space="preserve">Torque Wrench Open Type 40 - 200 Ft-Lb Drive 1/2" ( Brand : Tower_ Made In Taiwan ) </v>
      </c>
      <c r="C48" s="155"/>
      <c r="D48" s="156">
        <f>MRS!D48</f>
        <v>0</v>
      </c>
      <c r="E48" s="157"/>
      <c r="F48" s="158"/>
      <c r="G48" s="93" t="str">
        <f>MRS!G48</f>
        <v>Ea</v>
      </c>
      <c r="H48" s="93">
        <f>MRS!H48</f>
        <v>1</v>
      </c>
      <c r="I48" s="94">
        <f>MRS!I48</f>
        <v>395</v>
      </c>
      <c r="J48" s="94">
        <f>MRS!J48</f>
        <v>395</v>
      </c>
      <c r="K48" s="95"/>
      <c r="O48" s="96"/>
      <c r="P48" s="96"/>
      <c r="R48" s="96"/>
    </row>
    <row r="49" spans="1:18" ht="105" customHeight="1">
      <c r="A49" s="21">
        <f>+MRS!A49</f>
        <v>44</v>
      </c>
      <c r="B49" s="154" t="str">
        <f>MRS!B49</f>
        <v xml:space="preserve">Anti Slip Tape For Safety 2/5Cm </v>
      </c>
      <c r="C49" s="155"/>
      <c r="D49" s="156">
        <f>MRS!D49</f>
        <v>0</v>
      </c>
      <c r="E49" s="157"/>
      <c r="F49" s="158"/>
      <c r="G49" s="93" t="str">
        <f>MRS!G49</f>
        <v>ROLL</v>
      </c>
      <c r="H49" s="93">
        <f>MRS!H49</f>
        <v>30</v>
      </c>
      <c r="I49" s="94">
        <f>MRS!I49</f>
        <v>39</v>
      </c>
      <c r="J49" s="94">
        <f>MRS!J49</f>
        <v>1170</v>
      </c>
      <c r="K49" s="95"/>
      <c r="O49" s="96"/>
      <c r="P49" s="96"/>
      <c r="R49" s="96"/>
    </row>
    <row r="50" spans="1:18" ht="105" customHeight="1">
      <c r="A50" s="21">
        <f>+MRS!A50</f>
        <v>45</v>
      </c>
      <c r="B50" s="154" t="str">
        <f>MRS!B50</f>
        <v xml:space="preserve">Npt Chicago Male &amp; Female  - 3/4"  </v>
      </c>
      <c r="C50" s="155"/>
      <c r="D50" s="156">
        <f>MRS!D50</f>
        <v>0</v>
      </c>
      <c r="E50" s="157"/>
      <c r="F50" s="158"/>
      <c r="G50" s="93" t="str">
        <f>MRS!G50</f>
        <v>Ea</v>
      </c>
      <c r="H50" s="93">
        <f>MRS!H50</f>
        <v>4</v>
      </c>
      <c r="I50" s="94">
        <f>MRS!I50</f>
        <v>33</v>
      </c>
      <c r="J50" s="94">
        <f>MRS!J50</f>
        <v>132</v>
      </c>
      <c r="K50" s="95"/>
      <c r="O50" s="96"/>
      <c r="P50" s="96"/>
      <c r="R50" s="96"/>
    </row>
    <row r="51" spans="1:18" ht="105" customHeight="1">
      <c r="A51" s="21">
        <f>+MRS!A51</f>
        <v>46</v>
      </c>
      <c r="B51" s="154" t="str">
        <f>MRS!B51</f>
        <v xml:space="preserve">Chicago Pin - 1/8" </v>
      </c>
      <c r="C51" s="155"/>
      <c r="D51" s="156">
        <f>MRS!D51</f>
        <v>0</v>
      </c>
      <c r="E51" s="157"/>
      <c r="F51" s="158"/>
      <c r="G51" s="93" t="str">
        <f>MRS!G51</f>
        <v>Ea</v>
      </c>
      <c r="H51" s="93">
        <f>MRS!H51</f>
        <v>10</v>
      </c>
      <c r="I51" s="94">
        <f>MRS!I51</f>
        <v>2</v>
      </c>
      <c r="J51" s="94">
        <f>MRS!J51</f>
        <v>20</v>
      </c>
      <c r="K51" s="95"/>
      <c r="O51" s="96"/>
      <c r="P51" s="96"/>
      <c r="R51" s="96"/>
    </row>
    <row r="52" spans="1:18" ht="105" customHeight="1">
      <c r="A52" s="21">
        <f>+MRS!A52</f>
        <v>47</v>
      </c>
      <c r="B52" s="154" t="str">
        <f>MRS!B52</f>
        <v xml:space="preserve">Recepro Saw Blade 165X18X1.0Mm ( 6-5/16" _ Brand : Makita ) </v>
      </c>
      <c r="C52" s="155"/>
      <c r="D52" s="156">
        <f>MRS!D52</f>
        <v>0</v>
      </c>
      <c r="E52" s="157"/>
      <c r="F52" s="158"/>
      <c r="G52" s="93" t="str">
        <f>MRS!G52</f>
        <v>Ea</v>
      </c>
      <c r="H52" s="93">
        <f>MRS!H52</f>
        <v>130</v>
      </c>
      <c r="I52" s="94">
        <f>MRS!I52</f>
        <v>20</v>
      </c>
      <c r="J52" s="94">
        <f>MRS!J52</f>
        <v>2600</v>
      </c>
      <c r="K52" s="95"/>
      <c r="O52" s="96"/>
      <c r="P52" s="96"/>
      <c r="R52" s="96"/>
    </row>
    <row r="53" spans="1:18" ht="105" customHeight="1">
      <c r="A53" s="21">
        <f>+MRS!A53</f>
        <v>48</v>
      </c>
      <c r="B53" s="154" t="str">
        <f>MRS!B53</f>
        <v xml:space="preserve">Fire Blanket Orange – 1 X 50M X 0.45T ( Brand : Kaspro ) </v>
      </c>
      <c r="C53" s="155"/>
      <c r="D53" s="156">
        <f>MRS!D53</f>
        <v>0</v>
      </c>
      <c r="E53" s="157"/>
      <c r="F53" s="158"/>
      <c r="G53" s="93" t="str">
        <f>MRS!G53</f>
        <v>ROLL</v>
      </c>
      <c r="H53" s="93">
        <f>MRS!H53</f>
        <v>110</v>
      </c>
      <c r="I53" s="94">
        <f>MRS!I53</f>
        <v>510</v>
      </c>
      <c r="J53" s="94">
        <f>MRS!J53</f>
        <v>56100</v>
      </c>
      <c r="K53" s="95"/>
      <c r="O53" s="96"/>
      <c r="P53" s="96"/>
      <c r="R53" s="96"/>
    </row>
    <row r="54" spans="1:18" ht="105" customHeight="1">
      <c r="A54" s="21">
        <f>+MRS!A54</f>
        <v>49</v>
      </c>
      <c r="B54" s="154" t="str">
        <f>MRS!B54</f>
        <v xml:space="preserve">Spirit Level - 600Mm ( Brand : Clarke ) </v>
      </c>
      <c r="C54" s="155"/>
      <c r="D54" s="156">
        <f>MRS!D54</f>
        <v>0</v>
      </c>
      <c r="E54" s="157"/>
      <c r="F54" s="158"/>
      <c r="G54" s="93" t="str">
        <f>MRS!G54</f>
        <v>Ea</v>
      </c>
      <c r="H54" s="93">
        <f>MRS!H54</f>
        <v>36</v>
      </c>
      <c r="I54" s="94">
        <f>MRS!I54</f>
        <v>31</v>
      </c>
      <c r="J54" s="94">
        <f>MRS!J54</f>
        <v>1116</v>
      </c>
      <c r="K54" s="95"/>
      <c r="O54" s="96"/>
      <c r="P54" s="96"/>
      <c r="R54" s="96"/>
    </row>
    <row r="55" spans="1:18" ht="105" customHeight="1">
      <c r="A55" s="21">
        <f>+MRS!A55</f>
        <v>50</v>
      </c>
      <c r="B55" s="154" t="str">
        <f>MRS!B55</f>
        <v xml:space="preserve">Magnetic Sprit Level - 600Mm ( Brand : Clarke ) </v>
      </c>
      <c r="C55" s="155"/>
      <c r="D55" s="156">
        <f>MRS!D55</f>
        <v>0</v>
      </c>
      <c r="E55" s="157"/>
      <c r="F55" s="158"/>
      <c r="G55" s="93" t="str">
        <f>MRS!G55</f>
        <v>Ea</v>
      </c>
      <c r="H55" s="93">
        <f>MRS!H55</f>
        <v>50</v>
      </c>
      <c r="I55" s="94">
        <f>MRS!I55</f>
        <v>31</v>
      </c>
      <c r="J55" s="94">
        <f>MRS!J55</f>
        <v>1550</v>
      </c>
      <c r="K55" s="95"/>
      <c r="O55" s="96"/>
      <c r="P55" s="96"/>
      <c r="R55" s="96"/>
    </row>
    <row r="56" spans="1:18" ht="105" customHeight="1">
      <c r="A56" s="21">
        <f>+MRS!A56</f>
        <v>51</v>
      </c>
      <c r="B56" s="154" t="str">
        <f>MRS!B56</f>
        <v xml:space="preserve">Cs Right Angle - 150 X 100Mm ( Brand : Kaspro ) </v>
      </c>
      <c r="C56" s="155"/>
      <c r="D56" s="156">
        <f>MRS!D56</f>
        <v>0</v>
      </c>
      <c r="E56" s="157"/>
      <c r="F56" s="158"/>
      <c r="G56" s="93" t="str">
        <f>MRS!G56</f>
        <v>Ea</v>
      </c>
      <c r="H56" s="93">
        <f>MRS!H56</f>
        <v>10</v>
      </c>
      <c r="I56" s="94">
        <f>MRS!I56</f>
        <v>16</v>
      </c>
      <c r="J56" s="94">
        <f>MRS!J56</f>
        <v>160</v>
      </c>
      <c r="K56" s="95"/>
      <c r="O56" s="96"/>
      <c r="P56" s="96"/>
      <c r="R56" s="96"/>
    </row>
    <row r="57" spans="1:18" ht="105" customHeight="1">
      <c r="A57" s="21">
        <f>+MRS!A57</f>
        <v>52</v>
      </c>
      <c r="B57" s="154" t="str">
        <f>MRS!B57</f>
        <v xml:space="preserve">Laser Cutting Open Wrench Spanner Size : 32Mm </v>
      </c>
      <c r="C57" s="155"/>
      <c r="D57" s="156">
        <f>MRS!D57</f>
        <v>0</v>
      </c>
      <c r="E57" s="157"/>
      <c r="F57" s="158"/>
      <c r="G57" s="93" t="str">
        <f>MRS!G57</f>
        <v>Ea</v>
      </c>
      <c r="H57" s="93">
        <f>MRS!H57</f>
        <v>3</v>
      </c>
      <c r="I57" s="94">
        <f>MRS!I57</f>
        <v>65</v>
      </c>
      <c r="J57" s="94">
        <f>MRS!J57</f>
        <v>195</v>
      </c>
      <c r="K57" s="95"/>
      <c r="O57" s="96"/>
      <c r="P57" s="96"/>
      <c r="R57" s="96"/>
    </row>
    <row r="58" spans="1:18" ht="105" customHeight="1">
      <c r="A58" s="21">
        <f>+MRS!A58</f>
        <v>53</v>
      </c>
      <c r="B58" s="154" t="str">
        <f>MRS!B58</f>
        <v xml:space="preserve">Laser Cutting Open Wrench Spanner Size : 36Mm </v>
      </c>
      <c r="C58" s="155"/>
      <c r="D58" s="156">
        <f>MRS!D58</f>
        <v>0</v>
      </c>
      <c r="E58" s="157"/>
      <c r="F58" s="158"/>
      <c r="G58" s="93" t="str">
        <f>MRS!G58</f>
        <v>Ea</v>
      </c>
      <c r="H58" s="93">
        <f>MRS!H58</f>
        <v>2</v>
      </c>
      <c r="I58" s="94">
        <f>MRS!I58</f>
        <v>65</v>
      </c>
      <c r="J58" s="94">
        <f>MRS!J58</f>
        <v>130</v>
      </c>
      <c r="K58" s="95"/>
      <c r="O58" s="96"/>
      <c r="P58" s="96"/>
      <c r="R58" s="96"/>
    </row>
    <row r="59" spans="1:18" ht="105" customHeight="1">
      <c r="A59" s="21">
        <f>+MRS!A59</f>
        <v>54</v>
      </c>
      <c r="B59" s="154" t="str">
        <f>MRS!B59</f>
        <v xml:space="preserve">Snoop Liquid Leak Detector, Make-Swagelok, 3.8Ltr
 </v>
      </c>
      <c r="C59" s="155"/>
      <c r="D59" s="156">
        <f>MRS!D59</f>
        <v>0</v>
      </c>
      <c r="E59" s="157"/>
      <c r="F59" s="158"/>
      <c r="G59" s="93" t="str">
        <f>MRS!G59</f>
        <v>PCS</v>
      </c>
      <c r="H59" s="93">
        <f>MRS!H59</f>
        <v>80</v>
      </c>
      <c r="I59" s="94">
        <f>MRS!I59</f>
        <v>765</v>
      </c>
      <c r="J59" s="94">
        <f>MRS!J59</f>
        <v>61200</v>
      </c>
      <c r="K59" s="95"/>
      <c r="O59" s="96"/>
      <c r="P59" s="96"/>
      <c r="R59" s="96"/>
    </row>
    <row r="60" spans="1:18" ht="105" customHeight="1">
      <c r="A60" s="21">
        <f>+MRS!A60</f>
        <v>55</v>
      </c>
      <c r="B60" s="154" t="str">
        <f>MRS!B60</f>
        <v xml:space="preserve">Scaffolding Leather Hand Gloves </v>
      </c>
      <c r="C60" s="155"/>
      <c r="D60" s="156">
        <f>MRS!D60</f>
        <v>0</v>
      </c>
      <c r="E60" s="157"/>
      <c r="F60" s="158"/>
      <c r="G60" s="93" t="str">
        <f>MRS!G60</f>
        <v>PCS</v>
      </c>
      <c r="H60" s="93">
        <f>MRS!H60</f>
        <v>1180</v>
      </c>
      <c r="I60" s="94">
        <f>MRS!I60</f>
        <v>4.5</v>
      </c>
      <c r="J60" s="94">
        <f>MRS!J60</f>
        <v>5310</v>
      </c>
      <c r="K60" s="95"/>
      <c r="O60" s="96"/>
      <c r="P60" s="96"/>
      <c r="R60" s="96"/>
    </row>
    <row r="61" spans="1:18" ht="105" customHeight="1">
      <c r="A61" s="21">
        <f>+MRS!A61</f>
        <v>56</v>
      </c>
      <c r="B61" s="154" t="str">
        <f>MRS!B61</f>
        <v xml:space="preserve">Reading Magnifying Glass Small ( Brand : Kaspro ) </v>
      </c>
      <c r="C61" s="155"/>
      <c r="D61" s="156">
        <f>MRS!D61</f>
        <v>0</v>
      </c>
      <c r="E61" s="157"/>
      <c r="F61" s="158"/>
      <c r="G61" s="93" t="str">
        <f>MRS!G61</f>
        <v>PCS</v>
      </c>
      <c r="H61" s="93">
        <f>MRS!H61</f>
        <v>2</v>
      </c>
      <c r="I61" s="94">
        <f>MRS!I61</f>
        <v>55</v>
      </c>
      <c r="J61" s="94">
        <f>MRS!J61</f>
        <v>110</v>
      </c>
      <c r="K61" s="95"/>
      <c r="O61" s="96"/>
      <c r="P61" s="96"/>
      <c r="R61" s="96"/>
    </row>
    <row r="62" spans="1:18" ht="105" customHeight="1">
      <c r="A62" s="21">
        <f>+MRS!A62</f>
        <v>57</v>
      </c>
      <c r="B62" s="154" t="str">
        <f>MRS!B62</f>
        <v xml:space="preserve">Combination Spanner Size : 41Mm  ( Brand : Apt) </v>
      </c>
      <c r="C62" s="155"/>
      <c r="D62" s="156">
        <f>MRS!D62</f>
        <v>0</v>
      </c>
      <c r="E62" s="157"/>
      <c r="F62" s="158"/>
      <c r="G62" s="93" t="str">
        <f>MRS!G62</f>
        <v>PCS</v>
      </c>
      <c r="H62" s="93">
        <f>MRS!H62</f>
        <v>16</v>
      </c>
      <c r="I62" s="94">
        <f>MRS!I62</f>
        <v>52</v>
      </c>
      <c r="J62" s="94">
        <f>MRS!J62</f>
        <v>832</v>
      </c>
      <c r="K62" s="95"/>
      <c r="O62" s="96"/>
      <c r="P62" s="96"/>
      <c r="R62" s="96"/>
    </row>
    <row r="63" spans="1:18" ht="105" customHeight="1">
      <c r="A63" s="21">
        <f>+MRS!A63</f>
        <v>58</v>
      </c>
      <c r="B63" s="154" t="str">
        <f>MRS!B63</f>
        <v xml:space="preserve">Combination Spanner Size : 46Mm ( Brand : Apt) </v>
      </c>
      <c r="C63" s="155"/>
      <c r="D63" s="156">
        <f>MRS!D63</f>
        <v>0</v>
      </c>
      <c r="E63" s="157"/>
      <c r="F63" s="158"/>
      <c r="G63" s="93" t="str">
        <f>MRS!G63</f>
        <v>PCS</v>
      </c>
      <c r="H63" s="93">
        <f>MRS!H63</f>
        <v>16</v>
      </c>
      <c r="I63" s="94">
        <f>MRS!I63</f>
        <v>68</v>
      </c>
      <c r="J63" s="94">
        <f>MRS!J63</f>
        <v>1088</v>
      </c>
      <c r="K63" s="95"/>
      <c r="O63" s="96"/>
      <c r="P63" s="96"/>
      <c r="R63" s="96"/>
    </row>
    <row r="64" spans="1:18" ht="105" customHeight="1">
      <c r="A64" s="21">
        <f>+MRS!A64</f>
        <v>59</v>
      </c>
      <c r="B64" s="154" t="str">
        <f>MRS!B64</f>
        <v xml:space="preserve">Combination Spanner Size : 50Mm ( Brand : Apt) </v>
      </c>
      <c r="C64" s="155"/>
      <c r="D64" s="156">
        <f>MRS!D64</f>
        <v>0</v>
      </c>
      <c r="E64" s="157"/>
      <c r="F64" s="158"/>
      <c r="G64" s="93" t="str">
        <f>MRS!G64</f>
        <v>PCS</v>
      </c>
      <c r="H64" s="93">
        <f>MRS!H64</f>
        <v>6</v>
      </c>
      <c r="I64" s="94">
        <f>MRS!I64</f>
        <v>73</v>
      </c>
      <c r="J64" s="94">
        <f>MRS!J64</f>
        <v>438</v>
      </c>
      <c r="K64" s="95"/>
      <c r="O64" s="96"/>
      <c r="P64" s="96"/>
      <c r="R64" s="96"/>
    </row>
    <row r="65" spans="1:18" ht="105" customHeight="1">
      <c r="A65" s="21">
        <f>+MRS!A65</f>
        <v>60</v>
      </c>
      <c r="B65" s="154" t="str">
        <f>MRS!B65</f>
        <v xml:space="preserve">Spiral Screw Extractor 8Pcs/Set </v>
      </c>
      <c r="C65" s="155"/>
      <c r="D65" s="156">
        <f>MRS!D65</f>
        <v>0</v>
      </c>
      <c r="E65" s="157"/>
      <c r="F65" s="158"/>
      <c r="G65" s="93" t="str">
        <f>MRS!G65</f>
        <v>PCS</v>
      </c>
      <c r="H65" s="93">
        <f>MRS!H65</f>
        <v>1</v>
      </c>
      <c r="I65" s="94">
        <f>MRS!I65</f>
        <v>25</v>
      </c>
      <c r="J65" s="94">
        <f>MRS!J65</f>
        <v>25</v>
      </c>
      <c r="K65" s="95"/>
      <c r="O65" s="96"/>
      <c r="P65" s="96"/>
      <c r="R65" s="96"/>
    </row>
    <row r="66" spans="1:18" ht="105" customHeight="1">
      <c r="A66" s="21">
        <f>+MRS!A66</f>
        <v>61</v>
      </c>
      <c r="B66" s="154" t="str">
        <f>MRS!B66</f>
        <v xml:space="preserve">Hex Nut M6 X 1.0 - Lh, Din 934 / Iso 4032, A2-70 (Sus304) </v>
      </c>
      <c r="C66" s="155"/>
      <c r="D66" s="156">
        <f>MRS!D66</f>
        <v>0</v>
      </c>
      <c r="E66" s="157"/>
      <c r="F66" s="158"/>
      <c r="G66" s="93" t="str">
        <f>MRS!G66</f>
        <v>PCS</v>
      </c>
      <c r="H66" s="93">
        <f>MRS!H66</f>
        <v>200</v>
      </c>
      <c r="I66" s="94">
        <f>MRS!I66</f>
        <v>0.08</v>
      </c>
      <c r="J66" s="94">
        <f>MRS!J66</f>
        <v>16</v>
      </c>
      <c r="K66" s="95"/>
      <c r="O66" s="96"/>
      <c r="P66" s="96"/>
      <c r="R66" s="96"/>
    </row>
    <row r="67" spans="1:18" ht="105" customHeight="1">
      <c r="A67" s="21">
        <f>+MRS!A67</f>
        <v>62</v>
      </c>
      <c r="B67" s="154" t="str">
        <f>MRS!B67</f>
        <v>Handsaw 18'' Cct</v>
      </c>
      <c r="C67" s="155"/>
      <c r="D67" s="156">
        <f>MRS!D67</f>
        <v>0</v>
      </c>
      <c r="E67" s="157"/>
      <c r="F67" s="158"/>
      <c r="G67" s="93" t="str">
        <f>MRS!G67</f>
        <v>PCS</v>
      </c>
      <c r="H67" s="93">
        <f>MRS!H67</f>
        <v>10</v>
      </c>
      <c r="I67" s="94">
        <f>MRS!I67</f>
        <v>18</v>
      </c>
      <c r="J67" s="94">
        <f>MRS!J67</f>
        <v>180</v>
      </c>
      <c r="K67" s="95"/>
      <c r="O67" s="96"/>
      <c r="P67" s="96"/>
      <c r="R67" s="96"/>
    </row>
    <row r="68" spans="1:18" ht="105" customHeight="1">
      <c r="A68" s="21">
        <f>+MRS!A68</f>
        <v>63</v>
      </c>
      <c r="B68" s="154" t="str">
        <f>MRS!B68</f>
        <v xml:space="preserve">Helmet-Mounted Ear Muff  3M </v>
      </c>
      <c r="C68" s="155"/>
      <c r="D68" s="156">
        <f>MRS!D68</f>
        <v>0</v>
      </c>
      <c r="E68" s="157"/>
      <c r="F68" s="158"/>
      <c r="G68" s="93" t="str">
        <f>MRS!G68</f>
        <v>Ea</v>
      </c>
      <c r="H68" s="93">
        <f>MRS!H68</f>
        <v>50</v>
      </c>
      <c r="I68" s="94">
        <f>MRS!I68</f>
        <v>75</v>
      </c>
      <c r="J68" s="94">
        <f>MRS!J68</f>
        <v>3750</v>
      </c>
      <c r="K68" s="95"/>
      <c r="O68" s="96"/>
      <c r="P68" s="96"/>
      <c r="R68" s="96"/>
    </row>
    <row r="69" spans="1:18" ht="105" customHeight="1">
      <c r="A69" s="21">
        <f>+MRS!A69</f>
        <v>64</v>
      </c>
      <c r="B69" s="154" t="str">
        <f>MRS!B69</f>
        <v xml:space="preserve">Scaffolding Canvas Bucket Capacity 40Kg ( Brand : Kaspro ) </v>
      </c>
      <c r="C69" s="155"/>
      <c r="D69" s="156">
        <f>MRS!D69</f>
        <v>0</v>
      </c>
      <c r="E69" s="157"/>
      <c r="F69" s="158"/>
      <c r="G69" s="93" t="str">
        <f>MRS!G69</f>
        <v>Ea</v>
      </c>
      <c r="H69" s="93">
        <f>MRS!H69</f>
        <v>10</v>
      </c>
      <c r="I69" s="94">
        <f>MRS!I69</f>
        <v>155</v>
      </c>
      <c r="J69" s="94">
        <f>MRS!J69</f>
        <v>1550</v>
      </c>
      <c r="K69" s="95"/>
      <c r="O69" s="96"/>
      <c r="P69" s="96"/>
      <c r="R69" s="96"/>
    </row>
    <row r="70" spans="1:18" ht="105" customHeight="1">
      <c r="A70" s="21">
        <f>+MRS!A70</f>
        <v>65</v>
      </c>
      <c r="B70" s="154" t="str">
        <f>MRS!B70</f>
        <v xml:space="preserve">Combination Spanner Size : 22Mm ( Brand : Roto ) </v>
      </c>
      <c r="C70" s="155"/>
      <c r="D70" s="156">
        <f>MRS!D70</f>
        <v>0</v>
      </c>
      <c r="E70" s="157"/>
      <c r="F70" s="158"/>
      <c r="G70" s="93" t="str">
        <f>MRS!G70</f>
        <v>Ea</v>
      </c>
      <c r="H70" s="93">
        <f>MRS!H70</f>
        <v>10</v>
      </c>
      <c r="I70" s="94">
        <f>MRS!I70</f>
        <v>16</v>
      </c>
      <c r="J70" s="94">
        <f>MRS!J70</f>
        <v>160</v>
      </c>
      <c r="K70" s="95"/>
      <c r="O70" s="96"/>
      <c r="P70" s="96"/>
      <c r="R70" s="96"/>
    </row>
    <row r="71" spans="1:18" ht="105" customHeight="1">
      <c r="A71" s="21">
        <f>+MRS!A71</f>
        <v>66</v>
      </c>
      <c r="B71" s="154" t="str">
        <f>MRS!B71</f>
        <v xml:space="preserve">Combination Spanner Size : 32Mm ( Brand : Roto ) </v>
      </c>
      <c r="C71" s="155"/>
      <c r="D71" s="156">
        <f>MRS!D71</f>
        <v>0</v>
      </c>
      <c r="E71" s="157"/>
      <c r="F71" s="158"/>
      <c r="G71" s="93" t="str">
        <f>MRS!G71</f>
        <v>Ea</v>
      </c>
      <c r="H71" s="93">
        <f>MRS!H71</f>
        <v>10</v>
      </c>
      <c r="I71" s="94">
        <f>MRS!I71</f>
        <v>30</v>
      </c>
      <c r="J71" s="94">
        <f>MRS!J71</f>
        <v>300</v>
      </c>
      <c r="K71" s="95"/>
      <c r="O71" s="96"/>
      <c r="P71" s="96"/>
      <c r="R71" s="96"/>
    </row>
    <row r="72" spans="1:18" ht="105" customHeight="1">
      <c r="A72" s="21">
        <f>+MRS!A72</f>
        <v>67</v>
      </c>
      <c r="B72" s="154" t="str">
        <f>MRS!B72</f>
        <v>Combination Spanner Size : 36Mm ( Brand : Roto )</v>
      </c>
      <c r="C72" s="155"/>
      <c r="D72" s="156">
        <f>MRS!D72</f>
        <v>0</v>
      </c>
      <c r="E72" s="157"/>
      <c r="F72" s="158"/>
      <c r="G72" s="93" t="str">
        <f>MRS!G72</f>
        <v>Ea</v>
      </c>
      <c r="H72" s="93">
        <f>MRS!H72</f>
        <v>10</v>
      </c>
      <c r="I72" s="94">
        <f>MRS!I72</f>
        <v>40</v>
      </c>
      <c r="J72" s="94">
        <f>MRS!J72</f>
        <v>400</v>
      </c>
      <c r="K72" s="95"/>
      <c r="O72" s="96"/>
      <c r="P72" s="96"/>
      <c r="R72" s="96"/>
    </row>
    <row r="73" spans="1:18" ht="105" customHeight="1">
      <c r="A73" s="21">
        <f>+MRS!A73</f>
        <v>68</v>
      </c>
      <c r="B73" s="154" t="str">
        <f>MRS!B73</f>
        <v xml:space="preserve">Circular Saw Blade - 9" ( Brand : Clarke ) </v>
      </c>
      <c r="C73" s="155"/>
      <c r="D73" s="156">
        <f>MRS!D73</f>
        <v>0</v>
      </c>
      <c r="E73" s="157"/>
      <c r="F73" s="158"/>
      <c r="G73" s="93" t="str">
        <f>MRS!G73</f>
        <v>Ea</v>
      </c>
      <c r="H73" s="93">
        <f>MRS!H73</f>
        <v>5</v>
      </c>
      <c r="I73" s="94">
        <f>MRS!I73</f>
        <v>34</v>
      </c>
      <c r="J73" s="94">
        <f>MRS!J73</f>
        <v>170</v>
      </c>
      <c r="K73" s="95"/>
      <c r="O73" s="96"/>
      <c r="P73" s="96"/>
      <c r="R73" s="96"/>
    </row>
    <row r="74" spans="1:18" ht="105" customHeight="1">
      <c r="A74" s="21">
        <f>+MRS!A74</f>
        <v>69</v>
      </c>
      <c r="B74" s="154" t="str">
        <f>MRS!B74</f>
        <v>Sata. Adjustable Wrench 12''\ Ench</v>
      </c>
      <c r="C74" s="155"/>
      <c r="D74" s="156">
        <f>MRS!D74</f>
        <v>0</v>
      </c>
      <c r="E74" s="157"/>
      <c r="F74" s="158"/>
      <c r="G74" s="93" t="str">
        <f>MRS!G74</f>
        <v>PCS</v>
      </c>
      <c r="H74" s="93">
        <f>MRS!H74</f>
        <v>2</v>
      </c>
      <c r="I74" s="94">
        <f>MRS!I74</f>
        <v>42</v>
      </c>
      <c r="J74" s="94">
        <f>MRS!J74</f>
        <v>84</v>
      </c>
      <c r="K74" s="95"/>
      <c r="O74" s="96"/>
      <c r="P74" s="96"/>
      <c r="R74" s="96"/>
    </row>
    <row r="75" spans="1:18" ht="105" customHeight="1">
      <c r="A75" s="21">
        <f>+MRS!A75</f>
        <v>70</v>
      </c>
      <c r="B75" s="154" t="str">
        <f>MRS!B75</f>
        <v>Combination Spanner 17Mm Roto-Germany</v>
      </c>
      <c r="C75" s="155"/>
      <c r="D75" s="156">
        <f>MRS!D75</f>
        <v>0</v>
      </c>
      <c r="E75" s="157"/>
      <c r="F75" s="158"/>
      <c r="G75" s="93" t="str">
        <f>MRS!G75</f>
        <v>PCS</v>
      </c>
      <c r="H75" s="93">
        <f>MRS!H75</f>
        <v>2</v>
      </c>
      <c r="I75" s="94">
        <f>MRS!I75</f>
        <v>12</v>
      </c>
      <c r="J75" s="94">
        <f>MRS!J75</f>
        <v>24</v>
      </c>
      <c r="K75" s="95"/>
      <c r="O75" s="96"/>
      <c r="P75" s="96"/>
      <c r="R75" s="96"/>
    </row>
    <row r="76" spans="1:18" ht="105" customHeight="1">
      <c r="A76" s="21">
        <f>+MRS!A76</f>
        <v>71</v>
      </c>
      <c r="B76" s="154" t="str">
        <f>MRS!B76</f>
        <v>Combination Spanner 20Mm Roto-Germany</v>
      </c>
      <c r="C76" s="155"/>
      <c r="D76" s="156">
        <f>MRS!D76</f>
        <v>0</v>
      </c>
      <c r="E76" s="157"/>
      <c r="F76" s="158"/>
      <c r="G76" s="93" t="str">
        <f>MRS!G76</f>
        <v>PCS</v>
      </c>
      <c r="H76" s="93">
        <f>MRS!H76</f>
        <v>2</v>
      </c>
      <c r="I76" s="94">
        <f>MRS!I76</f>
        <v>16</v>
      </c>
      <c r="J76" s="94">
        <f>MRS!J76</f>
        <v>32</v>
      </c>
      <c r="K76" s="95"/>
      <c r="O76" s="96"/>
      <c r="P76" s="96"/>
      <c r="R76" s="96"/>
    </row>
    <row r="77" spans="1:18" ht="105" customHeight="1">
      <c r="A77" s="21">
        <f>+MRS!A77</f>
        <v>72</v>
      </c>
      <c r="B77" s="154" t="str">
        <f>MRS!B77</f>
        <v>Sata. Linesman Pliers 8'' Ench</v>
      </c>
      <c r="C77" s="155"/>
      <c r="D77" s="156">
        <f>MRS!D77</f>
        <v>0</v>
      </c>
      <c r="E77" s="157"/>
      <c r="F77" s="158"/>
      <c r="G77" s="93" t="str">
        <f>MRS!G77</f>
        <v>PCS</v>
      </c>
      <c r="H77" s="93">
        <f>MRS!H77</f>
        <v>2</v>
      </c>
      <c r="I77" s="94">
        <f>MRS!I77</f>
        <v>33</v>
      </c>
      <c r="J77" s="94">
        <f>MRS!J77</f>
        <v>66</v>
      </c>
      <c r="K77" s="95"/>
      <c r="O77" s="96"/>
      <c r="P77" s="96"/>
      <c r="R77" s="96"/>
    </row>
    <row r="78" spans="1:18" ht="105" customHeight="1">
      <c r="A78" s="21">
        <f>+MRS!A78</f>
        <v>73</v>
      </c>
      <c r="B78" s="154" t="str">
        <f>MRS!B78</f>
        <v>Sata. 9 Pcs Metric Long Hex Key Set 105-10Mm,</v>
      </c>
      <c r="C78" s="155"/>
      <c r="D78" s="156">
        <f>MRS!D78</f>
        <v>0</v>
      </c>
      <c r="E78" s="157"/>
      <c r="F78" s="158"/>
      <c r="G78" s="93" t="str">
        <f>MRS!G78</f>
        <v>PCS</v>
      </c>
      <c r="H78" s="93">
        <f>MRS!H78</f>
        <v>2</v>
      </c>
      <c r="I78" s="94">
        <f>MRS!I78</f>
        <v>29</v>
      </c>
      <c r="J78" s="94">
        <f>MRS!J78</f>
        <v>58</v>
      </c>
      <c r="K78" s="95"/>
      <c r="O78" s="96"/>
      <c r="P78" s="96"/>
      <c r="R78" s="96"/>
    </row>
    <row r="79" spans="1:18" ht="105" customHeight="1">
      <c r="A79" s="21">
        <f>+MRS!A79</f>
        <v>74</v>
      </c>
      <c r="B79" s="154" t="str">
        <f>MRS!B79</f>
        <v xml:space="preserve">Measurment Tape - 5Mtr ( Brand : Clarke ) </v>
      </c>
      <c r="C79" s="155"/>
      <c r="D79" s="156">
        <f>MRS!D79</f>
        <v>0</v>
      </c>
      <c r="E79" s="157"/>
      <c r="F79" s="158"/>
      <c r="G79" s="93" t="str">
        <f>MRS!G79</f>
        <v>Ea</v>
      </c>
      <c r="H79" s="93">
        <f>MRS!H79</f>
        <v>69</v>
      </c>
      <c r="I79" s="94">
        <f>MRS!I79</f>
        <v>8</v>
      </c>
      <c r="J79" s="94">
        <f>MRS!J79</f>
        <v>552</v>
      </c>
      <c r="K79" s="95"/>
      <c r="O79" s="96"/>
      <c r="P79" s="96"/>
      <c r="R79" s="96"/>
    </row>
    <row r="80" spans="1:18" ht="105" customHeight="1">
      <c r="A80" s="21">
        <f>+MRS!A80</f>
        <v>75</v>
      </c>
      <c r="B80" s="154" t="str">
        <f>MRS!B80</f>
        <v xml:space="preserve">Cs Hacksaw Blade  ( Brand : Clarke ) </v>
      </c>
      <c r="C80" s="155"/>
      <c r="D80" s="156">
        <f>MRS!D80</f>
        <v>0</v>
      </c>
      <c r="E80" s="157"/>
      <c r="F80" s="158"/>
      <c r="G80" s="93" t="str">
        <f>MRS!G80</f>
        <v>Ea</v>
      </c>
      <c r="H80" s="93">
        <f>MRS!H80</f>
        <v>300</v>
      </c>
      <c r="I80" s="94">
        <f>MRS!I80</f>
        <v>2.5</v>
      </c>
      <c r="J80" s="94">
        <f>MRS!J80</f>
        <v>750</v>
      </c>
      <c r="K80" s="95"/>
      <c r="O80" s="96"/>
      <c r="P80" s="96"/>
      <c r="R80" s="96"/>
    </row>
    <row r="81" spans="1:18" ht="105" customHeight="1">
      <c r="A81" s="21">
        <f>+MRS!A81</f>
        <v>76</v>
      </c>
      <c r="B81" s="154" t="str">
        <f>MRS!B81</f>
        <v xml:space="preserve">Magnetic Sprit Level - 230Mm  ( Brand : Clarke ) </v>
      </c>
      <c r="C81" s="155"/>
      <c r="D81" s="156">
        <f>MRS!D81</f>
        <v>0</v>
      </c>
      <c r="E81" s="157"/>
      <c r="F81" s="158"/>
      <c r="G81" s="93" t="str">
        <f>MRS!G81</f>
        <v>Ea</v>
      </c>
      <c r="H81" s="93">
        <f>MRS!H81</f>
        <v>26</v>
      </c>
      <c r="I81" s="94">
        <f>MRS!I81</f>
        <v>25</v>
      </c>
      <c r="J81" s="94">
        <f>MRS!J81</f>
        <v>650</v>
      </c>
      <c r="K81" s="95"/>
      <c r="O81" s="96"/>
      <c r="P81" s="96"/>
      <c r="R81" s="96"/>
    </row>
    <row r="82" spans="1:18" ht="105" customHeight="1">
      <c r="A82" s="21">
        <f>+MRS!A82</f>
        <v>77</v>
      </c>
      <c r="B82" s="154" t="str">
        <f>MRS!B82</f>
        <v xml:space="preserve">Scaffolding Canvas Bucket - 30 Kg  ( Brand : Kaspro ) </v>
      </c>
      <c r="C82" s="155"/>
      <c r="D82" s="156">
        <f>MRS!D82</f>
        <v>0</v>
      </c>
      <c r="E82" s="157"/>
      <c r="F82" s="158"/>
      <c r="G82" s="93" t="str">
        <f>MRS!G82</f>
        <v>Ea</v>
      </c>
      <c r="H82" s="93">
        <f>MRS!H82</f>
        <v>3</v>
      </c>
      <c r="I82" s="94">
        <f>MRS!I82</f>
        <v>85</v>
      </c>
      <c r="J82" s="94">
        <f>MRS!J82</f>
        <v>255</v>
      </c>
      <c r="K82" s="95"/>
      <c r="O82" s="96"/>
      <c r="P82" s="96"/>
      <c r="R82" s="96"/>
    </row>
    <row r="83" spans="1:18" ht="105" customHeight="1">
      <c r="A83" s="21">
        <f>+MRS!A83</f>
        <v>78</v>
      </c>
      <c r="B83" s="154" t="str">
        <f>MRS!B83</f>
        <v xml:space="preserve">Scaffolding Sprit Level  - 10"  ( Brand : Kaspro ) </v>
      </c>
      <c r="C83" s="155"/>
      <c r="D83" s="156">
        <f>MRS!D83</f>
        <v>0</v>
      </c>
      <c r="E83" s="157"/>
      <c r="F83" s="158"/>
      <c r="G83" s="93" t="str">
        <f>MRS!G83</f>
        <v>Ea</v>
      </c>
      <c r="H83" s="93">
        <f>MRS!H83</f>
        <v>30</v>
      </c>
      <c r="I83" s="94">
        <f>MRS!I83</f>
        <v>32</v>
      </c>
      <c r="J83" s="94">
        <f>MRS!J83</f>
        <v>960</v>
      </c>
      <c r="K83" s="95"/>
      <c r="O83" s="96"/>
      <c r="P83" s="96"/>
      <c r="R83" s="96"/>
    </row>
    <row r="84" spans="1:18" ht="105" customHeight="1">
      <c r="A84" s="21">
        <f>+MRS!A84</f>
        <v>79</v>
      </c>
      <c r="B84" s="154" t="str">
        <f>MRS!B84</f>
        <v xml:space="preserve">Respirator Mask 6200 </v>
      </c>
      <c r="C84" s="155"/>
      <c r="D84" s="156">
        <f>MRS!D84</f>
        <v>0</v>
      </c>
      <c r="E84" s="157"/>
      <c r="F84" s="158"/>
      <c r="G84" s="93" t="str">
        <f>MRS!G84</f>
        <v>Ea</v>
      </c>
      <c r="H84" s="93">
        <f>MRS!H84</f>
        <v>80</v>
      </c>
      <c r="I84" s="94">
        <f>MRS!I84</f>
        <v>48</v>
      </c>
      <c r="J84" s="94">
        <f>MRS!J84</f>
        <v>3840</v>
      </c>
      <c r="K84" s="95"/>
      <c r="O84" s="96"/>
      <c r="P84" s="96"/>
      <c r="R84" s="96"/>
    </row>
    <row r="85" spans="1:18" ht="105" customHeight="1">
      <c r="A85" s="21">
        <f>+MRS!A85</f>
        <v>80</v>
      </c>
      <c r="B85" s="154" t="str">
        <f>MRS!B85</f>
        <v xml:space="preserve">Rubber Hand Gloves </v>
      </c>
      <c r="C85" s="155"/>
      <c r="D85" s="156">
        <f>MRS!D85</f>
        <v>0</v>
      </c>
      <c r="E85" s="157"/>
      <c r="F85" s="158"/>
      <c r="G85" s="93" t="str">
        <f>MRS!G85</f>
        <v>PAIR</v>
      </c>
      <c r="H85" s="93">
        <f>MRS!H85</f>
        <v>80</v>
      </c>
      <c r="I85" s="94">
        <f>MRS!I85</f>
        <v>4</v>
      </c>
      <c r="J85" s="94">
        <f>MRS!J85</f>
        <v>320</v>
      </c>
      <c r="K85" s="95"/>
      <c r="O85" s="96"/>
      <c r="P85" s="96"/>
      <c r="R85" s="96"/>
    </row>
    <row r="86" spans="1:18" ht="105" customHeight="1">
      <c r="A86" s="21">
        <f>+MRS!A86</f>
        <v>81</v>
      </c>
      <c r="B86" s="154" t="str">
        <f>MRS!B86</f>
        <v xml:space="preserve">Mega Speaker Battery 1.5V Lr14 </v>
      </c>
      <c r="C86" s="155"/>
      <c r="D86" s="156">
        <f>MRS!D86</f>
        <v>0</v>
      </c>
      <c r="E86" s="157"/>
      <c r="F86" s="158"/>
      <c r="G86" s="93" t="str">
        <f>MRS!G86</f>
        <v>Ea</v>
      </c>
      <c r="H86" s="93">
        <f>MRS!H86</f>
        <v>60</v>
      </c>
      <c r="I86" s="94">
        <f>MRS!I86</f>
        <v>3.5</v>
      </c>
      <c r="J86" s="94">
        <f>MRS!J86</f>
        <v>210</v>
      </c>
      <c r="K86" s="95"/>
      <c r="O86" s="96"/>
      <c r="P86" s="96"/>
      <c r="R86" s="96"/>
    </row>
    <row r="87" spans="1:18" ht="105" customHeight="1">
      <c r="A87" s="21">
        <f>+MRS!A87</f>
        <v>82</v>
      </c>
      <c r="B87" s="154" t="str">
        <f>MRS!B87</f>
        <v>Bench Vice Cast Steel 8"</v>
      </c>
      <c r="C87" s="155"/>
      <c r="D87" s="156">
        <f>MRS!D87</f>
        <v>0</v>
      </c>
      <c r="E87" s="157"/>
      <c r="F87" s="158"/>
      <c r="G87" s="93" t="str">
        <f>MRS!G87</f>
        <v>Ea</v>
      </c>
      <c r="H87" s="93">
        <f>MRS!H87</f>
        <v>6</v>
      </c>
      <c r="I87" s="94">
        <f>MRS!I87</f>
        <v>420</v>
      </c>
      <c r="J87" s="94">
        <f>MRS!J87</f>
        <v>2520</v>
      </c>
      <c r="K87" s="95"/>
      <c r="O87" s="96"/>
      <c r="P87" s="96"/>
      <c r="R87" s="96"/>
    </row>
    <row r="88" spans="1:18" ht="105" customHeight="1">
      <c r="A88" s="21">
        <f>+MRS!A88</f>
        <v>83</v>
      </c>
      <c r="B88" s="154" t="str">
        <f>MRS!B88</f>
        <v>Adjustable Base Jack</v>
      </c>
      <c r="C88" s="155"/>
      <c r="D88" s="156">
        <f>MRS!D88</f>
        <v>0</v>
      </c>
      <c r="E88" s="157"/>
      <c r="F88" s="158"/>
      <c r="G88" s="93" t="str">
        <f>MRS!G88</f>
        <v>PCS</v>
      </c>
      <c r="H88" s="93">
        <f>MRS!H88</f>
        <v>50</v>
      </c>
      <c r="I88" s="94">
        <f>MRS!I88</f>
        <v>23</v>
      </c>
      <c r="J88" s="94">
        <f>MRS!J88</f>
        <v>1150</v>
      </c>
      <c r="K88" s="95"/>
      <c r="O88" s="96"/>
      <c r="P88" s="96"/>
      <c r="R88" s="96"/>
    </row>
    <row r="89" spans="1:18" ht="105" customHeight="1">
      <c r="A89" s="21">
        <f>+MRS!A89</f>
        <v>84</v>
      </c>
      <c r="B89" s="154" t="str">
        <f>MRS!B89</f>
        <v xml:space="preserve">Cable Tie
4.8 X 300 Giffex Brand 
(100Pc/Pkt) </v>
      </c>
      <c r="C89" s="155"/>
      <c r="D89" s="156">
        <f>MRS!D89</f>
        <v>0</v>
      </c>
      <c r="E89" s="157"/>
      <c r="F89" s="158"/>
      <c r="G89" s="93" t="str">
        <f>MRS!G89</f>
        <v>PKT</v>
      </c>
      <c r="H89" s="93">
        <f>MRS!H89</f>
        <v>50</v>
      </c>
      <c r="I89" s="94">
        <f>MRS!I89</f>
        <v>13</v>
      </c>
      <c r="J89" s="94">
        <f>MRS!J89</f>
        <v>650</v>
      </c>
      <c r="K89" s="95"/>
      <c r="O89" s="96"/>
      <c r="P89" s="96"/>
      <c r="R89" s="96"/>
    </row>
    <row r="90" spans="1:18" ht="105" customHeight="1">
      <c r="A90" s="21">
        <f>+MRS!A90</f>
        <v>85</v>
      </c>
      <c r="B90" s="154" t="str">
        <f>MRS!B90</f>
        <v xml:space="preserve">Scaffolding Caster Wheel
100Mm Non Moving  </v>
      </c>
      <c r="C90" s="155"/>
      <c r="D90" s="156">
        <f>MRS!D90</f>
        <v>0</v>
      </c>
      <c r="E90" s="157"/>
      <c r="F90" s="158"/>
      <c r="G90" s="93" t="str">
        <f>MRS!G90</f>
        <v>PCS</v>
      </c>
      <c r="H90" s="93">
        <f>MRS!H90</f>
        <v>10</v>
      </c>
      <c r="I90" s="94">
        <f>MRS!I90</f>
        <v>40</v>
      </c>
      <c r="J90" s="94">
        <f>MRS!J90</f>
        <v>400</v>
      </c>
      <c r="K90" s="95"/>
      <c r="O90" s="96"/>
      <c r="P90" s="96"/>
      <c r="R90" s="96"/>
    </row>
    <row r="91" spans="1:18" ht="105" customHeight="1">
      <c r="A91" s="21">
        <f>+MRS!A91</f>
        <v>86</v>
      </c>
      <c r="B91" s="154" t="str">
        <f>MRS!B91</f>
        <v xml:space="preserve">Scaffolding Caster Wheel
100Mm Moving </v>
      </c>
      <c r="C91" s="155"/>
      <c r="D91" s="156">
        <f>MRS!D91</f>
        <v>0</v>
      </c>
      <c r="E91" s="157"/>
      <c r="F91" s="158"/>
      <c r="G91" s="93" t="str">
        <f>MRS!G91</f>
        <v>PCS</v>
      </c>
      <c r="H91" s="93">
        <f>MRS!H91</f>
        <v>10</v>
      </c>
      <c r="I91" s="94">
        <f>MRS!I91</f>
        <v>45</v>
      </c>
      <c r="J91" s="94">
        <f>MRS!J91</f>
        <v>450</v>
      </c>
      <c r="K91" s="95"/>
      <c r="O91" s="96"/>
      <c r="P91" s="96"/>
      <c r="R91" s="96"/>
    </row>
    <row r="92" spans="1:18" ht="105" customHeight="1">
      <c r="A92" s="21">
        <f>+MRS!A92</f>
        <v>87</v>
      </c>
      <c r="B92" s="154" t="str">
        <f>MRS!B92</f>
        <v>6 Pcs Mini Needle File Set Roto</v>
      </c>
      <c r="C92" s="155"/>
      <c r="D92" s="156">
        <f>MRS!D92</f>
        <v>0</v>
      </c>
      <c r="E92" s="157"/>
      <c r="F92" s="158"/>
      <c r="G92" s="93" t="str">
        <f>MRS!G92</f>
        <v>Set</v>
      </c>
      <c r="H92" s="93">
        <f>MRS!H92</f>
        <v>2</v>
      </c>
      <c r="I92" s="94">
        <f>MRS!I92</f>
        <v>22</v>
      </c>
      <c r="J92" s="94">
        <f>MRS!J92</f>
        <v>44</v>
      </c>
      <c r="K92" s="95"/>
      <c r="O92" s="96"/>
      <c r="P92" s="96"/>
      <c r="R92" s="96"/>
    </row>
    <row r="93" spans="1:18" ht="105" customHeight="1">
      <c r="A93" s="21">
        <f>+MRS!A93</f>
        <v>88</v>
      </c>
      <c r="B93" s="154" t="str">
        <f>MRS!B93</f>
        <v xml:space="preserve">Sata. 7 Pcs T-Series Vde Insulated Screwdriver Set
 </v>
      </c>
      <c r="C93" s="155"/>
      <c r="D93" s="156">
        <f>MRS!D93</f>
        <v>0</v>
      </c>
      <c r="E93" s="157"/>
      <c r="F93" s="158"/>
      <c r="G93" s="93" t="str">
        <f>MRS!G93</f>
        <v>Set</v>
      </c>
      <c r="H93" s="93">
        <f>MRS!H93</f>
        <v>2</v>
      </c>
      <c r="I93" s="94">
        <f>MRS!I93</f>
        <v>85</v>
      </c>
      <c r="J93" s="94">
        <f>MRS!J93</f>
        <v>170</v>
      </c>
      <c r="K93" s="95"/>
      <c r="O93" s="96"/>
      <c r="P93" s="96"/>
      <c r="R93" s="96"/>
    </row>
    <row r="94" spans="1:18" ht="105" customHeight="1">
      <c r="A94" s="21">
        <f>+MRS!A94</f>
        <v>89</v>
      </c>
      <c r="B94" s="154" t="str">
        <f>MRS!B94</f>
        <v>Toe Foot Guard</v>
      </c>
      <c r="C94" s="155"/>
      <c r="D94" s="156">
        <f>MRS!D94</f>
        <v>0</v>
      </c>
      <c r="E94" s="157"/>
      <c r="F94" s="158"/>
      <c r="G94" s="93" t="str">
        <f>MRS!G94</f>
        <v>PAIR</v>
      </c>
      <c r="H94" s="93">
        <f>MRS!H94</f>
        <v>6</v>
      </c>
      <c r="I94" s="94">
        <f>MRS!I94</f>
        <v>240</v>
      </c>
      <c r="J94" s="94">
        <f>MRS!J94</f>
        <v>1440</v>
      </c>
      <c r="K94" s="95"/>
      <c r="O94" s="96"/>
      <c r="P94" s="96"/>
      <c r="R94" s="96"/>
    </row>
    <row r="95" spans="1:18" ht="105" customHeight="1">
      <c r="A95" s="21">
        <f>+MRS!A95</f>
        <v>90</v>
      </c>
      <c r="B95" s="154" t="str">
        <f>MRS!B95</f>
        <v>Diagonal Cutting Plier 6" Cr-V</v>
      </c>
      <c r="C95" s="155"/>
      <c r="D95" s="156">
        <f>MRS!D95</f>
        <v>0</v>
      </c>
      <c r="E95" s="157"/>
      <c r="F95" s="158"/>
      <c r="G95" s="93" t="str">
        <f>MRS!G95</f>
        <v>Set</v>
      </c>
      <c r="H95" s="93">
        <f>MRS!H95</f>
        <v>4</v>
      </c>
      <c r="I95" s="94">
        <f>MRS!I95</f>
        <v>19</v>
      </c>
      <c r="J95" s="94">
        <f>MRS!J95</f>
        <v>76</v>
      </c>
      <c r="K95" s="95"/>
      <c r="O95" s="96"/>
      <c r="P95" s="96"/>
      <c r="R95" s="96"/>
    </row>
    <row r="96" spans="1:18" ht="105" customHeight="1">
      <c r="A96" s="21">
        <f>+MRS!A96</f>
        <v>91</v>
      </c>
      <c r="B96" s="154" t="str">
        <f>MRS!B96</f>
        <v>Sata. 9 Pcs Metric Long Hex Key Set 105-10Mm,</v>
      </c>
      <c r="C96" s="155"/>
      <c r="D96" s="156">
        <f>MRS!D96</f>
        <v>0</v>
      </c>
      <c r="E96" s="157"/>
      <c r="F96" s="158"/>
      <c r="G96" s="93" t="str">
        <f>MRS!G96</f>
        <v>Set</v>
      </c>
      <c r="H96" s="93">
        <f>MRS!H96</f>
        <v>1</v>
      </c>
      <c r="I96" s="94">
        <f>MRS!I96</f>
        <v>29</v>
      </c>
      <c r="J96" s="94">
        <f>MRS!J96</f>
        <v>29</v>
      </c>
      <c r="K96" s="95"/>
      <c r="O96" s="96"/>
      <c r="P96" s="96"/>
      <c r="R96" s="96"/>
    </row>
    <row r="97" spans="1:18" ht="105" customHeight="1">
      <c r="A97" s="21">
        <f>+MRS!A97</f>
        <v>92</v>
      </c>
      <c r="B97" s="154" t="str">
        <f>MRS!B97</f>
        <v xml:space="preserve">Sata. Heavy Duty Pipe Wrinch 12'' Ench
 </v>
      </c>
      <c r="C97" s="155"/>
      <c r="D97" s="156">
        <f>MRS!D97</f>
        <v>0</v>
      </c>
      <c r="E97" s="157"/>
      <c r="F97" s="158"/>
      <c r="G97" s="93" t="str">
        <f>MRS!G97</f>
        <v>PCS</v>
      </c>
      <c r="H97" s="93">
        <f>MRS!H97</f>
        <v>1</v>
      </c>
      <c r="I97" s="94">
        <f>MRS!I97</f>
        <v>44</v>
      </c>
      <c r="J97" s="94">
        <f>MRS!J97</f>
        <v>44</v>
      </c>
      <c r="K97" s="95"/>
      <c r="O97" s="96"/>
      <c r="P97" s="96"/>
      <c r="R97" s="96"/>
    </row>
    <row r="98" spans="1:18" ht="105" customHeight="1">
      <c r="A98" s="21">
        <f>+MRS!A98</f>
        <v>93</v>
      </c>
      <c r="B98" s="154" t="str">
        <f>MRS!B98</f>
        <v xml:space="preserve">Sata. Diagonal Pliers 7'' Ench
 </v>
      </c>
      <c r="C98" s="155"/>
      <c r="D98" s="156">
        <f>MRS!D98</f>
        <v>0</v>
      </c>
      <c r="E98" s="157"/>
      <c r="F98" s="158"/>
      <c r="G98" s="93" t="str">
        <f>MRS!G98</f>
        <v>PCS</v>
      </c>
      <c r="H98" s="93">
        <f>MRS!H98</f>
        <v>2</v>
      </c>
      <c r="I98" s="94">
        <f>MRS!I98</f>
        <v>38</v>
      </c>
      <c r="J98" s="94">
        <f>MRS!J98</f>
        <v>76</v>
      </c>
      <c r="K98" s="95"/>
      <c r="O98" s="96"/>
      <c r="P98" s="96"/>
      <c r="R98" s="96"/>
    </row>
    <row r="99" spans="1:18" ht="105" customHeight="1">
      <c r="A99" s="21">
        <f>+MRS!A99</f>
        <v>94</v>
      </c>
      <c r="B99" s="154" t="str">
        <f>MRS!B99</f>
        <v xml:space="preserve">Allen Key Set Hex Types Size : 1Mm - 10Mm (Brand : Roto )
 </v>
      </c>
      <c r="C99" s="155"/>
      <c r="D99" s="156">
        <f>MRS!D99</f>
        <v>0</v>
      </c>
      <c r="E99" s="157"/>
      <c r="F99" s="158"/>
      <c r="G99" s="93" t="str">
        <f>MRS!G99</f>
        <v>Set</v>
      </c>
      <c r="H99" s="93">
        <f>MRS!H99</f>
        <v>1</v>
      </c>
      <c r="I99" s="94">
        <f>MRS!I99</f>
        <v>16</v>
      </c>
      <c r="J99" s="94">
        <f>MRS!J99</f>
        <v>16</v>
      </c>
      <c r="K99" s="95"/>
      <c r="O99" s="96"/>
      <c r="P99" s="96"/>
      <c r="R99" s="96"/>
    </row>
    <row r="100" spans="1:18" ht="105" customHeight="1">
      <c r="A100" s="21">
        <f>+MRS!A100</f>
        <v>95</v>
      </c>
      <c r="B100" s="154" t="str">
        <f>MRS!B100</f>
        <v>Screw Driver Star 12"</v>
      </c>
      <c r="C100" s="155"/>
      <c r="D100" s="156">
        <f>MRS!D100</f>
        <v>0</v>
      </c>
      <c r="E100" s="157"/>
      <c r="F100" s="158"/>
      <c r="G100" s="93" t="str">
        <f>MRS!G100</f>
        <v>PCS</v>
      </c>
      <c r="H100" s="93">
        <f>MRS!H100</f>
        <v>6</v>
      </c>
      <c r="I100" s="94">
        <f>MRS!I100</f>
        <v>10</v>
      </c>
      <c r="J100" s="94">
        <f>MRS!J100</f>
        <v>60</v>
      </c>
      <c r="K100" s="95"/>
      <c r="O100" s="96"/>
      <c r="P100" s="96"/>
      <c r="R100" s="96"/>
    </row>
    <row r="101" spans="1:18" ht="105" customHeight="1">
      <c r="A101" s="21">
        <f>+MRS!A101</f>
        <v>96</v>
      </c>
      <c r="B101" s="154" t="str">
        <f>MRS!B101</f>
        <v>Adjustable Wrench - 300Mm ( Brand Dewesser Germany )</v>
      </c>
      <c r="C101" s="155"/>
      <c r="D101" s="156">
        <f>MRS!D101</f>
        <v>0</v>
      </c>
      <c r="E101" s="157"/>
      <c r="F101" s="158"/>
      <c r="G101" s="93" t="str">
        <f>MRS!G101</f>
        <v>PCS</v>
      </c>
      <c r="H101" s="93">
        <f>MRS!H101</f>
        <v>6</v>
      </c>
      <c r="I101" s="94">
        <f>MRS!I101</f>
        <v>30</v>
      </c>
      <c r="J101" s="94">
        <f>MRS!J101</f>
        <v>180</v>
      </c>
      <c r="K101" s="95"/>
      <c r="O101" s="96"/>
      <c r="P101" s="96"/>
      <c r="R101" s="96"/>
    </row>
    <row r="102" spans="1:18" ht="105" customHeight="1">
      <c r="A102" s="21">
        <f>+MRS!A102</f>
        <v>97</v>
      </c>
      <c r="B102" s="154" t="str">
        <f>MRS!B102</f>
        <v xml:space="preserve">Cs Right Angle - 600Mm Kaspro Brand  </v>
      </c>
      <c r="C102" s="155"/>
      <c r="D102" s="156">
        <f>MRS!D102</f>
        <v>0</v>
      </c>
      <c r="E102" s="157"/>
      <c r="F102" s="158"/>
      <c r="G102" s="93" t="str">
        <f>MRS!G102</f>
        <v>PCS</v>
      </c>
      <c r="H102" s="93">
        <f>MRS!H102</f>
        <v>6</v>
      </c>
      <c r="I102" s="94">
        <f>MRS!I102</f>
        <v>48</v>
      </c>
      <c r="J102" s="94">
        <f>MRS!J102</f>
        <v>288</v>
      </c>
      <c r="K102" s="95"/>
      <c r="O102" s="96"/>
      <c r="P102" s="96"/>
      <c r="R102" s="96"/>
    </row>
    <row r="103" spans="1:18" ht="105" customHeight="1">
      <c r="A103" s="21">
        <f>+MRS!A103</f>
        <v>98</v>
      </c>
      <c r="B103" s="154" t="str">
        <f>MRS!B103</f>
        <v xml:space="preserve">Cs Right Angle - 300Mm Kaspro Brand  </v>
      </c>
      <c r="C103" s="155"/>
      <c r="D103" s="156">
        <f>MRS!D103</f>
        <v>0</v>
      </c>
      <c r="E103" s="157"/>
      <c r="F103" s="158"/>
      <c r="G103" s="93" t="str">
        <f>MRS!G103</f>
        <v>PCS</v>
      </c>
      <c r="H103" s="93">
        <f>MRS!H103</f>
        <v>6</v>
      </c>
      <c r="I103" s="94">
        <f>MRS!I103</f>
        <v>28</v>
      </c>
      <c r="J103" s="94">
        <f>MRS!J103</f>
        <v>168</v>
      </c>
      <c r="K103" s="95"/>
      <c r="O103" s="96"/>
      <c r="P103" s="96"/>
      <c r="R103" s="96"/>
    </row>
    <row r="104" spans="1:18" ht="105" customHeight="1">
      <c r="A104" s="21">
        <f>+MRS!A104</f>
        <v>99</v>
      </c>
      <c r="B104" s="154" t="str">
        <f>MRS!B104</f>
        <v xml:space="preserve">Mesuring Tape
8 Mtr Clarke Brand </v>
      </c>
      <c r="C104" s="155"/>
      <c r="D104" s="156">
        <f>MRS!D104</f>
        <v>0</v>
      </c>
      <c r="E104" s="157"/>
      <c r="F104" s="158"/>
      <c r="G104" s="93" t="str">
        <f>MRS!G104</f>
        <v>PCS</v>
      </c>
      <c r="H104" s="93">
        <f>MRS!H104</f>
        <v>10</v>
      </c>
      <c r="I104" s="94">
        <f>MRS!I104</f>
        <v>15</v>
      </c>
      <c r="J104" s="94">
        <f>MRS!J104</f>
        <v>150</v>
      </c>
      <c r="K104" s="95"/>
      <c r="O104" s="96"/>
      <c r="P104" s="96"/>
      <c r="R104" s="96"/>
    </row>
    <row r="105" spans="1:18" ht="105" customHeight="1">
      <c r="A105" s="21">
        <f>+MRS!A105</f>
        <v>100</v>
      </c>
      <c r="B105" s="154" t="str">
        <f>MRS!B105</f>
        <v xml:space="preserve">Spirit Level 1Mtr
Clarke Barnd </v>
      </c>
      <c r="C105" s="155"/>
      <c r="D105" s="156">
        <f>MRS!D105</f>
        <v>0</v>
      </c>
      <c r="E105" s="157"/>
      <c r="F105" s="158"/>
      <c r="G105" s="93" t="str">
        <f>MRS!G105</f>
        <v>PCS</v>
      </c>
      <c r="H105" s="93">
        <f>MRS!H105</f>
        <v>6</v>
      </c>
      <c r="I105" s="94">
        <f>MRS!I105</f>
        <v>55</v>
      </c>
      <c r="J105" s="94">
        <f>MRS!J105</f>
        <v>330</v>
      </c>
      <c r="K105" s="95"/>
      <c r="O105" s="96"/>
      <c r="P105" s="96"/>
      <c r="R105" s="96"/>
    </row>
    <row r="106" spans="1:18" ht="105" customHeight="1">
      <c r="A106" s="21">
        <f>+MRS!A106</f>
        <v>101</v>
      </c>
      <c r="B106" s="154" t="str">
        <f>MRS!B106</f>
        <v>Ventilation Fan Pvc Flexible Duct Hose 12"X5Mtr Roto</v>
      </c>
      <c r="C106" s="155"/>
      <c r="D106" s="156">
        <f>MRS!D106</f>
        <v>0</v>
      </c>
      <c r="E106" s="157"/>
      <c r="F106" s="158"/>
      <c r="G106" s="93" t="str">
        <f>MRS!G106</f>
        <v>PCS</v>
      </c>
      <c r="H106" s="93">
        <f>MRS!H106</f>
        <v>6</v>
      </c>
      <c r="I106" s="94">
        <f>MRS!I106</f>
        <v>360</v>
      </c>
      <c r="J106" s="94">
        <f>MRS!J106</f>
        <v>2160</v>
      </c>
      <c r="K106" s="95"/>
      <c r="O106" s="96"/>
      <c r="P106" s="96"/>
      <c r="R106" s="96"/>
    </row>
    <row r="107" spans="1:18" ht="105" customHeight="1">
      <c r="A107" s="21">
        <f>+MRS!A107</f>
        <v>102</v>
      </c>
      <c r="B107" s="154" t="str">
        <f>MRS!B107</f>
        <v>Ventilation Fan 12" 550 Roto</v>
      </c>
      <c r="C107" s="155"/>
      <c r="D107" s="156">
        <f>MRS!D107</f>
        <v>0</v>
      </c>
      <c r="E107" s="157"/>
      <c r="F107" s="158"/>
      <c r="G107" s="93" t="str">
        <f>MRS!G107</f>
        <v>PCS</v>
      </c>
      <c r="H107" s="93">
        <f>MRS!H107</f>
        <v>6</v>
      </c>
      <c r="I107" s="94">
        <f>MRS!I107</f>
        <v>165</v>
      </c>
      <c r="J107" s="94">
        <f>MRS!J107</f>
        <v>990</v>
      </c>
      <c r="K107" s="95"/>
      <c r="O107" s="96"/>
      <c r="P107" s="96"/>
      <c r="R107" s="96"/>
    </row>
    <row r="108" spans="1:18" ht="105" customHeight="1">
      <c r="A108" s="21">
        <f>+MRS!A108</f>
        <v>103</v>
      </c>
      <c r="B108" s="154" t="str">
        <f>MRS!B108</f>
        <v>Aviation Snips - Straight</v>
      </c>
      <c r="C108" s="155"/>
      <c r="D108" s="156">
        <f>MRS!D108</f>
        <v>0</v>
      </c>
      <c r="E108" s="157"/>
      <c r="F108" s="158"/>
      <c r="G108" s="93" t="str">
        <f>MRS!G108</f>
        <v>Set</v>
      </c>
      <c r="H108" s="93">
        <f>MRS!H108</f>
        <v>3</v>
      </c>
      <c r="I108" s="94">
        <f>MRS!I108</f>
        <v>14</v>
      </c>
      <c r="J108" s="94">
        <f>MRS!J108</f>
        <v>42</v>
      </c>
      <c r="K108" s="95"/>
      <c r="O108" s="96"/>
      <c r="P108" s="96"/>
      <c r="R108" s="96"/>
    </row>
    <row r="109" spans="1:18" ht="105" customHeight="1">
      <c r="A109" s="21">
        <f>+MRS!A109</f>
        <v>104</v>
      </c>
      <c r="B109" s="154" t="str">
        <f>MRS!B109</f>
        <v xml:space="preserve">Jigsaw Machine Bosch Gst18V50N </v>
      </c>
      <c r="C109" s="155"/>
      <c r="D109" s="156">
        <f>MRS!D109</f>
        <v>0</v>
      </c>
      <c r="E109" s="157"/>
      <c r="F109" s="158"/>
      <c r="G109" s="93" t="str">
        <f>MRS!G109</f>
        <v>PCS</v>
      </c>
      <c r="H109" s="93">
        <f>MRS!H109</f>
        <v>1</v>
      </c>
      <c r="I109" s="94">
        <f>MRS!I109</f>
        <v>1885</v>
      </c>
      <c r="J109" s="94">
        <f>MRS!J109</f>
        <v>1885</v>
      </c>
      <c r="K109" s="95"/>
      <c r="O109" s="96"/>
      <c r="P109" s="96"/>
      <c r="R109" s="96"/>
    </row>
    <row r="110" spans="1:18" ht="105" customHeight="1">
      <c r="A110" s="21">
        <f>+MRS!A110</f>
        <v>105</v>
      </c>
      <c r="B110" s="154" t="str">
        <f>MRS!B110</f>
        <v>Demolition Hammer Sds Max 1500W Gsh 7Vc Bosch</v>
      </c>
      <c r="C110" s="155"/>
      <c r="D110" s="156">
        <f>MRS!D110</f>
        <v>0</v>
      </c>
      <c r="E110" s="157"/>
      <c r="F110" s="158"/>
      <c r="G110" s="93" t="str">
        <f>MRS!G110</f>
        <v>PCS</v>
      </c>
      <c r="H110" s="93">
        <f>MRS!H110</f>
        <v>1</v>
      </c>
      <c r="I110" s="94">
        <f>MRS!I110</f>
        <v>3525</v>
      </c>
      <c r="J110" s="94">
        <f>MRS!J110</f>
        <v>3525</v>
      </c>
      <c r="K110" s="95"/>
      <c r="O110" s="96"/>
      <c r="P110" s="96"/>
      <c r="R110" s="96"/>
    </row>
    <row r="111" spans="1:18" ht="105" customHeight="1">
      <c r="A111" s="21">
        <f>+MRS!A111</f>
        <v>106</v>
      </c>
      <c r="B111" s="154" t="str">
        <f>MRS!B111</f>
        <v>Cordless Drill Machine 13Mm 18V #Dcd771 Dewalt</v>
      </c>
      <c r="C111" s="155"/>
      <c r="D111" s="156">
        <f>MRS!D111</f>
        <v>0</v>
      </c>
      <c r="E111" s="157"/>
      <c r="F111" s="158"/>
      <c r="G111" s="93" t="str">
        <f>MRS!G111</f>
        <v>PCS</v>
      </c>
      <c r="H111" s="93">
        <f>MRS!H111</f>
        <v>2</v>
      </c>
      <c r="I111" s="94">
        <f>MRS!I111</f>
        <v>845</v>
      </c>
      <c r="J111" s="94">
        <f>MRS!J111</f>
        <v>1690</v>
      </c>
      <c r="K111" s="95"/>
      <c r="O111" s="96"/>
      <c r="P111" s="96"/>
      <c r="R111" s="96"/>
    </row>
    <row r="112" spans="1:18" ht="105" customHeight="1">
      <c r="A112" s="21">
        <f>+MRS!A112</f>
        <v>107</v>
      </c>
      <c r="B112" s="154" t="str">
        <f>MRS!B112</f>
        <v xml:space="preserve">Oil Pump With Section Pipe 1"X1Mtr </v>
      </c>
      <c r="C112" s="155"/>
      <c r="D112" s="156">
        <f>MRS!D112</f>
        <v>0</v>
      </c>
      <c r="E112" s="157"/>
      <c r="F112" s="158"/>
      <c r="G112" s="93" t="str">
        <f>MRS!G112</f>
        <v>PCS</v>
      </c>
      <c r="H112" s="93">
        <f>MRS!H112</f>
        <v>2</v>
      </c>
      <c r="I112" s="94">
        <f>MRS!I112</f>
        <v>98</v>
      </c>
      <c r="J112" s="94">
        <f>MRS!J112</f>
        <v>196</v>
      </c>
      <c r="K112" s="95"/>
      <c r="O112" s="96"/>
      <c r="P112" s="96"/>
      <c r="R112" s="96"/>
    </row>
    <row r="113" spans="1:18" ht="105" customHeight="1">
      <c r="A113" s="21">
        <f>+MRS!A113</f>
        <v>108</v>
      </c>
      <c r="B113" s="154" t="str">
        <f>MRS!B113</f>
        <v xml:space="preserve">Hammer Wrench
50Mm (Brand: Roto) </v>
      </c>
      <c r="C113" s="155"/>
      <c r="D113" s="156">
        <f>MRS!D113</f>
        <v>0</v>
      </c>
      <c r="E113" s="157"/>
      <c r="F113" s="158"/>
      <c r="G113" s="93" t="str">
        <f>MRS!G113</f>
        <v>PCS</v>
      </c>
      <c r="H113" s="93">
        <f>MRS!H113</f>
        <v>1</v>
      </c>
      <c r="I113" s="94">
        <f>MRS!I113</f>
        <v>91</v>
      </c>
      <c r="J113" s="94">
        <f>MRS!J113</f>
        <v>91</v>
      </c>
      <c r="K113" s="95"/>
      <c r="O113" s="96"/>
      <c r="P113" s="96"/>
      <c r="R113" s="96"/>
    </row>
    <row r="114" spans="1:18" ht="105" customHeight="1">
      <c r="A114" s="21">
        <f>+MRS!A114</f>
        <v>109</v>
      </c>
      <c r="B114" s="154" t="str">
        <f>MRS!B114</f>
        <v>Mannual Winch 10Mtr</v>
      </c>
      <c r="C114" s="155"/>
      <c r="D114" s="156">
        <f>MRS!D114</f>
        <v>0</v>
      </c>
      <c r="E114" s="157"/>
      <c r="F114" s="158"/>
      <c r="G114" s="93" t="str">
        <f>MRS!G114</f>
        <v>PCS</v>
      </c>
      <c r="H114" s="93">
        <f>MRS!H114</f>
        <v>2</v>
      </c>
      <c r="I114" s="94">
        <f>MRS!I114</f>
        <v>142</v>
      </c>
      <c r="J114" s="94">
        <f>MRS!J114</f>
        <v>284</v>
      </c>
      <c r="K114" s="95"/>
      <c r="O114" s="96"/>
      <c r="P114" s="96"/>
      <c r="R114" s="96"/>
    </row>
    <row r="115" spans="1:18" ht="105" customHeight="1">
      <c r="A115" s="21">
        <f>+MRS!A115</f>
        <v>110</v>
      </c>
      <c r="B115" s="154" t="str">
        <f>MRS!B115</f>
        <v xml:space="preserve">Tube Cutter Blade 1/8-1 1/8" </v>
      </c>
      <c r="C115" s="155"/>
      <c r="D115" s="156">
        <f>MRS!D115</f>
        <v>0</v>
      </c>
      <c r="E115" s="157"/>
      <c r="F115" s="158"/>
      <c r="G115" s="93" t="str">
        <f>MRS!G115</f>
        <v>PCS</v>
      </c>
      <c r="H115" s="93">
        <f>MRS!H115</f>
        <v>50</v>
      </c>
      <c r="I115" s="94">
        <f>MRS!I115</f>
        <v>20</v>
      </c>
      <c r="J115" s="94">
        <f>MRS!J115</f>
        <v>1000</v>
      </c>
      <c r="K115" s="95"/>
      <c r="O115" s="96"/>
      <c r="P115" s="96"/>
      <c r="R115" s="96"/>
    </row>
    <row r="116" spans="1:18" ht="105" customHeight="1">
      <c r="A116" s="21">
        <f>+MRS!A116</f>
        <v>111</v>
      </c>
      <c r="B116" s="154" t="str">
        <f>MRS!B116</f>
        <v xml:space="preserve">Tube Cutter Blade 1/4-2 1/2" </v>
      </c>
      <c r="C116" s="155"/>
      <c r="D116" s="156">
        <f>MRS!D116</f>
        <v>0</v>
      </c>
      <c r="E116" s="157"/>
      <c r="F116" s="158"/>
      <c r="G116" s="93" t="str">
        <f>MRS!G116</f>
        <v>PCS</v>
      </c>
      <c r="H116" s="93">
        <f>MRS!H116</f>
        <v>27</v>
      </c>
      <c r="I116" s="94">
        <f>MRS!I116</f>
        <v>40</v>
      </c>
      <c r="J116" s="94">
        <f>MRS!J116</f>
        <v>1080</v>
      </c>
      <c r="K116" s="95"/>
      <c r="O116" s="96"/>
      <c r="P116" s="96"/>
      <c r="R116" s="96"/>
    </row>
    <row r="117" spans="1:18" ht="105" customHeight="1">
      <c r="A117" s="21">
        <f>+MRS!A117</f>
        <v>112</v>
      </c>
      <c r="B117" s="154" t="str">
        <f>MRS!B117</f>
        <v xml:space="preserve">Mesurement Tape 7.5Mtr Roto Brand </v>
      </c>
      <c r="C117" s="155"/>
      <c r="D117" s="156">
        <f>MRS!D117</f>
        <v>0</v>
      </c>
      <c r="E117" s="157"/>
      <c r="F117" s="158"/>
      <c r="G117" s="93" t="str">
        <f>MRS!G117</f>
        <v>PCS</v>
      </c>
      <c r="H117" s="93">
        <f>MRS!H117</f>
        <v>10</v>
      </c>
      <c r="I117" s="94">
        <f>MRS!I117</f>
        <v>14</v>
      </c>
      <c r="J117" s="94">
        <f>MRS!J117</f>
        <v>140</v>
      </c>
      <c r="K117" s="95"/>
      <c r="O117" s="96"/>
      <c r="P117" s="96"/>
      <c r="R117" s="96"/>
    </row>
  </sheetData>
  <mergeCells count="234"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I30" sqref="I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112</v>
      </c>
      <c r="D9" s="38"/>
      <c r="E9" s="38"/>
    </row>
    <row r="10" spans="2:13" s="38" customFormat="1">
      <c r="B10" s="69"/>
      <c r="C10" s="38" t="s">
        <v>29</v>
      </c>
      <c r="D10" s="73" t="s">
        <v>113</v>
      </c>
      <c r="J10" s="38" t="s">
        <v>30</v>
      </c>
      <c r="K10" s="162">
        <f>MRS!L3</f>
        <v>46190</v>
      </c>
      <c r="L10" s="163"/>
      <c r="M10" s="163"/>
    </row>
    <row r="11" spans="2:13" s="38" customFormat="1">
      <c r="B11" s="69"/>
      <c r="C11" s="72" t="s">
        <v>31</v>
      </c>
      <c r="D11" s="73" t="s">
        <v>114</v>
      </c>
      <c r="J11" s="38" t="s">
        <v>32</v>
      </c>
      <c r="K11" s="164" t="str">
        <f>SUBSTITUTE(SUBSTITUTE(+MRS!A3,"  MRS No : ",""),"-MRS","-PO")</f>
        <v>SAC2-DS-PO-0338</v>
      </c>
      <c r="L11" s="164"/>
      <c r="M11" s="164"/>
    </row>
    <row r="12" spans="2:13" s="38" customFormat="1">
      <c r="B12" s="69"/>
      <c r="C12" s="72" t="s">
        <v>33</v>
      </c>
      <c r="D12" s="38" t="s">
        <v>116</v>
      </c>
      <c r="J12" s="38" t="s">
        <v>34</v>
      </c>
    </row>
    <row r="13" spans="2:13" s="38" customFormat="1">
      <c r="B13" s="69"/>
      <c r="C13" s="74"/>
      <c r="D13" s="73" t="s">
        <v>117</v>
      </c>
      <c r="J13" s="38" t="s">
        <v>35</v>
      </c>
    </row>
    <row r="14" spans="2:13" s="38" customFormat="1">
      <c r="B14" s="69"/>
      <c r="C14" s="112" t="s">
        <v>118</v>
      </c>
      <c r="J14" s="38" t="s">
        <v>36</v>
      </c>
      <c r="K14" s="38" t="s">
        <v>241</v>
      </c>
    </row>
    <row r="15" spans="2:13" s="38" customFormat="1">
      <c r="B15" s="69"/>
      <c r="C15" s="72" t="s">
        <v>119</v>
      </c>
      <c r="J15" s="38" t="s">
        <v>37</v>
      </c>
      <c r="K15" s="75">
        <v>46189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5" t="s">
        <v>38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</row>
    <row r="19" spans="2:13" ht="12" customHeight="1"/>
    <row r="20" spans="2:13" s="31" customFormat="1" ht="12" customHeight="1">
      <c r="B20" s="166" t="s">
        <v>39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spans="2:13" s="31" customFormat="1" ht="12" customHeight="1">
      <c r="B21" s="166" t="s">
        <v>40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3" s="31" customFormat="1" ht="12" customHeight="1">
      <c r="B22" s="166" t="s">
        <v>41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2:13" ht="3.75" customHeight="1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6.95" customHeight="1"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242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3">
        <f>'PO 2nd page'!G118</f>
        <v>283602</v>
      </c>
      <c r="G29" s="106"/>
      <c r="H29" s="106"/>
      <c r="M29" s="33"/>
    </row>
    <row r="30" spans="2:13" ht="15" customHeight="1">
      <c r="B30" s="32"/>
      <c r="C30" s="26" t="s">
        <v>47</v>
      </c>
      <c r="E30" s="26" t="s">
        <v>46</v>
      </c>
      <c r="F30" s="113">
        <f>'PO 2nd page'!G119</f>
        <v>42540.299999999996</v>
      </c>
      <c r="G30" s="106"/>
      <c r="H30" s="106"/>
    </row>
    <row r="31" spans="2:13" ht="15" customHeight="1">
      <c r="B31" s="32"/>
      <c r="C31" s="26" t="s">
        <v>48</v>
      </c>
      <c r="D31" s="34"/>
      <c r="E31" s="26" t="s">
        <v>46</v>
      </c>
      <c r="F31" s="113">
        <f>'PO 2nd page'!G120</f>
        <v>326142.3</v>
      </c>
      <c r="G31" s="106"/>
      <c r="H31" s="106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4" t="s">
        <v>104</v>
      </c>
      <c r="F54" s="26" t="s">
        <v>115</v>
      </c>
      <c r="P54" s="26" t="str">
        <f>UPPER(F54)</f>
        <v>YAQOOT ARABIA TRADING COMPANY</v>
      </c>
    </row>
    <row r="55" spans="2:16" ht="12" customHeight="1">
      <c r="B55" s="81" t="s">
        <v>62</v>
      </c>
      <c r="C55" s="114" t="s">
        <v>105</v>
      </c>
      <c r="F55" s="115" t="s">
        <v>120</v>
      </c>
    </row>
    <row r="56" spans="2:16" ht="12" customHeight="1">
      <c r="B56" s="81" t="s">
        <v>62</v>
      </c>
      <c r="C56" s="114" t="s">
        <v>106</v>
      </c>
      <c r="F56" s="26" t="s">
        <v>121</v>
      </c>
    </row>
    <row r="57" spans="2:16" ht="12" customHeight="1">
      <c r="B57" s="81" t="s">
        <v>62</v>
      </c>
      <c r="C57" s="114" t="s">
        <v>107</v>
      </c>
      <c r="F57" s="26" t="s">
        <v>122</v>
      </c>
    </row>
    <row r="58" spans="2:16" ht="12" customHeight="1">
      <c r="B58" s="81" t="s">
        <v>62</v>
      </c>
      <c r="C58" s="114" t="s">
        <v>108</v>
      </c>
      <c r="F58" s="26" t="s">
        <v>123</v>
      </c>
    </row>
    <row r="59" spans="2:16" ht="12" customHeight="1">
      <c r="B59" s="81" t="s">
        <v>62</v>
      </c>
      <c r="C59" s="114" t="s">
        <v>109</v>
      </c>
      <c r="F59" s="26" t="s">
        <v>103</v>
      </c>
    </row>
    <row r="60" spans="2:16" ht="12" customHeight="1">
      <c r="B60" s="81"/>
      <c r="C60" s="114" t="s">
        <v>110</v>
      </c>
    </row>
    <row r="61" spans="2:16" ht="6.75" customHeight="1">
      <c r="B61" s="81"/>
      <c r="C61" s="114"/>
    </row>
    <row r="62" spans="2:16" ht="6" customHeight="1">
      <c r="B62" s="116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Haris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9" t="str">
        <f>C9</f>
        <v>YATCO(Yaqoot Arabia Trading Company)</v>
      </c>
      <c r="K70" s="169"/>
      <c r="L70" s="169"/>
      <c r="M70" s="169"/>
    </row>
    <row r="71" spans="1:13" ht="27.95" customHeight="1">
      <c r="A71" s="161" t="s">
        <v>72</v>
      </c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28"/>
  <sheetViews>
    <sheetView showGridLines="0" view="pageBreakPreview" topLeftCell="A111" zoomScaleSheetLayoutView="100" zoomScalePageLayoutView="55" workbookViewId="0">
      <selection activeCell="E126" sqref="E12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SAC2-DS-PO-0338</v>
      </c>
      <c r="C2" s="176" t="s">
        <v>74</v>
      </c>
      <c r="D2" s="176"/>
      <c r="E2" s="176"/>
      <c r="F2" s="176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46190</v>
      </c>
      <c r="C3" s="48"/>
      <c r="D3" s="49"/>
      <c r="E3" s="177" t="s">
        <v>76</v>
      </c>
      <c r="F3" s="177"/>
      <c r="G3" s="177"/>
      <c r="H3" s="177"/>
      <c r="I3" s="50"/>
    </row>
    <row r="4" spans="1:13" s="52" customFormat="1" ht="28.5" customHeight="1" thickTop="1">
      <c r="A4" s="178" t="s">
        <v>77</v>
      </c>
      <c r="B4" s="180" t="s">
        <v>78</v>
      </c>
      <c r="C4" s="181"/>
      <c r="D4" s="184" t="s">
        <v>79</v>
      </c>
      <c r="E4" s="184" t="s">
        <v>80</v>
      </c>
      <c r="F4" s="186" t="str">
        <f>'PO 1st page'!C9</f>
        <v>YATCO(Yaqoot Arabia Trading Company)</v>
      </c>
      <c r="G4" s="187"/>
      <c r="H4" s="188" t="s">
        <v>81</v>
      </c>
      <c r="K4" s="53"/>
      <c r="L4" s="53"/>
      <c r="M4" s="53"/>
    </row>
    <row r="5" spans="1:13" s="52" customFormat="1" ht="21.95" customHeight="1">
      <c r="A5" s="179"/>
      <c r="B5" s="182"/>
      <c r="C5" s="183"/>
      <c r="D5" s="185"/>
      <c r="E5" s="185"/>
      <c r="F5" s="54" t="s">
        <v>82</v>
      </c>
      <c r="G5" s="54" t="s">
        <v>48</v>
      </c>
      <c r="H5" s="189"/>
      <c r="K5" s="53"/>
      <c r="L5" s="53"/>
      <c r="M5" s="53"/>
    </row>
    <row r="6" spans="1:13" s="52" customFormat="1" ht="32.1" customHeight="1">
      <c r="A6" s="82">
        <f t="shared" ref="A6:A69" si="0">ROW(A1)</f>
        <v>1</v>
      </c>
      <c r="B6" s="170" t="str">
        <f>MRS!B6&amp;" "&amp;MRS!D6</f>
        <v xml:space="preserve">Cutting Scissor - 5"  </v>
      </c>
      <c r="C6" s="171"/>
      <c r="D6" s="83" t="str">
        <f>MRS!G6</f>
        <v>Ea</v>
      </c>
      <c r="E6" s="84">
        <f>MRS!H6</f>
        <v>2</v>
      </c>
      <c r="F6" s="85">
        <f>MRS!I6</f>
        <v>23</v>
      </c>
      <c r="G6" s="85">
        <f>MRS!J6</f>
        <v>46</v>
      </c>
      <c r="H6" s="86" t="s">
        <v>99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 xml:space="preserve">Carbon Brush For Angle Grinder Machine 4" Dewalt 4002  </v>
      </c>
      <c r="C7" s="171"/>
      <c r="D7" s="83" t="str">
        <f>MRS!G7</f>
        <v>Ea</v>
      </c>
      <c r="E7" s="84">
        <f>MRS!H7</f>
        <v>130</v>
      </c>
      <c r="F7" s="85">
        <f>MRS!I7</f>
        <v>13</v>
      </c>
      <c r="G7" s="85">
        <f>MRS!J7</f>
        <v>1690</v>
      </c>
      <c r="H7" s="86"/>
      <c r="K7" s="87"/>
      <c r="L7" s="88"/>
      <c r="M7" s="53"/>
    </row>
    <row r="8" spans="1:13" s="52" customFormat="1" ht="32.1" customHeight="1">
      <c r="A8" s="82">
        <f t="shared" si="0"/>
        <v>3</v>
      </c>
      <c r="B8" s="170" t="str">
        <f>MRS!B8&amp;" "&amp;MRS!D8</f>
        <v xml:space="preserve">Angle Grinder Machine Switch 4" Dewalt 4002  </v>
      </c>
      <c r="C8" s="171"/>
      <c r="D8" s="83" t="str">
        <f>MRS!G8</f>
        <v>Ea</v>
      </c>
      <c r="E8" s="84">
        <f>MRS!H8</f>
        <v>100</v>
      </c>
      <c r="F8" s="85">
        <f>MRS!I8</f>
        <v>365</v>
      </c>
      <c r="G8" s="85">
        <f>MRS!J8</f>
        <v>36500</v>
      </c>
      <c r="H8" s="86"/>
      <c r="K8" s="53"/>
      <c r="L8" s="53"/>
      <c r="M8" s="53"/>
    </row>
    <row r="9" spans="1:13" s="52" customFormat="1" ht="32.1" customHeight="1">
      <c r="A9" s="82">
        <f t="shared" si="0"/>
        <v>4</v>
      </c>
      <c r="B9" s="170" t="str">
        <f>MRS!B9&amp;" "&amp;MRS!D9</f>
        <v xml:space="preserve">Aramacture For Angle Grinder Machine 4" Dewalt 4002  </v>
      </c>
      <c r="C9" s="171"/>
      <c r="D9" s="83" t="str">
        <f>MRS!G9</f>
        <v>Ea</v>
      </c>
      <c r="E9" s="84">
        <f>MRS!H9</f>
        <v>50</v>
      </c>
      <c r="F9" s="85">
        <f>MRS!I9</f>
        <v>150</v>
      </c>
      <c r="G9" s="85">
        <f>MRS!J9</f>
        <v>7500</v>
      </c>
      <c r="H9" s="89"/>
    </row>
    <row r="10" spans="1:13" s="52" customFormat="1" ht="32.1" customHeight="1">
      <c r="A10" s="82">
        <f t="shared" si="0"/>
        <v>5</v>
      </c>
      <c r="B10" s="170" t="str">
        <f>MRS!B10&amp;" "&amp;MRS!D10</f>
        <v xml:space="preserve">Twist Drill Bit 12Mm Dewesser  </v>
      </c>
      <c r="C10" s="171"/>
      <c r="D10" s="83" t="str">
        <f>MRS!G10</f>
        <v>Ea</v>
      </c>
      <c r="E10" s="84">
        <f>MRS!H10</f>
        <v>20</v>
      </c>
      <c r="F10" s="85">
        <f>MRS!I10</f>
        <v>8.5</v>
      </c>
      <c r="G10" s="85">
        <f>MRS!J10</f>
        <v>170</v>
      </c>
      <c r="H10" s="89"/>
    </row>
    <row r="11" spans="1:13" s="52" customFormat="1" ht="32.1" customHeight="1">
      <c r="A11" s="82">
        <f t="shared" si="0"/>
        <v>6</v>
      </c>
      <c r="B11" s="170" t="str">
        <f>MRS!B11&amp;" "&amp;MRS!D11</f>
        <v xml:space="preserve">Twist Drill Bit 10Mm Dewesser  </v>
      </c>
      <c r="C11" s="171"/>
      <c r="D11" s="83" t="str">
        <f>MRS!G11</f>
        <v>Ea</v>
      </c>
      <c r="E11" s="84">
        <f>MRS!H11</f>
        <v>50</v>
      </c>
      <c r="F11" s="85">
        <f>MRS!I11</f>
        <v>6.5</v>
      </c>
      <c r="G11" s="85">
        <f>MRS!J11</f>
        <v>325</v>
      </c>
      <c r="H11" s="89"/>
    </row>
    <row r="12" spans="1:13" s="52" customFormat="1" ht="32.1" customHeight="1">
      <c r="A12" s="82">
        <f t="shared" si="0"/>
        <v>7</v>
      </c>
      <c r="B12" s="170" t="str">
        <f>MRS!B12&amp;" "&amp;MRS!D12</f>
        <v xml:space="preserve">Twist Drill Bit 8Mm Dewesser  </v>
      </c>
      <c r="C12" s="171"/>
      <c r="D12" s="83" t="str">
        <f>MRS!G12</f>
        <v>Ea</v>
      </c>
      <c r="E12" s="84">
        <f>MRS!H12</f>
        <v>50</v>
      </c>
      <c r="F12" s="85">
        <f>MRS!I12</f>
        <v>4.5</v>
      </c>
      <c r="G12" s="85">
        <f>MRS!J12</f>
        <v>225</v>
      </c>
      <c r="H12" s="89"/>
    </row>
    <row r="13" spans="1:13" s="52" customFormat="1" ht="32.1" customHeight="1">
      <c r="A13" s="82">
        <f t="shared" si="0"/>
        <v>8</v>
      </c>
      <c r="B13" s="170" t="str">
        <f>MRS!B13&amp;" "&amp;MRS!D13</f>
        <v xml:space="preserve">Twist Drill Bit 6Mm Dewesser  </v>
      </c>
      <c r="C13" s="171"/>
      <c r="D13" s="83" t="str">
        <f>MRS!G13</f>
        <v>Ea</v>
      </c>
      <c r="E13" s="84">
        <f>MRS!H13</f>
        <v>50</v>
      </c>
      <c r="F13" s="85">
        <f>MRS!I13</f>
        <v>2</v>
      </c>
      <c r="G13" s="85">
        <f>MRS!J13</f>
        <v>100</v>
      </c>
      <c r="H13" s="89"/>
    </row>
    <row r="14" spans="1:13" s="52" customFormat="1" ht="32.1" customHeight="1">
      <c r="A14" s="82">
        <f t="shared" si="0"/>
        <v>9</v>
      </c>
      <c r="B14" s="170" t="str">
        <f>MRS!B14&amp;" "&amp;MRS!D14</f>
        <v xml:space="preserve">Carbon Brush For Angle Grinder Machine 4" Dewalt 4002  </v>
      </c>
      <c r="C14" s="171"/>
      <c r="D14" s="83" t="str">
        <f>MRS!G14</f>
        <v>Ea</v>
      </c>
      <c r="E14" s="84">
        <f>MRS!H14</f>
        <v>50</v>
      </c>
      <c r="F14" s="85">
        <f>MRS!I14</f>
        <v>13</v>
      </c>
      <c r="G14" s="85">
        <f>MRS!J14</f>
        <v>650</v>
      </c>
      <c r="H14" s="89"/>
    </row>
    <row r="15" spans="1:13" s="52" customFormat="1" ht="32.1" customHeight="1">
      <c r="A15" s="82">
        <f t="shared" si="0"/>
        <v>10</v>
      </c>
      <c r="B15" s="170" t="str">
        <f>MRS!B15&amp;" "&amp;MRS!D15</f>
        <v xml:space="preserve">Yellow Tag  </v>
      </c>
      <c r="C15" s="171"/>
      <c r="D15" s="83" t="str">
        <f>MRS!G15</f>
        <v>PCS</v>
      </c>
      <c r="E15" s="84">
        <f>MRS!H15</f>
        <v>700</v>
      </c>
      <c r="F15" s="85">
        <f>MRS!I15</f>
        <v>3</v>
      </c>
      <c r="G15" s="85">
        <f>MRS!J15</f>
        <v>2100</v>
      </c>
      <c r="H15" s="89"/>
    </row>
    <row r="16" spans="1:13" s="52" customFormat="1" ht="32.1" customHeight="1">
      <c r="A16" s="82">
        <f t="shared" si="0"/>
        <v>11</v>
      </c>
      <c r="B16" s="170" t="str">
        <f>MRS!B16&amp;" "&amp;MRS!D16</f>
        <v xml:space="preserve">Red Tag Holder  </v>
      </c>
      <c r="C16" s="171"/>
      <c r="D16" s="83" t="str">
        <f>MRS!G16</f>
        <v>PCS</v>
      </c>
      <c r="E16" s="84">
        <f>MRS!H16</f>
        <v>300</v>
      </c>
      <c r="F16" s="85">
        <f>MRS!I16</f>
        <v>10</v>
      </c>
      <c r="G16" s="85">
        <f>MRS!J16</f>
        <v>3000</v>
      </c>
      <c r="H16" s="89"/>
    </row>
    <row r="17" spans="1:8" s="52" customFormat="1" ht="32.1" customHeight="1">
      <c r="A17" s="82">
        <f t="shared" si="0"/>
        <v>12</v>
      </c>
      <c r="B17" s="170" t="str">
        <f>MRS!B17&amp;" "&amp;MRS!D17</f>
        <v xml:space="preserve">Green Tag </v>
      </c>
      <c r="C17" s="171"/>
      <c r="D17" s="83" t="str">
        <f>MRS!G17</f>
        <v>PCS</v>
      </c>
      <c r="E17" s="84">
        <f>MRS!H17</f>
        <v>600</v>
      </c>
      <c r="F17" s="85">
        <f>MRS!I17</f>
        <v>3</v>
      </c>
      <c r="G17" s="85">
        <f>MRS!J17</f>
        <v>1800</v>
      </c>
      <c r="H17" s="89"/>
    </row>
    <row r="18" spans="1:8" s="52" customFormat="1" ht="32.1" customHeight="1">
      <c r="A18" s="82">
        <f t="shared" si="0"/>
        <v>13</v>
      </c>
      <c r="B18" s="170" t="str">
        <f>MRS!B18&amp;" "&amp;MRS!D18</f>
        <v xml:space="preserve">Ratchet Spanner Size : 19/21Mm ( Brand : Clarke )  </v>
      </c>
      <c r="C18" s="171"/>
      <c r="D18" s="83" t="str">
        <f>MRS!G18</f>
        <v>PCS</v>
      </c>
      <c r="E18" s="84">
        <f>MRS!H18</f>
        <v>115</v>
      </c>
      <c r="F18" s="85">
        <f>MRS!I18</f>
        <v>38</v>
      </c>
      <c r="G18" s="85">
        <f>MRS!J18</f>
        <v>4370</v>
      </c>
      <c r="H18" s="89"/>
    </row>
    <row r="19" spans="1:8" s="52" customFormat="1" ht="32.1" customHeight="1">
      <c r="A19" s="82">
        <f t="shared" si="0"/>
        <v>14</v>
      </c>
      <c r="B19" s="170" t="str">
        <f>MRS!B19&amp;" "&amp;MRS!D19</f>
        <v xml:space="preserve">Std Tool Lanyard ( Brand : Maskweld )  </v>
      </c>
      <c r="C19" s="171"/>
      <c r="D19" s="83" t="str">
        <f>MRS!G19</f>
        <v>PCS</v>
      </c>
      <c r="E19" s="84">
        <f>MRS!H19</f>
        <v>100</v>
      </c>
      <c r="F19" s="85">
        <f>MRS!I19</f>
        <v>20</v>
      </c>
      <c r="G19" s="85">
        <f>MRS!J19</f>
        <v>2000</v>
      </c>
      <c r="H19" s="89"/>
    </row>
    <row r="20" spans="1:8" s="52" customFormat="1" ht="32.1" customHeight="1">
      <c r="A20" s="82">
        <f t="shared" si="0"/>
        <v>15</v>
      </c>
      <c r="B20" s="170" t="str">
        <f>MRS!B20&amp;" "&amp;MRS!D20</f>
        <v xml:space="preserve">Plumbob 400Garm ( 40Mtr )  </v>
      </c>
      <c r="C20" s="171"/>
      <c r="D20" s="83" t="str">
        <f>MRS!G20</f>
        <v>Ea</v>
      </c>
      <c r="E20" s="84">
        <f>MRS!H20</f>
        <v>30</v>
      </c>
      <c r="F20" s="85">
        <f>MRS!I20</f>
        <v>75</v>
      </c>
      <c r="G20" s="85">
        <f>MRS!J20</f>
        <v>2250</v>
      </c>
      <c r="H20" s="89"/>
    </row>
    <row r="21" spans="1:8" s="52" customFormat="1" ht="32.1" customHeight="1">
      <c r="A21" s="82">
        <f t="shared" si="0"/>
        <v>16</v>
      </c>
      <c r="B21" s="170" t="str">
        <f>MRS!B21&amp;" "&amp;MRS!D21</f>
        <v xml:space="preserve">Hydrolic Bendind Machine Super Ego  </v>
      </c>
      <c r="C21" s="171"/>
      <c r="D21" s="83" t="str">
        <f>MRS!G21</f>
        <v>Ea</v>
      </c>
      <c r="E21" s="84">
        <f>MRS!H21</f>
        <v>2</v>
      </c>
      <c r="F21" s="85">
        <f>MRS!I21</f>
        <v>4290</v>
      </c>
      <c r="G21" s="85">
        <f>MRS!J21</f>
        <v>8580</v>
      </c>
      <c r="H21" s="89"/>
    </row>
    <row r="22" spans="1:8" s="52" customFormat="1" ht="32.1" customHeight="1">
      <c r="A22" s="82">
        <f t="shared" si="0"/>
        <v>17</v>
      </c>
      <c r="B22" s="170" t="str">
        <f>MRS!B22&amp;" "&amp;MRS!D22</f>
        <v xml:space="preserve">Cable Cutter Lk-38A </v>
      </c>
      <c r="C22" s="171"/>
      <c r="D22" s="83" t="str">
        <f>MRS!G22</f>
        <v>PCS</v>
      </c>
      <c r="E22" s="84">
        <f>MRS!H22</f>
        <v>2</v>
      </c>
      <c r="F22" s="85">
        <f>MRS!I22</f>
        <v>26</v>
      </c>
      <c r="G22" s="85">
        <f>MRS!J22</f>
        <v>52</v>
      </c>
      <c r="H22" s="89"/>
    </row>
    <row r="23" spans="1:8" s="52" customFormat="1" ht="32.1" customHeight="1">
      <c r="A23" s="82">
        <f t="shared" si="0"/>
        <v>18</v>
      </c>
      <c r="B23" s="170" t="str">
        <f>MRS!B23&amp;" "&amp;MRS!D23</f>
        <v xml:space="preserve">Walkie - Talkie
 Tyt Radio - (Th-Uv8000D  </v>
      </c>
      <c r="C23" s="171"/>
      <c r="D23" s="83" t="str">
        <f>MRS!G23</f>
        <v>PCS</v>
      </c>
      <c r="E23" s="84">
        <f>MRS!H23</f>
        <v>8</v>
      </c>
      <c r="F23" s="85">
        <f>MRS!I23</f>
        <v>380</v>
      </c>
      <c r="G23" s="85">
        <f>MRS!J23</f>
        <v>3040</v>
      </c>
      <c r="H23" s="89"/>
    </row>
    <row r="24" spans="1:8" s="52" customFormat="1" ht="32.1" customHeight="1">
      <c r="A24" s="82">
        <f t="shared" si="0"/>
        <v>19</v>
      </c>
      <c r="B24" s="170" t="str">
        <f>MRS!B24&amp;" "&amp;MRS!D24</f>
        <v xml:space="preserve">Sata. Tubing Cutter 3Mm-32Mm </v>
      </c>
      <c r="C24" s="171"/>
      <c r="D24" s="83" t="str">
        <f>MRS!G24</f>
        <v>Ea</v>
      </c>
      <c r="E24" s="84">
        <f>MRS!H24</f>
        <v>20</v>
      </c>
      <c r="F24" s="85">
        <f>MRS!I24</f>
        <v>70</v>
      </c>
      <c r="G24" s="85">
        <f>MRS!J24</f>
        <v>1400</v>
      </c>
      <c r="H24" s="89"/>
    </row>
    <row r="25" spans="1:8" s="52" customFormat="1" ht="32.1" customHeight="1">
      <c r="A25" s="82">
        <f t="shared" si="0"/>
        <v>20</v>
      </c>
      <c r="B25" s="170" t="str">
        <f>MRS!B25&amp;" "&amp;MRS!D25</f>
        <v xml:space="preserve">Sata. Wire And Cable Cutting Pliers 8'' Ench </v>
      </c>
      <c r="C25" s="171"/>
      <c r="D25" s="83" t="str">
        <f>MRS!G25</f>
        <v>Ea</v>
      </c>
      <c r="E25" s="84">
        <f>MRS!H25</f>
        <v>1</v>
      </c>
      <c r="F25" s="85">
        <f>MRS!I25</f>
        <v>58</v>
      </c>
      <c r="G25" s="85">
        <f>MRS!J25</f>
        <v>58</v>
      </c>
      <c r="H25" s="89"/>
    </row>
    <row r="26" spans="1:8" s="52" customFormat="1" ht="32.1" customHeight="1">
      <c r="A26" s="82">
        <f t="shared" si="0"/>
        <v>21</v>
      </c>
      <c r="B26" s="170" t="str">
        <f>MRS!B26&amp;" "&amp;MRS!D26</f>
        <v xml:space="preserve">Manual Tube Bending Machine 1/2" Ips-1 1/4" Ips  ( Brand : Clarke )  </v>
      </c>
      <c r="C26" s="171"/>
      <c r="D26" s="83" t="str">
        <f>MRS!G26</f>
        <v>Ea</v>
      </c>
      <c r="E26" s="84">
        <f>MRS!H26</f>
        <v>2</v>
      </c>
      <c r="F26" s="85">
        <f>MRS!I26</f>
        <v>475</v>
      </c>
      <c r="G26" s="85">
        <f>MRS!J26</f>
        <v>950</v>
      </c>
      <c r="H26" s="89"/>
    </row>
    <row r="27" spans="1:8" s="52" customFormat="1" ht="32.1" customHeight="1">
      <c r="A27" s="82">
        <f t="shared" si="0"/>
        <v>22</v>
      </c>
      <c r="B27" s="170" t="str">
        <f>MRS!B27&amp;" "&amp;MRS!D27</f>
        <v xml:space="preserve">Flexible Conduit Hose - 20Mm X 50Mtr  ( Brand : Hi-Tech )  </v>
      </c>
      <c r="C27" s="171"/>
      <c r="D27" s="83" t="str">
        <f>MRS!G27</f>
        <v>ROLL</v>
      </c>
      <c r="E27" s="84">
        <f>MRS!H27</f>
        <v>12</v>
      </c>
      <c r="F27" s="85">
        <f>MRS!I27</f>
        <v>135</v>
      </c>
      <c r="G27" s="85">
        <f>MRS!J27</f>
        <v>1620</v>
      </c>
      <c r="H27" s="89"/>
    </row>
    <row r="28" spans="1:8" s="52" customFormat="1" ht="32.1" customHeight="1">
      <c r="A28" s="82">
        <f t="shared" si="0"/>
        <v>23</v>
      </c>
      <c r="B28" s="170" t="str">
        <f>MRS!B28&amp;" "&amp;MRS!D28</f>
        <v xml:space="preserve">Pvc Channel - 1/2" </v>
      </c>
      <c r="C28" s="171"/>
      <c r="D28" s="83" t="str">
        <f>MRS!G28</f>
        <v>Ea</v>
      </c>
      <c r="E28" s="84">
        <f>MRS!H28</f>
        <v>20</v>
      </c>
      <c r="F28" s="85">
        <f>MRS!I28</f>
        <v>3.5</v>
      </c>
      <c r="G28" s="85">
        <f>MRS!J28</f>
        <v>70</v>
      </c>
      <c r="H28" s="89"/>
    </row>
    <row r="29" spans="1:8" s="52" customFormat="1" ht="32.1" customHeight="1">
      <c r="A29" s="82">
        <f t="shared" si="0"/>
        <v>24</v>
      </c>
      <c r="B29" s="170" t="str">
        <f>MRS!B29&amp;" "&amp;MRS!D29</f>
        <v xml:space="preserve">Solding Wire  </v>
      </c>
      <c r="C29" s="171"/>
      <c r="D29" s="83" t="str">
        <f>MRS!G29</f>
        <v>Ea</v>
      </c>
      <c r="E29" s="84">
        <f>MRS!H29</f>
        <v>1</v>
      </c>
      <c r="F29" s="85">
        <f>MRS!I29</f>
        <v>68</v>
      </c>
      <c r="G29" s="85">
        <f>MRS!J29</f>
        <v>68</v>
      </c>
      <c r="H29" s="89"/>
    </row>
    <row r="30" spans="1:8" s="52" customFormat="1" ht="32.1" customHeight="1">
      <c r="A30" s="82">
        <f t="shared" si="0"/>
        <v>25</v>
      </c>
      <c r="B30" s="170" t="str">
        <f>MRS!B30&amp;" "&amp;MRS!D30</f>
        <v xml:space="preserve">Sholding Iron Paste 100Gm </v>
      </c>
      <c r="C30" s="171"/>
      <c r="D30" s="83" t="str">
        <f>MRS!G30</f>
        <v>Ea</v>
      </c>
      <c r="E30" s="84">
        <f>MRS!H30</f>
        <v>1</v>
      </c>
      <c r="F30" s="85">
        <f>MRS!I30</f>
        <v>13</v>
      </c>
      <c r="G30" s="85">
        <f>MRS!J30</f>
        <v>13</v>
      </c>
      <c r="H30" s="89"/>
    </row>
    <row r="31" spans="1:8" s="52" customFormat="1" ht="32.1" customHeight="1">
      <c r="A31" s="82">
        <f t="shared" si="0"/>
        <v>26</v>
      </c>
      <c r="B31" s="170" t="str">
        <f>MRS!B31&amp;" "&amp;MRS!D31</f>
        <v xml:space="preserve">Part Of Respirator Mask ( Brand : 3M )  </v>
      </c>
      <c r="C31" s="171"/>
      <c r="D31" s="83" t="str">
        <f>MRS!G31</f>
        <v>Ea</v>
      </c>
      <c r="E31" s="84">
        <f>MRS!H31</f>
        <v>130</v>
      </c>
      <c r="F31" s="85">
        <f>MRS!I31</f>
        <v>26</v>
      </c>
      <c r="G31" s="85">
        <f>MRS!J31</f>
        <v>3380</v>
      </c>
      <c r="H31" s="89"/>
    </row>
    <row r="32" spans="1:8" s="52" customFormat="1" ht="32.1" customHeight="1">
      <c r="A32" s="82">
        <f t="shared" si="0"/>
        <v>27</v>
      </c>
      <c r="B32" s="170" t="str">
        <f>MRS!B32&amp;" "&amp;MRS!D32</f>
        <v xml:space="preserve">Torque Wrench Dr3/4" 75-350Mm Ft/Lb  ( Brand : Clarke ) </v>
      </c>
      <c r="C32" s="171"/>
      <c r="D32" s="83" t="str">
        <f>MRS!G32</f>
        <v>Ea</v>
      </c>
      <c r="E32" s="84">
        <f>MRS!H32</f>
        <v>1</v>
      </c>
      <c r="F32" s="85">
        <f>MRS!I32</f>
        <v>1485</v>
      </c>
      <c r="G32" s="85">
        <f>MRS!J32</f>
        <v>1485</v>
      </c>
      <c r="H32" s="89"/>
    </row>
    <row r="33" spans="1:8" s="52" customFormat="1" ht="32.1" customHeight="1">
      <c r="A33" s="82">
        <f t="shared" si="0"/>
        <v>28</v>
      </c>
      <c r="B33" s="170" t="str">
        <f>MRS!B33&amp;" "&amp;MRS!D33</f>
        <v xml:space="preserve">Torque Wrench Dr1" 300-1500Mm Ft/Lb  ( Brand : Clarke )  </v>
      </c>
      <c r="C33" s="171"/>
      <c r="D33" s="83" t="str">
        <f>MRS!G33</f>
        <v>Ea</v>
      </c>
      <c r="E33" s="84">
        <f>MRS!H33</f>
        <v>1</v>
      </c>
      <c r="F33" s="85">
        <f>MRS!I33</f>
        <v>2100</v>
      </c>
      <c r="G33" s="85">
        <f>MRS!J33</f>
        <v>2100</v>
      </c>
      <c r="H33" s="89"/>
    </row>
    <row r="34" spans="1:8" s="52" customFormat="1" ht="32.1" customHeight="1">
      <c r="A34" s="82">
        <f t="shared" si="0"/>
        <v>29</v>
      </c>
      <c r="B34" s="170" t="str">
        <f>MRS!B34&amp;" "&amp;MRS!D34</f>
        <v xml:space="preserve">Industrial Mist Fan - 26"   ( Brand : Giffex )  </v>
      </c>
      <c r="C34" s="171"/>
      <c r="D34" s="83" t="str">
        <f>MRS!G34</f>
        <v>Ea</v>
      </c>
      <c r="E34" s="84">
        <f>MRS!H34</f>
        <v>7</v>
      </c>
      <c r="F34" s="85">
        <f>MRS!I34</f>
        <v>680</v>
      </c>
      <c r="G34" s="85">
        <f>MRS!J34</f>
        <v>4760</v>
      </c>
      <c r="H34" s="89"/>
    </row>
    <row r="35" spans="1:8" s="52" customFormat="1" ht="32.1" customHeight="1">
      <c r="A35" s="82">
        <f t="shared" si="0"/>
        <v>30</v>
      </c>
      <c r="B35" s="170" t="str">
        <f>MRS!B35&amp;" "&amp;MRS!D35</f>
        <v xml:space="preserve">Measurement Tape Steel Type - 30Mtr ( Brand : Clarke )  </v>
      </c>
      <c r="C35" s="171"/>
      <c r="D35" s="83" t="str">
        <f>MRS!G35</f>
        <v>Ea</v>
      </c>
      <c r="E35" s="84">
        <f>MRS!H35</f>
        <v>3</v>
      </c>
      <c r="F35" s="85">
        <f>MRS!I35</f>
        <v>42</v>
      </c>
      <c r="G35" s="85">
        <f>MRS!J35</f>
        <v>126</v>
      </c>
      <c r="H35" s="89"/>
    </row>
    <row r="36" spans="1:8" s="52" customFormat="1" ht="32.1" customHeight="1">
      <c r="A36" s="82">
        <f t="shared" si="0"/>
        <v>31</v>
      </c>
      <c r="B36" s="170" t="str">
        <f>MRS!B36&amp;" "&amp;MRS!D36</f>
        <v xml:space="preserve">Measurement Tape Steel Type - 50Mtr ( Brand : Clarke )  </v>
      </c>
      <c r="C36" s="171"/>
      <c r="D36" s="83" t="str">
        <f>MRS!G36</f>
        <v>Ea</v>
      </c>
      <c r="E36" s="84">
        <f>MRS!H36</f>
        <v>3</v>
      </c>
      <c r="F36" s="85">
        <f>MRS!I36</f>
        <v>62</v>
      </c>
      <c r="G36" s="85">
        <f>MRS!J36</f>
        <v>186</v>
      </c>
      <c r="H36" s="89"/>
    </row>
    <row r="37" spans="1:8" s="52" customFormat="1" ht="32.1" customHeight="1">
      <c r="A37" s="82">
        <f t="shared" si="0"/>
        <v>32</v>
      </c>
      <c r="B37" s="170" t="str">
        <f>MRS!B37&amp;" "&amp;MRS!D37</f>
        <v xml:space="preserve">Measurement Tape Steel Type - 100Mtr ( Brand : Clarke )  </v>
      </c>
      <c r="C37" s="171"/>
      <c r="D37" s="83" t="str">
        <f>MRS!G37</f>
        <v>Ea</v>
      </c>
      <c r="E37" s="84">
        <f>MRS!H37</f>
        <v>6</v>
      </c>
      <c r="F37" s="85">
        <f>MRS!I37</f>
        <v>110</v>
      </c>
      <c r="G37" s="85">
        <f>MRS!J37</f>
        <v>660</v>
      </c>
      <c r="H37" s="89"/>
    </row>
    <row r="38" spans="1:8" s="52" customFormat="1" ht="32.1" customHeight="1">
      <c r="A38" s="82">
        <f t="shared" si="0"/>
        <v>33</v>
      </c>
      <c r="B38" s="170" t="str">
        <f>MRS!B38&amp;" "&amp;MRS!D38</f>
        <v xml:space="preserve">Leather Scaffolding Tool Belt - Kasweld  </v>
      </c>
      <c r="C38" s="171"/>
      <c r="D38" s="83" t="str">
        <f>MRS!G38</f>
        <v>Ea</v>
      </c>
      <c r="E38" s="84">
        <f>MRS!H38</f>
        <v>120</v>
      </c>
      <c r="F38" s="85">
        <f>MRS!I38</f>
        <v>110</v>
      </c>
      <c r="G38" s="85">
        <f>MRS!J38</f>
        <v>13200</v>
      </c>
      <c r="H38" s="89"/>
    </row>
    <row r="39" spans="1:8" s="52" customFormat="1" ht="32.1" customHeight="1">
      <c r="A39" s="82">
        <f t="shared" si="0"/>
        <v>34</v>
      </c>
      <c r="B39" s="170" t="str">
        <f>MRS!B39&amp;" "&amp;MRS!D39</f>
        <v xml:space="preserve">Anti Vibrationn Hand Gloves - Xl  </v>
      </c>
      <c r="C39" s="171"/>
      <c r="D39" s="83" t="str">
        <f>MRS!G39</f>
        <v>PAIR</v>
      </c>
      <c r="E39" s="84">
        <f>MRS!H39</f>
        <v>47</v>
      </c>
      <c r="F39" s="85">
        <f>MRS!I39</f>
        <v>32</v>
      </c>
      <c r="G39" s="85">
        <f>MRS!J39</f>
        <v>1504</v>
      </c>
      <c r="H39" s="89"/>
    </row>
    <row r="40" spans="1:8" s="52" customFormat="1" ht="32.1" customHeight="1">
      <c r="A40" s="82">
        <f t="shared" si="0"/>
        <v>35</v>
      </c>
      <c r="B40" s="170" t="str">
        <f>MRS!B40&amp;" "&amp;MRS!D40</f>
        <v xml:space="preserve">Diamond Cutting Disc 4"  ( Brand : Clarke )  </v>
      </c>
      <c r="C40" s="171"/>
      <c r="D40" s="83" t="str">
        <f>MRS!G40</f>
        <v>Ea</v>
      </c>
      <c r="E40" s="84">
        <f>MRS!H40</f>
        <v>50</v>
      </c>
      <c r="F40" s="85">
        <f>MRS!I40</f>
        <v>18</v>
      </c>
      <c r="G40" s="85">
        <f>MRS!J40</f>
        <v>900</v>
      </c>
      <c r="H40" s="89"/>
    </row>
    <row r="41" spans="1:8" s="52" customFormat="1" ht="32.1" customHeight="1">
      <c r="A41" s="82">
        <f t="shared" si="0"/>
        <v>36</v>
      </c>
      <c r="B41" s="170" t="str">
        <f>MRS!B41&amp;" "&amp;MRS!D41</f>
        <v xml:space="preserve">Diamond Grinder Disc 4"  ( Brand : Roto )  </v>
      </c>
      <c r="C41" s="171"/>
      <c r="D41" s="83" t="str">
        <f>MRS!G41</f>
        <v>Ea</v>
      </c>
      <c r="E41" s="84">
        <f>MRS!H41</f>
        <v>100</v>
      </c>
      <c r="F41" s="85">
        <f>MRS!I41</f>
        <v>30</v>
      </c>
      <c r="G41" s="85">
        <f>MRS!J41</f>
        <v>3000</v>
      </c>
      <c r="H41" s="89"/>
    </row>
    <row r="42" spans="1:8" s="52" customFormat="1" ht="32.1" customHeight="1">
      <c r="A42" s="82">
        <f t="shared" si="0"/>
        <v>37</v>
      </c>
      <c r="B42" s="170" t="str">
        <f>MRS!B42&amp;" "&amp;MRS!D42</f>
        <v xml:space="preserve">Tube Cutter 6Mm-64Mm ( Brand : Sata )  </v>
      </c>
      <c r="C42" s="171"/>
      <c r="D42" s="83" t="str">
        <f>MRS!G42</f>
        <v>Ea</v>
      </c>
      <c r="E42" s="84">
        <f>MRS!H42</f>
        <v>4</v>
      </c>
      <c r="F42" s="85">
        <f>MRS!I42</f>
        <v>125</v>
      </c>
      <c r="G42" s="85">
        <f>MRS!J42</f>
        <v>500</v>
      </c>
      <c r="H42" s="89"/>
    </row>
    <row r="43" spans="1:8" s="52" customFormat="1" ht="32.1" customHeight="1">
      <c r="A43" s="82">
        <f t="shared" si="0"/>
        <v>38</v>
      </c>
      <c r="B43" s="170" t="str">
        <f>MRS!B43&amp;" "&amp;MRS!D43</f>
        <v xml:space="preserve">Tube Cutter Blade ( Brand : Super -Ego )  </v>
      </c>
      <c r="C43" s="171"/>
      <c r="D43" s="83" t="str">
        <f>MRS!G43</f>
        <v>Ea</v>
      </c>
      <c r="E43" s="84">
        <f>MRS!H43</f>
        <v>50</v>
      </c>
      <c r="F43" s="85">
        <f>MRS!I43</f>
        <v>19</v>
      </c>
      <c r="G43" s="85">
        <f>MRS!J43</f>
        <v>950</v>
      </c>
      <c r="H43" s="89"/>
    </row>
    <row r="44" spans="1:8" s="52" customFormat="1" ht="32.1" customHeight="1">
      <c r="A44" s="82">
        <f t="shared" si="0"/>
        <v>39</v>
      </c>
      <c r="B44" s="170" t="str">
        <f>MRS!B44&amp;" "&amp;MRS!D44</f>
        <v xml:space="preserve">Carbide Rotary Burr Hx 1232 Flame  </v>
      </c>
      <c r="C44" s="171"/>
      <c r="D44" s="83" t="str">
        <f>MRS!G44</f>
        <v>Ea</v>
      </c>
      <c r="E44" s="84">
        <f>MRS!H44</f>
        <v>20</v>
      </c>
      <c r="F44" s="85">
        <f>MRS!I44</f>
        <v>55</v>
      </c>
      <c r="G44" s="85">
        <f>MRS!J44</f>
        <v>1100</v>
      </c>
      <c r="H44" s="89"/>
    </row>
    <row r="45" spans="1:8" s="52" customFormat="1" ht="32.1" customHeight="1">
      <c r="A45" s="82">
        <f t="shared" si="0"/>
        <v>40</v>
      </c>
      <c r="B45" s="170" t="str">
        <f>MRS!B45&amp;" "&amp;MRS!D45</f>
        <v xml:space="preserve">Air Gun Nozzle  </v>
      </c>
      <c r="C45" s="171"/>
      <c r="D45" s="83" t="str">
        <f>MRS!G45</f>
        <v>Ea</v>
      </c>
      <c r="E45" s="84">
        <f>MRS!H45</f>
        <v>3</v>
      </c>
      <c r="F45" s="85">
        <f>MRS!I45</f>
        <v>38</v>
      </c>
      <c r="G45" s="85">
        <f>MRS!J45</f>
        <v>114</v>
      </c>
      <c r="H45" s="89"/>
    </row>
    <row r="46" spans="1:8" s="52" customFormat="1" ht="32.1" customHeight="1">
      <c r="A46" s="82">
        <f t="shared" si="0"/>
        <v>41</v>
      </c>
      <c r="B46" s="170" t="str">
        <f>MRS!B46&amp;" "&amp;MRS!D46</f>
        <v xml:space="preserve">Torque Wrench 60 - 330 Ft-Lb (With Open Wrench Set (13-30Mm) 11Pcs/Set </v>
      </c>
      <c r="C46" s="171"/>
      <c r="D46" s="83" t="str">
        <f>MRS!G46</f>
        <v>Ea</v>
      </c>
      <c r="E46" s="84">
        <f>MRS!H46</f>
        <v>2</v>
      </c>
      <c r="F46" s="85">
        <f>MRS!I46</f>
        <v>1250</v>
      </c>
      <c r="G46" s="85">
        <f>MRS!J46</f>
        <v>2500</v>
      </c>
      <c r="H46" s="89"/>
    </row>
    <row r="47" spans="1:8" s="52" customFormat="1" ht="32.1" customHeight="1">
      <c r="A47" s="82">
        <f t="shared" si="0"/>
        <v>42</v>
      </c>
      <c r="B47" s="170" t="str">
        <f>MRS!B47&amp;" "&amp;MRS!D47</f>
        <v xml:space="preserve">Long And Short Socket Set 22Mm-36Mm                                                  (22S-4 , 22L -2 , 27S-2, 27L-2, 32S-2 , 32L-2 , 36S-2 , 36L-2 ) </v>
      </c>
      <c r="C47" s="171"/>
      <c r="D47" s="83" t="str">
        <f>MRS!G47</f>
        <v>Set</v>
      </c>
      <c r="E47" s="84">
        <f>MRS!H47</f>
        <v>1</v>
      </c>
      <c r="F47" s="85">
        <f>MRS!I47</f>
        <v>338</v>
      </c>
      <c r="G47" s="85">
        <f>MRS!J47</f>
        <v>338</v>
      </c>
      <c r="H47" s="89"/>
    </row>
    <row r="48" spans="1:8" s="52" customFormat="1" ht="32.1" customHeight="1">
      <c r="A48" s="82">
        <f t="shared" si="0"/>
        <v>43</v>
      </c>
      <c r="B48" s="170" t="str">
        <f>MRS!B48&amp;" "&amp;MRS!D48</f>
        <v xml:space="preserve">Torque Wrench Open Type 40 - 200 Ft-Lb Drive 1/2" ( Brand : Tower_ Made In Taiwan )  </v>
      </c>
      <c r="C48" s="171"/>
      <c r="D48" s="83" t="str">
        <f>MRS!G48</f>
        <v>Ea</v>
      </c>
      <c r="E48" s="84">
        <f>MRS!H48</f>
        <v>1</v>
      </c>
      <c r="F48" s="85">
        <f>MRS!I48</f>
        <v>395</v>
      </c>
      <c r="G48" s="85">
        <f>MRS!J48</f>
        <v>395</v>
      </c>
      <c r="H48" s="89"/>
    </row>
    <row r="49" spans="1:8" s="52" customFormat="1" ht="32.1" customHeight="1">
      <c r="A49" s="82">
        <f t="shared" si="0"/>
        <v>44</v>
      </c>
      <c r="B49" s="170" t="str">
        <f>MRS!B49&amp;" "&amp;MRS!D49</f>
        <v xml:space="preserve">Anti Slip Tape For Safety 2/5Cm  </v>
      </c>
      <c r="C49" s="171"/>
      <c r="D49" s="83" t="str">
        <f>MRS!G49</f>
        <v>ROLL</v>
      </c>
      <c r="E49" s="84">
        <f>MRS!H49</f>
        <v>30</v>
      </c>
      <c r="F49" s="85">
        <f>MRS!I49</f>
        <v>39</v>
      </c>
      <c r="G49" s="85">
        <f>MRS!J49</f>
        <v>1170</v>
      </c>
      <c r="H49" s="89"/>
    </row>
    <row r="50" spans="1:8" s="52" customFormat="1" ht="32.1" customHeight="1">
      <c r="A50" s="82">
        <f t="shared" si="0"/>
        <v>45</v>
      </c>
      <c r="B50" s="170" t="str">
        <f>MRS!B50&amp;" "&amp;MRS!D50</f>
        <v xml:space="preserve">Npt Chicago Male &amp; Female  - 3/4"   </v>
      </c>
      <c r="C50" s="171"/>
      <c r="D50" s="83" t="str">
        <f>MRS!G50</f>
        <v>Ea</v>
      </c>
      <c r="E50" s="84">
        <f>MRS!H50</f>
        <v>4</v>
      </c>
      <c r="F50" s="85">
        <f>MRS!I50</f>
        <v>33</v>
      </c>
      <c r="G50" s="85">
        <f>MRS!J50</f>
        <v>132</v>
      </c>
      <c r="H50" s="89"/>
    </row>
    <row r="51" spans="1:8" s="52" customFormat="1" ht="32.1" customHeight="1">
      <c r="A51" s="82">
        <f t="shared" si="0"/>
        <v>46</v>
      </c>
      <c r="B51" s="170" t="str">
        <f>MRS!B51&amp;" "&amp;MRS!D51</f>
        <v xml:space="preserve">Chicago Pin - 1/8"  </v>
      </c>
      <c r="C51" s="171"/>
      <c r="D51" s="83" t="str">
        <f>MRS!G51</f>
        <v>Ea</v>
      </c>
      <c r="E51" s="84">
        <f>MRS!H51</f>
        <v>10</v>
      </c>
      <c r="F51" s="85">
        <f>MRS!I51</f>
        <v>2</v>
      </c>
      <c r="G51" s="85">
        <f>MRS!J51</f>
        <v>20</v>
      </c>
      <c r="H51" s="89"/>
    </row>
    <row r="52" spans="1:8" s="52" customFormat="1" ht="32.1" customHeight="1">
      <c r="A52" s="82">
        <f t="shared" si="0"/>
        <v>47</v>
      </c>
      <c r="B52" s="170" t="str">
        <f>MRS!B52&amp;" "&amp;MRS!D52</f>
        <v xml:space="preserve">Recepro Saw Blade 165X18X1.0Mm ( 6-5/16" _ Brand : Makita )  </v>
      </c>
      <c r="C52" s="171"/>
      <c r="D52" s="83" t="str">
        <f>MRS!G52</f>
        <v>Ea</v>
      </c>
      <c r="E52" s="84">
        <f>MRS!H52</f>
        <v>130</v>
      </c>
      <c r="F52" s="85">
        <f>MRS!I52</f>
        <v>20</v>
      </c>
      <c r="G52" s="85">
        <f>MRS!J52</f>
        <v>2600</v>
      </c>
      <c r="H52" s="89"/>
    </row>
    <row r="53" spans="1:8" s="52" customFormat="1" ht="32.1" customHeight="1">
      <c r="A53" s="82">
        <f t="shared" si="0"/>
        <v>48</v>
      </c>
      <c r="B53" s="170" t="str">
        <f>MRS!B53&amp;" "&amp;MRS!D53</f>
        <v xml:space="preserve">Fire Blanket Orange – 1 X 50M X 0.45T ( Brand : Kaspro )  </v>
      </c>
      <c r="C53" s="171"/>
      <c r="D53" s="83" t="str">
        <f>MRS!G53</f>
        <v>ROLL</v>
      </c>
      <c r="E53" s="84">
        <f>MRS!H53</f>
        <v>110</v>
      </c>
      <c r="F53" s="85">
        <f>MRS!I53</f>
        <v>510</v>
      </c>
      <c r="G53" s="85">
        <f>MRS!J53</f>
        <v>56100</v>
      </c>
      <c r="H53" s="89"/>
    </row>
    <row r="54" spans="1:8" s="52" customFormat="1" ht="32.1" customHeight="1">
      <c r="A54" s="82">
        <f t="shared" si="0"/>
        <v>49</v>
      </c>
      <c r="B54" s="170" t="str">
        <f>MRS!B54&amp;" "&amp;MRS!D54</f>
        <v xml:space="preserve">Spirit Level - 600Mm ( Brand : Clarke )  </v>
      </c>
      <c r="C54" s="171"/>
      <c r="D54" s="83" t="str">
        <f>MRS!G54</f>
        <v>Ea</v>
      </c>
      <c r="E54" s="84">
        <f>MRS!H54</f>
        <v>36</v>
      </c>
      <c r="F54" s="85">
        <f>MRS!I54</f>
        <v>31</v>
      </c>
      <c r="G54" s="85">
        <f>MRS!J54</f>
        <v>1116</v>
      </c>
      <c r="H54" s="89"/>
    </row>
    <row r="55" spans="1:8" s="52" customFormat="1" ht="32.1" customHeight="1">
      <c r="A55" s="82">
        <f t="shared" si="0"/>
        <v>50</v>
      </c>
      <c r="B55" s="170" t="str">
        <f>MRS!B55&amp;" "&amp;MRS!D55</f>
        <v xml:space="preserve">Magnetic Sprit Level - 600Mm ( Brand : Clarke )  </v>
      </c>
      <c r="C55" s="171"/>
      <c r="D55" s="83" t="str">
        <f>MRS!G55</f>
        <v>Ea</v>
      </c>
      <c r="E55" s="84">
        <f>MRS!H55</f>
        <v>50</v>
      </c>
      <c r="F55" s="85">
        <f>MRS!I55</f>
        <v>31</v>
      </c>
      <c r="G55" s="85">
        <f>MRS!J55</f>
        <v>1550</v>
      </c>
      <c r="H55" s="89"/>
    </row>
    <row r="56" spans="1:8" s="52" customFormat="1" ht="32.1" customHeight="1">
      <c r="A56" s="82">
        <f t="shared" si="0"/>
        <v>51</v>
      </c>
      <c r="B56" s="170" t="str">
        <f>MRS!B56&amp;" "&amp;MRS!D56</f>
        <v xml:space="preserve">Cs Right Angle - 150 X 100Mm ( Brand : Kaspro )  </v>
      </c>
      <c r="C56" s="171"/>
      <c r="D56" s="83" t="str">
        <f>MRS!G56</f>
        <v>Ea</v>
      </c>
      <c r="E56" s="84">
        <f>MRS!H56</f>
        <v>10</v>
      </c>
      <c r="F56" s="85">
        <f>MRS!I56</f>
        <v>16</v>
      </c>
      <c r="G56" s="85">
        <f>MRS!J56</f>
        <v>160</v>
      </c>
      <c r="H56" s="89"/>
    </row>
    <row r="57" spans="1:8" s="52" customFormat="1" ht="32.1" customHeight="1">
      <c r="A57" s="82">
        <f t="shared" si="0"/>
        <v>52</v>
      </c>
      <c r="B57" s="170" t="str">
        <f>MRS!B57&amp;" "&amp;MRS!D57</f>
        <v xml:space="preserve">Laser Cutting Open Wrench Spanner Size : 32Mm  </v>
      </c>
      <c r="C57" s="171"/>
      <c r="D57" s="83" t="str">
        <f>MRS!G57</f>
        <v>Ea</v>
      </c>
      <c r="E57" s="84">
        <f>MRS!H57</f>
        <v>3</v>
      </c>
      <c r="F57" s="85">
        <f>MRS!I57</f>
        <v>65</v>
      </c>
      <c r="G57" s="85">
        <f>MRS!J57</f>
        <v>195</v>
      </c>
      <c r="H57" s="89"/>
    </row>
    <row r="58" spans="1:8" s="52" customFormat="1" ht="32.1" customHeight="1">
      <c r="A58" s="82">
        <f t="shared" si="0"/>
        <v>53</v>
      </c>
      <c r="B58" s="170" t="str">
        <f>MRS!B58&amp;" "&amp;MRS!D58</f>
        <v xml:space="preserve">Laser Cutting Open Wrench Spanner Size : 36Mm  </v>
      </c>
      <c r="C58" s="171"/>
      <c r="D58" s="83" t="str">
        <f>MRS!G58</f>
        <v>Ea</v>
      </c>
      <c r="E58" s="84">
        <f>MRS!H58</f>
        <v>2</v>
      </c>
      <c r="F58" s="85">
        <f>MRS!I58</f>
        <v>65</v>
      </c>
      <c r="G58" s="85">
        <f>MRS!J58</f>
        <v>130</v>
      </c>
      <c r="H58" s="89"/>
    </row>
    <row r="59" spans="1:8" s="52" customFormat="1" ht="32.1" customHeight="1">
      <c r="A59" s="82">
        <f t="shared" si="0"/>
        <v>54</v>
      </c>
      <c r="B59" s="170" t="str">
        <f>MRS!B59&amp;" "&amp;MRS!D59</f>
        <v xml:space="preserve">Snoop Liquid Leak Detector, Make-Swagelok, 3.8Ltr
  </v>
      </c>
      <c r="C59" s="171"/>
      <c r="D59" s="83" t="str">
        <f>MRS!G59</f>
        <v>PCS</v>
      </c>
      <c r="E59" s="84">
        <f>MRS!H59</f>
        <v>80</v>
      </c>
      <c r="F59" s="85">
        <f>MRS!I59</f>
        <v>765</v>
      </c>
      <c r="G59" s="85">
        <f>MRS!J59</f>
        <v>61200</v>
      </c>
      <c r="H59" s="89"/>
    </row>
    <row r="60" spans="1:8" s="52" customFormat="1" ht="32.1" customHeight="1">
      <c r="A60" s="82">
        <f t="shared" si="0"/>
        <v>55</v>
      </c>
      <c r="B60" s="170" t="str">
        <f>MRS!B60&amp;" "&amp;MRS!D60</f>
        <v xml:space="preserve">Scaffolding Leather Hand Gloves  </v>
      </c>
      <c r="C60" s="171"/>
      <c r="D60" s="83" t="str">
        <f>MRS!G60</f>
        <v>PCS</v>
      </c>
      <c r="E60" s="84">
        <f>MRS!H60</f>
        <v>1180</v>
      </c>
      <c r="F60" s="85">
        <f>MRS!I60</f>
        <v>4.5</v>
      </c>
      <c r="G60" s="85">
        <f>MRS!J60</f>
        <v>5310</v>
      </c>
      <c r="H60" s="89"/>
    </row>
    <row r="61" spans="1:8" s="52" customFormat="1" ht="32.1" customHeight="1">
      <c r="A61" s="82">
        <f t="shared" si="0"/>
        <v>56</v>
      </c>
      <c r="B61" s="170" t="str">
        <f>MRS!B61&amp;" "&amp;MRS!D61</f>
        <v xml:space="preserve">Reading Magnifying Glass Small ( Brand : Kaspro )  </v>
      </c>
      <c r="C61" s="171"/>
      <c r="D61" s="83" t="str">
        <f>MRS!G61</f>
        <v>PCS</v>
      </c>
      <c r="E61" s="84">
        <f>MRS!H61</f>
        <v>2</v>
      </c>
      <c r="F61" s="85">
        <f>MRS!I61</f>
        <v>55</v>
      </c>
      <c r="G61" s="85">
        <f>MRS!J61</f>
        <v>110</v>
      </c>
      <c r="H61" s="89"/>
    </row>
    <row r="62" spans="1:8" s="52" customFormat="1" ht="32.1" customHeight="1">
      <c r="A62" s="82">
        <f t="shared" si="0"/>
        <v>57</v>
      </c>
      <c r="B62" s="170" t="str">
        <f>MRS!B62&amp;" "&amp;MRS!D62</f>
        <v xml:space="preserve">Combination Spanner Size : 41Mm  ( Brand : Apt)  </v>
      </c>
      <c r="C62" s="171"/>
      <c r="D62" s="83" t="str">
        <f>MRS!G62</f>
        <v>PCS</v>
      </c>
      <c r="E62" s="84">
        <f>MRS!H62</f>
        <v>16</v>
      </c>
      <c r="F62" s="85">
        <f>MRS!I62</f>
        <v>52</v>
      </c>
      <c r="G62" s="85">
        <f>MRS!J62</f>
        <v>832</v>
      </c>
      <c r="H62" s="89"/>
    </row>
    <row r="63" spans="1:8" s="52" customFormat="1" ht="32.1" customHeight="1">
      <c r="A63" s="82">
        <f t="shared" si="0"/>
        <v>58</v>
      </c>
      <c r="B63" s="170" t="str">
        <f>MRS!B63&amp;" "&amp;MRS!D63</f>
        <v xml:space="preserve">Combination Spanner Size : 46Mm ( Brand : Apt)  </v>
      </c>
      <c r="C63" s="171"/>
      <c r="D63" s="83" t="str">
        <f>MRS!G63</f>
        <v>PCS</v>
      </c>
      <c r="E63" s="84">
        <f>MRS!H63</f>
        <v>16</v>
      </c>
      <c r="F63" s="85">
        <f>MRS!I63</f>
        <v>68</v>
      </c>
      <c r="G63" s="85">
        <f>MRS!J63</f>
        <v>1088</v>
      </c>
      <c r="H63" s="89"/>
    </row>
    <row r="64" spans="1:8" s="52" customFormat="1" ht="32.1" customHeight="1">
      <c r="A64" s="82">
        <f t="shared" si="0"/>
        <v>59</v>
      </c>
      <c r="B64" s="170" t="str">
        <f>MRS!B64&amp;" "&amp;MRS!D64</f>
        <v xml:space="preserve">Combination Spanner Size : 50Mm ( Brand : Apt)  </v>
      </c>
      <c r="C64" s="171"/>
      <c r="D64" s="83" t="str">
        <f>MRS!G64</f>
        <v>PCS</v>
      </c>
      <c r="E64" s="84">
        <f>MRS!H64</f>
        <v>6</v>
      </c>
      <c r="F64" s="85">
        <f>MRS!I64</f>
        <v>73</v>
      </c>
      <c r="G64" s="85">
        <f>MRS!J64</f>
        <v>438</v>
      </c>
      <c r="H64" s="89"/>
    </row>
    <row r="65" spans="1:8" s="52" customFormat="1" ht="32.1" customHeight="1">
      <c r="A65" s="82">
        <f t="shared" si="0"/>
        <v>60</v>
      </c>
      <c r="B65" s="170" t="str">
        <f>MRS!B65&amp;" "&amp;MRS!D65</f>
        <v xml:space="preserve">Spiral Screw Extractor 8Pcs/Set  </v>
      </c>
      <c r="C65" s="171"/>
      <c r="D65" s="83" t="str">
        <f>MRS!G65</f>
        <v>PCS</v>
      </c>
      <c r="E65" s="84">
        <f>MRS!H65</f>
        <v>1</v>
      </c>
      <c r="F65" s="85">
        <f>MRS!I65</f>
        <v>25</v>
      </c>
      <c r="G65" s="85">
        <f>MRS!J65</f>
        <v>25</v>
      </c>
      <c r="H65" s="89"/>
    </row>
    <row r="66" spans="1:8" s="52" customFormat="1" ht="32.1" customHeight="1">
      <c r="A66" s="82">
        <f t="shared" si="0"/>
        <v>61</v>
      </c>
      <c r="B66" s="170" t="str">
        <f>MRS!B66&amp;" "&amp;MRS!D66</f>
        <v xml:space="preserve">Hex Nut M6 X 1.0 - Lh, Din 934 / Iso 4032, A2-70 (Sus304)  </v>
      </c>
      <c r="C66" s="171"/>
      <c r="D66" s="83" t="str">
        <f>MRS!G66</f>
        <v>PCS</v>
      </c>
      <c r="E66" s="84">
        <f>MRS!H66</f>
        <v>200</v>
      </c>
      <c r="F66" s="85">
        <f>MRS!I66</f>
        <v>0.08</v>
      </c>
      <c r="G66" s="85">
        <f>MRS!J66</f>
        <v>16</v>
      </c>
      <c r="H66" s="89"/>
    </row>
    <row r="67" spans="1:8" s="52" customFormat="1" ht="32.1" customHeight="1">
      <c r="A67" s="82">
        <f t="shared" si="0"/>
        <v>62</v>
      </c>
      <c r="B67" s="170" t="str">
        <f>MRS!B67&amp;" "&amp;MRS!D67</f>
        <v xml:space="preserve">Handsaw 18'' Cct </v>
      </c>
      <c r="C67" s="171"/>
      <c r="D67" s="83" t="str">
        <f>MRS!G67</f>
        <v>PCS</v>
      </c>
      <c r="E67" s="84">
        <f>MRS!H67</f>
        <v>10</v>
      </c>
      <c r="F67" s="85">
        <f>MRS!I67</f>
        <v>18</v>
      </c>
      <c r="G67" s="85">
        <f>MRS!J67</f>
        <v>180</v>
      </c>
      <c r="H67" s="89"/>
    </row>
    <row r="68" spans="1:8" s="52" customFormat="1" ht="32.1" customHeight="1">
      <c r="A68" s="82">
        <f t="shared" si="0"/>
        <v>63</v>
      </c>
      <c r="B68" s="170" t="str">
        <f>MRS!B68&amp;" "&amp;MRS!D68</f>
        <v xml:space="preserve">Helmet-Mounted Ear Muff  3M  </v>
      </c>
      <c r="C68" s="171"/>
      <c r="D68" s="83" t="str">
        <f>MRS!G68</f>
        <v>Ea</v>
      </c>
      <c r="E68" s="84">
        <f>MRS!H68</f>
        <v>50</v>
      </c>
      <c r="F68" s="85">
        <f>MRS!I68</f>
        <v>75</v>
      </c>
      <c r="G68" s="85">
        <f>MRS!J68</f>
        <v>3750</v>
      </c>
      <c r="H68" s="89"/>
    </row>
    <row r="69" spans="1:8" s="52" customFormat="1" ht="32.1" customHeight="1">
      <c r="A69" s="82">
        <f t="shared" si="0"/>
        <v>64</v>
      </c>
      <c r="B69" s="170" t="str">
        <f>MRS!B69&amp;" "&amp;MRS!D69</f>
        <v xml:space="preserve">Scaffolding Canvas Bucket Capacity 40Kg ( Brand : Kaspro )  </v>
      </c>
      <c r="C69" s="171"/>
      <c r="D69" s="83" t="str">
        <f>MRS!G69</f>
        <v>Ea</v>
      </c>
      <c r="E69" s="84">
        <f>MRS!H69</f>
        <v>10</v>
      </c>
      <c r="F69" s="85">
        <f>MRS!I69</f>
        <v>155</v>
      </c>
      <c r="G69" s="85">
        <f>MRS!J69</f>
        <v>1550</v>
      </c>
      <c r="H69" s="89"/>
    </row>
    <row r="70" spans="1:8" s="52" customFormat="1" ht="32.1" customHeight="1">
      <c r="A70" s="82">
        <f t="shared" ref="A70:A117" si="1">ROW(A65)</f>
        <v>65</v>
      </c>
      <c r="B70" s="170" t="str">
        <f>MRS!B70&amp;" "&amp;MRS!D70</f>
        <v xml:space="preserve">Combination Spanner Size : 22Mm ( Brand : Roto )  </v>
      </c>
      <c r="C70" s="171"/>
      <c r="D70" s="83" t="str">
        <f>MRS!G70</f>
        <v>Ea</v>
      </c>
      <c r="E70" s="84">
        <f>MRS!H70</f>
        <v>10</v>
      </c>
      <c r="F70" s="85">
        <f>MRS!I70</f>
        <v>16</v>
      </c>
      <c r="G70" s="85">
        <f>MRS!J70</f>
        <v>160</v>
      </c>
      <c r="H70" s="89"/>
    </row>
    <row r="71" spans="1:8" s="52" customFormat="1" ht="32.1" customHeight="1">
      <c r="A71" s="82">
        <f t="shared" si="1"/>
        <v>66</v>
      </c>
      <c r="B71" s="170" t="str">
        <f>MRS!B71&amp;" "&amp;MRS!D71</f>
        <v xml:space="preserve">Combination Spanner Size : 32Mm ( Brand : Roto )  </v>
      </c>
      <c r="C71" s="171"/>
      <c r="D71" s="83" t="str">
        <f>MRS!G71</f>
        <v>Ea</v>
      </c>
      <c r="E71" s="84">
        <f>MRS!H71</f>
        <v>10</v>
      </c>
      <c r="F71" s="85">
        <f>MRS!I71</f>
        <v>30</v>
      </c>
      <c r="G71" s="85">
        <f>MRS!J71</f>
        <v>300</v>
      </c>
      <c r="H71" s="89"/>
    </row>
    <row r="72" spans="1:8" s="52" customFormat="1" ht="32.1" customHeight="1">
      <c r="A72" s="82">
        <f t="shared" si="1"/>
        <v>67</v>
      </c>
      <c r="B72" s="170" t="str">
        <f>MRS!B72&amp;" "&amp;MRS!D72</f>
        <v xml:space="preserve">Combination Spanner Size : 36Mm ( Brand : Roto ) </v>
      </c>
      <c r="C72" s="171"/>
      <c r="D72" s="83" t="str">
        <f>MRS!G72</f>
        <v>Ea</v>
      </c>
      <c r="E72" s="84">
        <f>MRS!H72</f>
        <v>10</v>
      </c>
      <c r="F72" s="85">
        <f>MRS!I72</f>
        <v>40</v>
      </c>
      <c r="G72" s="85">
        <f>MRS!J72</f>
        <v>400</v>
      </c>
      <c r="H72" s="89"/>
    </row>
    <row r="73" spans="1:8" s="52" customFormat="1" ht="32.1" customHeight="1">
      <c r="A73" s="82">
        <f t="shared" si="1"/>
        <v>68</v>
      </c>
      <c r="B73" s="170" t="str">
        <f>MRS!B73&amp;" "&amp;MRS!D73</f>
        <v xml:space="preserve">Circular Saw Blade - 9" ( Brand : Clarke )  </v>
      </c>
      <c r="C73" s="171"/>
      <c r="D73" s="83" t="str">
        <f>MRS!G73</f>
        <v>Ea</v>
      </c>
      <c r="E73" s="84">
        <f>MRS!H73</f>
        <v>5</v>
      </c>
      <c r="F73" s="85">
        <f>MRS!I73</f>
        <v>34</v>
      </c>
      <c r="G73" s="85">
        <f>MRS!J73</f>
        <v>170</v>
      </c>
      <c r="H73" s="89"/>
    </row>
    <row r="74" spans="1:8" s="52" customFormat="1" ht="32.1" customHeight="1">
      <c r="A74" s="82">
        <f t="shared" si="1"/>
        <v>69</v>
      </c>
      <c r="B74" s="170" t="str">
        <f>MRS!B74&amp;" "&amp;MRS!D74</f>
        <v xml:space="preserve">Sata. Adjustable Wrench 12''\ Ench </v>
      </c>
      <c r="C74" s="171"/>
      <c r="D74" s="83" t="str">
        <f>MRS!G74</f>
        <v>PCS</v>
      </c>
      <c r="E74" s="84">
        <f>MRS!H74</f>
        <v>2</v>
      </c>
      <c r="F74" s="85">
        <f>MRS!I74</f>
        <v>42</v>
      </c>
      <c r="G74" s="85">
        <f>MRS!J74</f>
        <v>84</v>
      </c>
      <c r="H74" s="89"/>
    </row>
    <row r="75" spans="1:8" s="52" customFormat="1" ht="32.1" customHeight="1">
      <c r="A75" s="82">
        <f t="shared" si="1"/>
        <v>70</v>
      </c>
      <c r="B75" s="170" t="str">
        <f>MRS!B75&amp;" "&amp;MRS!D75</f>
        <v xml:space="preserve">Combination Spanner 17Mm Roto-Germany </v>
      </c>
      <c r="C75" s="171"/>
      <c r="D75" s="83" t="str">
        <f>MRS!G75</f>
        <v>PCS</v>
      </c>
      <c r="E75" s="84">
        <f>MRS!H75</f>
        <v>2</v>
      </c>
      <c r="F75" s="85">
        <f>MRS!I75</f>
        <v>12</v>
      </c>
      <c r="G75" s="85">
        <f>MRS!J75</f>
        <v>24</v>
      </c>
      <c r="H75" s="89"/>
    </row>
    <row r="76" spans="1:8" s="52" customFormat="1" ht="32.1" customHeight="1">
      <c r="A76" s="82">
        <f t="shared" si="1"/>
        <v>71</v>
      </c>
      <c r="B76" s="170" t="str">
        <f>MRS!B76&amp;" "&amp;MRS!D76</f>
        <v xml:space="preserve">Combination Spanner 20Mm Roto-Germany </v>
      </c>
      <c r="C76" s="171"/>
      <c r="D76" s="83" t="str">
        <f>MRS!G76</f>
        <v>PCS</v>
      </c>
      <c r="E76" s="84">
        <f>MRS!H76</f>
        <v>2</v>
      </c>
      <c r="F76" s="85">
        <f>MRS!I76</f>
        <v>16</v>
      </c>
      <c r="G76" s="85">
        <f>MRS!J76</f>
        <v>32</v>
      </c>
      <c r="H76" s="89"/>
    </row>
    <row r="77" spans="1:8" s="52" customFormat="1" ht="32.1" customHeight="1">
      <c r="A77" s="82">
        <f t="shared" si="1"/>
        <v>72</v>
      </c>
      <c r="B77" s="170" t="str">
        <f>MRS!B77&amp;" "&amp;MRS!D77</f>
        <v xml:space="preserve">Sata. Linesman Pliers 8'' Ench </v>
      </c>
      <c r="C77" s="171"/>
      <c r="D77" s="83" t="str">
        <f>MRS!G77</f>
        <v>PCS</v>
      </c>
      <c r="E77" s="84">
        <f>MRS!H77</f>
        <v>2</v>
      </c>
      <c r="F77" s="85">
        <f>MRS!I77</f>
        <v>33</v>
      </c>
      <c r="G77" s="85">
        <f>MRS!J77</f>
        <v>66</v>
      </c>
      <c r="H77" s="89"/>
    </row>
    <row r="78" spans="1:8" s="52" customFormat="1" ht="32.1" customHeight="1">
      <c r="A78" s="82">
        <f t="shared" si="1"/>
        <v>73</v>
      </c>
      <c r="B78" s="170" t="str">
        <f>MRS!B78&amp;" "&amp;MRS!D78</f>
        <v xml:space="preserve">Sata. 9 Pcs Metric Long Hex Key Set 105-10Mm, </v>
      </c>
      <c r="C78" s="171"/>
      <c r="D78" s="83" t="str">
        <f>MRS!G78</f>
        <v>PCS</v>
      </c>
      <c r="E78" s="84">
        <f>MRS!H78</f>
        <v>2</v>
      </c>
      <c r="F78" s="85">
        <f>MRS!I78</f>
        <v>29</v>
      </c>
      <c r="G78" s="85">
        <f>MRS!J78</f>
        <v>58</v>
      </c>
      <c r="H78" s="89"/>
    </row>
    <row r="79" spans="1:8" s="52" customFormat="1" ht="32.1" customHeight="1">
      <c r="A79" s="82">
        <f t="shared" si="1"/>
        <v>74</v>
      </c>
      <c r="B79" s="170" t="str">
        <f>MRS!B79&amp;" "&amp;MRS!D79</f>
        <v xml:space="preserve">Measurment Tape - 5Mtr ( Brand : Clarke )  </v>
      </c>
      <c r="C79" s="171"/>
      <c r="D79" s="83" t="str">
        <f>MRS!G79</f>
        <v>Ea</v>
      </c>
      <c r="E79" s="84">
        <f>MRS!H79</f>
        <v>69</v>
      </c>
      <c r="F79" s="85">
        <f>MRS!I79</f>
        <v>8</v>
      </c>
      <c r="G79" s="85">
        <f>MRS!J79</f>
        <v>552</v>
      </c>
      <c r="H79" s="89"/>
    </row>
    <row r="80" spans="1:8" s="52" customFormat="1" ht="32.1" customHeight="1">
      <c r="A80" s="82">
        <f t="shared" si="1"/>
        <v>75</v>
      </c>
      <c r="B80" s="170" t="str">
        <f>MRS!B80&amp;" "&amp;MRS!D80</f>
        <v xml:space="preserve">Cs Hacksaw Blade  ( Brand : Clarke )  </v>
      </c>
      <c r="C80" s="171"/>
      <c r="D80" s="83" t="str">
        <f>MRS!G80</f>
        <v>Ea</v>
      </c>
      <c r="E80" s="84">
        <f>MRS!H80</f>
        <v>300</v>
      </c>
      <c r="F80" s="85">
        <f>MRS!I80</f>
        <v>2.5</v>
      </c>
      <c r="G80" s="85">
        <f>MRS!J80</f>
        <v>750</v>
      </c>
      <c r="H80" s="89"/>
    </row>
    <row r="81" spans="1:8" s="52" customFormat="1" ht="32.1" customHeight="1">
      <c r="A81" s="82">
        <f t="shared" si="1"/>
        <v>76</v>
      </c>
      <c r="B81" s="170" t="str">
        <f>MRS!B81&amp;" "&amp;MRS!D81</f>
        <v xml:space="preserve">Magnetic Sprit Level - 230Mm  ( Brand : Clarke )  </v>
      </c>
      <c r="C81" s="171"/>
      <c r="D81" s="83" t="str">
        <f>MRS!G81</f>
        <v>Ea</v>
      </c>
      <c r="E81" s="84">
        <f>MRS!H81</f>
        <v>26</v>
      </c>
      <c r="F81" s="85">
        <f>MRS!I81</f>
        <v>25</v>
      </c>
      <c r="G81" s="85">
        <f>MRS!J81</f>
        <v>650</v>
      </c>
      <c r="H81" s="89"/>
    </row>
    <row r="82" spans="1:8" s="52" customFormat="1" ht="32.1" customHeight="1">
      <c r="A82" s="82">
        <f t="shared" si="1"/>
        <v>77</v>
      </c>
      <c r="B82" s="170" t="str">
        <f>MRS!B82&amp;" "&amp;MRS!D82</f>
        <v xml:space="preserve">Scaffolding Canvas Bucket - 30 Kg  ( Brand : Kaspro )  </v>
      </c>
      <c r="C82" s="171"/>
      <c r="D82" s="83" t="str">
        <f>MRS!G82</f>
        <v>Ea</v>
      </c>
      <c r="E82" s="84">
        <f>MRS!H82</f>
        <v>3</v>
      </c>
      <c r="F82" s="85">
        <f>MRS!I82</f>
        <v>85</v>
      </c>
      <c r="G82" s="85">
        <f>MRS!J82</f>
        <v>255</v>
      </c>
      <c r="H82" s="89"/>
    </row>
    <row r="83" spans="1:8" s="52" customFormat="1" ht="32.1" customHeight="1">
      <c r="A83" s="82">
        <f t="shared" si="1"/>
        <v>78</v>
      </c>
      <c r="B83" s="170" t="str">
        <f>MRS!B83&amp;" "&amp;MRS!D83</f>
        <v xml:space="preserve">Scaffolding Sprit Level  - 10"  ( Brand : Kaspro )  </v>
      </c>
      <c r="C83" s="171"/>
      <c r="D83" s="83" t="str">
        <f>MRS!G83</f>
        <v>Ea</v>
      </c>
      <c r="E83" s="84">
        <f>MRS!H83</f>
        <v>30</v>
      </c>
      <c r="F83" s="85">
        <f>MRS!I83</f>
        <v>32</v>
      </c>
      <c r="G83" s="85">
        <f>MRS!J83</f>
        <v>960</v>
      </c>
      <c r="H83" s="89"/>
    </row>
    <row r="84" spans="1:8" s="52" customFormat="1" ht="32.1" customHeight="1">
      <c r="A84" s="82">
        <f t="shared" si="1"/>
        <v>79</v>
      </c>
      <c r="B84" s="170" t="str">
        <f>MRS!B84&amp;" "&amp;MRS!D84</f>
        <v xml:space="preserve">Respirator Mask 6200  </v>
      </c>
      <c r="C84" s="171"/>
      <c r="D84" s="83" t="str">
        <f>MRS!G84</f>
        <v>Ea</v>
      </c>
      <c r="E84" s="84">
        <f>MRS!H84</f>
        <v>80</v>
      </c>
      <c r="F84" s="85">
        <f>MRS!I84</f>
        <v>48</v>
      </c>
      <c r="G84" s="85">
        <f>MRS!J84</f>
        <v>3840</v>
      </c>
      <c r="H84" s="89"/>
    </row>
    <row r="85" spans="1:8" s="52" customFormat="1" ht="32.1" customHeight="1">
      <c r="A85" s="82">
        <f t="shared" si="1"/>
        <v>80</v>
      </c>
      <c r="B85" s="170" t="str">
        <f>MRS!B85&amp;" "&amp;MRS!D85</f>
        <v xml:space="preserve">Rubber Hand Gloves  </v>
      </c>
      <c r="C85" s="171"/>
      <c r="D85" s="83" t="str">
        <f>MRS!G85</f>
        <v>PAIR</v>
      </c>
      <c r="E85" s="84">
        <f>MRS!H85</f>
        <v>80</v>
      </c>
      <c r="F85" s="85">
        <f>MRS!I85</f>
        <v>4</v>
      </c>
      <c r="G85" s="85">
        <f>MRS!J85</f>
        <v>320</v>
      </c>
      <c r="H85" s="89"/>
    </row>
    <row r="86" spans="1:8" s="52" customFormat="1" ht="32.1" customHeight="1">
      <c r="A86" s="82">
        <f t="shared" si="1"/>
        <v>81</v>
      </c>
      <c r="B86" s="170" t="str">
        <f>MRS!B86&amp;" "&amp;MRS!D86</f>
        <v xml:space="preserve">Mega Speaker Battery 1.5V Lr14  </v>
      </c>
      <c r="C86" s="171"/>
      <c r="D86" s="83" t="str">
        <f>MRS!G86</f>
        <v>Ea</v>
      </c>
      <c r="E86" s="84">
        <f>MRS!H86</f>
        <v>60</v>
      </c>
      <c r="F86" s="85">
        <f>MRS!I86</f>
        <v>3.5</v>
      </c>
      <c r="G86" s="85">
        <f>MRS!J86</f>
        <v>210</v>
      </c>
      <c r="H86" s="89"/>
    </row>
    <row r="87" spans="1:8" s="52" customFormat="1" ht="32.1" customHeight="1">
      <c r="A87" s="82">
        <f t="shared" si="1"/>
        <v>82</v>
      </c>
      <c r="B87" s="170" t="str">
        <f>MRS!B87&amp;" "&amp;MRS!D87</f>
        <v xml:space="preserve">Bench Vice Cast Steel 8" </v>
      </c>
      <c r="C87" s="171"/>
      <c r="D87" s="83" t="str">
        <f>MRS!G87</f>
        <v>Ea</v>
      </c>
      <c r="E87" s="84">
        <f>MRS!H87</f>
        <v>6</v>
      </c>
      <c r="F87" s="85">
        <f>MRS!I87</f>
        <v>420</v>
      </c>
      <c r="G87" s="85">
        <f>MRS!J87</f>
        <v>2520</v>
      </c>
      <c r="H87" s="89"/>
    </row>
    <row r="88" spans="1:8" s="52" customFormat="1" ht="32.1" customHeight="1">
      <c r="A88" s="82">
        <f t="shared" si="1"/>
        <v>83</v>
      </c>
      <c r="B88" s="170" t="str">
        <f>MRS!B88&amp;" "&amp;MRS!D88</f>
        <v xml:space="preserve">Adjustable Base Jack </v>
      </c>
      <c r="C88" s="171"/>
      <c r="D88" s="83" t="str">
        <f>MRS!G88</f>
        <v>PCS</v>
      </c>
      <c r="E88" s="84">
        <f>MRS!H88</f>
        <v>50</v>
      </c>
      <c r="F88" s="85">
        <f>MRS!I88</f>
        <v>23</v>
      </c>
      <c r="G88" s="85">
        <f>MRS!J88</f>
        <v>1150</v>
      </c>
      <c r="H88" s="89"/>
    </row>
    <row r="89" spans="1:8" s="52" customFormat="1" ht="32.1" customHeight="1">
      <c r="A89" s="82">
        <f t="shared" si="1"/>
        <v>84</v>
      </c>
      <c r="B89" s="170" t="str">
        <f>MRS!B89&amp;" "&amp;MRS!D89</f>
        <v xml:space="preserve">Cable Tie
4.8 X 300 Giffex Brand 
(100Pc/Pkt)  </v>
      </c>
      <c r="C89" s="171"/>
      <c r="D89" s="83" t="str">
        <f>MRS!G89</f>
        <v>PKT</v>
      </c>
      <c r="E89" s="84">
        <f>MRS!H89</f>
        <v>50</v>
      </c>
      <c r="F89" s="85">
        <f>MRS!I89</f>
        <v>13</v>
      </c>
      <c r="G89" s="85">
        <f>MRS!J89</f>
        <v>650</v>
      </c>
      <c r="H89" s="89"/>
    </row>
    <row r="90" spans="1:8" s="52" customFormat="1" ht="32.1" customHeight="1">
      <c r="A90" s="82">
        <f t="shared" si="1"/>
        <v>85</v>
      </c>
      <c r="B90" s="170" t="str">
        <f>MRS!B90&amp;" "&amp;MRS!D90</f>
        <v xml:space="preserve">Scaffolding Caster Wheel
100Mm Non Moving   </v>
      </c>
      <c r="C90" s="171"/>
      <c r="D90" s="83" t="str">
        <f>MRS!G90</f>
        <v>PCS</v>
      </c>
      <c r="E90" s="84">
        <f>MRS!H90</f>
        <v>10</v>
      </c>
      <c r="F90" s="85">
        <f>MRS!I90</f>
        <v>40</v>
      </c>
      <c r="G90" s="85">
        <f>MRS!J90</f>
        <v>400</v>
      </c>
      <c r="H90" s="89"/>
    </row>
    <row r="91" spans="1:8" s="52" customFormat="1" ht="32.1" customHeight="1">
      <c r="A91" s="82">
        <f t="shared" si="1"/>
        <v>86</v>
      </c>
      <c r="B91" s="170" t="str">
        <f>MRS!B91&amp;" "&amp;MRS!D91</f>
        <v xml:space="preserve">Scaffolding Caster Wheel
100Mm Moving  </v>
      </c>
      <c r="C91" s="171"/>
      <c r="D91" s="83" t="str">
        <f>MRS!G91</f>
        <v>PCS</v>
      </c>
      <c r="E91" s="84">
        <f>MRS!H91</f>
        <v>10</v>
      </c>
      <c r="F91" s="85">
        <f>MRS!I91</f>
        <v>45</v>
      </c>
      <c r="G91" s="85">
        <f>MRS!J91</f>
        <v>450</v>
      </c>
      <c r="H91" s="89"/>
    </row>
    <row r="92" spans="1:8" s="52" customFormat="1" ht="32.1" customHeight="1">
      <c r="A92" s="82">
        <f t="shared" si="1"/>
        <v>87</v>
      </c>
      <c r="B92" s="170" t="str">
        <f>MRS!B92&amp;" "&amp;MRS!D92</f>
        <v xml:space="preserve">6 Pcs Mini Needle File Set Roto </v>
      </c>
      <c r="C92" s="171"/>
      <c r="D92" s="83" t="str">
        <f>MRS!G92</f>
        <v>Set</v>
      </c>
      <c r="E92" s="84">
        <f>MRS!H92</f>
        <v>2</v>
      </c>
      <c r="F92" s="85">
        <f>MRS!I92</f>
        <v>22</v>
      </c>
      <c r="G92" s="85">
        <f>MRS!J92</f>
        <v>44</v>
      </c>
      <c r="H92" s="89"/>
    </row>
    <row r="93" spans="1:8" s="52" customFormat="1" ht="32.1" customHeight="1">
      <c r="A93" s="82">
        <f t="shared" si="1"/>
        <v>88</v>
      </c>
      <c r="B93" s="170" t="str">
        <f>MRS!B93&amp;" "&amp;MRS!D93</f>
        <v xml:space="preserve">Sata. 7 Pcs T-Series Vde Insulated Screwdriver Set
  </v>
      </c>
      <c r="C93" s="171"/>
      <c r="D93" s="83" t="str">
        <f>MRS!G93</f>
        <v>Set</v>
      </c>
      <c r="E93" s="84">
        <f>MRS!H93</f>
        <v>2</v>
      </c>
      <c r="F93" s="85">
        <f>MRS!I93</f>
        <v>85</v>
      </c>
      <c r="G93" s="85">
        <f>MRS!J93</f>
        <v>170</v>
      </c>
      <c r="H93" s="89"/>
    </row>
    <row r="94" spans="1:8" s="52" customFormat="1" ht="32.1" customHeight="1">
      <c r="A94" s="82">
        <f t="shared" si="1"/>
        <v>89</v>
      </c>
      <c r="B94" s="170" t="str">
        <f>MRS!B94&amp;" "&amp;MRS!D94</f>
        <v xml:space="preserve">Toe Foot Guard </v>
      </c>
      <c r="C94" s="171"/>
      <c r="D94" s="83" t="str">
        <f>MRS!G94</f>
        <v>PAIR</v>
      </c>
      <c r="E94" s="84">
        <f>MRS!H94</f>
        <v>6</v>
      </c>
      <c r="F94" s="85">
        <f>MRS!I94</f>
        <v>240</v>
      </c>
      <c r="G94" s="85">
        <f>MRS!J94</f>
        <v>1440</v>
      </c>
      <c r="H94" s="89"/>
    </row>
    <row r="95" spans="1:8" s="52" customFormat="1" ht="32.1" customHeight="1">
      <c r="A95" s="82">
        <f t="shared" si="1"/>
        <v>90</v>
      </c>
      <c r="B95" s="170" t="str">
        <f>MRS!B95&amp;" "&amp;MRS!D95</f>
        <v xml:space="preserve">Diagonal Cutting Plier 6" Cr-V </v>
      </c>
      <c r="C95" s="171"/>
      <c r="D95" s="83" t="str">
        <f>MRS!G95</f>
        <v>Set</v>
      </c>
      <c r="E95" s="84">
        <f>MRS!H95</f>
        <v>4</v>
      </c>
      <c r="F95" s="85">
        <f>MRS!I95</f>
        <v>19</v>
      </c>
      <c r="G95" s="85">
        <f>MRS!J95</f>
        <v>76</v>
      </c>
      <c r="H95" s="89"/>
    </row>
    <row r="96" spans="1:8" s="52" customFormat="1" ht="32.1" customHeight="1">
      <c r="A96" s="82">
        <f t="shared" si="1"/>
        <v>91</v>
      </c>
      <c r="B96" s="170" t="str">
        <f>MRS!B96&amp;" "&amp;MRS!D96</f>
        <v xml:space="preserve">Sata. 9 Pcs Metric Long Hex Key Set 105-10Mm, </v>
      </c>
      <c r="C96" s="171"/>
      <c r="D96" s="83" t="str">
        <f>MRS!G96</f>
        <v>Set</v>
      </c>
      <c r="E96" s="84">
        <f>MRS!H96</f>
        <v>1</v>
      </c>
      <c r="F96" s="85">
        <f>MRS!I96</f>
        <v>29</v>
      </c>
      <c r="G96" s="85">
        <f>MRS!J96</f>
        <v>29</v>
      </c>
      <c r="H96" s="89"/>
    </row>
    <row r="97" spans="1:8" s="52" customFormat="1" ht="32.1" customHeight="1">
      <c r="A97" s="82">
        <f t="shared" si="1"/>
        <v>92</v>
      </c>
      <c r="B97" s="170" t="str">
        <f>MRS!B97&amp;" "&amp;MRS!D97</f>
        <v xml:space="preserve">Sata. Heavy Duty Pipe Wrinch 12'' Ench
  </v>
      </c>
      <c r="C97" s="171"/>
      <c r="D97" s="83" t="str">
        <f>MRS!G97</f>
        <v>PCS</v>
      </c>
      <c r="E97" s="84">
        <f>MRS!H97</f>
        <v>1</v>
      </c>
      <c r="F97" s="85">
        <f>MRS!I97</f>
        <v>44</v>
      </c>
      <c r="G97" s="85">
        <f>MRS!J97</f>
        <v>44</v>
      </c>
      <c r="H97" s="89"/>
    </row>
    <row r="98" spans="1:8" s="52" customFormat="1" ht="32.1" customHeight="1">
      <c r="A98" s="82">
        <f t="shared" si="1"/>
        <v>93</v>
      </c>
      <c r="B98" s="170" t="str">
        <f>MRS!B98&amp;" "&amp;MRS!D98</f>
        <v xml:space="preserve">Sata. Diagonal Pliers 7'' Ench
  </v>
      </c>
      <c r="C98" s="171"/>
      <c r="D98" s="83" t="str">
        <f>MRS!G98</f>
        <v>PCS</v>
      </c>
      <c r="E98" s="84">
        <f>MRS!H98</f>
        <v>2</v>
      </c>
      <c r="F98" s="85">
        <f>MRS!I98</f>
        <v>38</v>
      </c>
      <c r="G98" s="85">
        <f>MRS!J98</f>
        <v>76</v>
      </c>
      <c r="H98" s="89"/>
    </row>
    <row r="99" spans="1:8" s="52" customFormat="1" ht="32.1" customHeight="1">
      <c r="A99" s="82">
        <f t="shared" si="1"/>
        <v>94</v>
      </c>
      <c r="B99" s="170" t="str">
        <f>MRS!B99&amp;" "&amp;MRS!D99</f>
        <v xml:space="preserve">Allen Key Set Hex Types Size : 1Mm - 10Mm (Brand : Roto )
  </v>
      </c>
      <c r="C99" s="171"/>
      <c r="D99" s="83" t="str">
        <f>MRS!G99</f>
        <v>Set</v>
      </c>
      <c r="E99" s="84">
        <f>MRS!H99</f>
        <v>1</v>
      </c>
      <c r="F99" s="85">
        <f>MRS!I99</f>
        <v>16</v>
      </c>
      <c r="G99" s="85">
        <f>MRS!J99</f>
        <v>16</v>
      </c>
      <c r="H99" s="89"/>
    </row>
    <row r="100" spans="1:8" s="52" customFormat="1" ht="32.1" customHeight="1">
      <c r="A100" s="82">
        <f t="shared" si="1"/>
        <v>95</v>
      </c>
      <c r="B100" s="170" t="str">
        <f>MRS!B100&amp;" "&amp;MRS!D100</f>
        <v xml:space="preserve">Screw Driver Star 12" </v>
      </c>
      <c r="C100" s="171"/>
      <c r="D100" s="83" t="str">
        <f>MRS!G100</f>
        <v>PCS</v>
      </c>
      <c r="E100" s="84">
        <f>MRS!H100</f>
        <v>6</v>
      </c>
      <c r="F100" s="85">
        <f>MRS!I100</f>
        <v>10</v>
      </c>
      <c r="G100" s="85">
        <f>MRS!J100</f>
        <v>60</v>
      </c>
      <c r="H100" s="89"/>
    </row>
    <row r="101" spans="1:8" s="52" customFormat="1" ht="32.1" customHeight="1">
      <c r="A101" s="82">
        <f t="shared" si="1"/>
        <v>96</v>
      </c>
      <c r="B101" s="170" t="str">
        <f>MRS!B101&amp;" "&amp;MRS!D101</f>
        <v xml:space="preserve">Adjustable Wrench - 300Mm ( Brand Dewesser Germany ) </v>
      </c>
      <c r="C101" s="171"/>
      <c r="D101" s="83" t="str">
        <f>MRS!G101</f>
        <v>PCS</v>
      </c>
      <c r="E101" s="84">
        <f>MRS!H101</f>
        <v>6</v>
      </c>
      <c r="F101" s="85">
        <f>MRS!I101</f>
        <v>30</v>
      </c>
      <c r="G101" s="85">
        <f>MRS!J101</f>
        <v>180</v>
      </c>
      <c r="H101" s="89"/>
    </row>
    <row r="102" spans="1:8" s="52" customFormat="1" ht="32.1" customHeight="1">
      <c r="A102" s="82">
        <f t="shared" si="1"/>
        <v>97</v>
      </c>
      <c r="B102" s="170" t="str">
        <f>MRS!B102&amp;" "&amp;MRS!D102</f>
        <v xml:space="preserve">Cs Right Angle - 600Mm Kaspro Brand   </v>
      </c>
      <c r="C102" s="171"/>
      <c r="D102" s="83" t="str">
        <f>MRS!G102</f>
        <v>PCS</v>
      </c>
      <c r="E102" s="84">
        <f>MRS!H102</f>
        <v>6</v>
      </c>
      <c r="F102" s="85">
        <f>MRS!I102</f>
        <v>48</v>
      </c>
      <c r="G102" s="85">
        <f>MRS!J102</f>
        <v>288</v>
      </c>
      <c r="H102" s="89"/>
    </row>
    <row r="103" spans="1:8" s="52" customFormat="1" ht="32.1" customHeight="1">
      <c r="A103" s="82">
        <f t="shared" si="1"/>
        <v>98</v>
      </c>
      <c r="B103" s="170" t="str">
        <f>MRS!B103&amp;" "&amp;MRS!D103</f>
        <v xml:space="preserve">Cs Right Angle - 300Mm Kaspro Brand   </v>
      </c>
      <c r="C103" s="171"/>
      <c r="D103" s="83" t="str">
        <f>MRS!G103</f>
        <v>PCS</v>
      </c>
      <c r="E103" s="84">
        <f>MRS!H103</f>
        <v>6</v>
      </c>
      <c r="F103" s="85">
        <f>MRS!I103</f>
        <v>28</v>
      </c>
      <c r="G103" s="85">
        <f>MRS!J103</f>
        <v>168</v>
      </c>
      <c r="H103" s="89"/>
    </row>
    <row r="104" spans="1:8" s="52" customFormat="1" ht="32.1" customHeight="1">
      <c r="A104" s="82">
        <f t="shared" si="1"/>
        <v>99</v>
      </c>
      <c r="B104" s="170" t="str">
        <f>MRS!B104&amp;" "&amp;MRS!D104</f>
        <v xml:space="preserve">Mesuring Tape
8 Mtr Clarke Brand  </v>
      </c>
      <c r="C104" s="171"/>
      <c r="D104" s="83" t="str">
        <f>MRS!G104</f>
        <v>PCS</v>
      </c>
      <c r="E104" s="84">
        <f>MRS!H104</f>
        <v>10</v>
      </c>
      <c r="F104" s="85">
        <f>MRS!I104</f>
        <v>15</v>
      </c>
      <c r="G104" s="85">
        <f>MRS!J104</f>
        <v>150</v>
      </c>
      <c r="H104" s="89"/>
    </row>
    <row r="105" spans="1:8" s="52" customFormat="1" ht="32.1" customHeight="1">
      <c r="A105" s="82">
        <f t="shared" si="1"/>
        <v>100</v>
      </c>
      <c r="B105" s="170" t="str">
        <f>MRS!B105&amp;" "&amp;MRS!D105</f>
        <v xml:space="preserve">Spirit Level 1Mtr
Clarke Barnd  </v>
      </c>
      <c r="C105" s="171"/>
      <c r="D105" s="83" t="str">
        <f>MRS!G105</f>
        <v>PCS</v>
      </c>
      <c r="E105" s="84">
        <f>MRS!H105</f>
        <v>6</v>
      </c>
      <c r="F105" s="85">
        <f>MRS!I105</f>
        <v>55</v>
      </c>
      <c r="G105" s="85">
        <f>MRS!J105</f>
        <v>330</v>
      </c>
      <c r="H105" s="89"/>
    </row>
    <row r="106" spans="1:8" s="52" customFormat="1" ht="32.1" customHeight="1">
      <c r="A106" s="82">
        <f t="shared" si="1"/>
        <v>101</v>
      </c>
      <c r="B106" s="170" t="str">
        <f>MRS!B106&amp;" "&amp;MRS!D106</f>
        <v xml:space="preserve">Ventilation Fan Pvc Flexible Duct Hose 12"X5Mtr Roto </v>
      </c>
      <c r="C106" s="171"/>
      <c r="D106" s="83" t="str">
        <f>MRS!G106</f>
        <v>PCS</v>
      </c>
      <c r="E106" s="84">
        <f>MRS!H106</f>
        <v>6</v>
      </c>
      <c r="F106" s="85">
        <f>MRS!I106</f>
        <v>360</v>
      </c>
      <c r="G106" s="85">
        <f>MRS!J106</f>
        <v>2160</v>
      </c>
      <c r="H106" s="89"/>
    </row>
    <row r="107" spans="1:8" s="52" customFormat="1" ht="32.1" customHeight="1">
      <c r="A107" s="82">
        <f t="shared" si="1"/>
        <v>102</v>
      </c>
      <c r="B107" s="170" t="str">
        <f>MRS!B107&amp;" "&amp;MRS!D107</f>
        <v xml:space="preserve">Ventilation Fan 12" 550 Roto </v>
      </c>
      <c r="C107" s="171"/>
      <c r="D107" s="83" t="str">
        <f>MRS!G107</f>
        <v>PCS</v>
      </c>
      <c r="E107" s="84">
        <f>MRS!H107</f>
        <v>6</v>
      </c>
      <c r="F107" s="85">
        <f>MRS!I107</f>
        <v>165</v>
      </c>
      <c r="G107" s="85">
        <f>MRS!J107</f>
        <v>990</v>
      </c>
      <c r="H107" s="89"/>
    </row>
    <row r="108" spans="1:8" s="52" customFormat="1" ht="32.1" customHeight="1">
      <c r="A108" s="82">
        <f t="shared" si="1"/>
        <v>103</v>
      </c>
      <c r="B108" s="170" t="str">
        <f>MRS!B108&amp;" "&amp;MRS!D108</f>
        <v xml:space="preserve">Aviation Snips - Straight </v>
      </c>
      <c r="C108" s="171"/>
      <c r="D108" s="83" t="str">
        <f>MRS!G108</f>
        <v>Set</v>
      </c>
      <c r="E108" s="84">
        <f>MRS!H108</f>
        <v>3</v>
      </c>
      <c r="F108" s="85">
        <f>MRS!I108</f>
        <v>14</v>
      </c>
      <c r="G108" s="85">
        <f>MRS!J108</f>
        <v>42</v>
      </c>
      <c r="H108" s="89"/>
    </row>
    <row r="109" spans="1:8" s="52" customFormat="1" ht="32.1" customHeight="1">
      <c r="A109" s="82">
        <f t="shared" si="1"/>
        <v>104</v>
      </c>
      <c r="B109" s="170" t="str">
        <f>MRS!B109&amp;" "&amp;MRS!D109</f>
        <v xml:space="preserve">Jigsaw Machine Bosch Gst18V50N  </v>
      </c>
      <c r="C109" s="171"/>
      <c r="D109" s="83" t="str">
        <f>MRS!G109</f>
        <v>PCS</v>
      </c>
      <c r="E109" s="84">
        <f>MRS!H109</f>
        <v>1</v>
      </c>
      <c r="F109" s="85">
        <f>MRS!I109</f>
        <v>1885</v>
      </c>
      <c r="G109" s="85">
        <f>MRS!J109</f>
        <v>1885</v>
      </c>
      <c r="H109" s="89"/>
    </row>
    <row r="110" spans="1:8" s="52" customFormat="1" ht="32.1" customHeight="1">
      <c r="A110" s="82">
        <f t="shared" si="1"/>
        <v>105</v>
      </c>
      <c r="B110" s="170" t="str">
        <f>MRS!B110&amp;" "&amp;MRS!D110</f>
        <v xml:space="preserve">Demolition Hammer Sds Max 1500W Gsh 7Vc Bosch </v>
      </c>
      <c r="C110" s="171"/>
      <c r="D110" s="83" t="str">
        <f>MRS!G110</f>
        <v>PCS</v>
      </c>
      <c r="E110" s="84">
        <f>MRS!H110</f>
        <v>1</v>
      </c>
      <c r="F110" s="85">
        <f>MRS!I110</f>
        <v>3525</v>
      </c>
      <c r="G110" s="85">
        <f>MRS!J110</f>
        <v>3525</v>
      </c>
      <c r="H110" s="89"/>
    </row>
    <row r="111" spans="1:8" s="52" customFormat="1" ht="32.1" customHeight="1">
      <c r="A111" s="82">
        <f t="shared" si="1"/>
        <v>106</v>
      </c>
      <c r="B111" s="170" t="str">
        <f>MRS!B111&amp;" "&amp;MRS!D111</f>
        <v xml:space="preserve">Cordless Drill Machine 13Mm 18V #Dcd771 Dewalt </v>
      </c>
      <c r="C111" s="171"/>
      <c r="D111" s="83" t="str">
        <f>MRS!G111</f>
        <v>PCS</v>
      </c>
      <c r="E111" s="84">
        <f>MRS!H111</f>
        <v>2</v>
      </c>
      <c r="F111" s="85">
        <f>MRS!I111</f>
        <v>845</v>
      </c>
      <c r="G111" s="85">
        <f>MRS!J111</f>
        <v>1690</v>
      </c>
      <c r="H111" s="89"/>
    </row>
    <row r="112" spans="1:8" s="52" customFormat="1" ht="32.1" customHeight="1">
      <c r="A112" s="82">
        <f t="shared" si="1"/>
        <v>107</v>
      </c>
      <c r="B112" s="170" t="str">
        <f>MRS!B112&amp;" "&amp;MRS!D112</f>
        <v xml:space="preserve">Oil Pump With Section Pipe 1"X1Mtr  </v>
      </c>
      <c r="C112" s="171"/>
      <c r="D112" s="83" t="str">
        <f>MRS!G112</f>
        <v>PCS</v>
      </c>
      <c r="E112" s="84">
        <f>MRS!H112</f>
        <v>2</v>
      </c>
      <c r="F112" s="85">
        <f>MRS!I112</f>
        <v>98</v>
      </c>
      <c r="G112" s="85">
        <f>MRS!J112</f>
        <v>196</v>
      </c>
      <c r="H112" s="89"/>
    </row>
    <row r="113" spans="1:13" s="52" customFormat="1" ht="32.1" customHeight="1">
      <c r="A113" s="82">
        <f t="shared" si="1"/>
        <v>108</v>
      </c>
      <c r="B113" s="170" t="str">
        <f>MRS!B113&amp;" "&amp;MRS!D113</f>
        <v xml:space="preserve">Hammer Wrench
50Mm (Brand: Roto)  </v>
      </c>
      <c r="C113" s="171"/>
      <c r="D113" s="83" t="str">
        <f>MRS!G113</f>
        <v>PCS</v>
      </c>
      <c r="E113" s="84">
        <f>MRS!H113</f>
        <v>1</v>
      </c>
      <c r="F113" s="85">
        <f>MRS!I113</f>
        <v>91</v>
      </c>
      <c r="G113" s="85">
        <f>MRS!J113</f>
        <v>91</v>
      </c>
      <c r="H113" s="89"/>
    </row>
    <row r="114" spans="1:13" s="52" customFormat="1" ht="32.1" customHeight="1">
      <c r="A114" s="82">
        <f t="shared" si="1"/>
        <v>109</v>
      </c>
      <c r="B114" s="170" t="str">
        <f>MRS!B114&amp;" "&amp;MRS!D114</f>
        <v xml:space="preserve">Mannual Winch 10Mtr </v>
      </c>
      <c r="C114" s="171"/>
      <c r="D114" s="83" t="str">
        <f>MRS!G114</f>
        <v>PCS</v>
      </c>
      <c r="E114" s="84">
        <f>MRS!H114</f>
        <v>2</v>
      </c>
      <c r="F114" s="85">
        <f>MRS!I114</f>
        <v>142</v>
      </c>
      <c r="G114" s="85">
        <f>MRS!J114</f>
        <v>284</v>
      </c>
      <c r="H114" s="89"/>
    </row>
    <row r="115" spans="1:13" s="52" customFormat="1" ht="32.1" customHeight="1">
      <c r="A115" s="82">
        <f t="shared" si="1"/>
        <v>110</v>
      </c>
      <c r="B115" s="170" t="str">
        <f>MRS!B115&amp;" "&amp;MRS!D115</f>
        <v xml:space="preserve">Tube Cutter Blade 1/8-1 1/8"  </v>
      </c>
      <c r="C115" s="171"/>
      <c r="D115" s="83" t="str">
        <f>MRS!G115</f>
        <v>PCS</v>
      </c>
      <c r="E115" s="84">
        <f>MRS!H115</f>
        <v>50</v>
      </c>
      <c r="F115" s="85">
        <f>MRS!I115</f>
        <v>20</v>
      </c>
      <c r="G115" s="85">
        <f>MRS!J115</f>
        <v>1000</v>
      </c>
      <c r="H115" s="89"/>
    </row>
    <row r="116" spans="1:13" s="52" customFormat="1" ht="32.1" customHeight="1">
      <c r="A116" s="82">
        <f t="shared" si="1"/>
        <v>111</v>
      </c>
      <c r="B116" s="170" t="str">
        <f>MRS!B116&amp;" "&amp;MRS!D116</f>
        <v xml:space="preserve">Tube Cutter Blade 1/4-2 1/2"  </v>
      </c>
      <c r="C116" s="171"/>
      <c r="D116" s="83" t="str">
        <f>MRS!G116</f>
        <v>PCS</v>
      </c>
      <c r="E116" s="84">
        <f>MRS!H116</f>
        <v>27</v>
      </c>
      <c r="F116" s="85">
        <f>MRS!I116</f>
        <v>40</v>
      </c>
      <c r="G116" s="85">
        <f>MRS!J116</f>
        <v>1080</v>
      </c>
      <c r="H116" s="89"/>
    </row>
    <row r="117" spans="1:13" s="52" customFormat="1" ht="32.1" customHeight="1">
      <c r="A117" s="82">
        <f t="shared" si="1"/>
        <v>112</v>
      </c>
      <c r="B117" s="170" t="str">
        <f>MRS!B117&amp;" "&amp;MRS!D117</f>
        <v xml:space="preserve">Mesurement Tape 7.5Mtr Roto Brand  </v>
      </c>
      <c r="C117" s="171"/>
      <c r="D117" s="83" t="str">
        <f>MRS!G117</f>
        <v>PCS</v>
      </c>
      <c r="E117" s="84">
        <f>MRS!H117</f>
        <v>10</v>
      </c>
      <c r="F117" s="85">
        <f>MRS!I117</f>
        <v>14</v>
      </c>
      <c r="G117" s="85">
        <f>MRS!J117</f>
        <v>140</v>
      </c>
      <c r="H117" s="89"/>
    </row>
    <row r="118" spans="1:13" s="52" customFormat="1" ht="23.1" customHeight="1">
      <c r="A118" s="172" t="s">
        <v>83</v>
      </c>
      <c r="B118" s="173"/>
      <c r="C118" s="173"/>
      <c r="D118" s="173"/>
      <c r="E118" s="173"/>
      <c r="F118" s="173"/>
      <c r="G118" s="55">
        <f>SUM(G6:G117)</f>
        <v>283602</v>
      </c>
      <c r="H118" s="56"/>
    </row>
    <row r="119" spans="1:13" s="52" customFormat="1" ht="23.1" customHeight="1">
      <c r="A119" s="172" t="s">
        <v>47</v>
      </c>
      <c r="B119" s="173"/>
      <c r="C119" s="173"/>
      <c r="D119" s="173"/>
      <c r="E119" s="173"/>
      <c r="F119" s="173"/>
      <c r="G119" s="55">
        <f>+G118*0.15</f>
        <v>42540.299999999996</v>
      </c>
      <c r="H119" s="56"/>
    </row>
    <row r="120" spans="1:13" s="52" customFormat="1" ht="24.95" customHeight="1" thickBot="1">
      <c r="A120" s="174" t="s">
        <v>84</v>
      </c>
      <c r="B120" s="175"/>
      <c r="C120" s="175"/>
      <c r="D120" s="175"/>
      <c r="E120" s="175"/>
      <c r="F120" s="175"/>
      <c r="G120" s="57">
        <f>G119+G118</f>
        <v>326142.3</v>
      </c>
      <c r="H120" s="58"/>
    </row>
    <row r="121" spans="1:13" ht="15.75" thickTop="1">
      <c r="A121" s="59" t="str">
        <f>" 1) Above Price are as per your quotation with ref "&amp;'PO 1st page'!K14</f>
        <v xml:space="preserve"> 1) Above Price are as per your quotation with ref QTN-C26-150677</v>
      </c>
      <c r="B121" s="60"/>
      <c r="C121" s="60"/>
      <c r="D121" s="61"/>
      <c r="E121" s="61"/>
      <c r="F121" s="61"/>
      <c r="G121" s="61"/>
      <c r="H121" s="61"/>
    </row>
    <row r="122" spans="1:13" ht="15">
      <c r="A122" s="62" t="s">
        <v>85</v>
      </c>
      <c r="B122" s="63"/>
      <c r="C122" s="63"/>
      <c r="D122" s="64"/>
      <c r="E122" s="64"/>
      <c r="F122" s="64"/>
      <c r="G122" s="64"/>
      <c r="H122" s="64"/>
      <c r="I122" s="65"/>
    </row>
    <row r="123" spans="1:13" ht="15.75">
      <c r="A123" s="66"/>
    </row>
    <row r="124" spans="1:13">
      <c r="A124" s="161" t="s">
        <v>86</v>
      </c>
      <c r="B124" s="161"/>
      <c r="C124" s="161"/>
      <c r="D124" s="161"/>
      <c r="E124" s="161"/>
      <c r="F124" s="161"/>
      <c r="G124" s="161"/>
      <c r="H124" s="161"/>
      <c r="I124" s="67"/>
      <c r="J124" s="67"/>
      <c r="K124" s="67"/>
      <c r="L124" s="67"/>
      <c r="M124" s="67"/>
    </row>
    <row r="125" spans="1:13" ht="15.75">
      <c r="A125" s="66"/>
      <c r="C125" s="68"/>
    </row>
    <row r="126" spans="1:13" ht="15.75">
      <c r="A126" s="66"/>
      <c r="C126" s="68"/>
    </row>
    <row r="128" spans="1:13" ht="12" customHeight="1"/>
  </sheetData>
  <mergeCells count="124">
    <mergeCell ref="B114:C114"/>
    <mergeCell ref="B115:C115"/>
    <mergeCell ref="B116:C116"/>
    <mergeCell ref="B117:C117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18:F118"/>
    <mergeCell ref="A119:F119"/>
    <mergeCell ref="A120:F120"/>
    <mergeCell ref="A124:H124"/>
    <mergeCell ref="B12:C12"/>
    <mergeCell ref="B14:C14"/>
    <mergeCell ref="B15:C15"/>
    <mergeCell ref="B20:C20"/>
    <mergeCell ref="B93:C93"/>
    <mergeCell ref="B16:C16"/>
    <mergeCell ref="B17:C17"/>
    <mergeCell ref="B19:C19"/>
    <mergeCell ref="B18:C18"/>
    <mergeCell ref="B13:C1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2026-06-17T04:43:54Z</cp:lastPrinted>
  <dcterms:created xsi:type="dcterms:W3CDTF">2024-10-20T11:50:19Z</dcterms:created>
  <dcterms:modified xsi:type="dcterms:W3CDTF">2026-06-17T04:46:11Z</dcterms:modified>
</cp:coreProperties>
</file>