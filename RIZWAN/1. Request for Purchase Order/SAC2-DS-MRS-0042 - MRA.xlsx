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646B367A-D086-4BD5-A3E2-A3D154DB5606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<sst xmlns="http://schemas.openxmlformats.org/spreadsheetml/2006/main" count="152" uniqueCount="118">
  <si>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</si>
  <si>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</si>
  <si>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</si>
  <si>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</si>
  <si>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</si>
  <si>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</si>
  <si>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</si>
  <si>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</si>
  <si>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</si>
  <si>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</si>
  <si>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</si>
  <si>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</si>
  <si>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</si>
  <si>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</si>
  <si>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</si>
  <si>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</si>
  <si>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</si>
  <si>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</si>
  <si>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</si>
  <si>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</si>
  <si>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</si>
  <si>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</si>
  <si>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</si>
  <si>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</si>
  <si>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</si>
  <si>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</si>
  <si>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</si>
  <si>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</si>
  <si>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</si>
  <si>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</si>
  <si>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</si>
  <si>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</si>
  <si>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</si>
  <si>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</si>
  <si>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</si>
  <si>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</si>
  <si>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</si>
  <si>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</si>
  <si>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</si>
  <si>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</si>
  <si>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</si>
  <si>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</si>
  <si>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</si>
  <si>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</si>
  <si>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</si>
  <si>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</si>
  <si>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</si>
  <si>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</si>
  <si>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</si>
  <si>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</si>
  <si>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</si>
  <si>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</si>
  <si>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</si>
  <si>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</si>
  <si>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</si>
  <si>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</si>
  <si>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</si>
  <si>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</si>
  <si>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</si>
  <si>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</si>
  <si>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</si>
  <si>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</si>
  <si>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</si>
  <si>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</si>
  <si>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</si>
  <si>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</si>
  <si>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</si>
  <si>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</si>
  <si>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</si>
  <si>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</si>
  <si>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</si>
  <si>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</si>
  <si>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</si>
  <si>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</si>
  <si>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</si>
  <si>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</si>
  <si>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</si>
  <si>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</si>
  <si>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</si>
  <si>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</si>
  <si>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</si>
  <si>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</si>
  <si>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</si>
  <si>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</si>
  <si>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</si>
  <si>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</si>
  <si>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</si>
  <si>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</si>
  <si>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</si>
  <si>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</si>
  <si>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</si>
  <si>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</si>
  <si>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</si>
  <si>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</si>
  <si>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</si>
  <si>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</si>
  <si>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</si>
  <si>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</si>
  <si>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</si>
  <si>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</si>
  <si>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</si>
  <si>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</si>
  <si>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</si>
  <si>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-MRS-0042</t>
    </r>
  </si>
  <si>
    <t>Auto CAD Operator</t>
  </si>
  <si>
    <t>Hourly</t>
  </si>
  <si>
    <t>MRA</t>
  </si>
  <si>
    <t>Hourly Based</t>
  </si>
  <si>
    <t>MRA(MRA General Contracting Est.)</t>
  </si>
  <si>
    <t>2055137272</t>
  </si>
  <si>
    <t>'300701477700003</t>
  </si>
  <si>
    <t>Mohammed Nabeel</t>
  </si>
  <si>
    <t>+966 59 832 0214 /  Emailnabeelmra2030@gmail.com</t>
  </si>
  <si>
    <t>8298 Hofuf Street , Al-Safat District, 4334 Al Jubail</t>
  </si>
  <si>
    <t>Mobile : +966 59 832 0214</t>
  </si>
  <si>
    <t>MRA/SQ000065</t>
  </si>
  <si>
    <t>Auto Cad Operator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</si>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</sst>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99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1" t="s">
        <v>101</v>
      </c>
      <c r="K2" s="142"/>
      <c r="L2" s="143"/>
    </row>
    <row r="3" spans="1:19" ht="20.100000000000001" customHeight="1">
      <c r="A3" s="3" t="s">
        <v>103</v>
      </c>
      <c r="B3" s="101"/>
      <c r="C3" s="101"/>
      <c r="D3" s="101"/>
      <c r="E3" s="128">
        <f>+L3</f>
        <v>45754</v>
      </c>
      <c r="F3" s="128"/>
      <c r="G3" s="128"/>
      <c r="H3" s="128"/>
      <c r="I3" s="128"/>
      <c r="J3" s="101"/>
      <c r="K3" s="101"/>
      <c r="L3" s="122">
        <v>45754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96</v>
      </c>
      <c r="J4" s="129" t="s">
        <v>97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2.5" customHeight="1">
      <c r="A6" s="5">
        <f t="shared" ref="A6:A15" si="0">ROW(A1)</f>
        <v>1</v>
      </c>
      <c r="B6" s="144" t="s">
        <v>104</v>
      </c>
      <c r="C6" s="145"/>
      <c r="D6" s="146"/>
      <c r="E6" s="147"/>
      <c r="F6" s="148"/>
      <c r="G6" s="111" t="s">
        <v>105</v>
      </c>
      <c r="H6" s="112">
        <v>1</v>
      </c>
      <c r="I6" s="113">
        <v>28</v>
      </c>
      <c r="J6" s="113">
        <f>H6*I6</f>
        <v>28</v>
      </c>
      <c r="K6" s="114" t="s">
        <v>106</v>
      </c>
      <c r="L6" s="115" t="s">
        <v>107</v>
      </c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28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SAC2-DS-MRS-0042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45754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Auto CAD Operator</v>
      </c>
      <c r="C6" s="163"/>
      <c r="D6" s="164">
        <f>MRS!D6</f>
        <v>0</v>
      </c>
      <c r="E6" s="165"/>
      <c r="F6" s="166"/>
      <c r="G6" s="103" t="str">
        <f>MRS!G6</f>
        <v>Hourly</v>
      </c>
      <c r="H6" s="103">
        <f>MRS!H6</f>
        <v>1</v>
      </c>
      <c r="I6" s="104">
        <f>MRS!I6</f>
        <v>28</v>
      </c>
      <c r="J6" s="104">
        <f>MRS!J6</f>
        <v>28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9" zoomScale="130" zoomScaleNormal="100" zoomScaleSheetLayoutView="130" workbookViewId="0">
      <selection activeCell="K33" sqref="K3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108</v>
      </c>
      <c r="D9" s="39"/>
      <c r="E9" s="39"/>
    </row>
    <row r="10" spans="2:13" s="39" customFormat="1">
      <c r="B10" s="72"/>
      <c r="C10" s="39" t="s">
        <v>33</v>
      </c>
      <c r="D10" s="76" t="s">
        <v>109</v>
      </c>
      <c r="J10" s="39" t="s">
        <v>34</v>
      </c>
      <c r="K10" s="173">
        <f>MRS!L3</f>
        <v>45754</v>
      </c>
      <c r="L10" s="174"/>
      <c r="M10" s="174"/>
    </row>
    <row r="11" spans="2:13" s="39" customFormat="1">
      <c r="B11" s="72"/>
      <c r="C11" s="75" t="s">
        <v>35</v>
      </c>
      <c r="D11" s="76" t="s">
        <v>110</v>
      </c>
      <c r="J11" s="39" t="s">
        <v>36</v>
      </c>
      <c r="K11" s="175" t="str">
        <f>SUBSTITUTE(SUBSTITUTE(+MRS!A3,"  MRS No : ",""),"-MRS","-PO")</f>
        <v>SAC2-DS-PO-0042</v>
      </c>
      <c r="L11" s="175"/>
      <c r="M11" s="175"/>
    </row>
    <row r="12" spans="2:13" s="39" customFormat="1">
      <c r="B12" s="72"/>
      <c r="C12" s="75" t="s">
        <v>37</v>
      </c>
      <c r="D12" s="39" t="s">
        <v>111</v>
      </c>
      <c r="J12" s="39" t="s">
        <v>38</v>
      </c>
    </row>
    <row r="13" spans="2:13" s="39" customFormat="1">
      <c r="B13" s="72"/>
      <c r="C13" s="77"/>
      <c r="D13" s="76" t="s">
        <v>112</v>
      </c>
      <c r="J13" s="39" t="s">
        <v>39</v>
      </c>
    </row>
    <row r="14" spans="2:13" s="39" customFormat="1">
      <c r="B14" s="72"/>
      <c r="C14" s="77" t="s">
        <v>113</v>
      </c>
      <c r="J14" s="39" t="s">
        <v>40</v>
      </c>
      <c r="K14" s="39" t="s">
        <v>115</v>
      </c>
    </row>
    <row r="15" spans="2:13" s="39" customFormat="1">
      <c r="B15" s="72"/>
      <c r="C15" s="77" t="s">
        <v>114</v>
      </c>
      <c r="J15" s="39" t="s">
        <v>41</v>
      </c>
      <c r="K15" s="78">
        <v>45754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116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107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102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Nabeel</v>
      </c>
    </row>
    <row r="60" spans="1:16" ht="18" customHeight="1">
      <c r="B60" s="26" t="s">
        <v>72</v>
      </c>
      <c r="J60" s="26" t="s">
        <v>73</v>
      </c>
      <c r="K60" s="22" t="s">
        <v>117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MRA(MRA General Contracting Est.)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3" sqref="L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SAC2-DS-PO-0042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45754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MRA(MRA General Contracting Est.)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Auto CAD Operator</v>
      </c>
      <c r="C6" s="183"/>
      <c r="D6" s="86" t="str">
        <f>+'MRS LIST'!G6</f>
        <v>Hourly</v>
      </c>
      <c r="E6" s="87">
        <f>+'MRS LIST'!H6</f>
        <v>1</v>
      </c>
      <c r="F6" s="88">
        <f>+'MRS LIST'!I6</f>
        <v>28</v>
      </c>
      <c r="G6" s="89">
        <f>+'MRS LIST'!J6</f>
        <v>28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2"/>
      <c r="C7" s="18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88</v>
      </c>
      <c r="B18" s="199"/>
      <c r="C18" s="199"/>
      <c r="D18" s="199"/>
      <c r="E18" s="199"/>
      <c r="F18" s="199"/>
      <c r="G18" s="58">
        <f>SUM(G6:G17)</f>
        <v>28</v>
      </c>
      <c r="H18" s="59"/>
    </row>
    <row r="19" spans="1:13" s="55" customFormat="1" ht="23.1" customHeight="1">
      <c r="A19" s="198" t="s">
        <v>51</v>
      </c>
      <c r="B19" s="199"/>
      <c r="C19" s="199"/>
      <c r="D19" s="199"/>
      <c r="E19" s="199"/>
      <c r="F19" s="199"/>
      <c r="G19" s="58">
        <f>+G18*0.15</f>
        <v>4.2</v>
      </c>
      <c r="H19" s="59"/>
    </row>
    <row r="20" spans="1:13" s="55" customFormat="1" ht="24.95" customHeight="1" thickBot="1">
      <c r="A20" s="200" t="s">
        <v>89</v>
      </c>
      <c r="B20" s="201"/>
      <c r="C20" s="201"/>
      <c r="D20" s="201"/>
      <c r="E20" s="201"/>
      <c r="F20" s="201"/>
      <c r="G20" s="60">
        <f>G19+G18</f>
        <v>32.200000000000003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MRA/SQ000065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2025-04-07T12:44:08Z</cp:lastPrinted>
  <dcterms:created xsi:type="dcterms:W3CDTF">2024-10-20T11:50:19Z</dcterms:created>
  <dcterms:modified xsi:type="dcterms:W3CDTF">2025-04-09T14:07:20Z</dcterms:modified>
</cp:coreProperties>
</file>