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4C8C78A-A985-4539-9C98-F3BFD42EEE5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F6" i="4"/>
  <c r="E6" i="4"/>
  <c r="D6" i="4"/>
  <c r="B7" i="4"/>
  <c r="B8" i="4"/>
  <c r="B9" i="4"/>
  <c r="B10" i="4"/>
  <c r="B11" i="4"/>
  <c r="B12" i="4"/>
  <c r="B13" i="4"/>
  <c r="B14" i="4"/>
  <c r="B15" i="4"/>
  <c r="B16" i="4"/>
  <c r="J7" i="1"/>
  <c r="G7" i="4" s="1"/>
  <c r="J8" i="1"/>
  <c r="G8" i="4" s="1"/>
  <c r="J9" i="1"/>
  <c r="J9" i="2" s="1"/>
  <c r="J10" i="1"/>
  <c r="J10" i="2" s="1"/>
  <c r="J11" i="1"/>
  <c r="J11" i="2" s="1"/>
  <c r="J12" i="1"/>
  <c r="G12" i="4" s="1"/>
  <c r="J13" i="1"/>
  <c r="G13" i="4" s="1"/>
  <c r="J14" i="1"/>
  <c r="J15" i="1"/>
  <c r="J16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G9" i="4"/>
  <c r="G11" i="4"/>
  <c r="G10" i="4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7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<sst xmlns="http://schemas.openxmlformats.org/spreadsheetml/2006/main" count="170" uniqueCount="136">
  <si>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</si>
  <si>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</si>
  <si>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</si>
  <si>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</si>
  <si>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</si>
  <si>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</si>
  <si>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</si>
  <si>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</si>
  <si>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</si>
  <si>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</si>
  <si>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</si>
  <si>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</si>
  <si>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</si>
  <si>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</si>
  <si>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</si>
  <si>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</si>
  <si>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</si>
  <si>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</si>
  <si>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</si>
  <si>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</si>
  <si>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</si>
  <si>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</si>
  <si>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</si>
  <si>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</si>
  <si>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</si>
  <si>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</si>
  <si>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</si>
  <si>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</si>
  <si>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</si>
  <si>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</si>
  <si>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</si>
  <si>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</si>
  <si>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</si>
  <si>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</si>
  <si>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</si>
  <si>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</si>
  <si>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</si>
  <si>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</si>
  <si>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</si>
  <si>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</si>
  <si>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</si>
  <si>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</si>
  <si>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</si>
  <si>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</si>
  <si>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</si>
  <si>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</si>
  <si>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</si>
  <si>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</si>
  <si>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</si>
  <si>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</si>
  <si>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</si>
  <si>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</si>
  <si>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</si>
  <si>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</si>
  <si>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</si>
  <si>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</si>
  <si>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</si>
  <si>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</si>
  <si>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</si>
  <si>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</si>
  <si>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</si>
  <si>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</si>
  <si>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</si>
  <si>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</si>
  <si>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</si>
  <si>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</si>
  <si>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</si>
  <si>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</si>
  <si>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</si>
  <si>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</si>
  <si>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</si>
  <si>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</si>
  <si>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</si>
  <si>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</si>
  <si>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</si>
  <si>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</si>
  <si>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</si>
  <si>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</si>
  <si>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</si>
  <si>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</si>
  <si>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</si>
  <si>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</si>
  <si>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</si>
  <si>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</si>
  <si>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</si>
  <si>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</si>
  <si>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</si>
  <si>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</si>
  <si>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</si>
  <si>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</si>
  <si>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</si>
  <si>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</si>
  <si>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</si>
  <si>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</si>
  <si>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</si>
  <si>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</si>
  <si>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</si>
  <si>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</si>
  <si>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</si>
  <si>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</si>
  <si>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</si>
  <si>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</si>
  <si>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</si>
  <si>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</si>
  <si>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</si>
  <si>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</si>
  <si>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</si>
  <si>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</si>
  <si>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</si>
  <si>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</si>
  <si>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</si>
  <si>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</si>
  <si>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</si>
  <si>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</si>
  <si>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</si>
  <si>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</si>
  <si>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</si>
  <si>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</si>
  <si>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</si>
  <si>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</si>
  <si>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</si>
  <si>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</si>
  <si>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</si>
  <si>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-MRS-0245</t>
    </r>
  </si>
  <si>
    <t>Third Party Training and Certificate for Rigger</t>
  </si>
  <si>
    <t>Third Party Training and Certificate for Scaffolder</t>
  </si>
  <si>
    <t>Third Party Training and Certificate for First Aid</t>
  </si>
  <si>
    <t>Third Party Training and Certificate for BLS</t>
  </si>
  <si>
    <t>Third Party Training and Certificate for Emergency Rescue Team</t>
  </si>
  <si>
    <t>Third Party Training and Certificate for Fire Watch</t>
  </si>
  <si>
    <t>Third Party Training and Certificate for Self Contain Breathing Appratus</t>
  </si>
  <si>
    <t>Third Party Training and Certificate for Gas Tester</t>
  </si>
  <si>
    <t>Monthly</t>
  </si>
  <si>
    <t>Third Party Training and Certificate</t>
  </si>
  <si>
    <t>SA47 1000 0001 4000 1054 7706</t>
  </si>
  <si>
    <t>SAMOO-DAESHIN-MT-34-2026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</si>
</sst>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501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.425781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99</v>
      </c>
      <c r="B1" s="108"/>
      <c r="C1" s="108"/>
      <c r="D1" s="108"/>
      <c r="E1" s="108"/>
      <c r="F1" s="108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99"/>
      <c r="C2" s="99"/>
      <c r="D2" s="3" t="s">
        <v>100</v>
      </c>
      <c r="E2" s="99"/>
      <c r="F2" s="99"/>
      <c r="G2" s="99"/>
      <c r="H2" s="99"/>
      <c r="I2" s="4"/>
      <c r="J2" s="143" t="s">
        <v>101</v>
      </c>
      <c r="K2" s="144"/>
      <c r="L2" s="145"/>
    </row>
    <row r="3" spans="1:18" ht="20.100000000000001" customHeight="1">
      <c r="A3" s="3" t="s">
        <v>123</v>
      </c>
      <c r="B3" s="99"/>
      <c r="C3" s="99"/>
      <c r="D3" s="99"/>
      <c r="E3" s="130">
        <f>+L3</f>
        <v>46081</v>
      </c>
      <c r="F3" s="130"/>
      <c r="G3" s="130"/>
      <c r="H3" s="130"/>
      <c r="I3" s="130"/>
      <c r="J3" s="99"/>
      <c r="K3" s="99"/>
      <c r="L3" s="120">
        <v>46081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4" si="0">ROW(A1)</f>
        <v>1</v>
      </c>
      <c r="B6" s="146" t="s">
        <v>124</v>
      </c>
      <c r="C6" s="147"/>
      <c r="D6" s="148"/>
      <c r="E6" s="149"/>
      <c r="F6" s="150"/>
      <c r="G6" s="109" t="s">
        <v>109</v>
      </c>
      <c r="H6" s="110">
        <v>1</v>
      </c>
      <c r="I6" s="111">
        <v>700</v>
      </c>
      <c r="J6" s="111">
        <f>H6*I6</f>
        <v>700</v>
      </c>
      <c r="K6" s="112" t="s">
        <v>103</v>
      </c>
      <c r="L6" s="113" t="s">
        <v>132</v>
      </c>
      <c r="R6" s="104"/>
    </row>
    <row r="7" spans="1:18" ht="22.5" customHeight="1">
      <c r="A7" s="5">
        <f t="shared" si="0"/>
        <v>2</v>
      </c>
      <c r="B7" s="146" t="s">
        <v>125</v>
      </c>
      <c r="C7" s="147"/>
      <c r="D7" s="151"/>
      <c r="E7" s="149"/>
      <c r="F7" s="150"/>
      <c r="G7" s="109" t="s">
        <v>109</v>
      </c>
      <c r="H7" s="110">
        <v>1</v>
      </c>
      <c r="I7" s="111">
        <v>700</v>
      </c>
      <c r="J7" s="111">
        <f t="shared" ref="J7:J16" si="1">H7*I7</f>
        <v>700</v>
      </c>
      <c r="K7" s="112"/>
      <c r="L7" s="113"/>
      <c r="R7" s="104"/>
    </row>
    <row r="8" spans="1:18" ht="22.5" customHeight="1">
      <c r="A8" s="5">
        <f t="shared" si="0"/>
        <v>3</v>
      </c>
      <c r="B8" s="146" t="s">
        <v>126</v>
      </c>
      <c r="C8" s="147"/>
      <c r="D8" s="148"/>
      <c r="E8" s="149"/>
      <c r="F8" s="150"/>
      <c r="G8" s="109" t="s">
        <v>109</v>
      </c>
      <c r="H8" s="110">
        <v>1</v>
      </c>
      <c r="I8" s="111">
        <v>400</v>
      </c>
      <c r="J8" s="111">
        <f t="shared" si="1"/>
        <v>400</v>
      </c>
      <c r="K8" s="112"/>
      <c r="L8" s="113"/>
      <c r="R8" s="104"/>
    </row>
    <row r="9" spans="1:18" ht="22.5" customHeight="1">
      <c r="A9" s="5">
        <f t="shared" si="0"/>
        <v>4</v>
      </c>
      <c r="B9" s="146" t="s">
        <v>127</v>
      </c>
      <c r="C9" s="147"/>
      <c r="D9" s="148"/>
      <c r="E9" s="149"/>
      <c r="F9" s="150"/>
      <c r="G9" s="109" t="s">
        <v>109</v>
      </c>
      <c r="H9" s="110">
        <v>1</v>
      </c>
      <c r="I9" s="111">
        <v>400</v>
      </c>
      <c r="J9" s="111">
        <f t="shared" si="1"/>
        <v>400</v>
      </c>
      <c r="K9" s="112"/>
      <c r="L9" s="113"/>
      <c r="R9" s="104"/>
    </row>
    <row r="10" spans="1:18" ht="22.5" customHeight="1">
      <c r="A10" s="5">
        <f t="shared" si="0"/>
        <v>5</v>
      </c>
      <c r="B10" s="146" t="s">
        <v>128</v>
      </c>
      <c r="C10" s="147"/>
      <c r="D10" s="152"/>
      <c r="E10" s="152"/>
      <c r="F10" s="152"/>
      <c r="G10" s="109" t="s">
        <v>109</v>
      </c>
      <c r="H10" s="110">
        <v>1</v>
      </c>
      <c r="I10" s="114">
        <v>1000</v>
      </c>
      <c r="J10" s="111">
        <f t="shared" si="1"/>
        <v>1000</v>
      </c>
      <c r="K10" s="112"/>
      <c r="L10" s="109"/>
      <c r="R10" s="104"/>
    </row>
    <row r="11" spans="1:18" ht="22.5" customHeight="1">
      <c r="A11" s="5">
        <f t="shared" si="0"/>
        <v>6</v>
      </c>
      <c r="B11" s="146" t="s">
        <v>129</v>
      </c>
      <c r="C11" s="147"/>
      <c r="D11" s="148"/>
      <c r="E11" s="149"/>
      <c r="F11" s="150"/>
      <c r="G11" s="109" t="s">
        <v>109</v>
      </c>
      <c r="H11" s="110">
        <v>1</v>
      </c>
      <c r="I11" s="111">
        <v>430</v>
      </c>
      <c r="J11" s="111">
        <f t="shared" si="1"/>
        <v>430</v>
      </c>
      <c r="K11" s="112"/>
      <c r="L11" s="113"/>
      <c r="R11" s="104"/>
    </row>
    <row r="12" spans="1:18" ht="22.5" customHeight="1">
      <c r="A12" s="5">
        <f t="shared" si="0"/>
        <v>7</v>
      </c>
      <c r="B12" s="146" t="s">
        <v>130</v>
      </c>
      <c r="C12" s="147"/>
      <c r="D12" s="152"/>
      <c r="E12" s="152"/>
      <c r="F12" s="152"/>
      <c r="G12" s="109" t="s">
        <v>109</v>
      </c>
      <c r="H12" s="110">
        <v>1</v>
      </c>
      <c r="I12" s="114">
        <v>500</v>
      </c>
      <c r="J12" s="111">
        <f t="shared" si="1"/>
        <v>500</v>
      </c>
      <c r="K12" s="112"/>
      <c r="L12" s="109"/>
      <c r="R12" s="104"/>
    </row>
    <row r="13" spans="1:18" ht="22.5" customHeight="1">
      <c r="A13" s="5">
        <f t="shared" si="0"/>
        <v>8</v>
      </c>
      <c r="B13" s="146" t="s">
        <v>131</v>
      </c>
      <c r="C13" s="147"/>
      <c r="D13" s="148"/>
      <c r="E13" s="149"/>
      <c r="F13" s="150"/>
      <c r="G13" s="109" t="s">
        <v>109</v>
      </c>
      <c r="H13" s="110">
        <v>1</v>
      </c>
      <c r="I13" s="111">
        <v>430</v>
      </c>
      <c r="J13" s="111">
        <f t="shared" si="1"/>
        <v>430</v>
      </c>
      <c r="K13" s="112"/>
      <c r="L13" s="113"/>
      <c r="R13" s="104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09"/>
      <c r="H14" s="110"/>
      <c r="I14" s="111"/>
      <c r="J14" s="111">
        <f t="shared" si="1"/>
        <v>0</v>
      </c>
      <c r="K14" s="112"/>
      <c r="L14" s="113"/>
      <c r="R14" s="104"/>
    </row>
    <row r="15" spans="1:18" ht="22.5" customHeight="1">
      <c r="A15" s="5">
        <v>10</v>
      </c>
      <c r="B15" s="146"/>
      <c r="C15" s="147"/>
      <c r="D15" s="148"/>
      <c r="E15" s="149"/>
      <c r="F15" s="150"/>
      <c r="G15" s="109"/>
      <c r="H15" s="110"/>
      <c r="I15" s="111"/>
      <c r="J15" s="111">
        <f t="shared" si="1"/>
        <v>0</v>
      </c>
      <c r="K15" s="112"/>
      <c r="L15" s="113"/>
      <c r="R15" s="104"/>
    </row>
    <row r="16" spans="1:18" ht="22.5" customHeight="1">
      <c r="A16" s="5">
        <v>11</v>
      </c>
      <c r="B16" s="146"/>
      <c r="C16" s="147"/>
      <c r="D16" s="148"/>
      <c r="E16" s="149"/>
      <c r="F16" s="150"/>
      <c r="G16" s="109"/>
      <c r="H16" s="110"/>
      <c r="I16" s="111"/>
      <c r="J16" s="111">
        <f t="shared" si="1"/>
        <v>0</v>
      </c>
      <c r="K16" s="112"/>
      <c r="L16" s="113"/>
      <c r="R16" s="104"/>
    </row>
    <row r="17" spans="1:19" ht="22.5" customHeight="1">
      <c r="A17" s="157" t="s">
        <v>8</v>
      </c>
      <c r="B17" s="158"/>
      <c r="C17" s="115"/>
      <c r="D17" s="116"/>
      <c r="E17" s="116"/>
      <c r="F17" s="116"/>
      <c r="G17" s="117"/>
      <c r="H17" s="117"/>
      <c r="I17" s="118" t="s">
        <v>9</v>
      </c>
      <c r="J17" s="111">
        <f>SUM(J6:J16)</f>
        <v>4560</v>
      </c>
      <c r="K17" s="111"/>
      <c r="L17" s="119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59" t="s">
        <v>11</v>
      </c>
      <c r="S19" s="13" t="s">
        <v>12</v>
      </c>
    </row>
    <row r="20" spans="1:19" ht="50.1" customHeight="1">
      <c r="R20" s="160"/>
      <c r="S20" s="15"/>
    </row>
    <row r="21" spans="1:19" ht="17.100000000000001" customHeight="1">
      <c r="O21" s="11"/>
      <c r="P21" s="11"/>
      <c r="R21" s="155"/>
      <c r="S21" s="15" t="s">
        <v>13</v>
      </c>
    </row>
    <row r="22" spans="1:19" ht="15" customHeight="1">
      <c r="O22" s="17" t="s">
        <v>14</v>
      </c>
      <c r="P22" s="153" t="s">
        <v>15</v>
      </c>
    </row>
    <row r="23" spans="1:19" ht="18" customHeight="1">
      <c r="O23" s="18" t="s">
        <v>16</v>
      </c>
      <c r="P23" s="154"/>
      <c r="R23" s="159" t="s">
        <v>17</v>
      </c>
      <c r="S23" s="12" t="s">
        <v>12</v>
      </c>
    </row>
    <row r="24" spans="1:19" ht="50.1" customHeight="1">
      <c r="O24" s="14"/>
      <c r="P24" s="14"/>
      <c r="R24" s="160"/>
      <c r="S24" s="19"/>
    </row>
    <row r="25" spans="1:19" ht="17.100000000000001" customHeight="1">
      <c r="O25" s="16" t="s">
        <v>13</v>
      </c>
      <c r="P25" s="16" t="s">
        <v>13</v>
      </c>
      <c r="R25" s="155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56"/>
      <c r="P28" s="156"/>
    </row>
    <row r="29" spans="1:19" ht="19.899999999999999" customHeight="1">
      <c r="O29" s="156"/>
      <c r="P29" s="156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53" t="s">
        <v>18</v>
      </c>
      <c r="P47" s="153" t="s">
        <v>18</v>
      </c>
      <c r="S47" s="153" t="s">
        <v>12</v>
      </c>
    </row>
    <row r="48" spans="15:19" ht="21" customHeight="1">
      <c r="O48" s="154"/>
      <c r="P48" s="154"/>
      <c r="S48" s="155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53" t="s">
        <v>18</v>
      </c>
      <c r="P51" s="153" t="s">
        <v>18</v>
      </c>
      <c r="S51" s="153" t="s">
        <v>19</v>
      </c>
    </row>
    <row r="52" spans="15:19" ht="21" customHeight="1">
      <c r="O52" s="154"/>
      <c r="P52" s="154"/>
      <c r="S52" s="155"/>
    </row>
    <row r="53" spans="15:19" ht="64.900000000000006" customHeight="1">
      <c r="O53" s="14"/>
      <c r="P53" s="14"/>
      <c r="S53" s="14"/>
    </row>
  </sheetData>
  <mergeCells count="46"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1" t="s">
        <v>95</v>
      </c>
      <c r="B1" s="98"/>
      <c r="C1" s="98"/>
      <c r="D1" s="98"/>
      <c r="E1" s="98"/>
      <c r="F1" s="98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9"/>
      <c r="C2" s="99"/>
      <c r="D2" s="3" t="str">
        <f>+MRS!D2</f>
        <v>Division (In charge Name) : ADMIN MANAGER (Dong Chang Kim)</v>
      </c>
      <c r="E2" s="99"/>
      <c r="F2" s="99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SAC2-DS-MRS-0245</v>
      </c>
      <c r="B3" s="99"/>
      <c r="C3" s="99"/>
      <c r="D3" s="99"/>
      <c r="E3" s="99"/>
      <c r="F3" s="99"/>
      <c r="G3" s="99"/>
      <c r="H3" s="99"/>
      <c r="I3" s="99"/>
      <c r="J3" s="99"/>
      <c r="K3" s="100">
        <f>+MRS!L3</f>
        <v>46081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90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Third Party Training and Certificate for Rigger</v>
      </c>
      <c r="C6" s="164"/>
      <c r="D6" s="165">
        <f>MRS!D6</f>
        <v>0</v>
      </c>
      <c r="E6" s="166"/>
      <c r="F6" s="167"/>
      <c r="G6" s="101" t="str">
        <f>MRS!G6</f>
        <v>EA</v>
      </c>
      <c r="H6" s="101">
        <f>MRS!H6</f>
        <v>1</v>
      </c>
      <c r="I6" s="102">
        <f>MRS!I6</f>
        <v>700</v>
      </c>
      <c r="J6" s="102">
        <f>MRS!J6</f>
        <v>700</v>
      </c>
      <c r="K6" s="103"/>
      <c r="O6" s="104"/>
      <c r="P6" s="104"/>
      <c r="R6" s="104"/>
    </row>
    <row r="7" spans="1:18" ht="105" customHeight="1">
      <c r="A7" s="21">
        <f>+MRS!A7</f>
        <v>2</v>
      </c>
      <c r="B7" s="163" t="str">
        <f>MRS!B7</f>
        <v>Third Party Training and Certificate for Scaffolder</v>
      </c>
      <c r="C7" s="164"/>
      <c r="D7" s="165">
        <f>MRS!D7</f>
        <v>0</v>
      </c>
      <c r="E7" s="166"/>
      <c r="F7" s="167"/>
      <c r="G7" s="101" t="str">
        <f>MRS!G7</f>
        <v>EA</v>
      </c>
      <c r="H7" s="101">
        <f>MRS!H7</f>
        <v>1</v>
      </c>
      <c r="I7" s="102">
        <f>MRS!I7</f>
        <v>700</v>
      </c>
      <c r="J7" s="102">
        <f>MRS!J7</f>
        <v>700</v>
      </c>
      <c r="K7" s="103"/>
      <c r="O7" s="104"/>
      <c r="P7" s="104"/>
      <c r="R7" s="104"/>
    </row>
    <row r="8" spans="1:18" ht="105" customHeight="1">
      <c r="A8" s="21">
        <f>+MRS!A8</f>
        <v>3</v>
      </c>
      <c r="B8" s="163" t="str">
        <f>MRS!B8</f>
        <v>Third Party Training and Certificate for First Aid</v>
      </c>
      <c r="C8" s="164"/>
      <c r="D8" s="165">
        <f>MRS!D8</f>
        <v>0</v>
      </c>
      <c r="E8" s="166"/>
      <c r="F8" s="167"/>
      <c r="G8" s="101" t="str">
        <f>MRS!G8</f>
        <v>EA</v>
      </c>
      <c r="H8" s="101">
        <f>MRS!H8</f>
        <v>1</v>
      </c>
      <c r="I8" s="102">
        <f>MRS!I8</f>
        <v>400</v>
      </c>
      <c r="J8" s="102">
        <f>MRS!J8</f>
        <v>400</v>
      </c>
      <c r="K8" s="103"/>
      <c r="O8" s="104"/>
      <c r="P8" s="104"/>
      <c r="R8" s="104"/>
    </row>
    <row r="9" spans="1:18" ht="105" customHeight="1">
      <c r="A9" s="21">
        <f>+MRS!A9</f>
        <v>4</v>
      </c>
      <c r="B9" s="163" t="str">
        <f>MRS!B9</f>
        <v>Third Party Training and Certificate for BLS</v>
      </c>
      <c r="C9" s="164"/>
      <c r="D9" s="165">
        <f>MRS!D9</f>
        <v>0</v>
      </c>
      <c r="E9" s="166"/>
      <c r="F9" s="167"/>
      <c r="G9" s="101" t="str">
        <f>MRS!G9</f>
        <v>EA</v>
      </c>
      <c r="H9" s="101">
        <f>MRS!H9</f>
        <v>1</v>
      </c>
      <c r="I9" s="102">
        <f>MRS!I9</f>
        <v>400</v>
      </c>
      <c r="J9" s="102">
        <f>MRS!J9</f>
        <v>400</v>
      </c>
      <c r="K9" s="103"/>
      <c r="O9" s="104"/>
      <c r="P9" s="104"/>
      <c r="R9" s="104"/>
    </row>
    <row r="10" spans="1:18" ht="105" customHeight="1">
      <c r="A10" s="21">
        <f>+MRS!A10</f>
        <v>5</v>
      </c>
      <c r="B10" s="163" t="str">
        <f>MRS!B10</f>
        <v>Third Party Training and Certificate for Emergency Rescue Team</v>
      </c>
      <c r="C10" s="164"/>
      <c r="D10" s="165">
        <f>MRS!D10</f>
        <v>0</v>
      </c>
      <c r="E10" s="166"/>
      <c r="F10" s="167"/>
      <c r="G10" s="101" t="str">
        <f>MRS!G10</f>
        <v>EA</v>
      </c>
      <c r="H10" s="101">
        <f>MRS!H10</f>
        <v>1</v>
      </c>
      <c r="I10" s="102">
        <f>MRS!I10</f>
        <v>1000</v>
      </c>
      <c r="J10" s="102">
        <f>MRS!J10</f>
        <v>1000</v>
      </c>
      <c r="K10" s="103"/>
      <c r="O10" s="104"/>
      <c r="P10" s="104"/>
      <c r="R10" s="104"/>
    </row>
    <row r="11" spans="1:18" ht="105" customHeight="1">
      <c r="A11" s="21">
        <f>+MRS!A11</f>
        <v>6</v>
      </c>
      <c r="B11" s="163" t="str">
        <f>MRS!B11</f>
        <v>Third Party Training and Certificate for Fire Watch</v>
      </c>
      <c r="C11" s="164"/>
      <c r="D11" s="165">
        <f>MRS!D11</f>
        <v>0</v>
      </c>
      <c r="E11" s="166"/>
      <c r="F11" s="167"/>
      <c r="G11" s="101" t="str">
        <f>MRS!G11</f>
        <v>EA</v>
      </c>
      <c r="H11" s="101">
        <f>MRS!H11</f>
        <v>1</v>
      </c>
      <c r="I11" s="102">
        <f>MRS!I11</f>
        <v>430</v>
      </c>
      <c r="J11" s="102">
        <f>MRS!J11</f>
        <v>430</v>
      </c>
      <c r="K11" s="103"/>
      <c r="O11" s="104"/>
      <c r="P11" s="104"/>
      <c r="R11" s="104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5"/>
      <c r="H12" s="106"/>
      <c r="I12" s="107"/>
      <c r="J12" s="107"/>
      <c r="K12" s="103"/>
      <c r="O12" s="104"/>
      <c r="P12" s="104"/>
      <c r="R12" s="104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5"/>
      <c r="H13" s="106"/>
      <c r="I13" s="107"/>
      <c r="J13" s="107"/>
      <c r="K13" s="103"/>
      <c r="O13" s="104"/>
      <c r="P13" s="104"/>
      <c r="R13" s="104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5"/>
      <c r="H14" s="106"/>
      <c r="I14" s="107"/>
      <c r="J14" s="107"/>
      <c r="K14" s="103"/>
      <c r="O14" s="104"/>
      <c r="P14" s="104"/>
      <c r="R14" s="104"/>
    </row>
    <row r="15" spans="1:18" ht="105" customHeight="1">
      <c r="A15" s="21">
        <f>+MRS!A16</f>
        <v>11</v>
      </c>
      <c r="B15" s="168"/>
      <c r="C15" s="169"/>
      <c r="D15" s="170"/>
      <c r="E15" s="171"/>
      <c r="F15" s="172"/>
      <c r="G15" s="105"/>
      <c r="H15" s="106"/>
      <c r="I15" s="107"/>
      <c r="J15" s="107"/>
      <c r="K15" s="103"/>
      <c r="O15" s="104"/>
      <c r="P15" s="104"/>
      <c r="R15" s="104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5"/>
      <c r="H16" s="106"/>
      <c r="I16" s="107"/>
      <c r="J16" s="107"/>
      <c r="K16" s="103"/>
      <c r="O16" s="104"/>
      <c r="P16" s="104"/>
      <c r="R16" s="104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5"/>
      <c r="H17" s="106"/>
      <c r="I17" s="107"/>
      <c r="J17" s="107"/>
      <c r="K17" s="103"/>
      <c r="O17" s="104"/>
      <c r="P17" s="104"/>
      <c r="R17" s="104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46081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SAC2-DS-PO-0245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135</v>
      </c>
    </row>
    <row r="15" spans="2:13" s="39" customFormat="1">
      <c r="B15" s="72"/>
      <c r="C15" s="77" t="s">
        <v>98</v>
      </c>
      <c r="J15" s="39" t="s">
        <v>38</v>
      </c>
      <c r="K15" s="78">
        <v>46076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5" t="s">
        <v>133</v>
      </c>
      <c r="M26" s="126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 t="s">
        <v>132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/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110</v>
      </c>
    </row>
    <row r="54" spans="2:16" ht="12" customHeight="1">
      <c r="B54" s="83" t="s">
        <v>63</v>
      </c>
      <c r="C54" s="123" t="s">
        <v>111</v>
      </c>
      <c r="F54" s="26" t="s">
        <v>119</v>
      </c>
    </row>
    <row r="55" spans="2:16" ht="12" customHeight="1">
      <c r="B55" s="83" t="s">
        <v>63</v>
      </c>
      <c r="C55" s="123" t="s">
        <v>112</v>
      </c>
      <c r="F55" s="124" t="s">
        <v>120</v>
      </c>
    </row>
    <row r="56" spans="2:16" ht="12" customHeight="1">
      <c r="B56" s="83" t="s">
        <v>63</v>
      </c>
      <c r="C56" s="123" t="s">
        <v>113</v>
      </c>
      <c r="F56" s="26" t="s">
        <v>134</v>
      </c>
    </row>
    <row r="57" spans="2:16" ht="12" customHeight="1">
      <c r="B57" s="83" t="s">
        <v>63</v>
      </c>
      <c r="C57" s="123" t="s">
        <v>114</v>
      </c>
      <c r="F57" s="26" t="s">
        <v>121</v>
      </c>
    </row>
    <row r="58" spans="2:16" ht="12" customHeight="1">
      <c r="B58" s="83" t="s">
        <v>63</v>
      </c>
      <c r="C58" s="123" t="s">
        <v>115</v>
      </c>
      <c r="F58" s="26" t="s">
        <v>122</v>
      </c>
    </row>
    <row r="59" spans="2:16" ht="12" customHeight="1">
      <c r="B59" s="83" t="s">
        <v>63</v>
      </c>
      <c r="C59" s="123" t="s">
        <v>116</v>
      </c>
      <c r="F59" s="26" t="s">
        <v>117</v>
      </c>
    </row>
    <row r="60" spans="2:16" ht="12" customHeight="1">
      <c r="B60" s="83"/>
      <c r="C60" s="123" t="s">
        <v>118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SAC2-DS-PO-0245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46081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SAMOO(Samoo Al Bahr Contracting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4">
        <f t="shared" ref="A6:A13" si="0">ROW(A1)</f>
        <v>1</v>
      </c>
      <c r="B6" s="183" t="str">
        <f>CONCATENATE(MRS!B6," ",MRS!D6)</f>
        <v xml:space="preserve">Third Party Training and Certificate for Rigger </v>
      </c>
      <c r="C6" s="184"/>
      <c r="D6" s="85" t="str">
        <f>MRS!G6</f>
        <v>EA</v>
      </c>
      <c r="E6" s="86">
        <f>MRS!H6</f>
        <v>1</v>
      </c>
      <c r="F6" s="87">
        <f>MRS!I6</f>
        <v>700</v>
      </c>
      <c r="G6" s="88">
        <f>MRS!J6</f>
        <v>700</v>
      </c>
      <c r="H6" s="89" t="s">
        <v>132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3" t="str">
        <f>CONCATENATE(MRS!B7," ",MRS!D7)</f>
        <v xml:space="preserve">Third Party Training and Certificate for Scaffolder </v>
      </c>
      <c r="C7" s="184"/>
      <c r="D7" s="85" t="str">
        <f>MRS!G7</f>
        <v>EA</v>
      </c>
      <c r="E7" s="86">
        <f>MRS!H7</f>
        <v>1</v>
      </c>
      <c r="F7" s="87">
        <f>MRS!I7</f>
        <v>700</v>
      </c>
      <c r="G7" s="88">
        <f>MRS!J7</f>
        <v>700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3" t="str">
        <f>CONCATENATE(MRS!B8," ",MRS!D8)</f>
        <v xml:space="preserve">Third Party Training and Certificate for First Aid </v>
      </c>
      <c r="C8" s="184"/>
      <c r="D8" s="85" t="str">
        <f>MRS!G8</f>
        <v>EA</v>
      </c>
      <c r="E8" s="86">
        <f>MRS!H8</f>
        <v>1</v>
      </c>
      <c r="F8" s="87">
        <f>MRS!I8</f>
        <v>400</v>
      </c>
      <c r="G8" s="88">
        <f>MRS!J8</f>
        <v>400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3" t="str">
        <f>CONCATENATE(MRS!B9," ",MRS!D9)</f>
        <v xml:space="preserve">Third Party Training and Certificate for BLS </v>
      </c>
      <c r="C9" s="184"/>
      <c r="D9" s="85" t="str">
        <f>MRS!G9</f>
        <v>EA</v>
      </c>
      <c r="E9" s="86">
        <f>MRS!H9</f>
        <v>1</v>
      </c>
      <c r="F9" s="87">
        <f>MRS!I9</f>
        <v>400</v>
      </c>
      <c r="G9" s="88">
        <f>MRS!J9</f>
        <v>400</v>
      </c>
      <c r="H9" s="89"/>
    </row>
    <row r="10" spans="1:13" s="55" customFormat="1" ht="32.1" customHeight="1">
      <c r="A10" s="92">
        <f t="shared" si="0"/>
        <v>5</v>
      </c>
      <c r="B10" s="183" t="str">
        <f>CONCATENATE(MRS!B10," ",MRS!D10)</f>
        <v xml:space="preserve">Third Party Training and Certificate for Emergency Rescue Team </v>
      </c>
      <c r="C10" s="184"/>
      <c r="D10" s="85" t="str">
        <f>MRS!G10</f>
        <v>EA</v>
      </c>
      <c r="E10" s="86">
        <f>MRS!H10</f>
        <v>1</v>
      </c>
      <c r="F10" s="87">
        <f>MRS!I10</f>
        <v>1000</v>
      </c>
      <c r="G10" s="88">
        <f>MRS!J10</f>
        <v>1000</v>
      </c>
      <c r="H10" s="97"/>
    </row>
    <row r="11" spans="1:13" s="55" customFormat="1" ht="32.1" customHeight="1">
      <c r="A11" s="92">
        <f t="shared" si="0"/>
        <v>6</v>
      </c>
      <c r="B11" s="183" t="str">
        <f>CONCATENATE(MRS!B11," ",MRS!D11)</f>
        <v xml:space="preserve">Third Party Training and Certificate for Fire Watch </v>
      </c>
      <c r="C11" s="184"/>
      <c r="D11" s="85" t="str">
        <f>MRS!G11</f>
        <v>EA</v>
      </c>
      <c r="E11" s="86">
        <f>MRS!H11</f>
        <v>1</v>
      </c>
      <c r="F11" s="87">
        <f>MRS!I11</f>
        <v>430</v>
      </c>
      <c r="G11" s="88">
        <f>MRS!J11</f>
        <v>430</v>
      </c>
      <c r="H11" s="97"/>
    </row>
    <row r="12" spans="1:13" s="55" customFormat="1" ht="32.1" customHeight="1">
      <c r="A12" s="92">
        <f t="shared" si="0"/>
        <v>7</v>
      </c>
      <c r="B12" s="183" t="str">
        <f>CONCATENATE(MRS!B12," ",MRS!D12)</f>
        <v xml:space="preserve">Third Party Training and Certificate for Self Contain Breathing Appratus </v>
      </c>
      <c r="C12" s="184"/>
      <c r="D12" s="85" t="str">
        <f>MRS!G12</f>
        <v>EA</v>
      </c>
      <c r="E12" s="86">
        <f>MRS!H12</f>
        <v>1</v>
      </c>
      <c r="F12" s="87">
        <f>MRS!I12</f>
        <v>500</v>
      </c>
      <c r="G12" s="88">
        <f>MRS!J12</f>
        <v>500</v>
      </c>
      <c r="H12" s="97"/>
    </row>
    <row r="13" spans="1:13" s="55" customFormat="1" ht="32.1" customHeight="1">
      <c r="A13" s="92">
        <f t="shared" si="0"/>
        <v>8</v>
      </c>
      <c r="B13" s="183" t="str">
        <f>CONCATENATE(MRS!B13," ",MRS!D13)</f>
        <v xml:space="preserve">Third Party Training and Certificate for Gas Tester </v>
      </c>
      <c r="C13" s="184"/>
      <c r="D13" s="85" t="str">
        <f>MRS!G13</f>
        <v>EA</v>
      </c>
      <c r="E13" s="86">
        <f>MRS!H13</f>
        <v>1</v>
      </c>
      <c r="F13" s="87">
        <f>MRS!I13</f>
        <v>430</v>
      </c>
      <c r="G13" s="88">
        <f>MRS!J13</f>
        <v>430</v>
      </c>
      <c r="H13" s="97"/>
    </row>
    <row r="14" spans="1:13" s="55" customFormat="1" ht="32.1" customHeight="1">
      <c r="A14" s="92"/>
      <c r="B14" s="183" t="str">
        <f>CONCATENATE(MRS!B14," ",MRS!D14)</f>
        <v xml:space="preserve"> </v>
      </c>
      <c r="C14" s="184"/>
      <c r="D14" s="85"/>
      <c r="E14" s="86"/>
      <c r="F14" s="87"/>
      <c r="G14" s="88"/>
      <c r="H14" s="97"/>
    </row>
    <row r="15" spans="1:13" s="55" customFormat="1" ht="32.1" customHeight="1">
      <c r="A15" s="92"/>
      <c r="B15" s="183" t="str">
        <f>CONCATENATE(MRS!B15," ",MRS!D15)</f>
        <v xml:space="preserve"> </v>
      </c>
      <c r="C15" s="184"/>
      <c r="D15" s="85"/>
      <c r="E15" s="86"/>
      <c r="F15" s="87"/>
      <c r="G15" s="88"/>
      <c r="H15" s="97"/>
    </row>
    <row r="16" spans="1:13" s="55" customFormat="1" ht="32.1" customHeight="1">
      <c r="A16" s="92"/>
      <c r="B16" s="183" t="str">
        <f>CONCATENATE(MRS!B16," ",MRS!D16)</f>
        <v xml:space="preserve"> </v>
      </c>
      <c r="C16" s="184"/>
      <c r="D16" s="85"/>
      <c r="E16" s="86"/>
      <c r="F16" s="87"/>
      <c r="G16" s="88"/>
      <c r="H16" s="97"/>
    </row>
    <row r="17" spans="1:13" s="55" customFormat="1" ht="32.1" customHeight="1">
      <c r="A17" s="92"/>
      <c r="B17" s="203"/>
      <c r="C17" s="204"/>
      <c r="D17" s="93"/>
      <c r="E17" s="94"/>
      <c r="F17" s="95"/>
      <c r="G17" s="96"/>
      <c r="H17" s="97"/>
    </row>
    <row r="18" spans="1:13" s="55" customFormat="1" ht="23.1" customHeight="1">
      <c r="A18" s="199" t="s">
        <v>85</v>
      </c>
      <c r="B18" s="200"/>
      <c r="C18" s="200"/>
      <c r="D18" s="200"/>
      <c r="E18" s="200"/>
      <c r="F18" s="200"/>
      <c r="G18" s="58">
        <f>SUM(G6:G17)</f>
        <v>4560</v>
      </c>
      <c r="H18" s="59"/>
    </row>
    <row r="19" spans="1:13" s="55" customFormat="1" ht="23.1" customHeight="1">
      <c r="A19" s="199" t="s">
        <v>48</v>
      </c>
      <c r="B19" s="200"/>
      <c r="C19" s="200"/>
      <c r="D19" s="200"/>
      <c r="E19" s="200"/>
      <c r="F19" s="200"/>
      <c r="G19" s="58">
        <f>+G18*0.15</f>
        <v>684</v>
      </c>
      <c r="H19" s="59"/>
    </row>
    <row r="20" spans="1:13" s="55" customFormat="1" ht="24.95" customHeight="1" thickBot="1">
      <c r="A20" s="201" t="s">
        <v>86</v>
      </c>
      <c r="B20" s="202"/>
      <c r="C20" s="202"/>
      <c r="D20" s="202"/>
      <c r="E20" s="202"/>
      <c r="F20" s="202"/>
      <c r="G20" s="60">
        <f>G19+G18</f>
        <v>5244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SAMOO-DAESHIN-MT-34-2026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2026-03-04T09:03:28Z</cp:lastPrinted>
  <dcterms:created xsi:type="dcterms:W3CDTF">2024-10-20T11:50:19Z</dcterms:created>
  <dcterms:modified xsi:type="dcterms:W3CDTF">2026-03-04T09:03:30Z</dcterms:modified>
</cp:coreProperties>
</file>