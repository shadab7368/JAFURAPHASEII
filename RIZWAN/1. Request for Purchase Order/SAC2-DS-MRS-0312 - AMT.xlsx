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B9BE62C-378B-45F9-B999-8B751D089F8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MRS!$A$1:$L$27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page'!$A$1:$H$41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D7" i="4"/>
  <c r="D8" i="4"/>
  <c r="D9" i="4"/>
  <c r="D10" i="4"/>
  <c r="D11" i="4"/>
  <c r="D12" i="4"/>
  <c r="D13" i="4"/>
  <c r="D14" i="4"/>
  <c r="D15" i="4"/>
  <c r="D16" i="4"/>
  <c r="D17" i="4"/>
  <c r="B7" i="4"/>
  <c r="B8" i="4"/>
  <c r="B9" i="4"/>
  <c r="B10" i="4"/>
  <c r="B11" i="4"/>
  <c r="B12" i="4"/>
  <c r="B13" i="4"/>
  <c r="B14" i="4"/>
  <c r="B15" i="4"/>
  <c r="B16" i="4"/>
  <c r="B17" i="4"/>
  <c r="B6" i="4"/>
  <c r="J15" i="2"/>
  <c r="F6" i="4"/>
  <c r="A11" i="4"/>
  <c r="A12" i="4"/>
  <c r="A13" i="4"/>
  <c r="A14" i="4"/>
  <c r="A15" i="4"/>
  <c r="A16" i="4"/>
  <c r="A17" i="4"/>
  <c r="J17" i="1"/>
  <c r="G17" i="4" s="1"/>
  <c r="J16" i="1"/>
  <c r="G16" i="4" s="1"/>
  <c r="J15" i="1"/>
  <c r="G15" i="4" s="1"/>
  <c r="J14" i="1"/>
  <c r="G14" i="4" s="1"/>
  <c r="J13" i="1"/>
  <c r="G13" i="4" s="1"/>
  <c r="J12" i="1"/>
  <c r="G12" i="4" s="1"/>
  <c r="A12" i="1"/>
  <c r="A13" i="1"/>
  <c r="A14" i="1"/>
  <c r="A15" i="1"/>
  <c r="A16" i="1"/>
  <c r="A17" i="1"/>
  <c r="A12" i="2"/>
  <c r="A14" i="2"/>
  <c r="A15" i="2"/>
  <c r="P54" i="3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8" i="1"/>
  <c r="A9" i="1"/>
  <c r="A9" i="2" s="1"/>
  <c r="A10" i="1"/>
  <c r="A10" i="2" s="1"/>
  <c r="A11" i="1"/>
  <c r="A11" i="2" s="1"/>
  <c r="A13" i="2"/>
  <c r="J14" i="2"/>
  <c r="J13" i="2"/>
  <c r="J12" i="2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9" i="4" l="1"/>
  <c r="G11" i="4"/>
  <c r="G7" i="4"/>
  <c r="G8" i="4"/>
  <c r="G10" i="4"/>
  <c r="G6" i="4"/>
  <c r="J18" i="1"/>
  <c r="K67" i="3"/>
  <c r="E3" i="1"/>
  <c r="G35" i="4" l="1"/>
  <c r="K10" i="3"/>
  <c r="A38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36" i="4" l="1"/>
  <c r="F30" i="3" s="1"/>
  <c r="G37" i="4" l="1"/>
  <c r="F31" i="3" s="1"/>
</calcChain>
</file>

<file path=xl/sharedStrings.xml><?xml version="1.0" encoding="utf-8"?>
<sst xmlns="http://schemas.openxmlformats.org/spreadsheetml/2006/main" count="190" uniqueCount="147">
  <si>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</si>
  <si>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</si>
  <si>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</si>
  <si>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</si>
  <si>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</si>
  <si>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</si>
  <si>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</si>
  <si>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</si>
  <si>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</si>
  <si>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</si>
  <si>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</si>
  <si>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</si>
  <si>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</si>
  <si>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</si>
  <si>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</si>
  <si>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</si>
  <si>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</si>
  <si>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</si>
  <si>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</si>
  <si>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</si>
  <si>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</si>
  <si>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</si>
  <si>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</si>
  <si>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</si>
  <si>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</si>
  <si>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</si>
  <si>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</si>
  <si>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</si>
  <si>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</si>
  <si>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</si>
  <si>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</si>
  <si>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</si>
  <si>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</si>
  <si>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</si>
  <si>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</si>
  <si>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</si>
  <si>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</si>
  <si>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</si>
  <si>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</si>
  <si>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</si>
  <si>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</si>
  <si>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</si>
  <si>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</si>
  <si>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</si>
  <si>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</si>
  <si>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</si>
  <si>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</si>
  <si>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</si>
  <si>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</si>
  <si>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</si>
  <si>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</si>
  <si>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</si>
  <si>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</si>
  <si>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</si>
  <si>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</si>
  <si>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</si>
  <si>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</si>
  <si>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</si>
  <si>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</si>
  <si>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</si>
  <si>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</si>
  <si>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</si>
  <si>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</si>
  <si>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</si>
  <si>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</si>
  <si>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</si>
  <si>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</si>
  <si>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</si>
  <si>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</si>
  <si>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</si>
  <si>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</si>
  <si>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</si>
  <si>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</si>
  <si>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</si>
  <si>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</si>
  <si>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</si>
  <si>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</si>
  <si>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</si>
  <si>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</si>
  <si>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</si>
  <si>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</si>
  <si>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</si>
  <si>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</si>
  <si>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</si>
  <si>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</si>
  <si>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</si>
  <si>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</si>
  <si>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</si>
  <si>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</si>
  <si>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</si>
  <si>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</si>
  <si>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</si>
  <si>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</si>
  <si>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</si>
  <si>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</si>
  <si>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</si>
  <si>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</si>
  <si>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</si>
  <si>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</si>
  <si>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</si>
  <si>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</si>
  <si>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</si>
  <si>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</si>
  <si>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</si>
  <si>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</si>
  <si>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</si>
  <si>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</si>
  <si>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</si>
  <si>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</si>
  <si>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</si>
  <si>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t>AMT(Alam Alamani Trading Company)</t>
  </si>
  <si>
    <t>2051229875</t>
  </si>
  <si>
    <t>311236644400003</t>
  </si>
  <si>
    <t>Building No. 3345,Ath Thuqbah Dist. Al Khobar 34623, KSA</t>
  </si>
  <si>
    <t>ALAM ALAMANI TRADING COMPANY</t>
  </si>
  <si>
    <t>353387194001</t>
  </si>
  <si>
    <t>SA76 4500 0000 3533 8719 4001</t>
  </si>
  <si>
    <t>SAUDI BRITISH BANK</t>
  </si>
  <si>
    <t>SABBSARI</t>
  </si>
  <si>
    <t>AMT</t>
  </si>
  <si>
    <t>+966 56 482 5879 / Email: sales@alamaniya.com</t>
  </si>
  <si>
    <t>Mobile:</t>
  </si>
  <si>
    <t>+966 56 482 5879</t>
  </si>
  <si>
    <t xml:space="preserve"> In Charge :</t>
  </si>
  <si>
    <t>Rafeeq Kotyadi</t>
  </si>
  <si>
    <t>Marketing Manager</t>
  </si>
  <si>
    <t>EA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</si>
  <si>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-MRS-0312</t>
    </r>
  </si>
  <si>
    <t>RECERT-CH1TON</t>
  </si>
  <si>
    <t>RECERT-CH1.5TON</t>
  </si>
  <si>
    <t>RECERT-CH2TON</t>
  </si>
  <si>
    <t>RECERT-CH3TON</t>
  </si>
  <si>
    <t>RECERT-CH5TON</t>
  </si>
  <si>
    <t>WHP1/8X20"</t>
  </si>
  <si>
    <t>CROSS ARM STRAP</t>
  </si>
  <si>
    <t>LKT 3T</t>
  </si>
  <si>
    <t>LKT 5T</t>
  </si>
  <si>
    <t>LKT 2T</t>
  </si>
  <si>
    <t>GWP010</t>
  </si>
  <si>
    <t>Inspection Repair Cleaning &amp; Re Certification.</t>
  </si>
  <si>
    <t>Whip Check Safety Cable Size 1/8" Length- 20" Brand Toyo Japan</t>
  </si>
  <si>
    <t>Cross Arm Strap (Red &amp; Grey) With Small Dring At One End &amp; Large D-Ring At Other End - 6Ft - Pn806 (Karam India)</t>
  </si>
  <si>
    <t>Safety Latches 3Ton For Chain Block</t>
  </si>
  <si>
    <t>Safety Latches 5Ton For Chain Block</t>
  </si>
  <si>
    <t>Safety Latches 2 Ton For Lever Block</t>
  </si>
  <si>
    <t>Gin Wheel Pulley 10" Sheave Dia Rope Size 19Mm To 22Mm Swl- 1000Lbs Brand Toyo Japan</t>
  </si>
  <si>
    <t>QT26-638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</si>
</sst>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3" borderId="38" xfId="5" applyFont="1" applyFill="1" applyBorder="1" applyAlignment="1">
      <alignment horizontal="left" vertical="center" wrapText="1"/>
    </xf>
    <xf numFmtId="0" fontId="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19</xdr:row>
          <xdr:rowOff>20054</xdr:rowOff>
        </xdr:from>
        <xdr:to>
          <xdr:col>12</xdr:col>
          <xdr:colOff>499</xdr:colOff>
          <xdr:row>26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S$26" spid="_x0000_s13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4"/>
  <sheetViews>
    <sheetView showGridLines="0" tabSelected="1" view="pageBreakPreview" zoomScale="95" zoomScaleNormal="95" zoomScaleSheetLayoutView="95" workbookViewId="0">
      <selection activeCell="G20" sqref="G20"/>
    </sheetView>
  </sheetViews>
  <sheetFormatPr defaultColWidth="9" defaultRowHeight="21" customHeight="1"/>
  <cols>
    <col min="1" max="1" width="3.7109375" style="2" customWidth="1"/>
    <col min="2" max="3" width="15.7109375" style="2" customWidth="1"/>
    <col min="4" max="6" width="20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95</v>
      </c>
      <c r="B1" s="99"/>
      <c r="C1" s="99"/>
      <c r="D1" s="99"/>
      <c r="E1" s="99"/>
      <c r="F1" s="99"/>
      <c r="G1" s="1"/>
      <c r="J1" s="126" t="s">
        <v>86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94</v>
      </c>
      <c r="E2" s="93"/>
      <c r="F2" s="93"/>
      <c r="G2" s="93"/>
      <c r="H2" s="93"/>
      <c r="I2" s="4"/>
      <c r="J2" s="129" t="s">
        <v>93</v>
      </c>
      <c r="K2" s="130"/>
      <c r="L2" s="131"/>
    </row>
    <row r="3" spans="1:18" ht="20.100000000000001" customHeight="1">
      <c r="A3" s="3" t="s">
        <v>127</v>
      </c>
      <c r="B3" s="93"/>
      <c r="C3" s="93"/>
      <c r="D3" s="93"/>
      <c r="E3" s="132">
        <f>+L3</f>
        <v>46157</v>
      </c>
      <c r="F3" s="132"/>
      <c r="G3" s="132"/>
      <c r="H3" s="132"/>
      <c r="I3" s="132"/>
      <c r="J3" s="93"/>
      <c r="K3" s="93"/>
      <c r="L3" s="105">
        <v>46157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90</v>
      </c>
      <c r="J4" s="135" t="s">
        <v>91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23.25" customHeight="1">
      <c r="A6" s="5">
        <f t="shared" ref="A6:A17" si="0">ROW(A1)</f>
        <v>1</v>
      </c>
      <c r="B6" s="121" t="s">
        <v>128</v>
      </c>
      <c r="C6" s="122"/>
      <c r="D6" s="123" t="s">
        <v>139</v>
      </c>
      <c r="E6" s="124"/>
      <c r="F6" s="125"/>
      <c r="G6" s="112" t="s">
        <v>126</v>
      </c>
      <c r="H6" s="112">
        <v>1</v>
      </c>
      <c r="I6" s="113">
        <v>30</v>
      </c>
      <c r="J6" s="100">
        <f>H6*I6</f>
        <v>30</v>
      </c>
      <c r="K6" s="101" t="s">
        <v>119</v>
      </c>
      <c r="L6" s="102" t="s">
        <v>97</v>
      </c>
      <c r="R6" s="98"/>
    </row>
    <row r="7" spans="1:18" ht="23.25" customHeight="1">
      <c r="A7" s="5">
        <f t="shared" si="0"/>
        <v>2</v>
      </c>
      <c r="B7" s="121" t="s">
        <v>129</v>
      </c>
      <c r="C7" s="122"/>
      <c r="D7" s="123" t="s">
        <v>139</v>
      </c>
      <c r="E7" s="124"/>
      <c r="F7" s="125"/>
      <c r="G7" s="112" t="s">
        <v>126</v>
      </c>
      <c r="H7" s="112">
        <v>7</v>
      </c>
      <c r="I7" s="113">
        <v>35</v>
      </c>
      <c r="J7" s="100">
        <f t="shared" ref="J7:J17" si="1">H7*I7</f>
        <v>245</v>
      </c>
      <c r="K7" s="101"/>
      <c r="L7" s="102"/>
      <c r="R7" s="98"/>
    </row>
    <row r="8" spans="1:18" ht="23.25" customHeight="1">
      <c r="A8" s="5">
        <f t="shared" si="0"/>
        <v>3</v>
      </c>
      <c r="B8" s="121" t="s">
        <v>130</v>
      </c>
      <c r="C8" s="122"/>
      <c r="D8" s="123" t="s">
        <v>139</v>
      </c>
      <c r="E8" s="124"/>
      <c r="F8" s="125"/>
      <c r="G8" s="112" t="s">
        <v>126</v>
      </c>
      <c r="H8" s="112">
        <v>31</v>
      </c>
      <c r="I8" s="113">
        <v>50</v>
      </c>
      <c r="J8" s="100">
        <f t="shared" si="1"/>
        <v>1550</v>
      </c>
      <c r="K8" s="101"/>
      <c r="L8" s="102"/>
      <c r="R8" s="98"/>
    </row>
    <row r="9" spans="1:18" ht="23.25" customHeight="1">
      <c r="A9" s="5">
        <f t="shared" si="0"/>
        <v>4</v>
      </c>
      <c r="B9" s="121" t="s">
        <v>131</v>
      </c>
      <c r="C9" s="122"/>
      <c r="D9" s="123" t="s">
        <v>139</v>
      </c>
      <c r="E9" s="124"/>
      <c r="F9" s="125"/>
      <c r="G9" s="112" t="s">
        <v>126</v>
      </c>
      <c r="H9" s="112">
        <v>30</v>
      </c>
      <c r="I9" s="113">
        <v>75</v>
      </c>
      <c r="J9" s="100">
        <f t="shared" si="1"/>
        <v>2250</v>
      </c>
      <c r="K9" s="101"/>
      <c r="L9" s="102"/>
      <c r="R9" s="98"/>
    </row>
    <row r="10" spans="1:18" ht="23.25" customHeight="1">
      <c r="A10" s="5">
        <f t="shared" si="0"/>
        <v>5</v>
      </c>
      <c r="B10" s="121" t="s">
        <v>132</v>
      </c>
      <c r="C10" s="122"/>
      <c r="D10" s="123" t="s">
        <v>139</v>
      </c>
      <c r="E10" s="124"/>
      <c r="F10" s="125"/>
      <c r="G10" s="112" t="s">
        <v>126</v>
      </c>
      <c r="H10" s="112">
        <v>2</v>
      </c>
      <c r="I10" s="113">
        <v>75</v>
      </c>
      <c r="J10" s="100">
        <f t="shared" si="1"/>
        <v>150</v>
      </c>
      <c r="K10" s="101"/>
      <c r="L10" s="102"/>
      <c r="R10" s="98"/>
    </row>
    <row r="11" spans="1:18" ht="23.25" customHeight="1">
      <c r="A11" s="5">
        <f t="shared" si="0"/>
        <v>6</v>
      </c>
      <c r="B11" s="121" t="s">
        <v>133</v>
      </c>
      <c r="C11" s="122"/>
      <c r="D11" s="123" t="s">
        <v>140</v>
      </c>
      <c r="E11" s="124"/>
      <c r="F11" s="125"/>
      <c r="G11" s="112" t="s">
        <v>126</v>
      </c>
      <c r="H11" s="112">
        <v>50</v>
      </c>
      <c r="I11" s="113">
        <v>8</v>
      </c>
      <c r="J11" s="100">
        <f t="shared" si="1"/>
        <v>400</v>
      </c>
      <c r="K11" s="101"/>
      <c r="L11" s="102"/>
      <c r="R11" s="98"/>
    </row>
    <row r="12" spans="1:18" ht="23.25" customHeight="1">
      <c r="A12" s="5">
        <f t="shared" si="0"/>
        <v>7</v>
      </c>
      <c r="B12" s="121" t="s">
        <v>134</v>
      </c>
      <c r="C12" s="122"/>
      <c r="D12" s="123" t="s">
        <v>141</v>
      </c>
      <c r="E12" s="124"/>
      <c r="F12" s="125"/>
      <c r="G12" s="112" t="s">
        <v>126</v>
      </c>
      <c r="H12" s="112">
        <v>10</v>
      </c>
      <c r="I12" s="113">
        <v>110</v>
      </c>
      <c r="J12" s="100">
        <f t="shared" si="1"/>
        <v>1100</v>
      </c>
      <c r="K12" s="101"/>
      <c r="L12" s="102"/>
      <c r="R12" s="98"/>
    </row>
    <row r="13" spans="1:18" ht="23.25" customHeight="1">
      <c r="A13" s="5">
        <f t="shared" si="0"/>
        <v>8</v>
      </c>
      <c r="B13" s="121" t="s">
        <v>135</v>
      </c>
      <c r="C13" s="122"/>
      <c r="D13" s="123" t="s">
        <v>142</v>
      </c>
      <c r="E13" s="124"/>
      <c r="F13" s="125"/>
      <c r="G13" s="112" t="s">
        <v>126</v>
      </c>
      <c r="H13" s="112">
        <v>100</v>
      </c>
      <c r="I13" s="113">
        <v>12</v>
      </c>
      <c r="J13" s="100">
        <f t="shared" si="1"/>
        <v>1200</v>
      </c>
      <c r="K13" s="101"/>
      <c r="L13" s="102"/>
      <c r="R13" s="98"/>
    </row>
    <row r="14" spans="1:18" ht="23.25" customHeight="1">
      <c r="A14" s="5">
        <f t="shared" si="0"/>
        <v>9</v>
      </c>
      <c r="B14" s="121" t="s">
        <v>136</v>
      </c>
      <c r="C14" s="122"/>
      <c r="D14" s="123" t="s">
        <v>143</v>
      </c>
      <c r="E14" s="124"/>
      <c r="F14" s="125"/>
      <c r="G14" s="112" t="s">
        <v>126</v>
      </c>
      <c r="H14" s="112">
        <v>100</v>
      </c>
      <c r="I14" s="113">
        <v>14</v>
      </c>
      <c r="J14" s="100">
        <f t="shared" si="1"/>
        <v>1400</v>
      </c>
      <c r="K14" s="101"/>
      <c r="L14" s="102"/>
      <c r="R14" s="98"/>
    </row>
    <row r="15" spans="1:18" ht="23.25" customHeight="1">
      <c r="A15" s="5">
        <f t="shared" si="0"/>
        <v>10</v>
      </c>
      <c r="B15" s="121" t="s">
        <v>137</v>
      </c>
      <c r="C15" s="122"/>
      <c r="D15" s="123" t="s">
        <v>144</v>
      </c>
      <c r="E15" s="124"/>
      <c r="F15" s="125"/>
      <c r="G15" s="112" t="s">
        <v>126</v>
      </c>
      <c r="H15" s="112">
        <v>100</v>
      </c>
      <c r="I15" s="113">
        <v>9</v>
      </c>
      <c r="J15" s="100">
        <f t="shared" si="1"/>
        <v>900</v>
      </c>
      <c r="K15" s="101"/>
      <c r="L15" s="102"/>
      <c r="R15" s="98"/>
    </row>
    <row r="16" spans="1:18" ht="23.25" customHeight="1">
      <c r="A16" s="5">
        <f t="shared" si="0"/>
        <v>11</v>
      </c>
      <c r="B16" s="121" t="s">
        <v>133</v>
      </c>
      <c r="C16" s="122"/>
      <c r="D16" s="123" t="s">
        <v>140</v>
      </c>
      <c r="E16" s="124"/>
      <c r="F16" s="125"/>
      <c r="G16" s="112" t="s">
        <v>126</v>
      </c>
      <c r="H16" s="112">
        <v>30</v>
      </c>
      <c r="I16" s="113">
        <v>8</v>
      </c>
      <c r="J16" s="100">
        <f t="shared" si="1"/>
        <v>240</v>
      </c>
      <c r="K16" s="101"/>
      <c r="L16" s="102"/>
      <c r="R16" s="98"/>
    </row>
    <row r="17" spans="1:19" ht="23.25" customHeight="1">
      <c r="A17" s="5">
        <f t="shared" si="0"/>
        <v>12</v>
      </c>
      <c r="B17" s="121" t="s">
        <v>138</v>
      </c>
      <c r="C17" s="122"/>
      <c r="D17" s="123" t="s">
        <v>145</v>
      </c>
      <c r="E17" s="124"/>
      <c r="F17" s="125"/>
      <c r="G17" s="112" t="s">
        <v>126</v>
      </c>
      <c r="H17" s="112">
        <v>10</v>
      </c>
      <c r="I17" s="113">
        <v>325</v>
      </c>
      <c r="J17" s="100">
        <f t="shared" si="1"/>
        <v>3250</v>
      </c>
      <c r="K17" s="101"/>
      <c r="L17" s="102"/>
      <c r="R17" s="98"/>
    </row>
    <row r="18" spans="1:19" ht="23.25" customHeight="1">
      <c r="A18" s="145" t="s">
        <v>8</v>
      </c>
      <c r="B18" s="146"/>
      <c r="C18" s="103"/>
      <c r="D18" s="109"/>
      <c r="E18" s="109"/>
      <c r="F18" s="109"/>
      <c r="G18" s="110"/>
      <c r="H18" s="110"/>
      <c r="I18" s="111" t="s">
        <v>9</v>
      </c>
      <c r="J18" s="100">
        <f>SUM(J6:J17)</f>
        <v>12715</v>
      </c>
      <c r="K18" s="100"/>
      <c r="L18" s="104"/>
    </row>
    <row r="19" spans="1:19" ht="20.100000000000001" customHeight="1">
      <c r="A19" s="6" t="s">
        <v>10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19" ht="18" customHeight="1">
      <c r="A20" s="10"/>
      <c r="J20" s="1"/>
      <c r="K20" s="1"/>
      <c r="O20" s="11"/>
      <c r="P20" s="11"/>
      <c r="R20" s="147" t="s">
        <v>11</v>
      </c>
      <c r="S20" s="13" t="s">
        <v>12</v>
      </c>
    </row>
    <row r="21" spans="1:19" ht="50.1" customHeight="1">
      <c r="R21" s="148"/>
      <c r="S21" s="15"/>
    </row>
    <row r="22" spans="1:19" ht="17.100000000000001" customHeight="1">
      <c r="O22" s="11"/>
      <c r="P22" s="11"/>
      <c r="R22" s="149"/>
      <c r="S22" s="15" t="s">
        <v>13</v>
      </c>
    </row>
    <row r="23" spans="1:19" ht="15" customHeight="1">
      <c r="O23" s="17" t="s">
        <v>14</v>
      </c>
      <c r="P23" s="150" t="s">
        <v>15</v>
      </c>
    </row>
    <row r="24" spans="1:19" ht="18" customHeight="1">
      <c r="O24" s="18" t="s">
        <v>16</v>
      </c>
      <c r="P24" s="151"/>
      <c r="R24" s="147" t="s">
        <v>17</v>
      </c>
      <c r="S24" s="12" t="s">
        <v>12</v>
      </c>
    </row>
    <row r="25" spans="1:19" ht="50.1" customHeight="1">
      <c r="O25" s="14"/>
      <c r="P25" s="14"/>
      <c r="R25" s="148"/>
      <c r="S25" s="19"/>
    </row>
    <row r="26" spans="1:19" ht="17.100000000000001" customHeight="1">
      <c r="O26" s="16" t="s">
        <v>13</v>
      </c>
      <c r="P26" s="16" t="s">
        <v>13</v>
      </c>
      <c r="R26" s="149"/>
      <c r="S26" s="15" t="s">
        <v>13</v>
      </c>
    </row>
    <row r="27" spans="1:19" ht="9.9499999999999993" customHeight="1"/>
    <row r="28" spans="1:19" ht="19.899999999999999" customHeight="1"/>
    <row r="29" spans="1:19" ht="17.45" customHeight="1">
      <c r="O29" s="152"/>
      <c r="P29" s="152"/>
    </row>
    <row r="30" spans="1:19" ht="19.899999999999999" customHeight="1">
      <c r="O30" s="152"/>
      <c r="P30" s="152"/>
    </row>
    <row r="31" spans="1:19" ht="14.25">
      <c r="O31" s="11"/>
      <c r="P31" s="11"/>
    </row>
    <row r="32" spans="1:19" ht="65.099999999999994" customHeight="1"/>
    <row r="33" spans="15:19" ht="14.25">
      <c r="O33" s="11"/>
      <c r="P33" s="11"/>
    </row>
    <row r="34" spans="15:19" ht="19.899999999999999" customHeight="1"/>
    <row r="35" spans="15:19" ht="14.25"/>
    <row r="36" spans="15:19" ht="19.899999999999999" customHeight="1"/>
    <row r="37" spans="15:19" ht="14.25"/>
    <row r="38" spans="15:19" ht="19.899999999999999" customHeight="1"/>
    <row r="39" spans="15:19" ht="19.899999999999999" customHeight="1"/>
    <row r="40" spans="15:19" ht="64.900000000000006" customHeight="1"/>
    <row r="42" spans="15:19" ht="19.899999999999999" customHeight="1"/>
    <row r="43" spans="15:19" ht="19.899999999999999" customHeight="1"/>
    <row r="44" spans="15:19" ht="64.900000000000006" customHeight="1"/>
    <row r="48" spans="15:19" ht="21" customHeight="1">
      <c r="O48" s="150" t="s">
        <v>18</v>
      </c>
      <c r="P48" s="150" t="s">
        <v>18</v>
      </c>
      <c r="S48" s="150" t="s">
        <v>12</v>
      </c>
    </row>
    <row r="49" spans="15:19" ht="21" customHeight="1">
      <c r="O49" s="151"/>
      <c r="P49" s="151"/>
      <c r="S49" s="149"/>
    </row>
    <row r="50" spans="15:19" ht="64.900000000000006" customHeight="1">
      <c r="O50" s="14"/>
      <c r="P50" s="14"/>
      <c r="S50" s="15"/>
    </row>
    <row r="51" spans="15:19" ht="7.15" customHeight="1"/>
    <row r="52" spans="15:19" ht="21" customHeight="1">
      <c r="O52" s="150" t="s">
        <v>18</v>
      </c>
      <c r="P52" s="150" t="s">
        <v>18</v>
      </c>
      <c r="S52" s="150" t="s">
        <v>19</v>
      </c>
    </row>
    <row r="53" spans="15:19" ht="21" customHeight="1">
      <c r="O53" s="151"/>
      <c r="P53" s="151"/>
      <c r="S53" s="149"/>
    </row>
    <row r="54" spans="15:19" ht="64.900000000000006" customHeight="1">
      <c r="O54" s="14"/>
      <c r="P54" s="14"/>
      <c r="S54" s="14"/>
    </row>
  </sheetData>
  <mergeCells count="48">
    <mergeCell ref="S48:S49"/>
    <mergeCell ref="O52:O53"/>
    <mergeCell ref="P52:P53"/>
    <mergeCell ref="S52:S53"/>
    <mergeCell ref="O29:O30"/>
    <mergeCell ref="P29:P30"/>
    <mergeCell ref="O48:O49"/>
    <mergeCell ref="P48:P49"/>
    <mergeCell ref="A18:B18"/>
    <mergeCell ref="R20:R22"/>
    <mergeCell ref="P23:P24"/>
    <mergeCell ref="R24:R26"/>
    <mergeCell ref="B9:C9"/>
    <mergeCell ref="D9:F9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D12:F12"/>
    <mergeCell ref="B13:C13"/>
    <mergeCell ref="D13:F13"/>
    <mergeCell ref="B14:C14"/>
    <mergeCell ref="D14:F14"/>
    <mergeCell ref="B12:C12"/>
    <mergeCell ref="B15:C15"/>
    <mergeCell ref="D15:F15"/>
    <mergeCell ref="B16:C16"/>
    <mergeCell ref="D16:F16"/>
    <mergeCell ref="B17:C17"/>
    <mergeCell ref="D17:F1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7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92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SAC2-DS-MRS-0312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46157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87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RECERT-CH1TON</v>
      </c>
      <c r="C6" s="154"/>
      <c r="D6" s="155" t="str">
        <f>MRS!D6</f>
        <v>Inspection Repair Cleaning &amp; Re Certification.</v>
      </c>
      <c r="E6" s="156"/>
      <c r="F6" s="157"/>
      <c r="G6" s="95" t="str">
        <f>MRS!G6</f>
        <v>EA</v>
      </c>
      <c r="H6" s="95">
        <f>MRS!H6</f>
        <v>1</v>
      </c>
      <c r="I6" s="96">
        <f>MRS!I6</f>
        <v>30</v>
      </c>
      <c r="J6" s="96">
        <f>MRS!J6</f>
        <v>30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RECERT-CH1.5TON</v>
      </c>
      <c r="C7" s="154"/>
      <c r="D7" s="155" t="str">
        <f>MRS!D7</f>
        <v>Inspection Repair Cleaning &amp; Re Certification.</v>
      </c>
      <c r="E7" s="156"/>
      <c r="F7" s="157"/>
      <c r="G7" s="95" t="str">
        <f>MRS!G7</f>
        <v>EA</v>
      </c>
      <c r="H7" s="95">
        <f>MRS!H7</f>
        <v>7</v>
      </c>
      <c r="I7" s="96">
        <f>MRS!I7</f>
        <v>35</v>
      </c>
      <c r="J7" s="96">
        <f>MRS!J7</f>
        <v>245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RECERT-CH2TON</v>
      </c>
      <c r="C8" s="154"/>
      <c r="D8" s="155" t="str">
        <f>MRS!D8</f>
        <v>Inspection Repair Cleaning &amp; Re Certification.</v>
      </c>
      <c r="E8" s="156"/>
      <c r="F8" s="157"/>
      <c r="G8" s="95" t="str">
        <f>MRS!G8</f>
        <v>EA</v>
      </c>
      <c r="H8" s="95">
        <f>MRS!H8</f>
        <v>31</v>
      </c>
      <c r="I8" s="96">
        <f>MRS!I8</f>
        <v>50</v>
      </c>
      <c r="J8" s="96">
        <f>MRS!J8</f>
        <v>1550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RECERT-CH3TON</v>
      </c>
      <c r="C9" s="154"/>
      <c r="D9" s="155" t="str">
        <f>MRS!D9</f>
        <v>Inspection Repair Cleaning &amp; Re Certification.</v>
      </c>
      <c r="E9" s="156"/>
      <c r="F9" s="157"/>
      <c r="G9" s="95" t="str">
        <f>MRS!G9</f>
        <v>EA</v>
      </c>
      <c r="H9" s="95">
        <f>MRS!H9</f>
        <v>30</v>
      </c>
      <c r="I9" s="96">
        <f>MRS!I9</f>
        <v>75</v>
      </c>
      <c r="J9" s="96">
        <f>MRS!J9</f>
        <v>2250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RECERT-CH5TON</v>
      </c>
      <c r="C10" s="154"/>
      <c r="D10" s="155" t="str">
        <f>MRS!D10</f>
        <v>Inspection Repair Cleaning &amp; Re Certification.</v>
      </c>
      <c r="E10" s="156"/>
      <c r="F10" s="157"/>
      <c r="G10" s="95" t="str">
        <f>MRS!G10</f>
        <v>EA</v>
      </c>
      <c r="H10" s="95">
        <f>MRS!H10</f>
        <v>2</v>
      </c>
      <c r="I10" s="96">
        <f>MRS!I10</f>
        <v>75</v>
      </c>
      <c r="J10" s="96">
        <f>MRS!J10</f>
        <v>150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WHP1/8X20"</v>
      </c>
      <c r="C11" s="154"/>
      <c r="D11" s="155" t="str">
        <f>MRS!D11</f>
        <v>Whip Check Safety Cable Size 1/8" Length- 20" Brand Toyo Japan</v>
      </c>
      <c r="E11" s="156"/>
      <c r="F11" s="157"/>
      <c r="G11" s="95" t="str">
        <f>MRS!G11</f>
        <v>EA</v>
      </c>
      <c r="H11" s="95">
        <f>MRS!H11</f>
        <v>50</v>
      </c>
      <c r="I11" s="96">
        <f>MRS!I11</f>
        <v>8</v>
      </c>
      <c r="J11" s="96">
        <f>MRS!J11</f>
        <v>400</v>
      </c>
      <c r="K11" s="97"/>
      <c r="O11" s="98"/>
      <c r="P11" s="98"/>
      <c r="R11" s="98"/>
    </row>
    <row r="12" spans="1:18" ht="105" customHeight="1">
      <c r="A12" s="21" t="e">
        <f>+MRS!#REF!</f>
        <v>#REF!</v>
      </c>
      <c r="B12" s="153" t="e">
        <f>MRS!#REF!</f>
        <v>#REF!</v>
      </c>
      <c r="C12" s="154"/>
      <c r="D12" s="155" t="e">
        <f>MRS!#REF!</f>
        <v>#REF!</v>
      </c>
      <c r="E12" s="156"/>
      <c r="F12" s="157"/>
      <c r="G12" s="95" t="e">
        <f>MRS!#REF!</f>
        <v>#REF!</v>
      </c>
      <c r="H12" s="95" t="e">
        <f>MRS!#REF!</f>
        <v>#REF!</v>
      </c>
      <c r="I12" s="96" t="e">
        <f>MRS!#REF!</f>
        <v>#REF!</v>
      </c>
      <c r="J12" s="96" t="e">
        <f>MRS!#REF!</f>
        <v>#REF!</v>
      </c>
      <c r="K12" s="97"/>
      <c r="O12" s="98"/>
      <c r="P12" s="98"/>
      <c r="R12" s="98"/>
    </row>
    <row r="13" spans="1:18" ht="105" customHeight="1">
      <c r="A13" s="21" t="e">
        <f>+MRS!#REF!</f>
        <v>#REF!</v>
      </c>
      <c r="B13" s="153" t="e">
        <f>MRS!#REF!</f>
        <v>#REF!</v>
      </c>
      <c r="C13" s="154"/>
      <c r="D13" s="155" t="e">
        <f>MRS!#REF!</f>
        <v>#REF!</v>
      </c>
      <c r="E13" s="156"/>
      <c r="F13" s="157"/>
      <c r="G13" s="95" t="e">
        <f>MRS!#REF!</f>
        <v>#REF!</v>
      </c>
      <c r="H13" s="95" t="e">
        <f>MRS!#REF!</f>
        <v>#REF!</v>
      </c>
      <c r="I13" s="96" t="e">
        <f>MRS!#REF!</f>
        <v>#REF!</v>
      </c>
      <c r="J13" s="96" t="e">
        <f>MRS!#REF!</f>
        <v>#REF!</v>
      </c>
      <c r="K13" s="97"/>
      <c r="O13" s="98"/>
      <c r="P13" s="98"/>
      <c r="R13" s="98"/>
    </row>
    <row r="14" spans="1:18" ht="105" customHeight="1">
      <c r="A14" s="21" t="e">
        <f>+MRS!#REF!</f>
        <v>#REF!</v>
      </c>
      <c r="B14" s="153" t="e">
        <f>MRS!#REF!</f>
        <v>#REF!</v>
      </c>
      <c r="C14" s="154"/>
      <c r="D14" s="155" t="e">
        <f>MRS!#REF!</f>
        <v>#REF!</v>
      </c>
      <c r="E14" s="156"/>
      <c r="F14" s="157"/>
      <c r="G14" s="95" t="e">
        <f>MRS!#REF!</f>
        <v>#REF!</v>
      </c>
      <c r="H14" s="95" t="e">
        <f>MRS!#REF!</f>
        <v>#REF!</v>
      </c>
      <c r="I14" s="96" t="e">
        <f>MRS!#REF!</f>
        <v>#REF!</v>
      </c>
      <c r="J14" s="96" t="e">
        <f>MRS!#REF!</f>
        <v>#REF!</v>
      </c>
      <c r="K14" s="97"/>
      <c r="O14" s="98"/>
      <c r="P14" s="98"/>
      <c r="R14" s="98"/>
    </row>
    <row r="15" spans="1:18" ht="105" customHeight="1">
      <c r="A15" s="21" t="e">
        <f>+MRS!#REF!</f>
        <v>#REF!</v>
      </c>
      <c r="B15" s="153" t="e">
        <f>MRS!#REF!</f>
        <v>#REF!</v>
      </c>
      <c r="C15" s="154"/>
      <c r="D15" s="155" t="e">
        <f>MRS!#REF!</f>
        <v>#REF!</v>
      </c>
      <c r="E15" s="156"/>
      <c r="F15" s="157"/>
      <c r="G15" s="95" t="e">
        <f>MRS!#REF!</f>
        <v>#REF!</v>
      </c>
      <c r="H15" s="95" t="e">
        <f>MRS!#REF!</f>
        <v>#REF!</v>
      </c>
      <c r="I15" s="96" t="e">
        <f>MRS!#REF!</f>
        <v>#REF!</v>
      </c>
      <c r="J15" s="96" t="e">
        <f>MRS!#REF!</f>
        <v>#REF!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110</v>
      </c>
      <c r="D9" s="38"/>
      <c r="E9" s="38"/>
    </row>
    <row r="10" spans="2:13" s="38" customFormat="1">
      <c r="B10" s="69"/>
      <c r="C10" s="38" t="s">
        <v>29</v>
      </c>
      <c r="D10" s="73" t="s">
        <v>111</v>
      </c>
      <c r="J10" s="38" t="s">
        <v>30</v>
      </c>
      <c r="K10" s="161">
        <f>MRS!L3</f>
        <v>46157</v>
      </c>
      <c r="L10" s="162"/>
      <c r="M10" s="162"/>
    </row>
    <row r="11" spans="2:13" s="38" customFormat="1">
      <c r="B11" s="69"/>
      <c r="C11" s="72" t="s">
        <v>31</v>
      </c>
      <c r="D11" s="73" t="s">
        <v>112</v>
      </c>
      <c r="J11" s="38" t="s">
        <v>32</v>
      </c>
      <c r="K11" s="163" t="str">
        <f>SUBSTITUTE(SUBSTITUTE(+MRS!A3,"  MRS No : ",""),"-MRS","-PO")</f>
        <v>SAC2-DS-PO-0312</v>
      </c>
      <c r="L11" s="163"/>
      <c r="M11" s="163"/>
    </row>
    <row r="12" spans="2:13" s="38" customFormat="1">
      <c r="B12" s="69"/>
      <c r="C12" s="72" t="s">
        <v>123</v>
      </c>
      <c r="D12" s="38" t="s">
        <v>124</v>
      </c>
      <c r="J12" s="38" t="s">
        <v>33</v>
      </c>
    </row>
    <row r="13" spans="2:13" s="38" customFormat="1">
      <c r="B13" s="69"/>
      <c r="C13" s="74"/>
      <c r="D13" s="73" t="s">
        <v>120</v>
      </c>
      <c r="J13" s="38" t="s">
        <v>34</v>
      </c>
    </row>
    <row r="14" spans="2:13" s="38" customFormat="1">
      <c r="B14" s="69"/>
      <c r="C14" s="115" t="s">
        <v>113</v>
      </c>
      <c r="J14" s="38" t="s">
        <v>35</v>
      </c>
      <c r="K14" s="38" t="s">
        <v>146</v>
      </c>
    </row>
    <row r="15" spans="2:13" s="38" customFormat="1">
      <c r="B15" s="69"/>
      <c r="C15" s="72" t="s">
        <v>121</v>
      </c>
      <c r="D15" s="73" t="s">
        <v>122</v>
      </c>
      <c r="J15" s="38" t="s">
        <v>36</v>
      </c>
      <c r="K15" s="75">
        <v>46156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37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38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39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40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41</v>
      </c>
    </row>
    <row r="26" spans="2:13" s="38" customFormat="1" ht="15" customHeight="1">
      <c r="B26" s="70"/>
      <c r="C26" s="73" t="s">
        <v>109</v>
      </c>
      <c r="M26" s="76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5" customHeight="1">
      <c r="B29" s="32"/>
      <c r="C29" s="26" t="s">
        <v>44</v>
      </c>
      <c r="E29" s="26" t="s">
        <v>45</v>
      </c>
      <c r="F29" s="116">
        <f>'PO 2nd page'!G35</f>
        <v>12715</v>
      </c>
      <c r="G29" s="108"/>
      <c r="H29" s="108"/>
      <c r="M29" s="33"/>
    </row>
    <row r="30" spans="2:13" ht="15" customHeight="1">
      <c r="B30" s="32"/>
      <c r="C30" s="26" t="s">
        <v>46</v>
      </c>
      <c r="E30" s="26" t="s">
        <v>45</v>
      </c>
      <c r="F30" s="116">
        <f>'PO 2nd page'!G36</f>
        <v>1907.25</v>
      </c>
      <c r="G30" s="108"/>
      <c r="H30" s="108"/>
    </row>
    <row r="31" spans="2:13" ht="15" customHeight="1">
      <c r="B31" s="32"/>
      <c r="C31" s="26" t="s">
        <v>47</v>
      </c>
      <c r="D31" s="34"/>
      <c r="E31" s="26" t="s">
        <v>45</v>
      </c>
      <c r="F31" s="116">
        <f>'PO 2nd page'!G37</f>
        <v>14622.25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6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6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5" t="s">
        <v>55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56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57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58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59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60</v>
      </c>
    </row>
    <row r="49" spans="2:16" s="38" customFormat="1" ht="12" customHeight="1">
      <c r="B49" s="77" t="s">
        <v>61</v>
      </c>
      <c r="C49" s="78" t="s">
        <v>96</v>
      </c>
      <c r="P49" s="79"/>
    </row>
    <row r="50" spans="2:16" s="80" customFormat="1" ht="12" customHeight="1">
      <c r="B50" s="81" t="s">
        <v>61</v>
      </c>
      <c r="C50" s="78" t="s">
        <v>89</v>
      </c>
    </row>
    <row r="51" spans="2:16" s="80" customFormat="1" ht="12" customHeight="1">
      <c r="B51" s="81" t="s">
        <v>61</v>
      </c>
      <c r="C51" s="78" t="s">
        <v>88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100</v>
      </c>
    </row>
    <row r="54" spans="2:16" ht="12" customHeight="1">
      <c r="B54" s="81" t="s">
        <v>61</v>
      </c>
      <c r="C54" s="117" t="s">
        <v>102</v>
      </c>
      <c r="F54" s="118" t="s">
        <v>114</v>
      </c>
      <c r="P54" s="26" t="str">
        <f>UPPER(F54)</f>
        <v>ALAM ALAMANI TRADING COMPANY</v>
      </c>
    </row>
    <row r="55" spans="2:16" ht="12" customHeight="1">
      <c r="B55" s="81" t="s">
        <v>61</v>
      </c>
      <c r="C55" s="117" t="s">
        <v>103</v>
      </c>
      <c r="F55" s="118" t="s">
        <v>115</v>
      </c>
    </row>
    <row r="56" spans="2:16" ht="12" customHeight="1">
      <c r="B56" s="81" t="s">
        <v>61</v>
      </c>
      <c r="C56" s="117" t="s">
        <v>104</v>
      </c>
      <c r="F56" s="26" t="s">
        <v>116</v>
      </c>
    </row>
    <row r="57" spans="2:16" ht="12" customHeight="1">
      <c r="B57" s="81" t="s">
        <v>61</v>
      </c>
      <c r="C57" s="117" t="s">
        <v>105</v>
      </c>
      <c r="F57" s="26" t="s">
        <v>117</v>
      </c>
    </row>
    <row r="58" spans="2:16" ht="12" customHeight="1">
      <c r="B58" s="81" t="s">
        <v>61</v>
      </c>
      <c r="C58" s="117" t="s">
        <v>106</v>
      </c>
      <c r="F58" s="26" t="s">
        <v>118</v>
      </c>
    </row>
    <row r="59" spans="2:16" ht="12" customHeight="1">
      <c r="B59" s="81" t="s">
        <v>61</v>
      </c>
      <c r="C59" s="117" t="s">
        <v>107</v>
      </c>
      <c r="F59" s="26" t="s">
        <v>101</v>
      </c>
    </row>
    <row r="60" spans="2:16" ht="12" customHeight="1">
      <c r="B60" s="81"/>
      <c r="C60" s="117" t="s">
        <v>108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62</v>
      </c>
      <c r="J64" s="32" t="s">
        <v>63</v>
      </c>
    </row>
    <row r="65" spans="1:13" ht="41.25" customHeight="1"/>
    <row r="66" spans="1:13" ht="13.5" customHeight="1">
      <c r="B66" s="26" t="s">
        <v>64</v>
      </c>
      <c r="J66" s="26" t="s">
        <v>64</v>
      </c>
    </row>
    <row r="67" spans="1:13" ht="13.5" customHeight="1">
      <c r="B67" s="26" t="s">
        <v>65</v>
      </c>
      <c r="J67" s="26" t="s">
        <v>66</v>
      </c>
      <c r="K67" s="22" t="str">
        <f>D12</f>
        <v>Rafeeq Kotyadi</v>
      </c>
    </row>
    <row r="68" spans="1:13" ht="13.5" customHeight="1">
      <c r="B68" s="26" t="s">
        <v>67</v>
      </c>
      <c r="J68" s="26" t="s">
        <v>68</v>
      </c>
      <c r="K68" s="22" t="s">
        <v>125</v>
      </c>
    </row>
    <row r="69" spans="1:13" ht="13.5" customHeight="1">
      <c r="B69" s="26" t="s">
        <v>69</v>
      </c>
      <c r="J69" s="26" t="s">
        <v>70</v>
      </c>
    </row>
    <row r="70" spans="1:13" s="28" customFormat="1" ht="24.75" customHeight="1">
      <c r="B70" s="25" t="s">
        <v>98</v>
      </c>
      <c r="J70" s="168" t="str">
        <f>C9</f>
        <v>AMT(Alam Alamani Trading Company)</v>
      </c>
      <c r="K70" s="168"/>
      <c r="L70" s="168"/>
      <c r="M70" s="168"/>
    </row>
    <row r="71" spans="1:13" ht="27.95" customHeight="1">
      <c r="A71" s="160" t="s">
        <v>71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5"/>
  <sheetViews>
    <sheetView showGridLines="0" view="pageBreakPreview" zoomScaleSheetLayoutView="100" zoomScalePageLayoutView="55" workbookViewId="0">
      <selection activeCell="B14" sqref="B14:C14"/>
    </sheetView>
  </sheetViews>
  <sheetFormatPr defaultColWidth="9" defaultRowHeight="12.75"/>
  <cols>
    <col min="1" max="1" width="8.5703125" style="42" customWidth="1"/>
    <col min="2" max="3" width="27.42578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72</v>
      </c>
      <c r="B2" s="44" t="str">
        <f>+'PO 1st page'!K11</f>
        <v>SAC2-DS-PO-0312</v>
      </c>
      <c r="C2" s="171" t="s">
        <v>73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74</v>
      </c>
      <c r="B3" s="47">
        <f>+'PO 1st page'!K10</f>
        <v>46157</v>
      </c>
      <c r="C3" s="48"/>
      <c r="D3" s="49"/>
      <c r="E3" s="172" t="s">
        <v>75</v>
      </c>
      <c r="F3" s="172"/>
      <c r="G3" s="172"/>
      <c r="H3" s="172"/>
      <c r="I3" s="50"/>
    </row>
    <row r="4" spans="1:13" s="52" customFormat="1" ht="28.5" customHeight="1" thickTop="1">
      <c r="A4" s="173" t="s">
        <v>76</v>
      </c>
      <c r="B4" s="175" t="s">
        <v>77</v>
      </c>
      <c r="C4" s="176"/>
      <c r="D4" s="179" t="s">
        <v>78</v>
      </c>
      <c r="E4" s="179" t="s">
        <v>79</v>
      </c>
      <c r="F4" s="181" t="str">
        <f>'PO 1st page'!C9</f>
        <v>AMT(Alam Alamani Trading Company)</v>
      </c>
      <c r="G4" s="182"/>
      <c r="H4" s="183" t="s">
        <v>80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81</v>
      </c>
      <c r="G5" s="54" t="s">
        <v>47</v>
      </c>
      <c r="H5" s="184"/>
      <c r="K5" s="53"/>
      <c r="L5" s="53"/>
      <c r="M5" s="53"/>
    </row>
    <row r="6" spans="1:13" s="52" customFormat="1" ht="27.75" customHeight="1">
      <c r="A6" s="82">
        <f t="shared" ref="A6:A23" si="0">ROW(A1)</f>
        <v>1</v>
      </c>
      <c r="B6" s="169" t="str">
        <f>_xlfn.CONCAT(MRS!B6," ",MRS!D6)</f>
        <v>RECERT-CH1TON Inspection Repair Cleaning &amp; Re Certification.</v>
      </c>
      <c r="C6" s="170"/>
      <c r="D6" s="83" t="str">
        <f>MRS!G6</f>
        <v>EA</v>
      </c>
      <c r="E6" s="84">
        <f>MRS!H6</f>
        <v>1</v>
      </c>
      <c r="F6" s="85">
        <f>MRS!I6</f>
        <v>30</v>
      </c>
      <c r="G6" s="86">
        <f>MRS!J6</f>
        <v>30</v>
      </c>
      <c r="H6" s="87" t="s">
        <v>97</v>
      </c>
      <c r="K6" s="88"/>
      <c r="L6" s="89"/>
      <c r="M6" s="53"/>
    </row>
    <row r="7" spans="1:13" s="52" customFormat="1" ht="27.75" customHeight="1">
      <c r="A7" s="82">
        <f t="shared" si="0"/>
        <v>2</v>
      </c>
      <c r="B7" s="169" t="str">
        <f>_xlfn.CONCAT(MRS!B7," ",MRS!D7)</f>
        <v>RECERT-CH1.5TON Inspection Repair Cleaning &amp; Re Certification.</v>
      </c>
      <c r="C7" s="170"/>
      <c r="D7" s="83" t="str">
        <f>MRS!G7</f>
        <v>EA</v>
      </c>
      <c r="E7" s="84">
        <f>MRS!H7</f>
        <v>7</v>
      </c>
      <c r="F7" s="85">
        <f>MRS!I7</f>
        <v>35</v>
      </c>
      <c r="G7" s="86">
        <f>MRS!J7</f>
        <v>245</v>
      </c>
      <c r="H7" s="87"/>
      <c r="K7" s="88"/>
      <c r="L7" s="89"/>
      <c r="M7" s="53"/>
    </row>
    <row r="8" spans="1:13" s="52" customFormat="1" ht="27.75" customHeight="1">
      <c r="A8" s="90">
        <f t="shared" si="0"/>
        <v>3</v>
      </c>
      <c r="B8" s="169" t="str">
        <f>_xlfn.CONCAT(MRS!B8," ",MRS!D8)</f>
        <v>RECERT-CH2TON Inspection Repair Cleaning &amp; Re Certification.</v>
      </c>
      <c r="C8" s="170"/>
      <c r="D8" s="83" t="str">
        <f>MRS!G8</f>
        <v>EA</v>
      </c>
      <c r="E8" s="84">
        <f>MRS!H8</f>
        <v>31</v>
      </c>
      <c r="F8" s="85">
        <f>MRS!I8</f>
        <v>50</v>
      </c>
      <c r="G8" s="86">
        <f>MRS!J8</f>
        <v>1550</v>
      </c>
      <c r="H8" s="87"/>
      <c r="K8" s="53"/>
      <c r="L8" s="53"/>
      <c r="M8" s="53"/>
    </row>
    <row r="9" spans="1:13" s="52" customFormat="1" ht="27.75" customHeight="1">
      <c r="A9" s="90">
        <f t="shared" si="0"/>
        <v>4</v>
      </c>
      <c r="B9" s="169" t="str">
        <f>_xlfn.CONCAT(MRS!B9," ",MRS!D9)</f>
        <v>RECERT-CH3TON Inspection Repair Cleaning &amp; Re Certification.</v>
      </c>
      <c r="C9" s="170"/>
      <c r="D9" s="83" t="str">
        <f>MRS!G9</f>
        <v>EA</v>
      </c>
      <c r="E9" s="84">
        <f>MRS!H9</f>
        <v>30</v>
      </c>
      <c r="F9" s="85">
        <f>MRS!I9</f>
        <v>75</v>
      </c>
      <c r="G9" s="86">
        <f>MRS!J9</f>
        <v>2250</v>
      </c>
      <c r="H9" s="91"/>
    </row>
    <row r="10" spans="1:13" s="52" customFormat="1" ht="27.75" customHeight="1">
      <c r="A10" s="90">
        <f t="shared" si="0"/>
        <v>5</v>
      </c>
      <c r="B10" s="169" t="str">
        <f>_xlfn.CONCAT(MRS!B10," ",MRS!D10)</f>
        <v>RECERT-CH5TON Inspection Repair Cleaning &amp; Re Certification.</v>
      </c>
      <c r="C10" s="170"/>
      <c r="D10" s="83" t="str">
        <f>MRS!G10</f>
        <v>EA</v>
      </c>
      <c r="E10" s="84">
        <f>MRS!H10</f>
        <v>2</v>
      </c>
      <c r="F10" s="85">
        <f>MRS!I10</f>
        <v>75</v>
      </c>
      <c r="G10" s="86">
        <f>MRS!J10</f>
        <v>150</v>
      </c>
      <c r="H10" s="91"/>
    </row>
    <row r="11" spans="1:13" s="52" customFormat="1" ht="27.75" customHeight="1">
      <c r="A11" s="90">
        <f t="shared" si="0"/>
        <v>6</v>
      </c>
      <c r="B11" s="169" t="str">
        <f>_xlfn.CONCAT(MRS!B11," ",MRS!D11)</f>
        <v>WHP1/8X20" Whip Check Safety Cable Size 1/8" Length- 20" Brand Toyo Japan</v>
      </c>
      <c r="C11" s="170"/>
      <c r="D11" s="83" t="str">
        <f>MRS!G11</f>
        <v>EA</v>
      </c>
      <c r="E11" s="84">
        <f>MRS!H11</f>
        <v>50</v>
      </c>
      <c r="F11" s="85">
        <f>MRS!I11</f>
        <v>8</v>
      </c>
      <c r="G11" s="86">
        <f>MRS!J11</f>
        <v>400</v>
      </c>
      <c r="H11" s="91"/>
    </row>
    <row r="12" spans="1:13" s="52" customFormat="1" ht="27.75" customHeight="1">
      <c r="A12" s="90">
        <f t="shared" si="0"/>
        <v>7</v>
      </c>
      <c r="B12" s="169" t="str">
        <f>_xlfn.CONCAT(MRS!B12," ",MRS!D12)</f>
        <v>CROSS ARM STRAP Cross Arm Strap (Red &amp; Grey) With Small Dring At One End &amp; Large D-Ring At Other End - 6Ft - Pn806 (Karam India)</v>
      </c>
      <c r="C12" s="170"/>
      <c r="D12" s="83" t="str">
        <f>MRS!G12</f>
        <v>EA</v>
      </c>
      <c r="E12" s="84">
        <f>MRS!H12</f>
        <v>10</v>
      </c>
      <c r="F12" s="85">
        <f>MRS!I12</f>
        <v>110</v>
      </c>
      <c r="G12" s="86">
        <f>MRS!J12</f>
        <v>1100</v>
      </c>
      <c r="H12" s="91"/>
    </row>
    <row r="13" spans="1:13" s="52" customFormat="1" ht="27.75" customHeight="1">
      <c r="A13" s="90">
        <f t="shared" si="0"/>
        <v>8</v>
      </c>
      <c r="B13" s="169" t="str">
        <f>_xlfn.CONCAT(MRS!B13," ",MRS!D13)</f>
        <v>LKT 3T Safety Latches 3Ton For Chain Block</v>
      </c>
      <c r="C13" s="170"/>
      <c r="D13" s="83" t="str">
        <f>MRS!G13</f>
        <v>EA</v>
      </c>
      <c r="E13" s="84">
        <f>MRS!H13</f>
        <v>100</v>
      </c>
      <c r="F13" s="85">
        <f>MRS!I13</f>
        <v>12</v>
      </c>
      <c r="G13" s="86">
        <f>MRS!J13</f>
        <v>1200</v>
      </c>
      <c r="H13" s="91"/>
    </row>
    <row r="14" spans="1:13" s="52" customFormat="1" ht="27.75" customHeight="1">
      <c r="A14" s="90">
        <f t="shared" si="0"/>
        <v>9</v>
      </c>
      <c r="B14" s="169" t="str">
        <f>_xlfn.CONCAT(MRS!B14," ",MRS!D14)</f>
        <v>LKT 5T Safety Latches 5Ton For Chain Block</v>
      </c>
      <c r="C14" s="170"/>
      <c r="D14" s="83" t="str">
        <f>MRS!G14</f>
        <v>EA</v>
      </c>
      <c r="E14" s="84">
        <f>MRS!H14</f>
        <v>100</v>
      </c>
      <c r="F14" s="85">
        <f>MRS!I14</f>
        <v>14</v>
      </c>
      <c r="G14" s="86">
        <f>MRS!J14</f>
        <v>1400</v>
      </c>
      <c r="H14" s="91"/>
    </row>
    <row r="15" spans="1:13" s="52" customFormat="1" ht="27.75" customHeight="1">
      <c r="A15" s="90">
        <f t="shared" si="0"/>
        <v>10</v>
      </c>
      <c r="B15" s="169" t="str">
        <f>_xlfn.CONCAT(MRS!B15," ",MRS!D15)</f>
        <v>LKT 2T Safety Latches 2 Ton For Lever Block</v>
      </c>
      <c r="C15" s="170"/>
      <c r="D15" s="83" t="str">
        <f>MRS!G15</f>
        <v>EA</v>
      </c>
      <c r="E15" s="84">
        <f>MRS!H15</f>
        <v>100</v>
      </c>
      <c r="F15" s="85">
        <f>MRS!I15</f>
        <v>9</v>
      </c>
      <c r="G15" s="86">
        <f>MRS!J15</f>
        <v>900</v>
      </c>
      <c r="H15" s="91"/>
    </row>
    <row r="16" spans="1:13" s="52" customFormat="1" ht="27.75" customHeight="1">
      <c r="A16" s="90">
        <f t="shared" si="0"/>
        <v>11</v>
      </c>
      <c r="B16" s="169" t="str">
        <f>_xlfn.CONCAT(MRS!B16," ",MRS!D16)</f>
        <v>WHP1/8X20" Whip Check Safety Cable Size 1/8" Length- 20" Brand Toyo Japan</v>
      </c>
      <c r="C16" s="170"/>
      <c r="D16" s="83" t="str">
        <f>MRS!G16</f>
        <v>EA</v>
      </c>
      <c r="E16" s="84">
        <f>MRS!H16</f>
        <v>30</v>
      </c>
      <c r="F16" s="85">
        <f>MRS!I16</f>
        <v>8</v>
      </c>
      <c r="G16" s="86">
        <f>MRS!J16</f>
        <v>240</v>
      </c>
      <c r="H16" s="91"/>
    </row>
    <row r="17" spans="1:8" s="52" customFormat="1" ht="27.75" customHeight="1">
      <c r="A17" s="90">
        <f t="shared" si="0"/>
        <v>12</v>
      </c>
      <c r="B17" s="169" t="str">
        <f>_xlfn.CONCAT(MRS!B17," ",MRS!D17)</f>
        <v>GWP010 Gin Wheel Pulley 10" Sheave Dia Rope Size 19Mm To 22Mm Swl- 1000Lbs Brand Toyo Japan</v>
      </c>
      <c r="C17" s="170"/>
      <c r="D17" s="83" t="str">
        <f>MRS!G17</f>
        <v>EA</v>
      </c>
      <c r="E17" s="84">
        <f>MRS!H17</f>
        <v>10</v>
      </c>
      <c r="F17" s="85">
        <f>MRS!I17</f>
        <v>325</v>
      </c>
      <c r="G17" s="86">
        <f>MRS!J17</f>
        <v>3250</v>
      </c>
      <c r="H17" s="91"/>
    </row>
    <row r="18" spans="1:8" s="52" customFormat="1" ht="27.75" customHeight="1">
      <c r="A18" s="90"/>
      <c r="B18" s="169"/>
      <c r="C18" s="170"/>
      <c r="D18" s="83"/>
      <c r="E18" s="84"/>
      <c r="F18" s="85"/>
      <c r="G18" s="86"/>
      <c r="H18" s="91"/>
    </row>
    <row r="19" spans="1:8" s="52" customFormat="1" ht="27.75" customHeight="1">
      <c r="A19" s="90"/>
      <c r="B19" s="169"/>
      <c r="C19" s="170"/>
      <c r="D19" s="83"/>
      <c r="E19" s="84"/>
      <c r="F19" s="85"/>
      <c r="G19" s="86"/>
      <c r="H19" s="91"/>
    </row>
    <row r="20" spans="1:8" s="52" customFormat="1" ht="27.75" customHeight="1">
      <c r="A20" s="90"/>
      <c r="B20" s="169"/>
      <c r="C20" s="170"/>
      <c r="D20" s="83"/>
      <c r="E20" s="84"/>
      <c r="F20" s="85"/>
      <c r="G20" s="86"/>
      <c r="H20" s="91"/>
    </row>
    <row r="21" spans="1:8" s="52" customFormat="1" ht="27.75" customHeight="1">
      <c r="A21" s="90"/>
      <c r="B21" s="169"/>
      <c r="C21" s="170"/>
      <c r="D21" s="83"/>
      <c r="E21" s="84"/>
      <c r="F21" s="85"/>
      <c r="G21" s="86"/>
      <c r="H21" s="91"/>
    </row>
    <row r="22" spans="1:8" s="52" customFormat="1" ht="27.75" customHeight="1">
      <c r="A22" s="90"/>
      <c r="B22" s="169"/>
      <c r="C22" s="170"/>
      <c r="D22" s="83"/>
      <c r="E22" s="84"/>
      <c r="F22" s="85"/>
      <c r="G22" s="86"/>
      <c r="H22" s="91"/>
    </row>
    <row r="23" spans="1:8" s="52" customFormat="1" ht="27.75" customHeight="1">
      <c r="A23" s="90"/>
      <c r="B23" s="169"/>
      <c r="C23" s="170"/>
      <c r="D23" s="83"/>
      <c r="E23" s="84"/>
      <c r="F23" s="85"/>
      <c r="G23" s="86"/>
      <c r="H23" s="91"/>
    </row>
    <row r="24" spans="1:8" s="52" customFormat="1" ht="22.5" customHeight="1">
      <c r="A24" s="90"/>
      <c r="B24" s="169"/>
      <c r="C24" s="170"/>
      <c r="D24" s="83"/>
      <c r="E24" s="84"/>
      <c r="F24" s="85"/>
      <c r="G24" s="86"/>
      <c r="H24" s="91"/>
    </row>
    <row r="25" spans="1:8" s="52" customFormat="1" ht="22.5" customHeight="1">
      <c r="A25" s="90"/>
      <c r="B25" s="169"/>
      <c r="C25" s="170"/>
      <c r="D25" s="83"/>
      <c r="E25" s="84"/>
      <c r="F25" s="85"/>
      <c r="G25" s="86"/>
      <c r="H25" s="91"/>
    </row>
    <row r="26" spans="1:8" s="52" customFormat="1" ht="22.5" customHeight="1">
      <c r="A26" s="90"/>
      <c r="B26" s="169"/>
      <c r="C26" s="170"/>
      <c r="D26" s="83"/>
      <c r="E26" s="84"/>
      <c r="F26" s="85"/>
      <c r="G26" s="86"/>
      <c r="H26" s="91"/>
    </row>
    <row r="27" spans="1:8" s="52" customFormat="1" ht="22.5" customHeight="1">
      <c r="A27" s="90"/>
      <c r="B27" s="169"/>
      <c r="C27" s="170"/>
      <c r="D27" s="83"/>
      <c r="E27" s="84"/>
      <c r="F27" s="85"/>
      <c r="G27" s="86"/>
      <c r="H27" s="91"/>
    </row>
    <row r="28" spans="1:8" s="52" customFormat="1" ht="22.5" customHeight="1">
      <c r="A28" s="90"/>
      <c r="B28" s="169"/>
      <c r="C28" s="170"/>
      <c r="D28" s="83"/>
      <c r="E28" s="84"/>
      <c r="F28" s="85"/>
      <c r="G28" s="86"/>
      <c r="H28" s="91"/>
    </row>
    <row r="29" spans="1:8" s="52" customFormat="1" ht="22.5" customHeight="1">
      <c r="A29" s="90"/>
      <c r="B29" s="169"/>
      <c r="C29" s="170"/>
      <c r="D29" s="83"/>
      <c r="E29" s="84"/>
      <c r="F29" s="85"/>
      <c r="G29" s="86"/>
      <c r="H29" s="91"/>
    </row>
    <row r="30" spans="1:8" s="52" customFormat="1" ht="22.5" customHeight="1">
      <c r="A30" s="90"/>
      <c r="B30" s="169"/>
      <c r="C30" s="170"/>
      <c r="D30" s="83"/>
      <c r="E30" s="84"/>
      <c r="F30" s="85"/>
      <c r="G30" s="86"/>
      <c r="H30" s="91"/>
    </row>
    <row r="31" spans="1:8" s="52" customFormat="1" ht="22.5" customHeight="1">
      <c r="A31" s="90"/>
      <c r="B31" s="169"/>
      <c r="C31" s="170"/>
      <c r="D31" s="83"/>
      <c r="E31" s="84"/>
      <c r="F31" s="85"/>
      <c r="G31" s="86"/>
      <c r="H31" s="91"/>
    </row>
    <row r="32" spans="1:8" s="52" customFormat="1" ht="22.5" customHeight="1">
      <c r="A32" s="90"/>
      <c r="B32" s="169"/>
      <c r="C32" s="170"/>
      <c r="D32" s="83"/>
      <c r="E32" s="84"/>
      <c r="F32" s="85"/>
      <c r="G32" s="86"/>
      <c r="H32" s="91"/>
    </row>
    <row r="33" spans="1:13" s="52" customFormat="1" ht="22.5" customHeight="1">
      <c r="A33" s="90"/>
      <c r="B33" s="169"/>
      <c r="C33" s="170"/>
      <c r="D33" s="83"/>
      <c r="E33" s="84"/>
      <c r="F33" s="85"/>
      <c r="G33" s="86"/>
      <c r="H33" s="91"/>
    </row>
    <row r="34" spans="1:13" s="52" customFormat="1" ht="22.5" customHeight="1">
      <c r="A34" s="90"/>
      <c r="B34" s="169"/>
      <c r="C34" s="170"/>
      <c r="D34" s="83"/>
      <c r="E34" s="84"/>
      <c r="F34" s="85"/>
      <c r="G34" s="86"/>
      <c r="H34" s="91"/>
    </row>
    <row r="35" spans="1:13" s="52" customFormat="1" ht="23.1" customHeight="1">
      <c r="A35" s="185" t="s">
        <v>82</v>
      </c>
      <c r="B35" s="186"/>
      <c r="C35" s="186"/>
      <c r="D35" s="186"/>
      <c r="E35" s="186"/>
      <c r="F35" s="186"/>
      <c r="G35" s="55">
        <f>SUM(G6:G34)</f>
        <v>12715</v>
      </c>
      <c r="H35" s="56"/>
    </row>
    <row r="36" spans="1:13" s="52" customFormat="1" ht="23.1" customHeight="1">
      <c r="A36" s="185" t="s">
        <v>46</v>
      </c>
      <c r="B36" s="186"/>
      <c r="C36" s="186"/>
      <c r="D36" s="186"/>
      <c r="E36" s="186"/>
      <c r="F36" s="186"/>
      <c r="G36" s="55">
        <f>+G35*0.15</f>
        <v>1907.25</v>
      </c>
      <c r="H36" s="56"/>
    </row>
    <row r="37" spans="1:13" s="52" customFormat="1" ht="24.95" customHeight="1" thickBot="1">
      <c r="A37" s="187" t="s">
        <v>83</v>
      </c>
      <c r="B37" s="188"/>
      <c r="C37" s="188"/>
      <c r="D37" s="188"/>
      <c r="E37" s="188"/>
      <c r="F37" s="188"/>
      <c r="G37" s="57">
        <f>G36+G35</f>
        <v>14622.25</v>
      </c>
      <c r="H37" s="58"/>
    </row>
    <row r="38" spans="1:13" ht="15.75" thickTop="1">
      <c r="A38" s="59" t="str">
        <f>" 1) Above Price are as per your quotation with ref "&amp;'PO 1st page'!K14</f>
        <v xml:space="preserve"> 1) Above Price are as per your quotation with ref QT26-638</v>
      </c>
      <c r="B38" s="60"/>
      <c r="C38" s="60"/>
      <c r="D38" s="61"/>
      <c r="E38" s="61"/>
      <c r="F38" s="61"/>
      <c r="G38" s="61"/>
      <c r="H38" s="61"/>
    </row>
    <row r="39" spans="1:13" ht="15">
      <c r="A39" s="62" t="s">
        <v>84</v>
      </c>
      <c r="B39" s="63"/>
      <c r="C39" s="63"/>
      <c r="D39" s="64"/>
      <c r="E39" s="64"/>
      <c r="F39" s="64"/>
      <c r="G39" s="64"/>
      <c r="H39" s="64"/>
      <c r="I39" s="65"/>
    </row>
    <row r="40" spans="1:13" ht="15.75">
      <c r="A40" s="66"/>
    </row>
    <row r="41" spans="1:13">
      <c r="A41" s="160" t="s">
        <v>85</v>
      </c>
      <c r="B41" s="160"/>
      <c r="C41" s="160"/>
      <c r="D41" s="160"/>
      <c r="E41" s="160"/>
      <c r="F41" s="160"/>
      <c r="G41" s="160"/>
      <c r="H41" s="160"/>
      <c r="I41" s="67"/>
      <c r="J41" s="67"/>
      <c r="K41" s="67"/>
      <c r="L41" s="67"/>
      <c r="M41" s="67"/>
    </row>
    <row r="42" spans="1:13" ht="15.75">
      <c r="A42" s="66"/>
      <c r="C42" s="68"/>
    </row>
    <row r="43" spans="1:13" ht="15.75">
      <c r="A43" s="66"/>
      <c r="C43" s="68"/>
    </row>
    <row r="45" spans="1:13" ht="12" customHeight="1"/>
  </sheetData>
  <mergeCells count="41">
    <mergeCell ref="B30:C30"/>
    <mergeCell ref="B31:C31"/>
    <mergeCell ref="B32:C32"/>
    <mergeCell ref="B33:C33"/>
    <mergeCell ref="B34:C34"/>
    <mergeCell ref="A35:F35"/>
    <mergeCell ref="A36:F36"/>
    <mergeCell ref="A37:F37"/>
    <mergeCell ref="A41:H41"/>
    <mergeCell ref="B12:C12"/>
    <mergeCell ref="B14:C14"/>
    <mergeCell ref="B15:C15"/>
    <mergeCell ref="B20:C20"/>
    <mergeCell ref="B29:C29"/>
    <mergeCell ref="B16:C16"/>
    <mergeCell ref="B17:C17"/>
    <mergeCell ref="B19:C19"/>
    <mergeCell ref="B18:C18"/>
    <mergeCell ref="B13:C13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8:C28"/>
    <mergeCell ref="B23:C23"/>
    <mergeCell ref="B24:C24"/>
    <mergeCell ref="B25:C25"/>
    <mergeCell ref="B26:C26"/>
    <mergeCell ref="B27:C2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2026-05-15T03:48:45Z</cp:lastPrinted>
  <dcterms:created xsi:type="dcterms:W3CDTF">2024-10-20T11:50:19Z</dcterms:created>
  <dcterms:modified xsi:type="dcterms:W3CDTF">2026-05-15T03:48:48Z</dcterms:modified>
</cp:coreProperties>
</file>