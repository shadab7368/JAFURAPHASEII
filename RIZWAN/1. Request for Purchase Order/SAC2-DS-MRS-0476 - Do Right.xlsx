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68D54A39-3DA2-440A-9409-FADE1D65C6F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page'!$A$1:$H$52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J4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J7" i="1"/>
  <c r="A28" i="1" l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K10" i="3"/>
  <c r="G6" i="4" l="1"/>
  <c r="G46" i="4" s="1"/>
  <c r="F29" i="3" s="1"/>
  <c r="A49" i="4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1"/>
  <c r="A9" i="2" s="1"/>
  <c r="A8" i="1"/>
  <c r="A8" i="2" s="1"/>
  <c r="A7" i="1"/>
  <c r="A7" i="2" s="1"/>
  <c r="A6" i="1"/>
  <c r="A6" i="2" s="1"/>
  <c r="J6" i="2" l="1"/>
  <c r="G47" i="4" l="1"/>
  <c r="G48" i="4" l="1"/>
  <c r="F31" i="3" s="1"/>
  <c r="F30" i="3"/>
</calcChain>
</file>

<file path=xl/sharedStrings.xml><?xml version="1.0" encoding="utf-8"?>
<sst xmlns="http://schemas.openxmlformats.org/spreadsheetml/2006/main" count="264" uniqueCount="199">
  <si>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</si>
  <si>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</si>
  <si>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</si>
  <si>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</si>
  <si>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</si>
  <si>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</si>
  <si>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</si>
  <si>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</si>
  <si>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</si>
  <si>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</si>
  <si>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</si>
  <si>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</si>
  <si>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</si>
  <si>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</si>
  <si>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</si>
  <si>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</si>
  <si>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</si>
  <si>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</si>
  <si>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</si>
  <si>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</si>
  <si>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</si>
  <si>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</si>
  <si>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</si>
  <si>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</si>
  <si>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</si>
  <si>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</si>
  <si>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</si>
  <si>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</si>
  <si>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</si>
  <si>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</si>
  <si>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</si>
  <si>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</si>
  <si>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</si>
  <si>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</si>
  <si>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</si>
  <si>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</si>
  <si>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</si>
  <si>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</si>
  <si>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</si>
  <si>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</si>
  <si>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</si>
  <si>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</si>
  <si>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</si>
  <si>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</si>
  <si>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</si>
  <si>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</si>
  <si>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</si>
  <si>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</si>
  <si>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</si>
  <si>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</si>
  <si>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</si>
  <si>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</si>
  <si>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</si>
  <si>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</si>
  <si>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</si>
  <si>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</si>
  <si>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</si>
  <si>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</si>
  <si>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</si>
  <si>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</si>
  <si>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</si>
  <si>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</si>
  <si>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</si>
  <si>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</si>
  <si>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</si>
  <si>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</si>
  <si>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</si>
  <si>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</si>
  <si>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</si>
  <si>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</si>
  <si>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</si>
  <si>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</si>
  <si>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</si>
  <si>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</si>
  <si>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</si>
  <si>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</si>
  <si>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</si>
  <si>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</si>
  <si>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</si>
  <si>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</si>
  <si>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</si>
  <si>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</si>
  <si>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</si>
  <si>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</si>
  <si>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</si>
  <si>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</si>
  <si>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</si>
  <si>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</si>
  <si>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</si>
  <si>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</si>
  <si>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</si>
  <si>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</si>
  <si>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</si>
  <si>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</si>
  <si>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</si>
  <si>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</si>
  <si>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</si>
  <si>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</si>
  <si>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</si>
  <si>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</si>
  <si>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</si>
  <si>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</si>
  <si>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</si>
  <si>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</si>
  <si>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</si>
  <si>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</si>
  <si>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</si>
  <si>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</si>
  <si>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</si>
  <si>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</si>
  <si>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</si>
  <si>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</si>
  <si>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</si>
  <si>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</si>
  <si>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</si>
  <si>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</si>
  <si>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</si>
  <si>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</si>
  <si>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</si>
  <si>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</si>
  <si>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</si>
  <si>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</si>
  <si>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1000789169940</t>
  </si>
  <si>
    <t>SA13 2000 0001 0007 8916 9940</t>
  </si>
  <si>
    <t>RIYAD BANK</t>
  </si>
  <si>
    <t>RIBLSARI</t>
  </si>
  <si>
    <t>Business Developer</t>
  </si>
  <si>
    <t>DORIGHT CONTRACTING</t>
  </si>
  <si>
    <t>PKT</t>
  </si>
  <si>
    <t>BOX</t>
  </si>
  <si>
    <t>EA</t>
  </si>
  <si>
    <t>Office Consumables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</si>
  <si>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</si>
  <si>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-MRS-0476</t>
    </r>
  </si>
  <si>
    <t>USB C TO DUAL HDMI CONNECTOR</t>
  </si>
  <si>
    <t>WIFI ROUTER</t>
  </si>
  <si>
    <t>TIME RECORDER MACHINES</t>
  </si>
  <si>
    <t>HP LASER CATRIDGE</t>
  </si>
  <si>
    <t>KONICA C361i PRINTER - BLACK TONER</t>
  </si>
  <si>
    <t xml:space="preserve">KONICA C361i PRINTER - YELLOW TONER </t>
  </si>
  <si>
    <t xml:space="preserve">KONICA C361i PRINTER - CYAN TONER </t>
  </si>
  <si>
    <t>KONICA C361i PRINTER - MAGENTA TONER</t>
  </si>
  <si>
    <t>KONICA C361i PRINTER - DRUM (BLACK)</t>
  </si>
  <si>
    <t>ELECTRIC KETTLE</t>
  </si>
  <si>
    <t>RJ45 TO CPIN CONNECTOR</t>
  </si>
  <si>
    <t>CELING LED LIGHT</t>
  </si>
  <si>
    <t>DUSTBIN - SMALL</t>
  </si>
  <si>
    <t>DUSTBIN COVER - 10gln</t>
  </si>
  <si>
    <t>CLEANING CLOTHS</t>
  </si>
  <si>
    <t>CLEANING MOP WITH STICKS</t>
  </si>
  <si>
    <t>SHOVEL AND BROOM SET</t>
  </si>
  <si>
    <t>HARD BROOM BRUSH WITH IRON STICKS</t>
  </si>
  <si>
    <t>CLEANING WIPERS</t>
  </si>
  <si>
    <t>CLOROX</t>
  </si>
  <si>
    <t>PEN- BLUE</t>
  </si>
  <si>
    <t>PEN - BLACK</t>
  </si>
  <si>
    <t>PEN - RED</t>
  </si>
  <si>
    <t>PENCIL</t>
  </si>
  <si>
    <t>STAMP PAD</t>
  </si>
  <si>
    <t>STAMP INK</t>
  </si>
  <si>
    <t>BINDER CLIP - 51 MM</t>
  </si>
  <si>
    <t>CLIP BOARD</t>
  </si>
  <si>
    <t>SENSODYNE TOOTHPASTE - WHITE</t>
  </si>
  <si>
    <t>HEAD &amp; SHOLDERS SHAMPOO - MENTHOL</t>
  </si>
  <si>
    <t>DOVE SOAP</t>
  </si>
  <si>
    <t>WET TISSUE</t>
  </si>
  <si>
    <t>SOFT DRINKS</t>
  </si>
  <si>
    <t>PAPER CUPS</t>
  </si>
  <si>
    <t>SUGAR</t>
  </si>
  <si>
    <t>COFFEE FILTERS - 4" SIZE</t>
  </si>
  <si>
    <t>WATER - 300 ML AQAFINA</t>
  </si>
  <si>
    <t>JUICE</t>
  </si>
  <si>
    <t>YELLOW SAFETY VEST - TCN</t>
  </si>
  <si>
    <t>CHIN STRAP</t>
  </si>
  <si>
    <t>tp link</t>
  </si>
  <si>
    <t>106A</t>
  </si>
  <si>
    <t>TN328K /  PART NO.-AAV8120</t>
  </si>
  <si>
    <t>TN328Y /  PART NO.-AAV8220</t>
  </si>
  <si>
    <t>TN328C /  PART NO.-AAV8320</t>
  </si>
  <si>
    <t>TN328M /  PART NO.-AAV8420</t>
  </si>
  <si>
    <t>DR316K BLACK DRUM UNIT</t>
  </si>
  <si>
    <t>MICRODIGITINTERNET ADAPTOR</t>
  </si>
  <si>
    <t>60*60,60W</t>
  </si>
  <si>
    <t>plastic</t>
  </si>
  <si>
    <t>1*10 ROLLS/ PKT</t>
  </si>
  <si>
    <t>12pc*1</t>
  </si>
  <si>
    <t>3.78LTR*6</t>
  </si>
  <si>
    <t>1*50/ PKT</t>
  </si>
  <si>
    <t>10 PIECES/ PKT</t>
  </si>
  <si>
    <t>RED 3/ BLUE 3</t>
  </si>
  <si>
    <t>400 ML</t>
  </si>
  <si>
    <t>30 CANS/ PKT</t>
  </si>
  <si>
    <t>20kg box</t>
  </si>
  <si>
    <t>40 BOTTELS/ BOX</t>
  </si>
  <si>
    <t>VOLTAS</t>
  </si>
  <si>
    <t>PKTS</t>
  </si>
  <si>
    <t>BOTTEL</t>
  </si>
  <si>
    <t>box</t>
  </si>
  <si>
    <t>SAL-QTN-2026-0057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</si>
</sst>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68" fontId="3" fillId="0" borderId="16" xfId="0" quotePrefix="1" applyNumberFormat="1" applyFont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46</xdr:row>
          <xdr:rowOff>229603</xdr:rowOff>
        </xdr:from>
        <xdr:to>
          <xdr:col>11</xdr:col>
          <xdr:colOff>1361574</xdr:colOff>
          <xdr:row>53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50:$Y$56" spid="_x0000_s12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82"/>
  <sheetViews>
    <sheetView showGridLines="0" tabSelected="1" view="pageBreakPreview" zoomScale="95" zoomScaleNormal="95" zoomScaleSheetLayoutView="95" workbookViewId="0">
      <selection activeCell="J7" sqref="J7"/>
    </sheetView>
  </sheetViews>
  <sheetFormatPr defaultColWidth="9" defaultRowHeight="21" customHeight="1"/>
  <cols>
    <col min="1" max="1" width="3.7109375" style="2" customWidth="1"/>
    <col min="2" max="2" width="22.140625" style="2" customWidth="1"/>
    <col min="3" max="3" width="22.28515625" style="2" customWidth="1"/>
    <col min="4" max="4" width="17.28515625" style="2" customWidth="1"/>
    <col min="5" max="6" width="7" style="2" customWidth="1"/>
    <col min="7" max="7" width="8.57031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1" t="s">
        <v>101</v>
      </c>
      <c r="B1" s="112"/>
      <c r="C1" s="97"/>
      <c r="D1" s="97"/>
      <c r="E1" s="97"/>
      <c r="F1" s="97"/>
      <c r="G1" s="1"/>
      <c r="J1" s="164" t="s">
        <v>83</v>
      </c>
      <c r="K1" s="165"/>
      <c r="L1" s="166"/>
    </row>
    <row r="2" spans="1:19" ht="20.100000000000001" customHeight="1">
      <c r="A2" s="3" t="s">
        <v>84</v>
      </c>
      <c r="B2" s="88"/>
      <c r="C2" s="88"/>
      <c r="D2" s="3" t="s">
        <v>102</v>
      </c>
      <c r="E2" s="88"/>
      <c r="F2" s="88"/>
      <c r="G2" s="88"/>
      <c r="H2" s="88"/>
      <c r="I2" s="4"/>
      <c r="J2" s="167" t="s">
        <v>85</v>
      </c>
      <c r="K2" s="168"/>
      <c r="L2" s="169"/>
    </row>
    <row r="3" spans="1:19" ht="20.100000000000001" customHeight="1">
      <c r="A3" s="3" t="s">
        <v>133</v>
      </c>
      <c r="B3" s="88"/>
      <c r="C3" s="88"/>
      <c r="D3" s="88"/>
      <c r="E3" s="170">
        <f>+L3+3</f>
        <v>46298</v>
      </c>
      <c r="F3" s="170"/>
      <c r="G3" s="170"/>
      <c r="H3" s="170"/>
      <c r="I3" s="170"/>
      <c r="J3" s="88"/>
      <c r="K3" s="88"/>
      <c r="L3" s="113">
        <v>46295</v>
      </c>
      <c r="M3" s="4"/>
    </row>
    <row r="4" spans="1:19" ht="15.95" customHeight="1">
      <c r="A4" s="147" t="s">
        <v>1</v>
      </c>
      <c r="B4" s="148" t="s">
        <v>2</v>
      </c>
      <c r="C4" s="148"/>
      <c r="D4" s="149" t="s">
        <v>3</v>
      </c>
      <c r="E4" s="150"/>
      <c r="F4" s="151"/>
      <c r="G4" s="155" t="s">
        <v>4</v>
      </c>
      <c r="H4" s="157" t="s">
        <v>5</v>
      </c>
      <c r="I4" s="157" t="s">
        <v>81</v>
      </c>
      <c r="J4" s="147" t="s">
        <v>82</v>
      </c>
      <c r="K4" s="157" t="s">
        <v>0</v>
      </c>
      <c r="L4" s="148" t="s">
        <v>6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18.75" customHeight="1">
      <c r="A6" s="5">
        <f t="shared" ref="A6:A45" si="0">ROW(A1)</f>
        <v>1</v>
      </c>
      <c r="B6" s="159" t="s">
        <v>134</v>
      </c>
      <c r="C6" s="160"/>
      <c r="D6" s="161"/>
      <c r="E6" s="162"/>
      <c r="F6" s="163"/>
      <c r="G6" s="98" t="s">
        <v>130</v>
      </c>
      <c r="H6" s="99">
        <v>2</v>
      </c>
      <c r="I6" s="100">
        <v>43.75</v>
      </c>
      <c r="J6" s="100">
        <f>H6*I6</f>
        <v>87.5</v>
      </c>
      <c r="K6" s="101" t="s">
        <v>115</v>
      </c>
      <c r="L6" s="123" t="s">
        <v>132</v>
      </c>
      <c r="S6" s="93"/>
    </row>
    <row r="7" spans="1:19" ht="18.75" customHeight="1">
      <c r="A7" s="5">
        <f t="shared" si="0"/>
        <v>2</v>
      </c>
      <c r="B7" s="159" t="s">
        <v>135</v>
      </c>
      <c r="C7" s="160"/>
      <c r="D7" s="161" t="s">
        <v>174</v>
      </c>
      <c r="E7" s="162"/>
      <c r="F7" s="163"/>
      <c r="G7" s="98" t="s">
        <v>130</v>
      </c>
      <c r="H7" s="99">
        <v>1</v>
      </c>
      <c r="I7" s="100">
        <v>81.25</v>
      </c>
      <c r="J7" s="100">
        <f t="shared" ref="J7:J45" si="1">H7*I7</f>
        <v>81.25</v>
      </c>
      <c r="K7" s="124"/>
      <c r="L7" s="123"/>
      <c r="S7" s="93"/>
    </row>
    <row r="8" spans="1:19" ht="18.75" customHeight="1">
      <c r="A8" s="5">
        <f t="shared" si="0"/>
        <v>3</v>
      </c>
      <c r="B8" s="159" t="s">
        <v>136</v>
      </c>
      <c r="C8" s="160"/>
      <c r="D8" s="161"/>
      <c r="E8" s="162"/>
      <c r="F8" s="163"/>
      <c r="G8" s="98" t="s">
        <v>130</v>
      </c>
      <c r="H8" s="99">
        <v>2</v>
      </c>
      <c r="I8" s="100">
        <v>495</v>
      </c>
      <c r="J8" s="100">
        <f t="shared" ref="J8:J45" si="2">H8*I8</f>
        <v>990</v>
      </c>
      <c r="K8" s="124"/>
      <c r="L8" s="123"/>
      <c r="S8" s="93"/>
    </row>
    <row r="9" spans="1:19" ht="18.75" customHeight="1">
      <c r="A9" s="5">
        <f t="shared" si="0"/>
        <v>4</v>
      </c>
      <c r="B9" s="159" t="s">
        <v>137</v>
      </c>
      <c r="C9" s="160"/>
      <c r="D9" s="161" t="s">
        <v>175</v>
      </c>
      <c r="E9" s="162"/>
      <c r="F9" s="163"/>
      <c r="G9" s="98" t="s">
        <v>130</v>
      </c>
      <c r="H9" s="99">
        <v>6</v>
      </c>
      <c r="I9" s="100">
        <v>243.54</v>
      </c>
      <c r="J9" s="100">
        <f t="shared" si="2"/>
        <v>1461.24</v>
      </c>
      <c r="K9" s="124"/>
      <c r="L9" s="123"/>
      <c r="S9" s="93"/>
    </row>
    <row r="10" spans="1:19" ht="18.75" customHeight="1">
      <c r="A10" s="5">
        <f t="shared" si="0"/>
        <v>5</v>
      </c>
      <c r="B10" s="159" t="s">
        <v>138</v>
      </c>
      <c r="C10" s="160"/>
      <c r="D10" s="161" t="s">
        <v>176</v>
      </c>
      <c r="E10" s="162"/>
      <c r="F10" s="163"/>
      <c r="G10" s="98" t="s">
        <v>130</v>
      </c>
      <c r="H10" s="99">
        <v>30</v>
      </c>
      <c r="I10" s="100">
        <v>285</v>
      </c>
      <c r="J10" s="100">
        <f t="shared" si="2"/>
        <v>8550</v>
      </c>
      <c r="K10" s="124"/>
      <c r="L10" s="123"/>
      <c r="S10" s="93"/>
    </row>
    <row r="11" spans="1:19" ht="18.75" customHeight="1">
      <c r="A11" s="5">
        <f t="shared" si="0"/>
        <v>6</v>
      </c>
      <c r="B11" s="159" t="s">
        <v>139</v>
      </c>
      <c r="C11" s="160"/>
      <c r="D11" s="161" t="s">
        <v>177</v>
      </c>
      <c r="E11" s="162"/>
      <c r="F11" s="163"/>
      <c r="G11" s="98" t="s">
        <v>130</v>
      </c>
      <c r="H11" s="99">
        <v>10</v>
      </c>
      <c r="I11" s="100">
        <v>415</v>
      </c>
      <c r="J11" s="100">
        <f t="shared" si="2"/>
        <v>4150</v>
      </c>
      <c r="K11" s="124"/>
      <c r="L11" s="123"/>
      <c r="S11" s="93"/>
    </row>
    <row r="12" spans="1:19" ht="18.75" customHeight="1">
      <c r="A12" s="5">
        <f t="shared" si="0"/>
        <v>7</v>
      </c>
      <c r="B12" s="159" t="s">
        <v>140</v>
      </c>
      <c r="C12" s="160"/>
      <c r="D12" s="161" t="s">
        <v>178</v>
      </c>
      <c r="E12" s="162"/>
      <c r="F12" s="163"/>
      <c r="G12" s="98" t="s">
        <v>130</v>
      </c>
      <c r="H12" s="99">
        <v>10</v>
      </c>
      <c r="I12" s="100">
        <v>415</v>
      </c>
      <c r="J12" s="100">
        <f t="shared" si="2"/>
        <v>4150</v>
      </c>
      <c r="K12" s="124"/>
      <c r="L12" s="123"/>
      <c r="S12" s="93"/>
    </row>
    <row r="13" spans="1:19" ht="18.75" customHeight="1">
      <c r="A13" s="5">
        <f t="shared" si="0"/>
        <v>8</v>
      </c>
      <c r="B13" s="159" t="s">
        <v>141</v>
      </c>
      <c r="C13" s="160"/>
      <c r="D13" s="161" t="s">
        <v>179</v>
      </c>
      <c r="E13" s="162"/>
      <c r="F13" s="163"/>
      <c r="G13" s="98" t="s">
        <v>130</v>
      </c>
      <c r="H13" s="99">
        <v>10</v>
      </c>
      <c r="I13" s="100">
        <v>415</v>
      </c>
      <c r="J13" s="100">
        <f t="shared" si="2"/>
        <v>4150</v>
      </c>
      <c r="K13" s="124"/>
      <c r="L13" s="123"/>
      <c r="S13" s="93"/>
    </row>
    <row r="14" spans="1:19" ht="18.75" customHeight="1">
      <c r="A14" s="5">
        <f t="shared" si="0"/>
        <v>9</v>
      </c>
      <c r="B14" s="159" t="s">
        <v>142</v>
      </c>
      <c r="C14" s="160"/>
      <c r="D14" s="161" t="s">
        <v>180</v>
      </c>
      <c r="E14" s="162"/>
      <c r="F14" s="163"/>
      <c r="G14" s="98" t="s">
        <v>130</v>
      </c>
      <c r="H14" s="99">
        <v>5</v>
      </c>
      <c r="I14" s="100">
        <v>762.6</v>
      </c>
      <c r="J14" s="100">
        <f t="shared" si="2"/>
        <v>3813</v>
      </c>
      <c r="K14" s="124"/>
      <c r="L14" s="123"/>
      <c r="S14" s="93"/>
    </row>
    <row r="15" spans="1:19" ht="18.75" customHeight="1">
      <c r="A15" s="5">
        <f t="shared" si="0"/>
        <v>10</v>
      </c>
      <c r="B15" s="159" t="s">
        <v>143</v>
      </c>
      <c r="C15" s="160"/>
      <c r="D15" s="161"/>
      <c r="E15" s="162"/>
      <c r="F15" s="163"/>
      <c r="G15" s="98" t="s">
        <v>130</v>
      </c>
      <c r="H15" s="99">
        <v>3</v>
      </c>
      <c r="I15" s="100">
        <v>24.6</v>
      </c>
      <c r="J15" s="100">
        <f t="shared" si="2"/>
        <v>73.800000000000011</v>
      </c>
      <c r="K15" s="124"/>
      <c r="L15" s="123"/>
      <c r="S15" s="93"/>
    </row>
    <row r="16" spans="1:19" ht="18.75" customHeight="1">
      <c r="A16" s="5">
        <f t="shared" si="0"/>
        <v>11</v>
      </c>
      <c r="B16" s="159" t="s">
        <v>144</v>
      </c>
      <c r="C16" s="160"/>
      <c r="D16" s="161" t="s">
        <v>181</v>
      </c>
      <c r="E16" s="162"/>
      <c r="F16" s="163"/>
      <c r="G16" s="98" t="s">
        <v>130</v>
      </c>
      <c r="H16" s="99">
        <v>20</v>
      </c>
      <c r="I16" s="100">
        <v>25</v>
      </c>
      <c r="J16" s="100">
        <f t="shared" si="2"/>
        <v>500</v>
      </c>
      <c r="K16" s="124"/>
      <c r="L16" s="123"/>
      <c r="S16" s="93"/>
    </row>
    <row r="17" spans="1:19" ht="18.75" customHeight="1">
      <c r="A17" s="5">
        <f t="shared" si="0"/>
        <v>12</v>
      </c>
      <c r="B17" s="159" t="s">
        <v>145</v>
      </c>
      <c r="C17" s="160"/>
      <c r="D17" s="161" t="s">
        <v>182</v>
      </c>
      <c r="E17" s="162"/>
      <c r="F17" s="163"/>
      <c r="G17" s="98" t="s">
        <v>130</v>
      </c>
      <c r="H17" s="99">
        <v>20</v>
      </c>
      <c r="I17" s="100">
        <v>57.5</v>
      </c>
      <c r="J17" s="100">
        <f t="shared" si="2"/>
        <v>1150</v>
      </c>
      <c r="K17" s="124"/>
      <c r="L17" s="123"/>
      <c r="S17" s="93"/>
    </row>
    <row r="18" spans="1:19" ht="18.75" customHeight="1">
      <c r="A18" s="5">
        <f t="shared" si="0"/>
        <v>13</v>
      </c>
      <c r="B18" s="159" t="s">
        <v>146</v>
      </c>
      <c r="C18" s="160"/>
      <c r="D18" s="161" t="s">
        <v>183</v>
      </c>
      <c r="E18" s="162"/>
      <c r="F18" s="163"/>
      <c r="G18" s="98" t="s">
        <v>130</v>
      </c>
      <c r="H18" s="99">
        <v>20</v>
      </c>
      <c r="I18" s="100">
        <v>5.43</v>
      </c>
      <c r="J18" s="100">
        <f t="shared" si="2"/>
        <v>108.6</v>
      </c>
      <c r="K18" s="124"/>
      <c r="L18" s="123"/>
      <c r="S18" s="93"/>
    </row>
    <row r="19" spans="1:19" ht="18.75" customHeight="1">
      <c r="A19" s="5">
        <f t="shared" si="0"/>
        <v>14</v>
      </c>
      <c r="B19" s="159" t="s">
        <v>147</v>
      </c>
      <c r="C19" s="160"/>
      <c r="D19" s="161" t="s">
        <v>184</v>
      </c>
      <c r="E19" s="162"/>
      <c r="F19" s="163"/>
      <c r="G19" s="98" t="s">
        <v>128</v>
      </c>
      <c r="H19" s="99">
        <v>10</v>
      </c>
      <c r="I19" s="100">
        <v>36.9</v>
      </c>
      <c r="J19" s="100">
        <f t="shared" si="2"/>
        <v>369</v>
      </c>
      <c r="K19" s="124"/>
      <c r="L19" s="123"/>
      <c r="S19" s="93"/>
    </row>
    <row r="20" spans="1:19" ht="18.75" customHeight="1">
      <c r="A20" s="5">
        <f t="shared" si="0"/>
        <v>15</v>
      </c>
      <c r="B20" s="159" t="s">
        <v>148</v>
      </c>
      <c r="C20" s="160"/>
      <c r="D20" s="161" t="s">
        <v>185</v>
      </c>
      <c r="E20" s="162"/>
      <c r="F20" s="163"/>
      <c r="G20" s="98" t="s">
        <v>195</v>
      </c>
      <c r="H20" s="99">
        <v>5</v>
      </c>
      <c r="I20" s="100">
        <v>2.62</v>
      </c>
      <c r="J20" s="100">
        <f t="shared" si="2"/>
        <v>13.100000000000001</v>
      </c>
      <c r="K20" s="124"/>
      <c r="L20" s="123"/>
      <c r="S20" s="93"/>
    </row>
    <row r="21" spans="1:19" ht="18.75" customHeight="1">
      <c r="A21" s="5">
        <f t="shared" si="0"/>
        <v>16</v>
      </c>
      <c r="B21" s="159" t="s">
        <v>149</v>
      </c>
      <c r="C21" s="160"/>
      <c r="D21" s="161"/>
      <c r="E21" s="162"/>
      <c r="F21" s="163"/>
      <c r="G21" s="98" t="s">
        <v>130</v>
      </c>
      <c r="H21" s="99">
        <v>10</v>
      </c>
      <c r="I21" s="100">
        <v>15</v>
      </c>
      <c r="J21" s="100">
        <f t="shared" si="2"/>
        <v>150</v>
      </c>
      <c r="K21" s="124"/>
      <c r="L21" s="123"/>
      <c r="S21" s="93"/>
    </row>
    <row r="22" spans="1:19" ht="18.75" customHeight="1">
      <c r="A22" s="5">
        <f t="shared" si="0"/>
        <v>17</v>
      </c>
      <c r="B22" s="159" t="s">
        <v>150</v>
      </c>
      <c r="C22" s="160"/>
      <c r="D22" s="161"/>
      <c r="E22" s="162"/>
      <c r="F22" s="163"/>
      <c r="G22" s="98" t="s">
        <v>130</v>
      </c>
      <c r="H22" s="99">
        <v>4</v>
      </c>
      <c r="I22" s="100">
        <v>10.87</v>
      </c>
      <c r="J22" s="100">
        <f t="shared" si="2"/>
        <v>43.48</v>
      </c>
      <c r="K22" s="124"/>
      <c r="L22" s="123"/>
      <c r="S22" s="93"/>
    </row>
    <row r="23" spans="1:19" ht="18.75" customHeight="1">
      <c r="A23" s="5">
        <f t="shared" si="0"/>
        <v>18</v>
      </c>
      <c r="B23" s="159" t="s">
        <v>151</v>
      </c>
      <c r="C23" s="160"/>
      <c r="D23" s="161"/>
      <c r="E23" s="162"/>
      <c r="F23" s="163"/>
      <c r="G23" s="98" t="s">
        <v>130</v>
      </c>
      <c r="H23" s="99">
        <v>20</v>
      </c>
      <c r="I23" s="100">
        <v>4.3499999999999996</v>
      </c>
      <c r="J23" s="100">
        <f t="shared" si="2"/>
        <v>87</v>
      </c>
      <c r="K23" s="124"/>
      <c r="L23" s="123"/>
      <c r="S23" s="93"/>
    </row>
    <row r="24" spans="1:19" ht="18.75" customHeight="1">
      <c r="A24" s="5">
        <f t="shared" si="0"/>
        <v>19</v>
      </c>
      <c r="B24" s="159" t="s">
        <v>152</v>
      </c>
      <c r="C24" s="160"/>
      <c r="D24" s="161"/>
      <c r="E24" s="162"/>
      <c r="F24" s="163"/>
      <c r="G24" s="98" t="s">
        <v>130</v>
      </c>
      <c r="H24" s="99">
        <v>5</v>
      </c>
      <c r="I24" s="100">
        <v>10</v>
      </c>
      <c r="J24" s="100">
        <f t="shared" si="2"/>
        <v>50</v>
      </c>
      <c r="K24" s="124"/>
      <c r="L24" s="123"/>
      <c r="S24" s="93"/>
    </row>
    <row r="25" spans="1:19" ht="18.75" customHeight="1">
      <c r="A25" s="5">
        <f t="shared" si="0"/>
        <v>20</v>
      </c>
      <c r="B25" s="159" t="s">
        <v>153</v>
      </c>
      <c r="C25" s="160"/>
      <c r="D25" s="161" t="s">
        <v>186</v>
      </c>
      <c r="E25" s="162"/>
      <c r="F25" s="163"/>
      <c r="G25" s="98" t="s">
        <v>196</v>
      </c>
      <c r="H25" s="99">
        <v>6</v>
      </c>
      <c r="I25" s="100">
        <v>18.47</v>
      </c>
      <c r="J25" s="100">
        <f t="shared" si="2"/>
        <v>110.82</v>
      </c>
      <c r="K25" s="124"/>
      <c r="L25" s="123"/>
      <c r="S25" s="93"/>
    </row>
    <row r="26" spans="1:19" ht="18.75" customHeight="1">
      <c r="A26" s="5">
        <f t="shared" si="0"/>
        <v>21</v>
      </c>
      <c r="B26" s="159" t="s">
        <v>154</v>
      </c>
      <c r="C26" s="160"/>
      <c r="D26" s="161" t="s">
        <v>187</v>
      </c>
      <c r="E26" s="162"/>
      <c r="F26" s="163"/>
      <c r="G26" s="98" t="s">
        <v>128</v>
      </c>
      <c r="H26" s="99">
        <v>40</v>
      </c>
      <c r="I26" s="100">
        <v>19.68</v>
      </c>
      <c r="J26" s="100">
        <f t="shared" si="2"/>
        <v>787.2</v>
      </c>
      <c r="K26" s="124"/>
      <c r="L26" s="123"/>
      <c r="S26" s="93"/>
    </row>
    <row r="27" spans="1:19" ht="18.75" customHeight="1">
      <c r="A27" s="5">
        <f t="shared" si="0"/>
        <v>22</v>
      </c>
      <c r="B27" s="159" t="s">
        <v>155</v>
      </c>
      <c r="C27" s="160"/>
      <c r="D27" s="161" t="s">
        <v>187</v>
      </c>
      <c r="E27" s="162"/>
      <c r="F27" s="163"/>
      <c r="G27" s="98" t="s">
        <v>128</v>
      </c>
      <c r="H27" s="99">
        <v>10</v>
      </c>
      <c r="I27" s="100">
        <v>19.68</v>
      </c>
      <c r="J27" s="100">
        <f t="shared" si="2"/>
        <v>196.8</v>
      </c>
      <c r="K27" s="124"/>
      <c r="L27" s="123"/>
      <c r="S27" s="93"/>
    </row>
    <row r="28" spans="1:19" ht="18.75" customHeight="1">
      <c r="A28" s="5">
        <f t="shared" si="0"/>
        <v>23</v>
      </c>
      <c r="B28" s="159" t="s">
        <v>156</v>
      </c>
      <c r="C28" s="160"/>
      <c r="D28" s="161" t="s">
        <v>187</v>
      </c>
      <c r="E28" s="162"/>
      <c r="F28" s="163"/>
      <c r="G28" s="98" t="s">
        <v>128</v>
      </c>
      <c r="H28" s="99">
        <v>10</v>
      </c>
      <c r="I28" s="100">
        <v>19.68</v>
      </c>
      <c r="J28" s="100">
        <f t="shared" si="2"/>
        <v>196.8</v>
      </c>
      <c r="K28" s="124"/>
      <c r="L28" s="123"/>
      <c r="S28" s="93"/>
    </row>
    <row r="29" spans="1:19" ht="18.75" customHeight="1">
      <c r="A29" s="5">
        <f t="shared" si="0"/>
        <v>24</v>
      </c>
      <c r="B29" s="159" t="s">
        <v>157</v>
      </c>
      <c r="C29" s="160"/>
      <c r="D29" s="161" t="s">
        <v>188</v>
      </c>
      <c r="E29" s="162"/>
      <c r="F29" s="163"/>
      <c r="G29" s="98" t="s">
        <v>128</v>
      </c>
      <c r="H29" s="99">
        <v>50</v>
      </c>
      <c r="I29" s="100">
        <v>4.92</v>
      </c>
      <c r="J29" s="100">
        <f t="shared" si="2"/>
        <v>246</v>
      </c>
      <c r="K29" s="124"/>
      <c r="L29" s="123"/>
      <c r="S29" s="93"/>
    </row>
    <row r="30" spans="1:19" ht="18.75" customHeight="1">
      <c r="A30" s="5">
        <f t="shared" si="0"/>
        <v>25</v>
      </c>
      <c r="B30" s="159" t="s">
        <v>158</v>
      </c>
      <c r="C30" s="160"/>
      <c r="D30" s="161"/>
      <c r="E30" s="162"/>
      <c r="F30" s="163"/>
      <c r="G30" s="98" t="s">
        <v>130</v>
      </c>
      <c r="H30" s="99">
        <v>2</v>
      </c>
      <c r="I30" s="100">
        <v>2.5</v>
      </c>
      <c r="J30" s="100">
        <f t="shared" si="2"/>
        <v>5</v>
      </c>
      <c r="K30" s="124"/>
      <c r="L30" s="123"/>
      <c r="S30" s="93"/>
    </row>
    <row r="31" spans="1:19" ht="18.75" customHeight="1">
      <c r="A31" s="5">
        <f t="shared" si="0"/>
        <v>26</v>
      </c>
      <c r="B31" s="159" t="s">
        <v>159</v>
      </c>
      <c r="C31" s="160"/>
      <c r="D31" s="161" t="s">
        <v>189</v>
      </c>
      <c r="E31" s="162"/>
      <c r="F31" s="163"/>
      <c r="G31" s="98" t="s">
        <v>130</v>
      </c>
      <c r="H31" s="99">
        <v>6</v>
      </c>
      <c r="I31" s="100">
        <v>1.25</v>
      </c>
      <c r="J31" s="100">
        <f t="shared" si="2"/>
        <v>7.5</v>
      </c>
      <c r="K31" s="124"/>
      <c r="L31" s="123"/>
      <c r="S31" s="93"/>
    </row>
    <row r="32" spans="1:19" ht="18.75" customHeight="1">
      <c r="A32" s="5">
        <f t="shared" si="0"/>
        <v>27</v>
      </c>
      <c r="B32" s="159" t="s">
        <v>160</v>
      </c>
      <c r="C32" s="160"/>
      <c r="D32" s="161"/>
      <c r="E32" s="162"/>
      <c r="F32" s="163"/>
      <c r="G32" s="98" t="s">
        <v>195</v>
      </c>
      <c r="H32" s="99">
        <v>50</v>
      </c>
      <c r="I32" s="100">
        <v>5.54</v>
      </c>
      <c r="J32" s="100">
        <f t="shared" si="2"/>
        <v>277</v>
      </c>
      <c r="K32" s="124"/>
      <c r="L32" s="123"/>
      <c r="S32" s="93"/>
    </row>
    <row r="33" spans="1:26" ht="18.75" customHeight="1">
      <c r="A33" s="5">
        <f t="shared" si="0"/>
        <v>28</v>
      </c>
      <c r="B33" s="159" t="s">
        <v>161</v>
      </c>
      <c r="C33" s="160"/>
      <c r="D33" s="161"/>
      <c r="E33" s="162"/>
      <c r="F33" s="163"/>
      <c r="G33" s="98" t="s">
        <v>130</v>
      </c>
      <c r="H33" s="99">
        <v>50</v>
      </c>
      <c r="I33" s="100">
        <v>2.5</v>
      </c>
      <c r="J33" s="100">
        <f t="shared" si="2"/>
        <v>125</v>
      </c>
      <c r="K33" s="124"/>
      <c r="L33" s="123"/>
      <c r="S33" s="93"/>
    </row>
    <row r="34" spans="1:26" ht="18.75" customHeight="1">
      <c r="A34" s="5">
        <f t="shared" si="0"/>
        <v>29</v>
      </c>
      <c r="B34" s="159" t="s">
        <v>162</v>
      </c>
      <c r="C34" s="160"/>
      <c r="D34" s="161"/>
      <c r="E34" s="162"/>
      <c r="F34" s="163"/>
      <c r="G34" s="98" t="s">
        <v>130</v>
      </c>
      <c r="H34" s="99">
        <v>100</v>
      </c>
      <c r="I34" s="100">
        <v>27.65</v>
      </c>
      <c r="J34" s="100">
        <f t="shared" si="2"/>
        <v>2765</v>
      </c>
      <c r="K34" s="124"/>
      <c r="L34" s="123"/>
      <c r="S34" s="93"/>
    </row>
    <row r="35" spans="1:26" ht="18.75" customHeight="1">
      <c r="A35" s="5">
        <f t="shared" si="0"/>
        <v>30</v>
      </c>
      <c r="B35" s="159" t="s">
        <v>163</v>
      </c>
      <c r="C35" s="160"/>
      <c r="D35" s="161" t="s">
        <v>190</v>
      </c>
      <c r="E35" s="162"/>
      <c r="F35" s="163"/>
      <c r="G35" s="98" t="s">
        <v>130</v>
      </c>
      <c r="H35" s="99">
        <v>40</v>
      </c>
      <c r="I35" s="100">
        <v>12.5</v>
      </c>
      <c r="J35" s="100">
        <f t="shared" si="2"/>
        <v>500</v>
      </c>
      <c r="K35" s="124"/>
      <c r="L35" s="123"/>
      <c r="S35" s="93"/>
    </row>
    <row r="36" spans="1:26" ht="18.75" customHeight="1">
      <c r="A36" s="5">
        <f t="shared" si="0"/>
        <v>31</v>
      </c>
      <c r="B36" s="159" t="s">
        <v>164</v>
      </c>
      <c r="C36" s="160"/>
      <c r="D36" s="161"/>
      <c r="E36" s="162"/>
      <c r="F36" s="163"/>
      <c r="G36" s="98" t="s">
        <v>130</v>
      </c>
      <c r="H36" s="99">
        <v>100</v>
      </c>
      <c r="I36" s="100">
        <v>4.8</v>
      </c>
      <c r="J36" s="100">
        <f t="shared" si="2"/>
        <v>480</v>
      </c>
      <c r="K36" s="124"/>
      <c r="L36" s="123"/>
      <c r="S36" s="93"/>
    </row>
    <row r="37" spans="1:26" ht="18.75" customHeight="1">
      <c r="A37" s="5">
        <f t="shared" si="0"/>
        <v>32</v>
      </c>
      <c r="B37" s="159" t="s">
        <v>165</v>
      </c>
      <c r="C37" s="160"/>
      <c r="D37" s="161"/>
      <c r="E37" s="162"/>
      <c r="F37" s="163"/>
      <c r="G37" s="98" t="s">
        <v>130</v>
      </c>
      <c r="H37" s="99">
        <v>200</v>
      </c>
      <c r="I37" s="100">
        <v>6.15</v>
      </c>
      <c r="J37" s="100">
        <f t="shared" si="2"/>
        <v>1230</v>
      </c>
      <c r="K37" s="124"/>
      <c r="L37" s="123"/>
      <c r="S37" s="93"/>
    </row>
    <row r="38" spans="1:26" ht="18.75" customHeight="1">
      <c r="A38" s="5">
        <f t="shared" si="0"/>
        <v>33</v>
      </c>
      <c r="B38" s="159" t="s">
        <v>166</v>
      </c>
      <c r="C38" s="160"/>
      <c r="D38" s="161" t="s">
        <v>191</v>
      </c>
      <c r="E38" s="162"/>
      <c r="F38" s="163"/>
      <c r="G38" s="98" t="s">
        <v>128</v>
      </c>
      <c r="H38" s="99">
        <v>50</v>
      </c>
      <c r="I38" s="100">
        <v>56.25</v>
      </c>
      <c r="J38" s="100">
        <f t="shared" si="2"/>
        <v>2812.5</v>
      </c>
      <c r="K38" s="124"/>
      <c r="L38" s="123"/>
      <c r="S38" s="93"/>
    </row>
    <row r="39" spans="1:26" ht="18.75" customHeight="1">
      <c r="A39" s="5">
        <f t="shared" si="0"/>
        <v>34</v>
      </c>
      <c r="B39" s="159" t="s">
        <v>167</v>
      </c>
      <c r="C39" s="160"/>
      <c r="D39" s="161"/>
      <c r="E39" s="162"/>
      <c r="F39" s="163"/>
      <c r="G39" s="98" t="s">
        <v>129</v>
      </c>
      <c r="H39" s="99">
        <v>40</v>
      </c>
      <c r="I39" s="100">
        <v>57.81</v>
      </c>
      <c r="J39" s="100">
        <f t="shared" si="2"/>
        <v>2312.4</v>
      </c>
      <c r="K39" s="124"/>
      <c r="L39" s="123"/>
      <c r="S39" s="93"/>
    </row>
    <row r="40" spans="1:26" ht="18.75" customHeight="1">
      <c r="A40" s="5">
        <f t="shared" si="0"/>
        <v>35</v>
      </c>
      <c r="B40" s="159" t="s">
        <v>168</v>
      </c>
      <c r="C40" s="160"/>
      <c r="D40" s="161" t="s">
        <v>192</v>
      </c>
      <c r="E40" s="162"/>
      <c r="F40" s="163"/>
      <c r="G40" s="98" t="s">
        <v>197</v>
      </c>
      <c r="H40" s="99">
        <v>5</v>
      </c>
      <c r="I40" s="100">
        <v>55</v>
      </c>
      <c r="J40" s="100">
        <f t="shared" si="2"/>
        <v>275</v>
      </c>
      <c r="K40" s="124"/>
      <c r="L40" s="123"/>
      <c r="S40" s="93"/>
    </row>
    <row r="41" spans="1:26" ht="18.75" customHeight="1">
      <c r="A41" s="5">
        <f t="shared" si="0"/>
        <v>36</v>
      </c>
      <c r="B41" s="159" t="s">
        <v>169</v>
      </c>
      <c r="C41" s="160"/>
      <c r="D41" s="161"/>
      <c r="E41" s="162"/>
      <c r="F41" s="163"/>
      <c r="G41" s="98" t="s">
        <v>195</v>
      </c>
      <c r="H41" s="99">
        <v>10</v>
      </c>
      <c r="I41" s="100">
        <v>15.93</v>
      </c>
      <c r="J41" s="100">
        <f t="shared" si="2"/>
        <v>159.30000000000001</v>
      </c>
      <c r="K41" s="124"/>
      <c r="L41" s="123"/>
      <c r="S41" s="93"/>
    </row>
    <row r="42" spans="1:26" ht="18.75" customHeight="1">
      <c r="A42" s="5">
        <f t="shared" si="0"/>
        <v>37</v>
      </c>
      <c r="B42" s="159" t="s">
        <v>170</v>
      </c>
      <c r="C42" s="160"/>
      <c r="D42" s="161" t="s">
        <v>193</v>
      </c>
      <c r="E42" s="162"/>
      <c r="F42" s="163"/>
      <c r="G42" s="98" t="s">
        <v>129</v>
      </c>
      <c r="H42" s="99">
        <v>30</v>
      </c>
      <c r="I42" s="100">
        <v>13.12</v>
      </c>
      <c r="J42" s="100">
        <f t="shared" si="2"/>
        <v>393.59999999999997</v>
      </c>
      <c r="K42" s="124"/>
      <c r="L42" s="123"/>
      <c r="S42" s="93"/>
    </row>
    <row r="43" spans="1:26" ht="18.75" customHeight="1">
      <c r="A43" s="5">
        <f t="shared" si="0"/>
        <v>38</v>
      </c>
      <c r="B43" s="159" t="s">
        <v>171</v>
      </c>
      <c r="C43" s="160"/>
      <c r="D43" s="161"/>
      <c r="E43" s="162"/>
      <c r="F43" s="163"/>
      <c r="G43" s="98" t="s">
        <v>130</v>
      </c>
      <c r="H43" s="99">
        <v>3000</v>
      </c>
      <c r="I43" s="100">
        <v>1.1000000000000001</v>
      </c>
      <c r="J43" s="100">
        <f t="shared" si="2"/>
        <v>3300.0000000000005</v>
      </c>
      <c r="K43" s="124"/>
      <c r="L43" s="123"/>
      <c r="S43" s="93"/>
    </row>
    <row r="44" spans="1:26" ht="18.75" customHeight="1">
      <c r="A44" s="5">
        <f t="shared" si="0"/>
        <v>39</v>
      </c>
      <c r="B44" s="159" t="s">
        <v>172</v>
      </c>
      <c r="C44" s="160"/>
      <c r="D44" s="161" t="s">
        <v>194</v>
      </c>
      <c r="E44" s="162"/>
      <c r="F44" s="163"/>
      <c r="G44" s="98" t="s">
        <v>130</v>
      </c>
      <c r="H44" s="99">
        <v>400</v>
      </c>
      <c r="I44" s="100">
        <v>14.15</v>
      </c>
      <c r="J44" s="100">
        <f t="shared" si="2"/>
        <v>5660</v>
      </c>
      <c r="K44" s="124"/>
      <c r="L44" s="123"/>
      <c r="S44" s="93"/>
    </row>
    <row r="45" spans="1:26" ht="18.75" customHeight="1">
      <c r="A45" s="5">
        <f t="shared" si="0"/>
        <v>40</v>
      </c>
      <c r="B45" s="159" t="s">
        <v>173</v>
      </c>
      <c r="C45" s="160"/>
      <c r="D45" s="161"/>
      <c r="E45" s="162"/>
      <c r="F45" s="163"/>
      <c r="G45" s="98" t="s">
        <v>130</v>
      </c>
      <c r="H45" s="99">
        <v>100</v>
      </c>
      <c r="I45" s="100">
        <v>1</v>
      </c>
      <c r="J45" s="100">
        <f t="shared" si="2"/>
        <v>100</v>
      </c>
      <c r="K45" s="124"/>
      <c r="L45" s="123"/>
      <c r="S45" s="93"/>
    </row>
    <row r="46" spans="1:26" ht="22.5" customHeight="1">
      <c r="A46" s="171" t="s">
        <v>7</v>
      </c>
      <c r="B46" s="172"/>
      <c r="C46" s="102"/>
      <c r="D46" s="103"/>
      <c r="E46" s="103"/>
      <c r="F46" s="103"/>
      <c r="G46" s="104"/>
      <c r="H46" s="104"/>
      <c r="I46" s="105" t="s">
        <v>8</v>
      </c>
      <c r="J46" s="100">
        <f>SUM(J6:J45)</f>
        <v>51917.89</v>
      </c>
      <c r="K46" s="124"/>
      <c r="L46" s="123"/>
    </row>
    <row r="47" spans="1:26" ht="20.100000000000001" customHeight="1">
      <c r="A47" s="6" t="s">
        <v>9</v>
      </c>
      <c r="B47" s="7"/>
      <c r="C47" s="7"/>
      <c r="D47" s="7"/>
      <c r="E47" s="7"/>
      <c r="F47" s="7"/>
      <c r="G47" s="7"/>
      <c r="H47" s="7"/>
      <c r="I47" s="7"/>
      <c r="J47" s="7"/>
      <c r="K47" s="8"/>
      <c r="L47" s="9"/>
    </row>
    <row r="48" spans="1:26" ht="18" customHeight="1">
      <c r="A48" s="114"/>
      <c r="J48" s="1"/>
      <c r="K48" s="1"/>
      <c r="O48" s="10"/>
      <c r="P48" s="10"/>
      <c r="Q48" s="10"/>
      <c r="R48" s="10"/>
      <c r="S48" s="10"/>
      <c r="T48" s="10"/>
      <c r="U48" s="10"/>
      <c r="V48" s="10"/>
      <c r="W48" s="10"/>
      <c r="Y48" s="138"/>
      <c r="Z48" s="10"/>
    </row>
    <row r="49" spans="15:25" ht="50.1" customHeight="1">
      <c r="Y49" s="139"/>
    </row>
    <row r="50" spans="15:25" ht="15" customHeight="1">
      <c r="O50" s="134" t="s">
        <v>103</v>
      </c>
      <c r="P50" s="140"/>
      <c r="Q50" s="140"/>
      <c r="R50" s="135"/>
      <c r="S50" s="116"/>
      <c r="T50" s="134" t="s">
        <v>104</v>
      </c>
      <c r="U50" s="140"/>
      <c r="V50" s="140"/>
      <c r="W50" s="140"/>
      <c r="X50" s="140"/>
      <c r="Y50" s="135"/>
    </row>
    <row r="51" spans="15:25" ht="15" customHeight="1">
      <c r="O51" s="141" t="s">
        <v>105</v>
      </c>
      <c r="P51" s="143" t="s">
        <v>106</v>
      </c>
      <c r="Q51" s="141" t="s">
        <v>107</v>
      </c>
      <c r="R51" s="143" t="s">
        <v>108</v>
      </c>
      <c r="S51" s="116"/>
      <c r="T51" s="141" t="s">
        <v>109</v>
      </c>
      <c r="U51" s="143" t="s">
        <v>110</v>
      </c>
      <c r="V51" s="134" t="s">
        <v>111</v>
      </c>
      <c r="W51" s="140"/>
      <c r="X51" s="135"/>
      <c r="Y51" s="143" t="s">
        <v>112</v>
      </c>
    </row>
    <row r="52" spans="15:25" ht="18" customHeight="1">
      <c r="O52" s="142"/>
      <c r="P52" s="144"/>
      <c r="Q52" s="142"/>
      <c r="R52" s="144"/>
      <c r="S52" s="117"/>
      <c r="T52" s="142"/>
      <c r="U52" s="144"/>
      <c r="V52" s="115" t="s">
        <v>105</v>
      </c>
      <c r="W52" s="145" t="s">
        <v>113</v>
      </c>
      <c r="X52" s="146"/>
      <c r="Y52" s="144"/>
    </row>
    <row r="53" spans="15:25" ht="50.1" customHeight="1">
      <c r="O53" s="11"/>
      <c r="P53" s="11"/>
      <c r="Q53" s="11"/>
      <c r="R53" s="11"/>
      <c r="S53" s="116"/>
      <c r="T53" s="11"/>
      <c r="U53" s="11"/>
      <c r="V53" s="11"/>
      <c r="W53" s="134"/>
      <c r="X53" s="135"/>
      <c r="Y53" s="118"/>
    </row>
    <row r="54" spans="15:25" ht="36" customHeight="1">
      <c r="W54" s="119"/>
      <c r="X54" s="136" t="s">
        <v>114</v>
      </c>
      <c r="Y54" s="110" t="s">
        <v>112</v>
      </c>
    </row>
    <row r="55" spans="15:25" ht="50.1" customHeight="1">
      <c r="O55" s="120"/>
      <c r="P55" s="120"/>
      <c r="Q55" s="120"/>
      <c r="R55" s="120"/>
      <c r="S55" s="120"/>
      <c r="T55" s="120"/>
      <c r="U55" s="120"/>
      <c r="V55" s="120"/>
      <c r="W55" s="121"/>
      <c r="X55" s="137"/>
      <c r="Y55" s="122"/>
    </row>
    <row r="56" spans="15:25" ht="19.899999999999999" customHeight="1"/>
    <row r="57" spans="15:25" ht="17.45" customHeight="1">
      <c r="O57" s="173"/>
      <c r="P57" s="173"/>
      <c r="Q57" s="173"/>
    </row>
    <row r="58" spans="15:25" ht="19.899999999999999" customHeight="1">
      <c r="O58" s="173"/>
      <c r="P58" s="173"/>
      <c r="Q58" s="173"/>
    </row>
    <row r="59" spans="15:25" ht="14.25">
      <c r="O59" s="10"/>
      <c r="P59" s="10"/>
      <c r="Q59" s="10"/>
    </row>
    <row r="60" spans="15:25" ht="65.099999999999994" customHeight="1"/>
    <row r="61" spans="15:25" ht="14.25">
      <c r="O61" s="10"/>
      <c r="P61" s="10"/>
      <c r="Q61" s="10"/>
    </row>
    <row r="62" spans="15:25" ht="19.899999999999999" customHeight="1"/>
    <row r="63" spans="15:25" ht="14.25"/>
    <row r="64" spans="15:25" ht="19.899999999999999" customHeight="1"/>
    <row r="65" spans="15:22" ht="14.25"/>
    <row r="66" spans="15:22" ht="19.899999999999999" customHeight="1"/>
    <row r="67" spans="15:22" ht="19.899999999999999" customHeight="1"/>
    <row r="68" spans="15:22" ht="64.900000000000006" customHeight="1"/>
    <row r="70" spans="15:22" ht="19.899999999999999" customHeight="1">
      <c r="T70" s="143" t="s">
        <v>11</v>
      </c>
    </row>
    <row r="71" spans="15:22" ht="19.899999999999999" customHeight="1">
      <c r="T71" s="144"/>
    </row>
    <row r="72" spans="15:22" ht="64.900000000000006" customHeight="1">
      <c r="T72" s="11"/>
    </row>
    <row r="76" spans="15:22" ht="21" customHeight="1">
      <c r="O76" s="143" t="s">
        <v>11</v>
      </c>
      <c r="P76" s="143" t="s">
        <v>11</v>
      </c>
      <c r="Q76" s="143" t="s">
        <v>11</v>
      </c>
      <c r="T76" s="143" t="s">
        <v>12</v>
      </c>
      <c r="U76" s="143" t="s">
        <v>10</v>
      </c>
      <c r="V76" s="143" t="s">
        <v>11</v>
      </c>
    </row>
    <row r="77" spans="15:22" ht="21" customHeight="1">
      <c r="O77" s="144"/>
      <c r="P77" s="144"/>
      <c r="Q77" s="144"/>
      <c r="T77" s="142"/>
      <c r="U77" s="142"/>
      <c r="V77" s="144"/>
    </row>
    <row r="78" spans="15:22" ht="64.900000000000006" customHeight="1">
      <c r="O78" s="11"/>
      <c r="P78" s="11"/>
      <c r="Q78" s="11"/>
      <c r="T78" s="11"/>
      <c r="U78" s="12"/>
      <c r="V78" s="11"/>
    </row>
    <row r="79" spans="15:22" ht="7.15" customHeight="1"/>
    <row r="80" spans="15:22" ht="21" customHeight="1">
      <c r="O80" s="143" t="s">
        <v>11</v>
      </c>
      <c r="P80" s="143" t="s">
        <v>11</v>
      </c>
      <c r="Q80" s="143" t="s">
        <v>11</v>
      </c>
      <c r="T80" s="143" t="s">
        <v>10</v>
      </c>
      <c r="U80" s="143" t="s">
        <v>12</v>
      </c>
      <c r="V80" s="143" t="s">
        <v>11</v>
      </c>
    </row>
    <row r="81" spans="15:22" ht="21" customHeight="1">
      <c r="O81" s="144"/>
      <c r="P81" s="144"/>
      <c r="Q81" s="144"/>
      <c r="T81" s="142"/>
      <c r="U81" s="142"/>
      <c r="V81" s="144"/>
    </row>
    <row r="82" spans="15:22" ht="64.900000000000006" customHeight="1">
      <c r="O82" s="11"/>
      <c r="P82" s="11"/>
      <c r="Q82" s="11"/>
      <c r="T82" s="12"/>
      <c r="U82" s="11"/>
      <c r="V82" s="11"/>
    </row>
  </sheetData>
  <mergeCells count="123">
    <mergeCell ref="D33:F33"/>
    <mergeCell ref="D34:F34"/>
    <mergeCell ref="D35:F35"/>
    <mergeCell ref="D36:F36"/>
    <mergeCell ref="D37:F37"/>
    <mergeCell ref="D26:F26"/>
    <mergeCell ref="B41:C41"/>
    <mergeCell ref="D41:F41"/>
    <mergeCell ref="B42:C42"/>
    <mergeCell ref="D42:F42"/>
    <mergeCell ref="B43:C43"/>
    <mergeCell ref="D43:F43"/>
    <mergeCell ref="B38:C38"/>
    <mergeCell ref="D38:F38"/>
    <mergeCell ref="B39:C39"/>
    <mergeCell ref="D39:F39"/>
    <mergeCell ref="B40:C40"/>
    <mergeCell ref="D40:F40"/>
    <mergeCell ref="B30:C30"/>
    <mergeCell ref="B31:C31"/>
    <mergeCell ref="B32:C32"/>
    <mergeCell ref="B33:C33"/>
    <mergeCell ref="B34:C34"/>
    <mergeCell ref="B35:C35"/>
    <mergeCell ref="B36:C36"/>
    <mergeCell ref="B37:C37"/>
    <mergeCell ref="D30:F30"/>
    <mergeCell ref="D31:F31"/>
    <mergeCell ref="D32:F32"/>
    <mergeCell ref="D45:F45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U76:U77"/>
    <mergeCell ref="V76:V77"/>
    <mergeCell ref="O80:O81"/>
    <mergeCell ref="P80:P81"/>
    <mergeCell ref="Q80:Q81"/>
    <mergeCell ref="T80:T81"/>
    <mergeCell ref="U80:U81"/>
    <mergeCell ref="V80:V81"/>
    <mergeCell ref="O57:O58"/>
    <mergeCell ref="P57:P58"/>
    <mergeCell ref="Q57:Q58"/>
    <mergeCell ref="T70:T71"/>
    <mergeCell ref="O76:O77"/>
    <mergeCell ref="P76:P77"/>
    <mergeCell ref="Q76:Q77"/>
    <mergeCell ref="T76:T77"/>
    <mergeCell ref="A46:B46"/>
    <mergeCell ref="P51:P52"/>
    <mergeCell ref="Q51:Q52"/>
    <mergeCell ref="B44:C44"/>
    <mergeCell ref="D44:F44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45:C45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53:X53"/>
    <mergeCell ref="X54:X55"/>
    <mergeCell ref="Y48:Y49"/>
    <mergeCell ref="O50:R50"/>
    <mergeCell ref="T50:Y50"/>
    <mergeCell ref="O51:O52"/>
    <mergeCell ref="R51:R52"/>
    <mergeCell ref="T51:T52"/>
    <mergeCell ref="U51:U52"/>
    <mergeCell ref="V51:X51"/>
    <mergeCell ref="Y51:Y52"/>
    <mergeCell ref="W52:X52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6" t="s">
        <v>80</v>
      </c>
      <c r="B1" s="87"/>
      <c r="C1" s="87"/>
      <c r="D1" s="87"/>
      <c r="E1" s="87"/>
      <c r="F1" s="87"/>
      <c r="G1" s="1"/>
      <c r="J1" s="174" t="str">
        <f>+MRS!J1</f>
        <v>DAESHIN PLANT</v>
      </c>
      <c r="K1" s="175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3"/>
      <c r="H2" s="13"/>
      <c r="I2" s="13"/>
      <c r="J2" s="176" t="str">
        <f>+MRS!J2</f>
        <v>Subcontract name (SAC2-SC-IK-SMP-01)</v>
      </c>
      <c r="K2" s="177"/>
    </row>
    <row r="3" spans="1:18" ht="24.95" customHeight="1">
      <c r="A3" s="3" t="str">
        <f>+MRS!A3</f>
        <v xml:space="preserve">  MRS No : SAC2-DS-MRS-0476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46295</v>
      </c>
    </row>
    <row r="4" spans="1:18" ht="15.95" customHeight="1">
      <c r="A4" s="178" t="s">
        <v>1</v>
      </c>
      <c r="B4" s="179" t="s">
        <v>13</v>
      </c>
      <c r="C4" s="179"/>
      <c r="D4" s="178" t="s">
        <v>3</v>
      </c>
      <c r="E4" s="178"/>
      <c r="F4" s="178"/>
      <c r="G4" s="179" t="s">
        <v>4</v>
      </c>
      <c r="H4" s="178" t="s">
        <v>77</v>
      </c>
      <c r="I4" s="178" t="s">
        <v>14</v>
      </c>
      <c r="J4" s="178" t="s">
        <v>15</v>
      </c>
      <c r="K4" s="179" t="s">
        <v>6</v>
      </c>
    </row>
    <row r="5" spans="1:18" ht="15.95" customHeight="1">
      <c r="A5" s="178"/>
      <c r="B5" s="179"/>
      <c r="C5" s="179"/>
      <c r="D5" s="178"/>
      <c r="E5" s="178"/>
      <c r="F5" s="178"/>
      <c r="G5" s="179"/>
      <c r="H5" s="178"/>
      <c r="I5" s="178"/>
      <c r="J5" s="178"/>
      <c r="K5" s="179"/>
    </row>
    <row r="6" spans="1:18" ht="105" customHeight="1">
      <c r="A6" s="14">
        <f>+MRS!A6</f>
        <v>1</v>
      </c>
      <c r="B6" s="180" t="str">
        <f>MRS!B6</f>
        <v>USB C TO DUAL HDMI CONNECTOR</v>
      </c>
      <c r="C6" s="181"/>
      <c r="D6" s="182">
        <f>MRS!D6</f>
        <v>0</v>
      </c>
      <c r="E6" s="183"/>
      <c r="F6" s="184"/>
      <c r="G6" s="90" t="str">
        <f>MRS!G6</f>
        <v>EA</v>
      </c>
      <c r="H6" s="90">
        <f>MRS!H6</f>
        <v>2</v>
      </c>
      <c r="I6" s="91">
        <f>MRS!I6</f>
        <v>43.75</v>
      </c>
      <c r="J6" s="91">
        <f>MRS!J6</f>
        <v>87.5</v>
      </c>
      <c r="K6" s="92"/>
      <c r="O6" s="93"/>
      <c r="P6" s="93"/>
      <c r="R6" s="93"/>
    </row>
    <row r="7" spans="1:18" ht="105" customHeight="1">
      <c r="A7" s="14">
        <f>+MRS!A7</f>
        <v>2</v>
      </c>
      <c r="B7" s="180" t="str">
        <f>MRS!B7</f>
        <v>WIFI ROUTER</v>
      </c>
      <c r="C7" s="181"/>
      <c r="D7" s="182" t="str">
        <f>MRS!D7</f>
        <v>tp link</v>
      </c>
      <c r="E7" s="183"/>
      <c r="F7" s="184"/>
      <c r="G7" s="90" t="str">
        <f>MRS!G7</f>
        <v>EA</v>
      </c>
      <c r="H7" s="90">
        <f>MRS!H7</f>
        <v>1</v>
      </c>
      <c r="I7" s="91">
        <f>MRS!I7</f>
        <v>81.25</v>
      </c>
      <c r="J7" s="91">
        <f>MRS!J7</f>
        <v>81.25</v>
      </c>
      <c r="K7" s="92"/>
      <c r="O7" s="93"/>
      <c r="P7" s="93"/>
      <c r="R7" s="93"/>
    </row>
    <row r="8" spans="1:18" ht="105" customHeight="1">
      <c r="A8" s="14">
        <f>+MRS!A8</f>
        <v>3</v>
      </c>
      <c r="B8" s="180" t="str">
        <f>MRS!B8</f>
        <v>TIME RECORDER MACHINES</v>
      </c>
      <c r="C8" s="181"/>
      <c r="D8" s="182">
        <f>MRS!D8</f>
        <v>0</v>
      </c>
      <c r="E8" s="183"/>
      <c r="F8" s="184"/>
      <c r="G8" s="90" t="str">
        <f>MRS!G8</f>
        <v>EA</v>
      </c>
      <c r="H8" s="90">
        <f>MRS!H8</f>
        <v>2</v>
      </c>
      <c r="I8" s="91">
        <f>MRS!I8</f>
        <v>495</v>
      </c>
      <c r="J8" s="91">
        <f>MRS!J8</f>
        <v>990</v>
      </c>
      <c r="K8" s="92"/>
      <c r="O8" s="93"/>
      <c r="P8" s="93"/>
      <c r="R8" s="93"/>
    </row>
    <row r="9" spans="1:18" ht="105" customHeight="1">
      <c r="A9" s="14">
        <f>+MRS!A9</f>
        <v>4</v>
      </c>
      <c r="B9" s="185"/>
      <c r="C9" s="186"/>
      <c r="D9" s="187"/>
      <c r="E9" s="188"/>
      <c r="F9" s="189"/>
      <c r="G9" s="94"/>
      <c r="H9" s="95"/>
      <c r="I9" s="96"/>
      <c r="J9" s="96"/>
      <c r="K9" s="92"/>
      <c r="O9" s="93"/>
      <c r="P9" s="93"/>
      <c r="R9" s="93"/>
    </row>
    <row r="10" spans="1:18" ht="105" customHeight="1">
      <c r="A10" s="14" t="e">
        <f>+MRS!#REF!</f>
        <v>#REF!</v>
      </c>
      <c r="B10" s="185"/>
      <c r="C10" s="186"/>
      <c r="D10" s="187"/>
      <c r="E10" s="188"/>
      <c r="F10" s="189"/>
      <c r="G10" s="94"/>
      <c r="H10" s="95"/>
      <c r="I10" s="96"/>
      <c r="J10" s="96"/>
      <c r="K10" s="92"/>
      <c r="O10" s="93"/>
      <c r="P10" s="93"/>
      <c r="R10" s="93"/>
    </row>
    <row r="11" spans="1:18" ht="105" customHeight="1">
      <c r="A11" s="14" t="e">
        <f>+MRS!#REF!</f>
        <v>#REF!</v>
      </c>
      <c r="B11" s="185"/>
      <c r="C11" s="186"/>
      <c r="D11" s="187"/>
      <c r="E11" s="188"/>
      <c r="F11" s="189"/>
      <c r="G11" s="94"/>
      <c r="H11" s="95"/>
      <c r="I11" s="96"/>
      <c r="J11" s="96"/>
      <c r="K11" s="92"/>
      <c r="O11" s="93"/>
      <c r="P11" s="93"/>
      <c r="R11" s="93"/>
    </row>
    <row r="12" spans="1:18" ht="105" customHeight="1">
      <c r="A12" s="14" t="e">
        <f>+MRS!#REF!</f>
        <v>#REF!</v>
      </c>
      <c r="B12" s="185"/>
      <c r="C12" s="186"/>
      <c r="D12" s="187"/>
      <c r="E12" s="188"/>
      <c r="F12" s="189"/>
      <c r="G12" s="94"/>
      <c r="H12" s="95"/>
      <c r="I12" s="96"/>
      <c r="J12" s="96"/>
      <c r="K12" s="92"/>
      <c r="O12" s="93"/>
      <c r="P12" s="93"/>
      <c r="R12" s="93"/>
    </row>
    <row r="13" spans="1:18" ht="105" customHeight="1">
      <c r="A13" s="14" t="e">
        <f>+MRS!#REF!</f>
        <v>#REF!</v>
      </c>
      <c r="B13" s="185"/>
      <c r="C13" s="186"/>
      <c r="D13" s="187"/>
      <c r="E13" s="188"/>
      <c r="F13" s="189"/>
      <c r="G13" s="94"/>
      <c r="H13" s="95"/>
      <c r="I13" s="96"/>
      <c r="J13" s="96"/>
      <c r="K13" s="92"/>
      <c r="O13" s="93"/>
      <c r="P13" s="93"/>
      <c r="R13" s="93"/>
    </row>
    <row r="14" spans="1:18" ht="105" customHeight="1">
      <c r="A14" s="14">
        <f>+MRS!A44</f>
        <v>39</v>
      </c>
      <c r="B14" s="185"/>
      <c r="C14" s="186"/>
      <c r="D14" s="187"/>
      <c r="E14" s="188"/>
      <c r="F14" s="189"/>
      <c r="G14" s="94"/>
      <c r="H14" s="95"/>
      <c r="I14" s="96"/>
      <c r="J14" s="96"/>
      <c r="K14" s="92"/>
      <c r="O14" s="93"/>
      <c r="P14" s="93"/>
      <c r="R14" s="93"/>
    </row>
    <row r="15" spans="1:18" ht="105" customHeight="1">
      <c r="A15" s="14">
        <f>+MRS!A45</f>
        <v>40</v>
      </c>
      <c r="B15" s="185"/>
      <c r="C15" s="186"/>
      <c r="D15" s="187"/>
      <c r="E15" s="188"/>
      <c r="F15" s="189"/>
      <c r="G15" s="94"/>
      <c r="H15" s="95"/>
      <c r="I15" s="96"/>
      <c r="J15" s="96"/>
      <c r="K15" s="92"/>
      <c r="O15" s="93"/>
      <c r="P15" s="93"/>
      <c r="R15" s="93"/>
    </row>
    <row r="16" spans="1:18" ht="105" customHeight="1">
      <c r="A16" s="14" t="e">
        <f>+MRS!#REF!</f>
        <v>#REF!</v>
      </c>
      <c r="B16" s="185"/>
      <c r="C16" s="186"/>
      <c r="D16" s="187"/>
      <c r="E16" s="188"/>
      <c r="F16" s="189"/>
      <c r="G16" s="94"/>
      <c r="H16" s="95"/>
      <c r="I16" s="96"/>
      <c r="J16" s="96"/>
      <c r="K16" s="92"/>
      <c r="O16" s="93"/>
      <c r="P16" s="93"/>
      <c r="R16" s="93"/>
    </row>
    <row r="17" spans="1:18" ht="105" customHeight="1">
      <c r="A17" s="14" t="e">
        <f>+MRS!#REF!</f>
        <v>#REF!</v>
      </c>
      <c r="B17" s="185"/>
      <c r="C17" s="186"/>
      <c r="D17" s="187"/>
      <c r="E17" s="188"/>
      <c r="F17" s="189"/>
      <c r="G17" s="94"/>
      <c r="H17" s="95"/>
      <c r="I17" s="96"/>
      <c r="J17" s="96"/>
      <c r="K17" s="92"/>
      <c r="O17" s="93"/>
      <c r="P17" s="93"/>
      <c r="R17" s="9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SheetLayoutView="130" workbookViewId="0">
      <selection activeCell="F29" sqref="F29:G29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88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116</v>
      </c>
      <c r="D9" s="32"/>
      <c r="E9" s="32"/>
    </row>
    <row r="10" spans="2:13" s="32" customFormat="1">
      <c r="B10" s="65"/>
      <c r="C10" s="32" t="s">
        <v>98</v>
      </c>
      <c r="D10" s="69">
        <v>2051251124</v>
      </c>
      <c r="J10" s="32" t="s">
        <v>22</v>
      </c>
      <c r="K10" s="126">
        <f>MRS!L3</f>
        <v>46295</v>
      </c>
      <c r="L10" s="127"/>
      <c r="M10" s="127"/>
    </row>
    <row r="11" spans="2:13" s="32" customFormat="1">
      <c r="B11" s="65"/>
      <c r="C11" s="68" t="s">
        <v>99</v>
      </c>
      <c r="D11" s="69" t="s">
        <v>117</v>
      </c>
      <c r="J11" s="32" t="s">
        <v>23</v>
      </c>
      <c r="K11" s="128" t="str">
        <f>SUBSTITUTE(SUBSTITUTE(+MRS!A3,"  MRS No : ",""),"-MRS","-PO")</f>
        <v>SAC2-DS-PO-0476</v>
      </c>
      <c r="L11" s="128"/>
      <c r="M11" s="128"/>
    </row>
    <row r="12" spans="2:13" s="32" customFormat="1">
      <c r="B12" s="65"/>
      <c r="C12" s="68" t="s">
        <v>100</v>
      </c>
      <c r="D12" s="32" t="s">
        <v>118</v>
      </c>
      <c r="J12" s="32" t="s">
        <v>24</v>
      </c>
    </row>
    <row r="13" spans="2:13" s="32" customFormat="1">
      <c r="B13" s="65"/>
      <c r="C13" s="70"/>
      <c r="D13" s="69" t="s">
        <v>119</v>
      </c>
      <c r="J13" s="32" t="s">
        <v>25</v>
      </c>
    </row>
    <row r="14" spans="2:13" s="32" customFormat="1">
      <c r="B14" s="65"/>
      <c r="C14" s="70" t="s">
        <v>121</v>
      </c>
      <c r="J14" s="32" t="s">
        <v>26</v>
      </c>
      <c r="K14" s="32" t="s">
        <v>198</v>
      </c>
    </row>
    <row r="15" spans="2:13" s="32" customFormat="1">
      <c r="B15" s="65"/>
      <c r="C15" s="70" t="s">
        <v>120</v>
      </c>
      <c r="J15" s="32" t="s">
        <v>27</v>
      </c>
      <c r="K15" s="71">
        <v>46285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129" t="s">
        <v>28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24" customFormat="1" ht="12" customHeight="1">
      <c r="B20" s="130" t="s">
        <v>29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24" customFormat="1" ht="12" customHeight="1">
      <c r="B21" s="130" t="s">
        <v>30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24" customFormat="1" ht="12" customHeight="1">
      <c r="B22" s="130" t="s">
        <v>31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06" t="s">
        <v>131</v>
      </c>
      <c r="M26" s="72" t="s">
        <v>33</v>
      </c>
    </row>
    <row r="27" spans="2:13" ht="11.1" customHeight="1">
      <c r="B27" s="25"/>
      <c r="C27" s="108"/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133">
        <f>'PO 2nd page'!G46</f>
        <v>51917.89</v>
      </c>
      <c r="G29" s="133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133">
        <f>'PO 2nd page'!G47</f>
        <v>7787.6834999999992</v>
      </c>
      <c r="G30" s="133"/>
    </row>
    <row r="31" spans="2:13" ht="12" customHeight="1">
      <c r="B31" s="25"/>
      <c r="C31" s="19" t="s">
        <v>38</v>
      </c>
      <c r="D31" s="28"/>
      <c r="E31" s="19" t="s">
        <v>36</v>
      </c>
      <c r="F31" s="133">
        <f>'PO 2nd page'!G48</f>
        <v>59705.573499999999</v>
      </c>
      <c r="G31" s="133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86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89</v>
      </c>
    </row>
    <row r="54" spans="2:16" ht="12" customHeight="1">
      <c r="B54" s="77" t="s">
        <v>52</v>
      </c>
      <c r="C54" s="107" t="s">
        <v>90</v>
      </c>
      <c r="F54" s="19" t="s">
        <v>127</v>
      </c>
      <c r="P54" s="19" t="str">
        <f>UPPER(F54)</f>
        <v>DORIGHT CONTRACTING</v>
      </c>
    </row>
    <row r="55" spans="2:16" ht="12" customHeight="1">
      <c r="B55" s="77" t="s">
        <v>52</v>
      </c>
      <c r="C55" s="107" t="s">
        <v>91</v>
      </c>
      <c r="F55" s="108" t="s">
        <v>122</v>
      </c>
    </row>
    <row r="56" spans="2:16" ht="12" customHeight="1">
      <c r="B56" s="77" t="s">
        <v>52</v>
      </c>
      <c r="C56" s="107" t="s">
        <v>92</v>
      </c>
      <c r="F56" s="108" t="s">
        <v>123</v>
      </c>
    </row>
    <row r="57" spans="2:16" ht="12" customHeight="1">
      <c r="B57" s="77" t="s">
        <v>52</v>
      </c>
      <c r="C57" s="107" t="s">
        <v>93</v>
      </c>
      <c r="F57" s="19" t="s">
        <v>124</v>
      </c>
    </row>
    <row r="58" spans="2:16" ht="12" customHeight="1">
      <c r="B58" s="77" t="s">
        <v>52</v>
      </c>
      <c r="C58" s="107" t="s">
        <v>94</v>
      </c>
      <c r="F58" s="19" t="s">
        <v>125</v>
      </c>
    </row>
    <row r="59" spans="2:16" ht="12" customHeight="1">
      <c r="B59" s="77" t="s">
        <v>52</v>
      </c>
      <c r="C59" s="107" t="s">
        <v>95</v>
      </c>
      <c r="F59" s="19" t="s">
        <v>96</v>
      </c>
    </row>
    <row r="60" spans="2:16" ht="12" customHeight="1">
      <c r="B60" s="77"/>
      <c r="C60" s="107" t="s">
        <v>97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126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87</v>
      </c>
      <c r="J70" s="109" t="str">
        <f>C9</f>
        <v>DRCE(Do Right Contracting Est)</v>
      </c>
    </row>
    <row r="71" spans="1:13" ht="27.95" customHeight="1">
      <c r="A71" s="125" t="s">
        <v>62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6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38" customWidth="1"/>
    <col min="2" max="3" width="40.285156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SAC2-DS-PO-0476</v>
      </c>
      <c r="C2" s="192" t="s">
        <v>64</v>
      </c>
      <c r="D2" s="192"/>
      <c r="E2" s="192"/>
      <c r="F2" s="192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46295</v>
      </c>
      <c r="C3" s="44"/>
      <c r="D3" s="45"/>
      <c r="E3" s="193" t="s">
        <v>66</v>
      </c>
      <c r="F3" s="193"/>
      <c r="G3" s="193"/>
      <c r="H3" s="193"/>
      <c r="I3" s="46"/>
    </row>
    <row r="4" spans="1:13" s="48" customFormat="1" ht="28.5" customHeight="1" thickTop="1">
      <c r="A4" s="194" t="s">
        <v>67</v>
      </c>
      <c r="B4" s="196" t="s">
        <v>68</v>
      </c>
      <c r="C4" s="197"/>
      <c r="D4" s="200" t="s">
        <v>69</v>
      </c>
      <c r="E4" s="200" t="s">
        <v>70</v>
      </c>
      <c r="F4" s="202" t="str">
        <f>'PO 1st page'!C9</f>
        <v>DRCE(Do Right Contracting Est)</v>
      </c>
      <c r="G4" s="203"/>
      <c r="H4" s="204" t="s">
        <v>71</v>
      </c>
      <c r="K4" s="49"/>
      <c r="L4" s="49"/>
      <c r="M4" s="49"/>
    </row>
    <row r="5" spans="1:13" s="48" customFormat="1" ht="21.95" customHeight="1">
      <c r="A5" s="195"/>
      <c r="B5" s="198"/>
      <c r="C5" s="199"/>
      <c r="D5" s="201"/>
      <c r="E5" s="201"/>
      <c r="F5" s="50" t="s">
        <v>72</v>
      </c>
      <c r="G5" s="50" t="s">
        <v>38</v>
      </c>
      <c r="H5" s="205"/>
      <c r="K5" s="49"/>
      <c r="L5" s="49"/>
      <c r="M5" s="49"/>
    </row>
    <row r="6" spans="1:13" s="48" customFormat="1" ht="22.5" customHeight="1">
      <c r="A6" s="78">
        <f t="shared" ref="A6:A45" si="0">ROW(A1)</f>
        <v>1</v>
      </c>
      <c r="B6" s="190" t="str">
        <f>CONCATENATE(MRS!B6," ",MRS!D6)</f>
        <v xml:space="preserve">USB C TO DUAL HDMI CONNECTOR </v>
      </c>
      <c r="C6" s="191"/>
      <c r="D6" s="79" t="str">
        <f>MRS!G6</f>
        <v>EA</v>
      </c>
      <c r="E6" s="79">
        <f>MRS!H6</f>
        <v>2</v>
      </c>
      <c r="F6" s="80">
        <f>MRS!I6</f>
        <v>43.75</v>
      </c>
      <c r="G6" s="81">
        <f>MRS!J6</f>
        <v>87.5</v>
      </c>
      <c r="H6" s="82" t="str">
        <f>MRS!L6</f>
        <v>One Time</v>
      </c>
      <c r="K6" s="83"/>
      <c r="L6" s="84"/>
      <c r="M6" s="49"/>
    </row>
    <row r="7" spans="1:13" s="48" customFormat="1" ht="22.5" customHeight="1">
      <c r="A7" s="78">
        <f t="shared" si="0"/>
        <v>2</v>
      </c>
      <c r="B7" s="190" t="str">
        <f>CONCATENATE(MRS!B7," ",MRS!D7)</f>
        <v>WIFI ROUTER tp link</v>
      </c>
      <c r="C7" s="191"/>
      <c r="D7" s="79" t="str">
        <f>MRS!G7</f>
        <v>EA</v>
      </c>
      <c r="E7" s="79">
        <f>MRS!H7</f>
        <v>1</v>
      </c>
      <c r="F7" s="80">
        <f>MRS!I7</f>
        <v>81.25</v>
      </c>
      <c r="G7" s="81">
        <f>MRS!J7</f>
        <v>81.25</v>
      </c>
      <c r="H7" s="82"/>
      <c r="K7" s="83"/>
      <c r="L7" s="84"/>
      <c r="M7" s="49"/>
    </row>
    <row r="8" spans="1:13" s="48" customFormat="1" ht="22.5" customHeight="1">
      <c r="A8" s="85">
        <f t="shared" si="0"/>
        <v>3</v>
      </c>
      <c r="B8" s="190" t="str">
        <f>CONCATENATE(MRS!B8," ",MRS!D8)</f>
        <v xml:space="preserve">TIME RECORDER MACHINES </v>
      </c>
      <c r="C8" s="191"/>
      <c r="D8" s="79" t="str">
        <f>MRS!G8</f>
        <v>EA</v>
      </c>
      <c r="E8" s="79">
        <f>MRS!H8</f>
        <v>2</v>
      </c>
      <c r="F8" s="80">
        <f>MRS!I8</f>
        <v>495</v>
      </c>
      <c r="G8" s="81">
        <f>MRS!J8</f>
        <v>990</v>
      </c>
      <c r="H8" s="82"/>
      <c r="K8" s="49"/>
      <c r="L8" s="49"/>
      <c r="M8" s="49"/>
    </row>
    <row r="9" spans="1:13" s="48" customFormat="1" ht="22.5" customHeight="1">
      <c r="A9" s="85">
        <f t="shared" si="0"/>
        <v>4</v>
      </c>
      <c r="B9" s="190" t="str">
        <f>CONCATENATE(MRS!B9," ",MRS!D9)</f>
        <v>HP LASER CATRIDGE 106A</v>
      </c>
      <c r="C9" s="191"/>
      <c r="D9" s="79" t="str">
        <f>MRS!G9</f>
        <v>EA</v>
      </c>
      <c r="E9" s="79">
        <f>MRS!H9</f>
        <v>6</v>
      </c>
      <c r="F9" s="80">
        <f>MRS!I9</f>
        <v>243.54</v>
      </c>
      <c r="G9" s="81">
        <f>MRS!J9</f>
        <v>1461.24</v>
      </c>
      <c r="H9" s="82"/>
    </row>
    <row r="10" spans="1:13" s="48" customFormat="1" ht="22.5" customHeight="1">
      <c r="A10" s="85">
        <f t="shared" si="0"/>
        <v>5</v>
      </c>
      <c r="B10" s="190" t="str">
        <f>CONCATENATE(MRS!B10," ",MRS!D10)</f>
        <v>KONICA C361i PRINTER - BLACK TONER TN328K /  PART NO.-AAV8120</v>
      </c>
      <c r="C10" s="191"/>
      <c r="D10" s="79" t="str">
        <f>MRS!G10</f>
        <v>EA</v>
      </c>
      <c r="E10" s="79">
        <f>MRS!H10</f>
        <v>30</v>
      </c>
      <c r="F10" s="80">
        <f>MRS!I10</f>
        <v>285</v>
      </c>
      <c r="G10" s="81">
        <f>MRS!J10</f>
        <v>8550</v>
      </c>
      <c r="H10" s="82"/>
    </row>
    <row r="11" spans="1:13" s="48" customFormat="1" ht="22.5" customHeight="1">
      <c r="A11" s="85">
        <f t="shared" si="0"/>
        <v>6</v>
      </c>
      <c r="B11" s="190" t="str">
        <f>CONCATENATE(MRS!B11," ",MRS!D11)</f>
        <v>KONICA C361i PRINTER - YELLOW TONER  TN328Y /  PART NO.-AAV8220</v>
      </c>
      <c r="C11" s="191"/>
      <c r="D11" s="79" t="str">
        <f>MRS!G11</f>
        <v>EA</v>
      </c>
      <c r="E11" s="79">
        <f>MRS!H11</f>
        <v>10</v>
      </c>
      <c r="F11" s="80">
        <f>MRS!I11</f>
        <v>415</v>
      </c>
      <c r="G11" s="81">
        <f>MRS!J11</f>
        <v>4150</v>
      </c>
      <c r="H11" s="82"/>
    </row>
    <row r="12" spans="1:13" s="48" customFormat="1" ht="22.5" customHeight="1">
      <c r="A12" s="85">
        <f t="shared" si="0"/>
        <v>7</v>
      </c>
      <c r="B12" s="190" t="str">
        <f>CONCATENATE(MRS!B12," ",MRS!D12)</f>
        <v>KONICA C361i PRINTER - CYAN TONER  TN328C /  PART NO.-AAV8320</v>
      </c>
      <c r="C12" s="191"/>
      <c r="D12" s="79" t="str">
        <f>MRS!G12</f>
        <v>EA</v>
      </c>
      <c r="E12" s="79">
        <f>MRS!H12</f>
        <v>10</v>
      </c>
      <c r="F12" s="80">
        <f>MRS!I12</f>
        <v>415</v>
      </c>
      <c r="G12" s="81">
        <f>MRS!J12</f>
        <v>4150</v>
      </c>
      <c r="H12" s="82"/>
    </row>
    <row r="13" spans="1:13" s="48" customFormat="1" ht="22.5" customHeight="1">
      <c r="A13" s="85">
        <f t="shared" si="0"/>
        <v>8</v>
      </c>
      <c r="B13" s="190" t="str">
        <f>CONCATENATE(MRS!B13," ",MRS!D13)</f>
        <v>KONICA C361i PRINTER - MAGENTA TONER TN328M /  PART NO.-AAV8420</v>
      </c>
      <c r="C13" s="191"/>
      <c r="D13" s="79" t="str">
        <f>MRS!G13</f>
        <v>EA</v>
      </c>
      <c r="E13" s="79">
        <f>MRS!H13</f>
        <v>10</v>
      </c>
      <c r="F13" s="80">
        <f>MRS!I13</f>
        <v>415</v>
      </c>
      <c r="G13" s="81">
        <f>MRS!J13</f>
        <v>4150</v>
      </c>
      <c r="H13" s="82"/>
    </row>
    <row r="14" spans="1:13" s="48" customFormat="1" ht="22.5" customHeight="1">
      <c r="A14" s="85">
        <f t="shared" si="0"/>
        <v>9</v>
      </c>
      <c r="B14" s="190" t="str">
        <f>CONCATENATE(MRS!B14," ",MRS!D14)</f>
        <v>KONICA C361i PRINTER - DRUM (BLACK) DR316K BLACK DRUM UNIT</v>
      </c>
      <c r="C14" s="191"/>
      <c r="D14" s="79" t="str">
        <f>MRS!G14</f>
        <v>EA</v>
      </c>
      <c r="E14" s="79">
        <f>MRS!H14</f>
        <v>5</v>
      </c>
      <c r="F14" s="80">
        <f>MRS!I14</f>
        <v>762.6</v>
      </c>
      <c r="G14" s="81">
        <f>MRS!J14</f>
        <v>3813</v>
      </c>
      <c r="H14" s="82"/>
    </row>
    <row r="15" spans="1:13" s="48" customFormat="1" ht="22.5" customHeight="1">
      <c r="A15" s="85">
        <f t="shared" si="0"/>
        <v>10</v>
      </c>
      <c r="B15" s="190" t="str">
        <f>CONCATENATE(MRS!B15," ",MRS!D15)</f>
        <v xml:space="preserve">ELECTRIC KETTLE </v>
      </c>
      <c r="C15" s="191"/>
      <c r="D15" s="79" t="str">
        <f>MRS!G15</f>
        <v>EA</v>
      </c>
      <c r="E15" s="79">
        <f>MRS!H15</f>
        <v>3</v>
      </c>
      <c r="F15" s="80">
        <f>MRS!I15</f>
        <v>24.6</v>
      </c>
      <c r="G15" s="81">
        <f>MRS!J15</f>
        <v>73.800000000000011</v>
      </c>
      <c r="H15" s="82"/>
    </row>
    <row r="16" spans="1:13" s="48" customFormat="1" ht="22.5" customHeight="1">
      <c r="A16" s="85">
        <f t="shared" si="0"/>
        <v>11</v>
      </c>
      <c r="B16" s="190" t="str">
        <f>CONCATENATE(MRS!B16," ",MRS!D16)</f>
        <v>RJ45 TO CPIN CONNECTOR MICRODIGITINTERNET ADAPTOR</v>
      </c>
      <c r="C16" s="191"/>
      <c r="D16" s="79" t="str">
        <f>MRS!G16</f>
        <v>EA</v>
      </c>
      <c r="E16" s="79">
        <f>MRS!H16</f>
        <v>20</v>
      </c>
      <c r="F16" s="80">
        <f>MRS!I16</f>
        <v>25</v>
      </c>
      <c r="G16" s="81">
        <f>MRS!J16</f>
        <v>500</v>
      </c>
      <c r="H16" s="82"/>
    </row>
    <row r="17" spans="1:8" s="48" customFormat="1" ht="22.5" customHeight="1">
      <c r="A17" s="85">
        <f t="shared" si="0"/>
        <v>12</v>
      </c>
      <c r="B17" s="190" t="str">
        <f>CONCATENATE(MRS!B17," ",MRS!D17)</f>
        <v>CELING LED LIGHT 60*60,60W</v>
      </c>
      <c r="C17" s="191"/>
      <c r="D17" s="79" t="str">
        <f>MRS!G17</f>
        <v>EA</v>
      </c>
      <c r="E17" s="79">
        <f>MRS!H17</f>
        <v>20</v>
      </c>
      <c r="F17" s="80">
        <f>MRS!I17</f>
        <v>57.5</v>
      </c>
      <c r="G17" s="81">
        <f>MRS!J17</f>
        <v>1150</v>
      </c>
      <c r="H17" s="82"/>
    </row>
    <row r="18" spans="1:8" s="48" customFormat="1" ht="22.5" customHeight="1">
      <c r="A18" s="85">
        <f t="shared" si="0"/>
        <v>13</v>
      </c>
      <c r="B18" s="190" t="str">
        <f>CONCATENATE(MRS!B18," ",MRS!D18)</f>
        <v>DUSTBIN - SMALL plastic</v>
      </c>
      <c r="C18" s="191"/>
      <c r="D18" s="79" t="str">
        <f>MRS!G18</f>
        <v>EA</v>
      </c>
      <c r="E18" s="79">
        <f>MRS!H18</f>
        <v>20</v>
      </c>
      <c r="F18" s="80">
        <f>MRS!I18</f>
        <v>5.43</v>
      </c>
      <c r="G18" s="81">
        <f>MRS!J18</f>
        <v>108.6</v>
      </c>
      <c r="H18" s="82"/>
    </row>
    <row r="19" spans="1:8" s="48" customFormat="1" ht="22.5" customHeight="1">
      <c r="A19" s="85">
        <f t="shared" si="0"/>
        <v>14</v>
      </c>
      <c r="B19" s="190" t="str">
        <f>CONCATENATE(MRS!B19," ",MRS!D19)</f>
        <v>DUSTBIN COVER - 10gln 1*10 ROLLS/ PKT</v>
      </c>
      <c r="C19" s="191"/>
      <c r="D19" s="79" t="str">
        <f>MRS!G19</f>
        <v>PKT</v>
      </c>
      <c r="E19" s="79">
        <f>MRS!H19</f>
        <v>10</v>
      </c>
      <c r="F19" s="80">
        <f>MRS!I19</f>
        <v>36.9</v>
      </c>
      <c r="G19" s="81">
        <f>MRS!J19</f>
        <v>369</v>
      </c>
      <c r="H19" s="82"/>
    </row>
    <row r="20" spans="1:8" s="48" customFormat="1" ht="22.5" customHeight="1">
      <c r="A20" s="85">
        <f t="shared" si="0"/>
        <v>15</v>
      </c>
      <c r="B20" s="190" t="str">
        <f>CONCATENATE(MRS!B20," ",MRS!D20)</f>
        <v>CLEANING CLOTHS 12pc*1</v>
      </c>
      <c r="C20" s="191"/>
      <c r="D20" s="79" t="str">
        <f>MRS!G20</f>
        <v>PKTS</v>
      </c>
      <c r="E20" s="79">
        <f>MRS!H20</f>
        <v>5</v>
      </c>
      <c r="F20" s="80">
        <f>MRS!I20</f>
        <v>2.62</v>
      </c>
      <c r="G20" s="81">
        <f>MRS!J20</f>
        <v>13.100000000000001</v>
      </c>
      <c r="H20" s="82"/>
    </row>
    <row r="21" spans="1:8" s="48" customFormat="1" ht="22.5" customHeight="1">
      <c r="A21" s="85">
        <f t="shared" si="0"/>
        <v>16</v>
      </c>
      <c r="B21" s="190" t="str">
        <f>CONCATENATE(MRS!B21," ",MRS!D21)</f>
        <v xml:space="preserve">CLEANING MOP WITH STICKS </v>
      </c>
      <c r="C21" s="191"/>
      <c r="D21" s="79" t="str">
        <f>MRS!G21</f>
        <v>EA</v>
      </c>
      <c r="E21" s="79">
        <f>MRS!H21</f>
        <v>10</v>
      </c>
      <c r="F21" s="80">
        <f>MRS!I21</f>
        <v>15</v>
      </c>
      <c r="G21" s="81">
        <f>MRS!J21</f>
        <v>150</v>
      </c>
      <c r="H21" s="82"/>
    </row>
    <row r="22" spans="1:8" s="48" customFormat="1" ht="22.5" customHeight="1">
      <c r="A22" s="85">
        <f t="shared" si="0"/>
        <v>17</v>
      </c>
      <c r="B22" s="190" t="str">
        <f>CONCATENATE(MRS!B22," ",MRS!D22)</f>
        <v xml:space="preserve">SHOVEL AND BROOM SET </v>
      </c>
      <c r="C22" s="191"/>
      <c r="D22" s="79" t="str">
        <f>MRS!G22</f>
        <v>EA</v>
      </c>
      <c r="E22" s="79">
        <f>MRS!H22</f>
        <v>4</v>
      </c>
      <c r="F22" s="80">
        <f>MRS!I22</f>
        <v>10.87</v>
      </c>
      <c r="G22" s="81">
        <f>MRS!J22</f>
        <v>43.48</v>
      </c>
      <c r="H22" s="82"/>
    </row>
    <row r="23" spans="1:8" s="48" customFormat="1" ht="22.5" customHeight="1">
      <c r="A23" s="85">
        <f t="shared" si="0"/>
        <v>18</v>
      </c>
      <c r="B23" s="190" t="str">
        <f>CONCATENATE(MRS!B23," ",MRS!D23)</f>
        <v xml:space="preserve">HARD BROOM BRUSH WITH IRON STICKS </v>
      </c>
      <c r="C23" s="191"/>
      <c r="D23" s="79" t="str">
        <f>MRS!G23</f>
        <v>EA</v>
      </c>
      <c r="E23" s="79">
        <f>MRS!H23</f>
        <v>20</v>
      </c>
      <c r="F23" s="80">
        <f>MRS!I23</f>
        <v>4.3499999999999996</v>
      </c>
      <c r="G23" s="81">
        <f>MRS!J23</f>
        <v>87</v>
      </c>
      <c r="H23" s="82"/>
    </row>
    <row r="24" spans="1:8" s="48" customFormat="1" ht="22.5" customHeight="1">
      <c r="A24" s="85">
        <f t="shared" si="0"/>
        <v>19</v>
      </c>
      <c r="B24" s="190" t="str">
        <f>CONCATENATE(MRS!B24," ",MRS!D24)</f>
        <v xml:space="preserve">CLEANING WIPERS </v>
      </c>
      <c r="C24" s="191"/>
      <c r="D24" s="79" t="str">
        <f>MRS!G24</f>
        <v>EA</v>
      </c>
      <c r="E24" s="79">
        <f>MRS!H24</f>
        <v>5</v>
      </c>
      <c r="F24" s="80">
        <f>MRS!I24</f>
        <v>10</v>
      </c>
      <c r="G24" s="81">
        <f>MRS!J24</f>
        <v>50</v>
      </c>
      <c r="H24" s="82"/>
    </row>
    <row r="25" spans="1:8" s="48" customFormat="1" ht="22.5" customHeight="1">
      <c r="A25" s="85">
        <f t="shared" si="0"/>
        <v>20</v>
      </c>
      <c r="B25" s="190" t="str">
        <f>CONCATENATE(MRS!B25," ",MRS!D25)</f>
        <v>CLOROX 3.78LTR*6</v>
      </c>
      <c r="C25" s="191"/>
      <c r="D25" s="79" t="str">
        <f>MRS!G25</f>
        <v>BOTTEL</v>
      </c>
      <c r="E25" s="79">
        <f>MRS!H25</f>
        <v>6</v>
      </c>
      <c r="F25" s="80">
        <f>MRS!I25</f>
        <v>18.47</v>
      </c>
      <c r="G25" s="81">
        <f>MRS!J25</f>
        <v>110.82</v>
      </c>
      <c r="H25" s="82"/>
    </row>
    <row r="26" spans="1:8" s="48" customFormat="1" ht="22.5" customHeight="1">
      <c r="A26" s="85">
        <f t="shared" si="0"/>
        <v>21</v>
      </c>
      <c r="B26" s="190" t="str">
        <f>CONCATENATE(MRS!B26," ",MRS!D26)</f>
        <v>PEN- BLUE 1*50/ PKT</v>
      </c>
      <c r="C26" s="191"/>
      <c r="D26" s="79" t="str">
        <f>MRS!G26</f>
        <v>PKT</v>
      </c>
      <c r="E26" s="79">
        <f>MRS!H26</f>
        <v>40</v>
      </c>
      <c r="F26" s="80">
        <f>MRS!I26</f>
        <v>19.68</v>
      </c>
      <c r="G26" s="81">
        <f>MRS!J26</f>
        <v>787.2</v>
      </c>
      <c r="H26" s="82"/>
    </row>
    <row r="27" spans="1:8" s="48" customFormat="1" ht="22.5" customHeight="1">
      <c r="A27" s="85">
        <f t="shared" si="0"/>
        <v>22</v>
      </c>
      <c r="B27" s="190" t="str">
        <f>CONCATENATE(MRS!B27," ",MRS!D27)</f>
        <v>PEN - BLACK 1*50/ PKT</v>
      </c>
      <c r="C27" s="191"/>
      <c r="D27" s="79" t="str">
        <f>MRS!G27</f>
        <v>PKT</v>
      </c>
      <c r="E27" s="79">
        <f>MRS!H27</f>
        <v>10</v>
      </c>
      <c r="F27" s="80">
        <f>MRS!I27</f>
        <v>19.68</v>
      </c>
      <c r="G27" s="81">
        <f>MRS!J27</f>
        <v>196.8</v>
      </c>
      <c r="H27" s="82"/>
    </row>
    <row r="28" spans="1:8" s="48" customFormat="1" ht="22.5" customHeight="1">
      <c r="A28" s="85">
        <f t="shared" si="0"/>
        <v>23</v>
      </c>
      <c r="B28" s="190" t="str">
        <f>CONCATENATE(MRS!B28," ",MRS!D28)</f>
        <v>PEN - RED 1*50/ PKT</v>
      </c>
      <c r="C28" s="191"/>
      <c r="D28" s="79" t="str">
        <f>MRS!G28</f>
        <v>PKT</v>
      </c>
      <c r="E28" s="79">
        <f>MRS!H28</f>
        <v>10</v>
      </c>
      <c r="F28" s="80">
        <f>MRS!I28</f>
        <v>19.68</v>
      </c>
      <c r="G28" s="81">
        <f>MRS!J28</f>
        <v>196.8</v>
      </c>
      <c r="H28" s="82"/>
    </row>
    <row r="29" spans="1:8" s="48" customFormat="1" ht="22.5" customHeight="1">
      <c r="A29" s="85">
        <f t="shared" si="0"/>
        <v>24</v>
      </c>
      <c r="B29" s="190" t="str">
        <f>CONCATENATE(MRS!B29," ",MRS!D29)</f>
        <v>PENCIL 10 PIECES/ PKT</v>
      </c>
      <c r="C29" s="191"/>
      <c r="D29" s="79" t="str">
        <f>MRS!G29</f>
        <v>PKT</v>
      </c>
      <c r="E29" s="79">
        <f>MRS!H29</f>
        <v>50</v>
      </c>
      <c r="F29" s="80">
        <f>MRS!I29</f>
        <v>4.92</v>
      </c>
      <c r="G29" s="81">
        <f>MRS!J29</f>
        <v>246</v>
      </c>
      <c r="H29" s="82"/>
    </row>
    <row r="30" spans="1:8" s="48" customFormat="1" ht="22.5" customHeight="1">
      <c r="A30" s="85">
        <f t="shared" si="0"/>
        <v>25</v>
      </c>
      <c r="B30" s="190" t="str">
        <f>CONCATENATE(MRS!B30," ",MRS!D30)</f>
        <v xml:space="preserve">STAMP PAD </v>
      </c>
      <c r="C30" s="191"/>
      <c r="D30" s="79" t="str">
        <f>MRS!G30</f>
        <v>EA</v>
      </c>
      <c r="E30" s="79">
        <f>MRS!H30</f>
        <v>2</v>
      </c>
      <c r="F30" s="80">
        <f>MRS!I30</f>
        <v>2.5</v>
      </c>
      <c r="G30" s="81">
        <f>MRS!J30</f>
        <v>5</v>
      </c>
      <c r="H30" s="82"/>
    </row>
    <row r="31" spans="1:8" s="48" customFormat="1" ht="22.5" customHeight="1">
      <c r="A31" s="85">
        <f t="shared" si="0"/>
        <v>26</v>
      </c>
      <c r="B31" s="190" t="str">
        <f>CONCATENATE(MRS!B31," ",MRS!D31)</f>
        <v>STAMP INK RED 3/ BLUE 3</v>
      </c>
      <c r="C31" s="191"/>
      <c r="D31" s="79" t="str">
        <f>MRS!G31</f>
        <v>EA</v>
      </c>
      <c r="E31" s="79">
        <f>MRS!H31</f>
        <v>6</v>
      </c>
      <c r="F31" s="80">
        <f>MRS!I31</f>
        <v>1.25</v>
      </c>
      <c r="G31" s="81">
        <f>MRS!J31</f>
        <v>7.5</v>
      </c>
      <c r="H31" s="82"/>
    </row>
    <row r="32" spans="1:8" s="48" customFormat="1" ht="22.5" customHeight="1">
      <c r="A32" s="85">
        <f t="shared" si="0"/>
        <v>27</v>
      </c>
      <c r="B32" s="190" t="str">
        <f>CONCATENATE(MRS!B32," ",MRS!D32)</f>
        <v xml:space="preserve">BINDER CLIP - 51 MM </v>
      </c>
      <c r="C32" s="191"/>
      <c r="D32" s="79" t="str">
        <f>MRS!G32</f>
        <v>PKTS</v>
      </c>
      <c r="E32" s="79">
        <f>MRS!H32</f>
        <v>50</v>
      </c>
      <c r="F32" s="80">
        <f>MRS!I32</f>
        <v>5.54</v>
      </c>
      <c r="G32" s="81">
        <f>MRS!J32</f>
        <v>277</v>
      </c>
      <c r="H32" s="82"/>
    </row>
    <row r="33" spans="1:8" s="48" customFormat="1" ht="22.5" customHeight="1">
      <c r="A33" s="85">
        <f t="shared" si="0"/>
        <v>28</v>
      </c>
      <c r="B33" s="190" t="str">
        <f>CONCATENATE(MRS!B33," ",MRS!D33)</f>
        <v xml:space="preserve">CLIP BOARD </v>
      </c>
      <c r="C33" s="191"/>
      <c r="D33" s="79" t="str">
        <f>MRS!G33</f>
        <v>EA</v>
      </c>
      <c r="E33" s="79">
        <f>MRS!H33</f>
        <v>50</v>
      </c>
      <c r="F33" s="80">
        <f>MRS!I33</f>
        <v>2.5</v>
      </c>
      <c r="G33" s="81">
        <f>MRS!J33</f>
        <v>125</v>
      </c>
      <c r="H33" s="82"/>
    </row>
    <row r="34" spans="1:8" s="48" customFormat="1" ht="22.5" customHeight="1">
      <c r="A34" s="85">
        <f t="shared" si="0"/>
        <v>29</v>
      </c>
      <c r="B34" s="190" t="str">
        <f>CONCATENATE(MRS!B34," ",MRS!D34)</f>
        <v xml:space="preserve">SENSODYNE TOOTHPASTE - WHITE </v>
      </c>
      <c r="C34" s="191"/>
      <c r="D34" s="79" t="str">
        <f>MRS!G34</f>
        <v>EA</v>
      </c>
      <c r="E34" s="79">
        <f>MRS!H34</f>
        <v>100</v>
      </c>
      <c r="F34" s="80">
        <f>MRS!I34</f>
        <v>27.65</v>
      </c>
      <c r="G34" s="81">
        <f>MRS!J34</f>
        <v>2765</v>
      </c>
      <c r="H34" s="82"/>
    </row>
    <row r="35" spans="1:8" s="48" customFormat="1" ht="22.5" customHeight="1">
      <c r="A35" s="85">
        <f t="shared" si="0"/>
        <v>30</v>
      </c>
      <c r="B35" s="190" t="str">
        <f>CONCATENATE(MRS!B35," ",MRS!D35)</f>
        <v>HEAD &amp; SHOLDERS SHAMPOO - MENTHOL 400 ML</v>
      </c>
      <c r="C35" s="191"/>
      <c r="D35" s="79" t="str">
        <f>MRS!G35</f>
        <v>EA</v>
      </c>
      <c r="E35" s="79">
        <f>MRS!H35</f>
        <v>40</v>
      </c>
      <c r="F35" s="80">
        <f>MRS!I35</f>
        <v>12.5</v>
      </c>
      <c r="G35" s="81">
        <f>MRS!J35</f>
        <v>500</v>
      </c>
      <c r="H35" s="82"/>
    </row>
    <row r="36" spans="1:8" s="48" customFormat="1" ht="22.5" customHeight="1">
      <c r="A36" s="85">
        <f t="shared" si="0"/>
        <v>31</v>
      </c>
      <c r="B36" s="190" t="str">
        <f>CONCATENATE(MRS!B36," ",MRS!D36)</f>
        <v xml:space="preserve">DOVE SOAP </v>
      </c>
      <c r="C36" s="191"/>
      <c r="D36" s="79" t="str">
        <f>MRS!G36</f>
        <v>EA</v>
      </c>
      <c r="E36" s="79">
        <f>MRS!H36</f>
        <v>100</v>
      </c>
      <c r="F36" s="80">
        <f>MRS!I36</f>
        <v>4.8</v>
      </c>
      <c r="G36" s="81">
        <f>MRS!J36</f>
        <v>480</v>
      </c>
      <c r="H36" s="82"/>
    </row>
    <row r="37" spans="1:8" s="48" customFormat="1" ht="22.5" customHeight="1">
      <c r="A37" s="85">
        <f t="shared" si="0"/>
        <v>32</v>
      </c>
      <c r="B37" s="190" t="str">
        <f>CONCATENATE(MRS!B37," ",MRS!D37)</f>
        <v xml:space="preserve">WET TISSUE </v>
      </c>
      <c r="C37" s="191"/>
      <c r="D37" s="79" t="str">
        <f>MRS!G37</f>
        <v>EA</v>
      </c>
      <c r="E37" s="79">
        <f>MRS!H37</f>
        <v>200</v>
      </c>
      <c r="F37" s="80">
        <f>MRS!I37</f>
        <v>6.15</v>
      </c>
      <c r="G37" s="81">
        <f>MRS!J37</f>
        <v>1230</v>
      </c>
      <c r="H37" s="82"/>
    </row>
    <row r="38" spans="1:8" s="48" customFormat="1" ht="22.5" customHeight="1">
      <c r="A38" s="85">
        <f t="shared" si="0"/>
        <v>33</v>
      </c>
      <c r="B38" s="190" t="str">
        <f>CONCATENATE(MRS!B38," ",MRS!D38)</f>
        <v>SOFT DRINKS 30 CANS/ PKT</v>
      </c>
      <c r="C38" s="191"/>
      <c r="D38" s="79" t="str">
        <f>MRS!G38</f>
        <v>PKT</v>
      </c>
      <c r="E38" s="79">
        <f>MRS!H38</f>
        <v>50</v>
      </c>
      <c r="F38" s="80">
        <f>MRS!I38</f>
        <v>56.25</v>
      </c>
      <c r="G38" s="81">
        <f>MRS!J38</f>
        <v>2812.5</v>
      </c>
      <c r="H38" s="82"/>
    </row>
    <row r="39" spans="1:8" s="48" customFormat="1" ht="22.5" customHeight="1">
      <c r="A39" s="85">
        <f t="shared" si="0"/>
        <v>34</v>
      </c>
      <c r="B39" s="190" t="str">
        <f>CONCATENATE(MRS!B39," ",MRS!D39)</f>
        <v xml:space="preserve">PAPER CUPS </v>
      </c>
      <c r="C39" s="191"/>
      <c r="D39" s="79" t="str">
        <f>MRS!G39</f>
        <v>BOX</v>
      </c>
      <c r="E39" s="79">
        <f>MRS!H39</f>
        <v>40</v>
      </c>
      <c r="F39" s="80">
        <f>MRS!I39</f>
        <v>57.81</v>
      </c>
      <c r="G39" s="81">
        <f>MRS!J39</f>
        <v>2312.4</v>
      </c>
      <c r="H39" s="82"/>
    </row>
    <row r="40" spans="1:8" s="48" customFormat="1" ht="22.5" customHeight="1">
      <c r="A40" s="85">
        <f t="shared" si="0"/>
        <v>35</v>
      </c>
      <c r="B40" s="190" t="str">
        <f>CONCATENATE(MRS!B40," ",MRS!D40)</f>
        <v>SUGAR 20kg box</v>
      </c>
      <c r="C40" s="191"/>
      <c r="D40" s="79" t="str">
        <f>MRS!G40</f>
        <v>box</v>
      </c>
      <c r="E40" s="79">
        <f>MRS!H40</f>
        <v>5</v>
      </c>
      <c r="F40" s="80">
        <f>MRS!I40</f>
        <v>55</v>
      </c>
      <c r="G40" s="81">
        <f>MRS!J40</f>
        <v>275</v>
      </c>
      <c r="H40" s="82"/>
    </row>
    <row r="41" spans="1:8" s="48" customFormat="1" ht="22.5" customHeight="1">
      <c r="A41" s="85">
        <f t="shared" si="0"/>
        <v>36</v>
      </c>
      <c r="B41" s="190" t="str">
        <f>CONCATENATE(MRS!B41," ",MRS!D41)</f>
        <v xml:space="preserve">COFFEE FILTERS - 4" SIZE </v>
      </c>
      <c r="C41" s="191"/>
      <c r="D41" s="79" t="str">
        <f>MRS!G41</f>
        <v>PKTS</v>
      </c>
      <c r="E41" s="79">
        <f>MRS!H41</f>
        <v>10</v>
      </c>
      <c r="F41" s="80">
        <f>MRS!I41</f>
        <v>15.93</v>
      </c>
      <c r="G41" s="81">
        <f>MRS!J41</f>
        <v>159.30000000000001</v>
      </c>
      <c r="H41" s="82"/>
    </row>
    <row r="42" spans="1:8" s="48" customFormat="1" ht="22.5" customHeight="1">
      <c r="A42" s="85">
        <f t="shared" si="0"/>
        <v>37</v>
      </c>
      <c r="B42" s="190" t="str">
        <f>CONCATENATE(MRS!B42," ",MRS!D42)</f>
        <v>WATER - 300 ML AQAFINA 40 BOTTELS/ BOX</v>
      </c>
      <c r="C42" s="191"/>
      <c r="D42" s="79" t="str">
        <f>MRS!G42</f>
        <v>BOX</v>
      </c>
      <c r="E42" s="79">
        <f>MRS!H42</f>
        <v>30</v>
      </c>
      <c r="F42" s="80">
        <f>MRS!I42</f>
        <v>13.12</v>
      </c>
      <c r="G42" s="81">
        <f>MRS!J42</f>
        <v>393.59999999999997</v>
      </c>
      <c r="H42" s="82"/>
    </row>
    <row r="43" spans="1:8" s="48" customFormat="1" ht="22.5" customHeight="1">
      <c r="A43" s="85">
        <f t="shared" si="0"/>
        <v>38</v>
      </c>
      <c r="B43" s="190" t="str">
        <f>CONCATENATE(MRS!B43," ",MRS!D43)</f>
        <v xml:space="preserve">JUICE </v>
      </c>
      <c r="C43" s="191"/>
      <c r="D43" s="79" t="str">
        <f>MRS!G43</f>
        <v>EA</v>
      </c>
      <c r="E43" s="79">
        <f>MRS!H43</f>
        <v>3000</v>
      </c>
      <c r="F43" s="80">
        <f>MRS!I43</f>
        <v>1.1000000000000001</v>
      </c>
      <c r="G43" s="81">
        <f>MRS!J43</f>
        <v>3300.0000000000005</v>
      </c>
      <c r="H43" s="82"/>
    </row>
    <row r="44" spans="1:8" s="48" customFormat="1" ht="22.5" customHeight="1">
      <c r="A44" s="85">
        <f t="shared" si="0"/>
        <v>39</v>
      </c>
      <c r="B44" s="190" t="str">
        <f>CONCATENATE(MRS!B44," ",MRS!D44)</f>
        <v>YELLOW SAFETY VEST - TCN VOLTAS</v>
      </c>
      <c r="C44" s="191"/>
      <c r="D44" s="79" t="str">
        <f>MRS!G44</f>
        <v>EA</v>
      </c>
      <c r="E44" s="79">
        <f>MRS!H44</f>
        <v>400</v>
      </c>
      <c r="F44" s="80">
        <f>MRS!I44</f>
        <v>14.15</v>
      </c>
      <c r="G44" s="81">
        <f>MRS!J44</f>
        <v>5660</v>
      </c>
      <c r="H44" s="82"/>
    </row>
    <row r="45" spans="1:8" s="48" customFormat="1" ht="22.5" customHeight="1">
      <c r="A45" s="85">
        <f t="shared" si="0"/>
        <v>40</v>
      </c>
      <c r="B45" s="190" t="str">
        <f>CONCATENATE(MRS!B45," ",MRS!D45)</f>
        <v xml:space="preserve">CHIN STRAP </v>
      </c>
      <c r="C45" s="191"/>
      <c r="D45" s="79" t="str">
        <f>MRS!G45</f>
        <v>EA</v>
      </c>
      <c r="E45" s="79">
        <f>MRS!H45</f>
        <v>100</v>
      </c>
      <c r="F45" s="80">
        <f>MRS!I45</f>
        <v>1</v>
      </c>
      <c r="G45" s="81">
        <f>MRS!J45</f>
        <v>100</v>
      </c>
      <c r="H45" s="82"/>
    </row>
    <row r="46" spans="1:8" s="48" customFormat="1" ht="23.1" customHeight="1">
      <c r="A46" s="206" t="s">
        <v>73</v>
      </c>
      <c r="B46" s="207"/>
      <c r="C46" s="207"/>
      <c r="D46" s="207"/>
      <c r="E46" s="207"/>
      <c r="F46" s="207"/>
      <c r="G46" s="51">
        <f>SUM(G6:G45)</f>
        <v>51917.89</v>
      </c>
      <c r="H46" s="52"/>
    </row>
    <row r="47" spans="1:8" s="48" customFormat="1" ht="23.1" customHeight="1">
      <c r="A47" s="206" t="s">
        <v>37</v>
      </c>
      <c r="B47" s="207"/>
      <c r="C47" s="207"/>
      <c r="D47" s="207"/>
      <c r="E47" s="207"/>
      <c r="F47" s="207"/>
      <c r="G47" s="51">
        <f>+G46*0.15</f>
        <v>7787.6834999999992</v>
      </c>
      <c r="H47" s="52"/>
    </row>
    <row r="48" spans="1:8" s="48" customFormat="1" ht="24.95" customHeight="1" thickBot="1">
      <c r="A48" s="208" t="s">
        <v>74</v>
      </c>
      <c r="B48" s="209"/>
      <c r="C48" s="209"/>
      <c r="D48" s="209"/>
      <c r="E48" s="209"/>
      <c r="F48" s="209"/>
      <c r="G48" s="53">
        <f>G47+G46</f>
        <v>59705.573499999999</v>
      </c>
      <c r="H48" s="54"/>
    </row>
    <row r="49" spans="1:13" ht="15.75" thickTop="1">
      <c r="A49" s="55" t="str">
        <f>" 1) Above Price are as per your quotation with ref "&amp;'PO 1st page'!K14</f>
        <v xml:space="preserve"> 1) Above Price are as per your quotation with ref SAL-QTN-2026-0057</v>
      </c>
      <c r="B49" s="56"/>
      <c r="C49" s="56"/>
      <c r="D49" s="57"/>
      <c r="E49" s="57"/>
      <c r="F49" s="57"/>
      <c r="G49" s="57"/>
      <c r="H49" s="57"/>
    </row>
    <row r="50" spans="1:13" ht="15">
      <c r="A50" s="58" t="s">
        <v>75</v>
      </c>
      <c r="B50" s="59"/>
      <c r="C50" s="59"/>
      <c r="D50" s="60"/>
      <c r="E50" s="60"/>
      <c r="F50" s="60"/>
      <c r="G50" s="60"/>
      <c r="H50" s="60"/>
      <c r="I50" s="61"/>
    </row>
    <row r="51" spans="1:13" ht="15.75">
      <c r="A51" s="62"/>
    </row>
    <row r="52" spans="1:13">
      <c r="A52" s="125" t="s">
        <v>76</v>
      </c>
      <c r="B52" s="125"/>
      <c r="C52" s="125"/>
      <c r="D52" s="125"/>
      <c r="E52" s="125"/>
      <c r="F52" s="125"/>
      <c r="G52" s="125"/>
      <c r="H52" s="125"/>
      <c r="I52" s="63"/>
      <c r="J52" s="63"/>
      <c r="K52" s="63"/>
      <c r="L52" s="63"/>
      <c r="M52" s="63"/>
    </row>
    <row r="53" spans="1:13" ht="15.75">
      <c r="A53" s="62"/>
      <c r="C53" s="64"/>
    </row>
    <row r="54" spans="1:13" ht="15.75">
      <c r="A54" s="62"/>
      <c r="C54" s="64"/>
    </row>
    <row r="56" spans="1:13" ht="12" customHeight="1"/>
  </sheetData>
  <mergeCells count="52">
    <mergeCell ref="B43:C43"/>
    <mergeCell ref="B44:C44"/>
    <mergeCell ref="B45:C45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24:C24"/>
    <mergeCell ref="B25:C25"/>
    <mergeCell ref="B26:C26"/>
    <mergeCell ref="B27:C27"/>
    <mergeCell ref="B28:C28"/>
    <mergeCell ref="A46:F46"/>
    <mergeCell ref="A47:F47"/>
    <mergeCell ref="A48:F48"/>
    <mergeCell ref="A52:H52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2026-09-30T14:18:41Z</cp:lastPrinted>
  <dcterms:created xsi:type="dcterms:W3CDTF">2024-10-20T11:50:19Z</dcterms:created>
  <dcterms:modified xsi:type="dcterms:W3CDTF">2026-09-30T14:19:54Z</dcterms:modified>
</cp:coreProperties>
</file>