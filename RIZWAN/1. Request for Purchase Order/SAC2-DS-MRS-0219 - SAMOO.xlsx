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356DDFE-1E62-46A3-881B-DBE8156E2F26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B7" i="4"/>
  <c r="J7" i="1"/>
  <c r="F30" i="3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E7" i="4" s="1"/>
  <c r="G7" i="2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<sst xmlns="http://schemas.openxmlformats.org/spreadsheetml/2006/main" count="157" uniqueCount="131">
  <si>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</si>
  <si>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</si>
  <si>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</si>
  <si>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</si>
  <si>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</si>
  <si>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</si>
  <si>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</si>
  <si>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</si>
  <si>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</si>
  <si>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</si>
  <si>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</si>
  <si>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</si>
  <si>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</si>
  <si>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</si>
  <si>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</si>
  <si>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</si>
  <si>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</si>
  <si>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</si>
  <si>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</si>
  <si>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</si>
  <si>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</si>
  <si>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</si>
  <si>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</si>
  <si>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</si>
  <si>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</si>
  <si>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</si>
  <si>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</si>
  <si>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</si>
  <si>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</si>
  <si>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</si>
  <si>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</si>
  <si>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</si>
  <si>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</si>
  <si>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</si>
  <si>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</si>
  <si>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</si>
  <si>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</si>
  <si>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</si>
  <si>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</si>
  <si>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</si>
  <si>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</si>
  <si>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</si>
  <si>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</si>
  <si>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</si>
  <si>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</si>
  <si>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</si>
  <si>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</si>
  <si>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</si>
  <si>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</si>
  <si>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</si>
  <si>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</si>
  <si>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</si>
  <si>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</si>
  <si>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</si>
  <si>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</si>
  <si>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</si>
  <si>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</si>
  <si>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</si>
  <si>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</si>
  <si>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</si>
  <si>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</si>
  <si>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</si>
  <si>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</si>
  <si>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</si>
  <si>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</si>
  <si>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</si>
  <si>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</si>
  <si>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</si>
  <si>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</si>
  <si>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</si>
  <si>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</si>
  <si>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</si>
  <si>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</si>
  <si>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</si>
  <si>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</si>
  <si>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</si>
  <si>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</si>
  <si>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</si>
  <si>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</si>
  <si>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</si>
  <si>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</si>
  <si>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</si>
  <si>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</si>
  <si>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</si>
  <si>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</si>
  <si>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</si>
  <si>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</si>
  <si>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</si>
  <si>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</si>
  <si>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</si>
  <si>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</si>
  <si>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</si>
  <si>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</si>
  <si>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</si>
  <si>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</si>
  <si>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</si>
  <si>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</si>
  <si>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</si>
  <si>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</si>
  <si>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</si>
  <si>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</si>
  <si>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</si>
  <si>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</si>
  <si>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</si>
  <si>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</si>
  <si>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</si>
  <si>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</si>
  <si>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</si>
  <si>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</si>
  <si>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</si>
  <si>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</si>
  <si>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</si>
  <si>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</si>
  <si>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</si>
  <si>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</si>
  <si>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</si>
  <si>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</si>
  <si>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</si>
  <si>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</si>
  <si>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</si>
  <si>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</si>
  <si>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</si>
  <si>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</si>
  <si>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</si>
  <si>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-MRS-0219</t>
    </r>
  </si>
  <si>
    <t>Third Party Training and Certificate for BLS</t>
  </si>
  <si>
    <t>Third Party Training and Certificate for First Aid</t>
  </si>
  <si>
    <t>SAMOO-DAESHIN-MT-23-2025</t>
  </si>
  <si>
    <t>Third Party Inspection and Certificate for First Aid</t>
  </si>
  <si>
    <t>Third Party Inspection and Certificate for BLS</t>
  </si>
  <si>
    <t>SA47 1000 0001 4000 1054 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</si>
</sst>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H8" sqref="H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29" t="s">
        <v>89</v>
      </c>
      <c r="K1" s="130"/>
      <c r="L1" s="131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45" t="s">
        <v>101</v>
      </c>
      <c r="K2" s="146"/>
      <c r="L2" s="147"/>
    </row>
    <row r="3" spans="1:18" ht="20.100000000000001" customHeight="1">
      <c r="A3" s="3" t="s">
        <v>124</v>
      </c>
      <c r="B3" s="100"/>
      <c r="C3" s="100"/>
      <c r="D3" s="100"/>
      <c r="E3" s="132">
        <f>+L3</f>
        <v>46060</v>
      </c>
      <c r="F3" s="132"/>
      <c r="G3" s="132"/>
      <c r="H3" s="132"/>
      <c r="I3" s="132"/>
      <c r="J3" s="100"/>
      <c r="K3" s="100"/>
      <c r="L3" s="121">
        <v>46060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93</v>
      </c>
      <c r="J4" s="133" t="s">
        <v>94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4" customHeight="1">
      <c r="A6" s="5">
        <f t="shared" ref="A6:A15" si="0">ROW(A1)</f>
        <v>1</v>
      </c>
      <c r="B6" s="148" t="s">
        <v>126</v>
      </c>
      <c r="C6" s="149"/>
      <c r="D6" s="150"/>
      <c r="E6" s="151"/>
      <c r="F6" s="152"/>
      <c r="G6" s="110" t="s">
        <v>109</v>
      </c>
      <c r="H6" s="111">
        <v>4</v>
      </c>
      <c r="I6" s="112">
        <v>400</v>
      </c>
      <c r="J6" s="112">
        <f>H6*I6</f>
        <v>1600</v>
      </c>
      <c r="K6" s="113" t="s">
        <v>103</v>
      </c>
      <c r="L6" s="114" t="s">
        <v>110</v>
      </c>
      <c r="R6" s="105"/>
    </row>
    <row r="7" spans="1:18" ht="24" customHeight="1">
      <c r="A7" s="5">
        <f t="shared" si="0"/>
        <v>2</v>
      </c>
      <c r="B7" s="148" t="s">
        <v>125</v>
      </c>
      <c r="C7" s="149"/>
      <c r="D7" s="153"/>
      <c r="E7" s="151"/>
      <c r="F7" s="152"/>
      <c r="G7" s="110" t="s">
        <v>109</v>
      </c>
      <c r="H7" s="111">
        <v>4</v>
      </c>
      <c r="I7" s="112">
        <v>400</v>
      </c>
      <c r="J7" s="112">
        <f>H7*I7</f>
        <v>1600</v>
      </c>
      <c r="K7" s="113"/>
      <c r="L7" s="114"/>
      <c r="R7" s="105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6" t="s">
        <v>8</v>
      </c>
      <c r="B16" s="15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3200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SAC2-DS-MRS-0219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46060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90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Third Party Training and Certificate for First Aid</v>
      </c>
      <c r="C6" s="167"/>
      <c r="D6" s="168">
        <f>MRS!D6</f>
        <v>0</v>
      </c>
      <c r="E6" s="169"/>
      <c r="F6" s="170"/>
      <c r="G6" s="102" t="str">
        <f>MRS!G6</f>
        <v>EA</v>
      </c>
      <c r="H6" s="102">
        <f>MRS!H6</f>
        <v>4</v>
      </c>
      <c r="I6" s="103">
        <f>MRS!I6</f>
        <v>400</v>
      </c>
      <c r="J6" s="103">
        <f>MRS!J6</f>
        <v>1600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 t="str">
        <f>MRS!B7</f>
        <v>Third Party Training and Certificate for BLS</v>
      </c>
      <c r="C7" s="167"/>
      <c r="D7" s="168">
        <f>MRS!D7</f>
        <v>0</v>
      </c>
      <c r="E7" s="169"/>
      <c r="F7" s="170"/>
      <c r="G7" s="102" t="str">
        <f>MRS!G7</f>
        <v>EA</v>
      </c>
      <c r="H7" s="102">
        <f>MRS!H7</f>
        <v>4</v>
      </c>
      <c r="I7" s="103">
        <f>MRS!I7</f>
        <v>400</v>
      </c>
      <c r="J7" s="103">
        <f>MRS!J7</f>
        <v>1600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31" zoomScale="130" zoomScaleNormal="10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46060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SAC2-DS-PO-0219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46022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128</v>
      </c>
      <c r="M26" s="127" t="s">
        <v>44</v>
      </c>
    </row>
    <row r="27" spans="2:13" ht="11.1" customHeight="1">
      <c r="B27" s="32"/>
      <c r="C27" s="26" t="s">
        <v>129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>
        <v>3200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>
        <f>F29*15%</f>
        <v>480</v>
      </c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>
        <f>SUM(F29:G30)</f>
        <v>3680</v>
      </c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4" t="s">
        <v>112</v>
      </c>
      <c r="F54" s="26" t="s">
        <v>120</v>
      </c>
    </row>
    <row r="55" spans="2:16" ht="12" customHeight="1">
      <c r="B55" s="83" t="s">
        <v>63</v>
      </c>
      <c r="C55" s="124" t="s">
        <v>113</v>
      </c>
      <c r="F55" s="125" t="s">
        <v>121</v>
      </c>
    </row>
    <row r="56" spans="2:16" ht="12" customHeight="1">
      <c r="B56" s="83" t="s">
        <v>63</v>
      </c>
      <c r="C56" s="124" t="s">
        <v>114</v>
      </c>
      <c r="F56" s="26" t="s">
        <v>130</v>
      </c>
    </row>
    <row r="57" spans="2:16" ht="12" customHeight="1">
      <c r="B57" s="83" t="s">
        <v>63</v>
      </c>
      <c r="C57" s="124" t="s">
        <v>115</v>
      </c>
      <c r="F57" s="26" t="s">
        <v>122</v>
      </c>
    </row>
    <row r="58" spans="2:16" ht="12" customHeight="1">
      <c r="B58" s="83" t="s">
        <v>63</v>
      </c>
      <c r="C58" s="124" t="s">
        <v>116</v>
      </c>
      <c r="F58" s="26" t="s">
        <v>123</v>
      </c>
    </row>
    <row r="59" spans="2:16" ht="12" customHeight="1">
      <c r="B59" s="83" t="s">
        <v>63</v>
      </c>
      <c r="C59" s="124" t="s">
        <v>117</v>
      </c>
      <c r="F59" s="26" t="s">
        <v>118</v>
      </c>
    </row>
    <row r="60" spans="2:16" ht="12" customHeight="1">
      <c r="B60" s="83"/>
      <c r="C60" s="128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SAC2-DS-PO-0219</v>
      </c>
      <c r="C2" s="188" t="s">
        <v>76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46060</v>
      </c>
      <c r="C3" s="51"/>
      <c r="D3" s="52"/>
      <c r="E3" s="189" t="s">
        <v>78</v>
      </c>
      <c r="F3" s="189"/>
      <c r="G3" s="189"/>
      <c r="H3" s="189"/>
      <c r="I3" s="53"/>
    </row>
    <row r="4" spans="1:13" s="55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SAMOO(Samoo Al Bahr Contracting Est.)</v>
      </c>
      <c r="G4" s="199"/>
      <c r="H4" s="200" t="s">
        <v>83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84</v>
      </c>
      <c r="G5" s="57" t="s">
        <v>49</v>
      </c>
      <c r="H5" s="201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6" t="str">
        <f>CONCATENATE(MRS!B6," ",MRS!D6)</f>
        <v xml:space="preserve">Third Party Training and Certificate for First Aid </v>
      </c>
      <c r="C6" s="187"/>
      <c r="D6" s="85" t="str">
        <f>+'MRS LIST'!G6</f>
        <v>EA</v>
      </c>
      <c r="E6" s="86">
        <f>+'MRS LIST'!H6</f>
        <v>4</v>
      </c>
      <c r="F6" s="87">
        <f>+'MRS LIST'!I6</f>
        <v>400</v>
      </c>
      <c r="G6" s="88">
        <f>+'MRS LIST'!J6</f>
        <v>1600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6" t="str">
        <f>CONCATENATE(MRS!B7," ",MRS!D7)</f>
        <v xml:space="preserve">Third Party Training and Certificate for BLS </v>
      </c>
      <c r="C7" s="187"/>
      <c r="D7" s="85" t="str">
        <f>+'MRS LIST'!G7</f>
        <v>EA</v>
      </c>
      <c r="E7" s="86">
        <f>+'MRS LIST'!H7</f>
        <v>4</v>
      </c>
      <c r="F7" s="87">
        <f>+'MRS LIST'!I7</f>
        <v>400</v>
      </c>
      <c r="G7" s="88">
        <f>+'MRS LIST'!J7</f>
        <v>1600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6"/>
      <c r="C12" s="207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6"/>
      <c r="C13" s="207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6"/>
      <c r="C14" s="207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6"/>
      <c r="C15" s="207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6"/>
      <c r="C16" s="207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6"/>
      <c r="C17" s="207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3200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480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3680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SAMOO-DAESHIN-MT-23-2025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2026-02-07T13:40:21Z</cp:lastPrinted>
  <dcterms:created xsi:type="dcterms:W3CDTF">2024-10-20T11:50:19Z</dcterms:created>
  <dcterms:modified xsi:type="dcterms:W3CDTF">2026-02-07T13:40:22Z</dcterms:modified>
</cp:coreProperties>
</file>