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EQUIPMENT LPO\"/>
    </mc:Choice>
  </mc:AlternateContent>
  <xr:revisionPtr revIDLastSave="0" documentId="13_ncr:1_{69ADB741-C4AC-49DE-A817-A445342F518A}" xr6:coauthVersionLast="47" xr6:coauthVersionMax="47" xr10:uidLastSave="{00000000-0000-0000-0000-000000000000}"/>
  <bookViews>
    <workbookView xWindow="-120" yWindow="-120" windowWidth="29040" windowHeight="15840" activeTab="3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page'!$A$1:$N$63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4" l="1"/>
  <c r="K59" i="3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B6" i="4" s="1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<sst xmlns="http://schemas.openxmlformats.org/spreadsheetml/2006/main" count="152" uniqueCount="117">
  <si>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</si>
  <si>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</si>
  <si>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</si>
  <si>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</si>
  <si>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</si>
  <si>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</si>
  <si>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</si>
  <si>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</si>
  <si>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</si>
  <si>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</si>
  <si>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</si>
  <si>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</si>
  <si>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</si>
  <si>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</si>
  <si>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</si>
  <si>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</si>
  <si>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</si>
  <si>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</si>
  <si>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</si>
  <si>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</si>
  <si>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</si>
  <si>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</si>
  <si>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</si>
  <si>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</si>
  <si>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</si>
  <si>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</si>
  <si>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</si>
  <si>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</si>
  <si>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</si>
  <si>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</si>
  <si>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</si>
  <si>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</si>
  <si>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</si>
  <si>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</si>
  <si>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</si>
  <si>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</si>
  <si>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</si>
  <si>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</si>
  <si>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</si>
  <si>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</si>
  <si>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</si>
  <si>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</si>
  <si>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</si>
  <si>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</si>
  <si>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</si>
  <si>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</si>
  <si>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</si>
  <si>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</si>
  <si>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</si>
  <si>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</si>
  <si>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</si>
  <si>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</si>
  <si>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</si>
  <si>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</si>
  <si>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</si>
  <si>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</si>
  <si>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</si>
  <si>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</si>
  <si>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</si>
  <si>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</si>
  <si>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</si>
  <si>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</si>
  <si>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</si>
  <si>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</si>
  <si>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</si>
  <si>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</si>
  <si>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</si>
  <si>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</si>
  <si>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</si>
  <si>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</si>
  <si>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</si>
  <si>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</si>
  <si>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</si>
  <si>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</si>
  <si>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</si>
  <si>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</si>
  <si>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5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</si>
  <si>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</si>
  <si>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</si>
  <si>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</si>
  <si>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</si>
  <si>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</si>
  <si>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</si>
  <si>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</si>
  <si>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</si>
  <si>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</si>
  <si>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</si>
  <si>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</si>
  <si>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</si>
  <si>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</si>
  <si>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</si>
  <si>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</si>
  <si>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</si>
  <si>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</si>
  <si>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</si>
  <si>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</si>
  <si>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</si>
  <si>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</si>
  <si>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</si>
  <si>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t>Division (In charge Name) : ADMIN MANAGER (Sang Yeun Cho)</t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</si>
  <si>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</si>
  <si>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Safety Officer</t>
  </si>
  <si>
    <t>Aramco Certified</t>
  </si>
  <si>
    <t>Hourly</t>
  </si>
  <si>
    <t>Hourly Based</t>
  </si>
  <si>
    <t>AAGC(Al-Falak Aldoware General Contracting Co.</t>
  </si>
  <si>
    <t>312595936400003</t>
  </si>
  <si>
    <t>Bldg No . 2465 Abu Bakr El Siddik Road, Tebah District, Al Jubail</t>
  </si>
  <si>
    <t>Sadique N</t>
  </si>
  <si>
    <t>+966 53 8327865 / Email:Info@alfalakksa.com</t>
  </si>
  <si>
    <t>AFAD-EQTN24-1109</t>
  </si>
  <si>
    <t>Safety Officer Aramco Certified</t>
  </si>
  <si>
    <t>Administrator</t>
  </si>
  <si>
    <t>Landline: +966 13 362 1001 / Mobile : +966 538327865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</si>
  <si>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-MRS-0012</t>
    </r>
  </si>
  <si>
    <t>AAGC</t>
  </si>
  <si>
    <t>Subcontract name 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</si>
</sst>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0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03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5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830053" y="4983079"/>
              <a:ext cx="627697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view="pageBreakPreview" zoomScale="95" zoomScaleNormal="95" zoomScaleSheetLayoutView="95" workbookViewId="0">
      <selection activeCell="N8" sqref="N8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7" width="13.5703125" style="2" customWidth="1"/>
    <col min="18" max="18" width="3.5703125" style="2" customWidth="1"/>
    <col min="19" max="19" width="7.5703125" style="2" customWidth="1"/>
    <col min="20" max="22" width="13.5703125" style="2" customWidth="1"/>
    <col min="23" max="16384" width="9" style="2"/>
  </cols>
  <sheetData>
    <row r="1" spans="1:19" ht="49.9" customHeight="1">
      <c r="A1" s="123" t="s">
        <v>100</v>
      </c>
      <c r="B1" s="110"/>
      <c r="C1" s="110"/>
      <c r="D1" s="110"/>
      <c r="E1" s="110"/>
      <c r="F1" s="110"/>
      <c r="G1" s="1"/>
      <c r="J1" s="140" t="s">
        <v>92</v>
      </c>
      <c r="K1" s="141"/>
      <c r="L1" s="142"/>
    </row>
    <row r="2" spans="1:19" ht="20.100000000000001" customHeight="1">
      <c r="A2" s="3" t="s">
        <v>1</v>
      </c>
      <c r="B2" s="101"/>
      <c r="C2" s="101"/>
      <c r="D2" s="3" t="s">
        <v>99</v>
      </c>
      <c r="E2" s="101"/>
      <c r="F2" s="101"/>
      <c r="G2" s="101"/>
      <c r="H2" s="101"/>
      <c r="I2" s="4"/>
      <c r="J2" s="143" t="s">
        <v>116</v>
      </c>
      <c r="K2" s="144"/>
      <c r="L2" s="145"/>
    </row>
    <row r="3" spans="1:19" ht="20.100000000000001" customHeight="1">
      <c r="A3" s="3" t="s">
        <v>114</v>
      </c>
      <c r="B3" s="101"/>
      <c r="C3" s="101"/>
      <c r="D3" s="101"/>
      <c r="E3" s="146">
        <f>+L3</f>
        <v>45652</v>
      </c>
      <c r="F3" s="146"/>
      <c r="G3" s="146"/>
      <c r="H3" s="146"/>
      <c r="I3" s="146"/>
      <c r="J3" s="101"/>
      <c r="K3" s="101"/>
      <c r="L3" s="122">
        <v>45652</v>
      </c>
      <c r="M3" s="4"/>
    </row>
    <row r="4" spans="1:19" ht="15.95" customHeight="1">
      <c r="A4" s="147" t="s">
        <v>2</v>
      </c>
      <c r="B4" s="148" t="s">
        <v>3</v>
      </c>
      <c r="C4" s="148"/>
      <c r="D4" s="149" t="s">
        <v>4</v>
      </c>
      <c r="E4" s="150"/>
      <c r="F4" s="151"/>
      <c r="G4" s="155" t="s">
        <v>5</v>
      </c>
      <c r="H4" s="157" t="s">
        <v>6</v>
      </c>
      <c r="I4" s="157" t="s">
        <v>97</v>
      </c>
      <c r="J4" s="147" t="s">
        <v>98</v>
      </c>
      <c r="K4" s="157" t="s">
        <v>0</v>
      </c>
      <c r="L4" s="148" t="s">
        <v>7</v>
      </c>
    </row>
    <row r="5" spans="1:19" ht="15.95" customHeight="1">
      <c r="A5" s="147"/>
      <c r="B5" s="148"/>
      <c r="C5" s="148"/>
      <c r="D5" s="152"/>
      <c r="E5" s="153"/>
      <c r="F5" s="154"/>
      <c r="G5" s="156"/>
      <c r="H5" s="158"/>
      <c r="I5" s="158"/>
      <c r="J5" s="147"/>
      <c r="K5" s="158"/>
      <c r="L5" s="148"/>
    </row>
    <row r="6" spans="1:19" ht="22.5" customHeight="1">
      <c r="A6" s="5">
        <f t="shared" ref="A6:A15" si="0">ROW(A1)</f>
        <v>1</v>
      </c>
      <c r="B6" s="128" t="s">
        <v>101</v>
      </c>
      <c r="C6" s="129"/>
      <c r="D6" s="130" t="s">
        <v>102</v>
      </c>
      <c r="E6" s="131"/>
      <c r="F6" s="132"/>
      <c r="G6" s="111" t="s">
        <v>103</v>
      </c>
      <c r="H6" s="112">
        <v>1</v>
      </c>
      <c r="I6" s="113">
        <v>41</v>
      </c>
      <c r="J6" s="113">
        <f>H6*I6</f>
        <v>41</v>
      </c>
      <c r="K6" s="114" t="s">
        <v>115</v>
      </c>
      <c r="L6" s="115" t="s">
        <v>104</v>
      </c>
      <c r="S6" s="106"/>
    </row>
    <row r="7" spans="1:19" ht="22.5" customHeight="1">
      <c r="A7" s="5">
        <f t="shared" si="0"/>
        <v>2</v>
      </c>
      <c r="B7" s="128"/>
      <c r="C7" s="129"/>
      <c r="D7" s="139"/>
      <c r="E7" s="131"/>
      <c r="F7" s="132"/>
      <c r="G7" s="111"/>
      <c r="H7" s="112"/>
      <c r="I7" s="113"/>
      <c r="J7" s="113"/>
      <c r="K7" s="114"/>
      <c r="L7" s="115"/>
      <c r="S7" s="106"/>
    </row>
    <row r="8" spans="1:19" ht="22.5" customHeight="1">
      <c r="A8" s="5">
        <f t="shared" si="0"/>
        <v>3</v>
      </c>
      <c r="B8" s="128"/>
      <c r="C8" s="129"/>
      <c r="D8" s="130"/>
      <c r="E8" s="131"/>
      <c r="F8" s="132"/>
      <c r="G8" s="111"/>
      <c r="H8" s="112"/>
      <c r="I8" s="113"/>
      <c r="J8" s="113"/>
      <c r="K8" s="114"/>
      <c r="L8" s="115"/>
      <c r="S8" s="106"/>
    </row>
    <row r="9" spans="1:19" ht="22.5" customHeight="1">
      <c r="A9" s="5">
        <f t="shared" si="0"/>
        <v>4</v>
      </c>
      <c r="B9" s="128"/>
      <c r="C9" s="129"/>
      <c r="D9" s="130"/>
      <c r="E9" s="131"/>
      <c r="F9" s="132"/>
      <c r="G9" s="111"/>
      <c r="H9" s="112"/>
      <c r="I9" s="113"/>
      <c r="J9" s="113"/>
      <c r="K9" s="114"/>
      <c r="L9" s="115"/>
      <c r="S9" s="106"/>
    </row>
    <row r="10" spans="1:19" ht="22.5" customHeight="1">
      <c r="A10" s="5">
        <f t="shared" si="0"/>
        <v>5</v>
      </c>
      <c r="B10" s="137"/>
      <c r="C10" s="137"/>
      <c r="D10" s="138"/>
      <c r="E10" s="138"/>
      <c r="F10" s="138"/>
      <c r="G10" s="111"/>
      <c r="H10" s="112"/>
      <c r="I10" s="116"/>
      <c r="J10" s="113"/>
      <c r="K10" s="114"/>
      <c r="L10" s="111"/>
      <c r="S10" s="106"/>
    </row>
    <row r="11" spans="1:19" ht="22.5" customHeight="1">
      <c r="A11" s="5">
        <f t="shared" si="0"/>
        <v>6</v>
      </c>
      <c r="B11" s="128"/>
      <c r="C11" s="129"/>
      <c r="D11" s="130"/>
      <c r="E11" s="131"/>
      <c r="F11" s="132"/>
      <c r="G11" s="111"/>
      <c r="H11" s="112"/>
      <c r="I11" s="113"/>
      <c r="J11" s="113"/>
      <c r="K11" s="114"/>
      <c r="L11" s="115"/>
      <c r="S11" s="106"/>
    </row>
    <row r="12" spans="1:19" ht="22.5" customHeight="1">
      <c r="A12" s="5">
        <f t="shared" si="0"/>
        <v>7</v>
      </c>
      <c r="B12" s="137"/>
      <c r="C12" s="137"/>
      <c r="D12" s="138"/>
      <c r="E12" s="138"/>
      <c r="F12" s="138"/>
      <c r="G12" s="111"/>
      <c r="H12" s="112"/>
      <c r="I12" s="116"/>
      <c r="J12" s="113"/>
      <c r="K12" s="114"/>
      <c r="L12" s="111"/>
      <c r="S12" s="106"/>
    </row>
    <row r="13" spans="1:19" ht="22.5" customHeight="1">
      <c r="A13" s="5">
        <f t="shared" si="0"/>
        <v>8</v>
      </c>
      <c r="B13" s="128"/>
      <c r="C13" s="129"/>
      <c r="D13" s="130"/>
      <c r="E13" s="131"/>
      <c r="F13" s="132"/>
      <c r="G13" s="111"/>
      <c r="H13" s="112"/>
      <c r="I13" s="113"/>
      <c r="J13" s="113"/>
      <c r="K13" s="114"/>
      <c r="L13" s="115"/>
      <c r="S13" s="106"/>
    </row>
    <row r="14" spans="1:19" ht="22.5" customHeight="1">
      <c r="A14" s="5">
        <f t="shared" si="0"/>
        <v>9</v>
      </c>
      <c r="B14" s="128"/>
      <c r="C14" s="129"/>
      <c r="D14" s="130"/>
      <c r="E14" s="131"/>
      <c r="F14" s="132"/>
      <c r="G14" s="111"/>
      <c r="H14" s="112"/>
      <c r="I14" s="113"/>
      <c r="J14" s="113"/>
      <c r="K14" s="114"/>
      <c r="L14" s="115"/>
      <c r="S14" s="106"/>
    </row>
    <row r="15" spans="1:19" ht="22.5" customHeight="1">
      <c r="A15" s="5">
        <f t="shared" si="0"/>
        <v>10</v>
      </c>
      <c r="B15" s="128"/>
      <c r="C15" s="129"/>
      <c r="D15" s="130"/>
      <c r="E15" s="131"/>
      <c r="F15" s="132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33" t="s">
        <v>8</v>
      </c>
      <c r="B16" s="134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41</v>
      </c>
      <c r="K16" s="113"/>
      <c r="L16" s="121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35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36"/>
      <c r="T19" s="14"/>
      <c r="U19" s="15"/>
      <c r="V19" s="14"/>
    </row>
    <row r="20" spans="1:22" ht="17.100000000000001" customHeight="1">
      <c r="O20" s="11"/>
      <c r="P20" s="11"/>
      <c r="Q20" s="11"/>
      <c r="S20" s="125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24" t="s">
        <v>17</v>
      </c>
      <c r="Q21" s="124" t="s">
        <v>18</v>
      </c>
    </row>
    <row r="22" spans="1:22" ht="18" customHeight="1">
      <c r="O22" s="18" t="s">
        <v>19</v>
      </c>
      <c r="P22" s="126"/>
      <c r="Q22" s="126"/>
      <c r="S22" s="135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36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25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27"/>
      <c r="P27" s="127"/>
      <c r="Q27" s="127"/>
    </row>
    <row r="28" spans="1:22" ht="19.899999999999999" customHeight="1">
      <c r="O28" s="127"/>
      <c r="P28" s="127"/>
      <c r="Q28" s="127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24" t="s">
        <v>21</v>
      </c>
    </row>
    <row r="41" spans="15:22" ht="19.899999999999999" customHeight="1">
      <c r="T41" s="126"/>
    </row>
    <row r="42" spans="15:22" ht="64.900000000000006" customHeight="1">
      <c r="T42" s="14"/>
    </row>
    <row r="46" spans="15:22" ht="21" customHeight="1">
      <c r="O46" s="124" t="s">
        <v>21</v>
      </c>
      <c r="P46" s="124" t="s">
        <v>21</v>
      </c>
      <c r="Q46" s="124" t="s">
        <v>21</v>
      </c>
      <c r="T46" s="124" t="s">
        <v>22</v>
      </c>
      <c r="U46" s="124" t="s">
        <v>13</v>
      </c>
      <c r="V46" s="124" t="s">
        <v>21</v>
      </c>
    </row>
    <row r="47" spans="15:22" ht="21" customHeight="1">
      <c r="O47" s="126"/>
      <c r="P47" s="126"/>
      <c r="Q47" s="126"/>
      <c r="T47" s="125"/>
      <c r="U47" s="125"/>
      <c r="V47" s="126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24" t="s">
        <v>21</v>
      </c>
      <c r="P50" s="124" t="s">
        <v>21</v>
      </c>
      <c r="Q50" s="124" t="s">
        <v>21</v>
      </c>
      <c r="T50" s="124" t="s">
        <v>13</v>
      </c>
      <c r="U50" s="124" t="s">
        <v>22</v>
      </c>
      <c r="V50" s="124" t="s">
        <v>21</v>
      </c>
    </row>
    <row r="51" spans="15:22" ht="21" customHeight="1">
      <c r="O51" s="126"/>
      <c r="P51" s="126"/>
      <c r="Q51" s="126"/>
      <c r="T51" s="125"/>
      <c r="U51" s="125"/>
      <c r="V51" s="126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O8" sqref="O8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100</v>
      </c>
      <c r="B1" s="100"/>
      <c r="C1" s="100"/>
      <c r="D1" s="100"/>
      <c r="E1" s="100"/>
      <c r="F1" s="100"/>
      <c r="G1" s="1"/>
      <c r="J1" s="140" t="str">
        <f>+MRS!J1</f>
        <v>DAESHIN PLANT</v>
      </c>
      <c r="K1" s="142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(Sang Yeun Cho)</v>
      </c>
      <c r="E2" s="101"/>
      <c r="F2" s="101"/>
      <c r="G2" s="20"/>
      <c r="H2" s="20"/>
      <c r="I2" s="20"/>
      <c r="J2" s="143" t="str">
        <f>+MRS!J2</f>
        <v>Subcontract name ()</v>
      </c>
      <c r="K2" s="145"/>
    </row>
    <row r="3" spans="1:18" ht="24.95" customHeight="1">
      <c r="A3" s="3" t="str">
        <f>+MRS!A3</f>
        <v xml:space="preserve">  MRS No : SAC2-DS-MRS-0012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45652</v>
      </c>
    </row>
    <row r="4" spans="1:18" ht="15.95" customHeight="1">
      <c r="A4" s="169" t="s">
        <v>2</v>
      </c>
      <c r="B4" s="170" t="s">
        <v>23</v>
      </c>
      <c r="C4" s="170"/>
      <c r="D4" s="169" t="s">
        <v>4</v>
      </c>
      <c r="E4" s="169"/>
      <c r="F4" s="169"/>
      <c r="G4" s="170" t="s">
        <v>5</v>
      </c>
      <c r="H4" s="169" t="s">
        <v>93</v>
      </c>
      <c r="I4" s="169" t="s">
        <v>24</v>
      </c>
      <c r="J4" s="169" t="s">
        <v>25</v>
      </c>
      <c r="K4" s="170" t="s">
        <v>7</v>
      </c>
    </row>
    <row r="5" spans="1:18" ht="15.95" customHeight="1">
      <c r="A5" s="169"/>
      <c r="B5" s="170"/>
      <c r="C5" s="170"/>
      <c r="D5" s="169"/>
      <c r="E5" s="169"/>
      <c r="F5" s="169"/>
      <c r="G5" s="170"/>
      <c r="H5" s="169"/>
      <c r="I5" s="169"/>
      <c r="J5" s="169"/>
      <c r="K5" s="170"/>
    </row>
    <row r="6" spans="1:18" ht="105" customHeight="1">
      <c r="A6" s="21">
        <f>+MRS!A6</f>
        <v>1</v>
      </c>
      <c r="B6" s="164" t="str">
        <f>MRS!B6</f>
        <v>Safety Officer</v>
      </c>
      <c r="C6" s="165"/>
      <c r="D6" s="166" t="str">
        <f>MRS!D6</f>
        <v>Aramco Certified</v>
      </c>
      <c r="E6" s="167"/>
      <c r="F6" s="168"/>
      <c r="G6" s="103" t="str">
        <f>MRS!G6</f>
        <v>Hourly</v>
      </c>
      <c r="H6" s="103">
        <f>MRS!H6</f>
        <v>1</v>
      </c>
      <c r="I6" s="104">
        <f>MRS!I6</f>
        <v>41</v>
      </c>
      <c r="J6" s="104">
        <f>MRS!J6</f>
        <v>41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4">
        <f>MRS!B7</f>
        <v>0</v>
      </c>
      <c r="C7" s="165"/>
      <c r="D7" s="166">
        <f>MRS!D7</f>
        <v>0</v>
      </c>
      <c r="E7" s="167"/>
      <c r="F7" s="168"/>
      <c r="G7" s="103">
        <f>MRS!G7</f>
        <v>0</v>
      </c>
      <c r="H7" s="103">
        <f>MRS!H7</f>
        <v>0</v>
      </c>
      <c r="I7" s="104">
        <f>MRS!I7</f>
        <v>0</v>
      </c>
      <c r="J7" s="104">
        <f>MRS!J7</f>
        <v>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59"/>
      <c r="C8" s="160"/>
      <c r="D8" s="161"/>
      <c r="E8" s="162"/>
      <c r="F8" s="163"/>
      <c r="G8" s="107"/>
      <c r="H8" s="108"/>
      <c r="I8" s="109"/>
      <c r="J8" s="109"/>
      <c r="K8" s="105"/>
      <c r="O8" s="106"/>
      <c r="P8" s="106"/>
      <c r="R8" s="106"/>
    </row>
    <row r="9" spans="1:18" ht="105" customHeight="1">
      <c r="A9" s="21">
        <f>+MRS!A9</f>
        <v>4</v>
      </c>
      <c r="B9" s="159"/>
      <c r="C9" s="160"/>
      <c r="D9" s="161"/>
      <c r="E9" s="162"/>
      <c r="F9" s="163"/>
      <c r="G9" s="107"/>
      <c r="H9" s="108"/>
      <c r="I9" s="109"/>
      <c r="J9" s="109"/>
      <c r="K9" s="105"/>
      <c r="O9" s="106"/>
      <c r="P9" s="106"/>
      <c r="R9" s="106"/>
    </row>
    <row r="10" spans="1:18" ht="105" customHeight="1">
      <c r="A10" s="21">
        <f>+MRS!A10</f>
        <v>5</v>
      </c>
      <c r="B10" s="159"/>
      <c r="C10" s="160"/>
      <c r="D10" s="161"/>
      <c r="E10" s="162"/>
      <c r="F10" s="163"/>
      <c r="G10" s="107"/>
      <c r="H10" s="108"/>
      <c r="I10" s="109"/>
      <c r="J10" s="109"/>
      <c r="K10" s="105"/>
      <c r="O10" s="106"/>
      <c r="P10" s="106"/>
      <c r="R10" s="106"/>
    </row>
    <row r="11" spans="1:18" ht="105" customHeight="1">
      <c r="A11" s="21">
        <f>+MRS!A11</f>
        <v>6</v>
      </c>
      <c r="B11" s="159"/>
      <c r="C11" s="160"/>
      <c r="D11" s="161"/>
      <c r="E11" s="162"/>
      <c r="F11" s="163"/>
      <c r="G11" s="107"/>
      <c r="H11" s="108"/>
      <c r="I11" s="109"/>
      <c r="J11" s="109"/>
      <c r="K11" s="105"/>
      <c r="O11" s="106"/>
      <c r="P11" s="106"/>
      <c r="R11" s="106"/>
    </row>
    <row r="12" spans="1:18" ht="105" customHeight="1">
      <c r="A12" s="21">
        <f>+MRS!A12</f>
        <v>7</v>
      </c>
      <c r="B12" s="159"/>
      <c r="C12" s="160"/>
      <c r="D12" s="161"/>
      <c r="E12" s="162"/>
      <c r="F12" s="163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59"/>
      <c r="C13" s="160"/>
      <c r="D13" s="161"/>
      <c r="E13" s="162"/>
      <c r="F13" s="163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59"/>
      <c r="C14" s="160"/>
      <c r="D14" s="161"/>
      <c r="E14" s="162"/>
      <c r="F14" s="163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59"/>
      <c r="C15" s="160"/>
      <c r="D15" s="161"/>
      <c r="E15" s="162"/>
      <c r="F15" s="163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59"/>
      <c r="C16" s="160"/>
      <c r="D16" s="161"/>
      <c r="E16" s="162"/>
      <c r="F16" s="163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59"/>
      <c r="C17" s="160"/>
      <c r="D17" s="161"/>
      <c r="E17" s="162"/>
      <c r="F17" s="163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zoomScale="130" zoomScaleNormal="100" zoomScaleSheetLayoutView="130" workbookViewId="0">
      <selection activeCell="Q23" sqref="Q23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26</v>
      </c>
    </row>
    <row r="3" spans="2:13" s="22" customFormat="1">
      <c r="M3" s="24" t="s">
        <v>27</v>
      </c>
    </row>
    <row r="4" spans="2:13" s="22" customFormat="1">
      <c r="M4" s="24" t="s">
        <v>28</v>
      </c>
    </row>
    <row r="5" spans="2:13" s="22" customFormat="1">
      <c r="B5" s="25" t="s">
        <v>29</v>
      </c>
      <c r="M5" s="24" t="s">
        <v>30</v>
      </c>
    </row>
    <row r="6" spans="2:13" s="22" customFormat="1">
      <c r="M6" s="24" t="s">
        <v>31</v>
      </c>
    </row>
    <row r="7" spans="2:13">
      <c r="M7" s="27"/>
    </row>
    <row r="8" spans="2:13">
      <c r="M8" s="27"/>
    </row>
    <row r="9" spans="2:13" s="74" customFormat="1" ht="13.5">
      <c r="B9" s="72" t="s">
        <v>32</v>
      </c>
      <c r="C9" s="73" t="s">
        <v>105</v>
      </c>
      <c r="D9" s="39"/>
      <c r="E9" s="39"/>
    </row>
    <row r="10" spans="2:13" s="39" customFormat="1">
      <c r="B10" s="72"/>
      <c r="C10" s="39" t="s">
        <v>33</v>
      </c>
      <c r="D10" s="76">
        <v>2055011898</v>
      </c>
      <c r="J10" s="39" t="s">
        <v>34</v>
      </c>
      <c r="K10" s="172">
        <f>MRS!L3</f>
        <v>45652</v>
      </c>
      <c r="L10" s="173"/>
      <c r="M10" s="173"/>
    </row>
    <row r="11" spans="2:13" s="39" customFormat="1">
      <c r="B11" s="72"/>
      <c r="C11" s="75" t="s">
        <v>35</v>
      </c>
      <c r="D11" s="76" t="s">
        <v>106</v>
      </c>
      <c r="J11" s="39" t="s">
        <v>36</v>
      </c>
      <c r="K11" s="174" t="str">
        <f>SUBSTITUTE(SUBSTITUTE(+MRS!A3,"  MRS No : ",""),"-MRS","-PO")</f>
        <v>SAC2-DS-PO-0012</v>
      </c>
      <c r="L11" s="174"/>
      <c r="M11" s="174"/>
    </row>
    <row r="12" spans="2:13" s="39" customFormat="1">
      <c r="B12" s="72"/>
      <c r="C12" s="75" t="s">
        <v>37</v>
      </c>
      <c r="D12" s="39" t="s">
        <v>108</v>
      </c>
      <c r="J12" s="39" t="s">
        <v>38</v>
      </c>
    </row>
    <row r="13" spans="2:13" s="39" customFormat="1">
      <c r="B13" s="72"/>
      <c r="C13" s="77"/>
      <c r="D13" s="76" t="s">
        <v>109</v>
      </c>
      <c r="J13" s="39" t="s">
        <v>39</v>
      </c>
    </row>
    <row r="14" spans="2:13" s="39" customFormat="1">
      <c r="B14" s="72"/>
      <c r="C14" s="77" t="s">
        <v>107</v>
      </c>
      <c r="J14" s="39" t="s">
        <v>40</v>
      </c>
      <c r="K14" s="39" t="s">
        <v>110</v>
      </c>
    </row>
    <row r="15" spans="2:13" s="39" customFormat="1">
      <c r="B15" s="72"/>
      <c r="C15" s="77" t="s">
        <v>113</v>
      </c>
      <c r="J15" s="39" t="s">
        <v>41</v>
      </c>
      <c r="K15" s="78">
        <v>45624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5" t="s">
        <v>42</v>
      </c>
      <c r="C18" s="175"/>
      <c r="D18" s="175"/>
      <c r="E18" s="175"/>
      <c r="F18" s="175"/>
      <c r="G18" s="175"/>
      <c r="H18" s="175"/>
      <c r="I18" s="175"/>
      <c r="J18" s="175"/>
      <c r="K18" s="175"/>
      <c r="L18" s="175"/>
      <c r="M18" s="175"/>
    </row>
    <row r="19" spans="2:13" ht="12" customHeight="1"/>
    <row r="20" spans="2:13" s="31" customFormat="1" ht="12" customHeight="1">
      <c r="B20" s="176" t="s">
        <v>43</v>
      </c>
      <c r="C20" s="176"/>
      <c r="D20" s="176"/>
      <c r="E20" s="176"/>
      <c r="F20" s="176"/>
      <c r="G20" s="176"/>
      <c r="H20" s="176"/>
      <c r="I20" s="176"/>
      <c r="J20" s="176"/>
      <c r="K20" s="176"/>
      <c r="L20" s="176"/>
      <c r="M20" s="176"/>
    </row>
    <row r="21" spans="2:13" s="31" customFormat="1" ht="12" customHeight="1">
      <c r="B21" s="176" t="s">
        <v>44</v>
      </c>
      <c r="C21" s="176"/>
      <c r="D21" s="176"/>
      <c r="E21" s="176"/>
      <c r="F21" s="176"/>
      <c r="G21" s="176"/>
      <c r="H21" s="176"/>
      <c r="I21" s="176"/>
      <c r="J21" s="176"/>
      <c r="K21" s="176"/>
      <c r="L21" s="176"/>
      <c r="M21" s="176"/>
    </row>
    <row r="22" spans="2:13" s="31" customFormat="1" ht="12" customHeight="1">
      <c r="B22" s="176" t="s">
        <v>45</v>
      </c>
      <c r="C22" s="176"/>
      <c r="D22" s="176"/>
      <c r="E22" s="176"/>
      <c r="F22" s="176"/>
      <c r="G22" s="176"/>
      <c r="H22" s="176"/>
      <c r="I22" s="176"/>
      <c r="J22" s="176"/>
      <c r="K22" s="176"/>
      <c r="L22" s="176"/>
      <c r="M22" s="176"/>
    </row>
    <row r="23" spans="2:13" ht="6.95" customHeight="1">
      <c r="B23" s="177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</row>
    <row r="24" spans="2:13" ht="6.95" customHeight="1">
      <c r="B24" s="178"/>
      <c r="C24" s="178"/>
      <c r="D24" s="178"/>
      <c r="E24" s="178"/>
      <c r="F24" s="178"/>
      <c r="G24" s="178"/>
      <c r="H24" s="178"/>
      <c r="I24" s="178"/>
      <c r="J24" s="178"/>
      <c r="K24" s="178"/>
      <c r="L24" s="178"/>
      <c r="M24" s="178"/>
    </row>
    <row r="25" spans="2:13" s="32" customFormat="1" ht="20.100000000000001" customHeight="1">
      <c r="B25" s="32">
        <v>1</v>
      </c>
      <c r="C25" s="32" t="s">
        <v>46</v>
      </c>
    </row>
    <row r="26" spans="2:13" s="39" customFormat="1" ht="15" customHeight="1">
      <c r="B26" s="73"/>
      <c r="C26" s="76" t="s">
        <v>111</v>
      </c>
      <c r="M26" s="79" t="s">
        <v>47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48</v>
      </c>
    </row>
    <row r="29" spans="2:13" ht="15" customHeight="1">
      <c r="B29" s="32"/>
      <c r="C29" s="26" t="s">
        <v>49</v>
      </c>
      <c r="E29" s="26" t="s">
        <v>50</v>
      </c>
      <c r="F29" s="179" t="s">
        <v>104</v>
      </c>
      <c r="G29" s="179"/>
      <c r="H29" s="33"/>
      <c r="M29" s="34"/>
    </row>
    <row r="30" spans="2:13" ht="15" customHeight="1">
      <c r="B30" s="32"/>
      <c r="C30" s="26" t="s">
        <v>51</v>
      </c>
      <c r="E30" s="26" t="s">
        <v>50</v>
      </c>
      <c r="F30" s="179"/>
      <c r="G30" s="179"/>
    </row>
    <row r="31" spans="2:13" ht="15" customHeight="1">
      <c r="B31" s="32"/>
      <c r="C31" s="26" t="s">
        <v>52</v>
      </c>
      <c r="D31" s="35"/>
      <c r="E31" s="26" t="s">
        <v>50</v>
      </c>
      <c r="F31" s="179"/>
      <c r="G31" s="179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53</v>
      </c>
    </row>
    <row r="34" spans="2:13" ht="15" customHeight="1">
      <c r="B34" s="32"/>
      <c r="C34" s="22" t="s">
        <v>54</v>
      </c>
    </row>
    <row r="35" spans="2:13" ht="15" customHeight="1">
      <c r="B35" s="32"/>
      <c r="C35" s="22" t="s">
        <v>55</v>
      </c>
    </row>
    <row r="36" spans="2:13" ht="15" customHeight="1">
      <c r="B36" s="32"/>
      <c r="C36" s="22" t="s">
        <v>56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57</v>
      </c>
    </row>
    <row r="39" spans="2:13" ht="15" customHeight="1">
      <c r="B39" s="32"/>
      <c r="C39" s="26" t="s">
        <v>58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59</v>
      </c>
    </row>
    <row r="42" spans="2:13" ht="15" customHeight="1">
      <c r="B42" s="32"/>
      <c r="C42" s="36" t="s">
        <v>60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61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62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63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64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20.100000000000001" customHeight="1">
      <c r="B48" s="32">
        <v>6</v>
      </c>
      <c r="C48" s="32" t="s">
        <v>65</v>
      </c>
    </row>
    <row r="49" spans="1:16" s="39" customFormat="1" ht="15" customHeight="1">
      <c r="B49" s="80" t="s">
        <v>66</v>
      </c>
      <c r="C49" s="81" t="s">
        <v>95</v>
      </c>
      <c r="P49" s="82"/>
    </row>
    <row r="50" spans="1:16" s="83" customFormat="1" ht="15" customHeight="1">
      <c r="B50" s="84" t="s">
        <v>66</v>
      </c>
      <c r="C50" s="81" t="s">
        <v>96</v>
      </c>
    </row>
    <row r="51" spans="1:16" s="83" customFormat="1" ht="15" customHeight="1">
      <c r="B51" s="84" t="s">
        <v>66</v>
      </c>
      <c r="C51" s="81" t="s">
        <v>94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67</v>
      </c>
      <c r="J56" s="32" t="s">
        <v>68</v>
      </c>
    </row>
    <row r="57" spans="1:16" ht="50.1" customHeight="1"/>
    <row r="58" spans="1:16" ht="18" customHeight="1">
      <c r="B58" s="26" t="s">
        <v>69</v>
      </c>
      <c r="J58" s="26" t="s">
        <v>69</v>
      </c>
    </row>
    <row r="59" spans="1:16" ht="18" customHeight="1">
      <c r="B59" s="26" t="s">
        <v>70</v>
      </c>
      <c r="J59" s="26" t="s">
        <v>71</v>
      </c>
      <c r="K59" s="22" t="str">
        <f>D12</f>
        <v>Sadique N</v>
      </c>
    </row>
    <row r="60" spans="1:16" ht="18" customHeight="1">
      <c r="B60" s="26" t="s">
        <v>72</v>
      </c>
      <c r="J60" s="26" t="s">
        <v>73</v>
      </c>
      <c r="K60" s="22" t="s">
        <v>112</v>
      </c>
    </row>
    <row r="61" spans="1:16" ht="15" customHeight="1">
      <c r="B61" s="26" t="s">
        <v>74</v>
      </c>
      <c r="J61" s="26" t="s">
        <v>75</v>
      </c>
    </row>
    <row r="62" spans="1:16" s="28" customFormat="1" ht="24.75" customHeight="1">
      <c r="B62" s="25" t="s">
        <v>76</v>
      </c>
      <c r="J62" s="180" t="str">
        <f>C9</f>
        <v>AAGC(Al-Falak Aldoware General Contracting Co.</v>
      </c>
      <c r="K62" s="180"/>
      <c r="L62" s="180"/>
      <c r="M62" s="180"/>
    </row>
    <row r="63" spans="1:16" ht="27.95" customHeight="1">
      <c r="A63" s="171" t="s">
        <v>77</v>
      </c>
      <c r="B63" s="171"/>
      <c r="C63" s="171"/>
      <c r="D63" s="171"/>
      <c r="E63" s="171"/>
      <c r="F63" s="171"/>
      <c r="G63" s="171"/>
      <c r="H63" s="171"/>
      <c r="I63" s="171"/>
      <c r="J63" s="171"/>
      <c r="K63" s="171"/>
      <c r="L63" s="171"/>
      <c r="M63" s="171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3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62:M62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5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tabSelected="1" view="pageBreakPreview" zoomScaleSheetLayoutView="100" zoomScalePageLayoutView="55" workbookViewId="0">
      <selection activeCell="K14" sqref="K14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78</v>
      </c>
      <c r="B2" s="47" t="str">
        <f>+'PO 1st page'!K11</f>
        <v>SAC2-DS-PO-0012</v>
      </c>
      <c r="C2" s="187" t="s">
        <v>79</v>
      </c>
      <c r="D2" s="187"/>
      <c r="E2" s="187"/>
      <c r="F2" s="187"/>
      <c r="G2" s="48"/>
      <c r="H2" s="48"/>
    </row>
    <row r="3" spans="1:13" s="54" customFormat="1" ht="28.5" customHeight="1" thickBot="1">
      <c r="A3" s="49" t="s">
        <v>80</v>
      </c>
      <c r="B3" s="50">
        <f>+'PO 1st page'!K10</f>
        <v>45652</v>
      </c>
      <c r="C3" s="51"/>
      <c r="D3" s="52"/>
      <c r="E3" s="188" t="s">
        <v>81</v>
      </c>
      <c r="F3" s="188"/>
      <c r="G3" s="188"/>
      <c r="H3" s="188"/>
      <c r="I3" s="53"/>
    </row>
    <row r="4" spans="1:13" s="55" customFormat="1" ht="28.5" customHeight="1" thickTop="1">
      <c r="A4" s="189" t="s">
        <v>82</v>
      </c>
      <c r="B4" s="191" t="s">
        <v>83</v>
      </c>
      <c r="C4" s="192"/>
      <c r="D4" s="195" t="s">
        <v>84</v>
      </c>
      <c r="E4" s="195" t="s">
        <v>85</v>
      </c>
      <c r="F4" s="197" t="str">
        <f>'PO 1st page'!C9</f>
        <v>AAGC(Al-Falak Aldoware General Contracting Co.</v>
      </c>
      <c r="G4" s="198"/>
      <c r="H4" s="199" t="s">
        <v>86</v>
      </c>
      <c r="K4" s="56"/>
      <c r="L4" s="56"/>
      <c r="M4" s="56"/>
    </row>
    <row r="5" spans="1:13" s="55" customFormat="1" ht="21.95" customHeight="1">
      <c r="A5" s="190"/>
      <c r="B5" s="193"/>
      <c r="C5" s="194"/>
      <c r="D5" s="196"/>
      <c r="E5" s="196"/>
      <c r="F5" s="57" t="s">
        <v>87</v>
      </c>
      <c r="G5" s="57" t="s">
        <v>52</v>
      </c>
      <c r="H5" s="200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201" t="str">
        <f>+'MRS LIST'!B6</f>
        <v>Safety Officer</v>
      </c>
      <c r="C6" s="202"/>
      <c r="D6" s="86" t="str">
        <f>+'MRS LIST'!G6</f>
        <v>Hourly</v>
      </c>
      <c r="E6" s="87">
        <f>+'MRS LIST'!H6</f>
        <v>1</v>
      </c>
      <c r="F6" s="88">
        <f>+'MRS LIST'!I6</f>
        <v>41</v>
      </c>
      <c r="G6" s="89">
        <f>+'MRS LIST'!J6</f>
        <v>41</v>
      </c>
      <c r="H6" s="90" t="str">
        <f>MRS!L6</f>
        <v>Hourly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201"/>
      <c r="C7" s="202"/>
      <c r="D7" s="86"/>
      <c r="E7" s="87"/>
      <c r="F7" s="88"/>
      <c r="G7" s="89"/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85"/>
      <c r="C8" s="186"/>
      <c r="D8" s="94"/>
      <c r="E8" s="95"/>
      <c r="F8" s="96"/>
      <c r="G8" s="97"/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85"/>
      <c r="C9" s="186"/>
      <c r="D9" s="94"/>
      <c r="E9" s="95"/>
      <c r="F9" s="96"/>
      <c r="G9" s="97"/>
      <c r="H9" s="98"/>
    </row>
    <row r="10" spans="1:13" s="55" customFormat="1" ht="32.1" customHeight="1">
      <c r="A10" s="93">
        <f t="shared" si="0"/>
        <v>5</v>
      </c>
      <c r="B10" s="185"/>
      <c r="C10" s="186"/>
      <c r="D10" s="94"/>
      <c r="E10" s="95"/>
      <c r="F10" s="96"/>
      <c r="G10" s="97"/>
      <c r="H10" s="98"/>
    </row>
    <row r="11" spans="1:13" s="55" customFormat="1" ht="32.1" customHeight="1">
      <c r="A11" s="93">
        <f t="shared" si="0"/>
        <v>6</v>
      </c>
      <c r="B11" s="185"/>
      <c r="C11" s="186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85"/>
      <c r="C12" s="186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5"/>
      <c r="C13" s="186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5"/>
      <c r="C14" s="186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5"/>
      <c r="C15" s="186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5"/>
      <c r="C16" s="186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5"/>
      <c r="C17" s="186"/>
      <c r="D17" s="94"/>
      <c r="E17" s="95"/>
      <c r="F17" s="96"/>
      <c r="G17" s="97"/>
      <c r="H17" s="98"/>
    </row>
    <row r="18" spans="1:13" s="55" customFormat="1" ht="23.1" customHeight="1">
      <c r="A18" s="181" t="s">
        <v>88</v>
      </c>
      <c r="B18" s="182"/>
      <c r="C18" s="182"/>
      <c r="D18" s="182"/>
      <c r="E18" s="182"/>
      <c r="F18" s="182"/>
      <c r="G18" s="58">
        <f>SUM(G6:G17)</f>
        <v>41</v>
      </c>
      <c r="H18" s="59"/>
    </row>
    <row r="19" spans="1:13" s="55" customFormat="1" ht="23.1" customHeight="1">
      <c r="A19" s="181" t="s">
        <v>51</v>
      </c>
      <c r="B19" s="182"/>
      <c r="C19" s="182"/>
      <c r="D19" s="182"/>
      <c r="E19" s="182"/>
      <c r="F19" s="182"/>
      <c r="G19" s="58">
        <f>+G18*0.15</f>
        <v>6.1499999999999995</v>
      </c>
      <c r="H19" s="59"/>
    </row>
    <row r="20" spans="1:13" s="55" customFormat="1" ht="24.95" customHeight="1" thickBot="1">
      <c r="A20" s="183" t="s">
        <v>89</v>
      </c>
      <c r="B20" s="184"/>
      <c r="C20" s="184"/>
      <c r="D20" s="184"/>
      <c r="E20" s="184"/>
      <c r="F20" s="184"/>
      <c r="G20" s="60">
        <f>G19+G18</f>
        <v>47.15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AFAD-EQTN24-1109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90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1" t="s">
        <v>91</v>
      </c>
      <c r="B24" s="171"/>
      <c r="C24" s="171"/>
      <c r="D24" s="171"/>
      <c r="E24" s="171"/>
      <c r="F24" s="171"/>
      <c r="G24" s="171"/>
      <c r="H24" s="171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2024-12-28T13:43:56Z</cp:lastPrinted>
  <dcterms:created xsi:type="dcterms:W3CDTF">2024-10-20T11:50:19Z</dcterms:created>
  <dcterms:modified xsi:type="dcterms:W3CDTF">2024-12-28T13:55:26Z</dcterms:modified>
</cp:coreProperties>
</file>