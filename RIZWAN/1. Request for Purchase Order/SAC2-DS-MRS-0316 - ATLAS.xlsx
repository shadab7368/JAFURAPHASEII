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D9DFC7D0-53FB-4758-8E8C-773326D32506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7" i="4"/>
  <c r="B6" i="4"/>
  <c r="H6" i="4" l="1"/>
  <c r="K67" i="3"/>
  <c r="E3" i="1"/>
  <c r="J7" i="1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<sst xmlns="http://schemas.openxmlformats.org/spreadsheetml/2006/main" count="174" uniqueCount="134">
  <si>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</si>
  <si>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</si>
  <si>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</si>
  <si>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</si>
  <si>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</si>
  <si>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</si>
  <si>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</si>
  <si>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</si>
  <si>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</si>
  <si>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</si>
  <si>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</si>
  <si>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</si>
  <si>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</si>
  <si>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</si>
  <si>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</si>
  <si>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</si>
  <si>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</si>
  <si>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</si>
  <si>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</si>
  <si>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</si>
  <si>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</si>
  <si>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</si>
  <si>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</si>
  <si>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</si>
  <si>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</si>
  <si>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</si>
  <si>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</si>
  <si>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</si>
  <si>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</si>
  <si>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</si>
  <si>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</si>
  <si>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</si>
  <si>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</si>
  <si>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</si>
  <si>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</si>
  <si>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</si>
  <si>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</si>
  <si>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</si>
  <si>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</si>
  <si>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</si>
  <si>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</si>
  <si>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</si>
  <si>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</si>
  <si>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</si>
  <si>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</si>
  <si>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</si>
  <si>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</si>
  <si>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</si>
  <si>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</si>
  <si>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</si>
  <si>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</si>
  <si>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</si>
  <si>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</si>
  <si>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</si>
  <si>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</si>
  <si>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</si>
  <si>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</si>
  <si>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</si>
  <si>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</si>
  <si>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</si>
  <si>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</si>
  <si>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</si>
  <si>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</si>
  <si>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</si>
  <si>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</si>
  <si>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</si>
  <si>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</si>
  <si>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</si>
  <si>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</si>
  <si>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</si>
  <si>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</si>
  <si>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</si>
  <si>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</si>
  <si>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</si>
  <si>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</si>
  <si>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</si>
  <si>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</si>
  <si>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</si>
  <si>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</si>
  <si>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</si>
  <si>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</si>
  <si>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</si>
  <si>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</si>
  <si>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</si>
  <si>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</si>
  <si>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</si>
  <si>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</si>
  <si>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</si>
  <si>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</si>
  <si>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</si>
  <si>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</si>
  <si>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</si>
  <si>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</si>
  <si>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</si>
  <si>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</si>
  <si>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</si>
  <si>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</si>
  <si>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</si>
  <si>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</si>
  <si>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</si>
  <si>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</si>
  <si>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</si>
  <si>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</si>
  <si>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</si>
  <si>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EA</t>
  </si>
  <si>
    <t>AIEC</t>
  </si>
  <si>
    <t>2055009696</t>
  </si>
  <si>
    <t>301293282200003</t>
  </si>
  <si>
    <t>Muhammed Hidayat</t>
  </si>
  <si>
    <t>+966 56 638 6076 / Email:abdul.hidayat@atlascopco.com</t>
  </si>
  <si>
    <t>Senior Sales Engineer</t>
  </si>
  <si>
    <t>Industries-Road 116, 3549 area, 7783, Al Jubail 35724, KSA</t>
  </si>
  <si>
    <t>Mobile : +966 56 638 6076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</si>
  <si>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</si>
  <si>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</si>
  <si>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</si>
  <si>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</si>
  <si>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</si>
  <si>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</si>
  <si>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</si>
  <si>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</si>
  <si>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</si>
  <si>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ATLAS INDUSTRIAL EQUIPMENT CO.</t>
  </si>
  <si>
    <t>SA36 4500 0000 0211 4984 4002</t>
  </si>
  <si>
    <t>SABBSARI</t>
  </si>
  <si>
    <t>SAUDI AWWAL BANK</t>
  </si>
  <si>
    <t>021-149844-002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</si>
  <si>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-MRS-0316</t>
    </r>
  </si>
  <si>
    <t>MJI Manual &amp; Hydraulic Torquing and Tensioning Training</t>
  </si>
  <si>
    <t>2.5 days</t>
  </si>
  <si>
    <t>AIEC(Atlas Industrial Equipment Company)</t>
  </si>
  <si>
    <t>00845200</t>
  </si>
  <si>
    <t>MJI Manual &amp; Hydraulic Torquing</t>
  </si>
  <si>
    <t>and Tensioning Training - 2.5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</si>
</sst>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0" fontId="54" fillId="3" borderId="0" xfId="5" applyFont="1" applyFill="1"/>
    <xf numFmtId="0" fontId="55" fillId="3" borderId="0" xfId="5" applyFont="1" applyFill="1"/>
    <xf numFmtId="0" fontId="18" fillId="3" borderId="0" xfId="5" quotePrefix="1" applyFont="1" applyFill="1"/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0" xfId="5" applyFont="1" applyFill="1" applyAlignment="1">
      <alignment horizontal="right" vertical="center" indent="1"/>
    </xf>
    <xf numFmtId="0" fontId="2" fillId="3" borderId="0" xfId="5" quotePrefix="1" applyFont="1" applyFill="1" applyAlignment="1"/>
  </cellXfs>
  <cellStyles count="15">
    <cellStyle name="Comma [0]" xfId="10" builtinId="6"/>
    <cellStyle name="Normal" xfId="0" builtinId="0"/>
    <cellStyle name="쉼표 [0] 2 2" xfId="4" xr:uid="{95D71F5C-65D6-4E85-84FE-774413508E1E}"/>
    <cellStyle name="쉼표 [0] 2 2 2" xfId="12" xr:uid="{FC4F5859-1642-4A5E-9D4F-8B998B2D65DC}"/>
    <cellStyle name="쉼표 2" xfId="9" xr:uid="{F2A3A689-A30F-4FCA-9C51-F28F11796A46}"/>
    <cellStyle name="쉼표 2 2" xfId="14" xr:uid="{31735F8C-8A25-4F7E-870C-A852BB5972AE}"/>
    <cellStyle name="표준 2 2" xfId="2" xr:uid="{12B761D3-4229-4E14-8168-D5975293A996}"/>
    <cellStyle name="표준 2 2 2" xfId="11" xr:uid="{DDC358A7-52FB-42BA-9761-C1397E913397}"/>
    <cellStyle name="표준 2 3 2 2" xfId="5" xr:uid="{BD51BFCC-3D36-446B-BE80-7856DF8371E9}"/>
    <cellStyle name="표준 2 3 2 2 2" xfId="13" xr:uid="{995CDC77-06B6-408A-90E5-9B92116D3346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902369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9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76211" y="4983079"/>
              <a:ext cx="3930817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26</xdr:col>
      <xdr:colOff>4229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51658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101</v>
      </c>
      <c r="B1" s="109"/>
      <c r="C1" s="109"/>
      <c r="D1" s="109"/>
      <c r="E1" s="109"/>
      <c r="F1" s="109"/>
      <c r="G1" s="1"/>
      <c r="J1" s="127" t="s">
        <v>92</v>
      </c>
      <c r="K1" s="128"/>
      <c r="L1" s="129"/>
    </row>
    <row r="2" spans="1:19" ht="20.100000000000001" customHeight="1">
      <c r="A2" s="3" t="s">
        <v>1</v>
      </c>
      <c r="B2" s="100"/>
      <c r="C2" s="100"/>
      <c r="D2" s="3" t="s">
        <v>102</v>
      </c>
      <c r="E2" s="100"/>
      <c r="F2" s="100"/>
      <c r="G2" s="100"/>
      <c r="H2" s="100"/>
      <c r="I2" s="4"/>
      <c r="J2" s="143" t="s">
        <v>100</v>
      </c>
      <c r="K2" s="144"/>
      <c r="L2" s="145"/>
    </row>
    <row r="3" spans="1:19" ht="20.100000000000001" customHeight="1">
      <c r="A3" s="3" t="s">
        <v>127</v>
      </c>
      <c r="B3" s="100"/>
      <c r="C3" s="100"/>
      <c r="D3" s="100"/>
      <c r="E3" s="130">
        <f>+L3</f>
        <v>46158</v>
      </c>
      <c r="F3" s="130"/>
      <c r="G3" s="130"/>
      <c r="H3" s="130"/>
      <c r="I3" s="130"/>
      <c r="J3" s="100"/>
      <c r="K3" s="100"/>
      <c r="L3" s="121">
        <v>46158</v>
      </c>
      <c r="M3" s="4"/>
    </row>
    <row r="4" spans="1:19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96</v>
      </c>
      <c r="J4" s="131" t="s">
        <v>97</v>
      </c>
      <c r="K4" s="141" t="s">
        <v>0</v>
      </c>
      <c r="L4" s="132" t="s">
        <v>7</v>
      </c>
    </row>
    <row r="5" spans="1:19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9" ht="29.25" customHeight="1">
      <c r="A6" s="5">
        <f t="shared" ref="A6:A15" si="0">ROW(A1)</f>
        <v>1</v>
      </c>
      <c r="B6" s="146" t="s">
        <v>128</v>
      </c>
      <c r="C6" s="147"/>
      <c r="D6" s="148" t="s">
        <v>129</v>
      </c>
      <c r="E6" s="149"/>
      <c r="F6" s="150"/>
      <c r="G6" s="110" t="s">
        <v>104</v>
      </c>
      <c r="H6" s="111">
        <v>1</v>
      </c>
      <c r="I6" s="112">
        <v>2650</v>
      </c>
      <c r="J6" s="112">
        <f>H6*I6</f>
        <v>2650</v>
      </c>
      <c r="K6" s="113" t="s">
        <v>105</v>
      </c>
      <c r="L6" s="114" t="s">
        <v>99</v>
      </c>
      <c r="S6" s="105"/>
    </row>
    <row r="7" spans="1:19" ht="22.5" customHeight="1">
      <c r="A7" s="5">
        <f t="shared" si="0"/>
        <v>2</v>
      </c>
      <c r="B7" s="146"/>
      <c r="C7" s="147"/>
      <c r="D7" s="151"/>
      <c r="E7" s="149"/>
      <c r="F7" s="150"/>
      <c r="G7" s="110"/>
      <c r="H7" s="111"/>
      <c r="I7" s="112"/>
      <c r="J7" s="112">
        <f>H7*I7</f>
        <v>0</v>
      </c>
      <c r="K7" s="113"/>
      <c r="L7" s="114"/>
      <c r="S7" s="105"/>
    </row>
    <row r="8" spans="1:19" ht="22.5" customHeight="1">
      <c r="A8" s="5">
        <f t="shared" si="0"/>
        <v>3</v>
      </c>
      <c r="B8" s="146"/>
      <c r="C8" s="147"/>
      <c r="D8" s="148"/>
      <c r="E8" s="149"/>
      <c r="F8" s="150"/>
      <c r="G8" s="110"/>
      <c r="H8" s="111"/>
      <c r="I8" s="112"/>
      <c r="J8" s="112"/>
      <c r="K8" s="113"/>
      <c r="L8" s="114"/>
      <c r="S8" s="105"/>
    </row>
    <row r="9" spans="1:19" ht="22.5" customHeight="1">
      <c r="A9" s="5">
        <f t="shared" si="0"/>
        <v>4</v>
      </c>
      <c r="B9" s="146"/>
      <c r="C9" s="147"/>
      <c r="D9" s="148"/>
      <c r="E9" s="149"/>
      <c r="F9" s="150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52"/>
      <c r="C10" s="152"/>
      <c r="D10" s="153"/>
      <c r="E10" s="153"/>
      <c r="F10" s="153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46"/>
      <c r="C11" s="147"/>
      <c r="D11" s="148"/>
      <c r="E11" s="149"/>
      <c r="F11" s="150"/>
      <c r="G11" s="110"/>
      <c r="H11" s="111"/>
      <c r="I11" s="112"/>
      <c r="J11" s="112"/>
      <c r="K11" s="113"/>
      <c r="L11" s="114"/>
      <c r="S11" s="105"/>
    </row>
    <row r="12" spans="1:19" ht="22.5" customHeight="1">
      <c r="A12" s="5">
        <f t="shared" si="0"/>
        <v>7</v>
      </c>
      <c r="B12" s="152"/>
      <c r="C12" s="152"/>
      <c r="D12" s="153"/>
      <c r="E12" s="153"/>
      <c r="F12" s="153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46"/>
      <c r="C13" s="147"/>
      <c r="D13" s="148"/>
      <c r="E13" s="149"/>
      <c r="F13" s="150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46"/>
      <c r="C14" s="147"/>
      <c r="D14" s="148"/>
      <c r="E14" s="149"/>
      <c r="F14" s="150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46"/>
      <c r="C15" s="147"/>
      <c r="D15" s="148"/>
      <c r="E15" s="149"/>
      <c r="F15" s="150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4" t="s">
        <v>8</v>
      </c>
      <c r="B16" s="15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2650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7"/>
      <c r="T19" s="14"/>
      <c r="U19" s="15"/>
      <c r="V19" s="14"/>
    </row>
    <row r="20" spans="1:22" ht="17.100000000000001" customHeight="1">
      <c r="O20" s="11"/>
      <c r="P20" s="11"/>
      <c r="Q20" s="11"/>
      <c r="S20" s="158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9" t="s">
        <v>17</v>
      </c>
      <c r="Q21" s="159" t="s">
        <v>18</v>
      </c>
    </row>
    <row r="22" spans="1:22" ht="18" customHeight="1">
      <c r="O22" s="18" t="s">
        <v>19</v>
      </c>
      <c r="P22" s="160"/>
      <c r="Q22" s="160"/>
      <c r="S22" s="15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8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1"/>
      <c r="P27" s="161"/>
      <c r="Q27" s="161"/>
    </row>
    <row r="28" spans="1:22" ht="19.899999999999999" customHeight="1">
      <c r="O28" s="161"/>
      <c r="P28" s="161"/>
      <c r="Q28" s="161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9" t="s">
        <v>21</v>
      </c>
    </row>
    <row r="41" spans="15:22" ht="19.899999999999999" customHeight="1">
      <c r="T41" s="160"/>
    </row>
    <row r="42" spans="15:22" ht="64.900000000000006" customHeight="1">
      <c r="T42" s="14"/>
    </row>
    <row r="46" spans="15:22" ht="21" customHeight="1">
      <c r="O46" s="159" t="s">
        <v>21</v>
      </c>
      <c r="P46" s="159" t="s">
        <v>21</v>
      </c>
      <c r="Q46" s="159" t="s">
        <v>21</v>
      </c>
      <c r="T46" s="159" t="s">
        <v>22</v>
      </c>
      <c r="U46" s="159" t="s">
        <v>13</v>
      </c>
      <c r="V46" s="159" t="s">
        <v>21</v>
      </c>
    </row>
    <row r="47" spans="15:22" ht="21" customHeight="1">
      <c r="O47" s="160"/>
      <c r="P47" s="160"/>
      <c r="Q47" s="160"/>
      <c r="T47" s="158"/>
      <c r="U47" s="158"/>
      <c r="V47" s="160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9" t="s">
        <v>21</v>
      </c>
      <c r="P50" s="159" t="s">
        <v>21</v>
      </c>
      <c r="Q50" s="159" t="s">
        <v>21</v>
      </c>
      <c r="T50" s="159" t="s">
        <v>13</v>
      </c>
      <c r="U50" s="159" t="s">
        <v>22</v>
      </c>
      <c r="V50" s="159" t="s">
        <v>21</v>
      </c>
    </row>
    <row r="51" spans="15:22" ht="21" customHeight="1">
      <c r="O51" s="160"/>
      <c r="P51" s="160"/>
      <c r="Q51" s="160"/>
      <c r="T51" s="158"/>
      <c r="U51" s="158"/>
      <c r="V51" s="160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98</v>
      </c>
      <c r="B1" s="99"/>
      <c r="C1" s="99"/>
      <c r="D1" s="99"/>
      <c r="E1" s="99"/>
      <c r="F1" s="99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SAC2-DS-MRS-0316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46158</v>
      </c>
    </row>
    <row r="4" spans="1:18" ht="15.95" customHeight="1">
      <c r="A4" s="162" t="s">
        <v>2</v>
      </c>
      <c r="B4" s="163" t="s">
        <v>23</v>
      </c>
      <c r="C4" s="163"/>
      <c r="D4" s="162" t="s">
        <v>4</v>
      </c>
      <c r="E4" s="162"/>
      <c r="F4" s="162"/>
      <c r="G4" s="163" t="s">
        <v>5</v>
      </c>
      <c r="H4" s="162" t="s">
        <v>93</v>
      </c>
      <c r="I4" s="162" t="s">
        <v>24</v>
      </c>
      <c r="J4" s="162" t="s">
        <v>25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64" t="str">
        <f>MRS!B6</f>
        <v>MJI Manual &amp; Hydraulic Torquing and Tensioning Training</v>
      </c>
      <c r="C6" s="165"/>
      <c r="D6" s="166" t="str">
        <f>MRS!D6</f>
        <v>2.5 days</v>
      </c>
      <c r="E6" s="167"/>
      <c r="F6" s="168"/>
      <c r="G6" s="102" t="str">
        <f>MRS!G6</f>
        <v>EA</v>
      </c>
      <c r="H6" s="102">
        <f>MRS!H6</f>
        <v>1</v>
      </c>
      <c r="I6" s="103">
        <f>MRS!I6</f>
        <v>2650</v>
      </c>
      <c r="J6" s="103">
        <f>MRS!J6</f>
        <v>2650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4"/>
      <c r="C7" s="165"/>
      <c r="D7" s="166"/>
      <c r="E7" s="167"/>
      <c r="F7" s="168"/>
      <c r="G7" s="102"/>
      <c r="H7" s="102"/>
      <c r="I7" s="103"/>
      <c r="J7" s="103"/>
      <c r="K7" s="104"/>
      <c r="O7" s="105"/>
      <c r="P7" s="105"/>
      <c r="R7" s="105"/>
    </row>
    <row r="8" spans="1:18" ht="105" customHeight="1">
      <c r="A8" s="21">
        <f>+MRS!A8</f>
        <v>3</v>
      </c>
      <c r="B8" s="169"/>
      <c r="C8" s="170"/>
      <c r="D8" s="171"/>
      <c r="E8" s="172"/>
      <c r="F8" s="173"/>
      <c r="G8" s="106"/>
      <c r="H8" s="107"/>
      <c r="I8" s="108"/>
      <c r="J8" s="108"/>
      <c r="K8" s="104"/>
      <c r="O8" s="105"/>
      <c r="P8" s="105"/>
      <c r="R8" s="105"/>
    </row>
    <row r="9" spans="1:18" ht="105" customHeight="1">
      <c r="A9" s="21">
        <f>+MRS!A9</f>
        <v>4</v>
      </c>
      <c r="B9" s="169"/>
      <c r="C9" s="170"/>
      <c r="D9" s="171"/>
      <c r="E9" s="172"/>
      <c r="F9" s="173"/>
      <c r="G9" s="106"/>
      <c r="H9" s="107"/>
      <c r="I9" s="108"/>
      <c r="J9" s="108"/>
      <c r="K9" s="104"/>
      <c r="O9" s="105"/>
      <c r="P9" s="105"/>
      <c r="R9" s="105"/>
    </row>
    <row r="10" spans="1:18" ht="105" customHeight="1">
      <c r="A10" s="21">
        <f>+MRS!A10</f>
        <v>5</v>
      </c>
      <c r="B10" s="169"/>
      <c r="C10" s="170"/>
      <c r="D10" s="171"/>
      <c r="E10" s="172"/>
      <c r="F10" s="173"/>
      <c r="G10" s="106"/>
      <c r="H10" s="107"/>
      <c r="I10" s="108"/>
      <c r="J10" s="108"/>
      <c r="K10" s="104"/>
      <c r="O10" s="105"/>
      <c r="P10" s="105"/>
      <c r="R10" s="105"/>
    </row>
    <row r="11" spans="1:18" ht="105" customHeight="1">
      <c r="A11" s="21">
        <f>+MRS!A11</f>
        <v>6</v>
      </c>
      <c r="B11" s="169"/>
      <c r="C11" s="170"/>
      <c r="D11" s="171"/>
      <c r="E11" s="172"/>
      <c r="F11" s="173"/>
      <c r="G11" s="106"/>
      <c r="H11" s="107"/>
      <c r="I11" s="108"/>
      <c r="J11" s="108"/>
      <c r="K11" s="104"/>
      <c r="O11" s="105"/>
      <c r="P11" s="105"/>
      <c r="R11" s="105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K15" sqref="K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3.285156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130</v>
      </c>
      <c r="D9" s="39"/>
      <c r="E9" s="39"/>
    </row>
    <row r="10" spans="2:13" s="39" customFormat="1">
      <c r="B10" s="72"/>
      <c r="C10" s="39" t="s">
        <v>33</v>
      </c>
      <c r="D10" s="76" t="s">
        <v>106</v>
      </c>
      <c r="J10" s="39" t="s">
        <v>34</v>
      </c>
      <c r="K10" s="175">
        <f>MRS!L3</f>
        <v>46158</v>
      </c>
      <c r="L10" s="176"/>
      <c r="M10" s="176"/>
    </row>
    <row r="11" spans="2:13" s="39" customFormat="1">
      <c r="B11" s="72"/>
      <c r="C11" s="75" t="s">
        <v>35</v>
      </c>
      <c r="D11" s="76" t="s">
        <v>107</v>
      </c>
      <c r="J11" s="39" t="s">
        <v>36</v>
      </c>
      <c r="K11" s="177" t="str">
        <f>SUBSTITUTE(SUBSTITUTE(+MRS!A3,"  MRS No : ",""),"-MRS","-PO")</f>
        <v>SAC2-DS-PO-0316</v>
      </c>
      <c r="L11" s="177"/>
      <c r="M11" s="177"/>
    </row>
    <row r="12" spans="2:13" s="39" customFormat="1">
      <c r="B12" s="72"/>
      <c r="C12" s="75" t="s">
        <v>37</v>
      </c>
      <c r="D12" s="39" t="s">
        <v>108</v>
      </c>
      <c r="J12" s="39" t="s">
        <v>38</v>
      </c>
    </row>
    <row r="13" spans="2:13" s="39" customFormat="1">
      <c r="B13" s="72"/>
      <c r="C13" s="77"/>
      <c r="D13" s="76" t="s">
        <v>109</v>
      </c>
      <c r="J13" s="39" t="s">
        <v>39</v>
      </c>
    </row>
    <row r="14" spans="2:13" s="39" customFormat="1">
      <c r="B14" s="72"/>
      <c r="C14" s="77" t="s">
        <v>111</v>
      </c>
      <c r="J14" s="39" t="s">
        <v>40</v>
      </c>
      <c r="K14" s="76" t="s">
        <v>131</v>
      </c>
    </row>
    <row r="15" spans="2:13" s="39" customFormat="1">
      <c r="B15" s="72"/>
      <c r="C15" s="77" t="s">
        <v>112</v>
      </c>
      <c r="J15" s="39" t="s">
        <v>41</v>
      </c>
      <c r="K15" s="78">
        <v>46157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8" t="s">
        <v>42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43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44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45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46</v>
      </c>
    </row>
    <row r="26" spans="2:13" s="39" customFormat="1" ht="12" customHeight="1">
      <c r="B26" s="73"/>
      <c r="C26" s="206" t="s">
        <v>132</v>
      </c>
      <c r="M26" s="205" t="s">
        <v>47</v>
      </c>
    </row>
    <row r="27" spans="2:13" ht="11.1" customHeight="1">
      <c r="B27" s="32"/>
      <c r="C27" s="22" t="s">
        <v>133</v>
      </c>
    </row>
    <row r="28" spans="2:13" ht="15" customHeight="1">
      <c r="B28" s="32">
        <v>2</v>
      </c>
      <c r="C28" s="32" t="s">
        <v>48</v>
      </c>
    </row>
    <row r="29" spans="2:13" ht="12" customHeight="1">
      <c r="B29" s="32"/>
      <c r="C29" s="26" t="s">
        <v>49</v>
      </c>
      <c r="E29" s="26" t="s">
        <v>50</v>
      </c>
      <c r="F29" s="182" t="s">
        <v>99</v>
      </c>
      <c r="G29" s="182"/>
      <c r="H29" s="33"/>
      <c r="M29" s="34"/>
    </row>
    <row r="30" spans="2:13" ht="12" customHeight="1">
      <c r="B30" s="32"/>
      <c r="C30" s="26" t="s">
        <v>51</v>
      </c>
      <c r="E30" s="26" t="s">
        <v>50</v>
      </c>
      <c r="F30" s="182"/>
      <c r="G30" s="182"/>
    </row>
    <row r="31" spans="2:13" ht="12" customHeight="1">
      <c r="B31" s="32"/>
      <c r="C31" s="26" t="s">
        <v>52</v>
      </c>
      <c r="D31" s="35"/>
      <c r="E31" s="26" t="s">
        <v>50</v>
      </c>
      <c r="F31" s="182"/>
      <c r="G31" s="182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53</v>
      </c>
    </row>
    <row r="34" spans="2:13" ht="12" customHeight="1">
      <c r="B34" s="32"/>
      <c r="C34" s="22" t="s">
        <v>54</v>
      </c>
    </row>
    <row r="35" spans="2:13" ht="12" customHeight="1">
      <c r="B35" s="32"/>
      <c r="C35" s="22" t="s">
        <v>55</v>
      </c>
    </row>
    <row r="36" spans="2:13" ht="12" customHeight="1">
      <c r="B36" s="32"/>
      <c r="C36" s="22" t="s">
        <v>56</v>
      </c>
    </row>
    <row r="37" spans="2:13" ht="11.1" customHeight="1">
      <c r="B37" s="32"/>
    </row>
    <row r="38" spans="2:13" ht="15" customHeight="1">
      <c r="B38" s="32">
        <v>4</v>
      </c>
      <c r="C38" s="32" t="s">
        <v>57</v>
      </c>
    </row>
    <row r="39" spans="2:13" ht="12" customHeight="1">
      <c r="B39" s="32"/>
      <c r="C39" s="26" t="s">
        <v>58</v>
      </c>
    </row>
    <row r="40" spans="2:13" ht="11.1" customHeight="1">
      <c r="B40" s="32"/>
    </row>
    <row r="41" spans="2:13" ht="15" customHeight="1">
      <c r="B41" s="32">
        <v>5</v>
      </c>
      <c r="C41" s="32" t="s">
        <v>59</v>
      </c>
    </row>
    <row r="42" spans="2:13" ht="12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15" customHeight="1">
      <c r="B48" s="32">
        <v>6</v>
      </c>
      <c r="C48" s="32" t="s">
        <v>65</v>
      </c>
    </row>
    <row r="49" spans="2:16" s="39" customFormat="1" ht="12" customHeight="1">
      <c r="B49" s="79" t="s">
        <v>66</v>
      </c>
      <c r="C49" s="80" t="s">
        <v>103</v>
      </c>
      <c r="P49" s="81"/>
    </row>
    <row r="50" spans="2:16" s="82" customFormat="1" ht="12" customHeight="1">
      <c r="B50" s="83" t="s">
        <v>66</v>
      </c>
      <c r="C50" s="80" t="s">
        <v>95</v>
      </c>
    </row>
    <row r="51" spans="2:16" s="82" customFormat="1" ht="12" customHeight="1">
      <c r="B51" s="83" t="s">
        <v>66</v>
      </c>
      <c r="C51" s="80" t="s">
        <v>94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113</v>
      </c>
    </row>
    <row r="54" spans="2:16" ht="12" customHeight="1">
      <c r="B54" s="83" t="s">
        <v>66</v>
      </c>
      <c r="C54" s="125" t="s">
        <v>114</v>
      </c>
      <c r="F54" s="26" t="s">
        <v>122</v>
      </c>
      <c r="P54" s="26" t="str">
        <f>UPPER(F54)</f>
        <v>ATLAS INDUSTRIAL EQUIPMENT CO.</v>
      </c>
    </row>
    <row r="55" spans="2:16" ht="12" customHeight="1">
      <c r="B55" s="83" t="s">
        <v>66</v>
      </c>
      <c r="C55" s="125" t="s">
        <v>115</v>
      </c>
      <c r="F55" s="126" t="s">
        <v>126</v>
      </c>
    </row>
    <row r="56" spans="2:16" ht="12" customHeight="1">
      <c r="B56" s="83" t="s">
        <v>66</v>
      </c>
      <c r="C56" s="125" t="s">
        <v>116</v>
      </c>
      <c r="F56" s="26" t="s">
        <v>123</v>
      </c>
    </row>
    <row r="57" spans="2:16" ht="12" customHeight="1">
      <c r="B57" s="83" t="s">
        <v>66</v>
      </c>
      <c r="C57" s="125" t="s">
        <v>117</v>
      </c>
      <c r="F57" s="26" t="s">
        <v>125</v>
      </c>
    </row>
    <row r="58" spans="2:16" ht="12" customHeight="1">
      <c r="B58" s="83" t="s">
        <v>66</v>
      </c>
      <c r="C58" s="125" t="s">
        <v>118</v>
      </c>
      <c r="F58" s="26" t="s">
        <v>124</v>
      </c>
    </row>
    <row r="59" spans="2:16" ht="12" customHeight="1">
      <c r="B59" s="83" t="s">
        <v>66</v>
      </c>
      <c r="C59" s="125" t="s">
        <v>119</v>
      </c>
      <c r="F59" s="26" t="s">
        <v>120</v>
      </c>
    </row>
    <row r="60" spans="2:16" ht="12" customHeight="1">
      <c r="B60" s="83"/>
      <c r="C60" s="125" t="s">
        <v>121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67</v>
      </c>
      <c r="J64" s="32" t="s">
        <v>68</v>
      </c>
    </row>
    <row r="65" spans="1:13" ht="46.5" customHeight="1"/>
    <row r="66" spans="1:13" ht="18" customHeight="1">
      <c r="B66" s="26" t="s">
        <v>69</v>
      </c>
      <c r="J66" s="26" t="s">
        <v>69</v>
      </c>
    </row>
    <row r="67" spans="1:13" ht="18" customHeight="1">
      <c r="B67" s="26" t="s">
        <v>70</v>
      </c>
      <c r="J67" s="26" t="s">
        <v>71</v>
      </c>
      <c r="K67" s="22" t="str">
        <f>D12</f>
        <v>Muhammed Hidayat</v>
      </c>
    </row>
    <row r="68" spans="1:13" ht="18" customHeight="1">
      <c r="B68" s="26" t="s">
        <v>72</v>
      </c>
      <c r="J68" s="26" t="s">
        <v>73</v>
      </c>
      <c r="K68" s="22" t="s">
        <v>110</v>
      </c>
    </row>
    <row r="69" spans="1:13" ht="15" customHeight="1">
      <c r="B69" s="26" t="s">
        <v>74</v>
      </c>
      <c r="J69" s="26" t="s">
        <v>75</v>
      </c>
    </row>
    <row r="70" spans="1:13" s="28" customFormat="1" ht="15" customHeight="1">
      <c r="B70" s="25" t="s">
        <v>76</v>
      </c>
      <c r="J70" s="124" t="str">
        <f>C9</f>
        <v>AIEC(Atlas Industrial Equipment Company)</v>
      </c>
    </row>
    <row r="71" spans="1:13" ht="14.25" customHeight="1">
      <c r="A71" s="174" t="s">
        <v>77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SAC2-DS-PO-0316</v>
      </c>
      <c r="C2" s="185" t="s">
        <v>79</v>
      </c>
      <c r="D2" s="185"/>
      <c r="E2" s="185"/>
      <c r="F2" s="185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46158</v>
      </c>
      <c r="C3" s="51"/>
      <c r="D3" s="52"/>
      <c r="E3" s="186" t="s">
        <v>81</v>
      </c>
      <c r="F3" s="186"/>
      <c r="G3" s="186"/>
      <c r="H3" s="186"/>
      <c r="I3" s="53"/>
    </row>
    <row r="4" spans="1:13" s="55" customFormat="1" ht="28.5" customHeight="1" thickTop="1">
      <c r="A4" s="187" t="s">
        <v>82</v>
      </c>
      <c r="B4" s="189" t="s">
        <v>83</v>
      </c>
      <c r="C4" s="190"/>
      <c r="D4" s="193" t="s">
        <v>84</v>
      </c>
      <c r="E4" s="193" t="s">
        <v>85</v>
      </c>
      <c r="F4" s="195" t="str">
        <f>'PO 1st page'!C9</f>
        <v>AIEC(Atlas Industrial Equipment Company)</v>
      </c>
      <c r="G4" s="196"/>
      <c r="H4" s="197" t="s">
        <v>86</v>
      </c>
      <c r="K4" s="56"/>
      <c r="L4" s="56"/>
      <c r="M4" s="56"/>
    </row>
    <row r="5" spans="1:13" s="55" customFormat="1" ht="21.95" customHeight="1">
      <c r="A5" s="188"/>
      <c r="B5" s="191"/>
      <c r="C5" s="192"/>
      <c r="D5" s="194"/>
      <c r="E5" s="194"/>
      <c r="F5" s="57" t="s">
        <v>87</v>
      </c>
      <c r="G5" s="57" t="s">
        <v>52</v>
      </c>
      <c r="H5" s="198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99" t="str">
        <f>CONCATENATE(MRS!B6," ",MRS!D6)</f>
        <v>MJI Manual &amp; Hydraulic Torquing and Tensioning Training 2.5 days</v>
      </c>
      <c r="C6" s="200"/>
      <c r="D6" s="85" t="str">
        <f>+'MRS LIST'!G6</f>
        <v>EA</v>
      </c>
      <c r="E6" s="86">
        <f>+'MRS LIST'!H6</f>
        <v>1</v>
      </c>
      <c r="F6" s="87">
        <f>+'MRS LIST'!I6</f>
        <v>2650</v>
      </c>
      <c r="G6" s="88">
        <f>+'MRS LIST'!J6</f>
        <v>2650</v>
      </c>
      <c r="H6" s="89" t="str">
        <f>MRS!L6</f>
        <v>Monthly Based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99" t="str">
        <f>CONCATENATE(MRS!B7," ",MRS!D7)</f>
        <v xml:space="preserve"> </v>
      </c>
      <c r="C7" s="200"/>
      <c r="D7" s="85"/>
      <c r="E7" s="86"/>
      <c r="F7" s="87"/>
      <c r="G7" s="88"/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83"/>
      <c r="C8" s="184"/>
      <c r="D8" s="93"/>
      <c r="E8" s="94"/>
      <c r="F8" s="95"/>
      <c r="G8" s="96"/>
      <c r="H8" s="97"/>
      <c r="K8" s="56"/>
      <c r="L8" s="56"/>
      <c r="M8" s="56"/>
    </row>
    <row r="9" spans="1:13" s="55" customFormat="1" ht="32.1" customHeight="1">
      <c r="A9" s="92">
        <f t="shared" si="0"/>
        <v>4</v>
      </c>
      <c r="B9" s="183"/>
      <c r="C9" s="184"/>
      <c r="D9" s="93"/>
      <c r="E9" s="94"/>
      <c r="F9" s="95"/>
      <c r="G9" s="96"/>
      <c r="H9" s="97"/>
    </row>
    <row r="10" spans="1:13" s="55" customFormat="1" ht="32.1" customHeight="1">
      <c r="A10" s="92">
        <f t="shared" si="0"/>
        <v>5</v>
      </c>
      <c r="B10" s="183"/>
      <c r="C10" s="184"/>
      <c r="D10" s="93"/>
      <c r="E10" s="94"/>
      <c r="F10" s="95"/>
      <c r="G10" s="96"/>
      <c r="H10" s="97"/>
    </row>
    <row r="11" spans="1:13" s="55" customFormat="1" ht="32.1" customHeight="1">
      <c r="A11" s="92">
        <f t="shared" si="0"/>
        <v>6</v>
      </c>
      <c r="B11" s="183"/>
      <c r="C11" s="184"/>
      <c r="D11" s="93"/>
      <c r="E11" s="94"/>
      <c r="F11" s="95"/>
      <c r="G11" s="96"/>
      <c r="H11" s="97"/>
    </row>
    <row r="12" spans="1:13" s="55" customFormat="1" ht="32.1" customHeight="1">
      <c r="A12" s="92">
        <f t="shared" si="0"/>
        <v>7</v>
      </c>
      <c r="B12" s="183"/>
      <c r="C12" s="184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83"/>
      <c r="C13" s="184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83"/>
      <c r="C14" s="184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83"/>
      <c r="C15" s="184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83"/>
      <c r="C16" s="184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83"/>
      <c r="C17" s="184"/>
      <c r="D17" s="93"/>
      <c r="E17" s="94"/>
      <c r="F17" s="95"/>
      <c r="G17" s="96"/>
      <c r="H17" s="97"/>
    </row>
    <row r="18" spans="1:13" s="55" customFormat="1" ht="23.1" customHeight="1">
      <c r="A18" s="201" t="s">
        <v>88</v>
      </c>
      <c r="B18" s="202"/>
      <c r="C18" s="202"/>
      <c r="D18" s="202"/>
      <c r="E18" s="202"/>
      <c r="F18" s="202"/>
      <c r="G18" s="58">
        <f>SUM(G6:G17)</f>
        <v>2650</v>
      </c>
      <c r="H18" s="59"/>
    </row>
    <row r="19" spans="1:13" s="55" customFormat="1" ht="23.1" customHeight="1">
      <c r="A19" s="201" t="s">
        <v>51</v>
      </c>
      <c r="B19" s="202"/>
      <c r="C19" s="202"/>
      <c r="D19" s="202"/>
      <c r="E19" s="202"/>
      <c r="F19" s="202"/>
      <c r="G19" s="58">
        <f>+G18*0.15</f>
        <v>397.5</v>
      </c>
      <c r="H19" s="59"/>
    </row>
    <row r="20" spans="1:13" s="55" customFormat="1" ht="24.95" customHeight="1" thickBot="1">
      <c r="A20" s="203" t="s">
        <v>89</v>
      </c>
      <c r="B20" s="204"/>
      <c r="C20" s="204"/>
      <c r="D20" s="204"/>
      <c r="E20" s="204"/>
      <c r="F20" s="204"/>
      <c r="G20" s="60">
        <f>G19+G18</f>
        <v>3047.5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00845200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4" t="s">
        <v>91</v>
      </c>
      <c r="B24" s="174"/>
      <c r="C24" s="174"/>
      <c r="D24" s="174"/>
      <c r="E24" s="174"/>
      <c r="F24" s="174"/>
      <c r="G24" s="174"/>
      <c r="H24" s="174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2026-05-16T06:10:00Z</cp:lastPrinted>
  <dcterms:created xsi:type="dcterms:W3CDTF">2024-10-20T11:50:19Z</dcterms:created>
  <dcterms:modified xsi:type="dcterms:W3CDTF">2026-05-16T06:10:02Z</dcterms:modified>
</cp:coreProperties>
</file>