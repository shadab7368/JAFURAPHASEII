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E54A27A6-439E-4FEA-8667-A3DD6AD72DD9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MRS!$A$1:$L$58</definedName>
    <definedName name="_xlnm.Print_Area" localSheetId="1">'MRS LIST'!$A$1:$K$30</definedName>
    <definedName name="_xlnm.Print_Area" localSheetId="2">'PO 1st page'!$A$1:$N$71</definedName>
    <definedName name="_xlnm.Print_Area" localSheetId="3">'PO 2nd page'!$A$1:$H$56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4" l="1"/>
  <c r="E7" i="4"/>
  <c r="F7" i="4"/>
  <c r="G7" i="4"/>
  <c r="D8" i="4"/>
  <c r="E8" i="4"/>
  <c r="F8" i="4"/>
  <c r="G8" i="4"/>
  <c r="D9" i="4"/>
  <c r="E9" i="4"/>
  <c r="F9" i="4"/>
  <c r="G9" i="4"/>
  <c r="D10" i="4"/>
  <c r="E10" i="4"/>
  <c r="F10" i="4"/>
  <c r="G10" i="4"/>
  <c r="D11" i="4"/>
  <c r="E11" i="4"/>
  <c r="F11" i="4"/>
  <c r="G11" i="4"/>
  <c r="D12" i="4"/>
  <c r="E12" i="4"/>
  <c r="F12" i="4"/>
  <c r="G12" i="4"/>
  <c r="D13" i="4"/>
  <c r="E13" i="4"/>
  <c r="F13" i="4"/>
  <c r="G13" i="4"/>
  <c r="D14" i="4"/>
  <c r="E14" i="4"/>
  <c r="F14" i="4"/>
  <c r="G14" i="4"/>
  <c r="D15" i="4"/>
  <c r="E15" i="4"/>
  <c r="F15" i="4"/>
  <c r="G15" i="4"/>
  <c r="D16" i="4"/>
  <c r="E16" i="4"/>
  <c r="F16" i="4"/>
  <c r="G16" i="4"/>
  <c r="D17" i="4"/>
  <c r="E17" i="4"/>
  <c r="F17" i="4"/>
  <c r="G17" i="4"/>
  <c r="D18" i="4"/>
  <c r="E18" i="4"/>
  <c r="F18" i="4"/>
  <c r="G18" i="4"/>
  <c r="D19" i="4"/>
  <c r="E19" i="4"/>
  <c r="F19" i="4"/>
  <c r="G19" i="4"/>
  <c r="D20" i="4"/>
  <c r="E20" i="4"/>
  <c r="F20" i="4"/>
  <c r="G20" i="4"/>
  <c r="D21" i="4"/>
  <c r="E21" i="4"/>
  <c r="F21" i="4"/>
  <c r="G21" i="4"/>
  <c r="D22" i="4"/>
  <c r="E22" i="4"/>
  <c r="F22" i="4"/>
  <c r="G22" i="4"/>
  <c r="D23" i="4"/>
  <c r="E23" i="4"/>
  <c r="F23" i="4"/>
  <c r="G23" i="4"/>
  <c r="D24" i="4"/>
  <c r="E24" i="4"/>
  <c r="F24" i="4"/>
  <c r="G24" i="4"/>
  <c r="D25" i="4"/>
  <c r="E25" i="4"/>
  <c r="F25" i="4"/>
  <c r="G25" i="4"/>
  <c r="D26" i="4"/>
  <c r="E26" i="4"/>
  <c r="F26" i="4"/>
  <c r="G26" i="4"/>
  <c r="D27" i="4"/>
  <c r="E27" i="4"/>
  <c r="F27" i="4"/>
  <c r="D28" i="4"/>
  <c r="E28" i="4"/>
  <c r="G28" i="4" s="1"/>
  <c r="F28" i="4"/>
  <c r="D29" i="4"/>
  <c r="E29" i="4"/>
  <c r="F29" i="4"/>
  <c r="G29" i="4"/>
  <c r="D30" i="4"/>
  <c r="E30" i="4"/>
  <c r="F30" i="4"/>
  <c r="G30" i="4"/>
  <c r="D31" i="4"/>
  <c r="E31" i="4"/>
  <c r="F31" i="4"/>
  <c r="G31" i="4"/>
  <c r="D32" i="4"/>
  <c r="E32" i="4"/>
  <c r="F32" i="4"/>
  <c r="G32" i="4"/>
  <c r="D33" i="4"/>
  <c r="E33" i="4"/>
  <c r="F33" i="4"/>
  <c r="G33" i="4"/>
  <c r="D34" i="4"/>
  <c r="E34" i="4"/>
  <c r="F34" i="4"/>
  <c r="G34" i="4"/>
  <c r="D35" i="4"/>
  <c r="E35" i="4"/>
  <c r="F35" i="4"/>
  <c r="G35" i="4"/>
  <c r="D36" i="4"/>
  <c r="E36" i="4"/>
  <c r="F36" i="4"/>
  <c r="G36" i="4"/>
  <c r="D37" i="4"/>
  <c r="E37" i="4"/>
  <c r="F37" i="4"/>
  <c r="G37" i="4"/>
  <c r="D38" i="4"/>
  <c r="E38" i="4"/>
  <c r="F38" i="4"/>
  <c r="G38" i="4"/>
  <c r="D39" i="4"/>
  <c r="E39" i="4"/>
  <c r="F39" i="4"/>
  <c r="G39" i="4"/>
  <c r="D40" i="4"/>
  <c r="E40" i="4"/>
  <c r="F40" i="4"/>
  <c r="G40" i="4"/>
  <c r="D41" i="4"/>
  <c r="E41" i="4"/>
  <c r="F41" i="4"/>
  <c r="G41" i="4"/>
  <c r="D42" i="4"/>
  <c r="E42" i="4"/>
  <c r="F42" i="4"/>
  <c r="G42" i="4" s="1"/>
  <c r="D43" i="4"/>
  <c r="E43" i="4"/>
  <c r="F43" i="4"/>
  <c r="G43" i="4"/>
  <c r="D44" i="4"/>
  <c r="E44" i="4"/>
  <c r="F44" i="4"/>
  <c r="G44" i="4"/>
  <c r="D45" i="4"/>
  <c r="E45" i="4"/>
  <c r="F45" i="4"/>
  <c r="G45" i="4" s="1"/>
  <c r="D46" i="4"/>
  <c r="E46" i="4"/>
  <c r="F46" i="4"/>
  <c r="G46" i="4"/>
  <c r="D47" i="4"/>
  <c r="E47" i="4"/>
  <c r="F47" i="4"/>
  <c r="G47" i="4"/>
  <c r="D48" i="4"/>
  <c r="E48" i="4"/>
  <c r="F48" i="4"/>
  <c r="G48" i="4"/>
  <c r="D49" i="4"/>
  <c r="E49" i="4"/>
  <c r="F49" i="4"/>
  <c r="G49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38" i="1"/>
  <c r="A39" i="1"/>
  <c r="A40" i="1"/>
  <c r="A41" i="1"/>
  <c r="A42" i="1"/>
  <c r="A43" i="1"/>
  <c r="A44" i="1"/>
  <c r="A45" i="1"/>
  <c r="A46" i="1"/>
  <c r="A47" i="1"/>
  <c r="A48" i="1"/>
  <c r="A49" i="1"/>
  <c r="J38" i="1"/>
  <c r="J39" i="1"/>
  <c r="J40" i="1"/>
  <c r="J41" i="1"/>
  <c r="J42" i="1"/>
  <c r="J43" i="1"/>
  <c r="J44" i="1"/>
  <c r="J45" i="1"/>
  <c r="J46" i="1"/>
  <c r="J47" i="1"/>
  <c r="J48" i="1"/>
  <c r="J49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1" i="4"/>
  <c r="A32" i="4"/>
  <c r="A33" i="4"/>
  <c r="A34" i="4"/>
  <c r="A35" i="4"/>
  <c r="A36" i="4"/>
  <c r="A23" i="4"/>
  <c r="A24" i="4"/>
  <c r="A25" i="4"/>
  <c r="A26" i="4"/>
  <c r="A27" i="4"/>
  <c r="A28" i="4"/>
  <c r="A29" i="4"/>
  <c r="A30" i="4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G27" i="4" l="1"/>
  <c r="F6" i="4"/>
  <c r="E6" i="4"/>
  <c r="D6" i="4"/>
  <c r="B6" i="4"/>
  <c r="J23" i="2"/>
  <c r="J24" i="2"/>
  <c r="J25" i="2"/>
  <c r="J26" i="2"/>
  <c r="J27" i="2"/>
  <c r="J28" i="2"/>
  <c r="J29" i="2"/>
  <c r="J30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D30" i="2"/>
  <c r="D29" i="2"/>
  <c r="D28" i="2"/>
  <c r="D27" i="2"/>
  <c r="D26" i="2"/>
  <c r="D22" i="2"/>
  <c r="D23" i="2"/>
  <c r="D24" i="2"/>
  <c r="D25" i="2"/>
  <c r="D21" i="2"/>
  <c r="D19" i="2"/>
  <c r="D20" i="2"/>
  <c r="D18" i="2"/>
  <c r="D17" i="2"/>
  <c r="D16" i="2"/>
  <c r="A24" i="2"/>
  <c r="A25" i="2"/>
  <c r="A26" i="2"/>
  <c r="A27" i="2"/>
  <c r="A29" i="2"/>
  <c r="A30" i="2"/>
  <c r="B30" i="2"/>
  <c r="B29" i="2"/>
  <c r="B28" i="2"/>
  <c r="B27" i="2"/>
  <c r="B16" i="2"/>
  <c r="B17" i="2"/>
  <c r="B18" i="2"/>
  <c r="B19" i="2"/>
  <c r="B20" i="2"/>
  <c r="B21" i="2"/>
  <c r="B22" i="2"/>
  <c r="B23" i="2"/>
  <c r="B24" i="2"/>
  <c r="B25" i="2"/>
  <c r="B26" i="2"/>
  <c r="A17" i="4"/>
  <c r="A18" i="4"/>
  <c r="A19" i="4"/>
  <c r="A20" i="4"/>
  <c r="A21" i="4"/>
  <c r="A22" i="4"/>
  <c r="P54" i="3"/>
  <c r="G6" i="4" l="1"/>
  <c r="J22" i="1"/>
  <c r="J22" i="2" s="1"/>
  <c r="J21" i="1"/>
  <c r="J21" i="2" s="1"/>
  <c r="J20" i="1"/>
  <c r="J20" i="2" s="1"/>
  <c r="J19" i="1"/>
  <c r="J19" i="2" s="1"/>
  <c r="J18" i="1"/>
  <c r="J18" i="2" s="1"/>
  <c r="J17" i="1"/>
  <c r="J17" i="2" s="1"/>
  <c r="J16" i="1"/>
  <c r="J16" i="2" s="1"/>
  <c r="A16" i="1"/>
  <c r="A16" i="2" s="1"/>
  <c r="A17" i="1"/>
  <c r="A17" i="2" s="1"/>
  <c r="A18" i="1"/>
  <c r="A18" i="2" s="1"/>
  <c r="A19" i="1"/>
  <c r="A19" i="2" s="1"/>
  <c r="A20" i="1"/>
  <c r="A20" i="2" s="1"/>
  <c r="A21" i="1"/>
  <c r="A21" i="2" s="1"/>
  <c r="A22" i="1"/>
  <c r="A22" i="2" s="1"/>
  <c r="A23" i="2"/>
  <c r="A28" i="2"/>
  <c r="A13" i="4"/>
  <c r="A14" i="4"/>
  <c r="A15" i="4"/>
  <c r="A16" i="4"/>
  <c r="H7" i="2"/>
  <c r="H8" i="2"/>
  <c r="H9" i="2"/>
  <c r="H10" i="2"/>
  <c r="H11" i="2"/>
  <c r="H12" i="2"/>
  <c r="G7" i="2"/>
  <c r="G8" i="2"/>
  <c r="G9" i="2"/>
  <c r="G10" i="2"/>
  <c r="G11" i="2"/>
  <c r="G12" i="2"/>
  <c r="G13" i="2"/>
  <c r="D7" i="2"/>
  <c r="D8" i="2"/>
  <c r="D9" i="2"/>
  <c r="D10" i="2"/>
  <c r="D11" i="2"/>
  <c r="D12" i="2"/>
  <c r="D13" i="2"/>
  <c r="D14" i="2"/>
  <c r="D15" i="2"/>
  <c r="B7" i="2"/>
  <c r="B8" i="2"/>
  <c r="B9" i="2"/>
  <c r="B10" i="2"/>
  <c r="B11" i="2"/>
  <c r="B12" i="2"/>
  <c r="B13" i="2"/>
  <c r="B14" i="2"/>
  <c r="B15" i="2"/>
  <c r="A8" i="1"/>
  <c r="A9" i="1"/>
  <c r="A9" i="2" s="1"/>
  <c r="A10" i="1"/>
  <c r="A10" i="2" s="1"/>
  <c r="A11" i="1"/>
  <c r="A11" i="2" s="1"/>
  <c r="A12" i="1"/>
  <c r="A12" i="2" s="1"/>
  <c r="A13" i="1"/>
  <c r="A13" i="2" s="1"/>
  <c r="A14" i="1"/>
  <c r="A14" i="2" s="1"/>
  <c r="A15" i="1"/>
  <c r="A15" i="2" s="1"/>
  <c r="A12" i="4"/>
  <c r="J12" i="1"/>
  <c r="J12" i="2" s="1"/>
  <c r="J13" i="1"/>
  <c r="J13" i="2" s="1"/>
  <c r="J14" i="1"/>
  <c r="J14" i="2" s="1"/>
  <c r="J15" i="1"/>
  <c r="J15" i="2" s="1"/>
  <c r="G50" i="4" l="1"/>
  <c r="J10" i="1"/>
  <c r="J10" i="2" s="1"/>
  <c r="J9" i="1"/>
  <c r="J9" i="2" s="1"/>
  <c r="J8" i="1"/>
  <c r="J8" i="2" s="1"/>
  <c r="J7" i="1"/>
  <c r="J7" i="2" s="1"/>
  <c r="J11" i="1" l="1"/>
  <c r="J11" i="2" s="1"/>
  <c r="K67" i="3"/>
  <c r="E3" i="1"/>
  <c r="J6" i="1" l="1"/>
  <c r="J50" i="1" s="1"/>
  <c r="K10" i="3"/>
  <c r="A53" i="4" l="1"/>
  <c r="I6" i="2"/>
  <c r="H6" i="2"/>
  <c r="G6" i="2"/>
  <c r="D6" i="2"/>
  <c r="B6" i="2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J6" i="2" l="1"/>
  <c r="G51" i="4" l="1"/>
  <c r="F30" i="3" s="1"/>
  <c r="F29" i="3"/>
  <c r="G52" i="4" l="1"/>
  <c r="F31" i="3" s="1"/>
</calcChain>
</file>

<file path=xl/sharedStrings.xml><?xml version="1.0" encoding="utf-8"?>
<sst xmlns="http://schemas.openxmlformats.org/spreadsheetml/2006/main" count="295" uniqueCount="204">
  <si>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</si>
  <si>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</si>
  <si>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</si>
  <si>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</si>
  <si>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</si>
  <si>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</si>
  <si>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</si>
  <si>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</si>
  <si>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</si>
  <si>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</si>
  <si>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</si>
  <si>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</si>
  <si>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</si>
  <si>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</si>
  <si>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</si>
  <si>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</si>
  <si>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</si>
  <si>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</si>
  <si>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</si>
  <si>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</si>
  <si>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</si>
  <si>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</si>
  <si>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</si>
  <si>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</si>
  <si>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</si>
  <si>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</si>
  <si>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</si>
  <si>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</si>
  <si>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</si>
  <si>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</si>
  <si>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</si>
  <si>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</si>
  <si>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</si>
  <si>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</si>
  <si>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</si>
  <si>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</si>
  <si>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</si>
  <si>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</si>
  <si>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</si>
  <si>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</si>
  <si>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</si>
  <si>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</si>
  <si>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</si>
  <si>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</si>
  <si>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</si>
  <si>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</si>
  <si>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</si>
  <si>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</si>
  <si>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</si>
  <si>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</si>
  <si>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</si>
  <si>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</si>
  <si>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</si>
  <si>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</si>
  <si>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</si>
  <si>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</si>
  <si>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</si>
  <si>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</si>
  <si>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</si>
  <si>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</si>
  <si>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</si>
  <si>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</si>
  <si>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</si>
  <si>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</si>
  <si>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</si>
  <si>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</si>
  <si>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</si>
  <si>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</si>
  <si>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</si>
  <si>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</si>
  <si>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</si>
  <si>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</si>
  <si>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</si>
  <si>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</si>
  <si>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</si>
  <si>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</si>
  <si>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</si>
  <si>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</si>
  <si>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</si>
  <si>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</si>
  <si>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</si>
  <si>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</si>
  <si>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</si>
  <si>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</si>
  <si>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</si>
  <si>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</si>
  <si>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</si>
  <si>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</si>
  <si>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</si>
  <si>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</si>
  <si>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</si>
  <si>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</si>
  <si>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</si>
  <si>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</si>
  <si>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</si>
  <si>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</si>
  <si>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</si>
  <si>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EA</t>
  </si>
  <si>
    <t>ATGC</t>
  </si>
  <si>
    <t>300900558400003</t>
  </si>
  <si>
    <t>P.O. Box 2746, Al-Jubail 31951</t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</si>
  <si>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</si>
  <si>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</si>
  <si>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</si>
  <si>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</si>
  <si>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One time</t>
  </si>
  <si>
    <t>Muhammed Rafi</t>
  </si>
  <si>
    <t>+966 57 5956527 / Email:info@alrmoozsa.com</t>
  </si>
  <si>
    <t>Landline : +99 13 8022775. : Mobile : +966 583694645</t>
  </si>
  <si>
    <t>Office Materials</t>
  </si>
  <si>
    <t>Senior Project Coordinator</t>
  </si>
  <si>
    <t>Branch of Hyundai Engineering and Const. Co., Ltd. (HDEC)</t>
  </si>
  <si>
    <t>ATGC(Alrmooz Technical for General Contracting Est.)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</si>
  <si>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</si>
  <si>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</si>
  <si>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</si>
  <si>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</si>
  <si>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</si>
  <si>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</si>
  <si>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</si>
  <si>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>NCBKSAJE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</si>
  <si>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</si>
  <si>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</si>
  <si>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</si>
  <si>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ALRMOOZ TECHNICAL FOR GENERAL CONTRACTING EST.</t>
  </si>
  <si>
    <t>THE NATIONAL COMMERCIAL BANK</t>
  </si>
  <si>
    <t>04161114000110</t>
  </si>
  <si>
    <t>SA61 1000 0004 1611 1400 0110</t>
  </si>
  <si>
    <t>BDL</t>
  </si>
  <si>
    <t>24"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</si>
  <si>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-MRS-0317</t>
    </r>
  </si>
  <si>
    <t>Steel Cabinet</t>
  </si>
  <si>
    <t>Dell Monitor</t>
  </si>
  <si>
    <t>PC Dell</t>
  </si>
  <si>
    <t>Manager Chair</t>
  </si>
  <si>
    <t>Safety Googles</t>
  </si>
  <si>
    <t>Flag 100*60 cm</t>
  </si>
  <si>
    <t>Chain Strap</t>
  </si>
  <si>
    <t>Stapler</t>
  </si>
  <si>
    <t>Sign Here Printed</t>
  </si>
  <si>
    <t>Red Vest</t>
  </si>
  <si>
    <t>Safety Shoes</t>
  </si>
  <si>
    <t>Magnifying Lence</t>
  </si>
  <si>
    <t>Drum Unit RI</t>
  </si>
  <si>
    <t>FR Welder Coverall</t>
  </si>
  <si>
    <t>Water Bottle</t>
  </si>
  <si>
    <t>Drum Unit</t>
  </si>
  <si>
    <t>Round Mop</t>
  </si>
  <si>
    <t>Welding Coverall</t>
  </si>
  <si>
    <t>Xerox Toner C7100</t>
  </si>
  <si>
    <t>Safety Helmet</t>
  </si>
  <si>
    <t>Safety Vest Yellow with Logo</t>
  </si>
  <si>
    <t>Office Chair</t>
  </si>
  <si>
    <t>Hard Disc</t>
  </si>
  <si>
    <t>Magnifier Clear Lense</t>
  </si>
  <si>
    <t>Wired Mouse</t>
  </si>
  <si>
    <t>Trash Bag</t>
  </si>
  <si>
    <t>Manager Table</t>
  </si>
  <si>
    <t>Time Card</t>
  </si>
  <si>
    <t>A4 Box File</t>
  </si>
  <si>
    <t>A3 Box File</t>
  </si>
  <si>
    <t>Toilet Tissue</t>
  </si>
  <si>
    <t>Garbage Bag</t>
  </si>
  <si>
    <t>Manager Table with attached Drawer</t>
  </si>
  <si>
    <t>Office Table with attached Drawer</t>
  </si>
  <si>
    <t>Drum Unit Ricoh C 6003</t>
  </si>
  <si>
    <t>Ricoh Toner MP C 6003</t>
  </si>
  <si>
    <t>4 Drawer</t>
  </si>
  <si>
    <t>I5, 14Generation 16GB RAM 512SSD</t>
  </si>
  <si>
    <t>With Neck</t>
  </si>
  <si>
    <t>Clear</t>
  </si>
  <si>
    <t>Green, Orange, Yellow, Red</t>
  </si>
  <si>
    <t>Small</t>
  </si>
  <si>
    <t>20*1</t>
  </si>
  <si>
    <t>Medium with Pocket</t>
  </si>
  <si>
    <t>ROTO, 40-20/43-50/45-30/46-10</t>
  </si>
  <si>
    <t>K7 41-50/42-50</t>
  </si>
  <si>
    <t>M-20/XXXXL-2</t>
  </si>
  <si>
    <t>60CM</t>
  </si>
  <si>
    <t>XXXXL</t>
  </si>
  <si>
    <t>Black</t>
  </si>
  <si>
    <t>Cyan</t>
  </si>
  <si>
    <t>Yellow</t>
  </si>
  <si>
    <t>3M</t>
  </si>
  <si>
    <t>L-100/M-100/XL-100</t>
  </si>
  <si>
    <t>White-30/Yellow-30</t>
  </si>
  <si>
    <t>Without Neck</t>
  </si>
  <si>
    <t>1TB, Sandisk 1000MBPS</t>
  </si>
  <si>
    <t>Deli 2.2X</t>
  </si>
  <si>
    <t>Logitech M90</t>
  </si>
  <si>
    <t>Najdeia, 10GLN 1*10</t>
  </si>
  <si>
    <t>450*70*140</t>
  </si>
  <si>
    <t>BST,100Pcs B862</t>
  </si>
  <si>
    <t>2 Inch 30*1</t>
  </si>
  <si>
    <t>PVC 10pcs/CTN</t>
  </si>
  <si>
    <t>Mouchoir</t>
  </si>
  <si>
    <t>100 Gln</t>
  </si>
  <si>
    <t>160*60*75</t>
  </si>
  <si>
    <t>120*75*70</t>
  </si>
  <si>
    <t>Cyan-2/Yellow-2/Magenta-2</t>
  </si>
  <si>
    <t>Box</t>
  </si>
  <si>
    <t>Pair</t>
  </si>
  <si>
    <t>Pkt</t>
  </si>
  <si>
    <t>QUO-MAT-260514009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</si>
</sst>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[$-409]d\-mmm\-yyyy;@"/>
    <numFmt numFmtId="170" formatCode="[$-409]d/mmm/yy;@"/>
    <numFmt numFmtId="171" formatCode="_([$SAR]\ * #,##0.00_);_([$SAR]\ * \(#,##0.00\);_([$SAR]\ * &quot;-&quot;??_);_(@_)"/>
    <numFmt numFmtId="172" formatCode="dd/mmm/yyyy"/>
    <numFmt numFmtId="173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color theme="1"/>
      <name val="Arial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77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/>
    </xf>
    <xf numFmtId="0" fontId="5" fillId="2" borderId="10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1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0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16" xfId="5" applyFont="1" applyFill="1" applyBorder="1"/>
    <xf numFmtId="0" fontId="18" fillId="3" borderId="1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9" fontId="7" fillId="0" borderId="0" xfId="6" quotePrefix="1" applyNumberFormat="1" applyFont="1" applyAlignment="1">
      <alignment horizontal="left" vertical="top"/>
    </xf>
    <xf numFmtId="172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12" xfId="6" applyFont="1" applyFill="1" applyBorder="1" applyAlignment="1">
      <alignment horizontal="center" vertical="center" wrapText="1"/>
    </xf>
    <xf numFmtId="43" fontId="12" fillId="0" borderId="12" xfId="6" quotePrefix="1" applyNumberFormat="1" applyFont="1" applyBorder="1" applyAlignment="1">
      <alignment vertical="center" wrapText="1"/>
    </xf>
    <xf numFmtId="0" fontId="7" fillId="0" borderId="26" xfId="6" applyFont="1" applyBorder="1"/>
    <xf numFmtId="171" fontId="9" fillId="0" borderId="33" xfId="6" applyNumberFormat="1" applyFont="1" applyBorder="1" applyAlignment="1">
      <alignment horizontal="center" vertical="center" wrapText="1"/>
    </xf>
    <xf numFmtId="0" fontId="7" fillId="0" borderId="34" xfId="6" applyFont="1" applyBorder="1"/>
    <xf numFmtId="0" fontId="9" fillId="0" borderId="0" xfId="6" applyFont="1" applyAlignment="1">
      <alignment vertical="center"/>
    </xf>
    <xf numFmtId="0" fontId="26" fillId="0" borderId="35" xfId="6" applyFont="1" applyBorder="1" applyAlignment="1">
      <alignment vertical="center"/>
    </xf>
    <xf numFmtId="0" fontId="26" fillId="0" borderId="3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0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27" xfId="6" quotePrefix="1" applyFont="1" applyBorder="1" applyAlignment="1">
      <alignment horizontal="center" vertical="center"/>
    </xf>
    <xf numFmtId="0" fontId="5" fillId="2" borderId="30" xfId="7" applyFont="1" applyFill="1" applyBorder="1" applyAlignment="1">
      <alignment horizontal="center" vertical="center" wrapText="1"/>
    </xf>
    <xf numFmtId="0" fontId="5" fillId="2" borderId="30" xfId="8" applyFont="1" applyFill="1" applyBorder="1" applyAlignment="1">
      <alignment horizontal="center" vertical="center"/>
    </xf>
    <xf numFmtId="43" fontId="5" fillId="0" borderId="30" xfId="9" quotePrefix="1" applyFont="1" applyFill="1" applyBorder="1" applyAlignment="1">
      <alignment vertical="center"/>
    </xf>
    <xf numFmtId="43" fontId="5" fillId="0" borderId="30" xfId="6" applyNumberFormat="1" applyFont="1" applyBorder="1" applyAlignment="1">
      <alignment vertical="center"/>
    </xf>
    <xf numFmtId="0" fontId="2" fillId="0" borderId="3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25" xfId="6" quotePrefix="1" applyFont="1" applyBorder="1" applyAlignment="1">
      <alignment horizontal="center" vertical="center"/>
    </xf>
    <xf numFmtId="0" fontId="2" fillId="0" borderId="2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12" xfId="0" applyFont="1" applyBorder="1" applyAlignment="1">
      <alignment horizontal="center" vertical="center"/>
    </xf>
    <xf numFmtId="173" fontId="42" fillId="0" borderId="12" xfId="10" applyNumberFormat="1" applyFont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1" fontId="18" fillId="3" borderId="0" xfId="5" applyNumberFormat="1" applyFont="1" applyFill="1"/>
    <xf numFmtId="169" fontId="9" fillId="0" borderId="0" xfId="3" applyNumberFormat="1" applyFont="1" applyAlignment="1">
      <alignment horizontal="right"/>
    </xf>
    <xf numFmtId="0" fontId="2" fillId="2" borderId="0" xfId="1" applyFill="1" applyAlignment="1">
      <alignment vertical="center"/>
    </xf>
    <xf numFmtId="0" fontId="2" fillId="2" borderId="12" xfId="4" applyNumberFormat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167" fontId="2" fillId="0" borderId="12" xfId="0" applyNumberFormat="1" applyFont="1" applyBorder="1" applyAlignment="1">
      <alignment horizontal="center" vertical="center"/>
    </xf>
    <xf numFmtId="168" fontId="2" fillId="0" borderId="12" xfId="0" applyNumberFormat="1" applyFont="1" applyBorder="1" applyAlignment="1">
      <alignment horizontal="right" vertical="center" wrapText="1"/>
    </xf>
    <xf numFmtId="168" fontId="2" fillId="0" borderId="12" xfId="0" applyNumberFormat="1" applyFont="1" applyBorder="1" applyAlignment="1">
      <alignment horizontal="center" vertical="center" wrapText="1"/>
    </xf>
    <xf numFmtId="0" fontId="2" fillId="0" borderId="12" xfId="0" quotePrefix="1" applyFont="1" applyBorder="1" applyAlignment="1">
      <alignment vertical="center" wrapText="1"/>
    </xf>
    <xf numFmtId="0" fontId="2" fillId="2" borderId="12" xfId="1" applyFill="1" applyBorder="1" applyAlignment="1">
      <alignment horizontal="center" vertical="center" wrapText="1"/>
    </xf>
    <xf numFmtId="0" fontId="2" fillId="2" borderId="12" xfId="1" applyFill="1" applyBorder="1" applyAlignment="1">
      <alignment horizontal="center" vertical="center"/>
    </xf>
    <xf numFmtId="0" fontId="7" fillId="2" borderId="13" xfId="1" quotePrefix="1" applyFont="1" applyFill="1" applyBorder="1" applyAlignment="1">
      <alignment vertical="center"/>
    </xf>
    <xf numFmtId="0" fontId="2" fillId="2" borderId="15" xfId="1" applyFill="1" applyBorder="1" applyAlignment="1">
      <alignment vertical="center"/>
    </xf>
    <xf numFmtId="0" fontId="2" fillId="2" borderId="15" xfId="1" applyFill="1" applyBorder="1" applyAlignment="1">
      <alignment vertical="center" wrapText="1"/>
    </xf>
    <xf numFmtId="0" fontId="2" fillId="2" borderId="14" xfId="1" applyFill="1" applyBorder="1" applyAlignment="1">
      <alignment vertical="center" wrapText="1"/>
    </xf>
    <xf numFmtId="0" fontId="53" fillId="3" borderId="0" xfId="5" applyFont="1" applyFill="1"/>
    <xf numFmtId="0" fontId="18" fillId="3" borderId="0" xfId="5" quotePrefix="1" applyFont="1" applyFill="1"/>
    <xf numFmtId="0" fontId="26" fillId="3" borderId="0" xfId="5" quotePrefix="1" applyFont="1" applyFill="1" applyAlignment="1">
      <alignment horizontal="left"/>
    </xf>
    <xf numFmtId="171" fontId="55" fillId="3" borderId="0" xfId="5" applyNumberFormat="1" applyFont="1" applyFill="1"/>
    <xf numFmtId="0" fontId="56" fillId="0" borderId="13" xfId="0" applyFont="1" applyBorder="1" applyAlignment="1">
      <alignment horizontal="left" vertical="center" wrapText="1"/>
    </xf>
    <xf numFmtId="0" fontId="56" fillId="0" borderId="14" xfId="0" applyFont="1" applyBorder="1" applyAlignment="1">
      <alignment horizontal="left" vertical="center" wrapText="1"/>
    </xf>
    <xf numFmtId="0" fontId="5" fillId="2" borderId="9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6" fillId="0" borderId="13" xfId="0" applyFont="1" applyBorder="1" applyAlignment="1">
      <alignment horizontal="center" vertical="center" wrapText="1"/>
    </xf>
    <xf numFmtId="0" fontId="56" fillId="0" borderId="15" xfId="0" applyFont="1" applyBorder="1" applyAlignment="1">
      <alignment horizontal="center" vertical="center" wrapText="1"/>
    </xf>
    <xf numFmtId="0" fontId="56" fillId="0" borderId="14" xfId="0" applyFont="1" applyBorder="1" applyAlignment="1">
      <alignment horizontal="center" vertical="center" wrapText="1"/>
    </xf>
    <xf numFmtId="0" fontId="2" fillId="2" borderId="12" xfId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42" fillId="0" borderId="13" xfId="0" applyFont="1" applyBorder="1" applyAlignment="1">
      <alignment horizontal="left" vertical="center" wrapText="1"/>
    </xf>
    <xf numFmtId="0" fontId="42" fillId="0" borderId="14" xfId="0" applyFont="1" applyBorder="1" applyAlignment="1">
      <alignment horizontal="left" vertical="center" wrapText="1"/>
    </xf>
    <xf numFmtId="0" fontId="42" fillId="3" borderId="13" xfId="0" applyFont="1" applyFill="1" applyBorder="1" applyAlignment="1">
      <alignment horizontal="center" vertical="center" wrapText="1"/>
    </xf>
    <xf numFmtId="0" fontId="42" fillId="3" borderId="15" xfId="0" applyFont="1" applyFill="1" applyBorder="1" applyAlignment="1">
      <alignment horizontal="center" vertical="center" wrapText="1"/>
    </xf>
    <xf numFmtId="0" fontId="42" fillId="3" borderId="14" xfId="0" applyFont="1" applyFill="1" applyBorder="1" applyAlignment="1">
      <alignment horizontal="center" vertical="center" wrapText="1"/>
    </xf>
    <xf numFmtId="0" fontId="15" fillId="2" borderId="12" xfId="1" applyFont="1" applyFill="1" applyBorder="1" applyAlignment="1">
      <alignment horizontal="center" vertical="center" wrapText="1"/>
    </xf>
    <xf numFmtId="0" fontId="15" fillId="2" borderId="1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9" fontId="32" fillId="3" borderId="0" xfId="5" quotePrefix="1" applyNumberFormat="1" applyFont="1" applyFill="1" applyAlignment="1">
      <alignment horizontal="left" vertical="center"/>
    </xf>
    <xf numFmtId="169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1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4" fillId="3" borderId="0" xfId="5" applyFont="1" applyFill="1" applyAlignment="1">
      <alignment horizontal="left" wrapText="1"/>
    </xf>
    <xf numFmtId="0" fontId="12" fillId="0" borderId="25" xfId="6" quotePrefix="1" applyFont="1" applyBorder="1" applyAlignment="1">
      <alignment horizontal="right" vertical="center"/>
    </xf>
    <xf numFmtId="0" fontId="12" fillId="0" borderId="12" xfId="6" quotePrefix="1" applyFont="1" applyBorder="1" applyAlignment="1">
      <alignment horizontal="right" vertical="center"/>
    </xf>
    <xf numFmtId="0" fontId="9" fillId="0" borderId="32" xfId="6" quotePrefix="1" applyFont="1" applyBorder="1" applyAlignment="1">
      <alignment horizontal="right" vertical="center"/>
    </xf>
    <xf numFmtId="0" fontId="9" fillId="0" borderId="33" xfId="6" quotePrefix="1" applyFont="1" applyBorder="1" applyAlignment="1">
      <alignment horizontal="right" vertical="center"/>
    </xf>
    <xf numFmtId="0" fontId="42" fillId="3" borderId="28" xfId="5" applyFont="1" applyFill="1" applyBorder="1" applyAlignment="1">
      <alignment horizontal="left" vertical="center" wrapText="1"/>
    </xf>
    <xf numFmtId="0" fontId="42" fillId="3" borderId="2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17" xfId="6" applyFont="1" applyBorder="1" applyAlignment="1">
      <alignment horizontal="right" vertical="center"/>
    </xf>
    <xf numFmtId="0" fontId="7" fillId="4" borderId="18" xfId="6" applyFont="1" applyFill="1" applyBorder="1" applyAlignment="1">
      <alignment horizontal="center" vertical="center" wrapText="1"/>
    </xf>
    <xf numFmtId="0" fontId="7" fillId="4" borderId="25" xfId="6" applyFont="1" applyFill="1" applyBorder="1" applyAlignment="1">
      <alignment horizontal="center" vertical="center" wrapText="1"/>
    </xf>
    <xf numFmtId="0" fontId="7" fillId="4" borderId="19" xfId="6" applyFont="1" applyFill="1" applyBorder="1" applyAlignment="1">
      <alignment horizontal="center" vertical="center" wrapText="1"/>
    </xf>
    <xf numFmtId="0" fontId="7" fillId="4" borderId="2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21" xfId="6" applyFont="1" applyFill="1" applyBorder="1" applyAlignment="1">
      <alignment horizontal="center" vertical="center" wrapText="1"/>
    </xf>
    <xf numFmtId="0" fontId="7" fillId="4" borderId="12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23" xfId="6" applyFont="1" applyFill="1" applyBorder="1" applyAlignment="1">
      <alignment horizontal="center" vertical="center" wrapText="1"/>
    </xf>
    <xf numFmtId="0" fontId="7" fillId="4" borderId="24" xfId="6" applyFont="1" applyFill="1" applyBorder="1" applyAlignment="1">
      <alignment horizontal="center" vertical="center" wrapText="1"/>
    </xf>
    <xf numFmtId="0" fontId="7" fillId="4" borderId="2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51</xdr:row>
          <xdr:rowOff>0</xdr:rowOff>
        </xdr:from>
        <xdr:to>
          <xdr:col>12</xdr:col>
          <xdr:colOff>502</xdr:colOff>
          <xdr:row>58</xdr:row>
          <xdr:rowOff>2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52:$V$58" spid="_x0000_s128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16579" y="5855368"/>
              <a:ext cx="3790449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17</xdr:row>
      <xdr:rowOff>822627</xdr:rowOff>
    </xdr:from>
    <xdr:to>
      <xdr:col>15</xdr:col>
      <xdr:colOff>543942</xdr:colOff>
      <xdr:row>18</xdr:row>
      <xdr:rowOff>102126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17</xdr:row>
      <xdr:rowOff>822627</xdr:rowOff>
    </xdr:from>
    <xdr:to>
      <xdr:col>15</xdr:col>
      <xdr:colOff>543942</xdr:colOff>
      <xdr:row>18</xdr:row>
      <xdr:rowOff>102126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9</xdr:row>
      <xdr:rowOff>136356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86"/>
  <sheetViews>
    <sheetView showGridLines="0" tabSelected="1" view="pageBreakPreview" zoomScale="95" zoomScaleNormal="95" zoomScaleSheetLayoutView="95" workbookViewId="0">
      <selection activeCell="K6" sqref="K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6" width="13.5703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00" t="s">
        <v>103</v>
      </c>
      <c r="B1" s="98"/>
      <c r="C1" s="98"/>
      <c r="D1" s="98"/>
      <c r="E1" s="98"/>
      <c r="F1" s="98"/>
      <c r="G1" s="1"/>
      <c r="J1" s="132" t="s">
        <v>90</v>
      </c>
      <c r="K1" s="133"/>
      <c r="L1" s="134"/>
    </row>
    <row r="2" spans="1:19" ht="20.100000000000001" customHeight="1">
      <c r="A2" s="3" t="s">
        <v>1</v>
      </c>
      <c r="B2" s="92"/>
      <c r="C2" s="92"/>
      <c r="D2" s="3" t="s">
        <v>102</v>
      </c>
      <c r="E2" s="92"/>
      <c r="F2" s="92"/>
      <c r="G2" s="92"/>
      <c r="H2" s="92"/>
      <c r="I2" s="4"/>
      <c r="J2" s="135" t="s">
        <v>101</v>
      </c>
      <c r="K2" s="136"/>
      <c r="L2" s="137"/>
    </row>
    <row r="3" spans="1:19" ht="20.100000000000001" customHeight="1">
      <c r="A3" s="3" t="s">
        <v>130</v>
      </c>
      <c r="B3" s="92"/>
      <c r="C3" s="92"/>
      <c r="D3" s="92"/>
      <c r="E3" s="138">
        <f>+L3</f>
        <v>46158</v>
      </c>
      <c r="F3" s="138"/>
      <c r="G3" s="138"/>
      <c r="H3" s="138"/>
      <c r="I3" s="138"/>
      <c r="J3" s="92"/>
      <c r="K3" s="92"/>
      <c r="L3" s="102">
        <v>46158</v>
      </c>
      <c r="M3" s="4"/>
    </row>
    <row r="4" spans="1:19" ht="21.75" customHeight="1">
      <c r="A4" s="139" t="s">
        <v>2</v>
      </c>
      <c r="B4" s="140" t="s">
        <v>3</v>
      </c>
      <c r="C4" s="140"/>
      <c r="D4" s="139" t="s">
        <v>4</v>
      </c>
      <c r="E4" s="139"/>
      <c r="F4" s="139"/>
      <c r="G4" s="140" t="s">
        <v>5</v>
      </c>
      <c r="H4" s="139" t="s">
        <v>6</v>
      </c>
      <c r="I4" s="139" t="s">
        <v>94</v>
      </c>
      <c r="J4" s="139" t="s">
        <v>95</v>
      </c>
      <c r="K4" s="139" t="s">
        <v>0</v>
      </c>
      <c r="L4" s="140" t="s">
        <v>7</v>
      </c>
    </row>
    <row r="5" spans="1:19" ht="21.75" customHeight="1">
      <c r="A5" s="139"/>
      <c r="B5" s="140"/>
      <c r="C5" s="140"/>
      <c r="D5" s="139"/>
      <c r="E5" s="139"/>
      <c r="F5" s="139"/>
      <c r="G5" s="140"/>
      <c r="H5" s="139"/>
      <c r="I5" s="139"/>
      <c r="J5" s="139"/>
      <c r="K5" s="139"/>
      <c r="L5" s="140"/>
    </row>
    <row r="6" spans="1:19" ht="19.5" customHeight="1">
      <c r="A6" s="104">
        <f t="shared" ref="A6:A49" si="0">ROW(A1)</f>
        <v>1</v>
      </c>
      <c r="B6" s="120" t="s">
        <v>131</v>
      </c>
      <c r="C6" s="121"/>
      <c r="D6" s="128" t="s">
        <v>167</v>
      </c>
      <c r="E6" s="129"/>
      <c r="F6" s="130"/>
      <c r="G6" s="105" t="s">
        <v>97</v>
      </c>
      <c r="H6" s="106">
        <v>1</v>
      </c>
      <c r="I6" s="107">
        <v>520</v>
      </c>
      <c r="J6" s="107">
        <f>H6*I6</f>
        <v>520</v>
      </c>
      <c r="K6" s="108" t="s">
        <v>98</v>
      </c>
      <c r="L6" s="109" t="s">
        <v>105</v>
      </c>
      <c r="S6" s="97"/>
    </row>
    <row r="7" spans="1:19" ht="19.5" customHeight="1">
      <c r="A7" s="104">
        <f t="shared" si="0"/>
        <v>2</v>
      </c>
      <c r="B7" s="120" t="s">
        <v>132</v>
      </c>
      <c r="C7" s="121"/>
      <c r="D7" s="128" t="s">
        <v>129</v>
      </c>
      <c r="E7" s="129"/>
      <c r="F7" s="130"/>
      <c r="G7" s="105" t="s">
        <v>97</v>
      </c>
      <c r="H7" s="106">
        <v>2</v>
      </c>
      <c r="I7" s="107">
        <v>370</v>
      </c>
      <c r="J7" s="107">
        <f t="shared" ref="J7:J10" si="1">H7*I7</f>
        <v>740</v>
      </c>
      <c r="K7" s="108"/>
      <c r="L7" s="109"/>
      <c r="S7" s="97"/>
    </row>
    <row r="8" spans="1:19" ht="19.5" customHeight="1">
      <c r="A8" s="104">
        <f t="shared" si="0"/>
        <v>3</v>
      </c>
      <c r="B8" s="120" t="s">
        <v>133</v>
      </c>
      <c r="C8" s="121"/>
      <c r="D8" s="128" t="s">
        <v>168</v>
      </c>
      <c r="E8" s="129"/>
      <c r="F8" s="130"/>
      <c r="G8" s="105" t="s">
        <v>97</v>
      </c>
      <c r="H8" s="106">
        <v>1</v>
      </c>
      <c r="I8" s="107">
        <v>2218</v>
      </c>
      <c r="J8" s="107">
        <f t="shared" si="1"/>
        <v>2218</v>
      </c>
      <c r="K8" s="108"/>
      <c r="L8" s="109"/>
      <c r="S8" s="97"/>
    </row>
    <row r="9" spans="1:19" ht="19.5" customHeight="1">
      <c r="A9" s="104">
        <f t="shared" si="0"/>
        <v>4</v>
      </c>
      <c r="B9" s="120" t="s">
        <v>134</v>
      </c>
      <c r="C9" s="121"/>
      <c r="D9" s="128" t="s">
        <v>169</v>
      </c>
      <c r="E9" s="129"/>
      <c r="F9" s="130"/>
      <c r="G9" s="105" t="s">
        <v>97</v>
      </c>
      <c r="H9" s="106">
        <v>3</v>
      </c>
      <c r="I9" s="107">
        <v>190</v>
      </c>
      <c r="J9" s="107">
        <f t="shared" si="1"/>
        <v>570</v>
      </c>
      <c r="K9" s="108"/>
      <c r="L9" s="109"/>
      <c r="S9" s="97"/>
    </row>
    <row r="10" spans="1:19" ht="19.5" customHeight="1">
      <c r="A10" s="104">
        <f t="shared" si="0"/>
        <v>5</v>
      </c>
      <c r="B10" s="120" t="s">
        <v>135</v>
      </c>
      <c r="C10" s="121"/>
      <c r="D10" s="128" t="s">
        <v>170</v>
      </c>
      <c r="E10" s="129"/>
      <c r="F10" s="130"/>
      <c r="G10" s="105" t="s">
        <v>97</v>
      </c>
      <c r="H10" s="106">
        <v>500</v>
      </c>
      <c r="I10" s="107">
        <v>3</v>
      </c>
      <c r="J10" s="107">
        <f t="shared" si="1"/>
        <v>1500</v>
      </c>
      <c r="K10" s="108"/>
      <c r="L10" s="105"/>
      <c r="S10" s="97"/>
    </row>
    <row r="11" spans="1:19" ht="19.5" customHeight="1">
      <c r="A11" s="104">
        <f t="shared" si="0"/>
        <v>6</v>
      </c>
      <c r="B11" s="120" t="s">
        <v>136</v>
      </c>
      <c r="C11" s="121"/>
      <c r="D11" s="128" t="s">
        <v>171</v>
      </c>
      <c r="E11" s="129"/>
      <c r="F11" s="130"/>
      <c r="G11" s="105" t="s">
        <v>97</v>
      </c>
      <c r="H11" s="106">
        <v>80</v>
      </c>
      <c r="I11" s="107">
        <v>12.2</v>
      </c>
      <c r="J11" s="107">
        <f t="shared" ref="J11:J49" si="2">H11*I11</f>
        <v>976</v>
      </c>
      <c r="K11" s="108"/>
      <c r="L11" s="109"/>
      <c r="S11" s="97"/>
    </row>
    <row r="12" spans="1:19" ht="19.5" customHeight="1">
      <c r="A12" s="104">
        <f t="shared" si="0"/>
        <v>7</v>
      </c>
      <c r="B12" s="120" t="s">
        <v>137</v>
      </c>
      <c r="C12" s="121"/>
      <c r="D12" s="128"/>
      <c r="E12" s="129"/>
      <c r="F12" s="130"/>
      <c r="G12" s="105" t="s">
        <v>97</v>
      </c>
      <c r="H12" s="106">
        <v>100</v>
      </c>
      <c r="I12" s="107">
        <v>1.3</v>
      </c>
      <c r="J12" s="107">
        <f t="shared" si="2"/>
        <v>130</v>
      </c>
      <c r="K12" s="108"/>
      <c r="L12" s="109"/>
      <c r="S12" s="97"/>
    </row>
    <row r="13" spans="1:19" ht="19.5" customHeight="1">
      <c r="A13" s="104">
        <f t="shared" si="0"/>
        <v>8</v>
      </c>
      <c r="B13" s="120" t="s">
        <v>138</v>
      </c>
      <c r="C13" s="121"/>
      <c r="D13" s="128" t="s">
        <v>172</v>
      </c>
      <c r="E13" s="129"/>
      <c r="F13" s="130"/>
      <c r="G13" s="105" t="s">
        <v>97</v>
      </c>
      <c r="H13" s="106">
        <v>2</v>
      </c>
      <c r="I13" s="107">
        <v>46</v>
      </c>
      <c r="J13" s="107">
        <f t="shared" si="2"/>
        <v>92</v>
      </c>
      <c r="K13" s="108"/>
      <c r="L13" s="109"/>
      <c r="S13" s="97"/>
    </row>
    <row r="14" spans="1:19" ht="19.5" customHeight="1">
      <c r="A14" s="104">
        <f t="shared" si="0"/>
        <v>9</v>
      </c>
      <c r="B14" s="120" t="s">
        <v>131</v>
      </c>
      <c r="C14" s="121"/>
      <c r="D14" s="128" t="s">
        <v>167</v>
      </c>
      <c r="E14" s="129"/>
      <c r="F14" s="130"/>
      <c r="G14" s="105" t="s">
        <v>97</v>
      </c>
      <c r="H14" s="106">
        <v>1</v>
      </c>
      <c r="I14" s="107">
        <v>520</v>
      </c>
      <c r="J14" s="107">
        <f t="shared" si="2"/>
        <v>520</v>
      </c>
      <c r="K14" s="108"/>
      <c r="L14" s="109"/>
      <c r="S14" s="97"/>
    </row>
    <row r="15" spans="1:19" ht="19.5" customHeight="1">
      <c r="A15" s="104">
        <f t="shared" si="0"/>
        <v>10</v>
      </c>
      <c r="B15" s="120" t="s">
        <v>139</v>
      </c>
      <c r="C15" s="121"/>
      <c r="D15" s="128" t="s">
        <v>173</v>
      </c>
      <c r="E15" s="129"/>
      <c r="F15" s="130"/>
      <c r="G15" s="105" t="s">
        <v>200</v>
      </c>
      <c r="H15" s="106">
        <v>2</v>
      </c>
      <c r="I15" s="107">
        <v>72</v>
      </c>
      <c r="J15" s="107">
        <f t="shared" si="2"/>
        <v>144</v>
      </c>
      <c r="K15" s="108"/>
      <c r="L15" s="105"/>
      <c r="S15" s="97"/>
    </row>
    <row r="16" spans="1:19" ht="19.5" customHeight="1">
      <c r="A16" s="104">
        <f t="shared" si="0"/>
        <v>11</v>
      </c>
      <c r="B16" s="120" t="s">
        <v>140</v>
      </c>
      <c r="C16" s="121"/>
      <c r="D16" s="128" t="s">
        <v>174</v>
      </c>
      <c r="E16" s="129"/>
      <c r="F16" s="130"/>
      <c r="G16" s="105" t="s">
        <v>97</v>
      </c>
      <c r="H16" s="106">
        <v>50</v>
      </c>
      <c r="I16" s="107">
        <v>11</v>
      </c>
      <c r="J16" s="107">
        <f t="shared" si="2"/>
        <v>550</v>
      </c>
      <c r="K16" s="108"/>
      <c r="L16" s="105"/>
      <c r="S16" s="97"/>
    </row>
    <row r="17" spans="1:19" ht="19.5" customHeight="1">
      <c r="A17" s="104">
        <f t="shared" si="0"/>
        <v>12</v>
      </c>
      <c r="B17" s="120" t="s">
        <v>141</v>
      </c>
      <c r="C17" s="121"/>
      <c r="D17" s="128" t="s">
        <v>175</v>
      </c>
      <c r="E17" s="129"/>
      <c r="F17" s="130"/>
      <c r="G17" s="105" t="s">
        <v>201</v>
      </c>
      <c r="H17" s="106">
        <v>90</v>
      </c>
      <c r="I17" s="107">
        <v>63.5</v>
      </c>
      <c r="J17" s="107">
        <f t="shared" si="2"/>
        <v>5715</v>
      </c>
      <c r="K17" s="108"/>
      <c r="L17" s="105"/>
      <c r="S17" s="97"/>
    </row>
    <row r="18" spans="1:19" ht="19.5" customHeight="1">
      <c r="A18" s="104">
        <f t="shared" si="0"/>
        <v>13</v>
      </c>
      <c r="B18" s="120" t="s">
        <v>142</v>
      </c>
      <c r="C18" s="121"/>
      <c r="D18" s="128"/>
      <c r="E18" s="129"/>
      <c r="F18" s="130"/>
      <c r="G18" s="105" t="s">
        <v>97</v>
      </c>
      <c r="H18" s="106">
        <v>2</v>
      </c>
      <c r="I18" s="107">
        <v>9.5</v>
      </c>
      <c r="J18" s="107">
        <f t="shared" si="2"/>
        <v>19</v>
      </c>
      <c r="K18" s="108"/>
      <c r="L18" s="105"/>
      <c r="S18" s="97"/>
    </row>
    <row r="19" spans="1:19" ht="19.5" customHeight="1">
      <c r="A19" s="104">
        <f t="shared" si="0"/>
        <v>14</v>
      </c>
      <c r="B19" s="120" t="s">
        <v>141</v>
      </c>
      <c r="C19" s="121"/>
      <c r="D19" s="128" t="s">
        <v>176</v>
      </c>
      <c r="E19" s="129"/>
      <c r="F19" s="130"/>
      <c r="G19" s="105" t="s">
        <v>201</v>
      </c>
      <c r="H19" s="106">
        <v>100</v>
      </c>
      <c r="I19" s="107">
        <v>63.5</v>
      </c>
      <c r="J19" s="107">
        <f t="shared" si="2"/>
        <v>6350</v>
      </c>
      <c r="K19" s="108"/>
      <c r="L19" s="105"/>
      <c r="S19" s="97"/>
    </row>
    <row r="20" spans="1:19" ht="19.5" customHeight="1">
      <c r="A20" s="104">
        <f t="shared" si="0"/>
        <v>15</v>
      </c>
      <c r="B20" s="120" t="s">
        <v>143</v>
      </c>
      <c r="C20" s="121"/>
      <c r="D20" s="128"/>
      <c r="E20" s="129"/>
      <c r="F20" s="130"/>
      <c r="G20" s="105" t="s">
        <v>97</v>
      </c>
      <c r="H20" s="106">
        <v>1</v>
      </c>
      <c r="I20" s="107">
        <v>1100</v>
      </c>
      <c r="J20" s="107">
        <f t="shared" si="2"/>
        <v>1100</v>
      </c>
      <c r="K20" s="108"/>
      <c r="L20" s="105"/>
      <c r="S20" s="97"/>
    </row>
    <row r="21" spans="1:19" ht="19.5" customHeight="1">
      <c r="A21" s="104">
        <f t="shared" si="0"/>
        <v>16</v>
      </c>
      <c r="B21" s="120" t="s">
        <v>144</v>
      </c>
      <c r="C21" s="121"/>
      <c r="D21" s="128" t="s">
        <v>177</v>
      </c>
      <c r="E21" s="129"/>
      <c r="F21" s="130"/>
      <c r="G21" s="105" t="s">
        <v>97</v>
      </c>
      <c r="H21" s="106">
        <v>22</v>
      </c>
      <c r="I21" s="107">
        <v>77</v>
      </c>
      <c r="J21" s="107">
        <f t="shared" si="2"/>
        <v>1694</v>
      </c>
      <c r="K21" s="108"/>
      <c r="L21" s="105"/>
      <c r="S21" s="97"/>
    </row>
    <row r="22" spans="1:19" ht="19.5" customHeight="1">
      <c r="A22" s="104">
        <f t="shared" si="0"/>
        <v>17</v>
      </c>
      <c r="B22" s="120" t="s">
        <v>145</v>
      </c>
      <c r="C22" s="121"/>
      <c r="D22" s="128"/>
      <c r="E22" s="129"/>
      <c r="F22" s="130"/>
      <c r="G22" s="105" t="s">
        <v>97</v>
      </c>
      <c r="H22" s="106">
        <v>300</v>
      </c>
      <c r="I22" s="107">
        <v>10</v>
      </c>
      <c r="J22" s="107">
        <f t="shared" si="2"/>
        <v>3000</v>
      </c>
      <c r="K22" s="108"/>
      <c r="L22" s="105"/>
      <c r="S22" s="97"/>
    </row>
    <row r="23" spans="1:19" ht="19.5" customHeight="1">
      <c r="A23" s="104">
        <f t="shared" si="0"/>
        <v>18</v>
      </c>
      <c r="B23" s="120" t="s">
        <v>146</v>
      </c>
      <c r="C23" s="121"/>
      <c r="D23" s="128"/>
      <c r="E23" s="129"/>
      <c r="F23" s="130"/>
      <c r="G23" s="105" t="s">
        <v>97</v>
      </c>
      <c r="H23" s="106">
        <v>1</v>
      </c>
      <c r="I23" s="107">
        <v>1100</v>
      </c>
      <c r="J23" s="107">
        <f t="shared" si="2"/>
        <v>1100</v>
      </c>
      <c r="K23" s="108"/>
      <c r="L23" s="105"/>
      <c r="S23" s="97"/>
    </row>
    <row r="24" spans="1:19" ht="19.5" customHeight="1">
      <c r="A24" s="104">
        <f t="shared" si="0"/>
        <v>19</v>
      </c>
      <c r="B24" s="120" t="s">
        <v>147</v>
      </c>
      <c r="C24" s="121"/>
      <c r="D24" s="128" t="s">
        <v>178</v>
      </c>
      <c r="E24" s="129"/>
      <c r="F24" s="130"/>
      <c r="G24" s="105" t="s">
        <v>97</v>
      </c>
      <c r="H24" s="106">
        <v>3</v>
      </c>
      <c r="I24" s="107">
        <v>13.42</v>
      </c>
      <c r="J24" s="107">
        <f t="shared" si="2"/>
        <v>40.26</v>
      </c>
      <c r="K24" s="108"/>
      <c r="L24" s="105"/>
      <c r="S24" s="97"/>
    </row>
    <row r="25" spans="1:19" ht="19.5" customHeight="1">
      <c r="A25" s="104">
        <f t="shared" si="0"/>
        <v>20</v>
      </c>
      <c r="B25" s="120" t="s">
        <v>148</v>
      </c>
      <c r="C25" s="121"/>
      <c r="D25" s="128" t="s">
        <v>179</v>
      </c>
      <c r="E25" s="129"/>
      <c r="F25" s="130"/>
      <c r="G25" s="105" t="s">
        <v>97</v>
      </c>
      <c r="H25" s="106">
        <v>5</v>
      </c>
      <c r="I25" s="107">
        <v>77</v>
      </c>
      <c r="J25" s="107">
        <f t="shared" si="2"/>
        <v>385</v>
      </c>
      <c r="K25" s="108"/>
      <c r="L25" s="105"/>
      <c r="S25" s="97"/>
    </row>
    <row r="26" spans="1:19" ht="19.5" customHeight="1">
      <c r="A26" s="104">
        <f t="shared" si="0"/>
        <v>21</v>
      </c>
      <c r="B26" s="120" t="s">
        <v>149</v>
      </c>
      <c r="C26" s="121"/>
      <c r="D26" s="128" t="s">
        <v>180</v>
      </c>
      <c r="E26" s="129"/>
      <c r="F26" s="130"/>
      <c r="G26" s="105" t="s">
        <v>97</v>
      </c>
      <c r="H26" s="106">
        <v>2</v>
      </c>
      <c r="I26" s="107">
        <v>350</v>
      </c>
      <c r="J26" s="107">
        <f t="shared" si="2"/>
        <v>700</v>
      </c>
      <c r="K26" s="108"/>
      <c r="L26" s="105"/>
      <c r="S26" s="97"/>
    </row>
    <row r="27" spans="1:19" ht="19.5" customHeight="1">
      <c r="A27" s="104">
        <f t="shared" si="0"/>
        <v>22</v>
      </c>
      <c r="B27" s="120" t="s">
        <v>149</v>
      </c>
      <c r="C27" s="121"/>
      <c r="D27" s="128" t="s">
        <v>181</v>
      </c>
      <c r="E27" s="129"/>
      <c r="F27" s="130"/>
      <c r="G27" s="105" t="s">
        <v>97</v>
      </c>
      <c r="H27" s="106">
        <v>1</v>
      </c>
      <c r="I27" s="107">
        <v>450</v>
      </c>
      <c r="J27" s="107">
        <f t="shared" si="2"/>
        <v>450</v>
      </c>
      <c r="K27" s="108"/>
      <c r="L27" s="105"/>
      <c r="S27" s="97"/>
    </row>
    <row r="28" spans="1:19" ht="19.5" customHeight="1">
      <c r="A28" s="104">
        <f t="shared" si="0"/>
        <v>23</v>
      </c>
      <c r="B28" s="120" t="s">
        <v>150</v>
      </c>
      <c r="C28" s="121"/>
      <c r="D28" s="128" t="s">
        <v>182</v>
      </c>
      <c r="E28" s="129"/>
      <c r="F28" s="130"/>
      <c r="G28" s="105" t="s">
        <v>97</v>
      </c>
      <c r="H28" s="106">
        <v>20</v>
      </c>
      <c r="I28" s="107">
        <v>12</v>
      </c>
      <c r="J28" s="107">
        <f t="shared" si="2"/>
        <v>240</v>
      </c>
      <c r="K28" s="108"/>
      <c r="L28" s="105"/>
      <c r="S28" s="97"/>
    </row>
    <row r="29" spans="1:19" ht="19.5" customHeight="1">
      <c r="A29" s="104">
        <f t="shared" si="0"/>
        <v>24</v>
      </c>
      <c r="B29" s="120" t="s">
        <v>150</v>
      </c>
      <c r="C29" s="121"/>
      <c r="D29" s="128" t="s">
        <v>183</v>
      </c>
      <c r="E29" s="129"/>
      <c r="F29" s="130"/>
      <c r="G29" s="105" t="s">
        <v>97</v>
      </c>
      <c r="H29" s="106">
        <v>20</v>
      </c>
      <c r="I29" s="107">
        <v>45</v>
      </c>
      <c r="J29" s="107">
        <f t="shared" si="2"/>
        <v>900</v>
      </c>
      <c r="K29" s="108"/>
      <c r="L29" s="105"/>
      <c r="S29" s="97"/>
    </row>
    <row r="30" spans="1:19" ht="19.5" customHeight="1">
      <c r="A30" s="104">
        <f t="shared" si="0"/>
        <v>25</v>
      </c>
      <c r="B30" s="120" t="s">
        <v>151</v>
      </c>
      <c r="C30" s="121"/>
      <c r="D30" s="128" t="s">
        <v>184</v>
      </c>
      <c r="E30" s="129"/>
      <c r="F30" s="130"/>
      <c r="G30" s="105" t="s">
        <v>97</v>
      </c>
      <c r="H30" s="106">
        <v>300</v>
      </c>
      <c r="I30" s="107">
        <v>17</v>
      </c>
      <c r="J30" s="107">
        <f t="shared" si="2"/>
        <v>5100</v>
      </c>
      <c r="K30" s="108"/>
      <c r="L30" s="105"/>
      <c r="S30" s="97"/>
    </row>
    <row r="31" spans="1:19" ht="19.5" customHeight="1">
      <c r="A31" s="104">
        <f t="shared" si="0"/>
        <v>26</v>
      </c>
      <c r="B31" s="120" t="s">
        <v>150</v>
      </c>
      <c r="C31" s="121"/>
      <c r="D31" s="128" t="s">
        <v>185</v>
      </c>
      <c r="E31" s="129"/>
      <c r="F31" s="130"/>
      <c r="G31" s="105" t="s">
        <v>97</v>
      </c>
      <c r="H31" s="106">
        <v>90</v>
      </c>
      <c r="I31" s="107">
        <v>12</v>
      </c>
      <c r="J31" s="107">
        <f t="shared" si="2"/>
        <v>1080</v>
      </c>
      <c r="K31" s="108"/>
      <c r="L31" s="105"/>
      <c r="S31" s="97"/>
    </row>
    <row r="32" spans="1:19" ht="19.5" customHeight="1">
      <c r="A32" s="104">
        <f t="shared" si="0"/>
        <v>27</v>
      </c>
      <c r="B32" s="120" t="s">
        <v>152</v>
      </c>
      <c r="C32" s="121"/>
      <c r="D32" s="128" t="s">
        <v>186</v>
      </c>
      <c r="E32" s="129"/>
      <c r="F32" s="130"/>
      <c r="G32" s="105" t="s">
        <v>97</v>
      </c>
      <c r="H32" s="106">
        <v>2</v>
      </c>
      <c r="I32" s="107">
        <v>156</v>
      </c>
      <c r="J32" s="107">
        <f t="shared" si="2"/>
        <v>312</v>
      </c>
      <c r="K32" s="108"/>
      <c r="L32" s="105"/>
      <c r="S32" s="97"/>
    </row>
    <row r="33" spans="1:19" ht="19.5" customHeight="1">
      <c r="A33" s="104">
        <f t="shared" si="0"/>
        <v>28</v>
      </c>
      <c r="B33" s="120" t="s">
        <v>153</v>
      </c>
      <c r="C33" s="121"/>
      <c r="D33" s="128" t="s">
        <v>187</v>
      </c>
      <c r="E33" s="129"/>
      <c r="F33" s="130"/>
      <c r="G33" s="105" t="s">
        <v>97</v>
      </c>
      <c r="H33" s="106">
        <v>1</v>
      </c>
      <c r="I33" s="107">
        <v>780</v>
      </c>
      <c r="J33" s="107">
        <f t="shared" si="2"/>
        <v>780</v>
      </c>
      <c r="K33" s="108"/>
      <c r="L33" s="105"/>
      <c r="S33" s="97"/>
    </row>
    <row r="34" spans="1:19" ht="19.5" customHeight="1">
      <c r="A34" s="104">
        <f t="shared" si="0"/>
        <v>29</v>
      </c>
      <c r="B34" s="120" t="s">
        <v>154</v>
      </c>
      <c r="C34" s="121"/>
      <c r="D34" s="128" t="s">
        <v>188</v>
      </c>
      <c r="E34" s="129"/>
      <c r="F34" s="130"/>
      <c r="G34" s="105" t="s">
        <v>97</v>
      </c>
      <c r="H34" s="106">
        <v>5</v>
      </c>
      <c r="I34" s="107">
        <v>9.5</v>
      </c>
      <c r="J34" s="107">
        <f t="shared" si="2"/>
        <v>47.5</v>
      </c>
      <c r="K34" s="108"/>
      <c r="L34" s="105"/>
      <c r="S34" s="97"/>
    </row>
    <row r="35" spans="1:19" ht="19.5" customHeight="1">
      <c r="A35" s="104">
        <f t="shared" si="0"/>
        <v>30</v>
      </c>
      <c r="B35" s="120" t="s">
        <v>155</v>
      </c>
      <c r="C35" s="121"/>
      <c r="D35" s="128" t="s">
        <v>189</v>
      </c>
      <c r="E35" s="129"/>
      <c r="F35" s="130"/>
      <c r="G35" s="105" t="s">
        <v>97</v>
      </c>
      <c r="H35" s="106">
        <v>5</v>
      </c>
      <c r="I35" s="107">
        <v>21</v>
      </c>
      <c r="J35" s="107">
        <f t="shared" si="2"/>
        <v>105</v>
      </c>
      <c r="K35" s="108"/>
      <c r="L35" s="105"/>
      <c r="S35" s="97"/>
    </row>
    <row r="36" spans="1:19" ht="19.5" customHeight="1">
      <c r="A36" s="104">
        <f t="shared" si="0"/>
        <v>31</v>
      </c>
      <c r="B36" s="120" t="s">
        <v>156</v>
      </c>
      <c r="C36" s="121"/>
      <c r="D36" s="128" t="s">
        <v>190</v>
      </c>
      <c r="E36" s="129"/>
      <c r="F36" s="130"/>
      <c r="G36" s="105" t="s">
        <v>128</v>
      </c>
      <c r="H36" s="106">
        <v>15</v>
      </c>
      <c r="I36" s="107">
        <v>39</v>
      </c>
      <c r="J36" s="107">
        <f t="shared" si="2"/>
        <v>585</v>
      </c>
      <c r="K36" s="108"/>
      <c r="L36" s="105"/>
      <c r="S36" s="97"/>
    </row>
    <row r="37" spans="1:19" ht="19.5" customHeight="1">
      <c r="A37" s="104">
        <f t="shared" si="0"/>
        <v>32</v>
      </c>
      <c r="B37" s="120" t="s">
        <v>152</v>
      </c>
      <c r="C37" s="121"/>
      <c r="D37" s="128" t="s">
        <v>169</v>
      </c>
      <c r="E37" s="129"/>
      <c r="F37" s="130"/>
      <c r="G37" s="105" t="s">
        <v>97</v>
      </c>
      <c r="H37" s="106">
        <v>5</v>
      </c>
      <c r="I37" s="107">
        <v>190</v>
      </c>
      <c r="J37" s="107">
        <f t="shared" si="2"/>
        <v>950</v>
      </c>
      <c r="K37" s="108"/>
      <c r="L37" s="105"/>
      <c r="S37" s="97"/>
    </row>
    <row r="38" spans="1:19" ht="19.5" customHeight="1">
      <c r="A38" s="104">
        <f t="shared" si="0"/>
        <v>33</v>
      </c>
      <c r="B38" s="120" t="s">
        <v>157</v>
      </c>
      <c r="C38" s="121"/>
      <c r="D38" s="128" t="s">
        <v>191</v>
      </c>
      <c r="E38" s="129"/>
      <c r="F38" s="130"/>
      <c r="G38" s="105" t="s">
        <v>97</v>
      </c>
      <c r="H38" s="106">
        <v>3</v>
      </c>
      <c r="I38" s="107">
        <v>600</v>
      </c>
      <c r="J38" s="107">
        <f t="shared" si="2"/>
        <v>1800</v>
      </c>
      <c r="K38" s="108"/>
      <c r="L38" s="105"/>
      <c r="S38" s="97"/>
    </row>
    <row r="39" spans="1:19" ht="19.5" customHeight="1">
      <c r="A39" s="104">
        <f t="shared" si="0"/>
        <v>34</v>
      </c>
      <c r="B39" s="120" t="s">
        <v>158</v>
      </c>
      <c r="C39" s="121"/>
      <c r="D39" s="128" t="s">
        <v>192</v>
      </c>
      <c r="E39" s="129"/>
      <c r="F39" s="130"/>
      <c r="G39" s="105" t="s">
        <v>202</v>
      </c>
      <c r="H39" s="106">
        <v>36</v>
      </c>
      <c r="I39" s="107">
        <v>9</v>
      </c>
      <c r="J39" s="107">
        <f t="shared" si="2"/>
        <v>324</v>
      </c>
      <c r="K39" s="108"/>
      <c r="L39" s="105"/>
      <c r="S39" s="97"/>
    </row>
    <row r="40" spans="1:19" ht="19.5" customHeight="1">
      <c r="A40" s="104">
        <f t="shared" si="0"/>
        <v>35</v>
      </c>
      <c r="B40" s="120" t="s">
        <v>159</v>
      </c>
      <c r="C40" s="121"/>
      <c r="D40" s="128" t="s">
        <v>193</v>
      </c>
      <c r="E40" s="129"/>
      <c r="F40" s="130"/>
      <c r="G40" s="105" t="s">
        <v>200</v>
      </c>
      <c r="H40" s="106">
        <v>5</v>
      </c>
      <c r="I40" s="107">
        <v>150</v>
      </c>
      <c r="J40" s="107">
        <f t="shared" si="2"/>
        <v>750</v>
      </c>
      <c r="K40" s="108"/>
      <c r="L40" s="105"/>
      <c r="S40" s="97"/>
    </row>
    <row r="41" spans="1:19" ht="19.5" customHeight="1">
      <c r="A41" s="104">
        <f t="shared" si="0"/>
        <v>36</v>
      </c>
      <c r="B41" s="120" t="s">
        <v>160</v>
      </c>
      <c r="C41" s="121"/>
      <c r="D41" s="128" t="s">
        <v>194</v>
      </c>
      <c r="E41" s="129"/>
      <c r="F41" s="130"/>
      <c r="G41" s="105" t="s">
        <v>200</v>
      </c>
      <c r="H41" s="106">
        <v>3</v>
      </c>
      <c r="I41" s="107">
        <v>144</v>
      </c>
      <c r="J41" s="107">
        <f t="shared" si="2"/>
        <v>432</v>
      </c>
      <c r="K41" s="108"/>
      <c r="L41" s="105"/>
      <c r="S41" s="97"/>
    </row>
    <row r="42" spans="1:19" ht="19.5" customHeight="1">
      <c r="A42" s="104">
        <f t="shared" si="0"/>
        <v>37</v>
      </c>
      <c r="B42" s="120" t="s">
        <v>161</v>
      </c>
      <c r="C42" s="121"/>
      <c r="D42" s="128" t="s">
        <v>195</v>
      </c>
      <c r="E42" s="129"/>
      <c r="F42" s="130"/>
      <c r="G42" s="105" t="s">
        <v>202</v>
      </c>
      <c r="H42" s="106">
        <v>220</v>
      </c>
      <c r="I42" s="107">
        <v>15.25</v>
      </c>
      <c r="J42" s="107">
        <f t="shared" si="2"/>
        <v>3355</v>
      </c>
      <c r="K42" s="108"/>
      <c r="L42" s="105"/>
      <c r="S42" s="97"/>
    </row>
    <row r="43" spans="1:19" ht="19.5" customHeight="1">
      <c r="A43" s="104">
        <f t="shared" si="0"/>
        <v>38</v>
      </c>
      <c r="B43" s="120" t="s">
        <v>162</v>
      </c>
      <c r="C43" s="121"/>
      <c r="D43" s="128" t="s">
        <v>196</v>
      </c>
      <c r="E43" s="129"/>
      <c r="F43" s="130"/>
      <c r="G43" s="105" t="s">
        <v>128</v>
      </c>
      <c r="H43" s="106">
        <v>25</v>
      </c>
      <c r="I43" s="107">
        <v>41.5</v>
      </c>
      <c r="J43" s="107">
        <f t="shared" si="2"/>
        <v>1037.5</v>
      </c>
      <c r="K43" s="108"/>
      <c r="L43" s="105"/>
      <c r="S43" s="97"/>
    </row>
    <row r="44" spans="1:19" ht="19.5" customHeight="1">
      <c r="A44" s="104">
        <f t="shared" si="0"/>
        <v>39</v>
      </c>
      <c r="B44" s="120" t="s">
        <v>163</v>
      </c>
      <c r="C44" s="121"/>
      <c r="D44" s="128" t="s">
        <v>197</v>
      </c>
      <c r="E44" s="129"/>
      <c r="F44" s="130"/>
      <c r="G44" s="105" t="s">
        <v>97</v>
      </c>
      <c r="H44" s="106">
        <v>1</v>
      </c>
      <c r="I44" s="107">
        <v>550</v>
      </c>
      <c r="J44" s="107">
        <f t="shared" si="2"/>
        <v>550</v>
      </c>
      <c r="K44" s="108"/>
      <c r="L44" s="105"/>
      <c r="S44" s="97"/>
    </row>
    <row r="45" spans="1:19" ht="19.5" customHeight="1">
      <c r="A45" s="104">
        <f t="shared" si="0"/>
        <v>40</v>
      </c>
      <c r="B45" s="120" t="s">
        <v>164</v>
      </c>
      <c r="C45" s="121"/>
      <c r="D45" s="128" t="s">
        <v>198</v>
      </c>
      <c r="E45" s="129"/>
      <c r="F45" s="130"/>
      <c r="G45" s="105" t="s">
        <v>97</v>
      </c>
      <c r="H45" s="106">
        <v>2</v>
      </c>
      <c r="I45" s="107">
        <v>400</v>
      </c>
      <c r="J45" s="107">
        <f t="shared" si="2"/>
        <v>800</v>
      </c>
      <c r="K45" s="108"/>
      <c r="L45" s="105"/>
      <c r="S45" s="97"/>
    </row>
    <row r="46" spans="1:19" ht="19.5" customHeight="1">
      <c r="A46" s="104">
        <f t="shared" si="0"/>
        <v>41</v>
      </c>
      <c r="B46" s="120" t="s">
        <v>165</v>
      </c>
      <c r="C46" s="121"/>
      <c r="D46" s="128" t="s">
        <v>199</v>
      </c>
      <c r="E46" s="129"/>
      <c r="F46" s="130"/>
      <c r="G46" s="105" t="s">
        <v>97</v>
      </c>
      <c r="H46" s="106">
        <v>3</v>
      </c>
      <c r="I46" s="107">
        <v>1680</v>
      </c>
      <c r="J46" s="107">
        <f t="shared" si="2"/>
        <v>5040</v>
      </c>
      <c r="K46" s="108"/>
      <c r="L46" s="105"/>
      <c r="S46" s="97"/>
    </row>
    <row r="47" spans="1:19" ht="19.5" customHeight="1">
      <c r="A47" s="104">
        <f t="shared" si="0"/>
        <v>42</v>
      </c>
      <c r="B47" s="120" t="s">
        <v>165</v>
      </c>
      <c r="C47" s="121"/>
      <c r="D47" s="128" t="s">
        <v>180</v>
      </c>
      <c r="E47" s="129"/>
      <c r="F47" s="130"/>
      <c r="G47" s="105" t="s">
        <v>97</v>
      </c>
      <c r="H47" s="106">
        <v>1</v>
      </c>
      <c r="I47" s="107">
        <v>1340</v>
      </c>
      <c r="J47" s="107">
        <f t="shared" si="2"/>
        <v>1340</v>
      </c>
      <c r="K47" s="108"/>
      <c r="L47" s="105"/>
      <c r="S47" s="97"/>
    </row>
    <row r="48" spans="1:19" ht="19.5" customHeight="1">
      <c r="A48" s="104">
        <f t="shared" si="0"/>
        <v>43</v>
      </c>
      <c r="B48" s="120" t="s">
        <v>166</v>
      </c>
      <c r="C48" s="121"/>
      <c r="D48" s="128" t="s">
        <v>199</v>
      </c>
      <c r="E48" s="129"/>
      <c r="F48" s="130"/>
      <c r="G48" s="105" t="s">
        <v>97</v>
      </c>
      <c r="H48" s="106">
        <v>3</v>
      </c>
      <c r="I48" s="107">
        <v>504</v>
      </c>
      <c r="J48" s="107">
        <f t="shared" si="2"/>
        <v>1512</v>
      </c>
      <c r="K48" s="108"/>
      <c r="L48" s="105"/>
      <c r="S48" s="97"/>
    </row>
    <row r="49" spans="1:22" ht="19.5" customHeight="1">
      <c r="A49" s="104">
        <f t="shared" si="0"/>
        <v>44</v>
      </c>
      <c r="B49" s="120" t="s">
        <v>166</v>
      </c>
      <c r="C49" s="121"/>
      <c r="D49" s="128" t="s">
        <v>180</v>
      </c>
      <c r="E49" s="129"/>
      <c r="F49" s="130"/>
      <c r="G49" s="105" t="s">
        <v>97</v>
      </c>
      <c r="H49" s="106">
        <v>2</v>
      </c>
      <c r="I49" s="107">
        <v>342</v>
      </c>
      <c r="J49" s="107">
        <f t="shared" si="2"/>
        <v>684</v>
      </c>
      <c r="K49" s="108"/>
      <c r="L49" s="105"/>
      <c r="S49" s="97"/>
    </row>
    <row r="50" spans="1:22" ht="24.75" customHeight="1">
      <c r="A50" s="131" t="s">
        <v>8</v>
      </c>
      <c r="B50" s="131"/>
      <c r="C50" s="112"/>
      <c r="D50" s="113"/>
      <c r="E50" s="113"/>
      <c r="F50" s="113"/>
      <c r="G50" s="114"/>
      <c r="H50" s="115"/>
      <c r="I50" s="111" t="s">
        <v>9</v>
      </c>
      <c r="J50" s="107">
        <f>SUM(J6:J49)</f>
        <v>56237.259999999995</v>
      </c>
      <c r="K50" s="107"/>
      <c r="L50" s="110"/>
    </row>
    <row r="51" spans="1:22" ht="25.5" customHeight="1">
      <c r="A51" s="103" t="s">
        <v>10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6"/>
    </row>
    <row r="52" spans="1:22" ht="18" customHeight="1">
      <c r="A52" s="7"/>
      <c r="J52" s="1"/>
      <c r="K52" s="1"/>
      <c r="O52" s="8"/>
      <c r="P52" s="8"/>
      <c r="Q52" s="8"/>
      <c r="S52" s="122" t="s">
        <v>11</v>
      </c>
      <c r="T52" s="9" t="s">
        <v>12</v>
      </c>
      <c r="U52" s="10" t="s">
        <v>13</v>
      </c>
      <c r="V52" s="9" t="s">
        <v>14</v>
      </c>
    </row>
    <row r="53" spans="1:22" ht="50.1" customHeight="1">
      <c r="S53" s="123"/>
      <c r="T53" s="11"/>
      <c r="U53" s="12"/>
      <c r="V53" s="11"/>
    </row>
    <row r="54" spans="1:22" ht="17.100000000000001" customHeight="1">
      <c r="O54" s="8"/>
      <c r="P54" s="8"/>
      <c r="Q54" s="8"/>
      <c r="S54" s="124"/>
      <c r="T54" s="12" t="s">
        <v>15</v>
      </c>
      <c r="U54" s="12" t="s">
        <v>15</v>
      </c>
      <c r="V54" s="13" t="s">
        <v>15</v>
      </c>
    </row>
    <row r="55" spans="1:22" ht="15" customHeight="1">
      <c r="O55" s="14" t="s">
        <v>16</v>
      </c>
      <c r="P55" s="125" t="s">
        <v>17</v>
      </c>
      <c r="Q55" s="125" t="s">
        <v>18</v>
      </c>
    </row>
    <row r="56" spans="1:22" ht="18" customHeight="1">
      <c r="O56" s="15" t="s">
        <v>19</v>
      </c>
      <c r="P56" s="126"/>
      <c r="Q56" s="126"/>
      <c r="S56" s="122" t="s">
        <v>20</v>
      </c>
      <c r="T56" s="9" t="s">
        <v>12</v>
      </c>
      <c r="U56" s="9" t="s">
        <v>13</v>
      </c>
      <c r="V56" s="9" t="s">
        <v>14</v>
      </c>
    </row>
    <row r="57" spans="1:22" ht="50.1" customHeight="1">
      <c r="O57" s="11"/>
      <c r="P57" s="11"/>
      <c r="Q57" s="11"/>
      <c r="S57" s="123"/>
      <c r="T57" s="16"/>
      <c r="U57" s="16"/>
      <c r="V57" s="11"/>
    </row>
    <row r="58" spans="1:22" ht="17.100000000000001" customHeight="1">
      <c r="O58" s="13" t="s">
        <v>15</v>
      </c>
      <c r="P58" s="13" t="s">
        <v>15</v>
      </c>
      <c r="Q58" s="13" t="s">
        <v>15</v>
      </c>
      <c r="S58" s="124"/>
      <c r="T58" s="12" t="s">
        <v>15</v>
      </c>
      <c r="U58" s="12" t="s">
        <v>15</v>
      </c>
      <c r="V58" s="13" t="s">
        <v>15</v>
      </c>
    </row>
    <row r="59" spans="1:22" ht="9.9499999999999993" customHeight="1"/>
    <row r="60" spans="1:22" ht="19.899999999999999" customHeight="1"/>
    <row r="61" spans="1:22" ht="17.45" customHeight="1">
      <c r="O61" s="127"/>
      <c r="P61" s="127"/>
      <c r="Q61" s="127"/>
    </row>
    <row r="62" spans="1:22" ht="19.899999999999999" customHeight="1">
      <c r="O62" s="127"/>
      <c r="P62" s="127"/>
      <c r="Q62" s="127"/>
    </row>
    <row r="63" spans="1:22" ht="14.25">
      <c r="O63" s="8"/>
      <c r="P63" s="8"/>
      <c r="Q63" s="8"/>
    </row>
    <row r="64" spans="1:22" ht="65.099999999999994" customHeight="1"/>
    <row r="65" spans="15:22" ht="14.25">
      <c r="O65" s="8"/>
      <c r="P65" s="8"/>
      <c r="Q65" s="8"/>
    </row>
    <row r="66" spans="15:22" ht="19.899999999999999" customHeight="1"/>
    <row r="67" spans="15:22" ht="14.25"/>
    <row r="68" spans="15:22" ht="19.899999999999999" customHeight="1"/>
    <row r="69" spans="15:22" ht="14.25"/>
    <row r="70" spans="15:22" ht="19.899999999999999" customHeight="1"/>
    <row r="71" spans="15:22" ht="19.899999999999999" customHeight="1"/>
    <row r="72" spans="15:22" ht="64.900000000000006" customHeight="1"/>
    <row r="74" spans="15:22" ht="19.899999999999999" customHeight="1">
      <c r="T74" s="125" t="s">
        <v>21</v>
      </c>
    </row>
    <row r="75" spans="15:22" ht="19.899999999999999" customHeight="1">
      <c r="T75" s="126"/>
    </row>
    <row r="76" spans="15:22" ht="64.900000000000006" customHeight="1">
      <c r="T76" s="11"/>
    </row>
    <row r="80" spans="15:22" ht="21" customHeight="1">
      <c r="O80" s="125" t="s">
        <v>21</v>
      </c>
      <c r="P80" s="125" t="s">
        <v>21</v>
      </c>
      <c r="Q80" s="125" t="s">
        <v>21</v>
      </c>
      <c r="T80" s="125" t="s">
        <v>22</v>
      </c>
      <c r="U80" s="125" t="s">
        <v>13</v>
      </c>
      <c r="V80" s="125" t="s">
        <v>21</v>
      </c>
    </row>
    <row r="81" spans="15:22" ht="21" customHeight="1">
      <c r="O81" s="126"/>
      <c r="P81" s="126"/>
      <c r="Q81" s="126"/>
      <c r="T81" s="124"/>
      <c r="U81" s="124"/>
      <c r="V81" s="126"/>
    </row>
    <row r="82" spans="15:22" ht="64.900000000000006" customHeight="1">
      <c r="O82" s="11"/>
      <c r="P82" s="11"/>
      <c r="Q82" s="11"/>
      <c r="T82" s="11"/>
      <c r="U82" s="12"/>
      <c r="V82" s="11"/>
    </row>
    <row r="83" spans="15:22" ht="7.15" customHeight="1"/>
    <row r="84" spans="15:22" ht="21" customHeight="1">
      <c r="O84" s="125" t="s">
        <v>21</v>
      </c>
      <c r="P84" s="125" t="s">
        <v>21</v>
      </c>
      <c r="Q84" s="125" t="s">
        <v>21</v>
      </c>
      <c r="T84" s="125" t="s">
        <v>13</v>
      </c>
      <c r="U84" s="125" t="s">
        <v>22</v>
      </c>
      <c r="V84" s="125" t="s">
        <v>21</v>
      </c>
    </row>
    <row r="85" spans="15:22" ht="21" customHeight="1">
      <c r="O85" s="126"/>
      <c r="P85" s="126"/>
      <c r="Q85" s="126"/>
      <c r="T85" s="124"/>
      <c r="U85" s="124"/>
      <c r="V85" s="126"/>
    </row>
    <row r="86" spans="15:22" ht="64.900000000000006" customHeight="1">
      <c r="O86" s="11"/>
      <c r="P86" s="11"/>
      <c r="Q86" s="11"/>
      <c r="T86" s="12"/>
      <c r="U86" s="11"/>
      <c r="V86" s="11"/>
    </row>
  </sheetData>
  <mergeCells count="121"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15:F15"/>
    <mergeCell ref="B11:C11"/>
    <mergeCell ref="B12:C12"/>
    <mergeCell ref="B13:C13"/>
    <mergeCell ref="B14:C14"/>
    <mergeCell ref="B15:C15"/>
    <mergeCell ref="D32:F32"/>
    <mergeCell ref="D36:F36"/>
    <mergeCell ref="D37:F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16:C16"/>
    <mergeCell ref="B17:C17"/>
    <mergeCell ref="B28:C28"/>
    <mergeCell ref="B29:C29"/>
    <mergeCell ref="B30:C30"/>
    <mergeCell ref="B31:C31"/>
    <mergeCell ref="B23:C23"/>
    <mergeCell ref="J1:L1"/>
    <mergeCell ref="J2:L2"/>
    <mergeCell ref="E3:I3"/>
    <mergeCell ref="D6:F6"/>
    <mergeCell ref="D7:F7"/>
    <mergeCell ref="D8:F8"/>
    <mergeCell ref="D9:F9"/>
    <mergeCell ref="D10:F10"/>
    <mergeCell ref="B6:C6"/>
    <mergeCell ref="B7:C7"/>
    <mergeCell ref="B8:C8"/>
    <mergeCell ref="B9:C9"/>
    <mergeCell ref="B10:C10"/>
    <mergeCell ref="D11:F11"/>
    <mergeCell ref="D12:F12"/>
    <mergeCell ref="D13:F13"/>
    <mergeCell ref="D14:F14"/>
    <mergeCell ref="D16:F16"/>
    <mergeCell ref="D17:F17"/>
    <mergeCell ref="D18:F18"/>
    <mergeCell ref="D19:F19"/>
    <mergeCell ref="D20:F20"/>
    <mergeCell ref="D21:F21"/>
    <mergeCell ref="D23:F23"/>
    <mergeCell ref="D22:F22"/>
    <mergeCell ref="D27:F27"/>
    <mergeCell ref="D24:F24"/>
    <mergeCell ref="D25:F25"/>
    <mergeCell ref="D26:F26"/>
    <mergeCell ref="U80:U81"/>
    <mergeCell ref="V80:V81"/>
    <mergeCell ref="O84:O85"/>
    <mergeCell ref="P84:P85"/>
    <mergeCell ref="Q84:Q85"/>
    <mergeCell ref="T84:T85"/>
    <mergeCell ref="U84:U85"/>
    <mergeCell ref="V84:V85"/>
    <mergeCell ref="T74:T75"/>
    <mergeCell ref="O80:O81"/>
    <mergeCell ref="P80:P81"/>
    <mergeCell ref="Q80:Q81"/>
    <mergeCell ref="T80:T81"/>
    <mergeCell ref="B18:C18"/>
    <mergeCell ref="B19:C19"/>
    <mergeCell ref="B20:C20"/>
    <mergeCell ref="B21:C21"/>
    <mergeCell ref="B22:C22"/>
    <mergeCell ref="B32:C32"/>
    <mergeCell ref="B33:C33"/>
    <mergeCell ref="B34:C34"/>
    <mergeCell ref="B35:C35"/>
    <mergeCell ref="B36:C36"/>
    <mergeCell ref="B37:C37"/>
    <mergeCell ref="B24:C24"/>
    <mergeCell ref="B25:C25"/>
    <mergeCell ref="B26:C26"/>
    <mergeCell ref="B27:C27"/>
    <mergeCell ref="S52:S54"/>
    <mergeCell ref="P55:P56"/>
    <mergeCell ref="Q55:Q56"/>
    <mergeCell ref="S56:S58"/>
    <mergeCell ref="O61:O62"/>
    <mergeCell ref="P61:P62"/>
    <mergeCell ref="Q61:Q62"/>
    <mergeCell ref="D35:F35"/>
    <mergeCell ref="D30:F30"/>
    <mergeCell ref="D31:F31"/>
    <mergeCell ref="A50:B50"/>
    <mergeCell ref="D28:F28"/>
    <mergeCell ref="D29:F29"/>
    <mergeCell ref="D33:F33"/>
    <mergeCell ref="D34:F34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86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30"/>
  <sheetViews>
    <sheetView showGridLines="0" view="pageBreakPreview" zoomScale="70" zoomScaleNormal="95" zoomScaleSheetLayoutView="70" workbookViewId="0">
      <pane ySplit="5" topLeftCell="A16" activePane="bottomLeft" state="frozen"/>
      <selection activeCell="D30" sqref="D30"/>
      <selection pane="bottomLeft" activeCell="D25" sqref="D25:F2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9" t="s">
        <v>96</v>
      </c>
      <c r="B1" s="91"/>
      <c r="C1" s="91"/>
      <c r="D1" s="91"/>
      <c r="E1" s="91"/>
      <c r="F1" s="91"/>
      <c r="G1" s="1"/>
      <c r="J1" s="132" t="str">
        <f>+MRS!J1</f>
        <v>DAESHIN PLANT</v>
      </c>
      <c r="K1" s="134"/>
    </row>
    <row r="2" spans="1:18" ht="24.95" customHeight="1">
      <c r="A2" s="3" t="str">
        <f>+MRS!A2</f>
        <v xml:space="preserve">  PJT :  SACE2           </v>
      </c>
      <c r="B2" s="92"/>
      <c r="C2" s="92"/>
      <c r="D2" s="3" t="str">
        <f>+MRS!D2</f>
        <v>Division (In charge Name) : ADMIN MANAGER (Dong Chang Kim)</v>
      </c>
      <c r="E2" s="92"/>
      <c r="F2" s="92"/>
      <c r="G2" s="17"/>
      <c r="H2" s="17"/>
      <c r="I2" s="17"/>
      <c r="J2" s="135" t="str">
        <f>+MRS!J2</f>
        <v>Subcontract name (SAC2-SC-IK-SMP-01)</v>
      </c>
      <c r="K2" s="137"/>
    </row>
    <row r="3" spans="1:18" ht="24.95" customHeight="1">
      <c r="A3" s="3" t="str">
        <f>+MRS!A3</f>
        <v xml:space="preserve">  MRS No : SAC2-DS-MRS-0317</v>
      </c>
      <c r="B3" s="92"/>
      <c r="C3" s="92"/>
      <c r="D3" s="92"/>
      <c r="E3" s="92"/>
      <c r="F3" s="92"/>
      <c r="G3" s="92"/>
      <c r="H3" s="92"/>
      <c r="I3" s="92"/>
      <c r="J3" s="92"/>
      <c r="K3" s="93">
        <f>+MRS!L3</f>
        <v>46158</v>
      </c>
    </row>
    <row r="4" spans="1:18" ht="15.95" customHeight="1">
      <c r="A4" s="146" t="s">
        <v>2</v>
      </c>
      <c r="B4" s="147" t="s">
        <v>23</v>
      </c>
      <c r="C4" s="147"/>
      <c r="D4" s="146" t="s">
        <v>4</v>
      </c>
      <c r="E4" s="146"/>
      <c r="F4" s="146"/>
      <c r="G4" s="147" t="s">
        <v>5</v>
      </c>
      <c r="H4" s="146" t="s">
        <v>91</v>
      </c>
      <c r="I4" s="146" t="s">
        <v>24</v>
      </c>
      <c r="J4" s="146" t="s">
        <v>25</v>
      </c>
      <c r="K4" s="147" t="s">
        <v>7</v>
      </c>
    </row>
    <row r="5" spans="1:18" ht="15.95" customHeight="1">
      <c r="A5" s="146"/>
      <c r="B5" s="147"/>
      <c r="C5" s="147"/>
      <c r="D5" s="146"/>
      <c r="E5" s="146"/>
      <c r="F5" s="146"/>
      <c r="G5" s="147"/>
      <c r="H5" s="146"/>
      <c r="I5" s="146"/>
      <c r="J5" s="146"/>
      <c r="K5" s="147"/>
    </row>
    <row r="6" spans="1:18" ht="74.25" customHeight="1">
      <c r="A6" s="18">
        <f>+MRS!A6</f>
        <v>1</v>
      </c>
      <c r="B6" s="141" t="str">
        <f>MRS!B6</f>
        <v>Steel Cabinet</v>
      </c>
      <c r="C6" s="142"/>
      <c r="D6" s="143" t="str">
        <f>MRS!D6</f>
        <v>4 Drawer</v>
      </c>
      <c r="E6" s="144"/>
      <c r="F6" s="145"/>
      <c r="G6" s="94" t="str">
        <f>MRS!G6</f>
        <v>EA</v>
      </c>
      <c r="H6" s="94">
        <f>MRS!H6</f>
        <v>1</v>
      </c>
      <c r="I6" s="95">
        <f>MRS!I6</f>
        <v>520</v>
      </c>
      <c r="J6" s="95">
        <f>MRS!J6</f>
        <v>520</v>
      </c>
      <c r="K6" s="96"/>
      <c r="O6" s="97"/>
      <c r="P6" s="97"/>
      <c r="R6" s="97"/>
    </row>
    <row r="7" spans="1:18" ht="74.25" customHeight="1">
      <c r="A7" s="18">
        <f>+MRS!A7</f>
        <v>2</v>
      </c>
      <c r="B7" s="141" t="str">
        <f>MRS!B7</f>
        <v>Dell Monitor</v>
      </c>
      <c r="C7" s="142"/>
      <c r="D7" s="143" t="str">
        <f>MRS!D7</f>
        <v>24"</v>
      </c>
      <c r="E7" s="144"/>
      <c r="F7" s="145"/>
      <c r="G7" s="94" t="str">
        <f>MRS!G7</f>
        <v>EA</v>
      </c>
      <c r="H7" s="94">
        <f>MRS!H7</f>
        <v>2</v>
      </c>
      <c r="I7" s="95">
        <f>MRS!I7</f>
        <v>370</v>
      </c>
      <c r="J7" s="95">
        <f>MRS!J7</f>
        <v>740</v>
      </c>
      <c r="K7" s="96"/>
      <c r="O7" s="97"/>
      <c r="P7" s="97"/>
      <c r="R7" s="97"/>
    </row>
    <row r="8" spans="1:18" ht="74.25" customHeight="1">
      <c r="A8" s="18">
        <f>+MRS!A8</f>
        <v>3</v>
      </c>
      <c r="B8" s="141" t="str">
        <f>MRS!B8</f>
        <v>PC Dell</v>
      </c>
      <c r="C8" s="142"/>
      <c r="D8" s="143" t="str">
        <f>MRS!D8</f>
        <v>I5, 14Generation 16GB RAM 512SSD</v>
      </c>
      <c r="E8" s="144"/>
      <c r="F8" s="145"/>
      <c r="G8" s="94" t="str">
        <f>MRS!G8</f>
        <v>EA</v>
      </c>
      <c r="H8" s="94">
        <f>MRS!H8</f>
        <v>1</v>
      </c>
      <c r="I8" s="95">
        <f>MRS!I8</f>
        <v>2218</v>
      </c>
      <c r="J8" s="95">
        <f>MRS!J8</f>
        <v>2218</v>
      </c>
      <c r="K8" s="96"/>
      <c r="O8" s="97"/>
      <c r="P8" s="97"/>
      <c r="R8" s="97"/>
    </row>
    <row r="9" spans="1:18" ht="74.25" customHeight="1">
      <c r="A9" s="18">
        <f>+MRS!A9</f>
        <v>4</v>
      </c>
      <c r="B9" s="141" t="str">
        <f>MRS!B9</f>
        <v>Manager Chair</v>
      </c>
      <c r="C9" s="142"/>
      <c r="D9" s="143" t="str">
        <f>MRS!D9</f>
        <v>With Neck</v>
      </c>
      <c r="E9" s="144"/>
      <c r="F9" s="145"/>
      <c r="G9" s="94" t="str">
        <f>MRS!G9</f>
        <v>EA</v>
      </c>
      <c r="H9" s="94">
        <f>MRS!H9</f>
        <v>3</v>
      </c>
      <c r="I9" s="95">
        <f>MRS!I9</f>
        <v>190</v>
      </c>
      <c r="J9" s="95">
        <f>MRS!J9</f>
        <v>570</v>
      </c>
      <c r="K9" s="96"/>
      <c r="O9" s="97"/>
      <c r="P9" s="97"/>
      <c r="R9" s="97"/>
    </row>
    <row r="10" spans="1:18" ht="74.25" customHeight="1">
      <c r="A10" s="18">
        <f>+MRS!A10</f>
        <v>5</v>
      </c>
      <c r="B10" s="141" t="str">
        <f>MRS!B10</f>
        <v>Safety Googles</v>
      </c>
      <c r="C10" s="142"/>
      <c r="D10" s="143" t="str">
        <f>MRS!D10</f>
        <v>Clear</v>
      </c>
      <c r="E10" s="144"/>
      <c r="F10" s="145"/>
      <c r="G10" s="94" t="str">
        <f>MRS!G10</f>
        <v>EA</v>
      </c>
      <c r="H10" s="94">
        <f>MRS!H10</f>
        <v>500</v>
      </c>
      <c r="I10" s="95">
        <f>MRS!I10</f>
        <v>3</v>
      </c>
      <c r="J10" s="95">
        <f>MRS!J10</f>
        <v>1500</v>
      </c>
      <c r="K10" s="96"/>
      <c r="O10" s="97"/>
      <c r="P10" s="97"/>
      <c r="R10" s="97"/>
    </row>
    <row r="11" spans="1:18" ht="74.25" customHeight="1">
      <c r="A11" s="18">
        <f>+MRS!A11</f>
        <v>6</v>
      </c>
      <c r="B11" s="141" t="str">
        <f>MRS!B11</f>
        <v>Flag 100*60 cm</v>
      </c>
      <c r="C11" s="142"/>
      <c r="D11" s="143" t="str">
        <f>MRS!D11</f>
        <v>Green, Orange, Yellow, Red</v>
      </c>
      <c r="E11" s="144"/>
      <c r="F11" s="145"/>
      <c r="G11" s="94" t="str">
        <f>MRS!G11</f>
        <v>EA</v>
      </c>
      <c r="H11" s="94">
        <f>MRS!H11</f>
        <v>80</v>
      </c>
      <c r="I11" s="95">
        <f>MRS!I11</f>
        <v>12.2</v>
      </c>
      <c r="J11" s="95">
        <f>MRS!J11</f>
        <v>976</v>
      </c>
      <c r="K11" s="96"/>
      <c r="O11" s="97"/>
      <c r="P11" s="97"/>
      <c r="R11" s="97"/>
    </row>
    <row r="12" spans="1:18" ht="74.25" customHeight="1">
      <c r="A12" s="18">
        <f>+MRS!A12</f>
        <v>7</v>
      </c>
      <c r="B12" s="141" t="str">
        <f>MRS!B12</f>
        <v>Chain Strap</v>
      </c>
      <c r="C12" s="142"/>
      <c r="D12" s="143">
        <f>MRS!D12</f>
        <v>0</v>
      </c>
      <c r="E12" s="144"/>
      <c r="F12" s="145"/>
      <c r="G12" s="94" t="str">
        <f>MRS!G12</f>
        <v>EA</v>
      </c>
      <c r="H12" s="94">
        <f>MRS!H12</f>
        <v>100</v>
      </c>
      <c r="I12" s="95">
        <f>MRS!I12</f>
        <v>1.3</v>
      </c>
      <c r="J12" s="95">
        <f>MRS!J12</f>
        <v>130</v>
      </c>
      <c r="K12" s="96"/>
      <c r="O12" s="97"/>
      <c r="P12" s="97"/>
      <c r="R12" s="97"/>
    </row>
    <row r="13" spans="1:18" ht="74.25" customHeight="1">
      <c r="A13" s="18">
        <f>+MRS!A13</f>
        <v>8</v>
      </c>
      <c r="B13" s="141" t="str">
        <f>MRS!B13</f>
        <v>Stapler</v>
      </c>
      <c r="C13" s="142"/>
      <c r="D13" s="143" t="str">
        <f>MRS!D13</f>
        <v>Small</v>
      </c>
      <c r="E13" s="144"/>
      <c r="F13" s="145"/>
      <c r="G13" s="94" t="str">
        <f>MRS!G13</f>
        <v>EA</v>
      </c>
      <c r="H13" s="94">
        <f>MRS!H13</f>
        <v>2</v>
      </c>
      <c r="I13" s="95">
        <f>MRS!I13</f>
        <v>46</v>
      </c>
      <c r="J13" s="95">
        <f>MRS!J13</f>
        <v>92</v>
      </c>
      <c r="K13" s="96"/>
      <c r="O13" s="97"/>
      <c r="P13" s="97"/>
      <c r="R13" s="97"/>
    </row>
    <row r="14" spans="1:18" ht="74.25" customHeight="1">
      <c r="A14" s="18">
        <f>+MRS!A14</f>
        <v>9</v>
      </c>
      <c r="B14" s="141" t="str">
        <f>MRS!B14</f>
        <v>Steel Cabinet</v>
      </c>
      <c r="C14" s="142"/>
      <c r="D14" s="143" t="str">
        <f>MRS!D14</f>
        <v>4 Drawer</v>
      </c>
      <c r="E14" s="144"/>
      <c r="F14" s="145"/>
      <c r="G14" s="94" t="str">
        <f>MRS!G14</f>
        <v>EA</v>
      </c>
      <c r="H14" s="94">
        <f>MRS!H14</f>
        <v>1</v>
      </c>
      <c r="I14" s="95">
        <f>MRS!I14</f>
        <v>520</v>
      </c>
      <c r="J14" s="95">
        <f>MRS!J14</f>
        <v>520</v>
      </c>
      <c r="K14" s="96"/>
      <c r="O14" s="97"/>
      <c r="P14" s="97"/>
      <c r="R14" s="97"/>
    </row>
    <row r="15" spans="1:18" ht="74.25" customHeight="1">
      <c r="A15" s="18">
        <f>+MRS!A15</f>
        <v>10</v>
      </c>
      <c r="B15" s="141" t="str">
        <f>MRS!B15</f>
        <v>Sign Here Printed</v>
      </c>
      <c r="C15" s="142"/>
      <c r="D15" s="143" t="str">
        <f>MRS!D15</f>
        <v>20*1</v>
      </c>
      <c r="E15" s="144"/>
      <c r="F15" s="145"/>
      <c r="G15" s="94" t="str">
        <f>MRS!G15</f>
        <v>Box</v>
      </c>
      <c r="H15" s="94">
        <f>MRS!H15</f>
        <v>2</v>
      </c>
      <c r="I15" s="95">
        <f>MRS!I15</f>
        <v>72</v>
      </c>
      <c r="J15" s="95">
        <f>MRS!J15</f>
        <v>144</v>
      </c>
      <c r="K15" s="96"/>
      <c r="O15" s="97"/>
      <c r="P15" s="97"/>
      <c r="R15" s="97"/>
    </row>
    <row r="16" spans="1:18" ht="74.25" customHeight="1">
      <c r="A16" s="18">
        <f>+MRS!A16</f>
        <v>11</v>
      </c>
      <c r="B16" s="141" t="str">
        <f>MRS!B16</f>
        <v>Red Vest</v>
      </c>
      <c r="C16" s="142"/>
      <c r="D16" s="143" t="str">
        <f>MRS!D16</f>
        <v>Medium with Pocket</v>
      </c>
      <c r="E16" s="144"/>
      <c r="F16" s="145"/>
      <c r="G16" s="94" t="str">
        <f>MRS!G16</f>
        <v>EA</v>
      </c>
      <c r="H16" s="94">
        <f>MRS!H16</f>
        <v>50</v>
      </c>
      <c r="I16" s="95">
        <f>MRS!I16</f>
        <v>11</v>
      </c>
      <c r="J16" s="95">
        <f>MRS!J16</f>
        <v>550</v>
      </c>
      <c r="K16" s="96"/>
      <c r="O16" s="97"/>
      <c r="P16" s="97"/>
      <c r="R16" s="97"/>
    </row>
    <row r="17" spans="1:18" ht="74.25" customHeight="1">
      <c r="A17" s="18">
        <f>+MRS!A17</f>
        <v>12</v>
      </c>
      <c r="B17" s="141" t="str">
        <f>MRS!B17</f>
        <v>Safety Shoes</v>
      </c>
      <c r="C17" s="142"/>
      <c r="D17" s="143" t="str">
        <f>MRS!D17</f>
        <v>ROTO, 40-20/43-50/45-30/46-10</v>
      </c>
      <c r="E17" s="144"/>
      <c r="F17" s="145"/>
      <c r="G17" s="94" t="str">
        <f>MRS!G17</f>
        <v>Pair</v>
      </c>
      <c r="H17" s="94">
        <f>MRS!H17</f>
        <v>90</v>
      </c>
      <c r="I17" s="95">
        <f>MRS!I17</f>
        <v>63.5</v>
      </c>
      <c r="J17" s="95">
        <f>MRS!J17</f>
        <v>5715</v>
      </c>
      <c r="K17" s="96"/>
      <c r="O17" s="97"/>
      <c r="P17" s="97"/>
      <c r="R17" s="97"/>
    </row>
    <row r="18" spans="1:18" ht="74.25" customHeight="1">
      <c r="A18" s="18">
        <f>+MRS!A18</f>
        <v>13</v>
      </c>
      <c r="B18" s="141" t="str">
        <f>MRS!B18</f>
        <v>Magnifying Lence</v>
      </c>
      <c r="C18" s="142"/>
      <c r="D18" s="143">
        <f>MRS!D18</f>
        <v>0</v>
      </c>
      <c r="E18" s="144"/>
      <c r="F18" s="145"/>
      <c r="G18" s="94" t="str">
        <f>MRS!G18</f>
        <v>EA</v>
      </c>
      <c r="H18" s="94">
        <f>MRS!H18</f>
        <v>2</v>
      </c>
      <c r="I18" s="95">
        <f>MRS!I18</f>
        <v>9.5</v>
      </c>
      <c r="J18" s="95">
        <f>MRS!J18</f>
        <v>19</v>
      </c>
      <c r="K18" s="96"/>
      <c r="O18" s="97"/>
      <c r="P18" s="97"/>
      <c r="R18" s="97"/>
    </row>
    <row r="19" spans="1:18" ht="74.25" customHeight="1">
      <c r="A19" s="18">
        <f>+MRS!A19</f>
        <v>14</v>
      </c>
      <c r="B19" s="141" t="str">
        <f>MRS!B19</f>
        <v>Safety Shoes</v>
      </c>
      <c r="C19" s="142"/>
      <c r="D19" s="143" t="str">
        <f>MRS!D19</f>
        <v>K7 41-50/42-50</v>
      </c>
      <c r="E19" s="144"/>
      <c r="F19" s="145"/>
      <c r="G19" s="94" t="str">
        <f>MRS!G19</f>
        <v>Pair</v>
      </c>
      <c r="H19" s="94">
        <f>MRS!H19</f>
        <v>100</v>
      </c>
      <c r="I19" s="95">
        <f>MRS!I19</f>
        <v>63.5</v>
      </c>
      <c r="J19" s="95">
        <f>MRS!J19</f>
        <v>6350</v>
      </c>
      <c r="K19" s="96"/>
      <c r="O19" s="97"/>
      <c r="P19" s="97"/>
      <c r="R19" s="97"/>
    </row>
    <row r="20" spans="1:18" ht="74.25" customHeight="1">
      <c r="A20" s="18">
        <f>+MRS!A20</f>
        <v>15</v>
      </c>
      <c r="B20" s="141" t="str">
        <f>MRS!B20</f>
        <v>Drum Unit RI</v>
      </c>
      <c r="C20" s="142"/>
      <c r="D20" s="143">
        <f>MRS!D20</f>
        <v>0</v>
      </c>
      <c r="E20" s="144"/>
      <c r="F20" s="145"/>
      <c r="G20" s="94" t="str">
        <f>MRS!G20</f>
        <v>EA</v>
      </c>
      <c r="H20" s="94">
        <f>MRS!H20</f>
        <v>1</v>
      </c>
      <c r="I20" s="95">
        <f>MRS!I20</f>
        <v>1100</v>
      </c>
      <c r="J20" s="95">
        <f>MRS!J20</f>
        <v>1100</v>
      </c>
      <c r="K20" s="96"/>
      <c r="O20" s="97"/>
      <c r="P20" s="97"/>
      <c r="R20" s="97"/>
    </row>
    <row r="21" spans="1:18" ht="74.25" customHeight="1">
      <c r="A21" s="18">
        <f>+MRS!A21</f>
        <v>16</v>
      </c>
      <c r="B21" s="141" t="str">
        <f>MRS!B21</f>
        <v>FR Welder Coverall</v>
      </c>
      <c r="C21" s="142"/>
      <c r="D21" s="143" t="str">
        <f>MRS!D21</f>
        <v>M-20/XXXXL-2</v>
      </c>
      <c r="E21" s="144"/>
      <c r="F21" s="145"/>
      <c r="G21" s="94" t="str">
        <f>MRS!G21</f>
        <v>EA</v>
      </c>
      <c r="H21" s="94">
        <f>MRS!H21</f>
        <v>22</v>
      </c>
      <c r="I21" s="95">
        <f>MRS!I21</f>
        <v>77</v>
      </c>
      <c r="J21" s="95">
        <f>MRS!J21</f>
        <v>1694</v>
      </c>
      <c r="K21" s="96"/>
      <c r="O21" s="97"/>
      <c r="P21" s="97"/>
      <c r="R21" s="97"/>
    </row>
    <row r="22" spans="1:18" ht="74.25" customHeight="1">
      <c r="A22" s="18">
        <f>+MRS!A22</f>
        <v>17</v>
      </c>
      <c r="B22" s="141" t="str">
        <f>MRS!B22</f>
        <v>Water Bottle</v>
      </c>
      <c r="C22" s="142"/>
      <c r="D22" s="143">
        <f>MRS!D22</f>
        <v>0</v>
      </c>
      <c r="E22" s="144"/>
      <c r="F22" s="145"/>
      <c r="G22" s="94" t="str">
        <f>MRS!G22</f>
        <v>EA</v>
      </c>
      <c r="H22" s="94">
        <f>MRS!H22</f>
        <v>300</v>
      </c>
      <c r="I22" s="95">
        <f>MRS!I22</f>
        <v>10</v>
      </c>
      <c r="J22" s="95">
        <f>MRS!J22</f>
        <v>3000</v>
      </c>
      <c r="K22" s="96"/>
      <c r="O22" s="97"/>
      <c r="P22" s="97"/>
      <c r="R22" s="97"/>
    </row>
    <row r="23" spans="1:18" ht="74.25" customHeight="1">
      <c r="A23" s="18" t="e">
        <f>+MRS!#REF!</f>
        <v>#REF!</v>
      </c>
      <c r="B23" s="141" t="e">
        <f>MRS!#REF!</f>
        <v>#REF!</v>
      </c>
      <c r="C23" s="142"/>
      <c r="D23" s="143" t="e">
        <f>MRS!#REF!</f>
        <v>#REF!</v>
      </c>
      <c r="E23" s="144"/>
      <c r="F23" s="145"/>
      <c r="G23" s="94" t="e">
        <f>MRS!#REF!</f>
        <v>#REF!</v>
      </c>
      <c r="H23" s="94" t="e">
        <f>MRS!#REF!</f>
        <v>#REF!</v>
      </c>
      <c r="I23" s="95" t="e">
        <f>MRS!#REF!</f>
        <v>#REF!</v>
      </c>
      <c r="J23" s="95" t="e">
        <f>MRS!#REF!</f>
        <v>#REF!</v>
      </c>
      <c r="K23" s="96"/>
      <c r="O23" s="97"/>
      <c r="P23" s="97"/>
      <c r="R23" s="97"/>
    </row>
    <row r="24" spans="1:18" ht="74.25" customHeight="1">
      <c r="A24" s="18" t="e">
        <f>+MRS!#REF!</f>
        <v>#REF!</v>
      </c>
      <c r="B24" s="141" t="e">
        <f>MRS!#REF!</f>
        <v>#REF!</v>
      </c>
      <c r="C24" s="142"/>
      <c r="D24" s="143" t="e">
        <f>MRS!#REF!</f>
        <v>#REF!</v>
      </c>
      <c r="E24" s="144"/>
      <c r="F24" s="145"/>
      <c r="G24" s="94" t="e">
        <f>MRS!#REF!</f>
        <v>#REF!</v>
      </c>
      <c r="H24" s="94" t="e">
        <f>MRS!#REF!</f>
        <v>#REF!</v>
      </c>
      <c r="I24" s="95" t="e">
        <f>MRS!#REF!</f>
        <v>#REF!</v>
      </c>
      <c r="J24" s="95" t="e">
        <f>MRS!#REF!</f>
        <v>#REF!</v>
      </c>
      <c r="K24" s="96"/>
      <c r="O24" s="97"/>
      <c r="P24" s="97"/>
      <c r="R24" s="97"/>
    </row>
    <row r="25" spans="1:18" ht="74.25" customHeight="1">
      <c r="A25" s="18" t="e">
        <f>+MRS!#REF!</f>
        <v>#REF!</v>
      </c>
      <c r="B25" s="141" t="e">
        <f>MRS!#REF!</f>
        <v>#REF!</v>
      </c>
      <c r="C25" s="142"/>
      <c r="D25" s="143" t="e">
        <f>MRS!#REF!</f>
        <v>#REF!</v>
      </c>
      <c r="E25" s="144"/>
      <c r="F25" s="145"/>
      <c r="G25" s="94" t="e">
        <f>MRS!#REF!</f>
        <v>#REF!</v>
      </c>
      <c r="H25" s="94" t="e">
        <f>MRS!#REF!</f>
        <v>#REF!</v>
      </c>
      <c r="I25" s="95" t="e">
        <f>MRS!#REF!</f>
        <v>#REF!</v>
      </c>
      <c r="J25" s="95" t="e">
        <f>MRS!#REF!</f>
        <v>#REF!</v>
      </c>
      <c r="K25" s="96"/>
      <c r="O25" s="97"/>
      <c r="P25" s="97"/>
      <c r="R25" s="97"/>
    </row>
    <row r="26" spans="1:18" ht="74.25" customHeight="1">
      <c r="A26" s="18" t="e">
        <f>+MRS!#REF!</f>
        <v>#REF!</v>
      </c>
      <c r="B26" s="141" t="e">
        <f>MRS!#REF!</f>
        <v>#REF!</v>
      </c>
      <c r="C26" s="142"/>
      <c r="D26" s="143" t="e">
        <f>MRS!#REF!</f>
        <v>#REF!</v>
      </c>
      <c r="E26" s="144"/>
      <c r="F26" s="145"/>
      <c r="G26" s="94" t="e">
        <f>MRS!#REF!</f>
        <v>#REF!</v>
      </c>
      <c r="H26" s="94" t="e">
        <f>MRS!#REF!</f>
        <v>#REF!</v>
      </c>
      <c r="I26" s="95" t="e">
        <f>MRS!#REF!</f>
        <v>#REF!</v>
      </c>
      <c r="J26" s="95" t="e">
        <f>MRS!#REF!</f>
        <v>#REF!</v>
      </c>
      <c r="K26" s="96"/>
      <c r="O26" s="97"/>
      <c r="P26" s="97"/>
      <c r="R26" s="97"/>
    </row>
    <row r="27" spans="1:18" ht="74.25" customHeight="1">
      <c r="A27" s="18" t="e">
        <f>+MRS!#REF!</f>
        <v>#REF!</v>
      </c>
      <c r="B27" s="141" t="e">
        <f>MRS!#REF!</f>
        <v>#REF!</v>
      </c>
      <c r="C27" s="142"/>
      <c r="D27" s="143" t="e">
        <f>MRS!#REF!</f>
        <v>#REF!</v>
      </c>
      <c r="E27" s="144"/>
      <c r="F27" s="145"/>
      <c r="G27" s="94" t="e">
        <f>MRS!#REF!</f>
        <v>#REF!</v>
      </c>
      <c r="H27" s="94" t="e">
        <f>MRS!#REF!</f>
        <v>#REF!</v>
      </c>
      <c r="I27" s="95" t="e">
        <f>MRS!#REF!</f>
        <v>#REF!</v>
      </c>
      <c r="J27" s="95" t="e">
        <f>MRS!#REF!</f>
        <v>#REF!</v>
      </c>
      <c r="K27" s="96"/>
      <c r="O27" s="97"/>
      <c r="P27" s="97"/>
      <c r="R27" s="97"/>
    </row>
    <row r="28" spans="1:18" ht="74.25" customHeight="1">
      <c r="A28" s="18" t="e">
        <f>+MRS!#REF!</f>
        <v>#REF!</v>
      </c>
      <c r="B28" s="141" t="e">
        <f>MRS!#REF!</f>
        <v>#REF!</v>
      </c>
      <c r="C28" s="142"/>
      <c r="D28" s="143" t="e">
        <f>MRS!#REF!</f>
        <v>#REF!</v>
      </c>
      <c r="E28" s="144"/>
      <c r="F28" s="145"/>
      <c r="G28" s="94" t="e">
        <f>MRS!#REF!</f>
        <v>#REF!</v>
      </c>
      <c r="H28" s="94" t="e">
        <f>MRS!#REF!</f>
        <v>#REF!</v>
      </c>
      <c r="I28" s="95" t="e">
        <f>MRS!#REF!</f>
        <v>#REF!</v>
      </c>
      <c r="J28" s="95" t="e">
        <f>MRS!#REF!</f>
        <v>#REF!</v>
      </c>
      <c r="K28" s="96"/>
      <c r="O28" s="97"/>
      <c r="P28" s="97"/>
      <c r="R28" s="97"/>
    </row>
    <row r="29" spans="1:18" ht="74.25" customHeight="1">
      <c r="A29" s="18" t="e">
        <f>+MRS!#REF!</f>
        <v>#REF!</v>
      </c>
      <c r="B29" s="141" t="e">
        <f>MRS!#REF!</f>
        <v>#REF!</v>
      </c>
      <c r="C29" s="142"/>
      <c r="D29" s="143" t="e">
        <f>MRS!#REF!</f>
        <v>#REF!</v>
      </c>
      <c r="E29" s="144"/>
      <c r="F29" s="145"/>
      <c r="G29" s="94" t="e">
        <f>MRS!#REF!</f>
        <v>#REF!</v>
      </c>
      <c r="H29" s="94" t="e">
        <f>MRS!#REF!</f>
        <v>#REF!</v>
      </c>
      <c r="I29" s="95" t="e">
        <f>MRS!#REF!</f>
        <v>#REF!</v>
      </c>
      <c r="J29" s="95" t="e">
        <f>MRS!#REF!</f>
        <v>#REF!</v>
      </c>
      <c r="K29" s="96"/>
      <c r="O29" s="97"/>
      <c r="P29" s="97"/>
      <c r="R29" s="97"/>
    </row>
    <row r="30" spans="1:18" ht="74.25" customHeight="1">
      <c r="A30" s="18" t="e">
        <f>+MRS!#REF!</f>
        <v>#REF!</v>
      </c>
      <c r="B30" s="141" t="e">
        <f>MRS!#REF!</f>
        <v>#REF!</v>
      </c>
      <c r="C30" s="142"/>
      <c r="D30" s="143" t="e">
        <f>MRS!#REF!</f>
        <v>#REF!</v>
      </c>
      <c r="E30" s="144"/>
      <c r="F30" s="145"/>
      <c r="G30" s="94" t="e">
        <f>MRS!#REF!</f>
        <v>#REF!</v>
      </c>
      <c r="H30" s="94" t="e">
        <f>MRS!#REF!</f>
        <v>#REF!</v>
      </c>
      <c r="I30" s="95" t="e">
        <f>MRS!#REF!</f>
        <v>#REF!</v>
      </c>
      <c r="J30" s="95" t="e">
        <f>MRS!#REF!</f>
        <v>#REF!</v>
      </c>
      <c r="K30" s="96"/>
      <c r="O30" s="97"/>
      <c r="P30" s="97"/>
      <c r="R30" s="97"/>
    </row>
  </sheetData>
  <mergeCells count="60">
    <mergeCell ref="B25:C25"/>
    <mergeCell ref="D25:F25"/>
    <mergeCell ref="B26:C26"/>
    <mergeCell ref="D26:F26"/>
    <mergeCell ref="B30:C30"/>
    <mergeCell ref="D30:F30"/>
    <mergeCell ref="B27:C27"/>
    <mergeCell ref="B28:C28"/>
    <mergeCell ref="B29:C29"/>
    <mergeCell ref="D27:F27"/>
    <mergeCell ref="D28:F28"/>
    <mergeCell ref="D29:F29"/>
    <mergeCell ref="B22:C22"/>
    <mergeCell ref="D22:F22"/>
    <mergeCell ref="B23:C23"/>
    <mergeCell ref="D23:F23"/>
    <mergeCell ref="B24:C24"/>
    <mergeCell ref="D24:F24"/>
    <mergeCell ref="B19:C19"/>
    <mergeCell ref="D19:F19"/>
    <mergeCell ref="B20:C20"/>
    <mergeCell ref="D20:F20"/>
    <mergeCell ref="B21:C21"/>
    <mergeCell ref="D21:F21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8:C18"/>
    <mergeCell ref="D18:F18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K16" sqref="K16"/>
    </sheetView>
  </sheetViews>
  <sheetFormatPr defaultColWidth="9.140625" defaultRowHeight="12.75"/>
  <cols>
    <col min="1" max="1" width="1.5703125" style="23" customWidth="1"/>
    <col min="2" max="2" width="4.28515625" style="23" customWidth="1"/>
    <col min="3" max="3" width="9.140625" style="23" customWidth="1"/>
    <col min="4" max="4" width="11.5703125" style="23" bestFit="1" customWidth="1"/>
    <col min="5" max="5" width="2.5703125" style="23" customWidth="1"/>
    <col min="6" max="6" width="14" style="23" customWidth="1"/>
    <col min="7" max="7" width="6.5703125" style="23" customWidth="1"/>
    <col min="8" max="10" width="9.140625" style="23"/>
    <col min="11" max="11" width="9.7109375" style="23" bestFit="1" customWidth="1"/>
    <col min="12" max="13" width="9.140625" style="23"/>
    <col min="14" max="14" width="1.5703125" style="23" customWidth="1"/>
    <col min="15" max="16384" width="9.140625" style="23"/>
  </cols>
  <sheetData>
    <row r="2" spans="2:13" s="19" customFormat="1" ht="13.5">
      <c r="M2" s="20" t="s">
        <v>113</v>
      </c>
    </row>
    <row r="3" spans="2:13" s="19" customFormat="1">
      <c r="M3" s="21" t="s">
        <v>26</v>
      </c>
    </row>
    <row r="4" spans="2:13" s="19" customFormat="1">
      <c r="M4" s="21" t="s">
        <v>27</v>
      </c>
    </row>
    <row r="5" spans="2:13" s="19" customFormat="1">
      <c r="B5" s="22" t="s">
        <v>28</v>
      </c>
      <c r="M5" s="21" t="s">
        <v>29</v>
      </c>
    </row>
    <row r="6" spans="2:13" s="19" customFormat="1">
      <c r="M6" s="21" t="s">
        <v>30</v>
      </c>
    </row>
    <row r="7" spans="2:13">
      <c r="M7" s="24"/>
    </row>
    <row r="8" spans="2:13">
      <c r="M8" s="24"/>
    </row>
    <row r="9" spans="2:13" s="70" customFormat="1" ht="13.5">
      <c r="B9" s="68" t="s">
        <v>31</v>
      </c>
      <c r="C9" s="69" t="s">
        <v>112</v>
      </c>
      <c r="D9" s="35"/>
      <c r="E9" s="35"/>
    </row>
    <row r="10" spans="2:13" s="35" customFormat="1">
      <c r="B10" s="68"/>
      <c r="C10" s="35" t="s">
        <v>32</v>
      </c>
      <c r="D10" s="118">
        <v>2053026325</v>
      </c>
      <c r="J10" s="35" t="s">
        <v>33</v>
      </c>
      <c r="K10" s="149">
        <f>MRS!L3</f>
        <v>46158</v>
      </c>
      <c r="L10" s="150"/>
      <c r="M10" s="150"/>
    </row>
    <row r="11" spans="2:13" s="35" customFormat="1">
      <c r="B11" s="68"/>
      <c r="C11" s="71" t="s">
        <v>34</v>
      </c>
      <c r="D11" s="72" t="s">
        <v>99</v>
      </c>
      <c r="J11" s="35" t="s">
        <v>35</v>
      </c>
      <c r="K11" s="151" t="str">
        <f>SUBSTITUTE(SUBSTITUTE(+MRS!A3,"  MRS No : ",""),"-MRS","-PO")</f>
        <v>SAC2-DS-PO-0317</v>
      </c>
      <c r="L11" s="151"/>
      <c r="M11" s="151"/>
    </row>
    <row r="12" spans="2:13" s="35" customFormat="1">
      <c r="B12" s="68"/>
      <c r="C12" s="71" t="s">
        <v>36</v>
      </c>
      <c r="D12" s="35" t="s">
        <v>106</v>
      </c>
      <c r="J12" s="35" t="s">
        <v>37</v>
      </c>
    </row>
    <row r="13" spans="2:13" s="35" customFormat="1">
      <c r="B13" s="68"/>
      <c r="C13" s="73"/>
      <c r="D13" s="72" t="s">
        <v>107</v>
      </c>
      <c r="J13" s="35" t="s">
        <v>38</v>
      </c>
    </row>
    <row r="14" spans="2:13" s="35" customFormat="1">
      <c r="B14" s="68"/>
      <c r="C14" s="73" t="s">
        <v>100</v>
      </c>
      <c r="J14" s="35" t="s">
        <v>39</v>
      </c>
      <c r="K14" s="35" t="s">
        <v>203</v>
      </c>
    </row>
    <row r="15" spans="2:13" s="35" customFormat="1">
      <c r="B15" s="68"/>
      <c r="C15" s="73" t="s">
        <v>108</v>
      </c>
      <c r="J15" s="35" t="s">
        <v>40</v>
      </c>
      <c r="K15" s="74">
        <v>46158</v>
      </c>
    </row>
    <row r="16" spans="2:13" s="35" customFormat="1">
      <c r="C16" s="73"/>
      <c r="K16" s="74"/>
    </row>
    <row r="17" spans="2:13" ht="6" customHeight="1">
      <c r="C17" s="26"/>
      <c r="K17" s="27"/>
    </row>
    <row r="18" spans="2:13" ht="20.25">
      <c r="B18" s="152" t="s">
        <v>41</v>
      </c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</row>
    <row r="19" spans="2:13" ht="12" customHeight="1"/>
    <row r="20" spans="2:13" s="28" customFormat="1" ht="12" customHeight="1">
      <c r="B20" s="153" t="s">
        <v>42</v>
      </c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3"/>
    </row>
    <row r="21" spans="2:13" s="28" customFormat="1" ht="12" customHeight="1">
      <c r="B21" s="153" t="s">
        <v>43</v>
      </c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3"/>
    </row>
    <row r="22" spans="2:13" s="28" customFormat="1" ht="12" customHeight="1">
      <c r="B22" s="153" t="s">
        <v>44</v>
      </c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3"/>
    </row>
    <row r="23" spans="2:13" ht="6.95" customHeight="1"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2:13" ht="6.95" customHeight="1"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5"/>
    </row>
    <row r="25" spans="2:13" s="29" customFormat="1" ht="15" customHeight="1">
      <c r="B25" s="29">
        <v>1</v>
      </c>
      <c r="C25" s="29" t="s">
        <v>45</v>
      </c>
    </row>
    <row r="26" spans="2:13" s="35" customFormat="1" ht="12" customHeight="1">
      <c r="B26" s="69"/>
      <c r="C26" s="72" t="s">
        <v>109</v>
      </c>
      <c r="M26" s="75" t="s">
        <v>46</v>
      </c>
    </row>
    <row r="27" spans="2:13" ht="11.1" customHeight="1">
      <c r="B27" s="29"/>
    </row>
    <row r="28" spans="2:13" ht="15" customHeight="1">
      <c r="B28" s="29">
        <v>2</v>
      </c>
      <c r="C28" s="29" t="s">
        <v>47</v>
      </c>
    </row>
    <row r="29" spans="2:13" ht="12" customHeight="1">
      <c r="B29" s="29"/>
      <c r="C29" s="23" t="s">
        <v>48</v>
      </c>
      <c r="E29" s="23" t="s">
        <v>49</v>
      </c>
      <c r="F29" s="119">
        <f>'PO 2nd page'!G50</f>
        <v>56237.259999999995</v>
      </c>
      <c r="G29" s="101"/>
      <c r="H29" s="101"/>
      <c r="M29" s="30"/>
    </row>
    <row r="30" spans="2:13" ht="12" customHeight="1">
      <c r="B30" s="29"/>
      <c r="C30" s="23" t="s">
        <v>50</v>
      </c>
      <c r="E30" s="23" t="s">
        <v>49</v>
      </c>
      <c r="F30" s="119">
        <f>'PO 2nd page'!G51</f>
        <v>8435.5889999999981</v>
      </c>
      <c r="G30" s="101"/>
      <c r="H30" s="101"/>
    </row>
    <row r="31" spans="2:13" ht="12" customHeight="1">
      <c r="B31" s="29"/>
      <c r="C31" s="23" t="s">
        <v>51</v>
      </c>
      <c r="D31" s="31"/>
      <c r="E31" s="23" t="s">
        <v>49</v>
      </c>
      <c r="F31" s="119">
        <f>'PO 2nd page'!G52</f>
        <v>64672.848999999995</v>
      </c>
      <c r="G31" s="101"/>
      <c r="H31" s="101"/>
    </row>
    <row r="32" spans="2:13" ht="11.1" customHeight="1">
      <c r="B32" s="29"/>
    </row>
    <row r="33" spans="2:13" ht="15" customHeight="1">
      <c r="B33" s="29">
        <v>3</v>
      </c>
      <c r="C33" s="29" t="s">
        <v>52</v>
      </c>
    </row>
    <row r="34" spans="2:13" ht="12" customHeight="1">
      <c r="B34" s="29"/>
      <c r="C34" s="19" t="s">
        <v>53</v>
      </c>
    </row>
    <row r="35" spans="2:13" ht="12" customHeight="1">
      <c r="B35" s="29"/>
      <c r="C35" s="19" t="s">
        <v>54</v>
      </c>
    </row>
    <row r="36" spans="2:13" ht="12" customHeight="1">
      <c r="B36" s="29"/>
      <c r="C36" s="19" t="s">
        <v>55</v>
      </c>
    </row>
    <row r="37" spans="2:13" ht="6" customHeight="1">
      <c r="B37" s="29"/>
    </row>
    <row r="38" spans="2:13" ht="15" customHeight="1">
      <c r="B38" s="29">
        <v>4</v>
      </c>
      <c r="C38" s="29" t="s">
        <v>56</v>
      </c>
    </row>
    <row r="39" spans="2:13" ht="12" customHeight="1">
      <c r="B39" s="29"/>
      <c r="C39" s="23" t="s">
        <v>57</v>
      </c>
    </row>
    <row r="40" spans="2:13" ht="6" customHeight="1">
      <c r="B40" s="29"/>
    </row>
    <row r="41" spans="2:13" ht="15" customHeight="1">
      <c r="B41" s="29">
        <v>5</v>
      </c>
      <c r="C41" s="29" t="s">
        <v>58</v>
      </c>
    </row>
    <row r="42" spans="2:13" ht="12" customHeight="1">
      <c r="B42" s="29"/>
      <c r="C42" s="32" t="s">
        <v>59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9"/>
      <c r="C43" s="32" t="s">
        <v>60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9"/>
      <c r="C44" s="32" t="s">
        <v>61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9"/>
      <c r="C45" s="32" t="s">
        <v>62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9"/>
      <c r="C46" s="35" t="s">
        <v>63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9"/>
    </row>
    <row r="48" spans="2:13" ht="15" customHeight="1">
      <c r="B48" s="29">
        <v>6</v>
      </c>
      <c r="C48" s="29" t="s">
        <v>64</v>
      </c>
    </row>
    <row r="49" spans="2:16" s="35" customFormat="1" ht="12" customHeight="1">
      <c r="B49" s="76" t="s">
        <v>65</v>
      </c>
      <c r="C49" s="77" t="s">
        <v>104</v>
      </c>
      <c r="P49" s="78"/>
    </row>
    <row r="50" spans="2:16" s="79" customFormat="1" ht="12" customHeight="1">
      <c r="B50" s="80" t="s">
        <v>65</v>
      </c>
      <c r="C50" s="77" t="s">
        <v>93</v>
      </c>
    </row>
    <row r="51" spans="2:16" s="79" customFormat="1" ht="12" customHeight="1">
      <c r="B51" s="80" t="s">
        <v>65</v>
      </c>
      <c r="C51" s="77" t="s">
        <v>92</v>
      </c>
    </row>
    <row r="52" spans="2:16" s="79" customFormat="1" ht="6" customHeight="1">
      <c r="B52" s="80"/>
      <c r="C52" s="77"/>
    </row>
    <row r="53" spans="2:16" ht="15" customHeight="1">
      <c r="B53" s="38">
        <v>7</v>
      </c>
      <c r="C53" s="29" t="s">
        <v>114</v>
      </c>
    </row>
    <row r="54" spans="2:16" ht="12" customHeight="1">
      <c r="B54" s="80" t="s">
        <v>65</v>
      </c>
      <c r="C54" s="116" t="s">
        <v>115</v>
      </c>
      <c r="F54" s="23" t="s">
        <v>124</v>
      </c>
      <c r="P54" s="23" t="str">
        <f>UPPER(F54)</f>
        <v>ALRMOOZ TECHNICAL FOR GENERAL CONTRACTING EST.</v>
      </c>
    </row>
    <row r="55" spans="2:16" ht="12" customHeight="1">
      <c r="B55" s="80" t="s">
        <v>65</v>
      </c>
      <c r="C55" s="116" t="s">
        <v>116</v>
      </c>
      <c r="F55" s="117" t="s">
        <v>126</v>
      </c>
    </row>
    <row r="56" spans="2:16" ht="12" customHeight="1">
      <c r="B56" s="80" t="s">
        <v>65</v>
      </c>
      <c r="C56" s="116" t="s">
        <v>117</v>
      </c>
      <c r="F56" s="117" t="s">
        <v>127</v>
      </c>
    </row>
    <row r="57" spans="2:16" ht="12" customHeight="1">
      <c r="B57" s="80" t="s">
        <v>65</v>
      </c>
      <c r="C57" s="116" t="s">
        <v>118</v>
      </c>
      <c r="F57" s="23" t="s">
        <v>125</v>
      </c>
    </row>
    <row r="58" spans="2:16" ht="12" customHeight="1">
      <c r="B58" s="80" t="s">
        <v>65</v>
      </c>
      <c r="C58" s="116" t="s">
        <v>119</v>
      </c>
      <c r="F58" s="23" t="s">
        <v>120</v>
      </c>
    </row>
    <row r="59" spans="2:16" ht="12" customHeight="1">
      <c r="B59" s="80" t="s">
        <v>65</v>
      </c>
      <c r="C59" s="116" t="s">
        <v>121</v>
      </c>
      <c r="F59" s="23" t="s">
        <v>122</v>
      </c>
    </row>
    <row r="60" spans="2:16" ht="12" customHeight="1">
      <c r="B60" s="80"/>
      <c r="C60" s="116" t="s">
        <v>123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9"/>
    </row>
    <row r="63" spans="2:16" ht="11.1" customHeight="1">
      <c r="B63" s="38"/>
    </row>
    <row r="64" spans="2:16" ht="12" customHeight="1">
      <c r="B64" s="29" t="s">
        <v>66</v>
      </c>
      <c r="J64" s="29" t="s">
        <v>67</v>
      </c>
    </row>
    <row r="65" spans="1:13" ht="46.5" customHeight="1"/>
    <row r="66" spans="1:13" ht="16.5" customHeight="1">
      <c r="B66" s="23" t="s">
        <v>68</v>
      </c>
      <c r="J66" s="23" t="s">
        <v>68</v>
      </c>
    </row>
    <row r="67" spans="1:13" ht="16.5" customHeight="1">
      <c r="B67" s="23" t="s">
        <v>69</v>
      </c>
      <c r="J67" s="23" t="s">
        <v>70</v>
      </c>
      <c r="K67" s="19" t="str">
        <f>D12</f>
        <v>Muhammed Rafi</v>
      </c>
    </row>
    <row r="68" spans="1:13" ht="18" customHeight="1">
      <c r="B68" s="23" t="s">
        <v>71</v>
      </c>
      <c r="J68" s="23" t="s">
        <v>72</v>
      </c>
      <c r="K68" s="19" t="s">
        <v>110</v>
      </c>
    </row>
    <row r="69" spans="1:13" ht="15" customHeight="1">
      <c r="B69" s="23" t="s">
        <v>73</v>
      </c>
      <c r="J69" s="23" t="s">
        <v>74</v>
      </c>
    </row>
    <row r="70" spans="1:13" s="25" customFormat="1" ht="24.75" customHeight="1">
      <c r="B70" s="22" t="s">
        <v>111</v>
      </c>
      <c r="J70" s="156" t="str">
        <f>C9</f>
        <v>ATGC(Alrmooz Technical for General Contracting Est.)</v>
      </c>
      <c r="K70" s="156"/>
      <c r="L70" s="156"/>
      <c r="M70" s="156"/>
    </row>
    <row r="71" spans="1:13" ht="27.95" customHeight="1">
      <c r="A71" s="148" t="s">
        <v>75</v>
      </c>
      <c r="B71" s="148"/>
      <c r="C71" s="148"/>
      <c r="D71" s="148"/>
      <c r="E71" s="148"/>
      <c r="F71" s="148"/>
      <c r="G71" s="148"/>
      <c r="H71" s="148"/>
      <c r="I71" s="148"/>
      <c r="J71" s="148"/>
      <c r="K71" s="148"/>
      <c r="L71" s="148"/>
      <c r="M71" s="148"/>
    </row>
    <row r="78" spans="1:13">
      <c r="B78" s="29"/>
    </row>
    <row r="79" spans="1:13">
      <c r="B79" s="29"/>
    </row>
    <row r="80" spans="1:13">
      <c r="B80" s="29"/>
    </row>
    <row r="81" spans="2:2">
      <c r="B81" s="29"/>
    </row>
    <row r="82" spans="2:2">
      <c r="B82" s="29"/>
    </row>
    <row r="83" spans="2:2">
      <c r="B83" s="29"/>
    </row>
    <row r="84" spans="2:2">
      <c r="B84" s="29"/>
    </row>
    <row r="85" spans="2:2">
      <c r="B85" s="29"/>
    </row>
    <row r="86" spans="2:2">
      <c r="B86" s="29"/>
    </row>
    <row r="87" spans="2:2">
      <c r="B87" s="29"/>
    </row>
    <row r="88" spans="2:2">
      <c r="B88" s="29"/>
    </row>
    <row r="89" spans="2:2">
      <c r="B89" s="29"/>
    </row>
    <row r="90" spans="2:2">
      <c r="B90" s="29"/>
    </row>
    <row r="91" spans="2:2">
      <c r="B91" s="29"/>
    </row>
    <row r="92" spans="2:2">
      <c r="B92" s="29"/>
    </row>
    <row r="93" spans="2:2">
      <c r="B93" s="29"/>
    </row>
    <row r="94" spans="2:2">
      <c r="B94" s="29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60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30.42578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76</v>
      </c>
      <c r="B2" s="43" t="str">
        <f>+'PO 1st page'!K11</f>
        <v>SAC2-DS-PO-0317</v>
      </c>
      <c r="C2" s="163" t="s">
        <v>77</v>
      </c>
      <c r="D2" s="163"/>
      <c r="E2" s="163"/>
      <c r="F2" s="163"/>
      <c r="G2" s="44"/>
      <c r="H2" s="44"/>
    </row>
    <row r="3" spans="1:13" s="50" customFormat="1" ht="28.5" customHeight="1" thickBot="1">
      <c r="A3" s="45" t="s">
        <v>78</v>
      </c>
      <c r="B3" s="46">
        <f>+'PO 1st page'!K10</f>
        <v>46158</v>
      </c>
      <c r="C3" s="47"/>
      <c r="D3" s="48"/>
      <c r="E3" s="164" t="s">
        <v>79</v>
      </c>
      <c r="F3" s="164"/>
      <c r="G3" s="164"/>
      <c r="H3" s="164"/>
      <c r="I3" s="49"/>
    </row>
    <row r="4" spans="1:13" s="51" customFormat="1" ht="28.5" customHeight="1" thickTop="1">
      <c r="A4" s="165" t="s">
        <v>80</v>
      </c>
      <c r="B4" s="167" t="s">
        <v>81</v>
      </c>
      <c r="C4" s="168"/>
      <c r="D4" s="171" t="s">
        <v>82</v>
      </c>
      <c r="E4" s="171" t="s">
        <v>83</v>
      </c>
      <c r="F4" s="173" t="str">
        <f>'PO 1st page'!C9</f>
        <v>ATGC(Alrmooz Technical for General Contracting Est.)</v>
      </c>
      <c r="G4" s="174"/>
      <c r="H4" s="175" t="s">
        <v>84</v>
      </c>
      <c r="K4" s="52"/>
      <c r="L4" s="52"/>
      <c r="M4" s="52"/>
    </row>
    <row r="5" spans="1:13" s="51" customFormat="1" ht="21.95" customHeight="1">
      <c r="A5" s="166"/>
      <c r="B5" s="169"/>
      <c r="C5" s="170"/>
      <c r="D5" s="172"/>
      <c r="E5" s="172"/>
      <c r="F5" s="53" t="s">
        <v>85</v>
      </c>
      <c r="G5" s="53" t="s">
        <v>51</v>
      </c>
      <c r="H5" s="176"/>
      <c r="K5" s="52"/>
      <c r="L5" s="52"/>
      <c r="M5" s="52"/>
    </row>
    <row r="6" spans="1:13" s="51" customFormat="1" ht="18.75" customHeight="1">
      <c r="A6" s="81">
        <f t="shared" ref="A6:A49" si="0">ROW(A1)</f>
        <v>1</v>
      </c>
      <c r="B6" s="161" t="str">
        <f>_xlfn.CONCAT(MRS!B6," ",MRS!D6)</f>
        <v>Steel Cabinet 4 Drawer</v>
      </c>
      <c r="C6" s="162"/>
      <c r="D6" s="82" t="str">
        <f>MRS!G6</f>
        <v>EA</v>
      </c>
      <c r="E6" s="83">
        <f>MRS!H6</f>
        <v>1</v>
      </c>
      <c r="F6" s="84">
        <f>MRS!I6</f>
        <v>520</v>
      </c>
      <c r="G6" s="85">
        <f>F6*E6</f>
        <v>520</v>
      </c>
      <c r="H6" s="86"/>
      <c r="K6" s="87"/>
      <c r="L6" s="88"/>
      <c r="M6" s="52"/>
    </row>
    <row r="7" spans="1:13" s="51" customFormat="1" ht="18.75" customHeight="1">
      <c r="A7" s="81">
        <f t="shared" si="0"/>
        <v>2</v>
      </c>
      <c r="B7" s="161" t="str">
        <f>_xlfn.CONCAT(MRS!B7," ",MRS!D7)</f>
        <v>Dell Monitor 24"</v>
      </c>
      <c r="C7" s="162"/>
      <c r="D7" s="82" t="str">
        <f>MRS!G7</f>
        <v>EA</v>
      </c>
      <c r="E7" s="83">
        <f>MRS!H7</f>
        <v>2</v>
      </c>
      <c r="F7" s="84">
        <f>MRS!I7</f>
        <v>370</v>
      </c>
      <c r="G7" s="85">
        <f t="shared" ref="G7:G49" si="1">F7*E7</f>
        <v>740</v>
      </c>
      <c r="H7" s="86"/>
      <c r="K7" s="87"/>
      <c r="L7" s="88"/>
      <c r="M7" s="52"/>
    </row>
    <row r="8" spans="1:13" s="51" customFormat="1" ht="18.75" customHeight="1">
      <c r="A8" s="89">
        <f t="shared" si="0"/>
        <v>3</v>
      </c>
      <c r="B8" s="161" t="str">
        <f>_xlfn.CONCAT(MRS!B8," ",MRS!D8)</f>
        <v>PC Dell I5, 14Generation 16GB RAM 512SSD</v>
      </c>
      <c r="C8" s="162"/>
      <c r="D8" s="82" t="str">
        <f>MRS!G8</f>
        <v>EA</v>
      </c>
      <c r="E8" s="83">
        <f>MRS!H8</f>
        <v>1</v>
      </c>
      <c r="F8" s="84">
        <f>MRS!I8</f>
        <v>2218</v>
      </c>
      <c r="G8" s="85">
        <f t="shared" si="1"/>
        <v>2218</v>
      </c>
      <c r="H8" s="90"/>
      <c r="K8" s="52"/>
      <c r="L8" s="52"/>
      <c r="M8" s="52"/>
    </row>
    <row r="9" spans="1:13" s="51" customFormat="1" ht="18.75" customHeight="1">
      <c r="A9" s="89">
        <f t="shared" si="0"/>
        <v>4</v>
      </c>
      <c r="B9" s="161" t="str">
        <f>_xlfn.CONCAT(MRS!B9," ",MRS!D9)</f>
        <v>Manager Chair With Neck</v>
      </c>
      <c r="C9" s="162"/>
      <c r="D9" s="82" t="str">
        <f>MRS!G9</f>
        <v>EA</v>
      </c>
      <c r="E9" s="83">
        <f>MRS!H9</f>
        <v>3</v>
      </c>
      <c r="F9" s="84">
        <f>MRS!I9</f>
        <v>190</v>
      </c>
      <c r="G9" s="85">
        <f t="shared" si="1"/>
        <v>570</v>
      </c>
      <c r="H9" s="90"/>
    </row>
    <row r="10" spans="1:13" s="51" customFormat="1" ht="18.75" customHeight="1">
      <c r="A10" s="89">
        <f t="shared" si="0"/>
        <v>5</v>
      </c>
      <c r="B10" s="161" t="str">
        <f>_xlfn.CONCAT(MRS!B10," ",MRS!D10)</f>
        <v>Safety Googles Clear</v>
      </c>
      <c r="C10" s="162"/>
      <c r="D10" s="82" t="str">
        <f>MRS!G10</f>
        <v>EA</v>
      </c>
      <c r="E10" s="83">
        <f>MRS!H10</f>
        <v>500</v>
      </c>
      <c r="F10" s="84">
        <f>MRS!I10</f>
        <v>3</v>
      </c>
      <c r="G10" s="85">
        <f t="shared" si="1"/>
        <v>1500</v>
      </c>
      <c r="H10" s="90"/>
    </row>
    <row r="11" spans="1:13" s="51" customFormat="1" ht="18.75" customHeight="1">
      <c r="A11" s="89">
        <f t="shared" si="0"/>
        <v>6</v>
      </c>
      <c r="B11" s="161" t="str">
        <f>_xlfn.CONCAT(MRS!B11," ",MRS!D11)</f>
        <v>Flag 100*60 cm Green, Orange, Yellow, Red</v>
      </c>
      <c r="C11" s="162"/>
      <c r="D11" s="82" t="str">
        <f>MRS!G11</f>
        <v>EA</v>
      </c>
      <c r="E11" s="83">
        <f>MRS!H11</f>
        <v>80</v>
      </c>
      <c r="F11" s="84">
        <f>MRS!I11</f>
        <v>12.2</v>
      </c>
      <c r="G11" s="85">
        <f t="shared" si="1"/>
        <v>976</v>
      </c>
      <c r="H11" s="90"/>
    </row>
    <row r="12" spans="1:13" s="51" customFormat="1" ht="18.75" customHeight="1">
      <c r="A12" s="89">
        <f t="shared" si="0"/>
        <v>7</v>
      </c>
      <c r="B12" s="161" t="str">
        <f>_xlfn.CONCAT(MRS!B12," ",MRS!D12)</f>
        <v xml:space="preserve">Chain Strap </v>
      </c>
      <c r="C12" s="162"/>
      <c r="D12" s="82" t="str">
        <f>MRS!G12</f>
        <v>EA</v>
      </c>
      <c r="E12" s="83">
        <f>MRS!H12</f>
        <v>100</v>
      </c>
      <c r="F12" s="84">
        <f>MRS!I12</f>
        <v>1.3</v>
      </c>
      <c r="G12" s="85">
        <f t="shared" si="1"/>
        <v>130</v>
      </c>
      <c r="H12" s="90"/>
    </row>
    <row r="13" spans="1:13" s="51" customFormat="1" ht="18.75" customHeight="1">
      <c r="A13" s="89">
        <f t="shared" si="0"/>
        <v>8</v>
      </c>
      <c r="B13" s="161" t="str">
        <f>_xlfn.CONCAT(MRS!B13," ",MRS!D13)</f>
        <v>Stapler Small</v>
      </c>
      <c r="C13" s="162"/>
      <c r="D13" s="82" t="str">
        <f>MRS!G13</f>
        <v>EA</v>
      </c>
      <c r="E13" s="83">
        <f>MRS!H13</f>
        <v>2</v>
      </c>
      <c r="F13" s="84">
        <f>MRS!I13</f>
        <v>46</v>
      </c>
      <c r="G13" s="85">
        <f t="shared" si="1"/>
        <v>92</v>
      </c>
      <c r="H13" s="90"/>
    </row>
    <row r="14" spans="1:13" s="51" customFormat="1" ht="18.75" customHeight="1">
      <c r="A14" s="89">
        <f t="shared" si="0"/>
        <v>9</v>
      </c>
      <c r="B14" s="161" t="str">
        <f>_xlfn.CONCAT(MRS!B14," ",MRS!D14)</f>
        <v>Steel Cabinet 4 Drawer</v>
      </c>
      <c r="C14" s="162"/>
      <c r="D14" s="82" t="str">
        <f>MRS!G14</f>
        <v>EA</v>
      </c>
      <c r="E14" s="83">
        <f>MRS!H14</f>
        <v>1</v>
      </c>
      <c r="F14" s="84">
        <f>MRS!I14</f>
        <v>520</v>
      </c>
      <c r="G14" s="85">
        <f t="shared" si="1"/>
        <v>520</v>
      </c>
      <c r="H14" s="90"/>
    </row>
    <row r="15" spans="1:13" s="51" customFormat="1" ht="18.75" customHeight="1">
      <c r="A15" s="89">
        <f t="shared" si="0"/>
        <v>10</v>
      </c>
      <c r="B15" s="161" t="str">
        <f>_xlfn.CONCAT(MRS!B15," ",MRS!D15)</f>
        <v>Sign Here Printed 20*1</v>
      </c>
      <c r="C15" s="162"/>
      <c r="D15" s="82" t="str">
        <f>MRS!G15</f>
        <v>Box</v>
      </c>
      <c r="E15" s="83">
        <f>MRS!H15</f>
        <v>2</v>
      </c>
      <c r="F15" s="84">
        <f>MRS!I15</f>
        <v>72</v>
      </c>
      <c r="G15" s="85">
        <f t="shared" si="1"/>
        <v>144</v>
      </c>
      <c r="H15" s="90"/>
    </row>
    <row r="16" spans="1:13" s="51" customFormat="1" ht="18.75" customHeight="1">
      <c r="A16" s="89">
        <f t="shared" si="0"/>
        <v>11</v>
      </c>
      <c r="B16" s="161" t="str">
        <f>_xlfn.CONCAT(MRS!B16," ",MRS!D16)</f>
        <v>Red Vest Medium with Pocket</v>
      </c>
      <c r="C16" s="162"/>
      <c r="D16" s="82" t="str">
        <f>MRS!G16</f>
        <v>EA</v>
      </c>
      <c r="E16" s="83">
        <f>MRS!H16</f>
        <v>50</v>
      </c>
      <c r="F16" s="84">
        <f>MRS!I16</f>
        <v>11</v>
      </c>
      <c r="G16" s="85">
        <f t="shared" si="1"/>
        <v>550</v>
      </c>
      <c r="H16" s="90"/>
    </row>
    <row r="17" spans="1:8" s="51" customFormat="1" ht="18.75" customHeight="1">
      <c r="A17" s="89">
        <f t="shared" si="0"/>
        <v>12</v>
      </c>
      <c r="B17" s="161" t="str">
        <f>_xlfn.CONCAT(MRS!B17," ",MRS!D17)</f>
        <v>Safety Shoes ROTO, 40-20/43-50/45-30/46-10</v>
      </c>
      <c r="C17" s="162"/>
      <c r="D17" s="82" t="str">
        <f>MRS!G17</f>
        <v>Pair</v>
      </c>
      <c r="E17" s="83">
        <f>MRS!H17</f>
        <v>90</v>
      </c>
      <c r="F17" s="84">
        <f>MRS!I17</f>
        <v>63.5</v>
      </c>
      <c r="G17" s="85">
        <f t="shared" si="1"/>
        <v>5715</v>
      </c>
      <c r="H17" s="90"/>
    </row>
    <row r="18" spans="1:8" s="51" customFormat="1" ht="18.75" customHeight="1">
      <c r="A18" s="89">
        <f t="shared" si="0"/>
        <v>13</v>
      </c>
      <c r="B18" s="161" t="str">
        <f>_xlfn.CONCAT(MRS!B18," ",MRS!D18)</f>
        <v xml:space="preserve">Magnifying Lence </v>
      </c>
      <c r="C18" s="162"/>
      <c r="D18" s="82" t="str">
        <f>MRS!G18</f>
        <v>EA</v>
      </c>
      <c r="E18" s="83">
        <f>MRS!H18</f>
        <v>2</v>
      </c>
      <c r="F18" s="84">
        <f>MRS!I18</f>
        <v>9.5</v>
      </c>
      <c r="G18" s="85">
        <f t="shared" si="1"/>
        <v>19</v>
      </c>
      <c r="H18" s="90"/>
    </row>
    <row r="19" spans="1:8" s="51" customFormat="1" ht="18.75" customHeight="1">
      <c r="A19" s="89">
        <f t="shared" si="0"/>
        <v>14</v>
      </c>
      <c r="B19" s="161" t="str">
        <f>_xlfn.CONCAT(MRS!B19," ",MRS!D19)</f>
        <v>Safety Shoes K7 41-50/42-50</v>
      </c>
      <c r="C19" s="162"/>
      <c r="D19" s="82" t="str">
        <f>MRS!G19</f>
        <v>Pair</v>
      </c>
      <c r="E19" s="83">
        <f>MRS!H19</f>
        <v>100</v>
      </c>
      <c r="F19" s="84">
        <f>MRS!I19</f>
        <v>63.5</v>
      </c>
      <c r="G19" s="85">
        <f t="shared" si="1"/>
        <v>6350</v>
      </c>
      <c r="H19" s="90"/>
    </row>
    <row r="20" spans="1:8" s="51" customFormat="1" ht="18.75" customHeight="1">
      <c r="A20" s="89">
        <f t="shared" si="0"/>
        <v>15</v>
      </c>
      <c r="B20" s="161" t="str">
        <f>_xlfn.CONCAT(MRS!B20," ",MRS!D20)</f>
        <v xml:space="preserve">Drum Unit RI </v>
      </c>
      <c r="C20" s="162"/>
      <c r="D20" s="82" t="str">
        <f>MRS!G20</f>
        <v>EA</v>
      </c>
      <c r="E20" s="83">
        <f>MRS!H20</f>
        <v>1</v>
      </c>
      <c r="F20" s="84">
        <f>MRS!I20</f>
        <v>1100</v>
      </c>
      <c r="G20" s="85">
        <f t="shared" si="1"/>
        <v>1100</v>
      </c>
      <c r="H20" s="90"/>
    </row>
    <row r="21" spans="1:8" s="51" customFormat="1" ht="18.75" customHeight="1">
      <c r="A21" s="89">
        <f t="shared" si="0"/>
        <v>16</v>
      </c>
      <c r="B21" s="161" t="str">
        <f>_xlfn.CONCAT(MRS!B21," ",MRS!D21)</f>
        <v>FR Welder Coverall M-20/XXXXL-2</v>
      </c>
      <c r="C21" s="162"/>
      <c r="D21" s="82" t="str">
        <f>MRS!G21</f>
        <v>EA</v>
      </c>
      <c r="E21" s="83">
        <f>MRS!H21</f>
        <v>22</v>
      </c>
      <c r="F21" s="84">
        <f>MRS!I21</f>
        <v>77</v>
      </c>
      <c r="G21" s="85">
        <f t="shared" si="1"/>
        <v>1694</v>
      </c>
      <c r="H21" s="90"/>
    </row>
    <row r="22" spans="1:8" s="51" customFormat="1" ht="18.75" customHeight="1">
      <c r="A22" s="89">
        <f t="shared" si="0"/>
        <v>17</v>
      </c>
      <c r="B22" s="161" t="str">
        <f>_xlfn.CONCAT(MRS!B22," ",MRS!D22)</f>
        <v xml:space="preserve">Water Bottle </v>
      </c>
      <c r="C22" s="162"/>
      <c r="D22" s="82" t="str">
        <f>MRS!G22</f>
        <v>EA</v>
      </c>
      <c r="E22" s="83">
        <f>MRS!H22</f>
        <v>300</v>
      </c>
      <c r="F22" s="84">
        <f>MRS!I22</f>
        <v>10</v>
      </c>
      <c r="G22" s="85">
        <f t="shared" si="1"/>
        <v>3000</v>
      </c>
      <c r="H22" s="90"/>
    </row>
    <row r="23" spans="1:8" s="51" customFormat="1" ht="18.75" customHeight="1">
      <c r="A23" s="89">
        <f t="shared" si="0"/>
        <v>18</v>
      </c>
      <c r="B23" s="161" t="str">
        <f>_xlfn.CONCAT(MRS!B23," ",MRS!D23)</f>
        <v xml:space="preserve">Drum Unit </v>
      </c>
      <c r="C23" s="162"/>
      <c r="D23" s="82" t="str">
        <f>MRS!G23</f>
        <v>EA</v>
      </c>
      <c r="E23" s="83">
        <f>MRS!H23</f>
        <v>1</v>
      </c>
      <c r="F23" s="84">
        <f>MRS!I23</f>
        <v>1100</v>
      </c>
      <c r="G23" s="85">
        <f t="shared" si="1"/>
        <v>1100</v>
      </c>
      <c r="H23" s="90"/>
    </row>
    <row r="24" spans="1:8" s="51" customFormat="1" ht="18.75" customHeight="1">
      <c r="A24" s="89">
        <f t="shared" si="0"/>
        <v>19</v>
      </c>
      <c r="B24" s="161" t="str">
        <f>_xlfn.CONCAT(MRS!B24," ",MRS!D24)</f>
        <v>Round Mop 60CM</v>
      </c>
      <c r="C24" s="162"/>
      <c r="D24" s="82" t="str">
        <f>MRS!G24</f>
        <v>EA</v>
      </c>
      <c r="E24" s="83">
        <f>MRS!H24</f>
        <v>3</v>
      </c>
      <c r="F24" s="84">
        <f>MRS!I24</f>
        <v>13.42</v>
      </c>
      <c r="G24" s="85">
        <f t="shared" si="1"/>
        <v>40.26</v>
      </c>
      <c r="H24" s="90"/>
    </row>
    <row r="25" spans="1:8" s="51" customFormat="1" ht="18.75" customHeight="1">
      <c r="A25" s="89">
        <f t="shared" si="0"/>
        <v>20</v>
      </c>
      <c r="B25" s="161" t="str">
        <f>_xlfn.CONCAT(MRS!B25," ",MRS!D25)</f>
        <v>Welding Coverall XXXXL</v>
      </c>
      <c r="C25" s="162"/>
      <c r="D25" s="82" t="str">
        <f>MRS!G25</f>
        <v>EA</v>
      </c>
      <c r="E25" s="83">
        <f>MRS!H25</f>
        <v>5</v>
      </c>
      <c r="F25" s="84">
        <f>MRS!I25</f>
        <v>77</v>
      </c>
      <c r="G25" s="85">
        <f t="shared" si="1"/>
        <v>385</v>
      </c>
      <c r="H25" s="90"/>
    </row>
    <row r="26" spans="1:8" s="51" customFormat="1" ht="18.75" customHeight="1">
      <c r="A26" s="89">
        <f t="shared" si="0"/>
        <v>21</v>
      </c>
      <c r="B26" s="161" t="str">
        <f>_xlfn.CONCAT(MRS!B26," ",MRS!D26)</f>
        <v>Xerox Toner C7100 Black</v>
      </c>
      <c r="C26" s="162"/>
      <c r="D26" s="82" t="str">
        <f>MRS!G26</f>
        <v>EA</v>
      </c>
      <c r="E26" s="83">
        <f>MRS!H26</f>
        <v>2</v>
      </c>
      <c r="F26" s="84">
        <f>MRS!I26</f>
        <v>350</v>
      </c>
      <c r="G26" s="85">
        <f t="shared" si="1"/>
        <v>700</v>
      </c>
      <c r="H26" s="90"/>
    </row>
    <row r="27" spans="1:8" s="51" customFormat="1" ht="18.75" customHeight="1">
      <c r="A27" s="89">
        <f t="shared" si="0"/>
        <v>22</v>
      </c>
      <c r="B27" s="161" t="str">
        <f>_xlfn.CONCAT(MRS!B27," ",MRS!D27)</f>
        <v>Xerox Toner C7100 Cyan</v>
      </c>
      <c r="C27" s="162"/>
      <c r="D27" s="82" t="str">
        <f>MRS!G27</f>
        <v>EA</v>
      </c>
      <c r="E27" s="83">
        <f>MRS!H27</f>
        <v>1</v>
      </c>
      <c r="F27" s="84">
        <f>MRS!I27</f>
        <v>450</v>
      </c>
      <c r="G27" s="85">
        <f t="shared" si="1"/>
        <v>450</v>
      </c>
      <c r="H27" s="90"/>
    </row>
    <row r="28" spans="1:8" s="51" customFormat="1" ht="18.75" customHeight="1">
      <c r="A28" s="89">
        <f t="shared" si="0"/>
        <v>23</v>
      </c>
      <c r="B28" s="161" t="str">
        <f>_xlfn.CONCAT(MRS!B28," ",MRS!D28)</f>
        <v>Safety Helmet Yellow</v>
      </c>
      <c r="C28" s="162"/>
      <c r="D28" s="82" t="str">
        <f>MRS!G28</f>
        <v>EA</v>
      </c>
      <c r="E28" s="83">
        <f>MRS!H28</f>
        <v>20</v>
      </c>
      <c r="F28" s="84">
        <f>MRS!I28</f>
        <v>12</v>
      </c>
      <c r="G28" s="85">
        <f t="shared" si="1"/>
        <v>240</v>
      </c>
      <c r="H28" s="90"/>
    </row>
    <row r="29" spans="1:8" s="51" customFormat="1" ht="18.75" customHeight="1">
      <c r="A29" s="89">
        <f t="shared" si="0"/>
        <v>24</v>
      </c>
      <c r="B29" s="161" t="str">
        <f>_xlfn.CONCAT(MRS!B29," ",MRS!D29)</f>
        <v>Safety Helmet 3M</v>
      </c>
      <c r="C29" s="162"/>
      <c r="D29" s="82" t="str">
        <f>MRS!G29</f>
        <v>EA</v>
      </c>
      <c r="E29" s="83">
        <f>MRS!H29</f>
        <v>20</v>
      </c>
      <c r="F29" s="84">
        <f>MRS!I29</f>
        <v>45</v>
      </c>
      <c r="G29" s="85">
        <f t="shared" si="1"/>
        <v>900</v>
      </c>
      <c r="H29" s="90"/>
    </row>
    <row r="30" spans="1:8" s="51" customFormat="1" ht="18.75" customHeight="1">
      <c r="A30" s="89">
        <f t="shared" si="0"/>
        <v>25</v>
      </c>
      <c r="B30" s="161" t="str">
        <f>_xlfn.CONCAT(MRS!B30," ",MRS!D30)</f>
        <v>Safety Vest Yellow with Logo L-100/M-100/XL-100</v>
      </c>
      <c r="C30" s="162"/>
      <c r="D30" s="82" t="str">
        <f>MRS!G30</f>
        <v>EA</v>
      </c>
      <c r="E30" s="83">
        <f>MRS!H30</f>
        <v>300</v>
      </c>
      <c r="F30" s="84">
        <f>MRS!I30</f>
        <v>17</v>
      </c>
      <c r="G30" s="85">
        <f t="shared" si="1"/>
        <v>5100</v>
      </c>
      <c r="H30" s="90"/>
    </row>
    <row r="31" spans="1:8" s="51" customFormat="1" ht="18.75" customHeight="1">
      <c r="A31" s="89">
        <f t="shared" si="0"/>
        <v>26</v>
      </c>
      <c r="B31" s="161" t="str">
        <f>_xlfn.CONCAT(MRS!B31," ",MRS!D31)</f>
        <v>Safety Helmet White-30/Yellow-30</v>
      </c>
      <c r="C31" s="162"/>
      <c r="D31" s="82" t="str">
        <f>MRS!G31</f>
        <v>EA</v>
      </c>
      <c r="E31" s="83">
        <f>MRS!H31</f>
        <v>90</v>
      </c>
      <c r="F31" s="84">
        <f>MRS!I31</f>
        <v>12</v>
      </c>
      <c r="G31" s="85">
        <f t="shared" si="1"/>
        <v>1080</v>
      </c>
      <c r="H31" s="90"/>
    </row>
    <row r="32" spans="1:8" s="51" customFormat="1" ht="18.75" customHeight="1">
      <c r="A32" s="89">
        <f t="shared" si="0"/>
        <v>27</v>
      </c>
      <c r="B32" s="161" t="str">
        <f>_xlfn.CONCAT(MRS!B32," ",MRS!D32)</f>
        <v>Office Chair Without Neck</v>
      </c>
      <c r="C32" s="162"/>
      <c r="D32" s="82" t="str">
        <f>MRS!G32</f>
        <v>EA</v>
      </c>
      <c r="E32" s="83">
        <f>MRS!H32</f>
        <v>2</v>
      </c>
      <c r="F32" s="84">
        <f>MRS!I32</f>
        <v>156</v>
      </c>
      <c r="G32" s="85">
        <f t="shared" si="1"/>
        <v>312</v>
      </c>
      <c r="H32" s="90"/>
    </row>
    <row r="33" spans="1:8" s="51" customFormat="1" ht="18.75" customHeight="1">
      <c r="A33" s="89">
        <f t="shared" si="0"/>
        <v>28</v>
      </c>
      <c r="B33" s="161" t="str">
        <f>_xlfn.CONCAT(MRS!B33," ",MRS!D33)</f>
        <v>Hard Disc 1TB, Sandisk 1000MBPS</v>
      </c>
      <c r="C33" s="162"/>
      <c r="D33" s="82" t="str">
        <f>MRS!G33</f>
        <v>EA</v>
      </c>
      <c r="E33" s="83">
        <f>MRS!H33</f>
        <v>1</v>
      </c>
      <c r="F33" s="84">
        <f>MRS!I33</f>
        <v>780</v>
      </c>
      <c r="G33" s="85">
        <f t="shared" si="1"/>
        <v>780</v>
      </c>
      <c r="H33" s="90"/>
    </row>
    <row r="34" spans="1:8" s="51" customFormat="1" ht="18.75" customHeight="1">
      <c r="A34" s="89">
        <f t="shared" si="0"/>
        <v>29</v>
      </c>
      <c r="B34" s="161" t="str">
        <f>_xlfn.CONCAT(MRS!B34," ",MRS!D34)</f>
        <v>Magnifier Clear Lense Deli 2.2X</v>
      </c>
      <c r="C34" s="162"/>
      <c r="D34" s="82" t="str">
        <f>MRS!G34</f>
        <v>EA</v>
      </c>
      <c r="E34" s="83">
        <f>MRS!H34</f>
        <v>5</v>
      </c>
      <c r="F34" s="84">
        <f>MRS!I34</f>
        <v>9.5</v>
      </c>
      <c r="G34" s="85">
        <f t="shared" si="1"/>
        <v>47.5</v>
      </c>
      <c r="H34" s="90"/>
    </row>
    <row r="35" spans="1:8" s="51" customFormat="1" ht="18.75" customHeight="1">
      <c r="A35" s="89">
        <f t="shared" si="0"/>
        <v>30</v>
      </c>
      <c r="B35" s="161" t="str">
        <f>_xlfn.CONCAT(MRS!B35," ",MRS!D35)</f>
        <v>Wired Mouse Logitech M90</v>
      </c>
      <c r="C35" s="162"/>
      <c r="D35" s="82" t="str">
        <f>MRS!G35</f>
        <v>EA</v>
      </c>
      <c r="E35" s="83">
        <f>MRS!H35</f>
        <v>5</v>
      </c>
      <c r="F35" s="84">
        <f>MRS!I35</f>
        <v>21</v>
      </c>
      <c r="G35" s="85">
        <f t="shared" si="1"/>
        <v>105</v>
      </c>
      <c r="H35" s="90"/>
    </row>
    <row r="36" spans="1:8" s="51" customFormat="1" ht="18.75" customHeight="1">
      <c r="A36" s="89">
        <f t="shared" si="0"/>
        <v>31</v>
      </c>
      <c r="B36" s="161" t="str">
        <f>_xlfn.CONCAT(MRS!B36," ",MRS!D36)</f>
        <v>Trash Bag Najdeia, 10GLN 1*10</v>
      </c>
      <c r="C36" s="162"/>
      <c r="D36" s="82" t="str">
        <f>MRS!G36</f>
        <v>BDL</v>
      </c>
      <c r="E36" s="83">
        <f>MRS!H36</f>
        <v>15</v>
      </c>
      <c r="F36" s="84">
        <f>MRS!I36</f>
        <v>39</v>
      </c>
      <c r="G36" s="85">
        <f t="shared" si="1"/>
        <v>585</v>
      </c>
      <c r="H36" s="90"/>
    </row>
    <row r="37" spans="1:8" s="51" customFormat="1" ht="18.75" customHeight="1">
      <c r="A37" s="89">
        <f t="shared" si="0"/>
        <v>32</v>
      </c>
      <c r="B37" s="161" t="str">
        <f>_xlfn.CONCAT(MRS!B37," ",MRS!D37)</f>
        <v>Office Chair With Neck</v>
      </c>
      <c r="C37" s="162"/>
      <c r="D37" s="82" t="str">
        <f>MRS!G37</f>
        <v>EA</v>
      </c>
      <c r="E37" s="83">
        <f>MRS!H37</f>
        <v>5</v>
      </c>
      <c r="F37" s="84">
        <f>MRS!I37</f>
        <v>190</v>
      </c>
      <c r="G37" s="85">
        <f t="shared" si="1"/>
        <v>950</v>
      </c>
      <c r="H37" s="90"/>
    </row>
    <row r="38" spans="1:8" s="51" customFormat="1" ht="18.75" customHeight="1">
      <c r="A38" s="89">
        <f t="shared" si="0"/>
        <v>33</v>
      </c>
      <c r="B38" s="161" t="str">
        <f>_xlfn.CONCAT(MRS!B38," ",MRS!D38)</f>
        <v>Manager Table 450*70*140</v>
      </c>
      <c r="C38" s="162"/>
      <c r="D38" s="82" t="str">
        <f>MRS!G38</f>
        <v>EA</v>
      </c>
      <c r="E38" s="83">
        <f>MRS!H38</f>
        <v>3</v>
      </c>
      <c r="F38" s="84">
        <f>MRS!I38</f>
        <v>600</v>
      </c>
      <c r="G38" s="85">
        <f t="shared" si="1"/>
        <v>1800</v>
      </c>
      <c r="H38" s="90"/>
    </row>
    <row r="39" spans="1:8" s="51" customFormat="1" ht="18.75" customHeight="1">
      <c r="A39" s="89">
        <f t="shared" si="0"/>
        <v>34</v>
      </c>
      <c r="B39" s="161" t="str">
        <f>_xlfn.CONCAT(MRS!B39," ",MRS!D39)</f>
        <v>Time Card BST,100Pcs B862</v>
      </c>
      <c r="C39" s="162"/>
      <c r="D39" s="82" t="str">
        <f>MRS!G39</f>
        <v>Pkt</v>
      </c>
      <c r="E39" s="83">
        <f>MRS!H39</f>
        <v>36</v>
      </c>
      <c r="F39" s="84">
        <f>MRS!I39</f>
        <v>9</v>
      </c>
      <c r="G39" s="85">
        <f t="shared" si="1"/>
        <v>324</v>
      </c>
      <c r="H39" s="90"/>
    </row>
    <row r="40" spans="1:8" s="51" customFormat="1" ht="18.75" customHeight="1">
      <c r="A40" s="89">
        <f t="shared" si="0"/>
        <v>35</v>
      </c>
      <c r="B40" s="161" t="str">
        <f>_xlfn.CONCAT(MRS!B40," ",MRS!D40)</f>
        <v>A4 Box File 2 Inch 30*1</v>
      </c>
      <c r="C40" s="162"/>
      <c r="D40" s="82" t="str">
        <f>MRS!G40</f>
        <v>Box</v>
      </c>
      <c r="E40" s="83">
        <f>MRS!H40</f>
        <v>5</v>
      </c>
      <c r="F40" s="84">
        <f>MRS!I40</f>
        <v>150</v>
      </c>
      <c r="G40" s="85">
        <f t="shared" si="1"/>
        <v>750</v>
      </c>
      <c r="H40" s="90"/>
    </row>
    <row r="41" spans="1:8" s="51" customFormat="1" ht="18.75" customHeight="1">
      <c r="A41" s="89">
        <f t="shared" si="0"/>
        <v>36</v>
      </c>
      <c r="B41" s="161" t="str">
        <f>_xlfn.CONCAT(MRS!B41," ",MRS!D41)</f>
        <v>A3 Box File PVC 10pcs/CTN</v>
      </c>
      <c r="C41" s="162"/>
      <c r="D41" s="82" t="str">
        <f>MRS!G41</f>
        <v>Box</v>
      </c>
      <c r="E41" s="83">
        <f>MRS!H41</f>
        <v>3</v>
      </c>
      <c r="F41" s="84">
        <f>MRS!I41</f>
        <v>144</v>
      </c>
      <c r="G41" s="85">
        <f t="shared" si="1"/>
        <v>432</v>
      </c>
      <c r="H41" s="90"/>
    </row>
    <row r="42" spans="1:8" s="51" customFormat="1" ht="18.75" customHeight="1">
      <c r="A42" s="89">
        <f t="shared" si="0"/>
        <v>37</v>
      </c>
      <c r="B42" s="161" t="str">
        <f>_xlfn.CONCAT(MRS!B42," ",MRS!D42)</f>
        <v>Toilet Tissue Mouchoir</v>
      </c>
      <c r="C42" s="162"/>
      <c r="D42" s="82" t="str">
        <f>MRS!G42</f>
        <v>Pkt</v>
      </c>
      <c r="E42" s="83">
        <f>MRS!H42</f>
        <v>220</v>
      </c>
      <c r="F42" s="84">
        <f>MRS!I42</f>
        <v>15.25</v>
      </c>
      <c r="G42" s="85">
        <f t="shared" si="1"/>
        <v>3355</v>
      </c>
      <c r="H42" s="90"/>
    </row>
    <row r="43" spans="1:8" s="51" customFormat="1" ht="18.75" customHeight="1">
      <c r="A43" s="89">
        <f t="shared" si="0"/>
        <v>38</v>
      </c>
      <c r="B43" s="161" t="str">
        <f>_xlfn.CONCAT(MRS!B43," ",MRS!D43)</f>
        <v>Garbage Bag 100 Gln</v>
      </c>
      <c r="C43" s="162"/>
      <c r="D43" s="82" t="str">
        <f>MRS!G43</f>
        <v>BDL</v>
      </c>
      <c r="E43" s="83">
        <f>MRS!H43</f>
        <v>25</v>
      </c>
      <c r="F43" s="84">
        <f>MRS!I43</f>
        <v>41.5</v>
      </c>
      <c r="G43" s="85">
        <f t="shared" si="1"/>
        <v>1037.5</v>
      </c>
      <c r="H43" s="90"/>
    </row>
    <row r="44" spans="1:8" s="51" customFormat="1" ht="18.75" customHeight="1">
      <c r="A44" s="89">
        <f t="shared" si="0"/>
        <v>39</v>
      </c>
      <c r="B44" s="161" t="str">
        <f>_xlfn.CONCAT(MRS!B44," ",MRS!D44)</f>
        <v>Manager Table with attached Drawer 160*60*75</v>
      </c>
      <c r="C44" s="162"/>
      <c r="D44" s="82" t="str">
        <f>MRS!G44</f>
        <v>EA</v>
      </c>
      <c r="E44" s="83">
        <f>MRS!H44</f>
        <v>1</v>
      </c>
      <c r="F44" s="84">
        <f>MRS!I44</f>
        <v>550</v>
      </c>
      <c r="G44" s="85">
        <f t="shared" si="1"/>
        <v>550</v>
      </c>
      <c r="H44" s="90"/>
    </row>
    <row r="45" spans="1:8" s="51" customFormat="1" ht="18.75" customHeight="1">
      <c r="A45" s="89">
        <f t="shared" si="0"/>
        <v>40</v>
      </c>
      <c r="B45" s="161" t="str">
        <f>_xlfn.CONCAT(MRS!B45," ",MRS!D45)</f>
        <v>Office Table with attached Drawer 120*75*70</v>
      </c>
      <c r="C45" s="162"/>
      <c r="D45" s="82" t="str">
        <f>MRS!G45</f>
        <v>EA</v>
      </c>
      <c r="E45" s="83">
        <f>MRS!H45</f>
        <v>2</v>
      </c>
      <c r="F45" s="84">
        <f>MRS!I45</f>
        <v>400</v>
      </c>
      <c r="G45" s="85">
        <f t="shared" si="1"/>
        <v>800</v>
      </c>
      <c r="H45" s="90"/>
    </row>
    <row r="46" spans="1:8" s="51" customFormat="1" ht="18.75" customHeight="1">
      <c r="A46" s="89">
        <f t="shared" si="0"/>
        <v>41</v>
      </c>
      <c r="B46" s="161" t="str">
        <f>_xlfn.CONCAT(MRS!B46," ",MRS!D46)</f>
        <v>Drum Unit Ricoh C 6003 Cyan-2/Yellow-2/Magenta-2</v>
      </c>
      <c r="C46" s="162"/>
      <c r="D46" s="82" t="str">
        <f>MRS!G46</f>
        <v>EA</v>
      </c>
      <c r="E46" s="83">
        <f>MRS!H46</f>
        <v>3</v>
      </c>
      <c r="F46" s="84">
        <f>MRS!I46</f>
        <v>1680</v>
      </c>
      <c r="G46" s="85">
        <f t="shared" si="1"/>
        <v>5040</v>
      </c>
      <c r="H46" s="90"/>
    </row>
    <row r="47" spans="1:8" s="51" customFormat="1" ht="18.75" customHeight="1">
      <c r="A47" s="89">
        <f t="shared" si="0"/>
        <v>42</v>
      </c>
      <c r="B47" s="161" t="str">
        <f>_xlfn.CONCAT(MRS!B47," ",MRS!D47)</f>
        <v>Drum Unit Ricoh C 6003 Black</v>
      </c>
      <c r="C47" s="162"/>
      <c r="D47" s="82" t="str">
        <f>MRS!G47</f>
        <v>EA</v>
      </c>
      <c r="E47" s="83">
        <f>MRS!H47</f>
        <v>1</v>
      </c>
      <c r="F47" s="84">
        <f>MRS!I47</f>
        <v>1340</v>
      </c>
      <c r="G47" s="85">
        <f t="shared" si="1"/>
        <v>1340</v>
      </c>
      <c r="H47" s="90"/>
    </row>
    <row r="48" spans="1:8" s="51" customFormat="1" ht="18.75" customHeight="1">
      <c r="A48" s="89">
        <f t="shared" si="0"/>
        <v>43</v>
      </c>
      <c r="B48" s="161" t="str">
        <f>_xlfn.CONCAT(MRS!B48," ",MRS!D48)</f>
        <v>Ricoh Toner MP C 6003 Cyan-2/Yellow-2/Magenta-2</v>
      </c>
      <c r="C48" s="162"/>
      <c r="D48" s="82" t="str">
        <f>MRS!G48</f>
        <v>EA</v>
      </c>
      <c r="E48" s="83">
        <f>MRS!H48</f>
        <v>3</v>
      </c>
      <c r="F48" s="84">
        <f>MRS!I48</f>
        <v>504</v>
      </c>
      <c r="G48" s="85">
        <f t="shared" si="1"/>
        <v>1512</v>
      </c>
      <c r="H48" s="90"/>
    </row>
    <row r="49" spans="1:13" s="51" customFormat="1" ht="18.75" customHeight="1">
      <c r="A49" s="89">
        <f t="shared" si="0"/>
        <v>44</v>
      </c>
      <c r="B49" s="161" t="str">
        <f>_xlfn.CONCAT(MRS!B49," ",MRS!D49)</f>
        <v>Ricoh Toner MP C 6003 Black</v>
      </c>
      <c r="C49" s="162"/>
      <c r="D49" s="82" t="str">
        <f>MRS!G49</f>
        <v>EA</v>
      </c>
      <c r="E49" s="83">
        <f>MRS!H49</f>
        <v>2</v>
      </c>
      <c r="F49" s="84">
        <f>MRS!I49</f>
        <v>342</v>
      </c>
      <c r="G49" s="85">
        <f t="shared" si="1"/>
        <v>684</v>
      </c>
      <c r="H49" s="90"/>
    </row>
    <row r="50" spans="1:13" s="51" customFormat="1" ht="23.1" customHeight="1">
      <c r="A50" s="157" t="s">
        <v>86</v>
      </c>
      <c r="B50" s="158"/>
      <c r="C50" s="158"/>
      <c r="D50" s="158"/>
      <c r="E50" s="158"/>
      <c r="F50" s="158"/>
      <c r="G50" s="54">
        <f>SUM(G6:G49)</f>
        <v>56237.259999999995</v>
      </c>
      <c r="H50" s="55"/>
    </row>
    <row r="51" spans="1:13" s="51" customFormat="1" ht="23.1" customHeight="1">
      <c r="A51" s="157" t="s">
        <v>50</v>
      </c>
      <c r="B51" s="158"/>
      <c r="C51" s="158"/>
      <c r="D51" s="158"/>
      <c r="E51" s="158"/>
      <c r="F51" s="158"/>
      <c r="G51" s="54">
        <f>+G50*0.15</f>
        <v>8435.5889999999981</v>
      </c>
      <c r="H51" s="55"/>
    </row>
    <row r="52" spans="1:13" s="51" customFormat="1" ht="24.95" customHeight="1" thickBot="1">
      <c r="A52" s="159" t="s">
        <v>87</v>
      </c>
      <c r="B52" s="160"/>
      <c r="C52" s="160"/>
      <c r="D52" s="160"/>
      <c r="E52" s="160"/>
      <c r="F52" s="160"/>
      <c r="G52" s="56">
        <f>G51+G50</f>
        <v>64672.848999999995</v>
      </c>
      <c r="H52" s="57"/>
    </row>
    <row r="53" spans="1:13" ht="15.75" thickTop="1">
      <c r="A53" s="58" t="str">
        <f>" 1) Above Price are as per your quotation with ref "&amp;'PO 1st page'!K14</f>
        <v xml:space="preserve"> 1) Above Price are as per your quotation with ref QUO-MAT-260514009</v>
      </c>
      <c r="B53" s="59"/>
      <c r="C53" s="59"/>
      <c r="D53" s="60"/>
      <c r="E53" s="60"/>
      <c r="F53" s="60"/>
      <c r="G53" s="60"/>
      <c r="H53" s="60"/>
    </row>
    <row r="54" spans="1:13" ht="15">
      <c r="A54" s="61" t="s">
        <v>88</v>
      </c>
      <c r="B54" s="62"/>
      <c r="C54" s="62"/>
      <c r="D54" s="63"/>
      <c r="E54" s="63"/>
      <c r="F54" s="63"/>
      <c r="G54" s="63"/>
      <c r="H54" s="63"/>
      <c r="I54" s="64"/>
    </row>
    <row r="55" spans="1:13" ht="15.75">
      <c r="A55" s="65"/>
    </row>
    <row r="56" spans="1:13">
      <c r="A56" s="148" t="s">
        <v>89</v>
      </c>
      <c r="B56" s="148"/>
      <c r="C56" s="148"/>
      <c r="D56" s="148"/>
      <c r="E56" s="148"/>
      <c r="F56" s="148"/>
      <c r="G56" s="148"/>
      <c r="H56" s="148"/>
      <c r="I56" s="66"/>
      <c r="J56" s="66"/>
      <c r="K56" s="66"/>
      <c r="L56" s="66"/>
      <c r="M56" s="66"/>
    </row>
    <row r="57" spans="1:13" ht="15.75">
      <c r="A57" s="65"/>
      <c r="C57" s="67"/>
    </row>
    <row r="58" spans="1:13" ht="15.75">
      <c r="A58" s="65"/>
      <c r="C58" s="67"/>
    </row>
    <row r="60" spans="1:13" ht="12" customHeight="1"/>
  </sheetData>
  <mergeCells count="56">
    <mergeCell ref="B48:C48"/>
    <mergeCell ref="B49:C49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31:C31"/>
    <mergeCell ref="B32:C32"/>
    <mergeCell ref="B33:C33"/>
    <mergeCell ref="B34:C34"/>
    <mergeCell ref="B35:C35"/>
    <mergeCell ref="B25:C25"/>
    <mergeCell ref="B29:C29"/>
    <mergeCell ref="B30:C30"/>
    <mergeCell ref="B11:C11"/>
    <mergeCell ref="B12:C12"/>
    <mergeCell ref="B26:C26"/>
    <mergeCell ref="B27:C27"/>
    <mergeCell ref="B28:C28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50:F50"/>
    <mergeCell ref="A51:F51"/>
    <mergeCell ref="A52:F52"/>
    <mergeCell ref="A56:H56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9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2026-05-17T15:26:45Z</cp:lastPrinted>
  <dcterms:created xsi:type="dcterms:W3CDTF">2024-10-20T11:50:19Z</dcterms:created>
  <dcterms:modified xsi:type="dcterms:W3CDTF">2026-05-17T15:26:48Z</dcterms:modified>
</cp:coreProperties>
</file>