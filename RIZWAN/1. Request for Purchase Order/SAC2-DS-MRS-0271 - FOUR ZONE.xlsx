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72C0356F-5DCF-4597-963E-58CA887FD67A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E6" i="4"/>
  <c r="F6" i="4"/>
  <c r="D6" i="4"/>
  <c r="P54" i="3" l="1"/>
  <c r="B6" i="4" l="1"/>
  <c r="J7" i="2"/>
  <c r="H6" i="4"/>
  <c r="J8" i="2"/>
  <c r="I8" i="2"/>
  <c r="H8" i="2"/>
  <c r="G8" i="2"/>
  <c r="I7" i="2"/>
  <c r="H7" i="2"/>
  <c r="G7" i="2"/>
  <c r="D8" i="2"/>
  <c r="B8" i="2"/>
  <c r="D7" i="2"/>
  <c r="B7" i="2"/>
  <c r="E3" i="1"/>
  <c r="J6" i="1" l="1"/>
  <c r="G6" i="4" s="1"/>
  <c r="K10" i="3"/>
  <c r="A21" i="4" l="1"/>
  <c r="I6" i="2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67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<sst xmlns="http://schemas.openxmlformats.org/spreadsheetml/2006/main" count="171" uniqueCount="131">
  <si>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</si>
  <si>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</si>
  <si>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</si>
  <si>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</si>
  <si>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</si>
  <si>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</si>
  <si>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</si>
  <si>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</si>
  <si>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</si>
  <si>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</si>
  <si>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</si>
  <si>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</si>
  <si>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</si>
  <si>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</si>
  <si>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</si>
  <si>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</si>
  <si>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</si>
  <si>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</si>
  <si>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</si>
  <si>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</si>
  <si>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</si>
  <si>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</si>
  <si>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</si>
  <si>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</si>
  <si>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</si>
  <si>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</si>
  <si>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</si>
  <si>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</si>
  <si>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</si>
  <si>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</si>
  <si>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</si>
  <si>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</si>
  <si>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</si>
  <si>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</si>
  <si>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</si>
  <si>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</si>
  <si>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</si>
  <si>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</si>
  <si>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</si>
  <si>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</si>
  <si>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</si>
  <si>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</si>
  <si>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</si>
  <si>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</si>
  <si>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</si>
  <si>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</si>
  <si>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</si>
  <si>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</si>
  <si>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</si>
  <si>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</si>
  <si>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</si>
  <si>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</si>
  <si>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</si>
  <si>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</si>
  <si>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</si>
  <si>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</si>
  <si>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</si>
  <si>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</si>
  <si>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</si>
  <si>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</si>
  <si>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</si>
  <si>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</si>
  <si>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</si>
  <si>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</si>
  <si>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</si>
  <si>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</si>
  <si>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</si>
  <si>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</si>
  <si>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</si>
  <si>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</si>
  <si>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</si>
  <si>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</si>
  <si>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</si>
  <si>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</si>
  <si>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</si>
  <si>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</si>
  <si>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</si>
  <si>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</si>
  <si>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</si>
  <si>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</si>
  <si>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</si>
  <si>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</si>
  <si>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</si>
  <si>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</si>
  <si>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</si>
  <si>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</si>
  <si>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</si>
  <si>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</si>
  <si>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</si>
  <si>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</si>
  <si>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</si>
  <si>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</si>
  <si>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</si>
  <si>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</si>
  <si>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</si>
  <si>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FZCE</t>
  </si>
  <si>
    <t>310790022700003</t>
  </si>
  <si>
    <t>Bldg No . 7766 Al Dana, Al Jubail 35514, Kingdom of Saudi Arabia</t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</si>
  <si>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</si>
  <si>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</si>
  <si>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7" type="noConversion"/>
  </si>
  <si>
    <t xml:space="preserve">  PJT :  SACE2           </t>
    <phoneticPr fontId="7" type="noConversion"/>
  </si>
  <si>
    <t>Division (In charge Name) : ADMIN MANAGER (Dong Chang Kim)</t>
  </si>
  <si>
    <t>Subcontract name (SAC2-SC-IK-SMP-01)</t>
  </si>
  <si>
    <t>FZCE(Four Zone Contracting Est.)</t>
  </si>
  <si>
    <t xml:space="preserve">  Delivery &amp; Payment : Dong Chang Kim / Daeshin Admin. [ Mobile No. : +966 53 748 5762 / Email : kdchjs@daeshinplant.com ]</t>
  </si>
  <si>
    <t>Branch of Hyundai Engineering and Const. Co., Ltd. (HDEC)</t>
  </si>
  <si>
    <t>BRANCH OF HYUNDAI ENG. &amp; CONST. CO., LTD.</t>
  </si>
  <si>
    <t>Shahid</t>
  </si>
  <si>
    <t xml:space="preserve">+966 57 022 0960 / info@fourzonecontracting.com </t>
  </si>
  <si>
    <t>Mobile : +966 57 022 0960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</si>
  <si>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</si>
  <si>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</si>
  <si>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</si>
  <si>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</si>
  <si>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</si>
  <si>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</si>
  <si>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</si>
  <si>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</si>
  <si>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</si>
  <si>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FOUR ZONE CONTRACTING EST.</t>
  </si>
  <si>
    <t>THE SAUDI NATIONAL BANK</t>
  </si>
  <si>
    <t>NCBKSAJE</t>
  </si>
  <si>
    <t>Sales Executive</t>
  </si>
  <si>
    <t>01400013788710</t>
  </si>
  <si>
    <t>SA34 1000 0001 4000 1378 8710</t>
  </si>
  <si>
    <t>Rigger III</t>
  </si>
  <si>
    <t>Aramco Certified</t>
  </si>
  <si>
    <t>Hr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</si>
  <si>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-MRS-0271</t>
    </r>
  </si>
  <si>
    <t>FZ-OFFR-2026-1798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</si>
</sst>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9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8" fillId="2" borderId="0" xfId="1" applyFont="1" applyFill="1" applyAlignment="1">
      <alignment vertical="center"/>
    </xf>
    <xf numFmtId="0" fontId="42" fillId="3" borderId="0" xfId="5" quotePrefix="1" applyFont="1" applyFill="1"/>
    <xf numFmtId="0" fontId="55" fillId="3" borderId="0" xfId="5" applyFont="1" applyFill="1"/>
    <xf numFmtId="0" fontId="18" fillId="3" borderId="0" xfId="5" quotePrefix="1" applyFont="1" applyFill="1"/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28" fillId="3" borderId="0" xfId="5" applyFont="1" applyFill="1" applyAlignment="1">
      <alignment horizontal="center"/>
    </xf>
    <xf numFmtId="0" fontId="52" fillId="2" borderId="1" xfId="1" applyFont="1" applyFill="1" applyBorder="1" applyAlignment="1">
      <alignment horizontal="center" vertical="center"/>
    </xf>
    <xf numFmtId="0" fontId="52" fillId="2" borderId="2" xfId="1" applyFont="1" applyFill="1" applyBorder="1" applyAlignment="1">
      <alignment horizontal="center" vertical="center"/>
    </xf>
    <xf numFmtId="0" fontId="52" fillId="2" borderId="3" xfId="1" applyFont="1" applyFill="1" applyBorder="1" applyAlignment="1">
      <alignment horizontal="center" vertical="center"/>
    </xf>
    <xf numFmtId="0" fontId="53" fillId="2" borderId="4" xfId="1" applyFont="1" applyFill="1" applyBorder="1" applyAlignment="1">
      <alignment horizontal="center" vertical="center"/>
    </xf>
    <xf numFmtId="0" fontId="53" fillId="2" borderId="5" xfId="1" applyFont="1" applyFill="1" applyBorder="1" applyAlignment="1">
      <alignment horizontal="center" vertical="center"/>
    </xf>
    <xf numFmtId="0" fontId="53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902369</xdr:colOff>
          <xdr:row>17</xdr:row>
          <xdr:rowOff>70184</xdr:rowOff>
        </xdr:from>
        <xdr:to>
          <xdr:col>12</xdr:col>
          <xdr:colOff>501</xdr:colOff>
          <xdr:row>24</xdr:row>
          <xdr:rowOff>70185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7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76211" y="5053263"/>
              <a:ext cx="393081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A4" sqref="A4:A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99</v>
      </c>
      <c r="B1" s="110"/>
      <c r="C1" s="110"/>
      <c r="D1" s="110"/>
      <c r="E1" s="110"/>
      <c r="F1" s="110"/>
      <c r="G1" s="1"/>
      <c r="J1" s="150" t="s">
        <v>100</v>
      </c>
      <c r="K1" s="151"/>
      <c r="L1" s="152"/>
    </row>
    <row r="2" spans="1:19" ht="20.100000000000001" customHeight="1">
      <c r="A2" s="3" t="s">
        <v>101</v>
      </c>
      <c r="B2" s="101"/>
      <c r="C2" s="101"/>
      <c r="D2" s="3" t="s">
        <v>102</v>
      </c>
      <c r="E2" s="101"/>
      <c r="F2" s="101"/>
      <c r="G2" s="101"/>
      <c r="H2" s="101"/>
      <c r="I2" s="4"/>
      <c r="J2" s="153" t="s">
        <v>103</v>
      </c>
      <c r="K2" s="154"/>
      <c r="L2" s="155"/>
    </row>
    <row r="3" spans="1:19" ht="20.100000000000001" customHeight="1">
      <c r="A3" s="3" t="s">
        <v>129</v>
      </c>
      <c r="B3" s="101"/>
      <c r="C3" s="101"/>
      <c r="D3" s="101"/>
      <c r="E3" s="156">
        <f>+L3</f>
        <v>46109</v>
      </c>
      <c r="F3" s="156"/>
      <c r="G3" s="156"/>
      <c r="H3" s="156"/>
      <c r="I3" s="156"/>
      <c r="J3" s="101"/>
      <c r="K3" s="101"/>
      <c r="L3" s="122">
        <v>46109</v>
      </c>
      <c r="M3" s="4"/>
    </row>
    <row r="4" spans="1:19" ht="15.95" customHeight="1">
      <c r="A4" s="157" t="s">
        <v>1</v>
      </c>
      <c r="B4" s="158" t="s">
        <v>2</v>
      </c>
      <c r="C4" s="158"/>
      <c r="D4" s="159" t="s">
        <v>3</v>
      </c>
      <c r="E4" s="160"/>
      <c r="F4" s="161"/>
      <c r="G4" s="165" t="s">
        <v>4</v>
      </c>
      <c r="H4" s="167" t="s">
        <v>5</v>
      </c>
      <c r="I4" s="167" t="s">
        <v>93</v>
      </c>
      <c r="J4" s="157" t="s">
        <v>94</v>
      </c>
      <c r="K4" s="167" t="s">
        <v>0</v>
      </c>
      <c r="L4" s="158" t="s">
        <v>6</v>
      </c>
    </row>
    <row r="5" spans="1:19" ht="15.95" customHeight="1">
      <c r="A5" s="157"/>
      <c r="B5" s="158"/>
      <c r="C5" s="158"/>
      <c r="D5" s="162"/>
      <c r="E5" s="163"/>
      <c r="F5" s="164"/>
      <c r="G5" s="166"/>
      <c r="H5" s="168"/>
      <c r="I5" s="168"/>
      <c r="J5" s="157"/>
      <c r="K5" s="168"/>
      <c r="L5" s="158"/>
    </row>
    <row r="6" spans="1:19" ht="22.5" customHeight="1">
      <c r="A6" s="5">
        <f t="shared" ref="A6:A15" si="0">ROW(A1)</f>
        <v>1</v>
      </c>
      <c r="B6" s="169" t="s">
        <v>126</v>
      </c>
      <c r="C6" s="170"/>
      <c r="D6" s="171" t="s">
        <v>127</v>
      </c>
      <c r="E6" s="172"/>
      <c r="F6" s="173"/>
      <c r="G6" s="111" t="s">
        <v>128</v>
      </c>
      <c r="H6" s="112">
        <v>1</v>
      </c>
      <c r="I6" s="113">
        <v>65</v>
      </c>
      <c r="J6" s="113">
        <f>H6*I6</f>
        <v>65</v>
      </c>
      <c r="K6" s="114" t="s">
        <v>95</v>
      </c>
      <c r="L6" s="115" t="s">
        <v>98</v>
      </c>
      <c r="S6" s="106"/>
    </row>
    <row r="7" spans="1:19" ht="22.5" customHeight="1">
      <c r="A7" s="5">
        <f t="shared" si="0"/>
        <v>2</v>
      </c>
      <c r="B7" s="169"/>
      <c r="C7" s="170"/>
      <c r="D7" s="174"/>
      <c r="E7" s="172"/>
      <c r="F7" s="173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69"/>
      <c r="C8" s="170"/>
      <c r="D8" s="171"/>
      <c r="E8" s="172"/>
      <c r="F8" s="173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69"/>
      <c r="C9" s="170"/>
      <c r="D9" s="174"/>
      <c r="E9" s="172"/>
      <c r="F9" s="173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75"/>
      <c r="C10" s="175"/>
      <c r="D10" s="176"/>
      <c r="E10" s="176"/>
      <c r="F10" s="176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69"/>
      <c r="C11" s="170"/>
      <c r="D11" s="171"/>
      <c r="E11" s="172"/>
      <c r="F11" s="173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75"/>
      <c r="C12" s="175"/>
      <c r="D12" s="176"/>
      <c r="E12" s="176"/>
      <c r="F12" s="176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69"/>
      <c r="C13" s="170"/>
      <c r="D13" s="171"/>
      <c r="E13" s="172"/>
      <c r="F13" s="173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69"/>
      <c r="C14" s="170"/>
      <c r="D14" s="171"/>
      <c r="E14" s="172"/>
      <c r="F14" s="173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69"/>
      <c r="C15" s="170"/>
      <c r="D15" s="171"/>
      <c r="E15" s="172"/>
      <c r="F15" s="173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77" t="s">
        <v>7</v>
      </c>
      <c r="B16" s="178"/>
      <c r="C16" s="117"/>
      <c r="D16" s="118"/>
      <c r="E16" s="118"/>
      <c r="F16" s="118"/>
      <c r="G16" s="119"/>
      <c r="H16" s="119"/>
      <c r="I16" s="120" t="s">
        <v>8</v>
      </c>
      <c r="J16" s="113">
        <f>SUM(J6:J15)</f>
        <v>65</v>
      </c>
      <c r="K16" s="113"/>
      <c r="L16" s="121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79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80"/>
      <c r="T19" s="14"/>
      <c r="U19" s="15"/>
      <c r="V19" s="14"/>
    </row>
    <row r="20" spans="1:22" ht="17.100000000000001" customHeight="1">
      <c r="O20" s="11"/>
      <c r="P20" s="11"/>
      <c r="Q20" s="11"/>
      <c r="S20" s="181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82" t="s">
        <v>16</v>
      </c>
      <c r="Q21" s="182" t="s">
        <v>17</v>
      </c>
    </row>
    <row r="22" spans="1:22" ht="18" customHeight="1">
      <c r="O22" s="18" t="s">
        <v>18</v>
      </c>
      <c r="P22" s="183"/>
      <c r="Q22" s="183"/>
      <c r="S22" s="179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80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81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84"/>
      <c r="P27" s="184"/>
      <c r="Q27" s="184"/>
    </row>
    <row r="28" spans="1:22" ht="19.899999999999999" customHeight="1">
      <c r="O28" s="184"/>
      <c r="P28" s="184"/>
      <c r="Q28" s="184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82" t="s">
        <v>20</v>
      </c>
    </row>
    <row r="41" spans="15:22" ht="19.899999999999999" customHeight="1">
      <c r="T41" s="183"/>
    </row>
    <row r="42" spans="15:22" ht="64.900000000000006" customHeight="1">
      <c r="T42" s="14"/>
    </row>
    <row r="46" spans="15:22" ht="21" customHeight="1">
      <c r="O46" s="182" t="s">
        <v>20</v>
      </c>
      <c r="P46" s="182" t="s">
        <v>20</v>
      </c>
      <c r="Q46" s="182" t="s">
        <v>20</v>
      </c>
      <c r="T46" s="182" t="s">
        <v>21</v>
      </c>
      <c r="U46" s="182" t="s">
        <v>12</v>
      </c>
      <c r="V46" s="182" t="s">
        <v>20</v>
      </c>
    </row>
    <row r="47" spans="15:22" ht="21" customHeight="1">
      <c r="O47" s="183"/>
      <c r="P47" s="183"/>
      <c r="Q47" s="183"/>
      <c r="T47" s="181"/>
      <c r="U47" s="181"/>
      <c r="V47" s="183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82" t="s">
        <v>20</v>
      </c>
      <c r="P50" s="182" t="s">
        <v>20</v>
      </c>
      <c r="Q50" s="182" t="s">
        <v>20</v>
      </c>
      <c r="T50" s="182" t="s">
        <v>12</v>
      </c>
      <c r="U50" s="182" t="s">
        <v>21</v>
      </c>
      <c r="V50" s="182" t="s">
        <v>20</v>
      </c>
    </row>
    <row r="51" spans="15:22" ht="21" customHeight="1">
      <c r="O51" s="183"/>
      <c r="P51" s="183"/>
      <c r="Q51" s="183"/>
      <c r="T51" s="181"/>
      <c r="U51" s="181"/>
      <c r="V51" s="183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8:C8"/>
    <mergeCell ref="D8:F8"/>
    <mergeCell ref="B7:C7"/>
    <mergeCell ref="D7:F7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10" sqref="M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9" t="s">
        <v>92</v>
      </c>
      <c r="B1" s="100"/>
      <c r="C1" s="100"/>
      <c r="D1" s="100"/>
      <c r="E1" s="100"/>
      <c r="F1" s="100"/>
      <c r="G1" s="1"/>
      <c r="J1" s="185" t="str">
        <f>+MRS!J1</f>
        <v>DAESHIN PLANT</v>
      </c>
      <c r="K1" s="186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87" t="str">
        <f>+MRS!J2</f>
        <v>Subcontract name (SAC2-SC-IK-SMP-01)</v>
      </c>
      <c r="K2" s="188"/>
    </row>
    <row r="3" spans="1:18" ht="24.95" customHeight="1">
      <c r="A3" s="3" t="str">
        <f>+MRS!A3</f>
        <v xml:space="preserve">  MRS No : SAC2-DS-MRS-0271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46109</v>
      </c>
    </row>
    <row r="4" spans="1:18" ht="15.95" customHeight="1">
      <c r="A4" s="189" t="s">
        <v>1</v>
      </c>
      <c r="B4" s="190" t="s">
        <v>22</v>
      </c>
      <c r="C4" s="190"/>
      <c r="D4" s="189" t="s">
        <v>3</v>
      </c>
      <c r="E4" s="189"/>
      <c r="F4" s="189"/>
      <c r="G4" s="190" t="s">
        <v>4</v>
      </c>
      <c r="H4" s="189" t="s">
        <v>89</v>
      </c>
      <c r="I4" s="189" t="s">
        <v>23</v>
      </c>
      <c r="J4" s="189" t="s">
        <v>24</v>
      </c>
      <c r="K4" s="190" t="s">
        <v>6</v>
      </c>
    </row>
    <row r="5" spans="1:18" ht="15.95" customHeight="1">
      <c r="A5" s="189"/>
      <c r="B5" s="190"/>
      <c r="C5" s="190"/>
      <c r="D5" s="189"/>
      <c r="E5" s="189"/>
      <c r="F5" s="189"/>
      <c r="G5" s="190"/>
      <c r="H5" s="189"/>
      <c r="I5" s="189"/>
      <c r="J5" s="189"/>
      <c r="K5" s="190"/>
    </row>
    <row r="6" spans="1:18" ht="105" customHeight="1">
      <c r="A6" s="21">
        <f>+MRS!A6</f>
        <v>1</v>
      </c>
      <c r="B6" s="191" t="str">
        <f>MRS!B6</f>
        <v>Rigger III</v>
      </c>
      <c r="C6" s="192"/>
      <c r="D6" s="193" t="str">
        <f>MRS!D6</f>
        <v>Aramco Certified</v>
      </c>
      <c r="E6" s="194"/>
      <c r="F6" s="195"/>
      <c r="G6" s="103" t="str">
        <f>MRS!G6</f>
        <v>Hr</v>
      </c>
      <c r="H6" s="103">
        <f>MRS!H6</f>
        <v>1</v>
      </c>
      <c r="I6" s="104">
        <f>MRS!I6</f>
        <v>65</v>
      </c>
      <c r="J6" s="104">
        <f>MRS!J6</f>
        <v>65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91">
        <f>MRS!B7</f>
        <v>0</v>
      </c>
      <c r="C7" s="192"/>
      <c r="D7" s="193">
        <f>MRS!D7</f>
        <v>0</v>
      </c>
      <c r="E7" s="194"/>
      <c r="F7" s="195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91">
        <f>MRS!B8</f>
        <v>0</v>
      </c>
      <c r="C8" s="192"/>
      <c r="D8" s="193">
        <f>MRS!D8</f>
        <v>0</v>
      </c>
      <c r="E8" s="194"/>
      <c r="F8" s="195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96"/>
      <c r="C9" s="197"/>
      <c r="D9" s="198"/>
      <c r="E9" s="199"/>
      <c r="F9" s="200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96"/>
      <c r="C10" s="197"/>
      <c r="D10" s="198"/>
      <c r="E10" s="199"/>
      <c r="F10" s="200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96"/>
      <c r="C11" s="197"/>
      <c r="D11" s="198"/>
      <c r="E11" s="199"/>
      <c r="F11" s="200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96"/>
      <c r="C12" s="197"/>
      <c r="D12" s="198"/>
      <c r="E12" s="199"/>
      <c r="F12" s="200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96"/>
      <c r="C13" s="197"/>
      <c r="D13" s="198"/>
      <c r="E13" s="199"/>
      <c r="F13" s="200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96"/>
      <c r="C14" s="197"/>
      <c r="D14" s="198"/>
      <c r="E14" s="199"/>
      <c r="F14" s="200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96"/>
      <c r="C15" s="197"/>
      <c r="D15" s="198"/>
      <c r="E15" s="199"/>
      <c r="F15" s="200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96"/>
      <c r="C16" s="197"/>
      <c r="D16" s="198"/>
      <c r="E16" s="199"/>
      <c r="F16" s="200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96"/>
      <c r="C17" s="197"/>
      <c r="D17" s="198"/>
      <c r="E17" s="199"/>
      <c r="F17" s="200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C26" sqref="C2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107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104</v>
      </c>
      <c r="D9" s="39"/>
      <c r="E9" s="39"/>
    </row>
    <row r="10" spans="2:13" s="39" customFormat="1">
      <c r="B10" s="72"/>
      <c r="C10" s="39" t="s">
        <v>31</v>
      </c>
      <c r="D10" s="36">
        <v>2055133627</v>
      </c>
      <c r="J10" s="39" t="s">
        <v>32</v>
      </c>
      <c r="K10" s="201">
        <f>MRS!L3</f>
        <v>46109</v>
      </c>
      <c r="L10" s="202"/>
      <c r="M10" s="202"/>
    </row>
    <row r="11" spans="2:13" s="39" customFormat="1">
      <c r="B11" s="72"/>
      <c r="C11" s="75" t="s">
        <v>33</v>
      </c>
      <c r="D11" s="76" t="s">
        <v>96</v>
      </c>
      <c r="J11" s="39" t="s">
        <v>34</v>
      </c>
      <c r="K11" s="203" t="str">
        <f>SUBSTITUTE(SUBSTITUTE(+MRS!A3,"  MRS No : ",""),"-MRS","-PO")</f>
        <v>SAC2-DS-PO-0271</v>
      </c>
      <c r="L11" s="203"/>
      <c r="M11" s="203"/>
    </row>
    <row r="12" spans="2:13" s="39" customFormat="1">
      <c r="B12" s="72"/>
      <c r="C12" s="75" t="s">
        <v>35</v>
      </c>
      <c r="D12" s="39" t="s">
        <v>108</v>
      </c>
      <c r="J12" s="39" t="s">
        <v>36</v>
      </c>
    </row>
    <row r="13" spans="2:13" s="39" customFormat="1">
      <c r="B13" s="72"/>
      <c r="C13" s="77"/>
      <c r="D13" s="76" t="s">
        <v>109</v>
      </c>
      <c r="J13" s="39" t="s">
        <v>37</v>
      </c>
    </row>
    <row r="14" spans="2:13" s="39" customFormat="1">
      <c r="B14" s="72"/>
      <c r="C14" s="77" t="s">
        <v>97</v>
      </c>
      <c r="J14" s="39" t="s">
        <v>38</v>
      </c>
      <c r="K14" s="39" t="s">
        <v>130</v>
      </c>
    </row>
    <row r="15" spans="2:13" s="39" customFormat="1">
      <c r="B15" s="72"/>
      <c r="C15" s="77" t="s">
        <v>110</v>
      </c>
      <c r="J15" s="39" t="s">
        <v>39</v>
      </c>
      <c r="K15" s="78">
        <v>46104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204" t="s">
        <v>40</v>
      </c>
      <c r="C18" s="204"/>
      <c r="D18" s="204"/>
      <c r="E18" s="204"/>
      <c r="F18" s="204"/>
      <c r="G18" s="204"/>
      <c r="H18" s="204"/>
      <c r="I18" s="204"/>
      <c r="J18" s="204"/>
      <c r="K18" s="204"/>
      <c r="L18" s="204"/>
      <c r="M18" s="204"/>
    </row>
    <row r="19" spans="2:13" ht="12" customHeight="1"/>
    <row r="20" spans="2:13" s="31" customFormat="1" ht="12" customHeight="1">
      <c r="B20" s="205" t="s">
        <v>41</v>
      </c>
      <c r="C20" s="205"/>
      <c r="D20" s="205"/>
      <c r="E20" s="205"/>
      <c r="F20" s="205"/>
      <c r="G20" s="205"/>
      <c r="H20" s="205"/>
      <c r="I20" s="205"/>
      <c r="J20" s="205"/>
      <c r="K20" s="205"/>
      <c r="L20" s="205"/>
      <c r="M20" s="205"/>
    </row>
    <row r="21" spans="2:13" s="31" customFormat="1" ht="12" customHeight="1">
      <c r="B21" s="205" t="s">
        <v>42</v>
      </c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5"/>
    </row>
    <row r="22" spans="2:13" s="31" customFormat="1" ht="12" customHeight="1">
      <c r="B22" s="205" t="s">
        <v>43</v>
      </c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</row>
    <row r="23" spans="2:13" ht="6.95" customHeight="1">
      <c r="B23" s="206"/>
      <c r="C23" s="206"/>
      <c r="D23" s="206"/>
      <c r="E23" s="206"/>
      <c r="F23" s="206"/>
      <c r="G23" s="206"/>
      <c r="H23" s="206"/>
      <c r="I23" s="206"/>
      <c r="J23" s="206"/>
      <c r="K23" s="206"/>
      <c r="L23" s="206"/>
      <c r="M23" s="206"/>
    </row>
    <row r="24" spans="2:13" ht="6.95" customHeight="1">
      <c r="B24" s="207"/>
      <c r="C24" s="207"/>
      <c r="D24" s="207"/>
      <c r="E24" s="207"/>
      <c r="F24" s="207"/>
      <c r="G24" s="207"/>
      <c r="H24" s="207"/>
      <c r="I24" s="207"/>
      <c r="J24" s="207"/>
      <c r="K24" s="207"/>
      <c r="L24" s="207"/>
      <c r="M24" s="207"/>
    </row>
    <row r="25" spans="2:13" s="32" customFormat="1" ht="15" customHeight="1">
      <c r="B25" s="32">
        <v>1</v>
      </c>
      <c r="C25" s="32" t="s">
        <v>44</v>
      </c>
    </row>
    <row r="26" spans="2:13" s="39" customFormat="1" ht="12" customHeight="1">
      <c r="B26" s="73"/>
      <c r="C26" s="124" t="str">
        <f>_xlfn.CONCAT(MRS!B6," ",MRS!D6)</f>
        <v>Rigger III Aramco Certified</v>
      </c>
      <c r="M26" s="79" t="s">
        <v>45</v>
      </c>
    </row>
    <row r="27" spans="2:13" ht="11.1" customHeight="1">
      <c r="B27" s="32"/>
      <c r="C27" s="126"/>
    </row>
    <row r="28" spans="2:13" ht="15" customHeight="1">
      <c r="B28" s="32">
        <v>2</v>
      </c>
      <c r="C28" s="32" t="s">
        <v>46</v>
      </c>
    </row>
    <row r="29" spans="2:13" ht="12" customHeight="1">
      <c r="B29" s="32"/>
      <c r="C29" s="26" t="s">
        <v>47</v>
      </c>
      <c r="E29" s="26" t="s">
        <v>48</v>
      </c>
      <c r="F29" s="208" t="s">
        <v>98</v>
      </c>
      <c r="G29" s="208"/>
      <c r="H29" s="33"/>
      <c r="M29" s="34"/>
    </row>
    <row r="30" spans="2:13" ht="12" customHeight="1">
      <c r="B30" s="32"/>
      <c r="C30" s="26" t="s">
        <v>49</v>
      </c>
      <c r="E30" s="26" t="s">
        <v>48</v>
      </c>
      <c r="F30" s="208"/>
      <c r="G30" s="208"/>
    </row>
    <row r="31" spans="2:13" ht="12" customHeight="1">
      <c r="B31" s="32"/>
      <c r="C31" s="26" t="s">
        <v>50</v>
      </c>
      <c r="D31" s="35"/>
      <c r="E31" s="26" t="s">
        <v>48</v>
      </c>
      <c r="F31" s="208"/>
      <c r="G31" s="208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51</v>
      </c>
    </row>
    <row r="34" spans="2:13" ht="12" customHeight="1">
      <c r="B34" s="32"/>
      <c r="C34" s="22" t="s">
        <v>52</v>
      </c>
    </row>
    <row r="35" spans="2:13" ht="12" customHeight="1">
      <c r="B35" s="32"/>
      <c r="C35" s="22" t="s">
        <v>53</v>
      </c>
    </row>
    <row r="36" spans="2:13" ht="12" customHeight="1">
      <c r="B36" s="32"/>
      <c r="C36" s="22" t="s">
        <v>54</v>
      </c>
    </row>
    <row r="37" spans="2:13" ht="11.1" customHeight="1">
      <c r="B37" s="32"/>
    </row>
    <row r="38" spans="2:13" ht="15" customHeight="1">
      <c r="B38" s="32">
        <v>4</v>
      </c>
      <c r="C38" s="32" t="s">
        <v>55</v>
      </c>
    </row>
    <row r="39" spans="2:13" ht="12" customHeight="1">
      <c r="B39" s="32"/>
      <c r="C39" s="26" t="s">
        <v>56</v>
      </c>
    </row>
    <row r="40" spans="2:13" ht="11.1" customHeight="1">
      <c r="B40" s="32"/>
    </row>
    <row r="41" spans="2:13" ht="15" customHeight="1">
      <c r="B41" s="32">
        <v>5</v>
      </c>
      <c r="C41" s="32" t="s">
        <v>57</v>
      </c>
    </row>
    <row r="42" spans="2:13" ht="12" customHeight="1">
      <c r="B42" s="32"/>
      <c r="C42" s="36" t="s">
        <v>58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59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60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61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62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15" customHeight="1">
      <c r="B48" s="32">
        <v>6</v>
      </c>
      <c r="C48" s="32" t="s">
        <v>63</v>
      </c>
    </row>
    <row r="49" spans="2:16" s="39" customFormat="1" ht="12" customHeight="1">
      <c r="B49" s="80" t="s">
        <v>64</v>
      </c>
      <c r="C49" s="81" t="s">
        <v>105</v>
      </c>
      <c r="P49" s="82"/>
    </row>
    <row r="50" spans="2:16" s="83" customFormat="1" ht="12" customHeight="1">
      <c r="B50" s="84" t="s">
        <v>64</v>
      </c>
      <c r="C50" s="81" t="s">
        <v>91</v>
      </c>
    </row>
    <row r="51" spans="2:16" s="83" customFormat="1" ht="12" customHeight="1">
      <c r="B51" s="84" t="s">
        <v>64</v>
      </c>
      <c r="C51" s="81" t="s">
        <v>90</v>
      </c>
    </row>
    <row r="52" spans="2:16" s="83" customFormat="1" ht="6" customHeight="1">
      <c r="B52" s="84"/>
      <c r="C52" s="81"/>
    </row>
    <row r="53" spans="2:16" ht="15" customHeight="1">
      <c r="B53" s="42">
        <v>7</v>
      </c>
      <c r="C53" s="32" t="s">
        <v>111</v>
      </c>
    </row>
    <row r="54" spans="2:16" ht="12" customHeight="1">
      <c r="B54" s="84" t="s">
        <v>64</v>
      </c>
      <c r="C54" s="125" t="s">
        <v>112</v>
      </c>
      <c r="F54" s="26" t="s">
        <v>120</v>
      </c>
      <c r="P54" s="26" t="str">
        <f>UPPER(F54)</f>
        <v>FOUR ZONE CONTRACTING EST.</v>
      </c>
    </row>
    <row r="55" spans="2:16" ht="12" customHeight="1">
      <c r="B55" s="84" t="s">
        <v>64</v>
      </c>
      <c r="C55" s="125" t="s">
        <v>113</v>
      </c>
      <c r="F55" s="126" t="s">
        <v>124</v>
      </c>
    </row>
    <row r="56" spans="2:16" ht="12" customHeight="1">
      <c r="B56" s="84" t="s">
        <v>64</v>
      </c>
      <c r="C56" s="125" t="s">
        <v>114</v>
      </c>
      <c r="F56" s="126" t="s">
        <v>125</v>
      </c>
    </row>
    <row r="57" spans="2:16" ht="12" customHeight="1">
      <c r="B57" s="84" t="s">
        <v>64</v>
      </c>
      <c r="C57" s="125" t="s">
        <v>115</v>
      </c>
      <c r="F57" s="26" t="s">
        <v>121</v>
      </c>
    </row>
    <row r="58" spans="2:16" ht="12" customHeight="1">
      <c r="B58" s="84" t="s">
        <v>64</v>
      </c>
      <c r="C58" s="125" t="s">
        <v>116</v>
      </c>
      <c r="F58" s="26" t="s">
        <v>122</v>
      </c>
    </row>
    <row r="59" spans="2:16" ht="12" customHeight="1">
      <c r="B59" s="84" t="s">
        <v>64</v>
      </c>
      <c r="C59" s="125" t="s">
        <v>117</v>
      </c>
      <c r="F59" s="26" t="s">
        <v>118</v>
      </c>
    </row>
    <row r="60" spans="2:16" ht="12" customHeight="1">
      <c r="B60" s="84"/>
      <c r="C60" s="125" t="s">
        <v>119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7.5" customHeight="1">
      <c r="B63" s="42"/>
    </row>
    <row r="64" spans="2:16">
      <c r="B64" s="32" t="s">
        <v>65</v>
      </c>
      <c r="J64" s="32" t="s">
        <v>66</v>
      </c>
    </row>
    <row r="65" spans="1:13" ht="42.75" customHeight="1"/>
    <row r="66" spans="1:13" ht="18" customHeight="1">
      <c r="B66" s="26" t="s">
        <v>67</v>
      </c>
      <c r="J66" s="26" t="s">
        <v>67</v>
      </c>
    </row>
    <row r="67" spans="1:13" ht="18" customHeight="1">
      <c r="B67" s="26" t="s">
        <v>68</v>
      </c>
      <c r="J67" s="26" t="s">
        <v>69</v>
      </c>
      <c r="K67" s="22" t="str">
        <f>UPPER(D12)</f>
        <v>SHAHID</v>
      </c>
    </row>
    <row r="68" spans="1:13" ht="18" customHeight="1">
      <c r="B68" s="26" t="s">
        <v>70</v>
      </c>
      <c r="J68" s="26" t="s">
        <v>71</v>
      </c>
      <c r="K68" s="22" t="s">
        <v>123</v>
      </c>
    </row>
    <row r="69" spans="1:13" ht="15" customHeight="1">
      <c r="B69" s="26" t="s">
        <v>72</v>
      </c>
      <c r="J69" s="26" t="s">
        <v>73</v>
      </c>
    </row>
    <row r="70" spans="1:13" s="28" customFormat="1" ht="15" customHeight="1">
      <c r="B70" s="25" t="s">
        <v>106</v>
      </c>
      <c r="J70" s="25" t="str">
        <f>C9</f>
        <v>FZCE(Four Zone Contracting Est.)</v>
      </c>
    </row>
    <row r="71" spans="1:13" ht="27.95" customHeight="1">
      <c r="A71" s="149" t="s">
        <v>74</v>
      </c>
      <c r="B71" s="149"/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SAC2-DS-PO-0271</v>
      </c>
      <c r="C2" s="129" t="s">
        <v>76</v>
      </c>
      <c r="D2" s="129"/>
      <c r="E2" s="129"/>
      <c r="F2" s="129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46109</v>
      </c>
      <c r="C3" s="51"/>
      <c r="D3" s="52"/>
      <c r="E3" s="130" t="s">
        <v>78</v>
      </c>
      <c r="F3" s="130"/>
      <c r="G3" s="130"/>
      <c r="H3" s="130"/>
      <c r="I3" s="53"/>
    </row>
    <row r="4" spans="1:13" s="55" customFormat="1" ht="28.5" customHeight="1" thickTop="1">
      <c r="A4" s="131" t="s">
        <v>79</v>
      </c>
      <c r="B4" s="133" t="s">
        <v>80</v>
      </c>
      <c r="C4" s="134"/>
      <c r="D4" s="137" t="s">
        <v>81</v>
      </c>
      <c r="E4" s="137" t="s">
        <v>82</v>
      </c>
      <c r="F4" s="139" t="str">
        <f>'PO 1st page'!C9</f>
        <v>FZCE(Four Zone Contracting Est.)</v>
      </c>
      <c r="G4" s="140"/>
      <c r="H4" s="141" t="s">
        <v>83</v>
      </c>
      <c r="K4" s="56"/>
      <c r="L4" s="56"/>
      <c r="M4" s="56"/>
    </row>
    <row r="5" spans="1:13" s="55" customFormat="1" ht="21.95" customHeight="1">
      <c r="A5" s="132"/>
      <c r="B5" s="135"/>
      <c r="C5" s="136"/>
      <c r="D5" s="138"/>
      <c r="E5" s="138"/>
      <c r="F5" s="57" t="s">
        <v>84</v>
      </c>
      <c r="G5" s="57" t="s">
        <v>50</v>
      </c>
      <c r="H5" s="142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43" t="str">
        <f>CONCATENATE(MRS!B6," ",MRS!D6)</f>
        <v>Rigger III Aramco Certified</v>
      </c>
      <c r="C6" s="144"/>
      <c r="D6" s="86" t="str">
        <f>MRS!G6</f>
        <v>Hr</v>
      </c>
      <c r="E6" s="86">
        <f>MRS!H6</f>
        <v>1</v>
      </c>
      <c r="F6" s="87">
        <f>MRS!I6</f>
        <v>65</v>
      </c>
      <c r="G6" s="88">
        <f>MRS!J6</f>
        <v>65</v>
      </c>
      <c r="H6" s="89" t="str">
        <f>MRS!L6</f>
        <v>Monthly Based</v>
      </c>
      <c r="K6" s="90"/>
      <c r="L6" s="91"/>
      <c r="M6" s="56"/>
    </row>
    <row r="7" spans="1:13" s="55" customFormat="1" ht="32.1" customHeight="1">
      <c r="A7" s="85">
        <f t="shared" si="0"/>
        <v>2</v>
      </c>
      <c r="B7" s="143"/>
      <c r="C7" s="144"/>
      <c r="D7" s="86"/>
      <c r="E7" s="86"/>
      <c r="F7" s="87"/>
      <c r="G7" s="88"/>
      <c r="H7" s="89"/>
      <c r="K7" s="90"/>
      <c r="L7" s="91"/>
      <c r="M7" s="56"/>
    </row>
    <row r="8" spans="1:13" s="55" customFormat="1" ht="32.1" customHeight="1">
      <c r="A8" s="92">
        <f t="shared" si="0"/>
        <v>3</v>
      </c>
      <c r="B8" s="143"/>
      <c r="C8" s="144"/>
      <c r="D8" s="86"/>
      <c r="E8" s="86"/>
      <c r="F8" s="87"/>
      <c r="G8" s="88"/>
      <c r="H8" s="89"/>
      <c r="K8" s="56"/>
      <c r="L8" s="56"/>
      <c r="M8" s="56"/>
    </row>
    <row r="9" spans="1:13" s="55" customFormat="1" ht="32.1" customHeight="1">
      <c r="A9" s="92">
        <f t="shared" si="0"/>
        <v>4</v>
      </c>
      <c r="B9" s="143"/>
      <c r="C9" s="144"/>
      <c r="D9" s="86"/>
      <c r="E9" s="86"/>
      <c r="F9" s="87"/>
      <c r="G9" s="88"/>
      <c r="H9" s="97"/>
    </row>
    <row r="10" spans="1:13" s="55" customFormat="1" ht="32.1" customHeight="1">
      <c r="A10" s="92">
        <f t="shared" si="0"/>
        <v>5</v>
      </c>
      <c r="B10" s="127"/>
      <c r="C10" s="128"/>
      <c r="D10" s="93"/>
      <c r="E10" s="94"/>
      <c r="F10" s="95"/>
      <c r="G10" s="96"/>
      <c r="H10" s="97"/>
    </row>
    <row r="11" spans="1:13" s="55" customFormat="1" ht="32.1" customHeight="1">
      <c r="A11" s="92">
        <f t="shared" si="0"/>
        <v>6</v>
      </c>
      <c r="B11" s="127"/>
      <c r="C11" s="128"/>
      <c r="D11" s="93"/>
      <c r="E11" s="94"/>
      <c r="F11" s="95"/>
      <c r="G11" s="96"/>
      <c r="H11" s="97"/>
    </row>
    <row r="12" spans="1:13" s="55" customFormat="1" ht="32.1" customHeight="1">
      <c r="A12" s="92">
        <f t="shared" si="0"/>
        <v>7</v>
      </c>
      <c r="B12" s="127"/>
      <c r="C12" s="128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127"/>
      <c r="C13" s="128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127"/>
      <c r="C14" s="128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127"/>
      <c r="C15" s="128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127"/>
      <c r="C16" s="128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127"/>
      <c r="C17" s="128"/>
      <c r="D17" s="93"/>
      <c r="E17" s="94"/>
      <c r="F17" s="95"/>
      <c r="G17" s="96"/>
      <c r="H17" s="97"/>
    </row>
    <row r="18" spans="1:13" s="55" customFormat="1" ht="23.1" customHeight="1">
      <c r="A18" s="145" t="s">
        <v>85</v>
      </c>
      <c r="B18" s="146"/>
      <c r="C18" s="146"/>
      <c r="D18" s="146"/>
      <c r="E18" s="146"/>
      <c r="F18" s="146"/>
      <c r="G18" s="58">
        <f>SUM(G6:G17)</f>
        <v>65</v>
      </c>
      <c r="H18" s="59"/>
    </row>
    <row r="19" spans="1:13" s="55" customFormat="1" ht="23.1" customHeight="1">
      <c r="A19" s="145" t="s">
        <v>49</v>
      </c>
      <c r="B19" s="146"/>
      <c r="C19" s="146"/>
      <c r="D19" s="146"/>
      <c r="E19" s="146"/>
      <c r="F19" s="146"/>
      <c r="G19" s="58">
        <f>+G18*0.15</f>
        <v>9.75</v>
      </c>
      <c r="H19" s="59"/>
    </row>
    <row r="20" spans="1:13" s="55" customFormat="1" ht="24.95" customHeight="1" thickBot="1">
      <c r="A20" s="147" t="s">
        <v>86</v>
      </c>
      <c r="B20" s="148"/>
      <c r="C20" s="148"/>
      <c r="D20" s="148"/>
      <c r="E20" s="148"/>
      <c r="F20" s="148"/>
      <c r="G20" s="60">
        <f>G19+G18</f>
        <v>74.75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FZ-OFFR-2026-1798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49" t="s">
        <v>88</v>
      </c>
      <c r="B24" s="149"/>
      <c r="C24" s="149"/>
      <c r="D24" s="149"/>
      <c r="E24" s="149"/>
      <c r="F24" s="149"/>
      <c r="G24" s="149"/>
      <c r="H24" s="149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2026-03-28T12:24:14Z</cp:lastPrinted>
  <dcterms:created xsi:type="dcterms:W3CDTF">2024-10-20T11:50:19Z</dcterms:created>
  <dcterms:modified xsi:type="dcterms:W3CDTF">2026-03-28T12:24:16Z</dcterms:modified>
</cp:coreProperties>
</file>