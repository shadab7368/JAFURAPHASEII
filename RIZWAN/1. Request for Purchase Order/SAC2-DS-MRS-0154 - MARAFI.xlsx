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107A715-C216-43D7-B8DD-AC1D8427FF77}" xr6:coauthVersionLast="47" xr6:coauthVersionMax="47" xr10:uidLastSave="{00000000-0000-0000-0000-000000000000}"/>
  <bookViews>
    <workbookView xWindow="-120" yWindow="-120" windowWidth="29040" windowHeight="15720" activeTab="3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s="1"/>
  <c r="G20" i="4" l="1"/>
</calcChain>
</file>

<file path=xl/sharedStrings.xml><?xml version="1.0" encoding="utf-8"?>
<sst xmlns="http://schemas.openxmlformats.org/spreadsheetml/2006/main" count="152" uniqueCount="117">
  <si>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</si>
  <si>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</si>
  <si>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</si>
  <si>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</si>
  <si>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</si>
  <si>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</si>
  <si>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</si>
  <si>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</si>
  <si>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</si>
  <si>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</si>
  <si>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</si>
  <si>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</si>
  <si>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</si>
  <si>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</si>
  <si>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</si>
  <si>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</si>
  <si>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</si>
  <si>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</si>
  <si>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</si>
  <si>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</si>
  <si>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</si>
  <si>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</si>
  <si>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</si>
  <si>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</si>
  <si>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</si>
  <si>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</si>
  <si>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</si>
  <si>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</si>
  <si>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</si>
  <si>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</si>
  <si>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</si>
  <si>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</si>
  <si>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</si>
  <si>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</si>
  <si>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</si>
  <si>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</si>
  <si>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</si>
  <si>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</si>
  <si>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</si>
  <si>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</si>
  <si>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</si>
  <si>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</si>
  <si>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</si>
  <si>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</si>
  <si>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</si>
  <si>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</si>
  <si>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</si>
  <si>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</si>
  <si>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</si>
  <si>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</si>
  <si>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</si>
  <si>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</si>
  <si>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</si>
  <si>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</si>
  <si>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</si>
  <si>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</si>
  <si>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</si>
  <si>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</si>
  <si>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</si>
  <si>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</si>
  <si>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</si>
  <si>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</si>
  <si>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</si>
  <si>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</si>
  <si>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</si>
  <si>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</si>
  <si>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</si>
  <si>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</si>
  <si>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</si>
  <si>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</si>
  <si>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</si>
  <si>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</si>
  <si>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</si>
  <si>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</si>
  <si>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</si>
  <si>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</si>
  <si>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</si>
  <si>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</si>
  <si>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</si>
  <si>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</si>
  <si>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</si>
  <si>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</si>
  <si>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</si>
  <si>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</si>
  <si>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</si>
  <si>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</si>
  <si>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</si>
  <si>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</si>
  <si>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</si>
  <si>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</si>
  <si>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</si>
  <si>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</si>
  <si>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</si>
  <si>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</si>
  <si>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</si>
  <si>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</si>
  <si>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</si>
  <si>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</si>
  <si>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</si>
  <si>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</si>
  <si>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</si>
  <si>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</si>
  <si>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t>Pick-up</t>
  </si>
  <si>
    <t>Month</t>
  </si>
  <si>
    <t>Monthly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</si>
  <si>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-MRS-0154</t>
    </r>
  </si>
  <si>
    <t>Without driver</t>
  </si>
  <si>
    <t>MAOC</t>
  </si>
  <si>
    <t>MARAFI-QTN-2025-2976</t>
  </si>
  <si>
    <t>MAOC(Marafi Al Omran Contracting Est.)</t>
  </si>
  <si>
    <t>310127254800003</t>
  </si>
  <si>
    <t>Mohammed Ansar</t>
  </si>
  <si>
    <t>+966 53 544 4030 / Email: info@marafiksa.com</t>
  </si>
  <si>
    <t>Pick up without driver</t>
  </si>
  <si>
    <t>Building No. 4571, Al Jubail 35514, KSA</t>
  </si>
  <si>
    <t>Mobile : +966 53 544 4030</t>
  </si>
  <si>
    <t>Estimation Dept.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</si>
</sst>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26" fillId="3" borderId="0" xfId="5" quotePrefix="1" applyFont="1" applyFill="1" applyAlignment="1">
      <alignment horizontal="left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30079</xdr:colOff>
          <xdr:row>17</xdr:row>
          <xdr:rowOff>0</xdr:rowOff>
        </xdr:from>
        <xdr:to>
          <xdr:col>12</xdr:col>
          <xdr:colOff>10528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46658" y="4983079"/>
              <a:ext cx="377039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K7" sqref="K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10"/>
      <c r="C1" s="110"/>
      <c r="D1" s="110"/>
      <c r="E1" s="110"/>
      <c r="F1" s="110"/>
      <c r="G1" s="1"/>
      <c r="J1" s="135" t="s">
        <v>92</v>
      </c>
      <c r="K1" s="136"/>
      <c r="L1" s="137"/>
    </row>
    <row r="2" spans="1:19" ht="20.100000000000001" customHeight="1">
      <c r="A2" s="3" t="s">
        <v>1</v>
      </c>
      <c r="B2" s="101"/>
      <c r="C2" s="101"/>
      <c r="D2" s="3" t="s">
        <v>101</v>
      </c>
      <c r="E2" s="101"/>
      <c r="F2" s="101"/>
      <c r="G2" s="101"/>
      <c r="H2" s="101"/>
      <c r="I2" s="4"/>
      <c r="J2" s="138" t="s">
        <v>100</v>
      </c>
      <c r="K2" s="139"/>
      <c r="L2" s="140"/>
    </row>
    <row r="3" spans="1:19" ht="20.100000000000001" customHeight="1">
      <c r="A3" s="3" t="s">
        <v>105</v>
      </c>
      <c r="B3" s="101"/>
      <c r="C3" s="101"/>
      <c r="D3" s="101"/>
      <c r="E3" s="141">
        <f>+L3</f>
        <v>45959</v>
      </c>
      <c r="F3" s="141"/>
      <c r="G3" s="141"/>
      <c r="H3" s="141"/>
      <c r="I3" s="141"/>
      <c r="J3" s="101"/>
      <c r="K3" s="101"/>
      <c r="L3" s="122">
        <v>45959</v>
      </c>
      <c r="M3" s="4"/>
    </row>
    <row r="4" spans="1:19" ht="15.95" customHeight="1">
      <c r="A4" s="142" t="s">
        <v>2</v>
      </c>
      <c r="B4" s="143" t="s">
        <v>3</v>
      </c>
      <c r="C4" s="143"/>
      <c r="D4" s="144" t="s">
        <v>4</v>
      </c>
      <c r="E4" s="145"/>
      <c r="F4" s="146"/>
      <c r="G4" s="150" t="s">
        <v>5</v>
      </c>
      <c r="H4" s="152" t="s">
        <v>6</v>
      </c>
      <c r="I4" s="152" t="s">
        <v>97</v>
      </c>
      <c r="J4" s="142" t="s">
        <v>98</v>
      </c>
      <c r="K4" s="152" t="s">
        <v>0</v>
      </c>
      <c r="L4" s="143" t="s">
        <v>7</v>
      </c>
    </row>
    <row r="5" spans="1:19" ht="15.95" customHeight="1">
      <c r="A5" s="142"/>
      <c r="B5" s="143"/>
      <c r="C5" s="143"/>
      <c r="D5" s="147"/>
      <c r="E5" s="148"/>
      <c r="F5" s="149"/>
      <c r="G5" s="151"/>
      <c r="H5" s="153"/>
      <c r="I5" s="153"/>
      <c r="J5" s="142"/>
      <c r="K5" s="153"/>
      <c r="L5" s="143"/>
    </row>
    <row r="6" spans="1:19" ht="22.5" customHeight="1">
      <c r="A6" s="5">
        <f t="shared" ref="A6:A15" si="0">ROW(A1)</f>
        <v>1</v>
      </c>
      <c r="B6" s="154" t="s">
        <v>102</v>
      </c>
      <c r="C6" s="155"/>
      <c r="D6" s="156" t="s">
        <v>106</v>
      </c>
      <c r="E6" s="157"/>
      <c r="F6" s="158"/>
      <c r="G6" s="111" t="s">
        <v>103</v>
      </c>
      <c r="H6" s="112">
        <v>1</v>
      </c>
      <c r="I6" s="113">
        <v>4500</v>
      </c>
      <c r="J6" s="113">
        <f>H6*I6</f>
        <v>4500</v>
      </c>
      <c r="K6" s="114" t="s">
        <v>107</v>
      </c>
      <c r="L6" s="115" t="s">
        <v>104</v>
      </c>
      <c r="S6" s="106"/>
    </row>
    <row r="7" spans="1:19" ht="22.5" customHeight="1">
      <c r="A7" s="5">
        <f t="shared" si="0"/>
        <v>2</v>
      </c>
      <c r="B7" s="154"/>
      <c r="C7" s="155"/>
      <c r="D7" s="156"/>
      <c r="E7" s="157"/>
      <c r="F7" s="158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54"/>
      <c r="C8" s="155"/>
      <c r="D8" s="156"/>
      <c r="E8" s="157"/>
      <c r="F8" s="158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54"/>
      <c r="C9" s="155"/>
      <c r="D9" s="156"/>
      <c r="E9" s="157"/>
      <c r="F9" s="158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9"/>
      <c r="C10" s="159"/>
      <c r="D10" s="160"/>
      <c r="E10" s="160"/>
      <c r="F10" s="160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54"/>
      <c r="C11" s="155"/>
      <c r="D11" s="156"/>
      <c r="E11" s="157"/>
      <c r="F11" s="158"/>
      <c r="G11" s="111"/>
      <c r="H11" s="112"/>
      <c r="I11" s="113"/>
      <c r="J11" s="113">
        <f t="shared" ref="J11" si="1">H11*I11</f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59"/>
      <c r="C12" s="159"/>
      <c r="D12" s="160"/>
      <c r="E12" s="160"/>
      <c r="F12" s="160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54"/>
      <c r="C13" s="155"/>
      <c r="D13" s="156"/>
      <c r="E13" s="157"/>
      <c r="F13" s="158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54"/>
      <c r="C14" s="155"/>
      <c r="D14" s="156"/>
      <c r="E14" s="157"/>
      <c r="F14" s="158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54"/>
      <c r="C15" s="155"/>
      <c r="D15" s="156"/>
      <c r="E15" s="157"/>
      <c r="F15" s="158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61" t="s">
        <v>8</v>
      </c>
      <c r="B16" s="162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4500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63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64"/>
      <c r="T19" s="14"/>
      <c r="U19" s="15"/>
      <c r="V19" s="14"/>
    </row>
    <row r="20" spans="1:22" ht="17.100000000000001" customHeight="1">
      <c r="O20" s="11"/>
      <c r="P20" s="11"/>
      <c r="Q20" s="11"/>
      <c r="S20" s="16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66" t="s">
        <v>17</v>
      </c>
      <c r="Q21" s="166" t="s">
        <v>18</v>
      </c>
    </row>
    <row r="22" spans="1:22" ht="18" customHeight="1">
      <c r="O22" s="18" t="s">
        <v>19</v>
      </c>
      <c r="P22" s="167"/>
      <c r="Q22" s="167"/>
      <c r="S22" s="163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64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6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8"/>
      <c r="P27" s="168"/>
      <c r="Q27" s="168"/>
    </row>
    <row r="28" spans="1:22" ht="19.899999999999999" customHeight="1">
      <c r="O28" s="168"/>
      <c r="P28" s="168"/>
      <c r="Q28" s="168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6" t="s">
        <v>21</v>
      </c>
    </row>
    <row r="41" spans="15:22" ht="19.899999999999999" customHeight="1">
      <c r="T41" s="167"/>
    </row>
    <row r="42" spans="15:22" ht="64.900000000000006" customHeight="1">
      <c r="T42" s="14"/>
    </row>
    <row r="46" spans="15:22" ht="21" customHeight="1">
      <c r="O46" s="166" t="s">
        <v>21</v>
      </c>
      <c r="P46" s="166" t="s">
        <v>21</v>
      </c>
      <c r="Q46" s="166" t="s">
        <v>21</v>
      </c>
      <c r="T46" s="166" t="s">
        <v>22</v>
      </c>
      <c r="U46" s="166" t="s">
        <v>13</v>
      </c>
      <c r="V46" s="166" t="s">
        <v>21</v>
      </c>
    </row>
    <row r="47" spans="15:22" ht="21" customHeight="1">
      <c r="O47" s="167"/>
      <c r="P47" s="167"/>
      <c r="Q47" s="167"/>
      <c r="T47" s="165"/>
      <c r="U47" s="165"/>
      <c r="V47" s="167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6" t="s">
        <v>21</v>
      </c>
      <c r="P50" s="166" t="s">
        <v>21</v>
      </c>
      <c r="Q50" s="166" t="s">
        <v>21</v>
      </c>
      <c r="T50" s="166" t="s">
        <v>13</v>
      </c>
      <c r="U50" s="166" t="s">
        <v>22</v>
      </c>
      <c r="V50" s="166" t="s">
        <v>21</v>
      </c>
    </row>
    <row r="51" spans="15:22" ht="21" customHeight="1">
      <c r="O51" s="167"/>
      <c r="P51" s="167"/>
      <c r="Q51" s="167"/>
      <c r="T51" s="165"/>
      <c r="U51" s="165"/>
      <c r="V51" s="167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8" sqref="Q8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99</v>
      </c>
      <c r="B1" s="100"/>
      <c r="C1" s="100"/>
      <c r="D1" s="100"/>
      <c r="E1" s="100"/>
      <c r="F1" s="100"/>
      <c r="G1" s="1"/>
      <c r="J1" s="135" t="str">
        <f>+MRS!J1</f>
        <v>DAESHIN PLANT</v>
      </c>
      <c r="K1" s="137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38" t="str">
        <f>+MRS!J2</f>
        <v>Subcontract name (SAC2-SC-IK-SMP-01)</v>
      </c>
      <c r="K2" s="140"/>
    </row>
    <row r="3" spans="1:18" ht="24.95" customHeight="1">
      <c r="A3" s="3" t="str">
        <f>+MRS!A3</f>
        <v xml:space="preserve">  MRS No : SAC2-DS-MRS-0154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45959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71" t="str">
        <f>MRS!B6</f>
        <v>Pick-up</v>
      </c>
      <c r="C6" s="172"/>
      <c r="D6" s="173" t="str">
        <f>MRS!D6</f>
        <v>Without driver</v>
      </c>
      <c r="E6" s="174"/>
      <c r="F6" s="175"/>
      <c r="G6" s="103" t="str">
        <f>MRS!G6</f>
        <v>Month</v>
      </c>
      <c r="H6" s="103">
        <f>MRS!H6</f>
        <v>1</v>
      </c>
      <c r="I6" s="104">
        <f>MRS!I6</f>
        <v>4500</v>
      </c>
      <c r="J6" s="104">
        <f>MRS!J6</f>
        <v>4500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71">
        <f>MRS!B7</f>
        <v>0</v>
      </c>
      <c r="C7" s="172"/>
      <c r="D7" s="173">
        <f>MRS!D7</f>
        <v>0</v>
      </c>
      <c r="E7" s="174"/>
      <c r="F7" s="175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71">
        <f>MRS!B8</f>
        <v>0</v>
      </c>
      <c r="C8" s="172"/>
      <c r="D8" s="173">
        <f>MRS!D8</f>
        <v>0</v>
      </c>
      <c r="E8" s="174"/>
      <c r="F8" s="175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71">
        <f>MRS!B9</f>
        <v>0</v>
      </c>
      <c r="C9" s="172"/>
      <c r="D9" s="173">
        <f>MRS!D9</f>
        <v>0</v>
      </c>
      <c r="E9" s="174"/>
      <c r="F9" s="175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71">
        <f>MRS!B10</f>
        <v>0</v>
      </c>
      <c r="C10" s="172"/>
      <c r="D10" s="173">
        <f>MRS!D10</f>
        <v>0</v>
      </c>
      <c r="E10" s="174"/>
      <c r="F10" s="175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71">
        <f>MRS!B11</f>
        <v>0</v>
      </c>
      <c r="C11" s="172"/>
      <c r="D11" s="173">
        <f>MRS!D11</f>
        <v>0</v>
      </c>
      <c r="E11" s="174"/>
      <c r="F11" s="175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76"/>
      <c r="C12" s="177"/>
      <c r="D12" s="178"/>
      <c r="E12" s="179"/>
      <c r="F12" s="180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76"/>
      <c r="C13" s="177"/>
      <c r="D13" s="178"/>
      <c r="E13" s="179"/>
      <c r="F13" s="180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76"/>
      <c r="C14" s="177"/>
      <c r="D14" s="178"/>
      <c r="E14" s="179"/>
      <c r="F14" s="180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76"/>
      <c r="C15" s="177"/>
      <c r="D15" s="178"/>
      <c r="E15" s="179"/>
      <c r="F15" s="180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76"/>
      <c r="C16" s="177"/>
      <c r="D16" s="178"/>
      <c r="E16" s="179"/>
      <c r="F16" s="180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76"/>
      <c r="C17" s="177"/>
      <c r="D17" s="178"/>
      <c r="E17" s="179"/>
      <c r="F17" s="180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D25" sqref="D2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109</v>
      </c>
      <c r="D9" s="39"/>
      <c r="E9" s="39"/>
    </row>
    <row r="10" spans="2:13" s="39" customFormat="1">
      <c r="B10" s="72"/>
      <c r="C10" s="39" t="s">
        <v>33</v>
      </c>
      <c r="D10" s="124">
        <v>2050125230</v>
      </c>
      <c r="J10" s="39" t="s">
        <v>34</v>
      </c>
      <c r="K10" s="126">
        <f>MRS!L3</f>
        <v>45959</v>
      </c>
      <c r="L10" s="127"/>
      <c r="M10" s="127"/>
    </row>
    <row r="11" spans="2:13" s="39" customFormat="1">
      <c r="B11" s="72"/>
      <c r="C11" s="75" t="s">
        <v>35</v>
      </c>
      <c r="D11" s="76" t="s">
        <v>110</v>
      </c>
      <c r="J11" s="39" t="s">
        <v>36</v>
      </c>
      <c r="K11" s="128" t="str">
        <f>SUBSTITUTE(SUBSTITUTE(+MRS!A3,"  MRS No : ",""),"-MRS","-PO")</f>
        <v>SAC2-DS-PO-0154</v>
      </c>
      <c r="L11" s="128"/>
      <c r="M11" s="128"/>
    </row>
    <row r="12" spans="2:13" s="39" customFormat="1">
      <c r="B12" s="72"/>
      <c r="C12" s="75" t="s">
        <v>37</v>
      </c>
      <c r="D12" s="39" t="s">
        <v>111</v>
      </c>
      <c r="J12" s="39" t="s">
        <v>38</v>
      </c>
    </row>
    <row r="13" spans="2:13" s="39" customFormat="1">
      <c r="B13" s="72"/>
      <c r="C13" s="77"/>
      <c r="D13" s="76" t="s">
        <v>112</v>
      </c>
      <c r="J13" s="39" t="s">
        <v>39</v>
      </c>
    </row>
    <row r="14" spans="2:13" s="39" customFormat="1">
      <c r="B14" s="72"/>
      <c r="C14" s="77" t="s">
        <v>114</v>
      </c>
      <c r="J14" s="39" t="s">
        <v>40</v>
      </c>
      <c r="K14" s="39" t="s">
        <v>108</v>
      </c>
    </row>
    <row r="15" spans="2:13" s="39" customFormat="1">
      <c r="B15" s="72"/>
      <c r="C15" s="77" t="s">
        <v>115</v>
      </c>
      <c r="J15" s="39" t="s">
        <v>41</v>
      </c>
      <c r="K15" s="78">
        <v>45952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29" t="s">
        <v>42</v>
      </c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</row>
    <row r="19" spans="2:13" ht="12" customHeight="1"/>
    <row r="20" spans="2:13" s="31" customFormat="1" ht="12" customHeight="1">
      <c r="B20" s="130" t="s">
        <v>43</v>
      </c>
      <c r="C20" s="130"/>
      <c r="D20" s="130"/>
      <c r="E20" s="130"/>
      <c r="F20" s="130"/>
      <c r="G20" s="130"/>
      <c r="H20" s="130"/>
      <c r="I20" s="130"/>
      <c r="J20" s="130"/>
      <c r="K20" s="130"/>
      <c r="L20" s="130"/>
      <c r="M20" s="130"/>
    </row>
    <row r="21" spans="2:13" s="31" customFormat="1" ht="12" customHeight="1">
      <c r="B21" s="130" t="s">
        <v>44</v>
      </c>
      <c r="C21" s="130"/>
      <c r="D21" s="130"/>
      <c r="E21" s="130"/>
      <c r="F21" s="130"/>
      <c r="G21" s="130"/>
      <c r="H21" s="130"/>
      <c r="I21" s="130"/>
      <c r="J21" s="130"/>
      <c r="K21" s="130"/>
      <c r="L21" s="130"/>
      <c r="M21" s="130"/>
    </row>
    <row r="22" spans="2:13" s="31" customFormat="1" ht="12" customHeight="1">
      <c r="B22" s="130" t="s">
        <v>45</v>
      </c>
      <c r="C22" s="130"/>
      <c r="D22" s="130"/>
      <c r="E22" s="130"/>
      <c r="F22" s="130"/>
      <c r="G22" s="130"/>
      <c r="H22" s="130"/>
      <c r="I22" s="130"/>
      <c r="J22" s="130"/>
      <c r="K22" s="130"/>
      <c r="L22" s="130"/>
      <c r="M22" s="130"/>
    </row>
    <row r="23" spans="2:13" ht="6.95" customHeight="1"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</row>
    <row r="24" spans="2:13" ht="6.95" customHeight="1"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113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33" t="s">
        <v>104</v>
      </c>
      <c r="G29" s="133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33"/>
      <c r="G30" s="133"/>
    </row>
    <row r="31" spans="2:13" ht="15" customHeight="1">
      <c r="B31" s="32"/>
      <c r="C31" s="26" t="s">
        <v>52</v>
      </c>
      <c r="D31" s="35"/>
      <c r="E31" s="26" t="s">
        <v>50</v>
      </c>
      <c r="F31" s="133"/>
      <c r="G31" s="133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Mohammed Ansar</v>
      </c>
    </row>
    <row r="60" spans="1:16" ht="18" customHeight="1">
      <c r="B60" s="26" t="s">
        <v>72</v>
      </c>
      <c r="J60" s="26" t="s">
        <v>73</v>
      </c>
      <c r="K60" s="22" t="s">
        <v>116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34" t="str">
        <f>C9</f>
        <v>MAOC(Marafi Al Omran Contracting Est.)</v>
      </c>
      <c r="K62" s="134"/>
      <c r="L62" s="134"/>
      <c r="M62" s="134"/>
    </row>
    <row r="63" spans="1:16" ht="27.95" customHeight="1">
      <c r="A63" s="125" t="s">
        <v>77</v>
      </c>
      <c r="B63" s="125"/>
      <c r="C63" s="125"/>
      <c r="D63" s="125"/>
      <c r="E63" s="125"/>
      <c r="F63" s="125"/>
      <c r="G63" s="125"/>
      <c r="H63" s="125"/>
      <c r="I63" s="125"/>
      <c r="J63" s="125"/>
      <c r="K63" s="125"/>
      <c r="L63" s="125"/>
      <c r="M63" s="125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tabSelected="1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SAC2-DS-PO-0154</v>
      </c>
      <c r="C2" s="183" t="s">
        <v>79</v>
      </c>
      <c r="D2" s="183"/>
      <c r="E2" s="183"/>
      <c r="F2" s="183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45959</v>
      </c>
      <c r="C3" s="51"/>
      <c r="D3" s="52"/>
      <c r="E3" s="184" t="s">
        <v>81</v>
      </c>
      <c r="F3" s="184"/>
      <c r="G3" s="184"/>
      <c r="H3" s="184"/>
      <c r="I3" s="53"/>
    </row>
    <row r="4" spans="1:13" s="55" customFormat="1" ht="28.5" customHeight="1" thickTop="1">
      <c r="A4" s="185" t="s">
        <v>82</v>
      </c>
      <c r="B4" s="187" t="s">
        <v>83</v>
      </c>
      <c r="C4" s="188"/>
      <c r="D4" s="191" t="s">
        <v>84</v>
      </c>
      <c r="E4" s="191" t="s">
        <v>85</v>
      </c>
      <c r="F4" s="193" t="str">
        <f>'PO 1st page'!C9</f>
        <v>MAOC(Marafi Al Omran Contracting Est.)</v>
      </c>
      <c r="G4" s="194"/>
      <c r="H4" s="195" t="s">
        <v>86</v>
      </c>
      <c r="K4" s="56"/>
      <c r="L4" s="56"/>
      <c r="M4" s="56"/>
    </row>
    <row r="5" spans="1:13" s="55" customFormat="1" ht="21.95" customHeight="1">
      <c r="A5" s="186"/>
      <c r="B5" s="189"/>
      <c r="C5" s="190"/>
      <c r="D5" s="192"/>
      <c r="E5" s="192"/>
      <c r="F5" s="57" t="s">
        <v>87</v>
      </c>
      <c r="G5" s="57" t="s">
        <v>52</v>
      </c>
      <c r="H5" s="196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1" t="str">
        <f>CONCATENATE(MRS!B6," ",MRS!D6)</f>
        <v>Pick-up Without driver</v>
      </c>
      <c r="C6" s="182"/>
      <c r="D6" s="86" t="str">
        <f>+'MRS LIST'!G6</f>
        <v>Month</v>
      </c>
      <c r="E6" s="87">
        <f>+'MRS LIST'!H6</f>
        <v>1</v>
      </c>
      <c r="F6" s="88">
        <f>+'MRS LIST'!I6</f>
        <v>4500</v>
      </c>
      <c r="G6" s="89">
        <f>+'MRS LIST'!J6</f>
        <v>4500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1"/>
      <c r="C7" s="182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1"/>
      <c r="C8" s="182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1"/>
      <c r="C9" s="182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1"/>
      <c r="C10" s="182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1"/>
      <c r="C11" s="182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1"/>
      <c r="C12" s="202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1"/>
      <c r="C13" s="202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1"/>
      <c r="C14" s="202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1"/>
      <c r="C15" s="202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1"/>
      <c r="C16" s="202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1"/>
      <c r="C17" s="202"/>
      <c r="D17" s="94"/>
      <c r="E17" s="95"/>
      <c r="F17" s="96"/>
      <c r="G17" s="97"/>
      <c r="H17" s="98"/>
    </row>
    <row r="18" spans="1:13" s="55" customFormat="1" ht="23.1" customHeight="1">
      <c r="A18" s="197" t="s">
        <v>88</v>
      </c>
      <c r="B18" s="198"/>
      <c r="C18" s="198"/>
      <c r="D18" s="198"/>
      <c r="E18" s="198"/>
      <c r="F18" s="198"/>
      <c r="G18" s="58">
        <f>SUM(G6:G17)</f>
        <v>4500</v>
      </c>
      <c r="H18" s="59"/>
    </row>
    <row r="19" spans="1:13" s="55" customFormat="1" ht="23.1" customHeight="1">
      <c r="A19" s="197" t="s">
        <v>51</v>
      </c>
      <c r="B19" s="198"/>
      <c r="C19" s="198"/>
      <c r="D19" s="198"/>
      <c r="E19" s="198"/>
      <c r="F19" s="198"/>
      <c r="G19" s="58">
        <f>G18*0.15</f>
        <v>675</v>
      </c>
      <c r="H19" s="59"/>
    </row>
    <row r="20" spans="1:13" s="55" customFormat="1" ht="24.95" customHeight="1" thickBot="1">
      <c r="A20" s="199" t="s">
        <v>89</v>
      </c>
      <c r="B20" s="200"/>
      <c r="C20" s="200"/>
      <c r="D20" s="200"/>
      <c r="E20" s="200"/>
      <c r="F20" s="200"/>
      <c r="G20" s="60">
        <f>G19+G18</f>
        <v>5175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MARAFI-QTN-2025-2976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25" t="s">
        <v>91</v>
      </c>
      <c r="B24" s="125"/>
      <c r="C24" s="125"/>
      <c r="D24" s="125"/>
      <c r="E24" s="125"/>
      <c r="F24" s="125"/>
      <c r="G24" s="125"/>
      <c r="H24" s="125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2025-10-29T13:16:43Z</cp:lastPrinted>
  <dcterms:created xsi:type="dcterms:W3CDTF">2024-10-20T11:50:19Z</dcterms:created>
  <dcterms:modified xsi:type="dcterms:W3CDTF">2025-10-29T13:16:45Z</dcterms:modified>
</cp:coreProperties>
</file>