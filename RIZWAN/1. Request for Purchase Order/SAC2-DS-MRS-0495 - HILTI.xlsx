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Richard\phase 2 files\1. Request for Purchase Order\"/>
    </mc:Choice>
  </mc:AlternateContent>
  <xr:revisionPtr revIDLastSave="0" documentId="13_ncr:1_{8E513461-75F2-408F-A42E-25A4774CCBCD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MRS!$A$1:$M$24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page'!$A$1:$H$22</definedName>
    <definedName name="_xlnm.Print_Titles" localSheetId="0">MRS!$4:$5</definedName>
    <definedName name="_xlnm.Print_Titles" localSheetId="1">'MRS LIST'!$4:$5</definedName>
    <definedName name="_xlnm.Print_Titles" localSheetId="3">'PO 2nd page'!$4:$5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4" l="1"/>
  <c r="B8" i="4"/>
  <c r="D7" i="4"/>
  <c r="E7" i="4"/>
  <c r="F7" i="4"/>
  <c r="G7" i="4"/>
  <c r="B7" i="4"/>
  <c r="I7" i="1"/>
  <c r="P54" i="3"/>
  <c r="C26" i="3"/>
  <c r="B6" i="4"/>
  <c r="J53" i="2" l="1"/>
  <c r="I53" i="2"/>
  <c r="H53" i="2"/>
  <c r="G53" i="2"/>
  <c r="J52" i="2"/>
  <c r="I52" i="2"/>
  <c r="H52" i="2"/>
  <c r="G52" i="2"/>
  <c r="J51" i="2"/>
  <c r="I51" i="2"/>
  <c r="H51" i="2"/>
  <c r="G51" i="2"/>
  <c r="J50" i="2"/>
  <c r="I50" i="2"/>
  <c r="H50" i="2"/>
  <c r="G50" i="2"/>
  <c r="J49" i="2"/>
  <c r="I49" i="2"/>
  <c r="H49" i="2"/>
  <c r="G49" i="2"/>
  <c r="J48" i="2"/>
  <c r="I48" i="2"/>
  <c r="H48" i="2"/>
  <c r="G48" i="2"/>
  <c r="J47" i="2"/>
  <c r="I47" i="2"/>
  <c r="H47" i="2"/>
  <c r="G47" i="2"/>
  <c r="J46" i="2"/>
  <c r="I46" i="2"/>
  <c r="H46" i="2"/>
  <c r="G46" i="2"/>
  <c r="J45" i="2"/>
  <c r="I45" i="2"/>
  <c r="H45" i="2"/>
  <c r="G45" i="2"/>
  <c r="J44" i="2"/>
  <c r="I44" i="2"/>
  <c r="H44" i="2"/>
  <c r="G44" i="2"/>
  <c r="J43" i="2"/>
  <c r="I43" i="2"/>
  <c r="H43" i="2"/>
  <c r="G43" i="2"/>
  <c r="J42" i="2"/>
  <c r="I42" i="2"/>
  <c r="H42" i="2"/>
  <c r="G42" i="2"/>
  <c r="J41" i="2"/>
  <c r="I41" i="2"/>
  <c r="H41" i="2"/>
  <c r="G41" i="2"/>
  <c r="J40" i="2"/>
  <c r="I40" i="2"/>
  <c r="H40" i="2"/>
  <c r="G40" i="2"/>
  <c r="J39" i="2"/>
  <c r="I39" i="2"/>
  <c r="H39" i="2"/>
  <c r="G39" i="2"/>
  <c r="J38" i="2"/>
  <c r="I38" i="2"/>
  <c r="H38" i="2"/>
  <c r="G38" i="2"/>
  <c r="J37" i="2"/>
  <c r="I37" i="2"/>
  <c r="H37" i="2"/>
  <c r="G37" i="2"/>
  <c r="J36" i="2"/>
  <c r="I36" i="2"/>
  <c r="H36" i="2"/>
  <c r="G36" i="2"/>
  <c r="J35" i="2"/>
  <c r="I35" i="2"/>
  <c r="H35" i="2"/>
  <c r="G35" i="2"/>
  <c r="J34" i="2"/>
  <c r="I34" i="2"/>
  <c r="H34" i="2"/>
  <c r="G34" i="2"/>
  <c r="J33" i="2"/>
  <c r="I33" i="2"/>
  <c r="H33" i="2"/>
  <c r="G33" i="2"/>
  <c r="J32" i="2"/>
  <c r="I32" i="2"/>
  <c r="H32" i="2"/>
  <c r="G32" i="2"/>
  <c r="J31" i="2"/>
  <c r="I31" i="2"/>
  <c r="H31" i="2"/>
  <c r="G31" i="2"/>
  <c r="J30" i="2"/>
  <c r="I30" i="2"/>
  <c r="H30" i="2"/>
  <c r="G30" i="2"/>
  <c r="J29" i="2"/>
  <c r="I29" i="2"/>
  <c r="H29" i="2"/>
  <c r="G29" i="2"/>
  <c r="J28" i="2"/>
  <c r="I28" i="2"/>
  <c r="H28" i="2"/>
  <c r="G28" i="2"/>
  <c r="I27" i="2"/>
  <c r="H27" i="2"/>
  <c r="G27" i="2"/>
  <c r="I26" i="2"/>
  <c r="H26" i="2"/>
  <c r="G26" i="2"/>
  <c r="I25" i="2"/>
  <c r="H25" i="2"/>
  <c r="G25" i="2"/>
  <c r="I24" i="2"/>
  <c r="H24" i="2"/>
  <c r="G24" i="2"/>
  <c r="I23" i="2"/>
  <c r="H23" i="2"/>
  <c r="G23" i="2"/>
  <c r="I22" i="2"/>
  <c r="H22" i="2"/>
  <c r="G22" i="2"/>
  <c r="I21" i="2"/>
  <c r="H21" i="2"/>
  <c r="G21" i="2"/>
  <c r="I20" i="2"/>
  <c r="H20" i="2"/>
  <c r="G20" i="2"/>
  <c r="I19" i="2"/>
  <c r="H19" i="2"/>
  <c r="G19" i="2"/>
  <c r="I18" i="2"/>
  <c r="H18" i="2"/>
  <c r="G18" i="2"/>
  <c r="I17" i="2"/>
  <c r="H17" i="2"/>
  <c r="G17" i="2"/>
  <c r="I16" i="2"/>
  <c r="H16" i="2"/>
  <c r="G16" i="2"/>
  <c r="I15" i="2"/>
  <c r="H15" i="2"/>
  <c r="G15" i="2"/>
  <c r="I14" i="2"/>
  <c r="H14" i="2"/>
  <c r="G14" i="2"/>
  <c r="I13" i="2"/>
  <c r="H13" i="2"/>
  <c r="G13" i="2"/>
  <c r="I12" i="2"/>
  <c r="H12" i="2"/>
  <c r="G12" i="2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A15" i="4"/>
  <c r="A14" i="4"/>
  <c r="A13" i="4"/>
  <c r="E3" i="1"/>
  <c r="J27" i="2" l="1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1"/>
  <c r="J9" i="2" s="1"/>
  <c r="J8" i="2"/>
  <c r="J7" i="1"/>
  <c r="J7" i="2" s="1"/>
  <c r="A15" i="1"/>
  <c r="A14" i="1"/>
  <c r="A13" i="1"/>
  <c r="A12" i="1"/>
  <c r="A11" i="1"/>
  <c r="A10" i="1"/>
  <c r="A9" i="1"/>
  <c r="A8" i="1"/>
  <c r="H6" i="2" l="1"/>
  <c r="G6" i="2"/>
  <c r="D6" i="2"/>
  <c r="B7" i="2"/>
  <c r="B6" i="2"/>
  <c r="E6" i="4"/>
  <c r="D6" i="4"/>
  <c r="A12" i="4"/>
  <c r="A9" i="2"/>
  <c r="A10" i="2"/>
  <c r="A11" i="2"/>
  <c r="A12" i="2"/>
  <c r="A13" i="2"/>
  <c r="A14" i="2"/>
  <c r="A15" i="2"/>
  <c r="J6" i="1"/>
  <c r="J6" i="2" s="1"/>
  <c r="J16" i="1" l="1"/>
  <c r="K67" i="3"/>
  <c r="K10" i="3" l="1"/>
  <c r="A19" i="4" l="1"/>
  <c r="I6" i="2"/>
  <c r="F6" i="4" s="1"/>
  <c r="A11" i="4"/>
  <c r="A10" i="4"/>
  <c r="A9" i="4"/>
  <c r="A8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1"/>
  <c r="A7" i="2" s="1"/>
  <c r="A6" i="1"/>
  <c r="A6" i="2" s="1"/>
  <c r="G6" i="4" l="1"/>
  <c r="G16" i="4" s="1"/>
  <c r="F29" i="3" s="1"/>
  <c r="G17" i="4" l="1"/>
  <c r="F30" i="3" s="1"/>
  <c r="G18" i="4" l="1"/>
  <c r="F31" i="3" s="1"/>
</calcChain>
</file>

<file path=xl/sharedStrings.xml><?xml version="1.0" encoding="utf-8"?>
<sst xmlns="http://schemas.openxmlformats.org/spreadsheetml/2006/main" count="159" uniqueCount="135">
  <si>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</si>
  <si>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</si>
  <si>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</si>
  <si>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</si>
  <si>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</si>
  <si>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</si>
  <si>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</si>
  <si>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</si>
  <si>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</si>
  <si>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</si>
  <si>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</si>
  <si>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ADM</t>
    <phoneticPr fontId="3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</si>
  <si>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</si>
  <si>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</si>
  <si>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</si>
  <si>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</si>
  <si>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</si>
  <si>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</si>
  <si>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</si>
  <si>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</si>
  <si>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</si>
  <si>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</si>
  <si>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</si>
  <si>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</si>
  <si>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</si>
  <si>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</si>
  <si>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</si>
  <si>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</si>
  <si>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</si>
  <si>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</si>
  <si>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</si>
  <si>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</si>
  <si>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</si>
  <si>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</si>
  <si>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</si>
  <si>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</si>
  <si>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</si>
  <si>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</si>
  <si>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</si>
  <si>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</si>
  <si>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</si>
  <si>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</si>
  <si>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</si>
  <si>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</si>
  <si>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</si>
  <si>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</si>
  <si>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</si>
  <si>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</si>
  <si>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</si>
  <si>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</si>
  <si>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</si>
  <si>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</si>
  <si>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</si>
  <si>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</si>
  <si>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</si>
  <si>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</si>
  <si>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</si>
  <si>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</si>
  <si>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</si>
  <si>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</si>
  <si>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</si>
  <si>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</si>
  <si>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</si>
  <si>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</si>
  <si>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</si>
  <si>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</si>
  <si>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</si>
  <si>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</si>
  <si>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</si>
  <si>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</si>
  <si>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</si>
  <si>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</si>
  <si>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</si>
  <si>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</si>
  <si>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</si>
  <si>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</si>
  <si>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</si>
  <si>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</si>
  <si>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</si>
  <si>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</si>
  <si>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</si>
  <si>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</si>
  <si>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</si>
  <si>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</si>
  <si>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</si>
  <si>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</si>
  <si>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</si>
  <si>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</si>
  <si>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</si>
  <si>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 xml:space="preserve">  Delivery &amp; Payment : Dong Chang Kim / Daeshin Admin. [ Mobile No. : +966 53 748 5762 / Email : kdchjs@daeshinplant.com ]</t>
  </si>
  <si>
    <t>Mobile: +966 539222074</t>
  </si>
  <si>
    <t>One time</t>
  </si>
  <si>
    <t>Branch of Hyundai Engineering and Const. Co., Ltd. (HDEC)</t>
  </si>
  <si>
    <t>BRANCH OF HYUNDAI ENG. &amp; CONST. CO., LTD.</t>
  </si>
  <si>
    <t>Bank Account Details: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</si>
  <si>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</si>
  <si>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</si>
  <si>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</si>
  <si>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</si>
  <si>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</si>
  <si>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</si>
  <si>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</si>
  <si>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</si>
  <si>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</si>
  <si>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</si>
  <si>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</si>
  <si>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</si>
  <si>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</si>
  <si>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</si>
  <si>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</si>
  <si>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</si>
  <si>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</si>
  <si>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</si>
  <si>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</si>
  <si>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</si>
  <si>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</si>
  <si>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</si>
  <si>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-MRS-0495</t>
    </r>
  </si>
  <si>
    <t>Injectable Mortar</t>
  </si>
  <si>
    <t>HIT-RE 500 V4/500</t>
  </si>
  <si>
    <t>PC</t>
  </si>
  <si>
    <t>HILTI</t>
  </si>
  <si>
    <t>935508263</t>
  </si>
  <si>
    <t>HILTI (HILTI Saudi Arabia Construction Tools)</t>
  </si>
  <si>
    <t>1010278712</t>
  </si>
  <si>
    <t>300234512600003</t>
  </si>
  <si>
    <t>Ahmed Ghazi</t>
  </si>
  <si>
    <t>Al Sahafah P.O. Box 8170 Riyadh 13321 Anas Ibn Malik Street</t>
  </si>
  <si>
    <t>HILTI SAUDI ARABIA CONSTRUCTION TOOLS</t>
  </si>
  <si>
    <t>SA14 4500 0000 0515 1932 7001</t>
  </si>
  <si>
    <t>SAUDI BRITISH BANK</t>
  </si>
  <si>
    <t>SABBSARI</t>
  </si>
  <si>
    <t>Mobile No. +966 55 859 7306 Email: Ahmed.Ghazi@hilti.com</t>
  </si>
  <si>
    <t>Discount 32%</t>
  </si>
  <si>
    <t>Transportation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</si>
</sst>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60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  <font>
      <sz val="10"/>
      <color rgb="FFFF0000"/>
      <name val="Arial"/>
      <family val="2"/>
    </font>
    <font>
      <sz val="12"/>
      <color rgb="FFFF0000"/>
      <name val="Arial"/>
      <family val="2"/>
    </font>
    <font>
      <sz val="11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7" fillId="0" borderId="0" applyBorder="0"/>
    <xf numFmtId="0" fontId="36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18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3" xfId="1" applyFont="1" applyFill="1" applyBorder="1" applyAlignment="1">
      <alignment horizontal="center" vertical="center"/>
    </xf>
    <xf numFmtId="0" fontId="14" fillId="2" borderId="0" xfId="1" applyFont="1" applyFill="1" applyAlignment="1">
      <alignment vertical="center"/>
    </xf>
    <xf numFmtId="0" fontId="5" fillId="2" borderId="20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5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8" fillId="3" borderId="0" xfId="5" applyFont="1" applyFill="1" applyAlignment="1">
      <alignment horizontal="left" vertical="center"/>
    </xf>
    <xf numFmtId="169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17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8" fillId="0" borderId="0" xfId="6" applyFont="1"/>
    <xf numFmtId="0" fontId="28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7" fillId="4" borderId="20" xfId="6" applyFont="1" applyFill="1" applyBorder="1" applyAlignment="1">
      <alignment horizontal="center" vertical="center" wrapText="1"/>
    </xf>
    <xf numFmtId="43" fontId="12" fillId="0" borderId="20" xfId="6" quotePrefix="1" applyNumberFormat="1" applyFont="1" applyBorder="1" applyAlignment="1">
      <alignment vertical="center" wrapText="1"/>
    </xf>
    <xf numFmtId="0" fontId="7" fillId="0" borderId="34" xfId="6" applyFont="1" applyBorder="1"/>
    <xf numFmtId="170" fontId="9" fillId="0" borderId="39" xfId="6" applyNumberFormat="1" applyFont="1" applyBorder="1" applyAlignment="1">
      <alignment horizontal="center" vertical="center" wrapText="1"/>
    </xf>
    <xf numFmtId="0" fontId="7" fillId="0" borderId="40" xfId="6" applyFont="1" applyBorder="1"/>
    <xf numFmtId="0" fontId="9" fillId="0" borderId="0" xfId="6" applyFont="1" applyAlignment="1">
      <alignment vertical="center"/>
    </xf>
    <xf numFmtId="0" fontId="25" fillId="0" borderId="41" xfId="6" applyFont="1" applyBorder="1" applyAlignment="1">
      <alignment vertical="center"/>
    </xf>
    <xf numFmtId="0" fontId="25" fillId="0" borderId="41" xfId="6" applyFont="1" applyBorder="1"/>
    <xf numFmtId="0" fontId="9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2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2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5" xfId="6" quotePrefix="1" applyFont="1" applyBorder="1" applyAlignment="1">
      <alignment horizontal="center" vertical="center"/>
    </xf>
    <xf numFmtId="0" fontId="5" fillId="2" borderId="36" xfId="7" applyFont="1" applyFill="1" applyBorder="1" applyAlignment="1">
      <alignment horizontal="center" vertical="center" wrapText="1"/>
    </xf>
    <xf numFmtId="0" fontId="5" fillId="2" borderId="36" xfId="8" applyFont="1" applyFill="1" applyBorder="1" applyAlignment="1">
      <alignment horizontal="center" vertical="center"/>
    </xf>
    <xf numFmtId="43" fontId="5" fillId="0" borderId="36" xfId="9" quotePrefix="1" applyFont="1" applyFill="1" applyBorder="1" applyAlignment="1">
      <alignment vertical="center"/>
    </xf>
    <xf numFmtId="43" fontId="5" fillId="0" borderId="36" xfId="6" applyNumberFormat="1" applyFont="1" applyBorder="1" applyAlignment="1">
      <alignment vertical="center"/>
    </xf>
    <xf numFmtId="0" fontId="2" fillId="0" borderId="37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5" fillId="0" borderId="33" xfId="6" quotePrefix="1" applyFont="1" applyBorder="1" applyAlignment="1">
      <alignment horizontal="center" vertical="center"/>
    </xf>
    <xf numFmtId="0" fontId="2" fillId="0" borderId="34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1" fillId="0" borderId="20" xfId="0" applyFont="1" applyBorder="1" applyAlignment="1">
      <alignment horizontal="center" vertical="center"/>
    </xf>
    <xf numFmtId="172" fontId="41" fillId="0" borderId="20" xfId="10" applyNumberFormat="1" applyFont="1" applyBorder="1" applyAlignment="1">
      <alignment horizontal="center" vertical="center"/>
    </xf>
    <xf numFmtId="0" fontId="5" fillId="2" borderId="20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167" fontId="2" fillId="0" borderId="14" xfId="0" applyNumberFormat="1" applyFont="1" applyBorder="1" applyAlignment="1">
      <alignment horizontal="right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18" xfId="1" quotePrefix="1" applyFont="1" applyFill="1" applyBorder="1" applyAlignment="1">
      <alignment vertical="center"/>
    </xf>
    <xf numFmtId="0" fontId="2" fillId="2" borderId="8" xfId="1" applyFill="1" applyBorder="1" applyAlignment="1">
      <alignment horizontal="center" vertical="center" wrapText="1"/>
    </xf>
    <xf numFmtId="0" fontId="42" fillId="2" borderId="0" xfId="1" applyFont="1" applyFill="1" applyAlignment="1">
      <alignment vertical="center"/>
    </xf>
    <xf numFmtId="170" fontId="17" fillId="3" borderId="0" xfId="5" applyNumberFormat="1" applyFont="1" applyFill="1"/>
    <xf numFmtId="0" fontId="2" fillId="2" borderId="16" xfId="1" applyFill="1" applyBorder="1" applyAlignment="1">
      <alignment vertical="center"/>
    </xf>
    <xf numFmtId="0" fontId="2" fillId="2" borderId="16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40" fillId="3" borderId="0" xfId="5" applyFont="1" applyFill="1" applyAlignment="1">
      <alignment horizontal="left" vertical="center"/>
    </xf>
    <xf numFmtId="170" fontId="24" fillId="3" borderId="0" xfId="5" applyNumberFormat="1" applyFont="1" applyFill="1"/>
    <xf numFmtId="0" fontId="51" fillId="3" borderId="0" xfId="5" applyFont="1" applyFill="1"/>
    <xf numFmtId="0" fontId="17" fillId="3" borderId="0" xfId="5" quotePrefix="1" applyFont="1" applyFill="1"/>
    <xf numFmtId="0" fontId="20" fillId="3" borderId="42" xfId="5" applyFont="1" applyFill="1" applyBorder="1"/>
    <xf numFmtId="0" fontId="17" fillId="3" borderId="42" xfId="5" applyFont="1" applyFill="1" applyBorder="1"/>
    <xf numFmtId="0" fontId="5" fillId="2" borderId="19" xfId="1" applyFont="1" applyFill="1" applyBorder="1" applyAlignment="1">
      <alignment horizontal="center" vertical="center"/>
    </xf>
    <xf numFmtId="0" fontId="5" fillId="2" borderId="19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vertical="center"/>
    </xf>
    <xf numFmtId="0" fontId="5" fillId="2" borderId="10" xfId="1" applyFont="1" applyFill="1" applyBorder="1" applyAlignment="1">
      <alignment horizontal="center" vertical="center"/>
    </xf>
    <xf numFmtId="0" fontId="12" fillId="3" borderId="0" xfId="0" applyFont="1" applyFill="1">
      <alignment vertical="center"/>
    </xf>
    <xf numFmtId="0" fontId="12" fillId="3" borderId="43" xfId="0" applyFont="1" applyFill="1" applyBorder="1">
      <alignment vertical="center"/>
    </xf>
    <xf numFmtId="0" fontId="5" fillId="2" borderId="8" xfId="1" applyFont="1" applyFill="1" applyBorder="1" applyAlignment="1">
      <alignment vertical="center" wrapText="1"/>
    </xf>
    <xf numFmtId="0" fontId="52" fillId="2" borderId="0" xfId="1" applyFont="1" applyFill="1" applyAlignment="1">
      <alignment vertical="center"/>
    </xf>
    <xf numFmtId="0" fontId="55" fillId="0" borderId="0" xfId="2" applyFont="1" applyAlignment="1">
      <alignment vertical="center"/>
    </xf>
    <xf numFmtId="168" fontId="56" fillId="0" borderId="7" xfId="3" applyNumberFormat="1" applyFont="1" applyBorder="1" applyAlignment="1">
      <alignment horizontal="right"/>
    </xf>
    <xf numFmtId="0" fontId="13" fillId="0" borderId="8" xfId="0" applyFont="1" applyBorder="1" applyAlignment="1">
      <alignment horizontal="center" vertical="center"/>
    </xf>
    <xf numFmtId="40" fontId="13" fillId="0" borderId="8" xfId="0" applyNumberFormat="1" applyFont="1" applyBorder="1">
      <alignment vertical="center"/>
    </xf>
    <xf numFmtId="167" fontId="2" fillId="0" borderId="8" xfId="0" applyNumberFormat="1" applyFont="1" applyBorder="1" applyAlignment="1">
      <alignment horizontal="right" vertical="center" wrapText="1"/>
    </xf>
    <xf numFmtId="167" fontId="2" fillId="0" borderId="8" xfId="0" applyNumberFormat="1" applyFont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13" xfId="1" applyFont="1" applyFill="1" applyBorder="1" applyAlignment="1">
      <alignment horizontal="center" vertical="center"/>
    </xf>
    <xf numFmtId="0" fontId="5" fillId="2" borderId="13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44" xfId="1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43" xfId="1" applyFont="1" applyFill="1" applyBorder="1" applyAlignment="1">
      <alignment horizontal="center" vertical="center" wrapText="1"/>
    </xf>
    <xf numFmtId="0" fontId="7" fillId="2" borderId="19" xfId="1" applyFont="1" applyFill="1" applyBorder="1" applyAlignment="1">
      <alignment horizontal="center" vertical="center"/>
    </xf>
    <xf numFmtId="0" fontId="7" fillId="2" borderId="19" xfId="1" applyFont="1" applyFill="1" applyBorder="1" applyAlignment="1">
      <alignment horizontal="center" vertical="center" wrapText="1"/>
    </xf>
    <xf numFmtId="0" fontId="2" fillId="2" borderId="14" xfId="1" applyFill="1" applyBorder="1" applyAlignment="1">
      <alignment horizontal="center" vertical="center" wrapText="1"/>
    </xf>
    <xf numFmtId="0" fontId="2" fillId="2" borderId="17" xfId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45" fillId="2" borderId="1" xfId="1" applyFont="1" applyFill="1" applyBorder="1" applyAlignment="1">
      <alignment horizontal="center" vertical="center"/>
    </xf>
    <xf numFmtId="0" fontId="45" fillId="2" borderId="2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46" fillId="2" borderId="4" xfId="1" applyFont="1" applyFill="1" applyBorder="1" applyAlignment="1">
      <alignment horizontal="center" vertical="center"/>
    </xf>
    <xf numFmtId="0" fontId="46" fillId="2" borderId="5" xfId="1" applyFont="1" applyFill="1" applyBorder="1" applyAlignment="1">
      <alignment horizontal="center" vertical="center"/>
    </xf>
    <xf numFmtId="0" fontId="46" fillId="2" borderId="6" xfId="1" applyFont="1" applyFill="1" applyBorder="1" applyAlignment="1">
      <alignment horizontal="center" vertical="center"/>
    </xf>
    <xf numFmtId="165" fontId="47" fillId="2" borderId="7" xfId="1" applyNumberFormat="1" applyFont="1" applyFill="1" applyBorder="1" applyAlignment="1">
      <alignment horizontal="left" vertical="center"/>
    </xf>
    <xf numFmtId="0" fontId="5" fillId="2" borderId="14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16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2" borderId="14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14" fillId="2" borderId="20" xfId="1" applyFont="1" applyFill="1" applyBorder="1" applyAlignment="1">
      <alignment horizontal="center" vertical="center" wrapText="1"/>
    </xf>
    <xf numFmtId="0" fontId="14" fillId="2" borderId="20" xfId="1" applyFont="1" applyFill="1" applyBorder="1" applyAlignment="1">
      <alignment horizontal="center" vertical="center"/>
    </xf>
    <xf numFmtId="0" fontId="41" fillId="0" borderId="21" xfId="0" applyFont="1" applyBorder="1" applyAlignment="1">
      <alignment horizontal="left" vertical="center" wrapText="1"/>
    </xf>
    <xf numFmtId="0" fontId="41" fillId="0" borderId="22" xfId="0" applyFont="1" applyBorder="1" applyAlignment="1">
      <alignment horizontal="left" vertical="center" wrapText="1"/>
    </xf>
    <xf numFmtId="0" fontId="41" fillId="3" borderId="21" xfId="0" applyFont="1" applyFill="1" applyBorder="1" applyAlignment="1">
      <alignment horizontal="center" vertical="center" wrapText="1"/>
    </xf>
    <xf numFmtId="0" fontId="41" fillId="3" borderId="23" xfId="0" applyFont="1" applyFill="1" applyBorder="1" applyAlignment="1">
      <alignment horizontal="center" vertical="center" wrapText="1"/>
    </xf>
    <xf numFmtId="0" fontId="41" fillId="3" borderId="22" xfId="0" applyFont="1" applyFill="1" applyBorder="1" applyAlignment="1">
      <alignment horizontal="center" vertical="center" wrapText="1"/>
    </xf>
    <xf numFmtId="0" fontId="26" fillId="3" borderId="0" xfId="5" applyFont="1" applyFill="1" applyAlignment="1">
      <alignment horizontal="center"/>
    </xf>
    <xf numFmtId="168" fontId="31" fillId="3" borderId="0" xfId="5" quotePrefix="1" applyNumberFormat="1" applyFont="1" applyFill="1" applyAlignment="1">
      <alignment horizontal="left" vertical="center"/>
    </xf>
    <xf numFmtId="168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4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0" fontId="50" fillId="3" borderId="0" xfId="5" applyFont="1" applyFill="1" applyAlignment="1">
      <alignment horizontal="left" wrapText="1"/>
    </xf>
    <xf numFmtId="0" fontId="12" fillId="0" borderId="33" xfId="6" quotePrefix="1" applyFont="1" applyBorder="1" applyAlignment="1">
      <alignment horizontal="right" vertical="center"/>
    </xf>
    <xf numFmtId="0" fontId="12" fillId="0" borderId="20" xfId="6" quotePrefix="1" applyFont="1" applyBorder="1" applyAlignment="1">
      <alignment horizontal="right" vertical="center"/>
    </xf>
    <xf numFmtId="0" fontId="9" fillId="0" borderId="38" xfId="6" quotePrefix="1" applyFont="1" applyBorder="1" applyAlignment="1">
      <alignment horizontal="right" vertical="center"/>
    </xf>
    <xf numFmtId="0" fontId="9" fillId="0" borderId="39" xfId="6" quotePrefix="1" applyFont="1" applyBorder="1" applyAlignment="1">
      <alignment horizontal="right" vertical="center"/>
    </xf>
    <xf numFmtId="0" fontId="41" fillId="3" borderId="21" xfId="5" applyFont="1" applyFill="1" applyBorder="1" applyAlignment="1">
      <alignment horizontal="left" vertical="center" wrapText="1"/>
    </xf>
    <xf numFmtId="0" fontId="41" fillId="3" borderId="22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25" xfId="6" applyFont="1" applyBorder="1" applyAlignment="1">
      <alignment horizontal="right" vertical="center"/>
    </xf>
    <xf numFmtId="0" fontId="7" fillId="4" borderId="26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27" xfId="6" applyFont="1" applyFill="1" applyBorder="1" applyAlignment="1">
      <alignment horizontal="center" vertical="center" wrapText="1"/>
    </xf>
    <xf numFmtId="0" fontId="7" fillId="4" borderId="28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20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57" fillId="0" borderId="14" xfId="0" applyFont="1" applyBorder="1" applyAlignment="1">
      <alignment horizontal="left" vertical="center" wrapText="1"/>
    </xf>
    <xf numFmtId="0" fontId="57" fillId="0" borderId="15" xfId="0" applyFont="1" applyBorder="1" applyAlignment="1">
      <alignment horizontal="left" vertical="center" wrapText="1"/>
    </xf>
    <xf numFmtId="0" fontId="57" fillId="3" borderId="14" xfId="0" applyFont="1" applyFill="1" applyBorder="1" applyAlignment="1">
      <alignment horizontal="center" vertical="center" wrapText="1"/>
    </xf>
    <xf numFmtId="0" fontId="57" fillId="3" borderId="16" xfId="0" applyFont="1" applyFill="1" applyBorder="1" applyAlignment="1">
      <alignment horizontal="center" vertical="center" wrapText="1"/>
    </xf>
    <xf numFmtId="0" fontId="57" fillId="3" borderId="15" xfId="0" applyFont="1" applyFill="1" applyBorder="1" applyAlignment="1">
      <alignment horizontal="center" vertical="center" wrapText="1"/>
    </xf>
    <xf numFmtId="0" fontId="57" fillId="0" borderId="8" xfId="0" applyFont="1" applyBorder="1" applyAlignment="1">
      <alignment horizontal="center" vertical="center"/>
    </xf>
    <xf numFmtId="40" fontId="57" fillId="0" borderId="8" xfId="0" applyNumberFormat="1" applyFont="1" applyBorder="1">
      <alignment vertical="center"/>
    </xf>
    <xf numFmtId="167" fontId="57" fillId="0" borderId="8" xfId="0" applyNumberFormat="1" applyFont="1" applyBorder="1" applyAlignment="1">
      <alignment horizontal="right" vertical="center" wrapText="1"/>
    </xf>
    <xf numFmtId="167" fontId="57" fillId="0" borderId="8" xfId="0" applyNumberFormat="1" applyFont="1" applyBorder="1" applyAlignment="1">
      <alignment horizontal="center" vertical="center" wrapText="1"/>
    </xf>
    <xf numFmtId="0" fontId="57" fillId="0" borderId="8" xfId="0" quotePrefix="1" applyFont="1" applyBorder="1" applyAlignment="1">
      <alignment vertical="center" wrapText="1"/>
    </xf>
    <xf numFmtId="0" fontId="58" fillId="3" borderId="21" xfId="5" applyFont="1" applyFill="1" applyBorder="1" applyAlignment="1">
      <alignment horizontal="left" vertical="center" wrapText="1"/>
    </xf>
    <xf numFmtId="0" fontId="58" fillId="3" borderId="22" xfId="5" applyFont="1" applyFill="1" applyBorder="1" applyAlignment="1">
      <alignment horizontal="left" vertical="center" wrapText="1"/>
    </xf>
    <xf numFmtId="0" fontId="59" fillId="2" borderId="36" xfId="7" applyFont="1" applyFill="1" applyBorder="1" applyAlignment="1">
      <alignment horizontal="center" vertical="center" wrapText="1"/>
    </xf>
    <xf numFmtId="0" fontId="59" fillId="2" borderId="36" xfId="8" applyFont="1" applyFill="1" applyBorder="1" applyAlignment="1">
      <alignment horizontal="center" vertical="center"/>
    </xf>
    <xf numFmtId="43" fontId="59" fillId="0" borderId="36" xfId="9" quotePrefix="1" applyFont="1" applyFill="1" applyBorder="1" applyAlignment="1">
      <alignment vertical="center"/>
    </xf>
    <xf numFmtId="43" fontId="59" fillId="0" borderId="36" xfId="6" applyNumberFormat="1" applyFont="1" applyBorder="1" applyAlignment="1">
      <alignment vertical="center"/>
    </xf>
    <xf numFmtId="0" fontId="57" fillId="0" borderId="37" xfId="6" quotePrefix="1" applyFont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191502</xdr:colOff>
          <xdr:row>16</xdr:row>
          <xdr:rowOff>246146</xdr:rowOff>
        </xdr:from>
        <xdr:to>
          <xdr:col>11</xdr:col>
          <xdr:colOff>1480385</xdr:colOff>
          <xdr:row>23</xdr:row>
          <xdr:rowOff>233612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BE086B2F-AB31-E0D2-8CD8-9D9ED6A2D9B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41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407318" y="5971172"/>
              <a:ext cx="8457699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tabSelected="1" view="pageBreakPreview" zoomScale="95" zoomScaleNormal="95" zoomScaleSheetLayoutView="95" workbookViewId="0">
      <selection activeCell="D7" sqref="D7:F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1.28515625" style="2" customWidth="1"/>
    <col min="4" max="4" width="17.28515625" style="2" customWidth="1"/>
    <col min="5" max="5" width="14.5703125" style="2" customWidth="1"/>
    <col min="6" max="6" width="14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8" ht="49.9" customHeight="1">
      <c r="A1" s="118" t="s">
        <v>115</v>
      </c>
      <c r="B1" s="119"/>
      <c r="C1" s="95"/>
      <c r="D1" s="95"/>
      <c r="E1" s="95"/>
      <c r="F1" s="95"/>
      <c r="G1" s="1"/>
      <c r="J1" s="148" t="s">
        <v>81</v>
      </c>
      <c r="K1" s="149"/>
      <c r="L1" s="150"/>
    </row>
    <row r="2" spans="1:18" ht="20.100000000000001" customHeight="1">
      <c r="A2" s="3" t="s">
        <v>1</v>
      </c>
      <c r="B2" s="89"/>
      <c r="C2" s="89"/>
      <c r="D2" s="3" t="s">
        <v>116</v>
      </c>
      <c r="E2" s="89"/>
      <c r="F2" s="89"/>
      <c r="G2" s="89"/>
      <c r="H2" s="89"/>
      <c r="I2" s="4"/>
      <c r="J2" s="151" t="s">
        <v>88</v>
      </c>
      <c r="K2" s="152"/>
      <c r="L2" s="153"/>
    </row>
    <row r="3" spans="1:18" ht="20.100000000000001" customHeight="1">
      <c r="A3" s="3" t="s">
        <v>117</v>
      </c>
      <c r="B3" s="89"/>
      <c r="C3" s="89"/>
      <c r="D3" s="89"/>
      <c r="E3" s="154">
        <f>+L3+3</f>
        <v>46316</v>
      </c>
      <c r="F3" s="154"/>
      <c r="G3" s="154"/>
      <c r="H3" s="154"/>
      <c r="I3" s="154"/>
      <c r="J3" s="89"/>
      <c r="K3" s="89"/>
      <c r="L3" s="120">
        <v>46313</v>
      </c>
      <c r="M3" s="4"/>
    </row>
    <row r="4" spans="1:18" ht="15.95" customHeight="1">
      <c r="A4" s="129" t="s">
        <v>2</v>
      </c>
      <c r="B4" s="131" t="s">
        <v>3</v>
      </c>
      <c r="C4" s="131"/>
      <c r="D4" s="133" t="s">
        <v>4</v>
      </c>
      <c r="E4" s="134"/>
      <c r="F4" s="135"/>
      <c r="G4" s="132" t="s">
        <v>5</v>
      </c>
      <c r="H4" s="130" t="s">
        <v>6</v>
      </c>
      <c r="I4" s="130" t="s">
        <v>85</v>
      </c>
      <c r="J4" s="129" t="s">
        <v>86</v>
      </c>
      <c r="K4" s="130" t="s">
        <v>0</v>
      </c>
      <c r="L4" s="131" t="s">
        <v>7</v>
      </c>
    </row>
    <row r="5" spans="1:18" ht="15.95" customHeight="1">
      <c r="A5" s="130"/>
      <c r="B5" s="132"/>
      <c r="C5" s="132"/>
      <c r="D5" s="136"/>
      <c r="E5" s="137"/>
      <c r="F5" s="138"/>
      <c r="G5" s="139"/>
      <c r="H5" s="140"/>
      <c r="I5" s="140"/>
      <c r="J5" s="130"/>
      <c r="K5" s="140"/>
      <c r="L5" s="132"/>
    </row>
    <row r="6" spans="1:18" ht="30" customHeight="1">
      <c r="A6" s="5">
        <f t="shared" ref="A6:A15" si="0">ROW(A1)</f>
        <v>1</v>
      </c>
      <c r="B6" s="143" t="s">
        <v>118</v>
      </c>
      <c r="C6" s="144"/>
      <c r="D6" s="145" t="s">
        <v>119</v>
      </c>
      <c r="E6" s="146"/>
      <c r="F6" s="147"/>
      <c r="G6" s="121" t="s">
        <v>120</v>
      </c>
      <c r="H6" s="121">
        <v>200</v>
      </c>
      <c r="I6" s="122">
        <v>330</v>
      </c>
      <c r="J6" s="123">
        <f>H6*I6</f>
        <v>66000</v>
      </c>
      <c r="K6" s="124" t="s">
        <v>121</v>
      </c>
      <c r="L6" s="97" t="s">
        <v>91</v>
      </c>
      <c r="R6" s="94"/>
    </row>
    <row r="7" spans="1:18" ht="30" customHeight="1">
      <c r="A7" s="5">
        <f t="shared" si="0"/>
        <v>2</v>
      </c>
      <c r="B7" s="201" t="s">
        <v>133</v>
      </c>
      <c r="C7" s="202"/>
      <c r="D7" s="203"/>
      <c r="E7" s="204"/>
      <c r="F7" s="205"/>
      <c r="G7" s="206" t="s">
        <v>120</v>
      </c>
      <c r="H7" s="206">
        <v>200</v>
      </c>
      <c r="I7" s="207">
        <f>-I6*32%</f>
        <v>-105.60000000000001</v>
      </c>
      <c r="J7" s="208">
        <f t="shared" ref="J7:J9" si="1">H7*I7</f>
        <v>-21120</v>
      </c>
      <c r="K7" s="209"/>
      <c r="L7" s="210"/>
      <c r="R7" s="94"/>
    </row>
    <row r="8" spans="1:18" ht="30" customHeight="1">
      <c r="A8" s="5">
        <f t="shared" si="0"/>
        <v>3</v>
      </c>
      <c r="B8" s="143" t="s">
        <v>134</v>
      </c>
      <c r="C8" s="144"/>
      <c r="D8" s="145"/>
      <c r="E8" s="146"/>
      <c r="F8" s="147"/>
      <c r="G8" s="121"/>
      <c r="H8" s="121"/>
      <c r="I8" s="122"/>
      <c r="J8" s="123">
        <v>448.8</v>
      </c>
      <c r="K8" s="124"/>
      <c r="L8" s="97"/>
      <c r="R8" s="94"/>
    </row>
    <row r="9" spans="1:18" ht="30" customHeight="1">
      <c r="A9" s="5">
        <f t="shared" si="0"/>
        <v>4</v>
      </c>
      <c r="B9" s="143"/>
      <c r="C9" s="144"/>
      <c r="D9" s="145"/>
      <c r="E9" s="146"/>
      <c r="F9" s="147"/>
      <c r="G9" s="121"/>
      <c r="H9" s="121"/>
      <c r="I9" s="122"/>
      <c r="J9" s="123">
        <f t="shared" si="1"/>
        <v>0</v>
      </c>
      <c r="K9" s="124"/>
      <c r="L9" s="97"/>
      <c r="R9" s="94"/>
    </row>
    <row r="10" spans="1:18" ht="30" customHeight="1">
      <c r="A10" s="5">
        <f t="shared" si="0"/>
        <v>5</v>
      </c>
      <c r="B10" s="143"/>
      <c r="C10" s="144"/>
      <c r="D10" s="145"/>
      <c r="E10" s="146"/>
      <c r="F10" s="147"/>
      <c r="G10" s="121"/>
      <c r="H10" s="121"/>
      <c r="I10" s="122"/>
      <c r="J10" s="123"/>
      <c r="K10" s="124"/>
      <c r="L10" s="97"/>
      <c r="R10" s="94"/>
    </row>
    <row r="11" spans="1:18" ht="30" customHeight="1">
      <c r="A11" s="5">
        <f t="shared" si="0"/>
        <v>6</v>
      </c>
      <c r="B11" s="143"/>
      <c r="C11" s="144"/>
      <c r="D11" s="145"/>
      <c r="E11" s="146"/>
      <c r="F11" s="147"/>
      <c r="G11" s="121"/>
      <c r="H11" s="121"/>
      <c r="I11" s="122"/>
      <c r="J11" s="123"/>
      <c r="K11" s="124"/>
      <c r="L11" s="97"/>
      <c r="R11" s="94"/>
    </row>
    <row r="12" spans="1:18" ht="30" customHeight="1">
      <c r="A12" s="5">
        <f t="shared" si="0"/>
        <v>7</v>
      </c>
      <c r="B12" s="143"/>
      <c r="C12" s="144"/>
      <c r="D12" s="145"/>
      <c r="E12" s="146"/>
      <c r="F12" s="147"/>
      <c r="G12" s="121"/>
      <c r="H12" s="121"/>
      <c r="I12" s="122"/>
      <c r="J12" s="123"/>
      <c r="K12" s="124"/>
      <c r="L12" s="97"/>
      <c r="R12" s="94"/>
    </row>
    <row r="13" spans="1:18" ht="30" customHeight="1">
      <c r="A13" s="5">
        <f t="shared" si="0"/>
        <v>8</v>
      </c>
      <c r="B13" s="143"/>
      <c r="C13" s="144"/>
      <c r="D13" s="145"/>
      <c r="E13" s="146"/>
      <c r="F13" s="147"/>
      <c r="G13" s="121"/>
      <c r="H13" s="121"/>
      <c r="I13" s="122"/>
      <c r="J13" s="123"/>
      <c r="K13" s="124"/>
      <c r="L13" s="97"/>
      <c r="R13" s="94"/>
    </row>
    <row r="14" spans="1:18" ht="30" customHeight="1">
      <c r="A14" s="5">
        <f t="shared" si="0"/>
        <v>9</v>
      </c>
      <c r="B14" s="143"/>
      <c r="C14" s="144"/>
      <c r="D14" s="145"/>
      <c r="E14" s="146"/>
      <c r="F14" s="147"/>
      <c r="G14" s="121"/>
      <c r="H14" s="121"/>
      <c r="I14" s="122"/>
      <c r="J14" s="123"/>
      <c r="K14" s="124"/>
      <c r="L14" s="97"/>
      <c r="R14" s="94"/>
    </row>
    <row r="15" spans="1:18" ht="30" customHeight="1">
      <c r="A15" s="5">
        <f t="shared" si="0"/>
        <v>10</v>
      </c>
      <c r="B15" s="143"/>
      <c r="C15" s="144"/>
      <c r="D15" s="145"/>
      <c r="E15" s="146"/>
      <c r="F15" s="147"/>
      <c r="G15" s="121"/>
      <c r="H15" s="121"/>
      <c r="I15" s="122"/>
      <c r="J15" s="123"/>
      <c r="K15" s="124"/>
      <c r="L15" s="97"/>
      <c r="R15" s="94"/>
    </row>
    <row r="16" spans="1:18" ht="30" customHeight="1">
      <c r="A16" s="141" t="s">
        <v>8</v>
      </c>
      <c r="B16" s="142"/>
      <c r="C16" s="98"/>
      <c r="D16" s="102"/>
      <c r="E16" s="102"/>
      <c r="F16" s="102"/>
      <c r="G16" s="103"/>
      <c r="H16" s="103"/>
      <c r="I16" s="104" t="s">
        <v>9</v>
      </c>
      <c r="J16" s="96">
        <f>SUM(J6:J15)</f>
        <v>45328.800000000003</v>
      </c>
      <c r="K16" s="96"/>
      <c r="L16" s="99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59"/>
      <c r="Z18" s="11"/>
    </row>
    <row r="19" spans="1:26" ht="50.1" customHeight="1">
      <c r="Y19" s="160"/>
    </row>
    <row r="20" spans="1:26" ht="15" customHeight="1">
      <c r="O20" s="155" t="s">
        <v>103</v>
      </c>
      <c r="P20" s="161"/>
      <c r="Q20" s="161"/>
      <c r="R20" s="156"/>
      <c r="S20" s="111"/>
      <c r="T20" s="155" t="s">
        <v>104</v>
      </c>
      <c r="U20" s="161"/>
      <c r="V20" s="161"/>
      <c r="W20" s="161"/>
      <c r="X20" s="161"/>
      <c r="Y20" s="156"/>
    </row>
    <row r="21" spans="1:26" ht="15" customHeight="1">
      <c r="O21" s="162" t="s">
        <v>105</v>
      </c>
      <c r="P21" s="125" t="s">
        <v>106</v>
      </c>
      <c r="Q21" s="162" t="s">
        <v>107</v>
      </c>
      <c r="R21" s="125" t="s">
        <v>108</v>
      </c>
      <c r="S21" s="111"/>
      <c r="T21" s="162" t="s">
        <v>109</v>
      </c>
      <c r="U21" s="125" t="s">
        <v>110</v>
      </c>
      <c r="V21" s="155" t="s">
        <v>111</v>
      </c>
      <c r="W21" s="161"/>
      <c r="X21" s="156"/>
      <c r="Y21" s="125" t="s">
        <v>112</v>
      </c>
    </row>
    <row r="22" spans="1:26" ht="18" customHeight="1">
      <c r="O22" s="126"/>
      <c r="P22" s="127"/>
      <c r="Q22" s="126"/>
      <c r="R22" s="127"/>
      <c r="S22" s="112"/>
      <c r="T22" s="126"/>
      <c r="U22" s="127"/>
      <c r="V22" s="13" t="s">
        <v>105</v>
      </c>
      <c r="W22" s="163" t="s">
        <v>113</v>
      </c>
      <c r="X22" s="164"/>
      <c r="Y22" s="127"/>
    </row>
    <row r="23" spans="1:26" ht="50.1" customHeight="1">
      <c r="O23" s="14"/>
      <c r="P23" s="14"/>
      <c r="Q23" s="14"/>
      <c r="R23" s="14"/>
      <c r="S23" s="111"/>
      <c r="T23" s="14"/>
      <c r="U23" s="14"/>
      <c r="V23" s="14"/>
      <c r="W23" s="155"/>
      <c r="X23" s="156"/>
      <c r="Y23" s="113"/>
    </row>
    <row r="24" spans="1:26" ht="36" customHeight="1">
      <c r="W24" s="114"/>
      <c r="X24" s="157" t="s">
        <v>114</v>
      </c>
      <c r="Y24" s="12" t="s">
        <v>112</v>
      </c>
    </row>
    <row r="25" spans="1:26" ht="50.1" customHeight="1">
      <c r="O25" s="115"/>
      <c r="P25" s="115"/>
      <c r="Q25" s="115"/>
      <c r="R25" s="115"/>
      <c r="S25" s="115"/>
      <c r="T25" s="115"/>
      <c r="U25" s="115"/>
      <c r="V25" s="115"/>
      <c r="W25" s="116"/>
      <c r="X25" s="158"/>
      <c r="Y25" s="117"/>
    </row>
    <row r="26" spans="1:26" ht="19.899999999999999" customHeight="1"/>
    <row r="27" spans="1:26" ht="17.45" customHeight="1">
      <c r="O27" s="128"/>
      <c r="P27" s="128"/>
    </row>
    <row r="28" spans="1:26" ht="19.899999999999999" customHeight="1">
      <c r="O28" s="128"/>
      <c r="P28" s="128"/>
    </row>
    <row r="29" spans="1:26" ht="14.25">
      <c r="O29" s="11"/>
      <c r="P29" s="11"/>
    </row>
    <row r="30" spans="1:26" ht="65.099999999999994" customHeight="1"/>
    <row r="31" spans="1:26" ht="14.25">
      <c r="O31" s="11"/>
      <c r="P31" s="11"/>
    </row>
    <row r="32" spans="1:26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25" t="s">
        <v>12</v>
      </c>
      <c r="P46" s="125" t="s">
        <v>12</v>
      </c>
      <c r="S46" s="125" t="s">
        <v>11</v>
      </c>
    </row>
    <row r="47" spans="15:19" ht="21" customHeight="1">
      <c r="O47" s="127"/>
      <c r="P47" s="127"/>
      <c r="S47" s="126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25" t="s">
        <v>12</v>
      </c>
      <c r="P50" s="125" t="s">
        <v>12</v>
      </c>
      <c r="S50" s="125" t="s">
        <v>13</v>
      </c>
    </row>
    <row r="51" spans="15:19" ht="21" customHeight="1">
      <c r="O51" s="127"/>
      <c r="P51" s="127"/>
      <c r="S51" s="126"/>
    </row>
    <row r="52" spans="15:19" ht="64.900000000000006" customHeight="1">
      <c r="O52" s="14"/>
      <c r="P52" s="14"/>
      <c r="S52" s="14"/>
    </row>
  </sheetData>
  <mergeCells count="55">
    <mergeCell ref="D9:F9"/>
    <mergeCell ref="D10:F10"/>
    <mergeCell ref="D11:F11"/>
    <mergeCell ref="D12:F12"/>
    <mergeCell ref="D13:F13"/>
    <mergeCell ref="W23:X23"/>
    <mergeCell ref="X24:X25"/>
    <mergeCell ref="Y18:Y19"/>
    <mergeCell ref="O20:R20"/>
    <mergeCell ref="T20:Y20"/>
    <mergeCell ref="O21:O22"/>
    <mergeCell ref="Q21:Q22"/>
    <mergeCell ref="R21:R22"/>
    <mergeCell ref="T21:T22"/>
    <mergeCell ref="U21:U22"/>
    <mergeCell ref="V21:X21"/>
    <mergeCell ref="Y21:Y22"/>
    <mergeCell ref="W22:X22"/>
    <mergeCell ref="B9:C9"/>
    <mergeCell ref="B10:C10"/>
    <mergeCell ref="B11:C11"/>
    <mergeCell ref="B12:C12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I4:I5"/>
    <mergeCell ref="J4:J5"/>
    <mergeCell ref="K4:K5"/>
    <mergeCell ref="L4:L5"/>
    <mergeCell ref="A16:B16"/>
    <mergeCell ref="P21:P22"/>
    <mergeCell ref="B13:C13"/>
    <mergeCell ref="B14:C14"/>
    <mergeCell ref="B15:C15"/>
    <mergeCell ref="D14:F14"/>
    <mergeCell ref="D15:F15"/>
    <mergeCell ref="A4:A5"/>
    <mergeCell ref="B4:C5"/>
    <mergeCell ref="D4:F5"/>
    <mergeCell ref="G4:G5"/>
    <mergeCell ref="H4:H5"/>
    <mergeCell ref="S46:S47"/>
    <mergeCell ref="O50:O51"/>
    <mergeCell ref="P50:P51"/>
    <mergeCell ref="S50:S51"/>
    <mergeCell ref="O27:O28"/>
    <mergeCell ref="P27:P28"/>
    <mergeCell ref="O46:O47"/>
    <mergeCell ref="P46:P47"/>
  </mergeCells>
  <phoneticPr fontId="3" type="noConversion"/>
  <printOptions horizontalCentered="1"/>
  <pageMargins left="0.39370078740157499" right="0.39370078740157499" top="0.39370078740157499" bottom="0.39370078740157499" header="0" footer="0"/>
  <pageSetup paperSize="9" scale="82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58"/>
  <sheetViews>
    <sheetView showGridLines="0" zoomScale="95" zoomScaleNormal="95" zoomScaleSheetLayoutView="70" workbookViewId="0">
      <pane ySplit="5" topLeftCell="A33" activePane="bottomLeft" state="frozen"/>
      <selection activeCell="D30" sqref="D30"/>
      <selection pane="bottomLeft" activeCell="K56" sqref="K5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0" t="s">
        <v>87</v>
      </c>
      <c r="B1" s="88"/>
      <c r="C1" s="88"/>
      <c r="D1" s="88"/>
      <c r="E1" s="88"/>
      <c r="F1" s="88"/>
      <c r="G1" s="1"/>
      <c r="J1" s="148" t="str">
        <f>+MRS!J1</f>
        <v>DAESHIN PLANT</v>
      </c>
      <c r="K1" s="150"/>
    </row>
    <row r="2" spans="1:18" ht="24.95" customHeight="1">
      <c r="A2" s="3" t="str">
        <f>+MRS!A2</f>
        <v xml:space="preserve">  PJT :  SACE2           </v>
      </c>
      <c r="B2" s="89"/>
      <c r="C2" s="89"/>
      <c r="D2" s="3" t="str">
        <f>+MRS!D2</f>
        <v>Division (In charge Name) : ADMIN MANAGER (Dong Chang Kim)</v>
      </c>
      <c r="E2" s="89"/>
      <c r="F2" s="89"/>
      <c r="G2" s="16"/>
      <c r="H2" s="16"/>
      <c r="I2" s="16"/>
      <c r="J2" s="151" t="str">
        <f>+MRS!J2</f>
        <v>Subcontract name (SAC2-SC-IK-SMP-01)</v>
      </c>
      <c r="K2" s="153"/>
    </row>
    <row r="3" spans="1:18" ht="24.95" customHeight="1">
      <c r="A3" s="3" t="str">
        <f>+MRS!A3</f>
        <v xml:space="preserve">  MRS No : SAC2-DS-MRS-0495</v>
      </c>
      <c r="B3" s="89"/>
      <c r="C3" s="89"/>
      <c r="D3" s="89"/>
      <c r="E3" s="89"/>
      <c r="F3" s="89"/>
      <c r="G3" s="89"/>
      <c r="H3" s="89"/>
      <c r="I3" s="89"/>
      <c r="J3" s="89"/>
      <c r="K3" s="90">
        <f>+MRS!L3</f>
        <v>46313</v>
      </c>
    </row>
    <row r="4" spans="1:18" ht="15.95" customHeight="1">
      <c r="A4" s="165" t="s">
        <v>2</v>
      </c>
      <c r="B4" s="166" t="s">
        <v>14</v>
      </c>
      <c r="C4" s="166"/>
      <c r="D4" s="165" t="s">
        <v>4</v>
      </c>
      <c r="E4" s="165"/>
      <c r="F4" s="165"/>
      <c r="G4" s="166" t="s">
        <v>5</v>
      </c>
      <c r="H4" s="165" t="s">
        <v>82</v>
      </c>
      <c r="I4" s="165" t="s">
        <v>15</v>
      </c>
      <c r="J4" s="165" t="s">
        <v>16</v>
      </c>
      <c r="K4" s="166" t="s">
        <v>7</v>
      </c>
    </row>
    <row r="5" spans="1:18" ht="15.95" customHeight="1">
      <c r="A5" s="165"/>
      <c r="B5" s="166"/>
      <c r="C5" s="166"/>
      <c r="D5" s="165"/>
      <c r="E5" s="165"/>
      <c r="F5" s="165"/>
      <c r="G5" s="166"/>
      <c r="H5" s="165"/>
      <c r="I5" s="165"/>
      <c r="J5" s="165"/>
      <c r="K5" s="166"/>
    </row>
    <row r="6" spans="1:18" ht="105" customHeight="1">
      <c r="A6" s="17">
        <f>+MRS!A6</f>
        <v>1</v>
      </c>
      <c r="B6" s="167" t="str">
        <f>MRS!B6</f>
        <v>Injectable Mortar</v>
      </c>
      <c r="C6" s="168"/>
      <c r="D6" s="169" t="str">
        <f>MRS!D6</f>
        <v>HIT-RE 500 V4/500</v>
      </c>
      <c r="E6" s="170"/>
      <c r="F6" s="171"/>
      <c r="G6" s="91" t="str">
        <f>MRS!G6</f>
        <v>PC</v>
      </c>
      <c r="H6" s="91">
        <f>MRS!H6</f>
        <v>200</v>
      </c>
      <c r="I6" s="92">
        <f>MRS!I6</f>
        <v>330</v>
      </c>
      <c r="J6" s="92">
        <f>MRS!J6</f>
        <v>66000</v>
      </c>
      <c r="K6" s="93"/>
      <c r="O6" s="94"/>
      <c r="P6" s="94"/>
      <c r="R6" s="94"/>
    </row>
    <row r="7" spans="1:18" ht="105" customHeight="1">
      <c r="A7" s="17">
        <f>+MRS!A7</f>
        <v>2</v>
      </c>
      <c r="B7" s="167" t="str">
        <f>MRS!B7</f>
        <v>Discount 32%</v>
      </c>
      <c r="C7" s="168"/>
      <c r="D7" s="169">
        <f>MRS!D7</f>
        <v>0</v>
      </c>
      <c r="E7" s="170"/>
      <c r="F7" s="171"/>
      <c r="G7" s="91" t="str">
        <f>MRS!G7</f>
        <v>PC</v>
      </c>
      <c r="H7" s="91">
        <f>MRS!H7</f>
        <v>200</v>
      </c>
      <c r="I7" s="92">
        <f>MRS!I7</f>
        <v>-105.60000000000001</v>
      </c>
      <c r="J7" s="92">
        <f>MRS!J7</f>
        <v>-21120</v>
      </c>
      <c r="K7" s="93"/>
      <c r="O7" s="94"/>
      <c r="P7" s="94"/>
      <c r="R7" s="94"/>
    </row>
    <row r="8" spans="1:18" ht="105" customHeight="1">
      <c r="A8" s="17" t="e">
        <f>+MRS!#REF!</f>
        <v>#REF!</v>
      </c>
      <c r="B8" s="167" t="str">
        <f>MRS!B8</f>
        <v>Transportation Charge</v>
      </c>
      <c r="C8" s="168"/>
      <c r="D8" s="169">
        <f>MRS!D8</f>
        <v>0</v>
      </c>
      <c r="E8" s="170"/>
      <c r="F8" s="171"/>
      <c r="G8" s="91">
        <f>MRS!G8</f>
        <v>0</v>
      </c>
      <c r="H8" s="91">
        <f>MRS!H8</f>
        <v>0</v>
      </c>
      <c r="I8" s="92">
        <f>MRS!I8</f>
        <v>0</v>
      </c>
      <c r="J8" s="92">
        <f>MRS!J8</f>
        <v>448.8</v>
      </c>
      <c r="K8" s="93"/>
      <c r="O8" s="94"/>
      <c r="P8" s="94"/>
      <c r="R8" s="94"/>
    </row>
    <row r="9" spans="1:18" ht="105" customHeight="1">
      <c r="A9" s="17" t="e">
        <f>+MRS!#REF!</f>
        <v>#REF!</v>
      </c>
      <c r="B9" s="167">
        <f>MRS!B9</f>
        <v>0</v>
      </c>
      <c r="C9" s="168"/>
      <c r="D9" s="169">
        <f>MRS!D9</f>
        <v>0</v>
      </c>
      <c r="E9" s="170"/>
      <c r="F9" s="171"/>
      <c r="G9" s="91">
        <f>MRS!G9</f>
        <v>0</v>
      </c>
      <c r="H9" s="91">
        <f>MRS!H9</f>
        <v>0</v>
      </c>
      <c r="I9" s="92">
        <f>MRS!I9</f>
        <v>0</v>
      </c>
      <c r="J9" s="92">
        <f>MRS!J9</f>
        <v>0</v>
      </c>
      <c r="K9" s="93"/>
      <c r="O9" s="94"/>
      <c r="P9" s="94"/>
      <c r="R9" s="94"/>
    </row>
    <row r="10" spans="1:18" ht="105" customHeight="1">
      <c r="A10" s="17" t="e">
        <f>+MRS!#REF!</f>
        <v>#REF!</v>
      </c>
      <c r="B10" s="167">
        <f>MRS!B10</f>
        <v>0</v>
      </c>
      <c r="C10" s="168"/>
      <c r="D10" s="169">
        <f>MRS!D10</f>
        <v>0</v>
      </c>
      <c r="E10" s="170"/>
      <c r="F10" s="171"/>
      <c r="G10" s="91">
        <f>MRS!G10</f>
        <v>0</v>
      </c>
      <c r="H10" s="91">
        <f>MRS!H10</f>
        <v>0</v>
      </c>
      <c r="I10" s="92">
        <f>MRS!I10</f>
        <v>0</v>
      </c>
      <c r="J10" s="92">
        <f>MRS!J10</f>
        <v>0</v>
      </c>
      <c r="K10" s="93"/>
      <c r="O10" s="94"/>
      <c r="P10" s="94"/>
      <c r="R10" s="94"/>
    </row>
    <row r="11" spans="1:18" ht="105" customHeight="1">
      <c r="A11" s="17" t="e">
        <f>+MRS!#REF!</f>
        <v>#REF!</v>
      </c>
      <c r="B11" s="167">
        <f>MRS!B11</f>
        <v>0</v>
      </c>
      <c r="C11" s="168"/>
      <c r="D11" s="169">
        <f>MRS!D11</f>
        <v>0</v>
      </c>
      <c r="E11" s="170"/>
      <c r="F11" s="171"/>
      <c r="G11" s="91">
        <f>MRS!G11</f>
        <v>0</v>
      </c>
      <c r="H11" s="91">
        <f>MRS!H11</f>
        <v>0</v>
      </c>
      <c r="I11" s="92">
        <f>MRS!I11</f>
        <v>0</v>
      </c>
      <c r="J11" s="92">
        <f>MRS!J11</f>
        <v>0</v>
      </c>
      <c r="K11" s="93"/>
      <c r="O11" s="94"/>
      <c r="P11" s="94"/>
      <c r="R11" s="94"/>
    </row>
    <row r="12" spans="1:18" ht="105" customHeight="1">
      <c r="A12" s="17" t="e">
        <f>+MRS!#REF!</f>
        <v>#REF!</v>
      </c>
      <c r="B12" s="167">
        <f>MRS!B12</f>
        <v>0</v>
      </c>
      <c r="C12" s="168"/>
      <c r="D12" s="169">
        <f>MRS!D12</f>
        <v>0</v>
      </c>
      <c r="E12" s="170"/>
      <c r="F12" s="171"/>
      <c r="G12" s="91">
        <f>MRS!G12</f>
        <v>0</v>
      </c>
      <c r="H12" s="91">
        <f>MRS!H12</f>
        <v>0</v>
      </c>
      <c r="I12" s="92">
        <f>MRS!I12</f>
        <v>0</v>
      </c>
      <c r="J12" s="92">
        <f>MRS!J12</f>
        <v>0</v>
      </c>
      <c r="K12" s="93"/>
      <c r="O12" s="94"/>
      <c r="P12" s="94"/>
      <c r="R12" s="94"/>
    </row>
    <row r="13" spans="1:18" ht="105" customHeight="1">
      <c r="A13" s="17" t="e">
        <f>+MRS!#REF!</f>
        <v>#REF!</v>
      </c>
      <c r="B13" s="167">
        <f>MRS!B13</f>
        <v>0</v>
      </c>
      <c r="C13" s="168"/>
      <c r="D13" s="169">
        <f>MRS!D13</f>
        <v>0</v>
      </c>
      <c r="E13" s="170"/>
      <c r="F13" s="171"/>
      <c r="G13" s="91">
        <f>MRS!G13</f>
        <v>0</v>
      </c>
      <c r="H13" s="91">
        <f>MRS!H13</f>
        <v>0</v>
      </c>
      <c r="I13" s="92">
        <f>MRS!I13</f>
        <v>0</v>
      </c>
      <c r="J13" s="92">
        <f>MRS!J13</f>
        <v>0</v>
      </c>
      <c r="K13" s="93"/>
      <c r="O13" s="94"/>
      <c r="P13" s="94"/>
      <c r="R13" s="94"/>
    </row>
    <row r="14" spans="1:18" ht="105" customHeight="1">
      <c r="A14" s="17" t="e">
        <f>+MRS!#REF!</f>
        <v>#REF!</v>
      </c>
      <c r="B14" s="167">
        <f>MRS!B14</f>
        <v>0</v>
      </c>
      <c r="C14" s="168"/>
      <c r="D14" s="169">
        <f>MRS!D14</f>
        <v>0</v>
      </c>
      <c r="E14" s="170"/>
      <c r="F14" s="171"/>
      <c r="G14" s="91">
        <f>MRS!G14</f>
        <v>0</v>
      </c>
      <c r="H14" s="91">
        <f>MRS!H14</f>
        <v>0</v>
      </c>
      <c r="I14" s="92">
        <f>MRS!I14</f>
        <v>0</v>
      </c>
      <c r="J14" s="92">
        <f>MRS!J14</f>
        <v>0</v>
      </c>
      <c r="K14" s="93"/>
      <c r="O14" s="94"/>
      <c r="P14" s="94"/>
      <c r="R14" s="94"/>
    </row>
    <row r="15" spans="1:18" ht="105" customHeight="1">
      <c r="A15" s="17" t="e">
        <f>+MRS!#REF!</f>
        <v>#REF!</v>
      </c>
      <c r="B15" s="167">
        <f>MRS!B15</f>
        <v>0</v>
      </c>
      <c r="C15" s="168"/>
      <c r="D15" s="169">
        <f>MRS!D15</f>
        <v>0</v>
      </c>
      <c r="E15" s="170"/>
      <c r="F15" s="171"/>
      <c r="G15" s="91">
        <f>MRS!G15</f>
        <v>0</v>
      </c>
      <c r="H15" s="91">
        <f>MRS!H15</f>
        <v>0</v>
      </c>
      <c r="I15" s="92">
        <f>MRS!I15</f>
        <v>0</v>
      </c>
      <c r="J15" s="92">
        <f>MRS!J15</f>
        <v>0</v>
      </c>
      <c r="K15" s="93"/>
      <c r="O15" s="94"/>
      <c r="P15" s="94"/>
      <c r="R15" s="94"/>
    </row>
    <row r="16" spans="1:18" ht="105" customHeight="1">
      <c r="A16" s="17"/>
      <c r="B16" s="167" t="e">
        <f>MRS!#REF!</f>
        <v>#REF!</v>
      </c>
      <c r="C16" s="168"/>
      <c r="D16" s="169" t="e">
        <f>MRS!#REF!</f>
        <v>#REF!</v>
      </c>
      <c r="E16" s="170"/>
      <c r="F16" s="171"/>
      <c r="G16" s="91" t="e">
        <f>MRS!#REF!</f>
        <v>#REF!</v>
      </c>
      <c r="H16" s="91" t="e">
        <f>MRS!#REF!</f>
        <v>#REF!</v>
      </c>
      <c r="I16" s="92" t="e">
        <f>MRS!#REF!</f>
        <v>#REF!</v>
      </c>
      <c r="J16" s="92" t="e">
        <f>MRS!#REF!</f>
        <v>#REF!</v>
      </c>
      <c r="K16" s="93"/>
      <c r="O16" s="94"/>
      <c r="P16" s="94"/>
      <c r="R16" s="94"/>
    </row>
    <row r="17" spans="1:18" ht="105" customHeight="1">
      <c r="A17" s="17"/>
      <c r="B17" s="167" t="e">
        <f>MRS!#REF!</f>
        <v>#REF!</v>
      </c>
      <c r="C17" s="168"/>
      <c r="D17" s="169" t="e">
        <f>MRS!#REF!</f>
        <v>#REF!</v>
      </c>
      <c r="E17" s="170"/>
      <c r="F17" s="171"/>
      <c r="G17" s="91" t="e">
        <f>MRS!#REF!</f>
        <v>#REF!</v>
      </c>
      <c r="H17" s="91" t="e">
        <f>MRS!#REF!</f>
        <v>#REF!</v>
      </c>
      <c r="I17" s="92" t="e">
        <f>MRS!#REF!</f>
        <v>#REF!</v>
      </c>
      <c r="J17" s="92" t="e">
        <f>MRS!#REF!</f>
        <v>#REF!</v>
      </c>
      <c r="K17" s="93"/>
      <c r="O17" s="94"/>
      <c r="P17" s="94"/>
      <c r="R17" s="94"/>
    </row>
    <row r="18" spans="1:18" ht="105" customHeight="1">
      <c r="A18" s="17"/>
      <c r="B18" s="167" t="e">
        <f>MRS!#REF!</f>
        <v>#REF!</v>
      </c>
      <c r="C18" s="168"/>
      <c r="D18" s="169" t="e">
        <f>MRS!#REF!</f>
        <v>#REF!</v>
      </c>
      <c r="E18" s="170"/>
      <c r="F18" s="171"/>
      <c r="G18" s="91" t="e">
        <f>MRS!#REF!</f>
        <v>#REF!</v>
      </c>
      <c r="H18" s="91" t="e">
        <f>MRS!#REF!</f>
        <v>#REF!</v>
      </c>
      <c r="I18" s="92" t="e">
        <f>MRS!#REF!</f>
        <v>#REF!</v>
      </c>
      <c r="J18" s="92" t="e">
        <f>MRS!#REF!</f>
        <v>#REF!</v>
      </c>
      <c r="K18" s="93"/>
      <c r="O18" s="94"/>
      <c r="P18" s="94"/>
      <c r="R18" s="94"/>
    </row>
    <row r="19" spans="1:18" ht="105" customHeight="1">
      <c r="A19" s="17"/>
      <c r="B19" s="167" t="e">
        <f>MRS!#REF!</f>
        <v>#REF!</v>
      </c>
      <c r="C19" s="168"/>
      <c r="D19" s="169" t="e">
        <f>MRS!#REF!</f>
        <v>#REF!</v>
      </c>
      <c r="E19" s="170"/>
      <c r="F19" s="171"/>
      <c r="G19" s="91" t="e">
        <f>MRS!#REF!</f>
        <v>#REF!</v>
      </c>
      <c r="H19" s="91" t="e">
        <f>MRS!#REF!</f>
        <v>#REF!</v>
      </c>
      <c r="I19" s="92" t="e">
        <f>MRS!#REF!</f>
        <v>#REF!</v>
      </c>
      <c r="J19" s="92" t="e">
        <f>MRS!#REF!</f>
        <v>#REF!</v>
      </c>
      <c r="K19" s="93"/>
      <c r="O19" s="94"/>
      <c r="P19" s="94"/>
      <c r="R19" s="94"/>
    </row>
    <row r="20" spans="1:18" ht="105" customHeight="1">
      <c r="A20" s="17"/>
      <c r="B20" s="167" t="e">
        <f>MRS!#REF!</f>
        <v>#REF!</v>
      </c>
      <c r="C20" s="168"/>
      <c r="D20" s="169" t="e">
        <f>MRS!#REF!</f>
        <v>#REF!</v>
      </c>
      <c r="E20" s="170"/>
      <c r="F20" s="171"/>
      <c r="G20" s="91" t="e">
        <f>MRS!#REF!</f>
        <v>#REF!</v>
      </c>
      <c r="H20" s="91" t="e">
        <f>MRS!#REF!</f>
        <v>#REF!</v>
      </c>
      <c r="I20" s="92" t="e">
        <f>MRS!#REF!</f>
        <v>#REF!</v>
      </c>
      <c r="J20" s="92" t="e">
        <f>MRS!#REF!</f>
        <v>#REF!</v>
      </c>
      <c r="K20" s="93"/>
      <c r="O20" s="94"/>
      <c r="P20" s="94"/>
      <c r="R20" s="94"/>
    </row>
    <row r="21" spans="1:18" ht="105" customHeight="1">
      <c r="A21" s="17"/>
      <c r="B21" s="167" t="e">
        <f>MRS!#REF!</f>
        <v>#REF!</v>
      </c>
      <c r="C21" s="168"/>
      <c r="D21" s="169" t="e">
        <f>MRS!#REF!</f>
        <v>#REF!</v>
      </c>
      <c r="E21" s="170"/>
      <c r="F21" s="171"/>
      <c r="G21" s="91" t="e">
        <f>MRS!#REF!</f>
        <v>#REF!</v>
      </c>
      <c r="H21" s="91" t="e">
        <f>MRS!#REF!</f>
        <v>#REF!</v>
      </c>
      <c r="I21" s="92" t="e">
        <f>MRS!#REF!</f>
        <v>#REF!</v>
      </c>
      <c r="J21" s="92" t="e">
        <f>MRS!#REF!</f>
        <v>#REF!</v>
      </c>
      <c r="K21" s="93"/>
      <c r="O21" s="94"/>
      <c r="P21" s="94"/>
      <c r="R21" s="94"/>
    </row>
    <row r="22" spans="1:18" ht="21" customHeight="1">
      <c r="B22" s="167" t="e">
        <f>MRS!#REF!</f>
        <v>#REF!</v>
      </c>
      <c r="C22" s="168"/>
      <c r="D22" s="169" t="e">
        <f>MRS!#REF!</f>
        <v>#REF!</v>
      </c>
      <c r="E22" s="170"/>
      <c r="F22" s="171"/>
      <c r="G22" s="91" t="e">
        <f>MRS!#REF!</f>
        <v>#REF!</v>
      </c>
      <c r="H22" s="91" t="e">
        <f>MRS!#REF!</f>
        <v>#REF!</v>
      </c>
      <c r="I22" s="92" t="e">
        <f>MRS!#REF!</f>
        <v>#REF!</v>
      </c>
      <c r="J22" s="92" t="e">
        <f>MRS!#REF!</f>
        <v>#REF!</v>
      </c>
    </row>
    <row r="23" spans="1:18" ht="21" customHeight="1">
      <c r="B23" s="167" t="e">
        <f>MRS!#REF!</f>
        <v>#REF!</v>
      </c>
      <c r="C23" s="168"/>
      <c r="D23" s="169" t="e">
        <f>MRS!#REF!</f>
        <v>#REF!</v>
      </c>
      <c r="E23" s="170"/>
      <c r="F23" s="171"/>
      <c r="G23" s="91" t="e">
        <f>MRS!#REF!</f>
        <v>#REF!</v>
      </c>
      <c r="H23" s="91" t="e">
        <f>MRS!#REF!</f>
        <v>#REF!</v>
      </c>
      <c r="I23" s="92" t="e">
        <f>MRS!#REF!</f>
        <v>#REF!</v>
      </c>
      <c r="J23" s="92" t="e">
        <f>MRS!#REF!</f>
        <v>#REF!</v>
      </c>
    </row>
    <row r="24" spans="1:18" ht="21" customHeight="1">
      <c r="B24" s="167" t="e">
        <f>MRS!#REF!</f>
        <v>#REF!</v>
      </c>
      <c r="C24" s="168"/>
      <c r="D24" s="169" t="e">
        <f>MRS!#REF!</f>
        <v>#REF!</v>
      </c>
      <c r="E24" s="170"/>
      <c r="F24" s="171"/>
      <c r="G24" s="91" t="e">
        <f>MRS!#REF!</f>
        <v>#REF!</v>
      </c>
      <c r="H24" s="91" t="e">
        <f>MRS!#REF!</f>
        <v>#REF!</v>
      </c>
      <c r="I24" s="92" t="e">
        <f>MRS!#REF!</f>
        <v>#REF!</v>
      </c>
      <c r="J24" s="92" t="e">
        <f>MRS!#REF!</f>
        <v>#REF!</v>
      </c>
    </row>
    <row r="25" spans="1:18" ht="21" customHeight="1">
      <c r="B25" s="167" t="e">
        <f>MRS!#REF!</f>
        <v>#REF!</v>
      </c>
      <c r="C25" s="168"/>
      <c r="D25" s="169" t="e">
        <f>MRS!#REF!</f>
        <v>#REF!</v>
      </c>
      <c r="E25" s="170"/>
      <c r="F25" s="171"/>
      <c r="G25" s="91" t="e">
        <f>MRS!#REF!</f>
        <v>#REF!</v>
      </c>
      <c r="H25" s="91" t="e">
        <f>MRS!#REF!</f>
        <v>#REF!</v>
      </c>
      <c r="I25" s="92" t="e">
        <f>MRS!#REF!</f>
        <v>#REF!</v>
      </c>
      <c r="J25" s="92" t="e">
        <f>MRS!#REF!</f>
        <v>#REF!</v>
      </c>
    </row>
    <row r="26" spans="1:18" ht="21" customHeight="1">
      <c r="B26" s="167" t="e">
        <f>MRS!#REF!</f>
        <v>#REF!</v>
      </c>
      <c r="C26" s="168"/>
      <c r="D26" s="169" t="e">
        <f>MRS!#REF!</f>
        <v>#REF!</v>
      </c>
      <c r="E26" s="170"/>
      <c r="F26" s="171"/>
      <c r="G26" s="91" t="e">
        <f>MRS!#REF!</f>
        <v>#REF!</v>
      </c>
      <c r="H26" s="91" t="e">
        <f>MRS!#REF!</f>
        <v>#REF!</v>
      </c>
      <c r="I26" s="92" t="e">
        <f>MRS!#REF!</f>
        <v>#REF!</v>
      </c>
      <c r="J26" s="92" t="e">
        <f>MRS!#REF!</f>
        <v>#REF!</v>
      </c>
    </row>
    <row r="27" spans="1:18" ht="21" customHeight="1">
      <c r="B27" s="167" t="e">
        <f>MRS!#REF!</f>
        <v>#REF!</v>
      </c>
      <c r="C27" s="168"/>
      <c r="D27" s="169" t="e">
        <f>MRS!#REF!</f>
        <v>#REF!</v>
      </c>
      <c r="E27" s="170"/>
      <c r="F27" s="171"/>
      <c r="G27" s="91" t="e">
        <f>MRS!#REF!</f>
        <v>#REF!</v>
      </c>
      <c r="H27" s="91" t="e">
        <f>MRS!#REF!</f>
        <v>#REF!</v>
      </c>
      <c r="I27" s="92" t="e">
        <f>MRS!#REF!</f>
        <v>#REF!</v>
      </c>
      <c r="J27" s="92" t="e">
        <f>MRS!#REF!</f>
        <v>#REF!</v>
      </c>
    </row>
    <row r="28" spans="1:18" ht="21" customHeight="1">
      <c r="B28" s="167" t="e">
        <f>MRS!#REF!</f>
        <v>#REF!</v>
      </c>
      <c r="C28" s="168"/>
      <c r="D28" s="169" t="e">
        <f>MRS!#REF!</f>
        <v>#REF!</v>
      </c>
      <c r="E28" s="170"/>
      <c r="F28" s="171"/>
      <c r="G28" s="91" t="e">
        <f>MRS!#REF!</f>
        <v>#REF!</v>
      </c>
      <c r="H28" s="91" t="e">
        <f>MRS!#REF!</f>
        <v>#REF!</v>
      </c>
      <c r="I28" s="92" t="e">
        <f>MRS!#REF!</f>
        <v>#REF!</v>
      </c>
      <c r="J28" s="92" t="e">
        <f>MRS!#REF!</f>
        <v>#REF!</v>
      </c>
    </row>
    <row r="29" spans="1:18" ht="21" customHeight="1">
      <c r="B29" s="167" t="e">
        <f>MRS!#REF!</f>
        <v>#REF!</v>
      </c>
      <c r="C29" s="168"/>
      <c r="D29" s="169" t="e">
        <f>MRS!#REF!</f>
        <v>#REF!</v>
      </c>
      <c r="E29" s="170"/>
      <c r="F29" s="171"/>
      <c r="G29" s="91" t="e">
        <f>MRS!#REF!</f>
        <v>#REF!</v>
      </c>
      <c r="H29" s="91" t="e">
        <f>MRS!#REF!</f>
        <v>#REF!</v>
      </c>
      <c r="I29" s="92" t="e">
        <f>MRS!#REF!</f>
        <v>#REF!</v>
      </c>
      <c r="J29" s="92" t="e">
        <f>MRS!#REF!</f>
        <v>#REF!</v>
      </c>
    </row>
    <row r="30" spans="1:18" ht="21" customHeight="1">
      <c r="B30" s="167" t="e">
        <f>MRS!#REF!</f>
        <v>#REF!</v>
      </c>
      <c r="C30" s="168"/>
      <c r="D30" s="169" t="e">
        <f>MRS!#REF!</f>
        <v>#REF!</v>
      </c>
      <c r="E30" s="170"/>
      <c r="F30" s="171"/>
      <c r="G30" s="91" t="e">
        <f>MRS!#REF!</f>
        <v>#REF!</v>
      </c>
      <c r="H30" s="91" t="e">
        <f>MRS!#REF!</f>
        <v>#REF!</v>
      </c>
      <c r="I30" s="92" t="e">
        <f>MRS!#REF!</f>
        <v>#REF!</v>
      </c>
      <c r="J30" s="92" t="e">
        <f>MRS!#REF!</f>
        <v>#REF!</v>
      </c>
    </row>
    <row r="31" spans="1:18" ht="21" customHeight="1">
      <c r="B31" s="167" t="e">
        <f>MRS!#REF!</f>
        <v>#REF!</v>
      </c>
      <c r="C31" s="168"/>
      <c r="D31" s="169" t="e">
        <f>MRS!#REF!</f>
        <v>#REF!</v>
      </c>
      <c r="E31" s="170"/>
      <c r="F31" s="171"/>
      <c r="G31" s="91" t="e">
        <f>MRS!#REF!</f>
        <v>#REF!</v>
      </c>
      <c r="H31" s="91" t="e">
        <f>MRS!#REF!</f>
        <v>#REF!</v>
      </c>
      <c r="I31" s="92" t="e">
        <f>MRS!#REF!</f>
        <v>#REF!</v>
      </c>
      <c r="J31" s="92" t="e">
        <f>MRS!#REF!</f>
        <v>#REF!</v>
      </c>
    </row>
    <row r="32" spans="1:18" ht="21" customHeight="1">
      <c r="B32" s="167" t="e">
        <f>MRS!#REF!</f>
        <v>#REF!</v>
      </c>
      <c r="C32" s="168"/>
      <c r="D32" s="169" t="e">
        <f>MRS!#REF!</f>
        <v>#REF!</v>
      </c>
      <c r="E32" s="170"/>
      <c r="F32" s="171"/>
      <c r="G32" s="91" t="e">
        <f>MRS!#REF!</f>
        <v>#REF!</v>
      </c>
      <c r="H32" s="91" t="e">
        <f>MRS!#REF!</f>
        <v>#REF!</v>
      </c>
      <c r="I32" s="92" t="e">
        <f>MRS!#REF!</f>
        <v>#REF!</v>
      </c>
      <c r="J32" s="92" t="e">
        <f>MRS!#REF!</f>
        <v>#REF!</v>
      </c>
    </row>
    <row r="33" spans="2:10" ht="21" customHeight="1">
      <c r="B33" s="167" t="e">
        <f>MRS!#REF!</f>
        <v>#REF!</v>
      </c>
      <c r="C33" s="168"/>
      <c r="D33" s="169" t="e">
        <f>MRS!#REF!</f>
        <v>#REF!</v>
      </c>
      <c r="E33" s="170"/>
      <c r="F33" s="171"/>
      <c r="G33" s="91" t="e">
        <f>MRS!#REF!</f>
        <v>#REF!</v>
      </c>
      <c r="H33" s="91" t="e">
        <f>MRS!#REF!</f>
        <v>#REF!</v>
      </c>
      <c r="I33" s="92" t="e">
        <f>MRS!#REF!</f>
        <v>#REF!</v>
      </c>
      <c r="J33" s="92" t="e">
        <f>MRS!#REF!</f>
        <v>#REF!</v>
      </c>
    </row>
    <row r="34" spans="2:10" ht="21" customHeight="1">
      <c r="B34" s="167" t="e">
        <f>MRS!#REF!</f>
        <v>#REF!</v>
      </c>
      <c r="C34" s="168"/>
      <c r="D34" s="169" t="e">
        <f>MRS!#REF!</f>
        <v>#REF!</v>
      </c>
      <c r="E34" s="170"/>
      <c r="F34" s="171"/>
      <c r="G34" s="91" t="e">
        <f>MRS!#REF!</f>
        <v>#REF!</v>
      </c>
      <c r="H34" s="91" t="e">
        <f>MRS!#REF!</f>
        <v>#REF!</v>
      </c>
      <c r="I34" s="92" t="e">
        <f>MRS!#REF!</f>
        <v>#REF!</v>
      </c>
      <c r="J34" s="92" t="e">
        <f>MRS!#REF!</f>
        <v>#REF!</v>
      </c>
    </row>
    <row r="35" spans="2:10" ht="21" customHeight="1">
      <c r="B35" s="167" t="e">
        <f>MRS!#REF!</f>
        <v>#REF!</v>
      </c>
      <c r="C35" s="168"/>
      <c r="D35" s="169" t="e">
        <f>MRS!#REF!</f>
        <v>#REF!</v>
      </c>
      <c r="E35" s="170"/>
      <c r="F35" s="171"/>
      <c r="G35" s="91" t="e">
        <f>MRS!#REF!</f>
        <v>#REF!</v>
      </c>
      <c r="H35" s="91" t="e">
        <f>MRS!#REF!</f>
        <v>#REF!</v>
      </c>
      <c r="I35" s="92" t="e">
        <f>MRS!#REF!</f>
        <v>#REF!</v>
      </c>
      <c r="J35" s="92" t="e">
        <f>MRS!#REF!</f>
        <v>#REF!</v>
      </c>
    </row>
    <row r="36" spans="2:10" ht="21" customHeight="1">
      <c r="B36" s="167" t="e">
        <f>MRS!#REF!</f>
        <v>#REF!</v>
      </c>
      <c r="C36" s="168"/>
      <c r="D36" s="169" t="e">
        <f>MRS!#REF!</f>
        <v>#REF!</v>
      </c>
      <c r="E36" s="170"/>
      <c r="F36" s="171"/>
      <c r="G36" s="91" t="e">
        <f>MRS!#REF!</f>
        <v>#REF!</v>
      </c>
      <c r="H36" s="91" t="e">
        <f>MRS!#REF!</f>
        <v>#REF!</v>
      </c>
      <c r="I36" s="92" t="e">
        <f>MRS!#REF!</f>
        <v>#REF!</v>
      </c>
      <c r="J36" s="92" t="e">
        <f>MRS!#REF!</f>
        <v>#REF!</v>
      </c>
    </row>
    <row r="37" spans="2:10" ht="21" customHeight="1">
      <c r="B37" s="167" t="e">
        <f>MRS!#REF!</f>
        <v>#REF!</v>
      </c>
      <c r="C37" s="168"/>
      <c r="D37" s="169" t="e">
        <f>MRS!#REF!</f>
        <v>#REF!</v>
      </c>
      <c r="E37" s="170"/>
      <c r="F37" s="171"/>
      <c r="G37" s="91" t="e">
        <f>MRS!#REF!</f>
        <v>#REF!</v>
      </c>
      <c r="H37" s="91" t="e">
        <f>MRS!#REF!</f>
        <v>#REF!</v>
      </c>
      <c r="I37" s="92" t="e">
        <f>MRS!#REF!</f>
        <v>#REF!</v>
      </c>
      <c r="J37" s="92" t="e">
        <f>MRS!#REF!</f>
        <v>#REF!</v>
      </c>
    </row>
    <row r="38" spans="2:10" ht="21" customHeight="1">
      <c r="B38" s="167" t="e">
        <f>MRS!#REF!</f>
        <v>#REF!</v>
      </c>
      <c r="C38" s="168"/>
      <c r="D38" s="169" t="e">
        <f>MRS!#REF!</f>
        <v>#REF!</v>
      </c>
      <c r="E38" s="170"/>
      <c r="F38" s="171"/>
      <c r="G38" s="91" t="e">
        <f>MRS!#REF!</f>
        <v>#REF!</v>
      </c>
      <c r="H38" s="91" t="e">
        <f>MRS!#REF!</f>
        <v>#REF!</v>
      </c>
      <c r="I38" s="92" t="e">
        <f>MRS!#REF!</f>
        <v>#REF!</v>
      </c>
      <c r="J38" s="92" t="e">
        <f>MRS!#REF!</f>
        <v>#REF!</v>
      </c>
    </row>
    <row r="39" spans="2:10" ht="21" customHeight="1">
      <c r="B39" s="167" t="e">
        <f>MRS!#REF!</f>
        <v>#REF!</v>
      </c>
      <c r="C39" s="168"/>
      <c r="D39" s="169" t="e">
        <f>MRS!#REF!</f>
        <v>#REF!</v>
      </c>
      <c r="E39" s="170"/>
      <c r="F39" s="171"/>
      <c r="G39" s="91" t="e">
        <f>MRS!#REF!</f>
        <v>#REF!</v>
      </c>
      <c r="H39" s="91" t="e">
        <f>MRS!#REF!</f>
        <v>#REF!</v>
      </c>
      <c r="I39" s="92" t="e">
        <f>MRS!#REF!</f>
        <v>#REF!</v>
      </c>
      <c r="J39" s="92" t="e">
        <f>MRS!#REF!</f>
        <v>#REF!</v>
      </c>
    </row>
    <row r="40" spans="2:10" ht="21" customHeight="1">
      <c r="B40" s="167" t="e">
        <f>MRS!#REF!</f>
        <v>#REF!</v>
      </c>
      <c r="C40" s="168"/>
      <c r="D40" s="169" t="e">
        <f>MRS!#REF!</f>
        <v>#REF!</v>
      </c>
      <c r="E40" s="170"/>
      <c r="F40" s="171"/>
      <c r="G40" s="91" t="e">
        <f>MRS!#REF!</f>
        <v>#REF!</v>
      </c>
      <c r="H40" s="91" t="e">
        <f>MRS!#REF!</f>
        <v>#REF!</v>
      </c>
      <c r="I40" s="92" t="e">
        <f>MRS!#REF!</f>
        <v>#REF!</v>
      </c>
      <c r="J40" s="92" t="e">
        <f>MRS!#REF!</f>
        <v>#REF!</v>
      </c>
    </row>
    <row r="41" spans="2:10" ht="21" customHeight="1">
      <c r="B41" s="167" t="e">
        <f>MRS!#REF!</f>
        <v>#REF!</v>
      </c>
      <c r="C41" s="168"/>
      <c r="D41" s="169" t="e">
        <f>MRS!#REF!</f>
        <v>#REF!</v>
      </c>
      <c r="E41" s="170"/>
      <c r="F41" s="171"/>
      <c r="G41" s="91" t="e">
        <f>MRS!#REF!</f>
        <v>#REF!</v>
      </c>
      <c r="H41" s="91" t="e">
        <f>MRS!#REF!</f>
        <v>#REF!</v>
      </c>
      <c r="I41" s="92" t="e">
        <f>MRS!#REF!</f>
        <v>#REF!</v>
      </c>
      <c r="J41" s="92" t="e">
        <f>MRS!#REF!</f>
        <v>#REF!</v>
      </c>
    </row>
    <row r="42" spans="2:10" ht="21" customHeight="1">
      <c r="B42" s="167" t="e">
        <f>MRS!#REF!</f>
        <v>#REF!</v>
      </c>
      <c r="C42" s="168"/>
      <c r="D42" s="169" t="e">
        <f>MRS!#REF!</f>
        <v>#REF!</v>
      </c>
      <c r="E42" s="170"/>
      <c r="F42" s="171"/>
      <c r="G42" s="91" t="e">
        <f>MRS!#REF!</f>
        <v>#REF!</v>
      </c>
      <c r="H42" s="91" t="e">
        <f>MRS!#REF!</f>
        <v>#REF!</v>
      </c>
      <c r="I42" s="92" t="e">
        <f>MRS!#REF!</f>
        <v>#REF!</v>
      </c>
      <c r="J42" s="92" t="e">
        <f>MRS!#REF!</f>
        <v>#REF!</v>
      </c>
    </row>
    <row r="43" spans="2:10" ht="21" customHeight="1">
      <c r="B43" s="167" t="e">
        <f>MRS!#REF!</f>
        <v>#REF!</v>
      </c>
      <c r="C43" s="168"/>
      <c r="D43" s="169" t="e">
        <f>MRS!#REF!</f>
        <v>#REF!</v>
      </c>
      <c r="E43" s="170"/>
      <c r="F43" s="171"/>
      <c r="G43" s="91" t="e">
        <f>MRS!#REF!</f>
        <v>#REF!</v>
      </c>
      <c r="H43" s="91" t="e">
        <f>MRS!#REF!</f>
        <v>#REF!</v>
      </c>
      <c r="I43" s="92" t="e">
        <f>MRS!#REF!</f>
        <v>#REF!</v>
      </c>
      <c r="J43" s="92" t="e">
        <f>MRS!#REF!</f>
        <v>#REF!</v>
      </c>
    </row>
    <row r="44" spans="2:10" ht="21" customHeight="1">
      <c r="B44" s="167" t="e">
        <f>MRS!#REF!</f>
        <v>#REF!</v>
      </c>
      <c r="C44" s="168"/>
      <c r="D44" s="169" t="e">
        <f>MRS!#REF!</f>
        <v>#REF!</v>
      </c>
      <c r="E44" s="170"/>
      <c r="F44" s="171"/>
      <c r="G44" s="91" t="e">
        <f>MRS!#REF!</f>
        <v>#REF!</v>
      </c>
      <c r="H44" s="91" t="e">
        <f>MRS!#REF!</f>
        <v>#REF!</v>
      </c>
      <c r="I44" s="92" t="e">
        <f>MRS!#REF!</f>
        <v>#REF!</v>
      </c>
      <c r="J44" s="92" t="e">
        <f>MRS!#REF!</f>
        <v>#REF!</v>
      </c>
    </row>
    <row r="45" spans="2:10" ht="21" customHeight="1">
      <c r="B45" s="167" t="e">
        <f>MRS!#REF!</f>
        <v>#REF!</v>
      </c>
      <c r="C45" s="168"/>
      <c r="D45" s="169" t="e">
        <f>MRS!#REF!</f>
        <v>#REF!</v>
      </c>
      <c r="E45" s="170"/>
      <c r="F45" s="171"/>
      <c r="G45" s="91" t="e">
        <f>MRS!#REF!</f>
        <v>#REF!</v>
      </c>
      <c r="H45" s="91" t="e">
        <f>MRS!#REF!</f>
        <v>#REF!</v>
      </c>
      <c r="I45" s="92" t="e">
        <f>MRS!#REF!</f>
        <v>#REF!</v>
      </c>
      <c r="J45" s="92" t="e">
        <f>MRS!#REF!</f>
        <v>#REF!</v>
      </c>
    </row>
    <row r="46" spans="2:10" ht="21" customHeight="1">
      <c r="B46" s="167" t="e">
        <f>MRS!#REF!</f>
        <v>#REF!</v>
      </c>
      <c r="C46" s="168"/>
      <c r="D46" s="169" t="e">
        <f>MRS!#REF!</f>
        <v>#REF!</v>
      </c>
      <c r="E46" s="170"/>
      <c r="F46" s="171"/>
      <c r="G46" s="91" t="e">
        <f>MRS!#REF!</f>
        <v>#REF!</v>
      </c>
      <c r="H46" s="91" t="e">
        <f>MRS!#REF!</f>
        <v>#REF!</v>
      </c>
      <c r="I46" s="92" t="e">
        <f>MRS!#REF!</f>
        <v>#REF!</v>
      </c>
      <c r="J46" s="92" t="e">
        <f>MRS!#REF!</f>
        <v>#REF!</v>
      </c>
    </row>
    <row r="47" spans="2:10" ht="21" customHeight="1">
      <c r="B47" s="167" t="e">
        <f>MRS!#REF!</f>
        <v>#REF!</v>
      </c>
      <c r="C47" s="168"/>
      <c r="D47" s="169" t="e">
        <f>MRS!#REF!</f>
        <v>#REF!</v>
      </c>
      <c r="E47" s="170"/>
      <c r="F47" s="171"/>
      <c r="G47" s="91" t="e">
        <f>MRS!#REF!</f>
        <v>#REF!</v>
      </c>
      <c r="H47" s="91" t="e">
        <f>MRS!#REF!</f>
        <v>#REF!</v>
      </c>
      <c r="I47" s="92" t="e">
        <f>MRS!#REF!</f>
        <v>#REF!</v>
      </c>
      <c r="J47" s="92" t="e">
        <f>MRS!#REF!</f>
        <v>#REF!</v>
      </c>
    </row>
    <row r="48" spans="2:10" ht="21" customHeight="1">
      <c r="B48" s="167" t="e">
        <f>MRS!#REF!</f>
        <v>#REF!</v>
      </c>
      <c r="C48" s="168"/>
      <c r="D48" s="169" t="e">
        <f>MRS!#REF!</f>
        <v>#REF!</v>
      </c>
      <c r="E48" s="170"/>
      <c r="F48" s="171"/>
      <c r="G48" s="91" t="e">
        <f>MRS!#REF!</f>
        <v>#REF!</v>
      </c>
      <c r="H48" s="91" t="e">
        <f>MRS!#REF!</f>
        <v>#REF!</v>
      </c>
      <c r="I48" s="92" t="e">
        <f>MRS!#REF!</f>
        <v>#REF!</v>
      </c>
      <c r="J48" s="92" t="e">
        <f>MRS!#REF!</f>
        <v>#REF!</v>
      </c>
    </row>
    <row r="49" spans="2:10" ht="21" customHeight="1">
      <c r="B49" s="167" t="e">
        <f>MRS!#REF!</f>
        <v>#REF!</v>
      </c>
      <c r="C49" s="168"/>
      <c r="D49" s="169" t="e">
        <f>MRS!#REF!</f>
        <v>#REF!</v>
      </c>
      <c r="E49" s="170"/>
      <c r="F49" s="171"/>
      <c r="G49" s="91" t="e">
        <f>MRS!#REF!</f>
        <v>#REF!</v>
      </c>
      <c r="H49" s="91" t="e">
        <f>MRS!#REF!</f>
        <v>#REF!</v>
      </c>
      <c r="I49" s="92" t="e">
        <f>MRS!#REF!</f>
        <v>#REF!</v>
      </c>
      <c r="J49" s="92" t="e">
        <f>MRS!#REF!</f>
        <v>#REF!</v>
      </c>
    </row>
    <row r="50" spans="2:10" ht="21" customHeight="1">
      <c r="B50" s="167" t="e">
        <f>MRS!#REF!</f>
        <v>#REF!</v>
      </c>
      <c r="C50" s="168"/>
      <c r="D50" s="169" t="e">
        <f>MRS!#REF!</f>
        <v>#REF!</v>
      </c>
      <c r="E50" s="170"/>
      <c r="F50" s="171"/>
      <c r="G50" s="91" t="e">
        <f>MRS!#REF!</f>
        <v>#REF!</v>
      </c>
      <c r="H50" s="91" t="e">
        <f>MRS!#REF!</f>
        <v>#REF!</v>
      </c>
      <c r="I50" s="92" t="e">
        <f>MRS!#REF!</f>
        <v>#REF!</v>
      </c>
      <c r="J50" s="92" t="e">
        <f>MRS!#REF!</f>
        <v>#REF!</v>
      </c>
    </row>
    <row r="51" spans="2:10" ht="21" customHeight="1">
      <c r="B51" s="167" t="e">
        <f>MRS!#REF!</f>
        <v>#REF!</v>
      </c>
      <c r="C51" s="168"/>
      <c r="D51" s="169" t="e">
        <f>MRS!#REF!</f>
        <v>#REF!</v>
      </c>
      <c r="E51" s="170"/>
      <c r="F51" s="171"/>
      <c r="G51" s="91" t="e">
        <f>MRS!#REF!</f>
        <v>#REF!</v>
      </c>
      <c r="H51" s="91" t="e">
        <f>MRS!#REF!</f>
        <v>#REF!</v>
      </c>
      <c r="I51" s="92" t="e">
        <f>MRS!#REF!</f>
        <v>#REF!</v>
      </c>
      <c r="J51" s="92" t="e">
        <f>MRS!#REF!</f>
        <v>#REF!</v>
      </c>
    </row>
    <row r="52" spans="2:10" ht="21" customHeight="1">
      <c r="B52" s="167" t="e">
        <f>MRS!#REF!</f>
        <v>#REF!</v>
      </c>
      <c r="C52" s="168"/>
      <c r="D52" s="169" t="e">
        <f>MRS!#REF!</f>
        <v>#REF!</v>
      </c>
      <c r="E52" s="170"/>
      <c r="F52" s="171"/>
      <c r="G52" s="91" t="e">
        <f>MRS!#REF!</f>
        <v>#REF!</v>
      </c>
      <c r="H52" s="91" t="e">
        <f>MRS!#REF!</f>
        <v>#REF!</v>
      </c>
      <c r="I52" s="92" t="e">
        <f>MRS!#REF!</f>
        <v>#REF!</v>
      </c>
      <c r="J52" s="92" t="e">
        <f>MRS!#REF!</f>
        <v>#REF!</v>
      </c>
    </row>
    <row r="53" spans="2:10" ht="21" customHeight="1">
      <c r="B53" s="167" t="e">
        <f>MRS!#REF!</f>
        <v>#REF!</v>
      </c>
      <c r="C53" s="168"/>
      <c r="D53" s="169" t="e">
        <f>MRS!#REF!</f>
        <v>#REF!</v>
      </c>
      <c r="E53" s="170"/>
      <c r="F53" s="171"/>
      <c r="G53" s="91" t="e">
        <f>MRS!#REF!</f>
        <v>#REF!</v>
      </c>
      <c r="H53" s="91" t="e">
        <f>MRS!#REF!</f>
        <v>#REF!</v>
      </c>
      <c r="I53" s="92" t="e">
        <f>MRS!#REF!</f>
        <v>#REF!</v>
      </c>
      <c r="J53" s="92" t="e">
        <f>MRS!#REF!</f>
        <v>#REF!</v>
      </c>
    </row>
    <row r="54" spans="2:10" ht="21" customHeight="1">
      <c r="B54" s="167" t="e">
        <f>MRS!#REF!</f>
        <v>#REF!</v>
      </c>
      <c r="C54" s="168"/>
    </row>
    <row r="55" spans="2:10" ht="21" customHeight="1">
      <c r="B55" s="167" t="e">
        <f>MRS!#REF!</f>
        <v>#REF!</v>
      </c>
      <c r="C55" s="168"/>
    </row>
    <row r="56" spans="2:10" ht="21" customHeight="1">
      <c r="B56" s="167" t="e">
        <f>MRS!#REF!</f>
        <v>#REF!</v>
      </c>
      <c r="C56" s="168"/>
    </row>
    <row r="57" spans="2:10" ht="21" customHeight="1">
      <c r="B57" s="167" t="e">
        <f>MRS!#REF!</f>
        <v>#REF!</v>
      </c>
      <c r="C57" s="168"/>
    </row>
    <row r="58" spans="2:10" ht="21" customHeight="1">
      <c r="B58" s="167">
        <f>MRS!B16</f>
        <v>0</v>
      </c>
      <c r="C58" s="168"/>
    </row>
  </sheetData>
  <mergeCells count="111">
    <mergeCell ref="D51:F51"/>
    <mergeCell ref="D52:F52"/>
    <mergeCell ref="D53:F53"/>
    <mergeCell ref="D46:F46"/>
    <mergeCell ref="D47:F47"/>
    <mergeCell ref="D48:F48"/>
    <mergeCell ref="D49:F49"/>
    <mergeCell ref="D50:F50"/>
    <mergeCell ref="D41:F41"/>
    <mergeCell ref="D42:F42"/>
    <mergeCell ref="D43:F43"/>
    <mergeCell ref="D44:F44"/>
    <mergeCell ref="D45:F45"/>
    <mergeCell ref="D36:F36"/>
    <mergeCell ref="D37:F37"/>
    <mergeCell ref="D38:F38"/>
    <mergeCell ref="D39:F39"/>
    <mergeCell ref="D40:F40"/>
    <mergeCell ref="B57:C57"/>
    <mergeCell ref="B58:C58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B52:C52"/>
    <mergeCell ref="B53:C53"/>
    <mergeCell ref="B54:C54"/>
    <mergeCell ref="B55:C55"/>
    <mergeCell ref="B56:C56"/>
    <mergeCell ref="B47:C47"/>
    <mergeCell ref="B48:C48"/>
    <mergeCell ref="B49:C49"/>
    <mergeCell ref="B50:C50"/>
    <mergeCell ref="B51:C51"/>
    <mergeCell ref="B42:C42"/>
    <mergeCell ref="B43:C43"/>
    <mergeCell ref="B44:C44"/>
    <mergeCell ref="B45:C45"/>
    <mergeCell ref="B46:C46"/>
    <mergeCell ref="B37:C37"/>
    <mergeCell ref="B38:C38"/>
    <mergeCell ref="B39:C39"/>
    <mergeCell ref="B40:C40"/>
    <mergeCell ref="B41:C41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D17:F17"/>
    <mergeCell ref="J1:K1"/>
    <mergeCell ref="J2:K2"/>
    <mergeCell ref="B7:C7"/>
    <mergeCell ref="D7:F7"/>
    <mergeCell ref="B8:C8"/>
    <mergeCell ref="D8:F8"/>
    <mergeCell ref="B9:C9"/>
    <mergeCell ref="D9:F9"/>
    <mergeCell ref="B10:C10"/>
    <mergeCell ref="D10:F10"/>
    <mergeCell ref="G4:G5"/>
    <mergeCell ref="H4:H5"/>
    <mergeCell ref="I4:I5"/>
    <mergeCell ref="J4:J5"/>
    <mergeCell ref="K4:K5"/>
    <mergeCell ref="B6:C6"/>
    <mergeCell ref="D6:F6"/>
    <mergeCell ref="A4:A5"/>
    <mergeCell ref="B4:C5"/>
    <mergeCell ref="D4:F5"/>
    <mergeCell ref="B21:C21"/>
    <mergeCell ref="D21:F21"/>
    <mergeCell ref="B18:C18"/>
    <mergeCell ref="D18:F18"/>
    <mergeCell ref="B19:C19"/>
    <mergeCell ref="D19:F19"/>
    <mergeCell ref="B20:C20"/>
    <mergeCell ref="D20:F2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6" zoomScale="130" zoomScaleNormal="100" zoomScaleSheetLayoutView="130" workbookViewId="0">
      <selection activeCell="C26" sqref="C26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2.42578125" style="22" bestFit="1" customWidth="1"/>
    <col min="5" max="5" width="2.5703125" style="22" customWidth="1"/>
    <col min="6" max="6" width="14" style="22" customWidth="1"/>
    <col min="7" max="7" width="6.5703125" style="22" customWidth="1"/>
    <col min="8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93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67" customFormat="1" ht="13.5">
      <c r="B9" s="65" t="s">
        <v>22</v>
      </c>
      <c r="C9" s="66" t="s">
        <v>123</v>
      </c>
      <c r="D9" s="34"/>
      <c r="E9" s="34"/>
    </row>
    <row r="10" spans="2:13" s="34" customFormat="1">
      <c r="B10" s="65"/>
      <c r="C10" s="34" t="s">
        <v>23</v>
      </c>
      <c r="D10" s="69" t="s">
        <v>124</v>
      </c>
      <c r="J10" s="34" t="s">
        <v>24</v>
      </c>
      <c r="K10" s="173">
        <f>MRS!L3</f>
        <v>46313</v>
      </c>
      <c r="L10" s="174"/>
      <c r="M10" s="174"/>
    </row>
    <row r="11" spans="2:13" s="34" customFormat="1">
      <c r="B11" s="65"/>
      <c r="C11" s="68" t="s">
        <v>25</v>
      </c>
      <c r="D11" s="69" t="s">
        <v>125</v>
      </c>
      <c r="J11" s="34" t="s">
        <v>26</v>
      </c>
      <c r="K11" s="175" t="str">
        <f>SUBSTITUTE(SUBSTITUTE(+MRS!A3,"  MRS No : ",""),"-MRS","-PO")</f>
        <v>SAC2-DS-PO-0495</v>
      </c>
      <c r="L11" s="175"/>
      <c r="M11" s="175"/>
    </row>
    <row r="12" spans="2:13" s="34" customFormat="1">
      <c r="B12" s="65"/>
      <c r="C12" s="68" t="s">
        <v>27</v>
      </c>
      <c r="D12" s="34" t="s">
        <v>126</v>
      </c>
      <c r="J12" s="34" t="s">
        <v>28</v>
      </c>
    </row>
    <row r="13" spans="2:13" s="34" customFormat="1">
      <c r="B13" s="65"/>
      <c r="C13" s="70"/>
      <c r="D13" s="69" t="s">
        <v>132</v>
      </c>
      <c r="J13" s="34" t="s">
        <v>29</v>
      </c>
    </row>
    <row r="14" spans="2:13" s="34" customFormat="1">
      <c r="B14" s="65"/>
      <c r="C14" s="105" t="s">
        <v>127</v>
      </c>
      <c r="J14" s="34" t="s">
        <v>30</v>
      </c>
      <c r="K14" s="69" t="s">
        <v>122</v>
      </c>
    </row>
    <row r="15" spans="2:13" s="34" customFormat="1">
      <c r="B15" s="65"/>
      <c r="C15" s="68" t="s">
        <v>90</v>
      </c>
      <c r="J15" s="34" t="s">
        <v>31</v>
      </c>
      <c r="K15" s="71">
        <v>46289</v>
      </c>
    </row>
    <row r="16" spans="2:13" s="34" customFormat="1">
      <c r="C16" s="70"/>
      <c r="K16" s="71"/>
    </row>
    <row r="17" spans="2:13" ht="6" customHeight="1">
      <c r="C17" s="25"/>
      <c r="K17" s="26"/>
    </row>
    <row r="18" spans="2:13" ht="20.25">
      <c r="B18" s="176" t="s">
        <v>32</v>
      </c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</row>
    <row r="19" spans="2:13" ht="12" customHeight="1"/>
    <row r="20" spans="2:13" s="27" customFormat="1" ht="12" customHeight="1">
      <c r="B20" s="177" t="s">
        <v>33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</row>
    <row r="21" spans="2:13" s="27" customFormat="1" ht="12" customHeight="1">
      <c r="B21" s="177" t="s">
        <v>34</v>
      </c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</row>
    <row r="22" spans="2:13" s="27" customFormat="1" ht="12" customHeight="1">
      <c r="B22" s="177" t="s">
        <v>35</v>
      </c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</row>
    <row r="23" spans="2:13" ht="3.75" customHeight="1"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</row>
    <row r="24" spans="2:13" ht="6.95" customHeight="1"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</row>
    <row r="25" spans="2:13" s="28" customFormat="1" ht="15" customHeight="1">
      <c r="B25" s="28">
        <v>1</v>
      </c>
      <c r="C25" s="28" t="s">
        <v>36</v>
      </c>
    </row>
    <row r="26" spans="2:13" s="34" customFormat="1" ht="15" customHeight="1">
      <c r="B26" s="66"/>
      <c r="C26" s="69" t="str">
        <f>_xlfn.CONCAT(MRS!B6," ",MRS!D6)</f>
        <v>Injectable Mortar HIT-RE 500 V4/500</v>
      </c>
      <c r="M26" s="72" t="s">
        <v>37</v>
      </c>
    </row>
    <row r="27" spans="2:13" ht="11.1" customHeight="1">
      <c r="B27" s="28"/>
    </row>
    <row r="28" spans="2:13" ht="15" customHeight="1">
      <c r="B28" s="28">
        <v>2</v>
      </c>
      <c r="C28" s="28" t="s">
        <v>38</v>
      </c>
    </row>
    <row r="29" spans="2:13" ht="15" customHeight="1">
      <c r="B29" s="28"/>
      <c r="C29" s="22" t="s">
        <v>39</v>
      </c>
      <c r="E29" s="22" t="s">
        <v>40</v>
      </c>
      <c r="F29" s="106">
        <f>'PO 2nd page'!G16</f>
        <v>45328.800000000003</v>
      </c>
      <c r="G29" s="101"/>
      <c r="H29" s="101"/>
      <c r="M29" s="29"/>
    </row>
    <row r="30" spans="2:13" ht="15" customHeight="1">
      <c r="B30" s="28"/>
      <c r="C30" s="22" t="s">
        <v>41</v>
      </c>
      <c r="E30" s="22" t="s">
        <v>40</v>
      </c>
      <c r="F30" s="106">
        <f>'PO 2nd page'!G17</f>
        <v>6799.3200000000006</v>
      </c>
      <c r="G30" s="101"/>
      <c r="H30" s="101"/>
    </row>
    <row r="31" spans="2:13" ht="15" customHeight="1">
      <c r="B31" s="28"/>
      <c r="C31" s="22" t="s">
        <v>42</v>
      </c>
      <c r="D31" s="30"/>
      <c r="E31" s="22" t="s">
        <v>40</v>
      </c>
      <c r="F31" s="106">
        <f>'PO 2nd page'!G18</f>
        <v>52128.12</v>
      </c>
      <c r="G31" s="101"/>
      <c r="H31" s="101"/>
    </row>
    <row r="32" spans="2:13" ht="11.1" customHeight="1">
      <c r="B32" s="28"/>
    </row>
    <row r="33" spans="2:13" ht="15" customHeight="1">
      <c r="B33" s="28">
        <v>3</v>
      </c>
      <c r="C33" s="28" t="s">
        <v>43</v>
      </c>
    </row>
    <row r="34" spans="2:13" ht="12" customHeight="1">
      <c r="B34" s="28"/>
      <c r="C34" s="18" t="s">
        <v>44</v>
      </c>
    </row>
    <row r="35" spans="2:13" ht="12" customHeight="1">
      <c r="B35" s="28"/>
      <c r="C35" s="18" t="s">
        <v>45</v>
      </c>
    </row>
    <row r="36" spans="2:13" ht="12" customHeight="1">
      <c r="B36" s="28"/>
      <c r="C36" s="18" t="s">
        <v>46</v>
      </c>
    </row>
    <row r="37" spans="2:13" ht="6" customHeight="1">
      <c r="B37" s="28"/>
    </row>
    <row r="38" spans="2:13" ht="15" customHeight="1">
      <c r="B38" s="28">
        <v>4</v>
      </c>
      <c r="C38" s="28" t="s">
        <v>47</v>
      </c>
    </row>
    <row r="39" spans="2:13" ht="12" customHeight="1">
      <c r="B39" s="28"/>
      <c r="C39" s="22" t="s">
        <v>48</v>
      </c>
    </row>
    <row r="40" spans="2:13" ht="6" customHeight="1">
      <c r="B40" s="28"/>
    </row>
    <row r="41" spans="2:13" ht="15" customHeight="1">
      <c r="B41" s="28">
        <v>5</v>
      </c>
      <c r="C41" s="28" t="s">
        <v>49</v>
      </c>
    </row>
    <row r="42" spans="2:13" ht="12" customHeight="1">
      <c r="B42" s="28"/>
      <c r="C42" s="31" t="s">
        <v>50</v>
      </c>
      <c r="D42" s="32"/>
      <c r="E42" s="33"/>
      <c r="F42" s="33"/>
      <c r="G42" s="33"/>
      <c r="H42" s="33"/>
      <c r="I42" s="33"/>
      <c r="J42" s="33"/>
      <c r="K42" s="33"/>
      <c r="L42" s="33"/>
      <c r="M42" s="33"/>
    </row>
    <row r="43" spans="2:13" ht="12" customHeight="1">
      <c r="B43" s="28"/>
      <c r="C43" s="31" t="s">
        <v>51</v>
      </c>
      <c r="D43" s="32"/>
      <c r="E43" s="33"/>
      <c r="F43" s="33"/>
      <c r="G43" s="33"/>
      <c r="H43" s="33"/>
      <c r="I43" s="33"/>
      <c r="J43" s="33"/>
      <c r="K43" s="33"/>
      <c r="L43" s="33"/>
      <c r="M43" s="33"/>
    </row>
    <row r="44" spans="2:13" ht="12" customHeight="1">
      <c r="B44" s="28"/>
      <c r="C44" s="31" t="s">
        <v>52</v>
      </c>
      <c r="D44" s="32"/>
      <c r="E44" s="33"/>
      <c r="F44" s="33"/>
      <c r="G44" s="33"/>
      <c r="H44" s="33"/>
      <c r="I44" s="33"/>
      <c r="J44" s="33"/>
      <c r="K44" s="33"/>
      <c r="L44" s="33"/>
      <c r="M44" s="33"/>
    </row>
    <row r="45" spans="2:13" ht="12" customHeight="1">
      <c r="B45" s="28"/>
      <c r="C45" s="31" t="s">
        <v>53</v>
      </c>
      <c r="D45" s="32"/>
      <c r="E45" s="33"/>
      <c r="F45" s="33"/>
      <c r="G45" s="33"/>
      <c r="H45" s="33"/>
      <c r="I45" s="33"/>
      <c r="J45" s="33"/>
      <c r="K45" s="33"/>
      <c r="L45" s="33"/>
      <c r="M45" s="33"/>
    </row>
    <row r="46" spans="2:13" ht="12" customHeight="1">
      <c r="B46" s="28"/>
      <c r="C46" s="34" t="s">
        <v>54</v>
      </c>
      <c r="D46" s="35"/>
      <c r="E46" s="36"/>
      <c r="F46" s="36"/>
      <c r="G46" s="36"/>
      <c r="H46" s="36"/>
      <c r="I46" s="36"/>
      <c r="J46" s="36"/>
      <c r="K46" s="36"/>
      <c r="L46" s="36"/>
      <c r="M46" s="36"/>
    </row>
    <row r="47" spans="2:13" ht="6" customHeight="1">
      <c r="B47" s="28"/>
    </row>
    <row r="48" spans="2:13" ht="15" customHeight="1">
      <c r="B48" s="28">
        <v>6</v>
      </c>
      <c r="C48" s="28" t="s">
        <v>55</v>
      </c>
    </row>
    <row r="49" spans="2:16" s="34" customFormat="1" ht="12" customHeight="1">
      <c r="B49" s="73" t="s">
        <v>56</v>
      </c>
      <c r="C49" s="74" t="s">
        <v>89</v>
      </c>
      <c r="P49" s="75"/>
    </row>
    <row r="50" spans="2:16" s="76" customFormat="1" ht="12" customHeight="1">
      <c r="B50" s="77" t="s">
        <v>56</v>
      </c>
      <c r="C50" s="74" t="s">
        <v>84</v>
      </c>
    </row>
    <row r="51" spans="2:16" s="76" customFormat="1" ht="12" customHeight="1">
      <c r="B51" s="77" t="s">
        <v>56</v>
      </c>
      <c r="C51" s="74" t="s">
        <v>83</v>
      </c>
    </row>
    <row r="52" spans="2:16" s="76" customFormat="1" ht="6" customHeight="1">
      <c r="B52" s="77"/>
      <c r="C52" s="74"/>
    </row>
    <row r="53" spans="2:16" ht="15" customHeight="1">
      <c r="B53" s="37">
        <v>7</v>
      </c>
      <c r="C53" s="28" t="s">
        <v>94</v>
      </c>
    </row>
    <row r="54" spans="2:16" ht="12" customHeight="1">
      <c r="B54" s="77" t="s">
        <v>56</v>
      </c>
      <c r="C54" s="107" t="s">
        <v>96</v>
      </c>
      <c r="F54" s="22" t="s">
        <v>128</v>
      </c>
      <c r="P54" s="22" t="str">
        <f>UPPER(F54)</f>
        <v>HILTI SAUDI ARABIA CONSTRUCTION TOOLS</v>
      </c>
    </row>
    <row r="55" spans="2:16" ht="12" customHeight="1">
      <c r="B55" s="77" t="s">
        <v>56</v>
      </c>
      <c r="C55" s="107" t="s">
        <v>97</v>
      </c>
      <c r="F55" s="108"/>
    </row>
    <row r="56" spans="2:16" ht="12" customHeight="1">
      <c r="B56" s="77" t="s">
        <v>56</v>
      </c>
      <c r="C56" s="107" t="s">
        <v>98</v>
      </c>
      <c r="F56" s="22" t="s">
        <v>129</v>
      </c>
    </row>
    <row r="57" spans="2:16" ht="12" customHeight="1">
      <c r="B57" s="77" t="s">
        <v>56</v>
      </c>
      <c r="C57" s="107" t="s">
        <v>99</v>
      </c>
      <c r="F57" s="22" t="s">
        <v>130</v>
      </c>
    </row>
    <row r="58" spans="2:16" ht="12" customHeight="1">
      <c r="B58" s="77" t="s">
        <v>56</v>
      </c>
      <c r="C58" s="107" t="s">
        <v>100</v>
      </c>
      <c r="F58" s="22" t="s">
        <v>131</v>
      </c>
    </row>
    <row r="59" spans="2:16" ht="12" customHeight="1">
      <c r="B59" s="77" t="s">
        <v>56</v>
      </c>
      <c r="C59" s="107" t="s">
        <v>101</v>
      </c>
      <c r="F59" s="22" t="s">
        <v>95</v>
      </c>
    </row>
    <row r="60" spans="2:16" ht="12" customHeight="1">
      <c r="B60" s="77"/>
      <c r="C60" s="107" t="s">
        <v>102</v>
      </c>
    </row>
    <row r="61" spans="2:16" ht="6.75" customHeight="1">
      <c r="B61" s="77"/>
      <c r="C61" s="107"/>
    </row>
    <row r="62" spans="2:16" ht="6" customHeight="1">
      <c r="B62" s="109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</row>
    <row r="63" spans="2:16" ht="11.1" customHeight="1">
      <c r="B63" s="37"/>
    </row>
    <row r="64" spans="2:16">
      <c r="B64" s="28" t="s">
        <v>57</v>
      </c>
      <c r="J64" s="28" t="s">
        <v>58</v>
      </c>
    </row>
    <row r="65" spans="1:13" ht="41.25" customHeight="1"/>
    <row r="66" spans="1:13" ht="13.5" customHeight="1">
      <c r="B66" s="22" t="s">
        <v>59</v>
      </c>
      <c r="J66" s="22" t="s">
        <v>59</v>
      </c>
    </row>
    <row r="67" spans="1:13" ht="13.5" customHeight="1">
      <c r="B67" s="22" t="s">
        <v>60</v>
      </c>
      <c r="J67" s="22" t="s">
        <v>61</v>
      </c>
      <c r="K67" s="18" t="str">
        <f>D12</f>
        <v>Ahmed Ghazi</v>
      </c>
    </row>
    <row r="68" spans="1:13" ht="13.5" customHeight="1">
      <c r="B68" s="22" t="s">
        <v>62</v>
      </c>
      <c r="J68" s="22" t="s">
        <v>63</v>
      </c>
      <c r="K68" s="18"/>
    </row>
    <row r="69" spans="1:13" ht="13.5" customHeight="1">
      <c r="B69" s="22" t="s">
        <v>64</v>
      </c>
      <c r="J69" s="22" t="s">
        <v>65</v>
      </c>
    </row>
    <row r="70" spans="1:13" s="24" customFormat="1" ht="24.75" customHeight="1">
      <c r="B70" s="21" t="s">
        <v>92</v>
      </c>
      <c r="J70" s="180" t="str">
        <f>C9</f>
        <v>HILTI (HILTI Saudi Arabia Construction Tools)</v>
      </c>
      <c r="K70" s="180"/>
      <c r="L70" s="180"/>
      <c r="M70" s="180"/>
    </row>
    <row r="71" spans="1:13" ht="27.95" customHeight="1">
      <c r="A71" s="172" t="s">
        <v>66</v>
      </c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6"/>
  <sheetViews>
    <sheetView showGridLines="0" view="pageBreakPreview" zoomScaleSheetLayoutView="100" zoomScalePageLayoutView="55" workbookViewId="0">
      <selection activeCell="B8" sqref="B8:C8"/>
    </sheetView>
  </sheetViews>
  <sheetFormatPr defaultColWidth="9" defaultRowHeight="12.75"/>
  <cols>
    <col min="1" max="1" width="8.5703125" style="38" customWidth="1"/>
    <col min="2" max="2" width="25.5703125" style="39" customWidth="1"/>
    <col min="3" max="3" width="23.5703125" style="39" customWidth="1"/>
    <col min="4" max="4" width="8.5703125" style="38" customWidth="1"/>
    <col min="5" max="5" width="13.5703125" style="38" customWidth="1"/>
    <col min="6" max="6" width="15.5703125" style="38" customWidth="1"/>
    <col min="7" max="8" width="17.140625" style="38" customWidth="1"/>
    <col min="9" max="9" width="0.85546875" style="38" customWidth="1"/>
    <col min="10" max="251" width="9" style="38"/>
    <col min="252" max="252" width="8.7109375" style="38" customWidth="1"/>
    <col min="253" max="253" width="45.140625" style="38" customWidth="1"/>
    <col min="254" max="254" width="13.28515625" style="38" customWidth="1"/>
    <col min="255" max="255" width="9.42578125" style="38" customWidth="1"/>
    <col min="256" max="256" width="6.42578125" style="38" customWidth="1"/>
    <col min="257" max="257" width="11.5703125" style="38" customWidth="1"/>
    <col min="258" max="258" width="12.85546875" style="38" bestFit="1" customWidth="1"/>
    <col min="259" max="259" width="25.5703125" style="38" customWidth="1"/>
    <col min="260" max="507" width="9" style="38"/>
    <col min="508" max="508" width="8.7109375" style="38" customWidth="1"/>
    <col min="509" max="509" width="45.140625" style="38" customWidth="1"/>
    <col min="510" max="510" width="13.28515625" style="38" customWidth="1"/>
    <col min="511" max="511" width="9.42578125" style="38" customWidth="1"/>
    <col min="512" max="512" width="6.42578125" style="38" customWidth="1"/>
    <col min="513" max="513" width="11.5703125" style="38" customWidth="1"/>
    <col min="514" max="514" width="12.85546875" style="38" bestFit="1" customWidth="1"/>
    <col min="515" max="515" width="25.5703125" style="38" customWidth="1"/>
    <col min="516" max="763" width="9" style="38"/>
    <col min="764" max="764" width="8.7109375" style="38" customWidth="1"/>
    <col min="765" max="765" width="45.140625" style="38" customWidth="1"/>
    <col min="766" max="766" width="13.28515625" style="38" customWidth="1"/>
    <col min="767" max="767" width="9.42578125" style="38" customWidth="1"/>
    <col min="768" max="768" width="6.42578125" style="38" customWidth="1"/>
    <col min="769" max="769" width="11.5703125" style="38" customWidth="1"/>
    <col min="770" max="770" width="12.85546875" style="38" bestFit="1" customWidth="1"/>
    <col min="771" max="771" width="25.5703125" style="38" customWidth="1"/>
    <col min="772" max="1019" width="9" style="38"/>
    <col min="1020" max="1020" width="8.7109375" style="38" customWidth="1"/>
    <col min="1021" max="1021" width="45.140625" style="38" customWidth="1"/>
    <col min="1022" max="1022" width="13.28515625" style="38" customWidth="1"/>
    <col min="1023" max="1023" width="9.42578125" style="38" customWidth="1"/>
    <col min="1024" max="1024" width="6.42578125" style="38" customWidth="1"/>
    <col min="1025" max="1025" width="11.5703125" style="38" customWidth="1"/>
    <col min="1026" max="1026" width="12.85546875" style="38" bestFit="1" customWidth="1"/>
    <col min="1027" max="1027" width="25.5703125" style="38" customWidth="1"/>
    <col min="1028" max="1275" width="9" style="38"/>
    <col min="1276" max="1276" width="8.7109375" style="38" customWidth="1"/>
    <col min="1277" max="1277" width="45.140625" style="38" customWidth="1"/>
    <col min="1278" max="1278" width="13.28515625" style="38" customWidth="1"/>
    <col min="1279" max="1279" width="9.42578125" style="38" customWidth="1"/>
    <col min="1280" max="1280" width="6.42578125" style="38" customWidth="1"/>
    <col min="1281" max="1281" width="11.5703125" style="38" customWidth="1"/>
    <col min="1282" max="1282" width="12.85546875" style="38" bestFit="1" customWidth="1"/>
    <col min="1283" max="1283" width="25.5703125" style="38" customWidth="1"/>
    <col min="1284" max="1531" width="9" style="38"/>
    <col min="1532" max="1532" width="8.7109375" style="38" customWidth="1"/>
    <col min="1533" max="1533" width="45.140625" style="38" customWidth="1"/>
    <col min="1534" max="1534" width="13.28515625" style="38" customWidth="1"/>
    <col min="1535" max="1535" width="9.42578125" style="38" customWidth="1"/>
    <col min="1536" max="1536" width="6.42578125" style="38" customWidth="1"/>
    <col min="1537" max="1537" width="11.5703125" style="38" customWidth="1"/>
    <col min="1538" max="1538" width="12.85546875" style="38" bestFit="1" customWidth="1"/>
    <col min="1539" max="1539" width="25.5703125" style="38" customWidth="1"/>
    <col min="1540" max="1787" width="9" style="38"/>
    <col min="1788" max="1788" width="8.7109375" style="38" customWidth="1"/>
    <col min="1789" max="1789" width="45.140625" style="38" customWidth="1"/>
    <col min="1790" max="1790" width="13.28515625" style="38" customWidth="1"/>
    <col min="1791" max="1791" width="9.42578125" style="38" customWidth="1"/>
    <col min="1792" max="1792" width="6.42578125" style="38" customWidth="1"/>
    <col min="1793" max="1793" width="11.5703125" style="38" customWidth="1"/>
    <col min="1794" max="1794" width="12.85546875" style="38" bestFit="1" customWidth="1"/>
    <col min="1795" max="1795" width="25.5703125" style="38" customWidth="1"/>
    <col min="1796" max="2043" width="9" style="38"/>
    <col min="2044" max="2044" width="8.7109375" style="38" customWidth="1"/>
    <col min="2045" max="2045" width="45.140625" style="38" customWidth="1"/>
    <col min="2046" max="2046" width="13.28515625" style="38" customWidth="1"/>
    <col min="2047" max="2047" width="9.42578125" style="38" customWidth="1"/>
    <col min="2048" max="2048" width="6.42578125" style="38" customWidth="1"/>
    <col min="2049" max="2049" width="11.5703125" style="38" customWidth="1"/>
    <col min="2050" max="2050" width="12.85546875" style="38" bestFit="1" customWidth="1"/>
    <col min="2051" max="2051" width="25.5703125" style="38" customWidth="1"/>
    <col min="2052" max="2299" width="9" style="38"/>
    <col min="2300" max="2300" width="8.7109375" style="38" customWidth="1"/>
    <col min="2301" max="2301" width="45.140625" style="38" customWidth="1"/>
    <col min="2302" max="2302" width="13.28515625" style="38" customWidth="1"/>
    <col min="2303" max="2303" width="9.42578125" style="38" customWidth="1"/>
    <col min="2304" max="2304" width="6.42578125" style="38" customWidth="1"/>
    <col min="2305" max="2305" width="11.5703125" style="38" customWidth="1"/>
    <col min="2306" max="2306" width="12.85546875" style="38" bestFit="1" customWidth="1"/>
    <col min="2307" max="2307" width="25.5703125" style="38" customWidth="1"/>
    <col min="2308" max="2555" width="9" style="38"/>
    <col min="2556" max="2556" width="8.7109375" style="38" customWidth="1"/>
    <col min="2557" max="2557" width="45.140625" style="38" customWidth="1"/>
    <col min="2558" max="2558" width="13.28515625" style="38" customWidth="1"/>
    <col min="2559" max="2559" width="9.42578125" style="38" customWidth="1"/>
    <col min="2560" max="2560" width="6.42578125" style="38" customWidth="1"/>
    <col min="2561" max="2561" width="11.5703125" style="38" customWidth="1"/>
    <col min="2562" max="2562" width="12.85546875" style="38" bestFit="1" customWidth="1"/>
    <col min="2563" max="2563" width="25.5703125" style="38" customWidth="1"/>
    <col min="2564" max="2811" width="9" style="38"/>
    <col min="2812" max="2812" width="8.7109375" style="38" customWidth="1"/>
    <col min="2813" max="2813" width="45.140625" style="38" customWidth="1"/>
    <col min="2814" max="2814" width="13.28515625" style="38" customWidth="1"/>
    <col min="2815" max="2815" width="9.42578125" style="38" customWidth="1"/>
    <col min="2816" max="2816" width="6.42578125" style="38" customWidth="1"/>
    <col min="2817" max="2817" width="11.5703125" style="38" customWidth="1"/>
    <col min="2818" max="2818" width="12.85546875" style="38" bestFit="1" customWidth="1"/>
    <col min="2819" max="2819" width="25.5703125" style="38" customWidth="1"/>
    <col min="2820" max="3067" width="9" style="38"/>
    <col min="3068" max="3068" width="8.7109375" style="38" customWidth="1"/>
    <col min="3069" max="3069" width="45.140625" style="38" customWidth="1"/>
    <col min="3070" max="3070" width="13.28515625" style="38" customWidth="1"/>
    <col min="3071" max="3071" width="9.42578125" style="38" customWidth="1"/>
    <col min="3072" max="3072" width="6.42578125" style="38" customWidth="1"/>
    <col min="3073" max="3073" width="11.5703125" style="38" customWidth="1"/>
    <col min="3074" max="3074" width="12.85546875" style="38" bestFit="1" customWidth="1"/>
    <col min="3075" max="3075" width="25.5703125" style="38" customWidth="1"/>
    <col min="3076" max="3323" width="9" style="38"/>
    <col min="3324" max="3324" width="8.7109375" style="38" customWidth="1"/>
    <col min="3325" max="3325" width="45.140625" style="38" customWidth="1"/>
    <col min="3326" max="3326" width="13.28515625" style="38" customWidth="1"/>
    <col min="3327" max="3327" width="9.42578125" style="38" customWidth="1"/>
    <col min="3328" max="3328" width="6.42578125" style="38" customWidth="1"/>
    <col min="3329" max="3329" width="11.5703125" style="38" customWidth="1"/>
    <col min="3330" max="3330" width="12.85546875" style="38" bestFit="1" customWidth="1"/>
    <col min="3331" max="3331" width="25.5703125" style="38" customWidth="1"/>
    <col min="3332" max="3579" width="9" style="38"/>
    <col min="3580" max="3580" width="8.7109375" style="38" customWidth="1"/>
    <col min="3581" max="3581" width="45.140625" style="38" customWidth="1"/>
    <col min="3582" max="3582" width="13.28515625" style="38" customWidth="1"/>
    <col min="3583" max="3583" width="9.42578125" style="38" customWidth="1"/>
    <col min="3584" max="3584" width="6.42578125" style="38" customWidth="1"/>
    <col min="3585" max="3585" width="11.5703125" style="38" customWidth="1"/>
    <col min="3586" max="3586" width="12.85546875" style="38" bestFit="1" customWidth="1"/>
    <col min="3587" max="3587" width="25.5703125" style="38" customWidth="1"/>
    <col min="3588" max="3835" width="9" style="38"/>
    <col min="3836" max="3836" width="8.7109375" style="38" customWidth="1"/>
    <col min="3837" max="3837" width="45.140625" style="38" customWidth="1"/>
    <col min="3838" max="3838" width="13.28515625" style="38" customWidth="1"/>
    <col min="3839" max="3839" width="9.42578125" style="38" customWidth="1"/>
    <col min="3840" max="3840" width="6.42578125" style="38" customWidth="1"/>
    <col min="3841" max="3841" width="11.5703125" style="38" customWidth="1"/>
    <col min="3842" max="3842" width="12.85546875" style="38" bestFit="1" customWidth="1"/>
    <col min="3843" max="3843" width="25.5703125" style="38" customWidth="1"/>
    <col min="3844" max="4091" width="9" style="38"/>
    <col min="4092" max="4092" width="8.7109375" style="38" customWidth="1"/>
    <col min="4093" max="4093" width="45.140625" style="38" customWidth="1"/>
    <col min="4094" max="4094" width="13.28515625" style="38" customWidth="1"/>
    <col min="4095" max="4095" width="9.42578125" style="38" customWidth="1"/>
    <col min="4096" max="4096" width="6.42578125" style="38" customWidth="1"/>
    <col min="4097" max="4097" width="11.5703125" style="38" customWidth="1"/>
    <col min="4098" max="4098" width="12.85546875" style="38" bestFit="1" customWidth="1"/>
    <col min="4099" max="4099" width="25.5703125" style="38" customWidth="1"/>
    <col min="4100" max="4347" width="9" style="38"/>
    <col min="4348" max="4348" width="8.7109375" style="38" customWidth="1"/>
    <col min="4349" max="4349" width="45.140625" style="38" customWidth="1"/>
    <col min="4350" max="4350" width="13.28515625" style="38" customWidth="1"/>
    <col min="4351" max="4351" width="9.42578125" style="38" customWidth="1"/>
    <col min="4352" max="4352" width="6.42578125" style="38" customWidth="1"/>
    <col min="4353" max="4353" width="11.5703125" style="38" customWidth="1"/>
    <col min="4354" max="4354" width="12.85546875" style="38" bestFit="1" customWidth="1"/>
    <col min="4355" max="4355" width="25.5703125" style="38" customWidth="1"/>
    <col min="4356" max="4603" width="9" style="38"/>
    <col min="4604" max="4604" width="8.7109375" style="38" customWidth="1"/>
    <col min="4605" max="4605" width="45.140625" style="38" customWidth="1"/>
    <col min="4606" max="4606" width="13.28515625" style="38" customWidth="1"/>
    <col min="4607" max="4607" width="9.42578125" style="38" customWidth="1"/>
    <col min="4608" max="4608" width="6.42578125" style="38" customWidth="1"/>
    <col min="4609" max="4609" width="11.5703125" style="38" customWidth="1"/>
    <col min="4610" max="4610" width="12.85546875" style="38" bestFit="1" customWidth="1"/>
    <col min="4611" max="4611" width="25.5703125" style="38" customWidth="1"/>
    <col min="4612" max="4859" width="9" style="38"/>
    <col min="4860" max="4860" width="8.7109375" style="38" customWidth="1"/>
    <col min="4861" max="4861" width="45.140625" style="38" customWidth="1"/>
    <col min="4862" max="4862" width="13.28515625" style="38" customWidth="1"/>
    <col min="4863" max="4863" width="9.42578125" style="38" customWidth="1"/>
    <col min="4864" max="4864" width="6.42578125" style="38" customWidth="1"/>
    <col min="4865" max="4865" width="11.5703125" style="38" customWidth="1"/>
    <col min="4866" max="4866" width="12.85546875" style="38" bestFit="1" customWidth="1"/>
    <col min="4867" max="4867" width="25.5703125" style="38" customWidth="1"/>
    <col min="4868" max="5115" width="9" style="38"/>
    <col min="5116" max="5116" width="8.7109375" style="38" customWidth="1"/>
    <col min="5117" max="5117" width="45.140625" style="38" customWidth="1"/>
    <col min="5118" max="5118" width="13.28515625" style="38" customWidth="1"/>
    <col min="5119" max="5119" width="9.42578125" style="38" customWidth="1"/>
    <col min="5120" max="5120" width="6.42578125" style="38" customWidth="1"/>
    <col min="5121" max="5121" width="11.5703125" style="38" customWidth="1"/>
    <col min="5122" max="5122" width="12.85546875" style="38" bestFit="1" customWidth="1"/>
    <col min="5123" max="5123" width="25.5703125" style="38" customWidth="1"/>
    <col min="5124" max="5371" width="9" style="38"/>
    <col min="5372" max="5372" width="8.7109375" style="38" customWidth="1"/>
    <col min="5373" max="5373" width="45.140625" style="38" customWidth="1"/>
    <col min="5374" max="5374" width="13.28515625" style="38" customWidth="1"/>
    <col min="5375" max="5375" width="9.42578125" style="38" customWidth="1"/>
    <col min="5376" max="5376" width="6.42578125" style="38" customWidth="1"/>
    <col min="5377" max="5377" width="11.5703125" style="38" customWidth="1"/>
    <col min="5378" max="5378" width="12.85546875" style="38" bestFit="1" customWidth="1"/>
    <col min="5379" max="5379" width="25.5703125" style="38" customWidth="1"/>
    <col min="5380" max="5627" width="9" style="38"/>
    <col min="5628" max="5628" width="8.7109375" style="38" customWidth="1"/>
    <col min="5629" max="5629" width="45.140625" style="38" customWidth="1"/>
    <col min="5630" max="5630" width="13.28515625" style="38" customWidth="1"/>
    <col min="5631" max="5631" width="9.42578125" style="38" customWidth="1"/>
    <col min="5632" max="5632" width="6.42578125" style="38" customWidth="1"/>
    <col min="5633" max="5633" width="11.5703125" style="38" customWidth="1"/>
    <col min="5634" max="5634" width="12.85546875" style="38" bestFit="1" customWidth="1"/>
    <col min="5635" max="5635" width="25.5703125" style="38" customWidth="1"/>
    <col min="5636" max="5883" width="9" style="38"/>
    <col min="5884" max="5884" width="8.7109375" style="38" customWidth="1"/>
    <col min="5885" max="5885" width="45.140625" style="38" customWidth="1"/>
    <col min="5886" max="5886" width="13.28515625" style="38" customWidth="1"/>
    <col min="5887" max="5887" width="9.42578125" style="38" customWidth="1"/>
    <col min="5888" max="5888" width="6.42578125" style="38" customWidth="1"/>
    <col min="5889" max="5889" width="11.5703125" style="38" customWidth="1"/>
    <col min="5890" max="5890" width="12.85546875" style="38" bestFit="1" customWidth="1"/>
    <col min="5891" max="5891" width="25.5703125" style="38" customWidth="1"/>
    <col min="5892" max="6139" width="9" style="38"/>
    <col min="6140" max="6140" width="8.7109375" style="38" customWidth="1"/>
    <col min="6141" max="6141" width="45.140625" style="38" customWidth="1"/>
    <col min="6142" max="6142" width="13.28515625" style="38" customWidth="1"/>
    <col min="6143" max="6143" width="9.42578125" style="38" customWidth="1"/>
    <col min="6144" max="6144" width="6.42578125" style="38" customWidth="1"/>
    <col min="6145" max="6145" width="11.5703125" style="38" customWidth="1"/>
    <col min="6146" max="6146" width="12.85546875" style="38" bestFit="1" customWidth="1"/>
    <col min="6147" max="6147" width="25.5703125" style="38" customWidth="1"/>
    <col min="6148" max="6395" width="9" style="38"/>
    <col min="6396" max="6396" width="8.7109375" style="38" customWidth="1"/>
    <col min="6397" max="6397" width="45.140625" style="38" customWidth="1"/>
    <col min="6398" max="6398" width="13.28515625" style="38" customWidth="1"/>
    <col min="6399" max="6399" width="9.42578125" style="38" customWidth="1"/>
    <col min="6400" max="6400" width="6.42578125" style="38" customWidth="1"/>
    <col min="6401" max="6401" width="11.5703125" style="38" customWidth="1"/>
    <col min="6402" max="6402" width="12.85546875" style="38" bestFit="1" customWidth="1"/>
    <col min="6403" max="6403" width="25.5703125" style="38" customWidth="1"/>
    <col min="6404" max="6651" width="9" style="38"/>
    <col min="6652" max="6652" width="8.7109375" style="38" customWidth="1"/>
    <col min="6653" max="6653" width="45.140625" style="38" customWidth="1"/>
    <col min="6654" max="6654" width="13.28515625" style="38" customWidth="1"/>
    <col min="6655" max="6655" width="9.42578125" style="38" customWidth="1"/>
    <col min="6656" max="6656" width="6.42578125" style="38" customWidth="1"/>
    <col min="6657" max="6657" width="11.5703125" style="38" customWidth="1"/>
    <col min="6658" max="6658" width="12.85546875" style="38" bestFit="1" customWidth="1"/>
    <col min="6659" max="6659" width="25.5703125" style="38" customWidth="1"/>
    <col min="6660" max="6907" width="9" style="38"/>
    <col min="6908" max="6908" width="8.7109375" style="38" customWidth="1"/>
    <col min="6909" max="6909" width="45.140625" style="38" customWidth="1"/>
    <col min="6910" max="6910" width="13.28515625" style="38" customWidth="1"/>
    <col min="6911" max="6911" width="9.42578125" style="38" customWidth="1"/>
    <col min="6912" max="6912" width="6.42578125" style="38" customWidth="1"/>
    <col min="6913" max="6913" width="11.5703125" style="38" customWidth="1"/>
    <col min="6914" max="6914" width="12.85546875" style="38" bestFit="1" customWidth="1"/>
    <col min="6915" max="6915" width="25.5703125" style="38" customWidth="1"/>
    <col min="6916" max="7163" width="9" style="38"/>
    <col min="7164" max="7164" width="8.7109375" style="38" customWidth="1"/>
    <col min="7165" max="7165" width="45.140625" style="38" customWidth="1"/>
    <col min="7166" max="7166" width="13.28515625" style="38" customWidth="1"/>
    <col min="7167" max="7167" width="9.42578125" style="38" customWidth="1"/>
    <col min="7168" max="7168" width="6.42578125" style="38" customWidth="1"/>
    <col min="7169" max="7169" width="11.5703125" style="38" customWidth="1"/>
    <col min="7170" max="7170" width="12.85546875" style="38" bestFit="1" customWidth="1"/>
    <col min="7171" max="7171" width="25.5703125" style="38" customWidth="1"/>
    <col min="7172" max="7419" width="9" style="38"/>
    <col min="7420" max="7420" width="8.7109375" style="38" customWidth="1"/>
    <col min="7421" max="7421" width="45.140625" style="38" customWidth="1"/>
    <col min="7422" max="7422" width="13.28515625" style="38" customWidth="1"/>
    <col min="7423" max="7423" width="9.42578125" style="38" customWidth="1"/>
    <col min="7424" max="7424" width="6.42578125" style="38" customWidth="1"/>
    <col min="7425" max="7425" width="11.5703125" style="38" customWidth="1"/>
    <col min="7426" max="7426" width="12.85546875" style="38" bestFit="1" customWidth="1"/>
    <col min="7427" max="7427" width="25.5703125" style="38" customWidth="1"/>
    <col min="7428" max="7675" width="9" style="38"/>
    <col min="7676" max="7676" width="8.7109375" style="38" customWidth="1"/>
    <col min="7677" max="7677" width="45.140625" style="38" customWidth="1"/>
    <col min="7678" max="7678" width="13.28515625" style="38" customWidth="1"/>
    <col min="7679" max="7679" width="9.42578125" style="38" customWidth="1"/>
    <col min="7680" max="7680" width="6.42578125" style="38" customWidth="1"/>
    <col min="7681" max="7681" width="11.5703125" style="38" customWidth="1"/>
    <col min="7682" max="7682" width="12.85546875" style="38" bestFit="1" customWidth="1"/>
    <col min="7683" max="7683" width="25.5703125" style="38" customWidth="1"/>
    <col min="7684" max="7931" width="9" style="38"/>
    <col min="7932" max="7932" width="8.7109375" style="38" customWidth="1"/>
    <col min="7933" max="7933" width="45.140625" style="38" customWidth="1"/>
    <col min="7934" max="7934" width="13.28515625" style="38" customWidth="1"/>
    <col min="7935" max="7935" width="9.42578125" style="38" customWidth="1"/>
    <col min="7936" max="7936" width="6.42578125" style="38" customWidth="1"/>
    <col min="7937" max="7937" width="11.5703125" style="38" customWidth="1"/>
    <col min="7938" max="7938" width="12.85546875" style="38" bestFit="1" customWidth="1"/>
    <col min="7939" max="7939" width="25.5703125" style="38" customWidth="1"/>
    <col min="7940" max="8187" width="9" style="38"/>
    <col min="8188" max="8188" width="8.7109375" style="38" customWidth="1"/>
    <col min="8189" max="8189" width="45.140625" style="38" customWidth="1"/>
    <col min="8190" max="8190" width="13.28515625" style="38" customWidth="1"/>
    <col min="8191" max="8191" width="9.42578125" style="38" customWidth="1"/>
    <col min="8192" max="8192" width="6.42578125" style="38" customWidth="1"/>
    <col min="8193" max="8193" width="11.5703125" style="38" customWidth="1"/>
    <col min="8194" max="8194" width="12.85546875" style="38" bestFit="1" customWidth="1"/>
    <col min="8195" max="8195" width="25.5703125" style="38" customWidth="1"/>
    <col min="8196" max="8443" width="9" style="38"/>
    <col min="8444" max="8444" width="8.7109375" style="38" customWidth="1"/>
    <col min="8445" max="8445" width="45.140625" style="38" customWidth="1"/>
    <col min="8446" max="8446" width="13.28515625" style="38" customWidth="1"/>
    <col min="8447" max="8447" width="9.42578125" style="38" customWidth="1"/>
    <col min="8448" max="8448" width="6.42578125" style="38" customWidth="1"/>
    <col min="8449" max="8449" width="11.5703125" style="38" customWidth="1"/>
    <col min="8450" max="8450" width="12.85546875" style="38" bestFit="1" customWidth="1"/>
    <col min="8451" max="8451" width="25.5703125" style="38" customWidth="1"/>
    <col min="8452" max="8699" width="9" style="38"/>
    <col min="8700" max="8700" width="8.7109375" style="38" customWidth="1"/>
    <col min="8701" max="8701" width="45.140625" style="38" customWidth="1"/>
    <col min="8702" max="8702" width="13.28515625" style="38" customWidth="1"/>
    <col min="8703" max="8703" width="9.42578125" style="38" customWidth="1"/>
    <col min="8704" max="8704" width="6.42578125" style="38" customWidth="1"/>
    <col min="8705" max="8705" width="11.5703125" style="38" customWidth="1"/>
    <col min="8706" max="8706" width="12.85546875" style="38" bestFit="1" customWidth="1"/>
    <col min="8707" max="8707" width="25.5703125" style="38" customWidth="1"/>
    <col min="8708" max="8955" width="9" style="38"/>
    <col min="8956" max="8956" width="8.7109375" style="38" customWidth="1"/>
    <col min="8957" max="8957" width="45.140625" style="38" customWidth="1"/>
    <col min="8958" max="8958" width="13.28515625" style="38" customWidth="1"/>
    <col min="8959" max="8959" width="9.42578125" style="38" customWidth="1"/>
    <col min="8960" max="8960" width="6.42578125" style="38" customWidth="1"/>
    <col min="8961" max="8961" width="11.5703125" style="38" customWidth="1"/>
    <col min="8962" max="8962" width="12.85546875" style="38" bestFit="1" customWidth="1"/>
    <col min="8963" max="8963" width="25.5703125" style="38" customWidth="1"/>
    <col min="8964" max="9211" width="9" style="38"/>
    <col min="9212" max="9212" width="8.7109375" style="38" customWidth="1"/>
    <col min="9213" max="9213" width="45.140625" style="38" customWidth="1"/>
    <col min="9214" max="9214" width="13.28515625" style="38" customWidth="1"/>
    <col min="9215" max="9215" width="9.42578125" style="38" customWidth="1"/>
    <col min="9216" max="9216" width="6.42578125" style="38" customWidth="1"/>
    <col min="9217" max="9217" width="11.5703125" style="38" customWidth="1"/>
    <col min="9218" max="9218" width="12.85546875" style="38" bestFit="1" customWidth="1"/>
    <col min="9219" max="9219" width="25.5703125" style="38" customWidth="1"/>
    <col min="9220" max="9467" width="9" style="38"/>
    <col min="9468" max="9468" width="8.7109375" style="38" customWidth="1"/>
    <col min="9469" max="9469" width="45.140625" style="38" customWidth="1"/>
    <col min="9470" max="9470" width="13.28515625" style="38" customWidth="1"/>
    <col min="9471" max="9471" width="9.42578125" style="38" customWidth="1"/>
    <col min="9472" max="9472" width="6.42578125" style="38" customWidth="1"/>
    <col min="9473" max="9473" width="11.5703125" style="38" customWidth="1"/>
    <col min="9474" max="9474" width="12.85546875" style="38" bestFit="1" customWidth="1"/>
    <col min="9475" max="9475" width="25.5703125" style="38" customWidth="1"/>
    <col min="9476" max="9723" width="9" style="38"/>
    <col min="9724" max="9724" width="8.7109375" style="38" customWidth="1"/>
    <col min="9725" max="9725" width="45.140625" style="38" customWidth="1"/>
    <col min="9726" max="9726" width="13.28515625" style="38" customWidth="1"/>
    <col min="9727" max="9727" width="9.42578125" style="38" customWidth="1"/>
    <col min="9728" max="9728" width="6.42578125" style="38" customWidth="1"/>
    <col min="9729" max="9729" width="11.5703125" style="38" customWidth="1"/>
    <col min="9730" max="9730" width="12.85546875" style="38" bestFit="1" customWidth="1"/>
    <col min="9731" max="9731" width="25.5703125" style="38" customWidth="1"/>
    <col min="9732" max="9979" width="9" style="38"/>
    <col min="9980" max="9980" width="8.7109375" style="38" customWidth="1"/>
    <col min="9981" max="9981" width="45.140625" style="38" customWidth="1"/>
    <col min="9982" max="9982" width="13.28515625" style="38" customWidth="1"/>
    <col min="9983" max="9983" width="9.42578125" style="38" customWidth="1"/>
    <col min="9984" max="9984" width="6.42578125" style="38" customWidth="1"/>
    <col min="9985" max="9985" width="11.5703125" style="38" customWidth="1"/>
    <col min="9986" max="9986" width="12.85546875" style="38" bestFit="1" customWidth="1"/>
    <col min="9987" max="9987" width="25.5703125" style="38" customWidth="1"/>
    <col min="9988" max="10235" width="9" style="38"/>
    <col min="10236" max="10236" width="8.7109375" style="38" customWidth="1"/>
    <col min="10237" max="10237" width="45.140625" style="38" customWidth="1"/>
    <col min="10238" max="10238" width="13.28515625" style="38" customWidth="1"/>
    <col min="10239" max="10239" width="9.42578125" style="38" customWidth="1"/>
    <col min="10240" max="10240" width="6.42578125" style="38" customWidth="1"/>
    <col min="10241" max="10241" width="11.5703125" style="38" customWidth="1"/>
    <col min="10242" max="10242" width="12.85546875" style="38" bestFit="1" customWidth="1"/>
    <col min="10243" max="10243" width="25.5703125" style="38" customWidth="1"/>
    <col min="10244" max="10491" width="9" style="38"/>
    <col min="10492" max="10492" width="8.7109375" style="38" customWidth="1"/>
    <col min="10493" max="10493" width="45.140625" style="38" customWidth="1"/>
    <col min="10494" max="10494" width="13.28515625" style="38" customWidth="1"/>
    <col min="10495" max="10495" width="9.42578125" style="38" customWidth="1"/>
    <col min="10496" max="10496" width="6.42578125" style="38" customWidth="1"/>
    <col min="10497" max="10497" width="11.5703125" style="38" customWidth="1"/>
    <col min="10498" max="10498" width="12.85546875" style="38" bestFit="1" customWidth="1"/>
    <col min="10499" max="10499" width="25.5703125" style="38" customWidth="1"/>
    <col min="10500" max="10747" width="9" style="38"/>
    <col min="10748" max="10748" width="8.7109375" style="38" customWidth="1"/>
    <col min="10749" max="10749" width="45.140625" style="38" customWidth="1"/>
    <col min="10750" max="10750" width="13.28515625" style="38" customWidth="1"/>
    <col min="10751" max="10751" width="9.42578125" style="38" customWidth="1"/>
    <col min="10752" max="10752" width="6.42578125" style="38" customWidth="1"/>
    <col min="10753" max="10753" width="11.5703125" style="38" customWidth="1"/>
    <col min="10754" max="10754" width="12.85546875" style="38" bestFit="1" customWidth="1"/>
    <col min="10755" max="10755" width="25.5703125" style="38" customWidth="1"/>
    <col min="10756" max="11003" width="9" style="38"/>
    <col min="11004" max="11004" width="8.7109375" style="38" customWidth="1"/>
    <col min="11005" max="11005" width="45.140625" style="38" customWidth="1"/>
    <col min="11006" max="11006" width="13.28515625" style="38" customWidth="1"/>
    <col min="11007" max="11007" width="9.42578125" style="38" customWidth="1"/>
    <col min="11008" max="11008" width="6.42578125" style="38" customWidth="1"/>
    <col min="11009" max="11009" width="11.5703125" style="38" customWidth="1"/>
    <col min="11010" max="11010" width="12.85546875" style="38" bestFit="1" customWidth="1"/>
    <col min="11011" max="11011" width="25.5703125" style="38" customWidth="1"/>
    <col min="11012" max="11259" width="9" style="38"/>
    <col min="11260" max="11260" width="8.7109375" style="38" customWidth="1"/>
    <col min="11261" max="11261" width="45.140625" style="38" customWidth="1"/>
    <col min="11262" max="11262" width="13.28515625" style="38" customWidth="1"/>
    <col min="11263" max="11263" width="9.42578125" style="38" customWidth="1"/>
    <col min="11264" max="11264" width="6.42578125" style="38" customWidth="1"/>
    <col min="11265" max="11265" width="11.5703125" style="38" customWidth="1"/>
    <col min="11266" max="11266" width="12.85546875" style="38" bestFit="1" customWidth="1"/>
    <col min="11267" max="11267" width="25.5703125" style="38" customWidth="1"/>
    <col min="11268" max="11515" width="9" style="38"/>
    <col min="11516" max="11516" width="8.7109375" style="38" customWidth="1"/>
    <col min="11517" max="11517" width="45.140625" style="38" customWidth="1"/>
    <col min="11518" max="11518" width="13.28515625" style="38" customWidth="1"/>
    <col min="11519" max="11519" width="9.42578125" style="38" customWidth="1"/>
    <col min="11520" max="11520" width="6.42578125" style="38" customWidth="1"/>
    <col min="11521" max="11521" width="11.5703125" style="38" customWidth="1"/>
    <col min="11522" max="11522" width="12.85546875" style="38" bestFit="1" customWidth="1"/>
    <col min="11523" max="11523" width="25.5703125" style="38" customWidth="1"/>
    <col min="11524" max="11771" width="9" style="38"/>
    <col min="11772" max="11772" width="8.7109375" style="38" customWidth="1"/>
    <col min="11773" max="11773" width="45.140625" style="38" customWidth="1"/>
    <col min="11774" max="11774" width="13.28515625" style="38" customWidth="1"/>
    <col min="11775" max="11775" width="9.42578125" style="38" customWidth="1"/>
    <col min="11776" max="11776" width="6.42578125" style="38" customWidth="1"/>
    <col min="11777" max="11777" width="11.5703125" style="38" customWidth="1"/>
    <col min="11778" max="11778" width="12.85546875" style="38" bestFit="1" customWidth="1"/>
    <col min="11779" max="11779" width="25.5703125" style="38" customWidth="1"/>
    <col min="11780" max="12027" width="9" style="38"/>
    <col min="12028" max="12028" width="8.7109375" style="38" customWidth="1"/>
    <col min="12029" max="12029" width="45.140625" style="38" customWidth="1"/>
    <col min="12030" max="12030" width="13.28515625" style="38" customWidth="1"/>
    <col min="12031" max="12031" width="9.42578125" style="38" customWidth="1"/>
    <col min="12032" max="12032" width="6.42578125" style="38" customWidth="1"/>
    <col min="12033" max="12033" width="11.5703125" style="38" customWidth="1"/>
    <col min="12034" max="12034" width="12.85546875" style="38" bestFit="1" customWidth="1"/>
    <col min="12035" max="12035" width="25.5703125" style="38" customWidth="1"/>
    <col min="12036" max="12283" width="9" style="38"/>
    <col min="12284" max="12284" width="8.7109375" style="38" customWidth="1"/>
    <col min="12285" max="12285" width="45.140625" style="38" customWidth="1"/>
    <col min="12286" max="12286" width="13.28515625" style="38" customWidth="1"/>
    <col min="12287" max="12287" width="9.42578125" style="38" customWidth="1"/>
    <col min="12288" max="12288" width="6.42578125" style="38" customWidth="1"/>
    <col min="12289" max="12289" width="11.5703125" style="38" customWidth="1"/>
    <col min="12290" max="12290" width="12.85546875" style="38" bestFit="1" customWidth="1"/>
    <col min="12291" max="12291" width="25.5703125" style="38" customWidth="1"/>
    <col min="12292" max="12539" width="9" style="38"/>
    <col min="12540" max="12540" width="8.7109375" style="38" customWidth="1"/>
    <col min="12541" max="12541" width="45.140625" style="38" customWidth="1"/>
    <col min="12542" max="12542" width="13.28515625" style="38" customWidth="1"/>
    <col min="12543" max="12543" width="9.42578125" style="38" customWidth="1"/>
    <col min="12544" max="12544" width="6.42578125" style="38" customWidth="1"/>
    <col min="12545" max="12545" width="11.5703125" style="38" customWidth="1"/>
    <col min="12546" max="12546" width="12.85546875" style="38" bestFit="1" customWidth="1"/>
    <col min="12547" max="12547" width="25.5703125" style="38" customWidth="1"/>
    <col min="12548" max="12795" width="9" style="38"/>
    <col min="12796" max="12796" width="8.7109375" style="38" customWidth="1"/>
    <col min="12797" max="12797" width="45.140625" style="38" customWidth="1"/>
    <col min="12798" max="12798" width="13.28515625" style="38" customWidth="1"/>
    <col min="12799" max="12799" width="9.42578125" style="38" customWidth="1"/>
    <col min="12800" max="12800" width="6.42578125" style="38" customWidth="1"/>
    <col min="12801" max="12801" width="11.5703125" style="38" customWidth="1"/>
    <col min="12802" max="12802" width="12.85546875" style="38" bestFit="1" customWidth="1"/>
    <col min="12803" max="12803" width="25.5703125" style="38" customWidth="1"/>
    <col min="12804" max="13051" width="9" style="38"/>
    <col min="13052" max="13052" width="8.7109375" style="38" customWidth="1"/>
    <col min="13053" max="13053" width="45.140625" style="38" customWidth="1"/>
    <col min="13054" max="13054" width="13.28515625" style="38" customWidth="1"/>
    <col min="13055" max="13055" width="9.42578125" style="38" customWidth="1"/>
    <col min="13056" max="13056" width="6.42578125" style="38" customWidth="1"/>
    <col min="13057" max="13057" width="11.5703125" style="38" customWidth="1"/>
    <col min="13058" max="13058" width="12.85546875" style="38" bestFit="1" customWidth="1"/>
    <col min="13059" max="13059" width="25.5703125" style="38" customWidth="1"/>
    <col min="13060" max="13307" width="9" style="38"/>
    <col min="13308" max="13308" width="8.7109375" style="38" customWidth="1"/>
    <col min="13309" max="13309" width="45.140625" style="38" customWidth="1"/>
    <col min="13310" max="13310" width="13.28515625" style="38" customWidth="1"/>
    <col min="13311" max="13311" width="9.42578125" style="38" customWidth="1"/>
    <col min="13312" max="13312" width="6.42578125" style="38" customWidth="1"/>
    <col min="13313" max="13313" width="11.5703125" style="38" customWidth="1"/>
    <col min="13314" max="13314" width="12.85546875" style="38" bestFit="1" customWidth="1"/>
    <col min="13315" max="13315" width="25.5703125" style="38" customWidth="1"/>
    <col min="13316" max="13563" width="9" style="38"/>
    <col min="13564" max="13564" width="8.7109375" style="38" customWidth="1"/>
    <col min="13565" max="13565" width="45.140625" style="38" customWidth="1"/>
    <col min="13566" max="13566" width="13.28515625" style="38" customWidth="1"/>
    <col min="13567" max="13567" width="9.42578125" style="38" customWidth="1"/>
    <col min="13568" max="13568" width="6.42578125" style="38" customWidth="1"/>
    <col min="13569" max="13569" width="11.5703125" style="38" customWidth="1"/>
    <col min="13570" max="13570" width="12.85546875" style="38" bestFit="1" customWidth="1"/>
    <col min="13571" max="13571" width="25.5703125" style="38" customWidth="1"/>
    <col min="13572" max="13819" width="9" style="38"/>
    <col min="13820" max="13820" width="8.7109375" style="38" customWidth="1"/>
    <col min="13821" max="13821" width="45.140625" style="38" customWidth="1"/>
    <col min="13822" max="13822" width="13.28515625" style="38" customWidth="1"/>
    <col min="13823" max="13823" width="9.42578125" style="38" customWidth="1"/>
    <col min="13824" max="13824" width="6.42578125" style="38" customWidth="1"/>
    <col min="13825" max="13825" width="11.5703125" style="38" customWidth="1"/>
    <col min="13826" max="13826" width="12.85546875" style="38" bestFit="1" customWidth="1"/>
    <col min="13827" max="13827" width="25.5703125" style="38" customWidth="1"/>
    <col min="13828" max="14075" width="9" style="38"/>
    <col min="14076" max="14076" width="8.7109375" style="38" customWidth="1"/>
    <col min="14077" max="14077" width="45.140625" style="38" customWidth="1"/>
    <col min="14078" max="14078" width="13.28515625" style="38" customWidth="1"/>
    <col min="14079" max="14079" width="9.42578125" style="38" customWidth="1"/>
    <col min="14080" max="14080" width="6.42578125" style="38" customWidth="1"/>
    <col min="14081" max="14081" width="11.5703125" style="38" customWidth="1"/>
    <col min="14082" max="14082" width="12.85546875" style="38" bestFit="1" customWidth="1"/>
    <col min="14083" max="14083" width="25.5703125" style="38" customWidth="1"/>
    <col min="14084" max="14331" width="9" style="38"/>
    <col min="14332" max="14332" width="8.7109375" style="38" customWidth="1"/>
    <col min="14333" max="14333" width="45.140625" style="38" customWidth="1"/>
    <col min="14334" max="14334" width="13.28515625" style="38" customWidth="1"/>
    <col min="14335" max="14335" width="9.42578125" style="38" customWidth="1"/>
    <col min="14336" max="14336" width="6.42578125" style="38" customWidth="1"/>
    <col min="14337" max="14337" width="11.5703125" style="38" customWidth="1"/>
    <col min="14338" max="14338" width="12.85546875" style="38" bestFit="1" customWidth="1"/>
    <col min="14339" max="14339" width="25.5703125" style="38" customWidth="1"/>
    <col min="14340" max="14587" width="9" style="38"/>
    <col min="14588" max="14588" width="8.7109375" style="38" customWidth="1"/>
    <col min="14589" max="14589" width="45.140625" style="38" customWidth="1"/>
    <col min="14590" max="14590" width="13.28515625" style="38" customWidth="1"/>
    <col min="14591" max="14591" width="9.42578125" style="38" customWidth="1"/>
    <col min="14592" max="14592" width="6.42578125" style="38" customWidth="1"/>
    <col min="14593" max="14593" width="11.5703125" style="38" customWidth="1"/>
    <col min="14594" max="14594" width="12.85546875" style="38" bestFit="1" customWidth="1"/>
    <col min="14595" max="14595" width="25.5703125" style="38" customWidth="1"/>
    <col min="14596" max="14843" width="9" style="38"/>
    <col min="14844" max="14844" width="8.7109375" style="38" customWidth="1"/>
    <col min="14845" max="14845" width="45.140625" style="38" customWidth="1"/>
    <col min="14846" max="14846" width="13.28515625" style="38" customWidth="1"/>
    <col min="14847" max="14847" width="9.42578125" style="38" customWidth="1"/>
    <col min="14848" max="14848" width="6.42578125" style="38" customWidth="1"/>
    <col min="14849" max="14849" width="11.5703125" style="38" customWidth="1"/>
    <col min="14850" max="14850" width="12.85546875" style="38" bestFit="1" customWidth="1"/>
    <col min="14851" max="14851" width="25.5703125" style="38" customWidth="1"/>
    <col min="14852" max="15099" width="9" style="38"/>
    <col min="15100" max="15100" width="8.7109375" style="38" customWidth="1"/>
    <col min="15101" max="15101" width="45.140625" style="38" customWidth="1"/>
    <col min="15102" max="15102" width="13.28515625" style="38" customWidth="1"/>
    <col min="15103" max="15103" width="9.42578125" style="38" customWidth="1"/>
    <col min="15104" max="15104" width="6.42578125" style="38" customWidth="1"/>
    <col min="15105" max="15105" width="11.5703125" style="38" customWidth="1"/>
    <col min="15106" max="15106" width="12.85546875" style="38" bestFit="1" customWidth="1"/>
    <col min="15107" max="15107" width="25.5703125" style="38" customWidth="1"/>
    <col min="15108" max="15355" width="9" style="38"/>
    <col min="15356" max="15356" width="8.7109375" style="38" customWidth="1"/>
    <col min="15357" max="15357" width="45.140625" style="38" customWidth="1"/>
    <col min="15358" max="15358" width="13.28515625" style="38" customWidth="1"/>
    <col min="15359" max="15359" width="9.42578125" style="38" customWidth="1"/>
    <col min="15360" max="15360" width="6.42578125" style="38" customWidth="1"/>
    <col min="15361" max="15361" width="11.5703125" style="38" customWidth="1"/>
    <col min="15362" max="15362" width="12.85546875" style="38" bestFit="1" customWidth="1"/>
    <col min="15363" max="15363" width="25.5703125" style="38" customWidth="1"/>
    <col min="15364" max="15611" width="9" style="38"/>
    <col min="15612" max="15612" width="8.7109375" style="38" customWidth="1"/>
    <col min="15613" max="15613" width="45.140625" style="38" customWidth="1"/>
    <col min="15614" max="15614" width="13.28515625" style="38" customWidth="1"/>
    <col min="15615" max="15615" width="9.42578125" style="38" customWidth="1"/>
    <col min="15616" max="15616" width="6.42578125" style="38" customWidth="1"/>
    <col min="15617" max="15617" width="11.5703125" style="38" customWidth="1"/>
    <col min="15618" max="15618" width="12.85546875" style="38" bestFit="1" customWidth="1"/>
    <col min="15619" max="15619" width="25.5703125" style="38" customWidth="1"/>
    <col min="15620" max="15867" width="9" style="38"/>
    <col min="15868" max="15868" width="8.7109375" style="38" customWidth="1"/>
    <col min="15869" max="15869" width="45.140625" style="38" customWidth="1"/>
    <col min="15870" max="15870" width="13.28515625" style="38" customWidth="1"/>
    <col min="15871" max="15871" width="9.42578125" style="38" customWidth="1"/>
    <col min="15872" max="15872" width="6.42578125" style="38" customWidth="1"/>
    <col min="15873" max="15873" width="11.5703125" style="38" customWidth="1"/>
    <col min="15874" max="15874" width="12.85546875" style="38" bestFit="1" customWidth="1"/>
    <col min="15875" max="15875" width="25.5703125" style="38" customWidth="1"/>
    <col min="15876" max="16123" width="9" style="38"/>
    <col min="16124" max="16124" width="8.7109375" style="38" customWidth="1"/>
    <col min="16125" max="16125" width="45.140625" style="38" customWidth="1"/>
    <col min="16126" max="16126" width="13.28515625" style="38" customWidth="1"/>
    <col min="16127" max="16127" width="9.42578125" style="38" customWidth="1"/>
    <col min="16128" max="16128" width="6.42578125" style="38" customWidth="1"/>
    <col min="16129" max="16129" width="11.5703125" style="38" customWidth="1"/>
    <col min="16130" max="16130" width="12.85546875" style="38" bestFit="1" customWidth="1"/>
    <col min="16131" max="16131" width="25.5703125" style="38" customWidth="1"/>
    <col min="16132" max="16384" width="9" style="38"/>
  </cols>
  <sheetData>
    <row r="1" spans="1:13" ht="16.5" customHeight="1"/>
    <row r="2" spans="1:13" ht="27" customHeight="1">
      <c r="A2" s="40" t="s">
        <v>67</v>
      </c>
      <c r="B2" s="40" t="str">
        <f>+'PO 1st page'!K11</f>
        <v>SAC2-DS-PO-0495</v>
      </c>
      <c r="C2" s="187" t="s">
        <v>68</v>
      </c>
      <c r="D2" s="187"/>
      <c r="E2" s="187"/>
      <c r="F2" s="187"/>
      <c r="G2" s="41"/>
      <c r="H2" s="41"/>
    </row>
    <row r="3" spans="1:13" s="47" customFormat="1" ht="28.5" customHeight="1" thickBot="1">
      <c r="A3" s="42" t="s">
        <v>69</v>
      </c>
      <c r="B3" s="43">
        <f>+'PO 1st page'!K10</f>
        <v>46313</v>
      </c>
      <c r="C3" s="44"/>
      <c r="D3" s="45"/>
      <c r="E3" s="188" t="s">
        <v>70</v>
      </c>
      <c r="F3" s="188"/>
      <c r="G3" s="188"/>
      <c r="H3" s="188"/>
      <c r="I3" s="46"/>
    </row>
    <row r="4" spans="1:13" s="48" customFormat="1" ht="28.5" customHeight="1" thickTop="1">
      <c r="A4" s="189" t="s">
        <v>71</v>
      </c>
      <c r="B4" s="191" t="s">
        <v>72</v>
      </c>
      <c r="C4" s="192"/>
      <c r="D4" s="195" t="s">
        <v>73</v>
      </c>
      <c r="E4" s="195" t="s">
        <v>74</v>
      </c>
      <c r="F4" s="197" t="str">
        <f>'PO 1st page'!C9</f>
        <v>HILTI (HILTI Saudi Arabia Construction Tools)</v>
      </c>
      <c r="G4" s="198"/>
      <c r="H4" s="199" t="s">
        <v>75</v>
      </c>
      <c r="K4" s="49"/>
      <c r="L4" s="49"/>
      <c r="M4" s="49"/>
    </row>
    <row r="5" spans="1:13" s="48" customFormat="1" ht="21.95" customHeight="1">
      <c r="A5" s="190"/>
      <c r="B5" s="193"/>
      <c r="C5" s="194"/>
      <c r="D5" s="196"/>
      <c r="E5" s="196"/>
      <c r="F5" s="50" t="s">
        <v>76</v>
      </c>
      <c r="G5" s="50" t="s">
        <v>42</v>
      </c>
      <c r="H5" s="200"/>
      <c r="K5" s="49"/>
      <c r="L5" s="49"/>
      <c r="M5" s="49"/>
    </row>
    <row r="6" spans="1:13" s="48" customFormat="1" ht="32.1" customHeight="1">
      <c r="A6" s="78">
        <f t="shared" ref="A6:A15" si="0">ROW(A1)</f>
        <v>1</v>
      </c>
      <c r="B6" s="185" t="str">
        <f>MRS!B6&amp;" "&amp;MRS!D6</f>
        <v>Injectable Mortar HIT-RE 500 V4/500</v>
      </c>
      <c r="C6" s="186"/>
      <c r="D6" s="79" t="str">
        <f>MRS!G6</f>
        <v>PC</v>
      </c>
      <c r="E6" s="80">
        <f>MRS!H6</f>
        <v>200</v>
      </c>
      <c r="F6" s="81">
        <f>+'MRS LIST'!I6</f>
        <v>330</v>
      </c>
      <c r="G6" s="82">
        <f>+'MRS LIST'!J6</f>
        <v>66000</v>
      </c>
      <c r="H6" s="83" t="s">
        <v>91</v>
      </c>
      <c r="K6" s="84"/>
      <c r="L6" s="85"/>
      <c r="M6" s="49"/>
    </row>
    <row r="7" spans="1:13" s="48" customFormat="1" ht="32.1" customHeight="1">
      <c r="A7" s="78">
        <f t="shared" si="0"/>
        <v>2</v>
      </c>
      <c r="B7" s="211" t="str">
        <f>MRS!B7&amp;" "&amp;MRS!D7</f>
        <v xml:space="preserve">Discount 32% </v>
      </c>
      <c r="C7" s="212"/>
      <c r="D7" s="213" t="str">
        <f>MRS!G7</f>
        <v>PC</v>
      </c>
      <c r="E7" s="214">
        <f>MRS!H7</f>
        <v>200</v>
      </c>
      <c r="F7" s="215">
        <f>+'MRS LIST'!I7</f>
        <v>-105.60000000000001</v>
      </c>
      <c r="G7" s="216">
        <f>+'MRS LIST'!J7</f>
        <v>-21120</v>
      </c>
      <c r="H7" s="217"/>
      <c r="K7" s="84"/>
      <c r="L7" s="85"/>
      <c r="M7" s="49"/>
    </row>
    <row r="8" spans="1:13" s="48" customFormat="1" ht="32.1" customHeight="1">
      <c r="A8" s="86">
        <f t="shared" si="0"/>
        <v>3</v>
      </c>
      <c r="B8" s="185" t="str">
        <f>MRS!B8&amp;" "&amp;MRS!D8</f>
        <v xml:space="preserve">Transportation Charge </v>
      </c>
      <c r="C8" s="186"/>
      <c r="D8" s="79"/>
      <c r="E8" s="80"/>
      <c r="F8" s="81"/>
      <c r="G8" s="82">
        <f>+'MRS LIST'!J8</f>
        <v>448.8</v>
      </c>
      <c r="H8" s="83"/>
      <c r="K8" s="49"/>
      <c r="L8" s="49"/>
      <c r="M8" s="49"/>
    </row>
    <row r="9" spans="1:13" s="48" customFormat="1" ht="32.1" customHeight="1">
      <c r="A9" s="86">
        <f t="shared" si="0"/>
        <v>4</v>
      </c>
      <c r="B9" s="185"/>
      <c r="C9" s="186"/>
      <c r="D9" s="79"/>
      <c r="E9" s="80"/>
      <c r="F9" s="81"/>
      <c r="G9" s="82"/>
      <c r="H9" s="87"/>
    </row>
    <row r="10" spans="1:13" s="48" customFormat="1" ht="32.1" customHeight="1">
      <c r="A10" s="86">
        <f t="shared" si="0"/>
        <v>5</v>
      </c>
      <c r="B10" s="185"/>
      <c r="C10" s="186"/>
      <c r="D10" s="79"/>
      <c r="E10" s="80"/>
      <c r="F10" s="81"/>
      <c r="G10" s="82"/>
      <c r="H10" s="87"/>
    </row>
    <row r="11" spans="1:13" s="48" customFormat="1" ht="32.1" customHeight="1">
      <c r="A11" s="86">
        <f t="shared" si="0"/>
        <v>6</v>
      </c>
      <c r="B11" s="185"/>
      <c r="C11" s="186"/>
      <c r="D11" s="79"/>
      <c r="E11" s="80"/>
      <c r="F11" s="81"/>
      <c r="G11" s="82"/>
      <c r="H11" s="87"/>
    </row>
    <row r="12" spans="1:13" s="48" customFormat="1" ht="32.1" customHeight="1">
      <c r="A12" s="86">
        <f t="shared" si="0"/>
        <v>7</v>
      </c>
      <c r="B12" s="185"/>
      <c r="C12" s="186"/>
      <c r="D12" s="79"/>
      <c r="E12" s="80"/>
      <c r="F12" s="81"/>
      <c r="G12" s="82"/>
      <c r="H12" s="87"/>
    </row>
    <row r="13" spans="1:13" s="48" customFormat="1" ht="32.1" customHeight="1">
      <c r="A13" s="86">
        <f t="shared" si="0"/>
        <v>8</v>
      </c>
      <c r="B13" s="185"/>
      <c r="C13" s="186"/>
      <c r="D13" s="79"/>
      <c r="E13" s="80"/>
      <c r="F13" s="81"/>
      <c r="G13" s="82"/>
      <c r="H13" s="87"/>
    </row>
    <row r="14" spans="1:13" s="48" customFormat="1" ht="32.1" customHeight="1">
      <c r="A14" s="86">
        <f t="shared" si="0"/>
        <v>9</v>
      </c>
      <c r="B14" s="185"/>
      <c r="C14" s="186"/>
      <c r="D14" s="79"/>
      <c r="E14" s="80"/>
      <c r="F14" s="81"/>
      <c r="G14" s="82"/>
      <c r="H14" s="87"/>
    </row>
    <row r="15" spans="1:13" s="48" customFormat="1" ht="32.1" customHeight="1">
      <c r="A15" s="86">
        <f t="shared" si="0"/>
        <v>10</v>
      </c>
      <c r="B15" s="185"/>
      <c r="C15" s="186"/>
      <c r="D15" s="79"/>
      <c r="E15" s="80"/>
      <c r="F15" s="81"/>
      <c r="G15" s="82"/>
      <c r="H15" s="87"/>
    </row>
    <row r="16" spans="1:13" s="48" customFormat="1" ht="23.1" customHeight="1">
      <c r="A16" s="181" t="s">
        <v>77</v>
      </c>
      <c r="B16" s="182"/>
      <c r="C16" s="182"/>
      <c r="D16" s="182"/>
      <c r="E16" s="182"/>
      <c r="F16" s="182"/>
      <c r="G16" s="51">
        <f>SUM(G6:G15)</f>
        <v>45328.800000000003</v>
      </c>
      <c r="H16" s="52"/>
    </row>
    <row r="17" spans="1:13" s="48" customFormat="1" ht="23.1" customHeight="1">
      <c r="A17" s="181" t="s">
        <v>41</v>
      </c>
      <c r="B17" s="182"/>
      <c r="C17" s="182"/>
      <c r="D17" s="182"/>
      <c r="E17" s="182"/>
      <c r="F17" s="182"/>
      <c r="G17" s="51">
        <f>+G16*0.15</f>
        <v>6799.3200000000006</v>
      </c>
      <c r="H17" s="52"/>
    </row>
    <row r="18" spans="1:13" s="48" customFormat="1" ht="24.95" customHeight="1" thickBot="1">
      <c r="A18" s="183" t="s">
        <v>78</v>
      </c>
      <c r="B18" s="184"/>
      <c r="C18" s="184"/>
      <c r="D18" s="184"/>
      <c r="E18" s="184"/>
      <c r="F18" s="184"/>
      <c r="G18" s="53">
        <f>G17+G16</f>
        <v>52128.12</v>
      </c>
      <c r="H18" s="54"/>
    </row>
    <row r="19" spans="1:13" ht="15.75" thickTop="1">
      <c r="A19" s="55" t="str">
        <f>" 1) Above Price are as per your quotation with ref "&amp;'PO 1st page'!K14</f>
        <v xml:space="preserve"> 1) Above Price are as per your quotation with ref 935508263</v>
      </c>
      <c r="B19" s="56"/>
      <c r="C19" s="56"/>
      <c r="D19" s="57"/>
      <c r="E19" s="57"/>
      <c r="F19" s="57"/>
      <c r="G19" s="57"/>
      <c r="H19" s="57"/>
    </row>
    <row r="20" spans="1:13" ht="15">
      <c r="A20" s="58" t="s">
        <v>79</v>
      </c>
      <c r="B20" s="59"/>
      <c r="C20" s="59"/>
      <c r="D20" s="60"/>
      <c r="E20" s="60"/>
      <c r="F20" s="60"/>
      <c r="G20" s="60"/>
      <c r="H20" s="60"/>
      <c r="I20" s="61"/>
    </row>
    <row r="21" spans="1:13" ht="15.75">
      <c r="A21" s="62"/>
    </row>
    <row r="22" spans="1:13">
      <c r="A22" s="172" t="s">
        <v>80</v>
      </c>
      <c r="B22" s="172"/>
      <c r="C22" s="172"/>
      <c r="D22" s="172"/>
      <c r="E22" s="172"/>
      <c r="F22" s="172"/>
      <c r="G22" s="172"/>
      <c r="H22" s="172"/>
      <c r="I22" s="63"/>
      <c r="J22" s="63"/>
      <c r="K22" s="63"/>
      <c r="L22" s="63"/>
      <c r="M22" s="63"/>
    </row>
    <row r="23" spans="1:13" ht="15.75">
      <c r="A23" s="62"/>
      <c r="C23" s="64"/>
    </row>
    <row r="24" spans="1:13" ht="15.75">
      <c r="A24" s="62"/>
      <c r="C24" s="64"/>
    </row>
    <row r="26" spans="1:13" ht="12" customHeight="1"/>
  </sheetData>
  <mergeCells count="22">
    <mergeCell ref="B6:C6"/>
    <mergeCell ref="B7:C7"/>
    <mergeCell ref="B8:C8"/>
    <mergeCell ref="B9:C9"/>
    <mergeCell ref="B10:C10"/>
    <mergeCell ref="C2:F2"/>
    <mergeCell ref="E3:H3"/>
    <mergeCell ref="A4:A5"/>
    <mergeCell ref="B4:C5"/>
    <mergeCell ref="D4:D5"/>
    <mergeCell ref="E4:E5"/>
    <mergeCell ref="F4:G4"/>
    <mergeCell ref="H4:H5"/>
    <mergeCell ref="A16:F16"/>
    <mergeCell ref="A17:F17"/>
    <mergeCell ref="A18:F18"/>
    <mergeCell ref="A22:H22"/>
    <mergeCell ref="B11:C11"/>
    <mergeCell ref="B12:C12"/>
    <mergeCell ref="B13:C13"/>
    <mergeCell ref="B15:C15"/>
    <mergeCell ref="B14:C14"/>
  </mergeCells>
  <phoneticPr fontId="6" type="noConversion"/>
  <printOptions horizontalCentered="1"/>
  <pageMargins left="0.39370078740157499" right="0.39370078740157499" top="0.39370078740157499" bottom="0.39370078740157499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MRS!Print_Titles</vt:lpstr>
      <vt:lpstr>'MRS LIST'!Print_Titles</vt:lpstr>
      <vt:lpstr>'PO 2nd page'!Print_Titles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2026-10-18T13:27:55Z</cp:lastPrinted>
  <dcterms:created xsi:type="dcterms:W3CDTF">2024-10-20T11:50:19Z</dcterms:created>
  <dcterms:modified xsi:type="dcterms:W3CDTF">2026-10-18T14:15:08Z</dcterms:modified>
</cp:coreProperties>
</file>