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83AD2C0-F350-4878-AE23-6021F031D145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C26" i="3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<sst xmlns="http://schemas.openxmlformats.org/spreadsheetml/2006/main" count="156" uniqueCount="129">
  <si>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</si>
  <si>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</si>
  <si>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</si>
  <si>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</si>
  <si>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</si>
  <si>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</si>
  <si>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</si>
  <si>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</si>
  <si>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</si>
  <si>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</si>
  <si>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</si>
  <si>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</si>
  <si>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</si>
  <si>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</si>
  <si>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</si>
  <si>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</si>
  <si>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</si>
  <si>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</si>
  <si>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</si>
  <si>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</si>
  <si>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</si>
  <si>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</si>
  <si>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</si>
  <si>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</si>
  <si>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</si>
  <si>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</si>
  <si>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</si>
  <si>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</si>
  <si>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</si>
  <si>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</si>
  <si>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</si>
  <si>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</si>
  <si>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</si>
  <si>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</si>
  <si>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</si>
  <si>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</si>
  <si>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</si>
  <si>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</si>
  <si>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</si>
  <si>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</si>
  <si>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</si>
  <si>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</si>
  <si>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</si>
  <si>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</si>
  <si>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</si>
  <si>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</si>
  <si>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</si>
  <si>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</si>
  <si>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</si>
  <si>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</si>
  <si>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</si>
  <si>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</si>
  <si>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</si>
  <si>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</si>
  <si>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</si>
  <si>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</si>
  <si>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</si>
  <si>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</si>
  <si>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</si>
  <si>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</si>
  <si>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</si>
  <si>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</si>
  <si>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</si>
  <si>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</si>
  <si>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</si>
  <si>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</si>
  <si>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</si>
  <si>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</si>
  <si>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</si>
  <si>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</si>
  <si>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</si>
  <si>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</si>
  <si>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</si>
  <si>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</si>
  <si>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</si>
  <si>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</si>
  <si>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</si>
  <si>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</si>
  <si>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</si>
  <si>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</si>
  <si>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</si>
  <si>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</si>
  <si>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</si>
  <si>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</si>
  <si>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</si>
  <si>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</si>
  <si>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</si>
  <si>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</si>
  <si>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</si>
  <si>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</si>
  <si>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</si>
  <si>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</si>
  <si>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</si>
  <si>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</si>
  <si>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</si>
  <si>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</si>
  <si>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</si>
  <si>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</si>
  <si>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</si>
  <si>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</si>
  <si>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Branch of Hyundai Engineering and Const. Co., Ltd. (HDEC)</t>
  </si>
  <si>
    <t>BRANCH OF HYUNDAI ENG. &amp; CONST. CO., LTD.</t>
  </si>
  <si>
    <t>Monthly</t>
  </si>
  <si>
    <t>NUGCE(Noor United Gen. Contracting Est.)</t>
  </si>
  <si>
    <t>2051228179</t>
  </si>
  <si>
    <t>310447656100003</t>
  </si>
  <si>
    <t>Md Roijul Islam</t>
  </si>
  <si>
    <t>Mobile No. +966 54 717 3708 / email: noorunited08@gmail.com</t>
  </si>
  <si>
    <t>P.O. Box 61149, Al Jubail 31951, Kingdom of Saudi Arabia</t>
  </si>
  <si>
    <t xml:space="preserve">Mobile: +966 54 717 3708 </t>
  </si>
  <si>
    <t>Marketing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</si>
  <si>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-MRS-0182</t>
    </r>
  </si>
  <si>
    <t>NUGCE</t>
  </si>
  <si>
    <t>Welding QC Inspector</t>
  </si>
  <si>
    <t>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</si>
  <si>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</si>
  <si>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</si>
  <si>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</si>
  <si>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</si>
  <si>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</si>
  <si>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</si>
  <si>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</si>
  <si>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</si>
  <si>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</si>
  <si>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NOOR UNITED GEN. CONTRACTING EST.</t>
  </si>
  <si>
    <t>3159011119940</t>
  </si>
  <si>
    <t>SA0920000003159011119940</t>
  </si>
  <si>
    <t>RIYAD BANK</t>
  </si>
  <si>
    <t>RIBLSARI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</si>
</sst>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53" fillId="3" borderId="0" xfId="5" applyFont="1" applyFill="1" applyAlignment="1">
      <alignment horizontal="left" wrapText="1"/>
    </xf>
    <xf numFmtId="0" fontId="54" fillId="3" borderId="0" xfId="5" applyFont="1" applyFill="1"/>
    <xf numFmtId="0" fontId="18" fillId="3" borderId="0" xfId="5" quotePrefix="1" applyFont="1" applyFill="1"/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882316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56158" y="4983079"/>
              <a:ext cx="395087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25" t="s">
        <v>87</v>
      </c>
      <c r="K1" s="126"/>
      <c r="L1" s="127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28" t="s">
        <v>94</v>
      </c>
      <c r="K2" s="129"/>
      <c r="L2" s="130"/>
    </row>
    <row r="3" spans="1:18" ht="20.100000000000001" customHeight="1">
      <c r="A3" s="3" t="s">
        <v>111</v>
      </c>
      <c r="B3" s="100"/>
      <c r="C3" s="100"/>
      <c r="D3" s="100"/>
      <c r="E3" s="131">
        <f>+L3</f>
        <v>46004</v>
      </c>
      <c r="F3" s="131"/>
      <c r="G3" s="131"/>
      <c r="H3" s="131"/>
      <c r="I3" s="131"/>
      <c r="J3" s="100"/>
      <c r="K3" s="100"/>
      <c r="L3" s="121">
        <v>46004</v>
      </c>
      <c r="M3" s="4"/>
    </row>
    <row r="4" spans="1:18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91</v>
      </c>
      <c r="J4" s="132" t="s">
        <v>92</v>
      </c>
      <c r="K4" s="142" t="s">
        <v>0</v>
      </c>
      <c r="L4" s="133" t="s">
        <v>7</v>
      </c>
    </row>
    <row r="5" spans="1:18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8" ht="22.5" customHeight="1">
      <c r="A6" s="5">
        <f t="shared" ref="A6:A15" si="0">ROW(A1)</f>
        <v>1</v>
      </c>
      <c r="B6" s="144" t="s">
        <v>113</v>
      </c>
      <c r="C6" s="145"/>
      <c r="D6" s="146" t="s">
        <v>114</v>
      </c>
      <c r="E6" s="147"/>
      <c r="F6" s="148"/>
      <c r="G6" s="110" t="s">
        <v>99</v>
      </c>
      <c r="H6" s="111">
        <v>1</v>
      </c>
      <c r="I6" s="112">
        <v>90</v>
      </c>
      <c r="J6" s="112">
        <f>I6*H6</f>
        <v>90</v>
      </c>
      <c r="K6" s="113" t="s">
        <v>112</v>
      </c>
      <c r="L6" s="114" t="s">
        <v>102</v>
      </c>
      <c r="R6" s="105"/>
    </row>
    <row r="7" spans="1:18" ht="22.5" customHeight="1">
      <c r="A7" s="5">
        <f t="shared" si="0"/>
        <v>2</v>
      </c>
      <c r="B7" s="144"/>
      <c r="C7" s="145"/>
      <c r="D7" s="149"/>
      <c r="E7" s="147"/>
      <c r="F7" s="148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50"/>
      <c r="C10" s="150"/>
      <c r="D10" s="151"/>
      <c r="E10" s="151"/>
      <c r="F10" s="151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50"/>
      <c r="C12" s="150"/>
      <c r="D12" s="151"/>
      <c r="E12" s="151"/>
      <c r="F12" s="151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2" t="s">
        <v>8</v>
      </c>
      <c r="B16" s="153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90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4" t="s">
        <v>11</v>
      </c>
      <c r="S18" s="13" t="s">
        <v>12</v>
      </c>
    </row>
    <row r="19" spans="1:19" ht="50.1" customHeight="1">
      <c r="R19" s="155"/>
      <c r="S19" s="15"/>
    </row>
    <row r="20" spans="1:19" ht="17.100000000000001" customHeight="1">
      <c r="O20" s="11"/>
      <c r="P20" s="11"/>
      <c r="R20" s="156"/>
      <c r="S20" s="15" t="s">
        <v>13</v>
      </c>
    </row>
    <row r="21" spans="1:19" ht="15" customHeight="1">
      <c r="O21" s="17" t="s">
        <v>14</v>
      </c>
      <c r="P21" s="157" t="s">
        <v>15</v>
      </c>
    </row>
    <row r="22" spans="1:19" ht="18" customHeight="1">
      <c r="O22" s="18" t="s">
        <v>16</v>
      </c>
      <c r="P22" s="158"/>
      <c r="R22" s="154" t="s">
        <v>17</v>
      </c>
      <c r="S22" s="12" t="s">
        <v>12</v>
      </c>
    </row>
    <row r="23" spans="1:19" ht="50.1" customHeight="1">
      <c r="O23" s="14"/>
      <c r="P23" s="14"/>
      <c r="R23" s="155"/>
      <c r="S23" s="19"/>
    </row>
    <row r="24" spans="1:19" ht="17.100000000000001" customHeight="1">
      <c r="O24" s="16" t="s">
        <v>13</v>
      </c>
      <c r="P24" s="16" t="s">
        <v>13</v>
      </c>
      <c r="R24" s="156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9"/>
      <c r="P27" s="159"/>
    </row>
    <row r="28" spans="1:19" ht="19.899999999999999" customHeight="1">
      <c r="O28" s="159"/>
      <c r="P28" s="159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7" t="s">
        <v>18</v>
      </c>
      <c r="P46" s="157" t="s">
        <v>18</v>
      </c>
      <c r="S46" s="157" t="s">
        <v>12</v>
      </c>
    </row>
    <row r="47" spans="15:19" ht="21" customHeight="1">
      <c r="O47" s="158"/>
      <c r="P47" s="158"/>
      <c r="S47" s="15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7" t="s">
        <v>18</v>
      </c>
      <c r="P50" s="157" t="s">
        <v>18</v>
      </c>
      <c r="S50" s="157" t="s">
        <v>19</v>
      </c>
    </row>
    <row r="51" spans="15:19" ht="21" customHeight="1">
      <c r="O51" s="158"/>
      <c r="P51" s="158"/>
      <c r="S51" s="156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SAC2-DS-MRS-0182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46004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88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Welding QC Inspector</v>
      </c>
      <c r="C6" s="163"/>
      <c r="D6" s="164" t="str">
        <f>MRS!D6</f>
        <v>Aramco Approved</v>
      </c>
      <c r="E6" s="165"/>
      <c r="F6" s="166"/>
      <c r="G6" s="102" t="str">
        <f>MRS!G6</f>
        <v>HR</v>
      </c>
      <c r="H6" s="102">
        <f>MRS!H6</f>
        <v>1</v>
      </c>
      <c r="I6" s="103">
        <f>MRS!I6</f>
        <v>90</v>
      </c>
      <c r="J6" s="103">
        <f>MRS!J6</f>
        <v>90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59" sqref="F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103</v>
      </c>
      <c r="D9" s="38"/>
      <c r="E9" s="38"/>
    </row>
    <row r="10" spans="2:13" s="38" customFormat="1">
      <c r="B10" s="71"/>
      <c r="C10" s="38" t="s">
        <v>29</v>
      </c>
      <c r="D10" s="75" t="s">
        <v>104</v>
      </c>
      <c r="J10" s="38" t="s">
        <v>30</v>
      </c>
      <c r="K10" s="173">
        <f>MRS!L3</f>
        <v>46004</v>
      </c>
      <c r="L10" s="174"/>
      <c r="M10" s="174"/>
    </row>
    <row r="11" spans="2:13" s="38" customFormat="1">
      <c r="B11" s="71"/>
      <c r="C11" s="74" t="s">
        <v>31</v>
      </c>
      <c r="D11" s="75" t="s">
        <v>105</v>
      </c>
      <c r="J11" s="38" t="s">
        <v>32</v>
      </c>
      <c r="K11" s="175" t="str">
        <f>SUBSTITUTE(SUBSTITUTE(+MRS!A3,"  MRS No : ",""),"-MRS","-PO")</f>
        <v>SAC2-DS-PO-0182</v>
      </c>
      <c r="L11" s="175"/>
      <c r="M11" s="175"/>
    </row>
    <row r="12" spans="2:13" s="38" customFormat="1">
      <c r="B12" s="71"/>
      <c r="C12" s="74" t="s">
        <v>33</v>
      </c>
      <c r="D12" s="38" t="s">
        <v>106</v>
      </c>
      <c r="J12" s="38" t="s">
        <v>34</v>
      </c>
    </row>
    <row r="13" spans="2:13" s="38" customFormat="1">
      <c r="B13" s="71"/>
      <c r="C13" s="76"/>
      <c r="D13" s="75" t="s">
        <v>107</v>
      </c>
      <c r="J13" s="38" t="s">
        <v>35</v>
      </c>
    </row>
    <row r="14" spans="2:13" s="38" customFormat="1">
      <c r="B14" s="71"/>
      <c r="C14" s="76" t="s">
        <v>108</v>
      </c>
      <c r="J14" s="38" t="s">
        <v>36</v>
      </c>
    </row>
    <row r="15" spans="2:13" s="38" customFormat="1">
      <c r="B15" s="71"/>
      <c r="C15" s="76" t="s">
        <v>109</v>
      </c>
      <c r="J15" s="38" t="s">
        <v>37</v>
      </c>
      <c r="K15" s="77">
        <v>46004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38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39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40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41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tr">
        <f>MRS!B6&amp;" "&amp;MRS!D6</f>
        <v>Welding QC Inspector Aramco Approved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102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115</v>
      </c>
    </row>
    <row r="54" spans="2:16" ht="12" customHeight="1">
      <c r="B54" s="83" t="s">
        <v>62</v>
      </c>
      <c r="C54" s="203" t="s">
        <v>116</v>
      </c>
      <c r="F54" s="26" t="s">
        <v>124</v>
      </c>
      <c r="P54" s="26" t="str">
        <f>UPPER(F54)</f>
        <v>NOOR UNITED GEN. CONTRACTING EST.</v>
      </c>
    </row>
    <row r="55" spans="2:16" ht="12" customHeight="1">
      <c r="B55" s="83" t="s">
        <v>62</v>
      </c>
      <c r="C55" s="203" t="s">
        <v>117</v>
      </c>
      <c r="F55" s="204" t="s">
        <v>125</v>
      </c>
    </row>
    <row r="56" spans="2:16" ht="12" customHeight="1">
      <c r="B56" s="83" t="s">
        <v>62</v>
      </c>
      <c r="C56" s="203" t="s">
        <v>118</v>
      </c>
      <c r="F56" s="26" t="s">
        <v>126</v>
      </c>
    </row>
    <row r="57" spans="2:16" ht="12" customHeight="1">
      <c r="B57" s="83" t="s">
        <v>62</v>
      </c>
      <c r="C57" s="203" t="s">
        <v>119</v>
      </c>
      <c r="F57" s="26" t="s">
        <v>127</v>
      </c>
    </row>
    <row r="58" spans="2:16" ht="12" customHeight="1">
      <c r="B58" s="83" t="s">
        <v>62</v>
      </c>
      <c r="C58" s="203" t="s">
        <v>120</v>
      </c>
      <c r="F58" s="26" t="s">
        <v>128</v>
      </c>
    </row>
    <row r="59" spans="2:16" ht="12" customHeight="1">
      <c r="B59" s="83" t="s">
        <v>62</v>
      </c>
      <c r="C59" s="203" t="s">
        <v>121</v>
      </c>
      <c r="F59" s="26" t="s">
        <v>122</v>
      </c>
    </row>
    <row r="60" spans="2:16" ht="12" customHeight="1">
      <c r="B60" s="83"/>
      <c r="C60" s="203" t="s">
        <v>123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Md Roijul Islam</v>
      </c>
    </row>
    <row r="68" spans="1:13" ht="18" customHeight="1">
      <c r="B68" s="26" t="s">
        <v>68</v>
      </c>
      <c r="J68" s="26" t="s">
        <v>69</v>
      </c>
      <c r="K68" s="22" t="s">
        <v>110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202" t="str">
        <f>C9</f>
        <v>NUGCE(Noor United Gen. Contracting Est.)</v>
      </c>
      <c r="K70" s="202"/>
      <c r="L70" s="202"/>
      <c r="M70" s="202"/>
    </row>
    <row r="71" spans="1:13" ht="27.95" customHeight="1">
      <c r="A71" s="172" t="s">
        <v>72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16" sqref="D1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SAC2-DS-PO-0182</v>
      </c>
      <c r="C2" s="182" t="s">
        <v>74</v>
      </c>
      <c r="D2" s="182"/>
      <c r="E2" s="182"/>
      <c r="F2" s="182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46004</v>
      </c>
      <c r="C3" s="50"/>
      <c r="D3" s="51"/>
      <c r="E3" s="183" t="s">
        <v>76</v>
      </c>
      <c r="F3" s="183"/>
      <c r="G3" s="183"/>
      <c r="H3" s="183"/>
      <c r="I3" s="52"/>
    </row>
    <row r="4" spans="1:13" s="54" customFormat="1" ht="28.5" customHeight="1" thickTop="1">
      <c r="A4" s="184" t="s">
        <v>77</v>
      </c>
      <c r="B4" s="186" t="s">
        <v>78</v>
      </c>
      <c r="C4" s="187"/>
      <c r="D4" s="190" t="s">
        <v>79</v>
      </c>
      <c r="E4" s="190" t="s">
        <v>80</v>
      </c>
      <c r="F4" s="192" t="str">
        <f>'PO 1st page'!C9</f>
        <v>NUGCE(Noor United Gen. Contracting Est.)</v>
      </c>
      <c r="G4" s="193"/>
      <c r="H4" s="194" t="s">
        <v>81</v>
      </c>
      <c r="K4" s="55"/>
      <c r="L4" s="55"/>
      <c r="M4" s="55"/>
    </row>
    <row r="5" spans="1:13" s="54" customFormat="1" ht="21.95" customHeight="1">
      <c r="A5" s="185"/>
      <c r="B5" s="188"/>
      <c r="C5" s="189"/>
      <c r="D5" s="191"/>
      <c r="E5" s="191"/>
      <c r="F5" s="56" t="s">
        <v>82</v>
      </c>
      <c r="G5" s="56" t="s">
        <v>48</v>
      </c>
      <c r="H5" s="19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0" t="str">
        <f>+'MRS LIST'!B6</f>
        <v>Welding QC Inspector</v>
      </c>
      <c r="C6" s="181"/>
      <c r="D6" s="85" t="str">
        <f>+'MRS LIST'!G6</f>
        <v>HR</v>
      </c>
      <c r="E6" s="86">
        <f>+'MRS LIST'!H6</f>
        <v>1</v>
      </c>
      <c r="F6" s="87">
        <f>+'MRS LIST'!I6</f>
        <v>90</v>
      </c>
      <c r="G6" s="88">
        <f>+'MRS LIST'!J6</f>
        <v>90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0"/>
      <c r="C7" s="181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0"/>
      <c r="C8" s="18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0"/>
      <c r="C9" s="18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0"/>
      <c r="C10" s="18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0"/>
      <c r="C11" s="18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0"/>
      <c r="C12" s="201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0"/>
      <c r="C13" s="201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0"/>
      <c r="C14" s="201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0"/>
      <c r="C15" s="201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0"/>
      <c r="C16" s="201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200"/>
      <c r="C17" s="201"/>
      <c r="D17" s="93"/>
      <c r="E17" s="94"/>
      <c r="F17" s="95"/>
      <c r="G17" s="96"/>
      <c r="H17" s="97"/>
    </row>
    <row r="18" spans="1:13" s="54" customFormat="1" ht="23.1" customHeight="1">
      <c r="A18" s="196" t="s">
        <v>83</v>
      </c>
      <c r="B18" s="197"/>
      <c r="C18" s="197"/>
      <c r="D18" s="197"/>
      <c r="E18" s="197"/>
      <c r="F18" s="197"/>
      <c r="G18" s="57">
        <f>SUM(G6:G17)</f>
        <v>90</v>
      </c>
      <c r="H18" s="58"/>
    </row>
    <row r="19" spans="1:13" s="54" customFormat="1" ht="23.1" customHeight="1">
      <c r="A19" s="196" t="s">
        <v>47</v>
      </c>
      <c r="B19" s="197"/>
      <c r="C19" s="197"/>
      <c r="D19" s="197"/>
      <c r="E19" s="197"/>
      <c r="F19" s="197"/>
      <c r="G19" s="57">
        <f>+G18*0.15</f>
        <v>13.5</v>
      </c>
      <c r="H19" s="58"/>
    </row>
    <row r="20" spans="1:13" s="54" customFormat="1" ht="24.95" customHeight="1" thickBot="1">
      <c r="A20" s="198" t="s">
        <v>84</v>
      </c>
      <c r="B20" s="199"/>
      <c r="C20" s="199"/>
      <c r="D20" s="199"/>
      <c r="E20" s="199"/>
      <c r="F20" s="199"/>
      <c r="G20" s="59">
        <f>G19+G18</f>
        <v>103.5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86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2025-12-13T13:00:24Z</cp:lastPrinted>
  <dcterms:created xsi:type="dcterms:W3CDTF">2024-10-20T11:50:19Z</dcterms:created>
  <dcterms:modified xsi:type="dcterms:W3CDTF">2025-12-13T13:00:27Z</dcterms:modified>
</cp:coreProperties>
</file>