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5710BCEF-395D-4881-848F-D340181FE63F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<sst xmlns="http://schemas.openxmlformats.org/spreadsheetml/2006/main" count="154" uniqueCount="119">
  <si>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</si>
  <si>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</si>
  <si>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</si>
  <si>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</si>
  <si>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</si>
  <si>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</si>
  <si>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</si>
  <si>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</si>
  <si>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</si>
  <si>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</si>
  <si>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</si>
  <si>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</si>
  <si>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</si>
  <si>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</si>
  <si>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</si>
  <si>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</si>
  <si>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</si>
  <si>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</si>
  <si>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</si>
  <si>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</si>
  <si>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</si>
  <si>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</si>
  <si>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</si>
  <si>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</si>
  <si>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</si>
  <si>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</si>
  <si>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</si>
  <si>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</si>
  <si>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</si>
  <si>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</si>
  <si>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</si>
  <si>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</si>
  <si>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</si>
  <si>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</si>
  <si>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</si>
  <si>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</si>
  <si>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</si>
  <si>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</si>
  <si>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</si>
  <si>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</si>
  <si>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</si>
  <si>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</si>
  <si>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</si>
  <si>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</si>
  <si>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</si>
  <si>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</si>
  <si>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</si>
  <si>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</si>
  <si>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</si>
  <si>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</si>
  <si>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</si>
  <si>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</si>
  <si>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</si>
  <si>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</si>
  <si>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</si>
  <si>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</si>
  <si>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</si>
  <si>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</si>
  <si>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</si>
  <si>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</si>
  <si>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</si>
  <si>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</si>
  <si>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</si>
  <si>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</si>
  <si>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</si>
  <si>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</si>
  <si>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</si>
  <si>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</si>
  <si>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</si>
  <si>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</si>
  <si>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</si>
  <si>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</si>
  <si>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</si>
  <si>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</si>
  <si>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</si>
  <si>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</si>
  <si>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</si>
  <si>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</si>
  <si>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</si>
  <si>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</si>
  <si>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</si>
  <si>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</si>
  <si>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</si>
  <si>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</si>
  <si>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</si>
  <si>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</si>
  <si>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</si>
  <si>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</si>
  <si>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</si>
  <si>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</si>
  <si>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</si>
  <si>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</si>
  <si>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</si>
  <si>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</si>
  <si>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</si>
  <si>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</si>
  <si>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</si>
  <si>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</si>
  <si>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</si>
  <si>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</si>
  <si>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</si>
  <si>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</si>
  <si>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Aramco Certified</t>
  </si>
  <si>
    <t>HR</t>
  </si>
  <si>
    <t>Hourly Rate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</si>
  <si>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-MRS-0065</t>
    </r>
  </si>
  <si>
    <t>HSE Officer</t>
  </si>
  <si>
    <t>EECE</t>
  </si>
  <si>
    <t>EECE(Elegance East Contracting Est.)</t>
  </si>
  <si>
    <t>2050176801</t>
  </si>
  <si>
    <t>310031087600003</t>
  </si>
  <si>
    <t>Azmal</t>
  </si>
  <si>
    <t>Mobile No. +966 53 6373734 / email: azmal@eleganceksa.com</t>
  </si>
  <si>
    <t xml:space="preserve">Mobile: +966 53 6373734 </t>
  </si>
  <si>
    <t>Al Jubail , Kingdom of Saudi Arabia</t>
  </si>
  <si>
    <t>General Manager</t>
  </si>
  <si>
    <t>Hyundai Engineering and Const. Co., Ltd. (HDEC)</t>
  </si>
  <si>
    <t>HYUNDAI ENG. &amp; CONST. CO., LTD.</t>
  </si>
  <si>
    <t>ELEGANCE 25/0177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</si>
</sst>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C21" sqref="C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4" t="s">
        <v>97</v>
      </c>
      <c r="K2" s="145"/>
      <c r="L2" s="146"/>
    </row>
    <row r="3" spans="1:19" ht="20.100000000000001" customHeight="1">
      <c r="A3" s="3" t="s">
        <v>105</v>
      </c>
      <c r="B3" s="100"/>
      <c r="C3" s="100"/>
      <c r="D3" s="100"/>
      <c r="E3" s="147">
        <f>+L3</f>
        <v>45782</v>
      </c>
      <c r="F3" s="147"/>
      <c r="G3" s="147"/>
      <c r="H3" s="147"/>
      <c r="I3" s="147"/>
      <c r="J3" s="100"/>
      <c r="K3" s="100"/>
      <c r="L3" s="121">
        <v>45782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106</v>
      </c>
      <c r="C6" s="130"/>
      <c r="D6" s="131" t="s">
        <v>102</v>
      </c>
      <c r="E6" s="132"/>
      <c r="F6" s="133"/>
      <c r="G6" s="110" t="s">
        <v>103</v>
      </c>
      <c r="H6" s="111">
        <v>2</v>
      </c>
      <c r="I6" s="112">
        <v>38</v>
      </c>
      <c r="J6" s="112">
        <f>I6*H6</f>
        <v>76</v>
      </c>
      <c r="K6" s="113" t="s">
        <v>107</v>
      </c>
      <c r="L6" s="114" t="s">
        <v>104</v>
      </c>
      <c r="S6" s="105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76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SAC2-DS-MRS-0065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45782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HSE Officer</v>
      </c>
      <c r="C6" s="166"/>
      <c r="D6" s="167" t="str">
        <f>MRS!D6</f>
        <v>Aramco Certified</v>
      </c>
      <c r="E6" s="168"/>
      <c r="F6" s="169"/>
      <c r="G6" s="102" t="str">
        <f>MRS!G6</f>
        <v>HR</v>
      </c>
      <c r="H6" s="102">
        <f>MRS!H6</f>
        <v>2</v>
      </c>
      <c r="I6" s="103">
        <f>MRS!I6</f>
        <v>38</v>
      </c>
      <c r="J6" s="103">
        <f>MRS!J6</f>
        <v>76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X28" sqref="X2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75" t="s">
        <v>109</v>
      </c>
      <c r="J10" s="38" t="s">
        <v>33</v>
      </c>
      <c r="K10" s="173">
        <f>MRS!L3</f>
        <v>45782</v>
      </c>
      <c r="L10" s="174"/>
      <c r="M10" s="174"/>
    </row>
    <row r="11" spans="2:13" s="38" customFormat="1">
      <c r="B11" s="71"/>
      <c r="C11" s="74" t="s">
        <v>34</v>
      </c>
      <c r="D11" s="75" t="s">
        <v>110</v>
      </c>
      <c r="J11" s="38" t="s">
        <v>35</v>
      </c>
      <c r="K11" s="175" t="str">
        <f>SUBSTITUTE(SUBSTITUTE(+MRS!A3,"  MRS No : ",""),"-MRS","-PO")</f>
        <v>SAC2-DS-PO-0065</v>
      </c>
      <c r="L11" s="175"/>
      <c r="M11" s="175"/>
    </row>
    <row r="12" spans="2:13" s="38" customFormat="1">
      <c r="B12" s="71"/>
      <c r="C12" s="74" t="s">
        <v>36</v>
      </c>
      <c r="D12" s="38" t="s">
        <v>111</v>
      </c>
      <c r="J12" s="38" t="s">
        <v>37</v>
      </c>
    </row>
    <row r="13" spans="2:13" s="38" customFormat="1">
      <c r="B13" s="71"/>
      <c r="C13" s="76"/>
      <c r="D13" s="75" t="s">
        <v>112</v>
      </c>
      <c r="J13" s="38" t="s">
        <v>38</v>
      </c>
    </row>
    <row r="14" spans="2:13" s="38" customFormat="1">
      <c r="B14" s="71"/>
      <c r="C14" s="76" t="s">
        <v>114</v>
      </c>
      <c r="J14" s="38" t="s">
        <v>39</v>
      </c>
      <c r="K14" s="38" t="s">
        <v>118</v>
      </c>
    </row>
    <row r="15" spans="2:13" s="38" customFormat="1">
      <c r="B15" s="71"/>
      <c r="C15" s="76" t="s">
        <v>113</v>
      </c>
      <c r="J15" s="38" t="s">
        <v>40</v>
      </c>
      <c r="K15" s="77">
        <v>45781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</f>
        <v>HSE Officer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104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Azmal</v>
      </c>
    </row>
    <row r="60" spans="1:16" ht="18" customHeight="1">
      <c r="B60" s="26" t="s">
        <v>71</v>
      </c>
      <c r="J60" s="26" t="s">
        <v>72</v>
      </c>
      <c r="K60" s="22" t="s">
        <v>115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116</v>
      </c>
      <c r="J62" s="180" t="str">
        <f>C9</f>
        <v>EECE(Elegance East Contracting Est.)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SAC2-DS-PO-0065</v>
      </c>
      <c r="C2" s="189" t="s">
        <v>77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45782</v>
      </c>
      <c r="C3" s="50"/>
      <c r="D3" s="51"/>
      <c r="E3" s="190" t="s">
        <v>79</v>
      </c>
      <c r="F3" s="190"/>
      <c r="G3" s="190"/>
      <c r="H3" s="190"/>
      <c r="I3" s="52"/>
    </row>
    <row r="4" spans="1:13" s="54" customFormat="1" ht="28.5" customHeight="1" thickTop="1">
      <c r="A4" s="191" t="s">
        <v>80</v>
      </c>
      <c r="B4" s="193" t="s">
        <v>81</v>
      </c>
      <c r="C4" s="194"/>
      <c r="D4" s="197" t="s">
        <v>82</v>
      </c>
      <c r="E4" s="197" t="s">
        <v>83</v>
      </c>
      <c r="F4" s="199" t="str">
        <f>'PO 1st page'!C9</f>
        <v>EECE(Elegance East Contracting Est.)</v>
      </c>
      <c r="G4" s="200"/>
      <c r="H4" s="201" t="s">
        <v>84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85</v>
      </c>
      <c r="G5" s="56" t="s">
        <v>51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HSE Officer</v>
      </c>
      <c r="C6" s="188"/>
      <c r="D6" s="85" t="str">
        <f>+'MRS LIST'!G6</f>
        <v>HR</v>
      </c>
      <c r="E6" s="86">
        <f>+'MRS LIST'!H6</f>
        <v>2</v>
      </c>
      <c r="F6" s="87">
        <f>+'MRS LIST'!I6</f>
        <v>38</v>
      </c>
      <c r="G6" s="88">
        <f>+'MRS LIST'!J6</f>
        <v>76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86</v>
      </c>
      <c r="B18" s="182"/>
      <c r="C18" s="182"/>
      <c r="D18" s="182"/>
      <c r="E18" s="182"/>
      <c r="F18" s="182"/>
      <c r="G18" s="57">
        <f>SUM(G6:G17)</f>
        <v>76</v>
      </c>
      <c r="H18" s="58"/>
    </row>
    <row r="19" spans="1:13" s="54" customFormat="1" ht="23.1" customHeight="1">
      <c r="A19" s="181" t="s">
        <v>50</v>
      </c>
      <c r="B19" s="182"/>
      <c r="C19" s="182"/>
      <c r="D19" s="182"/>
      <c r="E19" s="182"/>
      <c r="F19" s="182"/>
      <c r="G19" s="57">
        <f>+G18*0.15</f>
        <v>11.4</v>
      </c>
      <c r="H19" s="58"/>
    </row>
    <row r="20" spans="1:13" s="54" customFormat="1" ht="24.95" customHeight="1" thickBot="1">
      <c r="A20" s="183" t="s">
        <v>87</v>
      </c>
      <c r="B20" s="184"/>
      <c r="C20" s="184"/>
      <c r="D20" s="184"/>
      <c r="E20" s="184"/>
      <c r="F20" s="184"/>
      <c r="G20" s="59">
        <f>G19+G18</f>
        <v>87.4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ELEGANCE 25/0177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2025-05-05T03:27:36Z</cp:lastPrinted>
  <dcterms:created xsi:type="dcterms:W3CDTF">2024-10-20T11:50:19Z</dcterms:created>
  <dcterms:modified xsi:type="dcterms:W3CDTF">2025-05-05T03:31:31Z</dcterms:modified>
</cp:coreProperties>
</file>