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B2A8F10-2D3E-48F5-9EC9-6AE77400CEF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J8" i="1"/>
  <c r="P54" i="3"/>
  <c r="B7" i="4" l="1"/>
  <c r="B6" i="4"/>
  <c r="J7" i="1"/>
  <c r="J6" i="1" l="1"/>
  <c r="K67" i="3" l="1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<sst xmlns="http://schemas.openxmlformats.org/spreadsheetml/2006/main" count="156" uniqueCount="128">
  <si>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</si>
  <si>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</si>
  <si>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</si>
  <si>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</si>
  <si>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</si>
  <si>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</si>
  <si>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</si>
  <si>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</si>
  <si>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</si>
  <si>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</si>
  <si>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</si>
  <si>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</si>
  <si>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ADM</t>
    <phoneticPr fontId="2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</si>
  <si>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</si>
  <si>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</si>
  <si>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</si>
  <si>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</si>
  <si>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</si>
  <si>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</si>
  <si>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</si>
  <si>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</si>
  <si>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</si>
  <si>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</si>
  <si>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</si>
  <si>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</si>
  <si>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</si>
  <si>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</si>
  <si>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</si>
  <si>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</si>
  <si>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</si>
  <si>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</si>
  <si>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</si>
  <si>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</si>
  <si>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</si>
  <si>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</si>
  <si>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</si>
  <si>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</si>
  <si>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</si>
  <si>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</si>
  <si>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</si>
  <si>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</si>
  <si>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</si>
  <si>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</si>
  <si>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</si>
  <si>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</si>
  <si>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</si>
  <si>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</si>
  <si>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</si>
  <si>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</si>
  <si>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</si>
  <si>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</si>
  <si>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</si>
  <si>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</si>
  <si>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</si>
  <si>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</si>
  <si>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</si>
  <si>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</si>
  <si>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</si>
  <si>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</si>
  <si>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</si>
  <si>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</si>
  <si>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</si>
  <si>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</si>
  <si>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</si>
  <si>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</si>
  <si>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</si>
  <si>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</si>
  <si>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</si>
  <si>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</si>
  <si>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</si>
  <si>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</si>
  <si>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</si>
  <si>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</si>
  <si>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</si>
  <si>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</si>
  <si>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</si>
  <si>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</si>
  <si>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</si>
  <si>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</si>
  <si>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</si>
  <si>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</si>
  <si>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</si>
  <si>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</si>
  <si>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</si>
  <si>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</si>
  <si>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</si>
  <si>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</si>
  <si>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</si>
  <si>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</si>
  <si>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</si>
  <si>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</si>
  <si>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</si>
  <si>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</si>
  <si>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</si>
  <si>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</si>
  <si>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</si>
  <si>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</si>
  <si>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</si>
  <si>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</si>
  <si>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HANNI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</si>
  <si>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</si>
  <si>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</si>
  <si>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</si>
  <si>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</si>
  <si>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</si>
  <si>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P.O. Box 3374 Al Hasa Hofuf-RiyadhSt. KSA</t>
  </si>
  <si>
    <t>Division (In charge Name) : ADMIN MANAGER (Dong Chang Kim)</t>
  </si>
  <si>
    <t>Monthly</t>
  </si>
  <si>
    <t>Monthly Based</t>
  </si>
  <si>
    <t>HANNI(Hanni Ahmad Said Al-Othman Menhali Est.)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</si>
  <si>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</si>
  <si>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</si>
  <si>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</si>
  <si>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</si>
  <si>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</si>
  <si>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</si>
  <si>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</si>
  <si>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</si>
  <si>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</si>
  <si>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HANNI AHMAD SAID AL-OTHMAN MENHALI EST.</t>
  </si>
  <si>
    <t>SA4760100031095000593001</t>
  </si>
  <si>
    <t>BANK ALJAZIRA</t>
  </si>
  <si>
    <t>BJAZSAJE</t>
  </si>
  <si>
    <t>031095000593001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</si>
  <si>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-MRS-0198</t>
    </r>
  </si>
  <si>
    <t>Diesel</t>
  </si>
  <si>
    <t>LTR</t>
  </si>
  <si>
    <t>HM-105-26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</si>
</sst>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2" xfId="6" applyNumberFormat="1" applyFont="1" applyBorder="1" applyAlignment="1">
      <alignment horizontal="center" vertical="center" wrapText="1"/>
    </xf>
    <xf numFmtId="0" fontId="6" fillId="0" borderId="43" xfId="6" applyFont="1" applyBorder="1"/>
    <xf numFmtId="0" fontId="8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9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1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751971</xdr:colOff>
          <xdr:row>17</xdr:row>
          <xdr:rowOff>10022</xdr:rowOff>
        </xdr:from>
        <xdr:to>
          <xdr:col>12</xdr:col>
          <xdr:colOff>502</xdr:colOff>
          <xdr:row>24</xdr:row>
          <xdr:rowOff>10023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25813" y="4993101"/>
              <a:ext cx="40812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96</v>
      </c>
      <c r="B1" s="109"/>
      <c r="C1" s="109"/>
      <c r="D1" s="109"/>
      <c r="E1" s="109"/>
      <c r="F1" s="109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100"/>
      <c r="C2" s="100"/>
      <c r="D2" s="3" t="s">
        <v>106</v>
      </c>
      <c r="E2" s="100"/>
      <c r="F2" s="100"/>
      <c r="G2" s="100"/>
      <c r="H2" s="100"/>
      <c r="I2" s="4"/>
      <c r="J2" s="145" t="s">
        <v>97</v>
      </c>
      <c r="K2" s="146"/>
      <c r="L2" s="147"/>
    </row>
    <row r="3" spans="1:18" ht="20.100000000000001" customHeight="1">
      <c r="A3" s="3" t="s">
        <v>124</v>
      </c>
      <c r="B3" s="100"/>
      <c r="C3" s="100"/>
      <c r="D3" s="100"/>
      <c r="E3" s="148">
        <f>+L3</f>
        <v>46027</v>
      </c>
      <c r="F3" s="148"/>
      <c r="G3" s="148"/>
      <c r="H3" s="148"/>
      <c r="I3" s="148"/>
      <c r="J3" s="100"/>
      <c r="K3" s="100"/>
      <c r="L3" s="121">
        <v>46027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94</v>
      </c>
      <c r="J4" s="149" t="s">
        <v>95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2.5" customHeight="1">
      <c r="A6" s="5">
        <f t="shared" ref="A6:A15" si="0">ROW(A1)</f>
        <v>1</v>
      </c>
      <c r="B6" s="130" t="s">
        <v>125</v>
      </c>
      <c r="C6" s="131"/>
      <c r="D6" s="141"/>
      <c r="E6" s="133"/>
      <c r="F6" s="134"/>
      <c r="G6" s="110" t="s">
        <v>126</v>
      </c>
      <c r="H6" s="111">
        <v>1</v>
      </c>
      <c r="I6" s="112">
        <v>1.88</v>
      </c>
      <c r="J6" s="112">
        <f>H6*I6</f>
        <v>1.88</v>
      </c>
      <c r="K6" s="113" t="s">
        <v>99</v>
      </c>
      <c r="L6" s="114" t="s">
        <v>107</v>
      </c>
      <c r="R6" s="105"/>
    </row>
    <row r="7" spans="1:18" ht="22.5" customHeight="1">
      <c r="A7" s="5">
        <f t="shared" si="0"/>
        <v>2</v>
      </c>
      <c r="B7" s="130"/>
      <c r="C7" s="131"/>
      <c r="D7" s="132"/>
      <c r="E7" s="133"/>
      <c r="F7" s="134"/>
      <c r="G7" s="110"/>
      <c r="H7" s="111"/>
      <c r="I7" s="112"/>
      <c r="J7" s="112">
        <f>H7*I7</f>
        <v>0</v>
      </c>
      <c r="K7" s="113"/>
      <c r="L7" s="114"/>
      <c r="R7" s="105"/>
    </row>
    <row r="8" spans="1:18" ht="22.5" customHeight="1">
      <c r="A8" s="5">
        <f t="shared" si="0"/>
        <v>3</v>
      </c>
      <c r="B8" s="130"/>
      <c r="C8" s="131"/>
      <c r="D8" s="132"/>
      <c r="E8" s="133"/>
      <c r="F8" s="134"/>
      <c r="G8" s="110"/>
      <c r="H8" s="111"/>
      <c r="I8" s="112"/>
      <c r="J8" s="112">
        <f>H8*I8</f>
        <v>0</v>
      </c>
      <c r="K8" s="113"/>
      <c r="L8" s="114"/>
      <c r="R8" s="105"/>
    </row>
    <row r="9" spans="1:18" ht="22.5" customHeight="1">
      <c r="A9" s="5">
        <f t="shared" si="0"/>
        <v>4</v>
      </c>
      <c r="B9" s="130"/>
      <c r="C9" s="131"/>
      <c r="D9" s="132"/>
      <c r="E9" s="133"/>
      <c r="F9" s="134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39"/>
      <c r="C10" s="139"/>
      <c r="D10" s="140"/>
      <c r="E10" s="140"/>
      <c r="F10" s="140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0"/>
      <c r="C11" s="131"/>
      <c r="D11" s="132"/>
      <c r="E11" s="133"/>
      <c r="F11" s="134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39"/>
      <c r="C12" s="139"/>
      <c r="D12" s="140"/>
      <c r="E12" s="140"/>
      <c r="F12" s="140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0"/>
      <c r="C13" s="131"/>
      <c r="D13" s="132"/>
      <c r="E13" s="133"/>
      <c r="F13" s="134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0"/>
      <c r="C14" s="131"/>
      <c r="D14" s="132"/>
      <c r="E14" s="133"/>
      <c r="F14" s="134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0"/>
      <c r="C15" s="131"/>
      <c r="D15" s="132"/>
      <c r="E15" s="133"/>
      <c r="F15" s="134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5" t="s">
        <v>8</v>
      </c>
      <c r="B16" s="13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1.88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7" t="s">
        <v>11</v>
      </c>
      <c r="S18" s="13" t="s">
        <v>12</v>
      </c>
    </row>
    <row r="19" spans="1:19" ht="50.1" customHeight="1">
      <c r="R19" s="138"/>
      <c r="S19" s="15"/>
    </row>
    <row r="20" spans="1:19" ht="17.100000000000001" customHeight="1">
      <c r="O20" s="11"/>
      <c r="P20" s="11"/>
      <c r="R20" s="127"/>
      <c r="S20" s="15" t="s">
        <v>13</v>
      </c>
    </row>
    <row r="21" spans="1:19" ht="15" customHeight="1">
      <c r="O21" s="17" t="s">
        <v>14</v>
      </c>
      <c r="P21" s="126" t="s">
        <v>15</v>
      </c>
    </row>
    <row r="22" spans="1:19" ht="18" customHeight="1">
      <c r="O22" s="18" t="s">
        <v>16</v>
      </c>
      <c r="P22" s="128"/>
      <c r="R22" s="137" t="s">
        <v>17</v>
      </c>
      <c r="S22" s="12" t="s">
        <v>12</v>
      </c>
    </row>
    <row r="23" spans="1:19" ht="50.1" customHeight="1">
      <c r="O23" s="14"/>
      <c r="P23" s="14"/>
      <c r="R23" s="138"/>
      <c r="S23" s="19"/>
    </row>
    <row r="24" spans="1:19" ht="17.100000000000001" customHeight="1">
      <c r="O24" s="16" t="s">
        <v>13</v>
      </c>
      <c r="P24" s="16" t="s">
        <v>13</v>
      </c>
      <c r="R24" s="127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9"/>
      <c r="P27" s="129"/>
    </row>
    <row r="28" spans="1:19" ht="19.899999999999999" customHeight="1">
      <c r="O28" s="129"/>
      <c r="P28" s="12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6" t="s">
        <v>18</v>
      </c>
      <c r="P46" s="126" t="s">
        <v>18</v>
      </c>
      <c r="S46" s="126" t="s">
        <v>12</v>
      </c>
    </row>
    <row r="47" spans="15:19" ht="21" customHeight="1">
      <c r="O47" s="128"/>
      <c r="P47" s="128"/>
      <c r="S47" s="127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6" t="s">
        <v>18</v>
      </c>
      <c r="P50" s="126" t="s">
        <v>18</v>
      </c>
      <c r="S50" s="126" t="s">
        <v>19</v>
      </c>
    </row>
    <row r="51" spans="15:19" ht="21" customHeight="1">
      <c r="O51" s="128"/>
      <c r="P51" s="128"/>
      <c r="S51" s="127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()</v>
      </c>
      <c r="K2" s="147"/>
    </row>
    <row r="3" spans="1:18" ht="24.95" customHeight="1">
      <c r="A3" s="3" t="str">
        <f>+MRS!A3</f>
        <v xml:space="preserve">  MRS No : SAC2-DS-MRS-0198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46027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Diesel</v>
      </c>
      <c r="C6" s="167"/>
      <c r="D6" s="168">
        <f>MRS!D6</f>
        <v>0</v>
      </c>
      <c r="E6" s="169"/>
      <c r="F6" s="170"/>
      <c r="G6" s="102" t="str">
        <f>MRS!G6</f>
        <v>LTR</v>
      </c>
      <c r="H6" s="102">
        <f>MRS!H6</f>
        <v>1</v>
      </c>
      <c r="I6" s="103">
        <f>MRS!I6</f>
        <v>1.88</v>
      </c>
      <c r="J6" s="103">
        <f>MRS!J6</f>
        <v>1.88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109</v>
      </c>
      <c r="D9" s="39"/>
      <c r="E9" s="39"/>
    </row>
    <row r="10" spans="2:13" s="39" customFormat="1">
      <c r="B10" s="72"/>
      <c r="C10" s="39" t="s">
        <v>30</v>
      </c>
      <c r="D10" s="76" t="s">
        <v>100</v>
      </c>
      <c r="J10" s="39" t="s">
        <v>31</v>
      </c>
      <c r="K10" s="174">
        <f>MRS!L3</f>
        <v>46027</v>
      </c>
      <c r="L10" s="175"/>
      <c r="M10" s="175"/>
    </row>
    <row r="11" spans="2:13" s="39" customFormat="1">
      <c r="B11" s="72"/>
      <c r="C11" s="75" t="s">
        <v>32</v>
      </c>
      <c r="D11" s="76" t="s">
        <v>101</v>
      </c>
      <c r="J11" s="39" t="s">
        <v>33</v>
      </c>
      <c r="K11" s="176" t="str">
        <f>SUBSTITUTE(SUBSTITUTE(+MRS!A3,"  MRS No : ",""),"-MRS","-PO")</f>
        <v>SAC2-DS-PO-0198</v>
      </c>
      <c r="L11" s="176"/>
      <c r="M11" s="176"/>
    </row>
    <row r="12" spans="2:13" s="39" customFormat="1">
      <c r="B12" s="72"/>
      <c r="C12" s="75" t="s">
        <v>34</v>
      </c>
      <c r="D12" s="39" t="s">
        <v>102</v>
      </c>
      <c r="J12" s="39" t="s">
        <v>35</v>
      </c>
    </row>
    <row r="13" spans="2:13" s="39" customFormat="1">
      <c r="B13" s="72"/>
      <c r="C13" s="77"/>
      <c r="D13" s="76" t="s">
        <v>103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127</v>
      </c>
    </row>
    <row r="15" spans="2:13" s="39" customFormat="1">
      <c r="B15" s="72"/>
      <c r="C15" s="77" t="s">
        <v>104</v>
      </c>
      <c r="J15" s="39" t="s">
        <v>38</v>
      </c>
      <c r="K15" s="78">
        <v>46023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125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3" t="s">
        <v>108</v>
      </c>
      <c r="G29" s="12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/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92</v>
      </c>
      <c r="P49" s="82"/>
    </row>
    <row r="50" spans="2:16" s="83" customFormat="1" ht="12" customHeight="1">
      <c r="B50" s="84" t="s">
        <v>63</v>
      </c>
      <c r="C50" s="81" t="s">
        <v>93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110</v>
      </c>
    </row>
    <row r="54" spans="2:16" ht="12" customHeight="1">
      <c r="B54" s="84" t="s">
        <v>63</v>
      </c>
      <c r="C54" s="124" t="s">
        <v>111</v>
      </c>
      <c r="F54" s="26" t="s">
        <v>119</v>
      </c>
      <c r="P54" s="26" t="str">
        <f>UPPER(F54)</f>
        <v>HANNI AHMAD SAID AL-OTHMAN MENHALI EST.</v>
      </c>
    </row>
    <row r="55" spans="2:16" ht="12" customHeight="1">
      <c r="B55" s="84" t="s">
        <v>63</v>
      </c>
      <c r="C55" s="124" t="s">
        <v>112</v>
      </c>
      <c r="F55" s="125" t="s">
        <v>123</v>
      </c>
    </row>
    <row r="56" spans="2:16" ht="12" customHeight="1">
      <c r="B56" s="84" t="s">
        <v>63</v>
      </c>
      <c r="C56" s="124" t="s">
        <v>113</v>
      </c>
      <c r="F56" s="125" t="s">
        <v>120</v>
      </c>
    </row>
    <row r="57" spans="2:16" ht="12" customHeight="1">
      <c r="B57" s="84" t="s">
        <v>63</v>
      </c>
      <c r="C57" s="124" t="s">
        <v>114</v>
      </c>
      <c r="F57" s="26" t="s">
        <v>121</v>
      </c>
    </row>
    <row r="58" spans="2:16" ht="12" customHeight="1">
      <c r="B58" s="84" t="s">
        <v>63</v>
      </c>
      <c r="C58" s="124" t="s">
        <v>115</v>
      </c>
      <c r="F58" s="26" t="s">
        <v>122</v>
      </c>
    </row>
    <row r="59" spans="2:16" ht="12" customHeight="1">
      <c r="B59" s="84" t="s">
        <v>63</v>
      </c>
      <c r="C59" s="124" t="s">
        <v>116</v>
      </c>
      <c r="F59" s="26" t="s">
        <v>117</v>
      </c>
    </row>
    <row r="60" spans="2:16" ht="12" customHeight="1">
      <c r="B60" s="84"/>
      <c r="C60" s="124" t="s">
        <v>118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Arvind Kumar</v>
      </c>
    </row>
    <row r="68" spans="1:13" ht="18" customHeight="1">
      <c r="B68" s="26" t="s">
        <v>69</v>
      </c>
      <c r="J68" s="26" t="s">
        <v>70</v>
      </c>
      <c r="K68" s="22" t="s">
        <v>98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2" t="str">
        <f>C9</f>
        <v>HANNI(Hanni Ahmad Said Al-Othman Menhali Est.)</v>
      </c>
      <c r="K70" s="182"/>
      <c r="L70" s="182"/>
      <c r="M70" s="182"/>
    </row>
    <row r="71" spans="1:13" ht="27.95" customHeight="1">
      <c r="A71" s="173" t="s">
        <v>74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1.5703125" style="45" customWidth="1"/>
    <col min="6" max="6" width="15.5703125" style="45" customWidth="1"/>
    <col min="7" max="7" width="17.140625" style="45" customWidth="1"/>
    <col min="8" max="8" width="21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SAC2-DS-PO-0198</v>
      </c>
      <c r="C2" s="189" t="s">
        <v>76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46027</v>
      </c>
      <c r="C3" s="51"/>
      <c r="D3" s="52"/>
      <c r="E3" s="190" t="s">
        <v>78</v>
      </c>
      <c r="F3" s="190"/>
      <c r="G3" s="190"/>
      <c r="H3" s="190"/>
      <c r="I3" s="53"/>
    </row>
    <row r="4" spans="1:13" s="55" customFormat="1" ht="28.5" customHeight="1" thickTop="1">
      <c r="A4" s="191" t="s">
        <v>79</v>
      </c>
      <c r="B4" s="193" t="s">
        <v>80</v>
      </c>
      <c r="C4" s="194"/>
      <c r="D4" s="197" t="s">
        <v>81</v>
      </c>
      <c r="E4" s="197" t="s">
        <v>82</v>
      </c>
      <c r="F4" s="199" t="str">
        <f>'PO 1st page'!C9</f>
        <v>HANNI(Hanni Ahmad Said Al-Othman Menhali Est.)</v>
      </c>
      <c r="G4" s="200"/>
      <c r="H4" s="201" t="s">
        <v>83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84</v>
      </c>
      <c r="G5" s="57" t="s">
        <v>49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3" t="str">
        <f>CONCATENATE(MRS!B6," ",MRS!D6)</f>
        <v xml:space="preserve">Diesel </v>
      </c>
      <c r="C6" s="204"/>
      <c r="D6" s="86" t="str">
        <f>+'MRS LIST'!G6</f>
        <v>LTR</v>
      </c>
      <c r="E6" s="87">
        <f>+'MRS LIST'!H6</f>
        <v>1</v>
      </c>
      <c r="F6" s="88">
        <f>+'MRS LIST'!I6</f>
        <v>1.88</v>
      </c>
      <c r="G6" s="89">
        <f>+'MRS LIST'!J6</f>
        <v>1.88</v>
      </c>
      <c r="H6" s="114" t="s">
        <v>108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3" t="str">
        <f>CONCATENATE(MRS!B7," ",MRS!D7)</f>
        <v xml:space="preserve"> </v>
      </c>
      <c r="C7" s="204"/>
      <c r="D7" s="86"/>
      <c r="E7" s="87"/>
      <c r="F7" s="88"/>
      <c r="G7" s="89"/>
      <c r="H7" s="114"/>
      <c r="K7" s="90"/>
      <c r="L7" s="91"/>
      <c r="M7" s="56"/>
    </row>
    <row r="8" spans="1:13" s="55" customFormat="1" ht="32.1" customHeight="1">
      <c r="A8" s="92">
        <f t="shared" si="0"/>
        <v>3</v>
      </c>
      <c r="B8" s="203" t="str">
        <f>CONCATENATE(MRS!B8," ",MRS!D8)</f>
        <v xml:space="preserve"> </v>
      </c>
      <c r="C8" s="204"/>
      <c r="D8" s="86"/>
      <c r="E8" s="87"/>
      <c r="F8" s="88"/>
      <c r="G8" s="88"/>
      <c r="H8" s="114"/>
      <c r="K8" s="56"/>
      <c r="L8" s="56"/>
      <c r="M8" s="56"/>
    </row>
    <row r="9" spans="1:13" s="55" customFormat="1" ht="32.1" customHeight="1">
      <c r="A9" s="92">
        <f t="shared" si="0"/>
        <v>4</v>
      </c>
      <c r="B9" s="187"/>
      <c r="C9" s="188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7"/>
      <c r="C10" s="188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7"/>
      <c r="C11" s="188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1.88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0.28199999999999997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2.1619999999999999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HM-105-26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2026-01-05T12:21:45Z</cp:lastPrinted>
  <dcterms:created xsi:type="dcterms:W3CDTF">2024-10-20T11:50:19Z</dcterms:created>
  <dcterms:modified xsi:type="dcterms:W3CDTF">2026-01-05T12:21:48Z</dcterms:modified>
</cp:coreProperties>
</file>