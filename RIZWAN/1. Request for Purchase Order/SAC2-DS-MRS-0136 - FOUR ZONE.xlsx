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51C2B69-382F-462D-8D81-8F744C0985A9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/>
  <c r="E7" i="4"/>
  <c r="D7" i="4"/>
  <c r="J7" i="1"/>
  <c r="J7" i="2" s="1"/>
  <c r="G7" i="4" s="1"/>
  <c r="H6" i="4"/>
  <c r="J8" i="2"/>
  <c r="I8" i="2"/>
  <c r="H8" i="2"/>
  <c r="G8" i="2"/>
  <c r="I7" i="2"/>
  <c r="F7" i="4" s="1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<sst xmlns="http://schemas.openxmlformats.org/spreadsheetml/2006/main" count="156" uniqueCount="122">
  <si>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</si>
  <si>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</si>
  <si>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</si>
  <si>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</si>
  <si>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</si>
  <si>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</si>
  <si>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</si>
  <si>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</si>
  <si>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</si>
  <si>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</si>
  <si>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</si>
  <si>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</si>
  <si>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</si>
  <si>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</si>
  <si>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</si>
  <si>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</si>
  <si>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</si>
  <si>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</si>
  <si>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</si>
  <si>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</si>
  <si>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</si>
  <si>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</si>
  <si>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</si>
  <si>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</si>
  <si>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</si>
  <si>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</si>
  <si>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</si>
  <si>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</si>
  <si>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</si>
  <si>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</si>
  <si>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</si>
  <si>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</si>
  <si>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</si>
  <si>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</si>
  <si>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</si>
  <si>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</si>
  <si>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</si>
  <si>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</si>
  <si>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</si>
  <si>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</si>
  <si>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</si>
  <si>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</si>
  <si>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</si>
  <si>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</si>
  <si>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</si>
  <si>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</si>
  <si>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</si>
  <si>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</si>
  <si>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</si>
  <si>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</si>
  <si>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</si>
  <si>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</si>
  <si>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</si>
  <si>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</si>
  <si>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</si>
  <si>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</si>
  <si>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</si>
  <si>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</si>
  <si>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</si>
  <si>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</si>
  <si>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</si>
  <si>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</si>
  <si>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</si>
  <si>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</si>
  <si>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</si>
  <si>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</si>
  <si>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</si>
  <si>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</si>
  <si>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</si>
  <si>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</si>
  <si>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</si>
  <si>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</si>
  <si>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</si>
  <si>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</si>
  <si>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</si>
  <si>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</si>
  <si>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</si>
  <si>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</si>
  <si>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</si>
  <si>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</si>
  <si>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</si>
  <si>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</si>
  <si>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</si>
  <si>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</si>
  <si>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</si>
  <si>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</si>
  <si>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</si>
  <si>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</si>
  <si>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</si>
  <si>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</si>
  <si>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</si>
  <si>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</si>
  <si>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</si>
  <si>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</si>
  <si>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</si>
  <si>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</si>
  <si>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</si>
  <si>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</si>
  <si>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</si>
  <si>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</si>
  <si>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</si>
  <si>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</si>
  <si>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</si>
  <si>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</si>
  <si>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</si>
  <si>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</si>
  <si>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</si>
  <si>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</si>
  <si>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</si>
  <si>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</si>
  <si>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</si>
  <si>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L / S</t>
  </si>
  <si>
    <t>One time</t>
  </si>
  <si>
    <t>Manlift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</si>
  <si>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</si>
  <si>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</si>
  <si>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-MRS-0136</t>
    </r>
  </si>
  <si>
    <t>43 Mtr Articulated with IPAF Certified Operator</t>
  </si>
  <si>
    <t>Manlift De-Mob. Charge</t>
  </si>
  <si>
    <t>De-Mob. / per unit - lump sum</t>
  </si>
  <si>
    <t>FZ-OFFR-2025-1752</t>
  </si>
  <si>
    <t>43 Mtr Articulated Manlift with IPAF Certified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</si>
</sst>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41" t="s">
        <v>105</v>
      </c>
      <c r="K1" s="142"/>
      <c r="L1" s="143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44" t="s">
        <v>108</v>
      </c>
      <c r="K2" s="145"/>
      <c r="L2" s="146"/>
    </row>
    <row r="3" spans="1:19" ht="20.100000000000001" customHeight="1">
      <c r="A3" s="3" t="s">
        <v>116</v>
      </c>
      <c r="B3" s="102"/>
      <c r="C3" s="102"/>
      <c r="D3" s="102"/>
      <c r="E3" s="147">
        <f>+L3</f>
        <v>45935</v>
      </c>
      <c r="F3" s="147"/>
      <c r="G3" s="147"/>
      <c r="H3" s="147"/>
      <c r="I3" s="147"/>
      <c r="J3" s="102"/>
      <c r="K3" s="102"/>
      <c r="L3" s="123">
        <v>45935</v>
      </c>
      <c r="M3" s="4"/>
    </row>
    <row r="4" spans="1:19" ht="15.95" customHeight="1">
      <c r="A4" s="148" t="s">
        <v>1</v>
      </c>
      <c r="B4" s="149" t="s">
        <v>2</v>
      </c>
      <c r="C4" s="149"/>
      <c r="D4" s="150" t="s">
        <v>3</v>
      </c>
      <c r="E4" s="151"/>
      <c r="F4" s="152"/>
      <c r="G4" s="156" t="s">
        <v>4</v>
      </c>
      <c r="H4" s="158" t="s">
        <v>5</v>
      </c>
      <c r="I4" s="158" t="s">
        <v>94</v>
      </c>
      <c r="J4" s="148" t="s">
        <v>95</v>
      </c>
      <c r="K4" s="158" t="s">
        <v>0</v>
      </c>
      <c r="L4" s="149" t="s">
        <v>6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113</v>
      </c>
      <c r="C6" s="130"/>
      <c r="D6" s="131" t="s">
        <v>117</v>
      </c>
      <c r="E6" s="132"/>
      <c r="F6" s="133"/>
      <c r="G6" s="112" t="s">
        <v>89</v>
      </c>
      <c r="H6" s="113">
        <v>1</v>
      </c>
      <c r="I6" s="114">
        <v>32000</v>
      </c>
      <c r="J6" s="114">
        <f>H6*I6</f>
        <v>32000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29" t="s">
        <v>118</v>
      </c>
      <c r="C7" s="130"/>
      <c r="D7" s="140" t="s">
        <v>119</v>
      </c>
      <c r="E7" s="132"/>
      <c r="F7" s="133"/>
      <c r="G7" s="112" t="s">
        <v>111</v>
      </c>
      <c r="H7" s="113">
        <v>1</v>
      </c>
      <c r="I7" s="114">
        <v>2000</v>
      </c>
      <c r="J7" s="114">
        <f>H7*I7</f>
        <v>2000</v>
      </c>
      <c r="K7" s="115"/>
      <c r="L7" s="116" t="s">
        <v>112</v>
      </c>
      <c r="S7" s="107"/>
    </row>
    <row r="8" spans="1:19" ht="22.5" customHeight="1">
      <c r="A8" s="5">
        <f t="shared" si="0"/>
        <v>3</v>
      </c>
      <c r="B8" s="129"/>
      <c r="C8" s="130"/>
      <c r="D8" s="140"/>
      <c r="E8" s="132"/>
      <c r="F8" s="133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4" t="s">
        <v>7</v>
      </c>
      <c r="B16" s="135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34000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5" t="s">
        <v>16</v>
      </c>
      <c r="Q21" s="125" t="s">
        <v>17</v>
      </c>
    </row>
    <row r="22" spans="1:22" ht="18" customHeight="1">
      <c r="O22" s="18" t="s">
        <v>18</v>
      </c>
      <c r="P22" s="127"/>
      <c r="Q22" s="127"/>
      <c r="S22" s="13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20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20</v>
      </c>
      <c r="P46" s="125" t="s">
        <v>20</v>
      </c>
      <c r="Q46" s="125" t="s">
        <v>20</v>
      </c>
      <c r="T46" s="125" t="s">
        <v>21</v>
      </c>
      <c r="U46" s="125" t="s">
        <v>12</v>
      </c>
      <c r="V46" s="125" t="s">
        <v>20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20</v>
      </c>
      <c r="P50" s="125" t="s">
        <v>20</v>
      </c>
      <c r="Q50" s="125" t="s">
        <v>20</v>
      </c>
      <c r="T50" s="125" t="s">
        <v>12</v>
      </c>
      <c r="U50" s="125" t="s">
        <v>21</v>
      </c>
      <c r="V50" s="125" t="s">
        <v>20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0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2" t="str">
        <f>+MRS!J2</f>
        <v>Subcontract name (SAC2-SC-IK-SMP-01)</v>
      </c>
      <c r="K2" s="173"/>
    </row>
    <row r="3" spans="1:18" ht="24.95" customHeight="1">
      <c r="A3" s="3" t="str">
        <f>+MRS!A3</f>
        <v xml:space="preserve">  MRS No : SAC2-DS-MRS-0136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45935</v>
      </c>
    </row>
    <row r="4" spans="1:18" ht="15.95" customHeight="1">
      <c r="A4" s="174" t="s">
        <v>1</v>
      </c>
      <c r="B4" s="175" t="s">
        <v>22</v>
      </c>
      <c r="C4" s="175"/>
      <c r="D4" s="174" t="s">
        <v>3</v>
      </c>
      <c r="E4" s="174"/>
      <c r="F4" s="174"/>
      <c r="G4" s="175" t="s">
        <v>4</v>
      </c>
      <c r="H4" s="174" t="s">
        <v>90</v>
      </c>
      <c r="I4" s="174" t="s">
        <v>23</v>
      </c>
      <c r="J4" s="174" t="s">
        <v>24</v>
      </c>
      <c r="K4" s="175" t="s">
        <v>6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5" t="str">
        <f>MRS!B6</f>
        <v>Manlift</v>
      </c>
      <c r="C6" s="166"/>
      <c r="D6" s="167" t="str">
        <f>MRS!D6</f>
        <v>43 Mtr Articulated with IPAF Certified Operator</v>
      </c>
      <c r="E6" s="168"/>
      <c r="F6" s="169"/>
      <c r="G6" s="104" t="str">
        <f>MRS!G6</f>
        <v>Month</v>
      </c>
      <c r="H6" s="104">
        <f>MRS!H6</f>
        <v>1</v>
      </c>
      <c r="I6" s="105">
        <f>MRS!I6</f>
        <v>32000</v>
      </c>
      <c r="J6" s="105">
        <f>MRS!J6</f>
        <v>32000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5" t="str">
        <f>MRS!B7</f>
        <v>Manlift De-Mob. Charge</v>
      </c>
      <c r="C7" s="166"/>
      <c r="D7" s="167" t="str">
        <f>MRS!D7</f>
        <v>De-Mob. / per unit - lump sum</v>
      </c>
      <c r="E7" s="168"/>
      <c r="F7" s="169"/>
      <c r="G7" s="104" t="str">
        <f>MRS!G7</f>
        <v>L / S</v>
      </c>
      <c r="H7" s="104">
        <f>MRS!H7</f>
        <v>1</v>
      </c>
      <c r="I7" s="105">
        <f>MRS!I7</f>
        <v>2000</v>
      </c>
      <c r="J7" s="105">
        <f>MRS!J7</f>
        <v>2000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115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6">
        <v>2055133627</v>
      </c>
      <c r="J10" s="39" t="s">
        <v>32</v>
      </c>
      <c r="K10" s="177">
        <f>MRS!L3</f>
        <v>45935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SAC2-DS-PO-0136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120</v>
      </c>
    </row>
    <row r="15" spans="2:13" s="39" customFormat="1">
      <c r="B15" s="72"/>
      <c r="C15" s="77" t="s">
        <v>101</v>
      </c>
      <c r="J15" s="39" t="s">
        <v>39</v>
      </c>
      <c r="K15" s="78">
        <v>45935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121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114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SAC2-DS-PO-0136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45935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FZCE(Four Zone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50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5" t="str">
        <f>CONCATENATE(MRS!B6," ",MRS!D6)</f>
        <v>Manlift 43 Mtr Articulated with IPAF Certified Operator</v>
      </c>
      <c r="C6" s="206"/>
      <c r="D6" s="86" t="str">
        <f>+'MRS LIST'!G6</f>
        <v>Month</v>
      </c>
      <c r="E6" s="87">
        <f>+'MRS LIST'!H6</f>
        <v>1</v>
      </c>
      <c r="F6" s="88">
        <f>+'MRS LIST'!I6</f>
        <v>32000</v>
      </c>
      <c r="G6" s="89">
        <f>+'MRS LIST'!J6</f>
        <v>32000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5" t="str">
        <f>+'MRS LIST'!B7</f>
        <v>Manlift De-Mob. Charge</v>
      </c>
      <c r="C7" s="206"/>
      <c r="D7" s="86" t="str">
        <f>+'MRS LIST'!G7</f>
        <v>L / S</v>
      </c>
      <c r="E7" s="87">
        <f>+'MRS LIST'!H7</f>
        <v>1</v>
      </c>
      <c r="F7" s="88">
        <f>+'MRS LIST'!I7</f>
        <v>2000</v>
      </c>
      <c r="G7" s="89">
        <f>+'MRS LIST'!J7</f>
        <v>2000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5"/>
      <c r="C8" s="206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9"/>
      <c r="C10" s="190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9"/>
      <c r="C12" s="190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9"/>
      <c r="C13" s="190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9"/>
      <c r="C14" s="190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9"/>
      <c r="C15" s="190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9"/>
      <c r="C16" s="190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9"/>
      <c r="C17" s="190"/>
      <c r="D17" s="94"/>
      <c r="E17" s="95"/>
      <c r="F17" s="96"/>
      <c r="G17" s="97"/>
      <c r="H17" s="98"/>
    </row>
    <row r="18" spans="1:13" s="55" customFormat="1" ht="23.1" customHeight="1">
      <c r="A18" s="185" t="s">
        <v>85</v>
      </c>
      <c r="B18" s="186"/>
      <c r="C18" s="186"/>
      <c r="D18" s="186"/>
      <c r="E18" s="186"/>
      <c r="F18" s="186"/>
      <c r="G18" s="58">
        <f>SUM(G6:G17)</f>
        <v>34000</v>
      </c>
      <c r="H18" s="59"/>
    </row>
    <row r="19" spans="1:13" s="55" customFormat="1" ht="23.1" customHeight="1">
      <c r="A19" s="185" t="s">
        <v>49</v>
      </c>
      <c r="B19" s="186"/>
      <c r="C19" s="186"/>
      <c r="D19" s="186"/>
      <c r="E19" s="186"/>
      <c r="F19" s="186"/>
      <c r="G19" s="58">
        <f>+G18*0.15</f>
        <v>5100</v>
      </c>
      <c r="H19" s="59"/>
    </row>
    <row r="20" spans="1:13" s="55" customFormat="1" ht="24.95" customHeight="1" thickBot="1">
      <c r="A20" s="187" t="s">
        <v>86</v>
      </c>
      <c r="B20" s="188"/>
      <c r="C20" s="188"/>
      <c r="D20" s="188"/>
      <c r="E20" s="188"/>
      <c r="F20" s="188"/>
      <c r="G20" s="60">
        <f>G19+G18</f>
        <v>39100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FZ-OFFR-2025-1752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2025-10-05T11:12:19Z</cp:lastPrinted>
  <dcterms:created xsi:type="dcterms:W3CDTF">2024-10-20T11:50:19Z</dcterms:created>
  <dcterms:modified xsi:type="dcterms:W3CDTF">2025-10-05T11:13:38Z</dcterms:modified>
</cp:coreProperties>
</file>