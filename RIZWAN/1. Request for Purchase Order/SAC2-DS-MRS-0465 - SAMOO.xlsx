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3E4DDBA1-45B1-4230-8119-B93CF4F7B7F1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MRS!$A$1:$L$27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4" l="1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B9" i="4"/>
  <c r="B10" i="4"/>
  <c r="B11" i="4"/>
  <c r="B12" i="4"/>
  <c r="B13" i="4"/>
  <c r="B14" i="4"/>
  <c r="B15" i="4"/>
  <c r="A15" i="4"/>
  <c r="A9" i="4"/>
  <c r="A10" i="4"/>
  <c r="A11" i="4"/>
  <c r="A12" i="4"/>
  <c r="A13" i="4"/>
  <c r="A14" i="4"/>
  <c r="J15" i="1" l="1"/>
  <c r="J14" i="1"/>
  <c r="J13" i="1"/>
  <c r="J12" i="1"/>
  <c r="J11" i="1"/>
  <c r="J10" i="1"/>
  <c r="J9" i="1"/>
  <c r="A9" i="1"/>
  <c r="A10" i="1"/>
  <c r="A11" i="1"/>
  <c r="A12" i="1"/>
  <c r="A13" i="1"/>
  <c r="A14" i="1"/>
  <c r="A15" i="1"/>
  <c r="A8" i="1"/>
  <c r="F8" i="4"/>
  <c r="E8" i="4"/>
  <c r="D8" i="4"/>
  <c r="B8" i="4"/>
  <c r="A8" i="4"/>
  <c r="J10" i="2"/>
  <c r="J9" i="2"/>
  <c r="J8" i="1"/>
  <c r="G8" i="4" s="1"/>
  <c r="E3" i="1"/>
  <c r="H6" i="4"/>
  <c r="D7" i="4"/>
  <c r="E7" i="4"/>
  <c r="F7" i="4"/>
  <c r="F6" i="4"/>
  <c r="E6" i="4"/>
  <c r="D6" i="4"/>
  <c r="B7" i="4"/>
  <c r="J7" i="1"/>
  <c r="G7" i="4" s="1"/>
  <c r="J11" i="2"/>
  <c r="J16" i="1"/>
  <c r="J17" i="1"/>
  <c r="J18" i="1"/>
  <c r="B6" i="4"/>
  <c r="A7" i="4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H7" i="2"/>
  <c r="G7" i="2"/>
  <c r="D7" i="2"/>
  <c r="B7" i="2"/>
  <c r="J8" i="2" l="1"/>
  <c r="J6" i="1"/>
  <c r="G6" i="4" s="1"/>
  <c r="K10" i="3"/>
  <c r="A21" i="4" l="1"/>
  <c r="J7" i="2"/>
  <c r="I7" i="2"/>
  <c r="I6" i="2"/>
  <c r="H6" i="2"/>
  <c r="G6" i="2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1"/>
  <c r="A7" i="2" s="1"/>
  <c r="A6" i="1"/>
  <c r="A6" i="2" s="1"/>
  <c r="J19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<sst xmlns="http://schemas.openxmlformats.org/spreadsheetml/2006/main" count="180" uniqueCount="149">
  <si>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</si>
  <si>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</si>
  <si>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</si>
  <si>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</si>
  <si>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</si>
  <si>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</si>
  <si>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</si>
  <si>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</si>
  <si>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</si>
  <si>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</si>
  <si>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</si>
  <si>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</si>
  <si>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</si>
  <si>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</si>
  <si>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</si>
  <si>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</si>
  <si>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</si>
  <si>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</si>
  <si>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</si>
  <si>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</si>
  <si>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</si>
  <si>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</si>
  <si>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</si>
  <si>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</si>
  <si>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</si>
  <si>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</si>
  <si>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</si>
  <si>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</si>
  <si>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</si>
  <si>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</si>
  <si>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</si>
  <si>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</si>
  <si>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</si>
  <si>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</si>
  <si>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</si>
  <si>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</si>
  <si>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</si>
  <si>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</si>
  <si>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</si>
  <si>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</si>
  <si>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</si>
  <si>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</si>
  <si>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</si>
  <si>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</si>
  <si>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</si>
  <si>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</si>
  <si>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</si>
  <si>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</si>
  <si>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</si>
  <si>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</si>
  <si>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</si>
  <si>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</si>
  <si>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</si>
  <si>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</si>
  <si>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</si>
  <si>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</si>
  <si>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</si>
  <si>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</si>
  <si>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</si>
  <si>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</si>
  <si>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</si>
  <si>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</si>
  <si>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</si>
  <si>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</si>
  <si>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</si>
  <si>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</si>
  <si>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</si>
  <si>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</si>
  <si>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</si>
  <si>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</si>
  <si>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</si>
  <si>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</si>
  <si>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</si>
  <si>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</si>
  <si>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</si>
  <si>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</si>
  <si>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</si>
  <si>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</si>
  <si>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</si>
  <si>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</si>
  <si>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</si>
  <si>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</si>
  <si>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</si>
  <si>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</si>
  <si>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</si>
  <si>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</si>
  <si>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</si>
  <si>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</si>
  <si>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</si>
  <si>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</si>
  <si>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</si>
  <si>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</si>
  <si>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</si>
  <si>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</si>
  <si>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</si>
  <si>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</si>
  <si>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SAMOO(Samoo Al Bahr Contracting Est.)</t>
  </si>
  <si>
    <t>4700115756</t>
  </si>
  <si>
    <t>311196464200003</t>
  </si>
  <si>
    <t>+966 59 1252163 / Email:samooalbahr@gmail.com</t>
  </si>
  <si>
    <t>P.O. Box 7063, Yanbu 46429, KSA</t>
  </si>
  <si>
    <t>EA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</si>
  <si>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</si>
  <si>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</si>
  <si>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</si>
  <si>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</si>
  <si>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</si>
  <si>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</si>
  <si>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</si>
  <si>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</si>
  <si>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</si>
  <si>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01400010547706</t>
  </si>
  <si>
    <t>SAUDI NATIONAL BANK</t>
  </si>
  <si>
    <t>NCBKSAJE</t>
  </si>
  <si>
    <t>SA47 1000 0001 4000 1054 7706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</si>
  <si>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</si>
  <si>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</si>
  <si>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</si>
  <si>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</si>
  <si>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</si>
  <si>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</si>
  <si>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</si>
  <si>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</si>
  <si>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</si>
  <si>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</si>
  <si>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</si>
  <si>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</si>
  <si>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</si>
  <si>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</si>
  <si>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Third Party Inspection &amp; Certificate for Web Sling</t>
  </si>
  <si>
    <t>Third Party Inspection &amp; Certificate for Bow Shackle</t>
  </si>
  <si>
    <t>Third Party Inspection &amp; Certificate for Chain Block</t>
  </si>
  <si>
    <t>Third Party Inspection &amp; Certificate for Materials</t>
  </si>
  <si>
    <t>SAMOO ALBHAR GEN CONT EST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</si>
  <si>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-MRS-0465</t>
    </r>
  </si>
  <si>
    <t>Monthly</t>
  </si>
  <si>
    <t>Third Party Inspection &amp; Certificate for Pipe Stand</t>
  </si>
  <si>
    <t>Third Party Inspection &amp; Certificate for Cylinder Basket</t>
  </si>
  <si>
    <t>Third Party Inspection &amp; Certificate for Lever Block</t>
  </si>
  <si>
    <t>Sum</t>
  </si>
  <si>
    <t>Average</t>
  </si>
  <si>
    <t>Running Total</t>
  </si>
  <si>
    <t>Count</t>
  </si>
  <si>
    <t>Third Party Inspection &amp; Certificate for Round Sling</t>
  </si>
  <si>
    <t>Third Party Inspection &amp; Certificate for A Frame (Pipe Stand)</t>
  </si>
  <si>
    <t>Third Party Inspection &amp; Certificate for Snatch Block (Pulley)</t>
  </si>
  <si>
    <t>Third Party Inspection &amp; Certificate for Wire Rope Sling</t>
  </si>
  <si>
    <t>SAMOO-DAESHIN-TPI-56-2026</t>
  </si>
  <si>
    <t>Monthly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</si>
</sst>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9" fillId="0" borderId="0" applyBorder="0"/>
    <xf numFmtId="0" fontId="38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9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2" xfId="6" applyNumberFormat="1" applyFont="1" applyBorder="1" applyAlignment="1">
      <alignment horizontal="center" vertical="center" wrapText="1"/>
    </xf>
    <xf numFmtId="0" fontId="8" fillId="0" borderId="43" xfId="6" applyFont="1" applyBorder="1"/>
    <xf numFmtId="0" fontId="10" fillId="0" borderId="0" xfId="6" applyFont="1" applyAlignment="1">
      <alignment vertical="center"/>
    </xf>
    <xf numFmtId="0" fontId="27" fillId="0" borderId="44" xfId="6" applyFont="1" applyBorder="1" applyAlignment="1">
      <alignment vertical="center"/>
    </xf>
    <xf numFmtId="0" fontId="27" fillId="0" borderId="44" xfId="6" applyFont="1" applyBorder="1"/>
    <xf numFmtId="0" fontId="10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3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3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0" fontId="44" fillId="2" borderId="0" xfId="1" applyFont="1" applyFill="1" applyAlignment="1">
      <alignment vertical="center"/>
    </xf>
    <xf numFmtId="0" fontId="52" fillId="3" borderId="0" xfId="5" applyFont="1" applyFill="1"/>
    <xf numFmtId="0" fontId="18" fillId="3" borderId="0" xfId="5" quotePrefix="1" applyFont="1" applyFill="1"/>
    <xf numFmtId="0" fontId="42" fillId="3" borderId="0" xfId="5" quotePrefix="1" applyFont="1" applyFill="1"/>
    <xf numFmtId="0" fontId="54" fillId="3" borderId="0" xfId="5" applyFont="1" applyFill="1" applyAlignment="1">
      <alignment horizontal="right" vertical="center" indent="1"/>
    </xf>
    <xf numFmtId="0" fontId="6" fillId="2" borderId="21" xfId="1" applyFont="1" applyFill="1" applyBorder="1" applyAlignment="1">
      <alignment horizontal="center" vertical="center"/>
    </xf>
    <xf numFmtId="0" fontId="55" fillId="2" borderId="0" xfId="1" applyFont="1" applyFill="1" applyAlignment="1">
      <alignment vertical="center"/>
    </xf>
    <xf numFmtId="0" fontId="58" fillId="0" borderId="0" xfId="2" applyFont="1" applyAlignment="1">
      <alignment vertical="center"/>
    </xf>
    <xf numFmtId="170" fontId="59" fillId="0" borderId="7" xfId="3" applyNumberFormat="1" applyFont="1" applyBorder="1" applyAlignment="1">
      <alignment horizontal="right"/>
    </xf>
    <xf numFmtId="0" fontId="6" fillId="2" borderId="21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5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3" fillId="0" borderId="8" xfId="0" quotePrefix="1" applyFont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49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1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781056</xdr:colOff>
          <xdr:row>20</xdr:row>
          <xdr:rowOff>71688</xdr:rowOff>
        </xdr:from>
        <xdr:to>
          <xdr:col>11</xdr:col>
          <xdr:colOff>1627778</xdr:colOff>
          <xdr:row>26</xdr:row>
          <xdr:rowOff>309812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D802617B-FB9F-4964-F614-1FCE0CF33DA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3:$Y$28" spid="_x0000_s128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666003" y="5856872"/>
              <a:ext cx="8466722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5"/>
  <sheetViews>
    <sheetView showGridLines="0" tabSelected="1" view="pageBreakPreview" zoomScale="95" zoomScaleNormal="95" zoomScaleSheetLayoutView="95" workbookViewId="0">
      <selection activeCell="L19" sqref="L19"/>
    </sheetView>
  </sheetViews>
  <sheetFormatPr defaultColWidth="9" defaultRowHeight="21" customHeight="1"/>
  <cols>
    <col min="1" max="1" width="3.7109375" style="2" customWidth="1"/>
    <col min="2" max="3" width="24.5703125" style="2" customWidth="1"/>
    <col min="4" max="4" width="15.140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20" t="s">
        <v>115</v>
      </c>
      <c r="B1" s="121"/>
      <c r="C1" s="103"/>
      <c r="D1" s="103"/>
      <c r="E1" s="103"/>
      <c r="F1" s="103"/>
      <c r="G1" s="1"/>
      <c r="J1" s="146" t="s">
        <v>83</v>
      </c>
      <c r="K1" s="147"/>
      <c r="L1" s="148"/>
    </row>
    <row r="2" spans="1:18" ht="20.100000000000001" customHeight="1">
      <c r="A2" s="3" t="s">
        <v>1</v>
      </c>
      <c r="B2" s="94"/>
      <c r="C2" s="94"/>
      <c r="D2" s="3" t="s">
        <v>116</v>
      </c>
      <c r="E2" s="94"/>
      <c r="F2" s="94"/>
      <c r="G2" s="94"/>
      <c r="H2" s="94"/>
      <c r="I2" s="4"/>
      <c r="J2" s="162" t="s">
        <v>93</v>
      </c>
      <c r="K2" s="163"/>
      <c r="L2" s="164"/>
    </row>
    <row r="3" spans="1:18" ht="20.100000000000001" customHeight="1">
      <c r="A3" s="3" t="s">
        <v>134</v>
      </c>
      <c r="B3" s="94"/>
      <c r="C3" s="94"/>
      <c r="D3" s="94"/>
      <c r="E3" s="149">
        <f>+L3+3</f>
        <v>46283</v>
      </c>
      <c r="F3" s="149"/>
      <c r="G3" s="149"/>
      <c r="H3" s="149"/>
      <c r="I3" s="149"/>
      <c r="J3" s="94"/>
      <c r="K3" s="94"/>
      <c r="L3" s="122">
        <v>46280</v>
      </c>
      <c r="M3" s="4"/>
    </row>
    <row r="4" spans="1:18" ht="15.95" customHeight="1">
      <c r="A4" s="150" t="s">
        <v>2</v>
      </c>
      <c r="B4" s="151" t="s">
        <v>3</v>
      </c>
      <c r="C4" s="151"/>
      <c r="D4" s="152" t="s">
        <v>4</v>
      </c>
      <c r="E4" s="153"/>
      <c r="F4" s="154"/>
      <c r="G4" s="158" t="s">
        <v>5</v>
      </c>
      <c r="H4" s="160" t="s">
        <v>6</v>
      </c>
      <c r="I4" s="160" t="s">
        <v>87</v>
      </c>
      <c r="J4" s="150" t="s">
        <v>88</v>
      </c>
      <c r="K4" s="160" t="s">
        <v>0</v>
      </c>
      <c r="L4" s="151" t="s">
        <v>7</v>
      </c>
    </row>
    <row r="5" spans="1:18" ht="15.95" customHeight="1">
      <c r="A5" s="150"/>
      <c r="B5" s="151"/>
      <c r="C5" s="151"/>
      <c r="D5" s="155"/>
      <c r="E5" s="156"/>
      <c r="F5" s="157"/>
      <c r="G5" s="159"/>
      <c r="H5" s="161"/>
      <c r="I5" s="161"/>
      <c r="J5" s="150"/>
      <c r="K5" s="161"/>
      <c r="L5" s="151"/>
    </row>
    <row r="6" spans="1:18" ht="29.25" customHeight="1">
      <c r="A6" s="5">
        <f t="shared" ref="A6:A15" si="0">ROW(A1)</f>
        <v>1</v>
      </c>
      <c r="B6" s="137" t="s">
        <v>129</v>
      </c>
      <c r="C6" s="138"/>
      <c r="D6" s="139"/>
      <c r="E6" s="140"/>
      <c r="F6" s="141"/>
      <c r="G6" s="104" t="s">
        <v>101</v>
      </c>
      <c r="H6" s="105">
        <v>1</v>
      </c>
      <c r="I6" s="106">
        <v>38</v>
      </c>
      <c r="J6" s="106">
        <f>H6*I6</f>
        <v>38</v>
      </c>
      <c r="K6" s="107" t="s">
        <v>95</v>
      </c>
      <c r="L6" s="129" t="s">
        <v>135</v>
      </c>
      <c r="R6" s="99"/>
    </row>
    <row r="7" spans="1:18" ht="29.25" customHeight="1">
      <c r="A7" s="5">
        <f t="shared" si="0"/>
        <v>2</v>
      </c>
      <c r="B7" s="137" t="s">
        <v>130</v>
      </c>
      <c r="C7" s="138"/>
      <c r="D7" s="145"/>
      <c r="E7" s="140"/>
      <c r="F7" s="141"/>
      <c r="G7" s="104" t="s">
        <v>101</v>
      </c>
      <c r="H7" s="105">
        <v>1</v>
      </c>
      <c r="I7" s="106">
        <v>38</v>
      </c>
      <c r="J7" s="106">
        <f t="shared" ref="J7:J18" si="1">H7*I7</f>
        <v>38</v>
      </c>
      <c r="K7" s="107"/>
      <c r="L7" s="129"/>
      <c r="R7" s="99"/>
    </row>
    <row r="8" spans="1:18" ht="29.25" customHeight="1">
      <c r="A8" s="5">
        <f t="shared" si="0"/>
        <v>3</v>
      </c>
      <c r="B8" s="137" t="s">
        <v>136</v>
      </c>
      <c r="C8" s="138"/>
      <c r="D8" s="139"/>
      <c r="E8" s="140"/>
      <c r="F8" s="141"/>
      <c r="G8" s="104" t="s">
        <v>101</v>
      </c>
      <c r="H8" s="105">
        <v>1</v>
      </c>
      <c r="I8" s="106">
        <v>295</v>
      </c>
      <c r="J8" s="106">
        <f t="shared" si="1"/>
        <v>295</v>
      </c>
      <c r="K8" s="107"/>
      <c r="L8" s="129"/>
      <c r="R8" s="99"/>
    </row>
    <row r="9" spans="1:18" ht="29.25" customHeight="1">
      <c r="A9" s="5">
        <f t="shared" si="0"/>
        <v>4</v>
      </c>
      <c r="B9" s="137" t="s">
        <v>131</v>
      </c>
      <c r="C9" s="138"/>
      <c r="D9" s="130"/>
      <c r="E9" s="131"/>
      <c r="F9" s="132"/>
      <c r="G9" s="104" t="s">
        <v>101</v>
      </c>
      <c r="H9" s="105">
        <v>1</v>
      </c>
      <c r="I9" s="106">
        <v>50</v>
      </c>
      <c r="J9" s="106">
        <f t="shared" si="1"/>
        <v>50</v>
      </c>
      <c r="K9" s="107"/>
      <c r="L9" s="129"/>
      <c r="R9" s="99"/>
    </row>
    <row r="10" spans="1:18" ht="29.25" customHeight="1">
      <c r="A10" s="5">
        <f t="shared" si="0"/>
        <v>5</v>
      </c>
      <c r="B10" s="137" t="s">
        <v>137</v>
      </c>
      <c r="C10" s="138"/>
      <c r="D10" s="130"/>
      <c r="E10" s="131"/>
      <c r="F10" s="132"/>
      <c r="G10" s="104" t="s">
        <v>101</v>
      </c>
      <c r="H10" s="105">
        <v>1</v>
      </c>
      <c r="I10" s="106">
        <v>295</v>
      </c>
      <c r="J10" s="106">
        <f t="shared" ref="J10" si="2">H10*I10</f>
        <v>295</v>
      </c>
      <c r="K10" s="107"/>
      <c r="L10" s="129"/>
      <c r="R10" s="99"/>
    </row>
    <row r="11" spans="1:18" ht="29.25" customHeight="1">
      <c r="A11" s="5">
        <f t="shared" si="0"/>
        <v>6</v>
      </c>
      <c r="B11" s="137" t="s">
        <v>138</v>
      </c>
      <c r="C11" s="138"/>
      <c r="D11" s="130"/>
      <c r="E11" s="131"/>
      <c r="F11" s="132"/>
      <c r="G11" s="104" t="s">
        <v>101</v>
      </c>
      <c r="H11" s="105">
        <v>1</v>
      </c>
      <c r="I11" s="106">
        <v>55</v>
      </c>
      <c r="J11" s="106">
        <f t="shared" ref="J11" si="3">H11*I11</f>
        <v>55</v>
      </c>
      <c r="K11" s="107"/>
      <c r="L11" s="129"/>
      <c r="R11" s="99"/>
    </row>
    <row r="12" spans="1:18" ht="29.25" customHeight="1">
      <c r="A12" s="5">
        <f t="shared" si="0"/>
        <v>7</v>
      </c>
      <c r="B12" s="137" t="s">
        <v>143</v>
      </c>
      <c r="C12" s="138"/>
      <c r="D12" s="139"/>
      <c r="E12" s="140"/>
      <c r="F12" s="141"/>
      <c r="G12" s="104" t="s">
        <v>101</v>
      </c>
      <c r="H12" s="105">
        <v>1</v>
      </c>
      <c r="I12" s="106">
        <v>55</v>
      </c>
      <c r="J12" s="106">
        <f t="shared" ref="J12" si="4">H12*I12</f>
        <v>55</v>
      </c>
      <c r="K12" s="107"/>
      <c r="L12" s="129"/>
      <c r="R12" s="99"/>
    </row>
    <row r="13" spans="1:18" ht="29.25" customHeight="1">
      <c r="A13" s="5">
        <f t="shared" si="0"/>
        <v>8</v>
      </c>
      <c r="B13" s="137" t="s">
        <v>144</v>
      </c>
      <c r="C13" s="138"/>
      <c r="D13" s="144"/>
      <c r="E13" s="144"/>
      <c r="F13" s="144"/>
      <c r="G13" s="104" t="s">
        <v>101</v>
      </c>
      <c r="H13" s="105">
        <v>1</v>
      </c>
      <c r="I13" s="106">
        <v>295</v>
      </c>
      <c r="J13" s="106">
        <f t="shared" ref="J13" si="5">H13*I13</f>
        <v>295</v>
      </c>
      <c r="K13" s="107"/>
      <c r="L13" s="129"/>
      <c r="R13" s="99"/>
    </row>
    <row r="14" spans="1:18" ht="29.25" customHeight="1">
      <c r="A14" s="5">
        <f t="shared" si="0"/>
        <v>9</v>
      </c>
      <c r="B14" s="137" t="s">
        <v>145</v>
      </c>
      <c r="C14" s="138"/>
      <c r="D14" s="139"/>
      <c r="E14" s="140"/>
      <c r="F14" s="141"/>
      <c r="G14" s="104" t="s">
        <v>101</v>
      </c>
      <c r="H14" s="105">
        <v>1</v>
      </c>
      <c r="I14" s="106">
        <v>60</v>
      </c>
      <c r="J14" s="106">
        <f t="shared" ref="J14" si="6">H14*I14</f>
        <v>60</v>
      </c>
      <c r="K14" s="107"/>
      <c r="L14" s="108"/>
      <c r="R14" s="99"/>
    </row>
    <row r="15" spans="1:18" ht="29.25" customHeight="1">
      <c r="A15" s="5">
        <f t="shared" si="0"/>
        <v>10</v>
      </c>
      <c r="B15" s="137" t="s">
        <v>146</v>
      </c>
      <c r="C15" s="138"/>
      <c r="D15" s="144"/>
      <c r="E15" s="144"/>
      <c r="F15" s="144"/>
      <c r="G15" s="104" t="s">
        <v>101</v>
      </c>
      <c r="H15" s="105">
        <v>1</v>
      </c>
      <c r="I15" s="106">
        <v>55</v>
      </c>
      <c r="J15" s="106">
        <f t="shared" ref="J15" si="7">H15*I15</f>
        <v>55</v>
      </c>
      <c r="K15" s="107"/>
      <c r="L15" s="104"/>
      <c r="R15" s="99"/>
    </row>
    <row r="16" spans="1:18" ht="22.5" hidden="1" customHeight="1">
      <c r="A16" s="5"/>
      <c r="B16" s="137"/>
      <c r="C16" s="138"/>
      <c r="D16" s="139"/>
      <c r="E16" s="140"/>
      <c r="F16" s="141"/>
      <c r="G16" s="104"/>
      <c r="H16" s="105"/>
      <c r="I16" s="106"/>
      <c r="J16" s="106">
        <f t="shared" si="1"/>
        <v>0</v>
      </c>
      <c r="K16" s="107"/>
      <c r="L16" s="108"/>
      <c r="R16" s="99"/>
    </row>
    <row r="17" spans="1:26" ht="22.5" hidden="1" customHeight="1">
      <c r="A17" s="5"/>
      <c r="B17" s="137"/>
      <c r="C17" s="138"/>
      <c r="D17" s="139"/>
      <c r="E17" s="140"/>
      <c r="F17" s="141"/>
      <c r="G17" s="104"/>
      <c r="H17" s="105"/>
      <c r="I17" s="106"/>
      <c r="J17" s="106">
        <f t="shared" si="1"/>
        <v>0</v>
      </c>
      <c r="K17" s="107"/>
      <c r="L17" s="108"/>
      <c r="R17" s="99"/>
    </row>
    <row r="18" spans="1:26" ht="22.5" hidden="1" customHeight="1">
      <c r="A18" s="5"/>
      <c r="B18" s="137"/>
      <c r="C18" s="138"/>
      <c r="D18" s="139"/>
      <c r="E18" s="140"/>
      <c r="F18" s="141"/>
      <c r="G18" s="104"/>
      <c r="H18" s="105"/>
      <c r="I18" s="106"/>
      <c r="J18" s="106">
        <f t="shared" si="1"/>
        <v>0</v>
      </c>
      <c r="K18" s="107"/>
      <c r="L18" s="108"/>
      <c r="R18" s="99"/>
    </row>
    <row r="19" spans="1:26" ht="22.5" customHeight="1">
      <c r="A19" s="142" t="s">
        <v>8</v>
      </c>
      <c r="B19" s="143"/>
      <c r="C19" s="109"/>
      <c r="D19" s="110"/>
      <c r="E19" s="110"/>
      <c r="F19" s="110"/>
      <c r="G19" s="111"/>
      <c r="H19" s="111"/>
      <c r="I19" s="112" t="s">
        <v>9</v>
      </c>
      <c r="J19" s="106">
        <f>SUM(J6:J18)</f>
        <v>1236</v>
      </c>
      <c r="K19" s="106"/>
      <c r="L19" s="113"/>
    </row>
    <row r="20" spans="1:26" ht="20.100000000000001" customHeight="1">
      <c r="A20" s="6" t="s">
        <v>10</v>
      </c>
      <c r="B20" s="7"/>
      <c r="C20" s="7"/>
      <c r="D20" s="7"/>
      <c r="E20" s="7"/>
      <c r="F20" s="7"/>
      <c r="G20" s="7"/>
      <c r="H20" s="7"/>
      <c r="I20" s="7"/>
      <c r="J20" s="7"/>
      <c r="K20" s="8"/>
      <c r="L20" s="9"/>
    </row>
    <row r="21" spans="1:26" ht="18" customHeight="1">
      <c r="A21" s="10"/>
      <c r="J21" s="1"/>
      <c r="K21" s="1"/>
      <c r="O21" s="11"/>
      <c r="P21" s="11"/>
      <c r="Q21" s="11"/>
      <c r="R21" s="11"/>
      <c r="S21" s="11"/>
      <c r="T21" s="11"/>
      <c r="U21" s="11"/>
      <c r="V21" s="11"/>
      <c r="W21" s="11"/>
      <c r="Y21" s="169"/>
      <c r="Z21" s="11"/>
    </row>
    <row r="22" spans="1:26" ht="50.1" customHeight="1">
      <c r="Y22" s="170"/>
    </row>
    <row r="23" spans="1:26" ht="15" customHeight="1">
      <c r="O23" s="165" t="s">
        <v>117</v>
      </c>
      <c r="P23" s="171"/>
      <c r="Q23" s="171"/>
      <c r="R23" s="166"/>
      <c r="S23" s="119"/>
      <c r="T23" s="165" t="s">
        <v>118</v>
      </c>
      <c r="U23" s="171"/>
      <c r="V23" s="171"/>
      <c r="W23" s="171"/>
      <c r="X23" s="171"/>
      <c r="Y23" s="166"/>
    </row>
    <row r="24" spans="1:26" ht="15" customHeight="1">
      <c r="O24" s="172" t="s">
        <v>119</v>
      </c>
      <c r="P24" s="133" t="s">
        <v>120</v>
      </c>
      <c r="Q24" s="172" t="s">
        <v>121</v>
      </c>
      <c r="R24" s="133" t="s">
        <v>122</v>
      </c>
      <c r="S24" s="119"/>
      <c r="T24" s="172" t="s">
        <v>123</v>
      </c>
      <c r="U24" s="133" t="s">
        <v>124</v>
      </c>
      <c r="V24" s="165" t="s">
        <v>125</v>
      </c>
      <c r="W24" s="171"/>
      <c r="X24" s="166"/>
      <c r="Y24" s="133" t="s">
        <v>126</v>
      </c>
    </row>
    <row r="25" spans="1:26" ht="18" customHeight="1">
      <c r="O25" s="134"/>
      <c r="P25" s="136"/>
      <c r="Q25" s="134"/>
      <c r="R25" s="136"/>
      <c r="S25" s="123"/>
      <c r="T25" s="134"/>
      <c r="U25" s="136"/>
      <c r="V25" s="13" t="s">
        <v>119</v>
      </c>
      <c r="W25" s="173" t="s">
        <v>127</v>
      </c>
      <c r="X25" s="174"/>
      <c r="Y25" s="136"/>
    </row>
    <row r="26" spans="1:26" ht="50.1" customHeight="1">
      <c r="O26" s="14"/>
      <c r="P26" s="14"/>
      <c r="Q26" s="14"/>
      <c r="R26" s="14"/>
      <c r="S26" s="119"/>
      <c r="T26" s="14"/>
      <c r="U26" s="14"/>
      <c r="V26" s="14"/>
      <c r="W26" s="165"/>
      <c r="X26" s="166"/>
      <c r="Y26" s="124"/>
    </row>
    <row r="27" spans="1:26" ht="36" customHeight="1">
      <c r="W27" s="125"/>
      <c r="X27" s="167" t="s">
        <v>128</v>
      </c>
      <c r="Y27" s="12" t="s">
        <v>126</v>
      </c>
    </row>
    <row r="28" spans="1:26" ht="50.1" customHeight="1">
      <c r="O28" s="126"/>
      <c r="P28" s="126"/>
      <c r="Q28" s="126"/>
      <c r="R28" s="126"/>
      <c r="S28" s="126"/>
      <c r="T28" s="126"/>
      <c r="U28" s="126"/>
      <c r="V28" s="126"/>
      <c r="W28" s="127"/>
      <c r="X28" s="168"/>
      <c r="Y28" s="128"/>
    </row>
    <row r="29" spans="1:26" ht="19.899999999999999" customHeight="1"/>
    <row r="30" spans="1:26" ht="17.45" customHeight="1">
      <c r="O30" s="135"/>
      <c r="P30" s="135"/>
    </row>
    <row r="31" spans="1:26" ht="19.899999999999999" customHeight="1">
      <c r="O31" s="135"/>
      <c r="P31" s="135"/>
    </row>
    <row r="32" spans="1:26" ht="14.25">
      <c r="O32" s="11"/>
      <c r="P32" s="11"/>
    </row>
    <row r="33" spans="15:16" ht="65.099999999999994" customHeight="1"/>
    <row r="34" spans="15:16" ht="14.25">
      <c r="O34" s="11"/>
      <c r="P34" s="11"/>
    </row>
    <row r="35" spans="15:16" ht="19.899999999999999" customHeight="1"/>
    <row r="36" spans="15:16" ht="14.25"/>
    <row r="37" spans="15:16" ht="19.899999999999999" customHeight="1"/>
    <row r="38" spans="15:16" ht="14.25"/>
    <row r="39" spans="15:16" ht="19.899999999999999" customHeight="1"/>
    <row r="40" spans="15:16" ht="19.899999999999999" customHeight="1"/>
    <row r="41" spans="15:16" ht="64.900000000000006" customHeight="1"/>
    <row r="43" spans="15:16" ht="19.899999999999999" customHeight="1"/>
    <row r="44" spans="15:16" ht="19.899999999999999" customHeight="1"/>
    <row r="45" spans="15:16" ht="64.900000000000006" customHeight="1"/>
    <row r="49" spans="15:19" ht="21" customHeight="1">
      <c r="O49" s="133" t="s">
        <v>12</v>
      </c>
      <c r="P49" s="133" t="s">
        <v>12</v>
      </c>
      <c r="S49" s="133" t="s">
        <v>11</v>
      </c>
    </row>
    <row r="50" spans="15:19" ht="21" customHeight="1">
      <c r="O50" s="136"/>
      <c r="P50" s="136"/>
      <c r="S50" s="134"/>
    </row>
    <row r="51" spans="15:19" ht="64.900000000000006" customHeight="1">
      <c r="O51" s="14"/>
      <c r="P51" s="14"/>
      <c r="S51" s="15"/>
    </row>
    <row r="52" spans="15:19" ht="7.15" customHeight="1"/>
    <row r="53" spans="15:19" ht="21" customHeight="1">
      <c r="O53" s="133" t="s">
        <v>12</v>
      </c>
      <c r="P53" s="133" t="s">
        <v>12</v>
      </c>
      <c r="S53" s="133" t="s">
        <v>13</v>
      </c>
    </row>
    <row r="54" spans="15:19" ht="21" customHeight="1">
      <c r="O54" s="136"/>
      <c r="P54" s="136"/>
      <c r="S54" s="134"/>
    </row>
    <row r="55" spans="15:19" ht="64.900000000000006" customHeight="1">
      <c r="O55" s="14"/>
      <c r="P55" s="14"/>
      <c r="S55" s="14"/>
    </row>
  </sheetData>
  <mergeCells count="58">
    <mergeCell ref="B9:C9"/>
    <mergeCell ref="B10:C10"/>
    <mergeCell ref="B11:C11"/>
    <mergeCell ref="W26:X26"/>
    <mergeCell ref="X27:X28"/>
    <mergeCell ref="Y21:Y22"/>
    <mergeCell ref="O23:R23"/>
    <mergeCell ref="T23:Y23"/>
    <mergeCell ref="O24:O25"/>
    <mergeCell ref="Q24:Q25"/>
    <mergeCell ref="R24:R25"/>
    <mergeCell ref="T24:T25"/>
    <mergeCell ref="U24:U25"/>
    <mergeCell ref="V24:X24"/>
    <mergeCell ref="Y24:Y25"/>
    <mergeCell ref="W25:X25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A19:B19"/>
    <mergeCell ref="P24:P25"/>
    <mergeCell ref="O53:O54"/>
    <mergeCell ref="P53:P54"/>
    <mergeCell ref="S53:S54"/>
    <mergeCell ref="O30:O31"/>
    <mergeCell ref="P30:P31"/>
    <mergeCell ref="O49:O50"/>
    <mergeCell ref="P49:P50"/>
    <mergeCell ref="S49:S50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82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4" t="s">
        <v>89</v>
      </c>
      <c r="B1" s="93"/>
      <c r="C1" s="93"/>
      <c r="D1" s="93"/>
      <c r="E1" s="93"/>
      <c r="F1" s="93"/>
      <c r="G1" s="1"/>
      <c r="J1" s="146" t="str">
        <f>+MRS!J1</f>
        <v>DAESHIN PLANT</v>
      </c>
      <c r="K1" s="148"/>
    </row>
    <row r="2" spans="1:18" ht="24.95" customHeight="1">
      <c r="A2" s="3" t="str">
        <f>+MRS!A2</f>
        <v xml:space="preserve">  PJT :  SACE2           </v>
      </c>
      <c r="B2" s="94"/>
      <c r="C2" s="94"/>
      <c r="D2" s="3" t="str">
        <f>+MRS!D2</f>
        <v>Division (In charge Name) : ADMIN MANAGER (Dong Chang Kim)</v>
      </c>
      <c r="E2" s="94"/>
      <c r="F2" s="94"/>
      <c r="G2" s="16"/>
      <c r="H2" s="16"/>
      <c r="I2" s="16"/>
      <c r="J2" s="162" t="str">
        <f>+MRS!J2</f>
        <v>Subcontract name (SAC2-SC-IK-SMP-01)</v>
      </c>
      <c r="K2" s="164"/>
    </row>
    <row r="3" spans="1:18" ht="24.95" customHeight="1">
      <c r="A3" s="3" t="str">
        <f>+MRS!A3</f>
        <v xml:space="preserve">  MRS No : SAC2-DS-MRS-0465</v>
      </c>
      <c r="B3" s="94"/>
      <c r="C3" s="94"/>
      <c r="D3" s="94"/>
      <c r="E3" s="94"/>
      <c r="F3" s="94"/>
      <c r="G3" s="94"/>
      <c r="H3" s="94"/>
      <c r="I3" s="94"/>
      <c r="J3" s="94"/>
      <c r="K3" s="95">
        <f>+MRS!L3</f>
        <v>46280</v>
      </c>
    </row>
    <row r="4" spans="1:18" ht="15.95" customHeight="1">
      <c r="A4" s="185" t="s">
        <v>2</v>
      </c>
      <c r="B4" s="186" t="s">
        <v>14</v>
      </c>
      <c r="C4" s="186"/>
      <c r="D4" s="185" t="s">
        <v>4</v>
      </c>
      <c r="E4" s="185"/>
      <c r="F4" s="185"/>
      <c r="G4" s="186" t="s">
        <v>5</v>
      </c>
      <c r="H4" s="185" t="s">
        <v>84</v>
      </c>
      <c r="I4" s="185" t="s">
        <v>15</v>
      </c>
      <c r="J4" s="185" t="s">
        <v>16</v>
      </c>
      <c r="K4" s="186" t="s">
        <v>7</v>
      </c>
    </row>
    <row r="5" spans="1:18" ht="15.95" customHeight="1">
      <c r="A5" s="185"/>
      <c r="B5" s="186"/>
      <c r="C5" s="186"/>
      <c r="D5" s="185"/>
      <c r="E5" s="185"/>
      <c r="F5" s="185"/>
      <c r="G5" s="186"/>
      <c r="H5" s="185"/>
      <c r="I5" s="185"/>
      <c r="J5" s="185"/>
      <c r="K5" s="186"/>
    </row>
    <row r="6" spans="1:18" ht="105" customHeight="1">
      <c r="A6" s="17">
        <f>+MRS!A6</f>
        <v>1</v>
      </c>
      <c r="B6" s="180" t="str">
        <f>MRS!B6</f>
        <v>Third Party Inspection &amp; Certificate for Web Sling</v>
      </c>
      <c r="C6" s="181"/>
      <c r="D6" s="182">
        <f>MRS!D6</f>
        <v>0</v>
      </c>
      <c r="E6" s="183"/>
      <c r="F6" s="184"/>
      <c r="G6" s="96" t="str">
        <f>MRS!G6</f>
        <v>EA</v>
      </c>
      <c r="H6" s="96">
        <f>MRS!H6</f>
        <v>1</v>
      </c>
      <c r="I6" s="97">
        <f>MRS!I6</f>
        <v>38</v>
      </c>
      <c r="J6" s="97">
        <f>MRS!J6</f>
        <v>38</v>
      </c>
      <c r="K6" s="98"/>
      <c r="O6" s="99"/>
      <c r="P6" s="99"/>
      <c r="R6" s="99"/>
    </row>
    <row r="7" spans="1:18" ht="105" customHeight="1">
      <c r="A7" s="17">
        <f>+MRS!A7</f>
        <v>2</v>
      </c>
      <c r="B7" s="180" t="str">
        <f>MRS!B7</f>
        <v>Third Party Inspection &amp; Certificate for Bow Shackle</v>
      </c>
      <c r="C7" s="181"/>
      <c r="D7" s="182">
        <f>MRS!D7</f>
        <v>0</v>
      </c>
      <c r="E7" s="183"/>
      <c r="F7" s="184"/>
      <c r="G7" s="96" t="str">
        <f>MRS!G7</f>
        <v>EA</v>
      </c>
      <c r="H7" s="96">
        <f>MRS!H7</f>
        <v>1</v>
      </c>
      <c r="I7" s="97">
        <f>MRS!I7</f>
        <v>38</v>
      </c>
      <c r="J7" s="97">
        <f>MRS!J7</f>
        <v>38</v>
      </c>
      <c r="K7" s="98"/>
      <c r="O7" s="99"/>
      <c r="P7" s="99"/>
      <c r="R7" s="99"/>
    </row>
    <row r="8" spans="1:18" ht="105" customHeight="1">
      <c r="A8" s="17">
        <f>+MRS!A8</f>
        <v>3</v>
      </c>
      <c r="B8" s="180" t="str">
        <f>MRS!B8</f>
        <v>Third Party Inspection &amp; Certificate for Pipe Stand</v>
      </c>
      <c r="C8" s="181"/>
      <c r="D8" s="182">
        <f>MRS!D8</f>
        <v>0</v>
      </c>
      <c r="E8" s="183"/>
      <c r="F8" s="184"/>
      <c r="G8" s="96" t="str">
        <f>MRS!G8</f>
        <v>EA</v>
      </c>
      <c r="H8" s="96">
        <f>MRS!H8</f>
        <v>1</v>
      </c>
      <c r="I8" s="97">
        <f>MRS!I8</f>
        <v>295</v>
      </c>
      <c r="J8" s="97">
        <f>MRS!J8</f>
        <v>295</v>
      </c>
      <c r="K8" s="98"/>
      <c r="O8" s="99"/>
      <c r="P8" s="99"/>
      <c r="R8" s="99"/>
    </row>
    <row r="9" spans="1:18" ht="105" customHeight="1">
      <c r="A9" s="17">
        <f>+MRS!A12</f>
        <v>7</v>
      </c>
      <c r="B9" s="180" t="str">
        <f>MRS!B12</f>
        <v>Third Party Inspection &amp; Certificate for Round Sling</v>
      </c>
      <c r="C9" s="181"/>
      <c r="D9" s="182">
        <f>MRS!D12</f>
        <v>0</v>
      </c>
      <c r="E9" s="183"/>
      <c r="F9" s="184"/>
      <c r="G9" s="96" t="str">
        <f>MRS!G12</f>
        <v>EA</v>
      </c>
      <c r="H9" s="96">
        <f>MRS!H12</f>
        <v>1</v>
      </c>
      <c r="I9" s="97">
        <f>MRS!I12</f>
        <v>55</v>
      </c>
      <c r="J9" s="97">
        <f>MRS!J12</f>
        <v>55</v>
      </c>
      <c r="K9" s="98"/>
      <c r="O9" s="99"/>
      <c r="P9" s="99"/>
      <c r="R9" s="99"/>
    </row>
    <row r="10" spans="1:18" ht="105" customHeight="1">
      <c r="A10" s="17">
        <f>+MRS!A13</f>
        <v>8</v>
      </c>
      <c r="B10" s="180" t="str">
        <f>MRS!B13</f>
        <v>Third Party Inspection &amp; Certificate for A Frame (Pipe Stand)</v>
      </c>
      <c r="C10" s="181"/>
      <c r="D10" s="182">
        <f>MRS!D13</f>
        <v>0</v>
      </c>
      <c r="E10" s="183"/>
      <c r="F10" s="184"/>
      <c r="G10" s="96" t="str">
        <f>MRS!G13</f>
        <v>EA</v>
      </c>
      <c r="H10" s="96">
        <f>MRS!H13</f>
        <v>1</v>
      </c>
      <c r="I10" s="97">
        <f>MRS!I13</f>
        <v>295</v>
      </c>
      <c r="J10" s="97">
        <f>MRS!J13</f>
        <v>295</v>
      </c>
      <c r="K10" s="98"/>
      <c r="O10" s="99"/>
      <c r="P10" s="99"/>
      <c r="R10" s="99"/>
    </row>
    <row r="11" spans="1:18" ht="105" customHeight="1">
      <c r="A11" s="17">
        <f>+MRS!A14</f>
        <v>9</v>
      </c>
      <c r="B11" s="180" t="str">
        <f>MRS!B14</f>
        <v>Third Party Inspection &amp; Certificate for Snatch Block (Pulley)</v>
      </c>
      <c r="C11" s="181"/>
      <c r="D11" s="182">
        <f>MRS!D14</f>
        <v>0</v>
      </c>
      <c r="E11" s="183"/>
      <c r="F11" s="184"/>
      <c r="G11" s="96" t="str">
        <f>MRS!G14</f>
        <v>EA</v>
      </c>
      <c r="H11" s="96">
        <f>MRS!H14</f>
        <v>1</v>
      </c>
      <c r="I11" s="97">
        <f>MRS!I14</f>
        <v>60</v>
      </c>
      <c r="J11" s="97">
        <f>MRS!J14</f>
        <v>60</v>
      </c>
      <c r="K11" s="98"/>
      <c r="O11" s="99"/>
      <c r="P11" s="99"/>
      <c r="R11" s="99"/>
    </row>
    <row r="12" spans="1:18" ht="105" customHeight="1">
      <c r="A12" s="17">
        <f>+MRS!A15</f>
        <v>10</v>
      </c>
      <c r="B12" s="175"/>
      <c r="C12" s="176"/>
      <c r="D12" s="177"/>
      <c r="E12" s="178"/>
      <c r="F12" s="179"/>
      <c r="G12" s="100"/>
      <c r="H12" s="101"/>
      <c r="I12" s="102"/>
      <c r="J12" s="102"/>
      <c r="K12" s="98"/>
      <c r="O12" s="99"/>
      <c r="P12" s="99"/>
      <c r="R12" s="99"/>
    </row>
    <row r="13" spans="1:18" ht="105" customHeight="1">
      <c r="A13" s="17">
        <f>+MRS!A16</f>
        <v>0</v>
      </c>
      <c r="B13" s="175"/>
      <c r="C13" s="176"/>
      <c r="D13" s="177"/>
      <c r="E13" s="178"/>
      <c r="F13" s="179"/>
      <c r="G13" s="100"/>
      <c r="H13" s="101"/>
      <c r="I13" s="102"/>
      <c r="J13" s="102"/>
      <c r="K13" s="98"/>
      <c r="O13" s="99"/>
      <c r="P13" s="99"/>
      <c r="R13" s="99"/>
    </row>
    <row r="14" spans="1:18" ht="105" customHeight="1">
      <c r="A14" s="17">
        <f>+MRS!A17</f>
        <v>0</v>
      </c>
      <c r="B14" s="175"/>
      <c r="C14" s="176"/>
      <c r="D14" s="177"/>
      <c r="E14" s="178"/>
      <c r="F14" s="179"/>
      <c r="G14" s="100"/>
      <c r="H14" s="101"/>
      <c r="I14" s="102"/>
      <c r="J14" s="102"/>
      <c r="K14" s="98"/>
      <c r="O14" s="99"/>
      <c r="P14" s="99"/>
      <c r="R14" s="99"/>
    </row>
    <row r="15" spans="1:18" ht="105" customHeight="1">
      <c r="A15" s="17">
        <f>+MRS!A18</f>
        <v>0</v>
      </c>
      <c r="B15" s="175"/>
      <c r="C15" s="176"/>
      <c r="D15" s="177"/>
      <c r="E15" s="178"/>
      <c r="F15" s="179"/>
      <c r="G15" s="100"/>
      <c r="H15" s="101"/>
      <c r="I15" s="102"/>
      <c r="J15" s="102"/>
      <c r="K15" s="98"/>
      <c r="O15" s="99"/>
      <c r="P15" s="99"/>
      <c r="R15" s="99"/>
    </row>
    <row r="16" spans="1:18" ht="105" customHeight="1">
      <c r="A16" s="17" t="e">
        <f>+MRS!#REF!</f>
        <v>#REF!</v>
      </c>
      <c r="B16" s="175"/>
      <c r="C16" s="176"/>
      <c r="D16" s="177"/>
      <c r="E16" s="178"/>
      <c r="F16" s="179"/>
      <c r="G16" s="100"/>
      <c r="H16" s="101"/>
      <c r="I16" s="102"/>
      <c r="J16" s="102"/>
      <c r="K16" s="98"/>
      <c r="O16" s="99"/>
      <c r="P16" s="99"/>
      <c r="R16" s="99"/>
    </row>
    <row r="17" spans="1:18" ht="105" customHeight="1">
      <c r="A17" s="17" t="e">
        <f>+MRS!#REF!</f>
        <v>#REF!</v>
      </c>
      <c r="B17" s="175"/>
      <c r="C17" s="176"/>
      <c r="D17" s="177"/>
      <c r="E17" s="178"/>
      <c r="F17" s="179"/>
      <c r="G17" s="100"/>
      <c r="H17" s="101"/>
      <c r="I17" s="102"/>
      <c r="J17" s="102"/>
      <c r="K17" s="98"/>
      <c r="O17" s="99"/>
      <c r="P17" s="99"/>
      <c r="R17" s="99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topLeftCell="A9" zoomScale="130" zoomScaleNormal="100" zoomScaleSheetLayoutView="130" workbookViewId="0">
      <selection activeCell="F30" sqref="F30:G30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17</v>
      </c>
    </row>
    <row r="3" spans="2:13" s="18" customFormat="1">
      <c r="M3" s="20" t="s">
        <v>18</v>
      </c>
    </row>
    <row r="4" spans="2:13" s="18" customFormat="1">
      <c r="M4" s="20" t="s">
        <v>19</v>
      </c>
    </row>
    <row r="5" spans="2:13" s="18" customFormat="1">
      <c r="B5" s="21" t="s">
        <v>20</v>
      </c>
      <c r="M5" s="20" t="s">
        <v>21</v>
      </c>
    </row>
    <row r="6" spans="2:13" s="18" customFormat="1">
      <c r="M6" s="20" t="s">
        <v>22</v>
      </c>
    </row>
    <row r="7" spans="2:13">
      <c r="M7" s="23"/>
    </row>
    <row r="8" spans="2:13">
      <c r="M8" s="23"/>
    </row>
    <row r="9" spans="2:13" s="70" customFormat="1" ht="13.5">
      <c r="B9" s="68" t="s">
        <v>23</v>
      </c>
      <c r="C9" s="69" t="s">
        <v>96</v>
      </c>
      <c r="D9" s="35"/>
      <c r="E9" s="35"/>
    </row>
    <row r="10" spans="2:13" s="35" customFormat="1">
      <c r="B10" s="68"/>
      <c r="C10" s="35" t="s">
        <v>24</v>
      </c>
      <c r="D10" s="72" t="s">
        <v>97</v>
      </c>
      <c r="J10" s="35" t="s">
        <v>25</v>
      </c>
      <c r="K10" s="188">
        <f>MRS!L3</f>
        <v>46280</v>
      </c>
      <c r="L10" s="189"/>
      <c r="M10" s="189"/>
    </row>
    <row r="11" spans="2:13" s="35" customFormat="1">
      <c r="B11" s="68"/>
      <c r="C11" s="71" t="s">
        <v>26</v>
      </c>
      <c r="D11" s="72" t="s">
        <v>98</v>
      </c>
      <c r="J11" s="35" t="s">
        <v>27</v>
      </c>
      <c r="K11" s="190" t="str">
        <f>SUBSTITUTE(SUBSTITUTE(+MRS!A3,"  MRS No : ",""),"-MRS","-PO")</f>
        <v>SAC2-DS-PO-0465</v>
      </c>
      <c r="L11" s="190"/>
      <c r="M11" s="190"/>
    </row>
    <row r="12" spans="2:13" s="35" customFormat="1">
      <c r="B12" s="68"/>
      <c r="C12" s="71" t="s">
        <v>28</v>
      </c>
      <c r="D12" s="35" t="s">
        <v>90</v>
      </c>
      <c r="J12" s="35" t="s">
        <v>29</v>
      </c>
    </row>
    <row r="13" spans="2:13" s="35" customFormat="1">
      <c r="B13" s="68"/>
      <c r="C13" s="73"/>
      <c r="D13" s="72" t="s">
        <v>99</v>
      </c>
      <c r="J13" s="35" t="s">
        <v>30</v>
      </c>
    </row>
    <row r="14" spans="2:13" s="35" customFormat="1">
      <c r="B14" s="68"/>
      <c r="C14" s="73" t="s">
        <v>100</v>
      </c>
      <c r="J14" s="35" t="s">
        <v>31</v>
      </c>
      <c r="K14" s="35" t="s">
        <v>147</v>
      </c>
    </row>
    <row r="15" spans="2:13" s="35" customFormat="1">
      <c r="B15" s="68"/>
      <c r="C15" s="73" t="s">
        <v>92</v>
      </c>
      <c r="J15" s="35" t="s">
        <v>32</v>
      </c>
      <c r="K15" s="74">
        <v>46279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91" t="s">
        <v>33</v>
      </c>
      <c r="C18" s="191"/>
      <c r="D18" s="191"/>
      <c r="E18" s="191"/>
      <c r="F18" s="191"/>
      <c r="G18" s="191"/>
      <c r="H18" s="191"/>
      <c r="I18" s="191"/>
      <c r="J18" s="191"/>
      <c r="K18" s="191"/>
      <c r="L18" s="191"/>
      <c r="M18" s="191"/>
    </row>
    <row r="19" spans="2:13" ht="12" customHeight="1"/>
    <row r="20" spans="2:13" s="27" customFormat="1" ht="12" customHeight="1">
      <c r="B20" s="192" t="s">
        <v>34</v>
      </c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</row>
    <row r="21" spans="2:13" s="27" customFormat="1" ht="12" customHeight="1">
      <c r="B21" s="192" t="s">
        <v>35</v>
      </c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</row>
    <row r="22" spans="2:13" s="27" customFormat="1" ht="12" customHeight="1">
      <c r="B22" s="192" t="s">
        <v>36</v>
      </c>
      <c r="C22" s="192"/>
      <c r="D22" s="192"/>
      <c r="E22" s="192"/>
      <c r="F22" s="192"/>
      <c r="G22" s="192"/>
      <c r="H22" s="192"/>
      <c r="I22" s="192"/>
      <c r="J22" s="192"/>
      <c r="K22" s="192"/>
      <c r="L22" s="192"/>
      <c r="M22" s="192"/>
    </row>
    <row r="23" spans="2:13" ht="6.95" customHeight="1">
      <c r="B23" s="193"/>
      <c r="C23" s="193"/>
      <c r="D23" s="193"/>
      <c r="E23" s="193"/>
      <c r="F23" s="193"/>
      <c r="G23" s="193"/>
      <c r="H23" s="193"/>
      <c r="I23" s="193"/>
      <c r="J23" s="193"/>
      <c r="K23" s="193"/>
      <c r="L23" s="193"/>
      <c r="M23" s="193"/>
    </row>
    <row r="24" spans="2:13" ht="6.95" customHeight="1"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</row>
    <row r="25" spans="2:13" s="28" customFormat="1" ht="15" customHeight="1">
      <c r="B25" s="28">
        <v>1</v>
      </c>
      <c r="C25" s="28" t="s">
        <v>37</v>
      </c>
    </row>
    <row r="26" spans="2:13" s="35" customFormat="1" ht="12" customHeight="1">
      <c r="B26" s="22"/>
      <c r="C26" s="117" t="s">
        <v>132</v>
      </c>
      <c r="M26" s="118" t="s">
        <v>38</v>
      </c>
    </row>
    <row r="27" spans="2:13" ht="11.1" customHeight="1">
      <c r="B27" s="28"/>
    </row>
    <row r="28" spans="2:13" ht="15" customHeight="1">
      <c r="B28" s="28">
        <v>2</v>
      </c>
      <c r="C28" s="28" t="s">
        <v>39</v>
      </c>
    </row>
    <row r="29" spans="2:13" ht="12" customHeight="1">
      <c r="B29" s="28"/>
      <c r="C29" s="22" t="s">
        <v>40</v>
      </c>
      <c r="E29" s="22" t="s">
        <v>41</v>
      </c>
      <c r="F29" s="195" t="s">
        <v>148</v>
      </c>
      <c r="G29" s="195"/>
      <c r="H29" s="29"/>
      <c r="M29" s="30"/>
    </row>
    <row r="30" spans="2:13" ht="12" customHeight="1">
      <c r="B30" s="28"/>
      <c r="C30" s="22" t="s">
        <v>42</v>
      </c>
      <c r="E30" s="22" t="s">
        <v>41</v>
      </c>
      <c r="F30" s="195"/>
      <c r="G30" s="195"/>
    </row>
    <row r="31" spans="2:13" ht="12" customHeight="1">
      <c r="B31" s="28"/>
      <c r="C31" s="22" t="s">
        <v>43</v>
      </c>
      <c r="D31" s="31"/>
      <c r="E31" s="22" t="s">
        <v>41</v>
      </c>
      <c r="F31" s="195"/>
      <c r="G31" s="195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44</v>
      </c>
    </row>
    <row r="34" spans="2:13" ht="12" customHeight="1">
      <c r="B34" s="28"/>
      <c r="C34" s="18" t="s">
        <v>45</v>
      </c>
    </row>
    <row r="35" spans="2:13" ht="12" customHeight="1">
      <c r="B35" s="28"/>
      <c r="C35" s="18" t="s">
        <v>46</v>
      </c>
    </row>
    <row r="36" spans="2:13" ht="12" customHeight="1">
      <c r="B36" s="28"/>
      <c r="C36" s="18" t="s">
        <v>47</v>
      </c>
    </row>
    <row r="37" spans="2:13" ht="6" customHeight="1">
      <c r="B37" s="28"/>
    </row>
    <row r="38" spans="2:13" ht="15" customHeight="1">
      <c r="B38" s="28">
        <v>4</v>
      </c>
      <c r="C38" s="28" t="s">
        <v>48</v>
      </c>
    </row>
    <row r="39" spans="2:13" ht="12" customHeight="1">
      <c r="B39" s="28"/>
      <c r="C39" s="22" t="s">
        <v>49</v>
      </c>
    </row>
    <row r="40" spans="2:13" ht="6" customHeight="1">
      <c r="B40" s="28"/>
    </row>
    <row r="41" spans="2:13" ht="15" customHeight="1">
      <c r="B41" s="28">
        <v>5</v>
      </c>
      <c r="C41" s="28" t="s">
        <v>50</v>
      </c>
    </row>
    <row r="42" spans="2:13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54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55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56</v>
      </c>
    </row>
    <row r="49" spans="2:16" s="35" customFormat="1" ht="12" customHeight="1">
      <c r="B49" s="75" t="s">
        <v>57</v>
      </c>
      <c r="C49" s="76" t="s">
        <v>94</v>
      </c>
      <c r="P49" s="77"/>
    </row>
    <row r="50" spans="2:16" s="78" customFormat="1" ht="12" customHeight="1">
      <c r="B50" s="79" t="s">
        <v>57</v>
      </c>
      <c r="C50" s="76" t="s">
        <v>86</v>
      </c>
    </row>
    <row r="51" spans="2:16" s="78" customFormat="1" ht="12" customHeight="1">
      <c r="B51" s="79" t="s">
        <v>57</v>
      </c>
      <c r="C51" s="76" t="s">
        <v>85</v>
      </c>
    </row>
    <row r="52" spans="2:16" s="78" customFormat="1" ht="4.5" customHeight="1">
      <c r="B52" s="79"/>
      <c r="C52" s="76"/>
    </row>
    <row r="53" spans="2:16" ht="15" customHeight="1">
      <c r="B53" s="38">
        <v>7</v>
      </c>
      <c r="C53" s="28" t="s">
        <v>102</v>
      </c>
    </row>
    <row r="54" spans="2:16" ht="12" customHeight="1">
      <c r="B54" s="79" t="s">
        <v>57</v>
      </c>
      <c r="C54" s="115" t="s">
        <v>103</v>
      </c>
      <c r="F54" s="22" t="s">
        <v>133</v>
      </c>
    </row>
    <row r="55" spans="2:16" ht="12" customHeight="1">
      <c r="B55" s="79" t="s">
        <v>57</v>
      </c>
      <c r="C55" s="115" t="s">
        <v>104</v>
      </c>
      <c r="F55" s="116" t="s">
        <v>111</v>
      </c>
    </row>
    <row r="56" spans="2:16" ht="12" customHeight="1">
      <c r="B56" s="79" t="s">
        <v>57</v>
      </c>
      <c r="C56" s="115" t="s">
        <v>105</v>
      </c>
      <c r="F56" s="22" t="s">
        <v>114</v>
      </c>
    </row>
    <row r="57" spans="2:16" ht="12" customHeight="1">
      <c r="B57" s="79" t="s">
        <v>57</v>
      </c>
      <c r="C57" s="115" t="s">
        <v>106</v>
      </c>
      <c r="F57" s="22" t="s">
        <v>112</v>
      </c>
    </row>
    <row r="58" spans="2:16" ht="12" customHeight="1">
      <c r="B58" s="79" t="s">
        <v>57</v>
      </c>
      <c r="C58" s="115" t="s">
        <v>107</v>
      </c>
      <c r="F58" s="22" t="s">
        <v>113</v>
      </c>
    </row>
    <row r="59" spans="2:16" ht="12" customHeight="1">
      <c r="B59" s="79" t="s">
        <v>57</v>
      </c>
      <c r="C59" s="115" t="s">
        <v>108</v>
      </c>
      <c r="F59" s="22" t="s">
        <v>109</v>
      </c>
    </row>
    <row r="60" spans="2:16" ht="12" customHeight="1">
      <c r="B60" s="79"/>
      <c r="C60" s="115" t="s">
        <v>110</v>
      </c>
    </row>
    <row r="61" spans="2:16" ht="7.5" customHeight="1">
      <c r="B61" s="38"/>
    </row>
    <row r="62" spans="2:16" ht="3" customHeight="1">
      <c r="B62" s="39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</row>
    <row r="63" spans="2:16" ht="3" customHeight="1">
      <c r="B63" s="28"/>
    </row>
    <row r="64" spans="2:16" ht="7.5" customHeight="1">
      <c r="B64" s="38"/>
    </row>
    <row r="65" spans="1:13">
      <c r="B65" s="28" t="s">
        <v>58</v>
      </c>
      <c r="J65" s="28" t="s">
        <v>59</v>
      </c>
    </row>
    <row r="66" spans="1:13" ht="47.25" customHeight="1"/>
    <row r="67" spans="1:13" ht="18" customHeight="1">
      <c r="B67" s="22" t="s">
        <v>60</v>
      </c>
      <c r="J67" s="22" t="s">
        <v>60</v>
      </c>
    </row>
    <row r="68" spans="1:13" ht="18" customHeight="1">
      <c r="B68" s="22" t="s">
        <v>61</v>
      </c>
      <c r="J68" s="22" t="s">
        <v>62</v>
      </c>
      <c r="K68" s="18" t="str">
        <f>D12</f>
        <v>Mohammad Safwan</v>
      </c>
    </row>
    <row r="69" spans="1:13" ht="18" customHeight="1">
      <c r="B69" s="22" t="s">
        <v>63</v>
      </c>
      <c r="J69" s="22" t="s">
        <v>64</v>
      </c>
      <c r="K69" s="18" t="s">
        <v>91</v>
      </c>
    </row>
    <row r="70" spans="1:13" ht="15" customHeight="1">
      <c r="B70" s="22" t="s">
        <v>65</v>
      </c>
      <c r="J70" s="22" t="s">
        <v>66</v>
      </c>
    </row>
    <row r="71" spans="1:13" s="24" customFormat="1" ht="24.75" customHeight="1">
      <c r="B71" s="21" t="s">
        <v>67</v>
      </c>
      <c r="J71" s="196" t="str">
        <f>C9</f>
        <v>SAMOO(Samoo Al Bahr Contracting Est.)</v>
      </c>
      <c r="K71" s="196"/>
      <c r="L71" s="196"/>
      <c r="M71" s="196"/>
    </row>
    <row r="72" spans="1:13" ht="27.95" customHeight="1">
      <c r="A72" s="187" t="s">
        <v>68</v>
      </c>
      <c r="B72" s="187"/>
      <c r="C72" s="187"/>
      <c r="D72" s="187"/>
      <c r="E72" s="187"/>
      <c r="F72" s="187"/>
      <c r="G72" s="187"/>
      <c r="H72" s="187"/>
      <c r="I72" s="187"/>
      <c r="J72" s="187"/>
      <c r="K72" s="187"/>
      <c r="L72" s="187"/>
      <c r="M72" s="187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  <row r="95" spans="2:2">
      <c r="B95" s="28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69</v>
      </c>
      <c r="B2" s="43" t="str">
        <f>+'PO 1st page'!K11</f>
        <v>SAC2-DS-PO-0465</v>
      </c>
      <c r="C2" s="205" t="s">
        <v>70</v>
      </c>
      <c r="D2" s="205"/>
      <c r="E2" s="205"/>
      <c r="F2" s="205"/>
      <c r="G2" s="44"/>
      <c r="H2" s="44"/>
    </row>
    <row r="3" spans="1:13" s="50" customFormat="1" ht="28.5" customHeight="1" thickBot="1">
      <c r="A3" s="45" t="s">
        <v>71</v>
      </c>
      <c r="B3" s="46">
        <f>+'PO 1st page'!K10</f>
        <v>46280</v>
      </c>
      <c r="C3" s="47"/>
      <c r="D3" s="48"/>
      <c r="E3" s="206" t="s">
        <v>72</v>
      </c>
      <c r="F3" s="206"/>
      <c r="G3" s="206"/>
      <c r="H3" s="206"/>
      <c r="I3" s="49"/>
    </row>
    <row r="4" spans="1:13" s="51" customFormat="1" ht="28.5" customHeight="1" thickTop="1">
      <c r="A4" s="207" t="s">
        <v>73</v>
      </c>
      <c r="B4" s="209" t="s">
        <v>74</v>
      </c>
      <c r="C4" s="210"/>
      <c r="D4" s="213" t="s">
        <v>75</v>
      </c>
      <c r="E4" s="213" t="s">
        <v>76</v>
      </c>
      <c r="F4" s="215" t="str">
        <f>'PO 1st page'!C9</f>
        <v>SAMOO(Samoo Al Bahr Contracting Est.)</v>
      </c>
      <c r="G4" s="216"/>
      <c r="H4" s="217" t="s">
        <v>77</v>
      </c>
      <c r="K4" s="52"/>
      <c r="L4" s="52"/>
      <c r="M4" s="52"/>
    </row>
    <row r="5" spans="1:13" s="51" customFormat="1" ht="21.95" customHeight="1">
      <c r="A5" s="208"/>
      <c r="B5" s="211"/>
      <c r="C5" s="212"/>
      <c r="D5" s="214"/>
      <c r="E5" s="214"/>
      <c r="F5" s="53" t="s">
        <v>78</v>
      </c>
      <c r="G5" s="53" t="s">
        <v>43</v>
      </c>
      <c r="H5" s="218"/>
      <c r="K5" s="52"/>
      <c r="L5" s="52"/>
      <c r="M5" s="52"/>
    </row>
    <row r="6" spans="1:13" s="51" customFormat="1" ht="32.1" customHeight="1">
      <c r="A6" s="80">
        <f t="shared" ref="A6:A15" si="0">ROW(A1)</f>
        <v>1</v>
      </c>
      <c r="B6" s="201" t="str">
        <f>CONCATENATE(MRS!B6," ",MRS!D6)</f>
        <v xml:space="preserve">Third Party Inspection &amp; Certificate for Web Sling </v>
      </c>
      <c r="C6" s="202"/>
      <c r="D6" s="81" t="str">
        <f>MRS!G6</f>
        <v>EA</v>
      </c>
      <c r="E6" s="82">
        <f>MRS!H6</f>
        <v>1</v>
      </c>
      <c r="F6" s="83">
        <f>MRS!I6</f>
        <v>38</v>
      </c>
      <c r="G6" s="84">
        <f>MRS!J6</f>
        <v>38</v>
      </c>
      <c r="H6" s="92" t="str">
        <f>MRS!L6</f>
        <v>Monthly</v>
      </c>
      <c r="K6" s="85"/>
      <c r="L6" s="86"/>
      <c r="M6" s="52"/>
    </row>
    <row r="7" spans="1:13" s="51" customFormat="1" ht="32.1" customHeight="1">
      <c r="A7" s="80">
        <f t="shared" si="0"/>
        <v>2</v>
      </c>
      <c r="B7" s="201" t="str">
        <f>CONCATENATE(MRS!B7," ",MRS!D7)</f>
        <v xml:space="preserve">Third Party Inspection &amp; Certificate for Bow Shackle </v>
      </c>
      <c r="C7" s="202"/>
      <c r="D7" s="81" t="str">
        <f>MRS!G7</f>
        <v>EA</v>
      </c>
      <c r="E7" s="82">
        <f>MRS!H7</f>
        <v>1</v>
      </c>
      <c r="F7" s="83">
        <f>MRS!I7</f>
        <v>38</v>
      </c>
      <c r="G7" s="84">
        <f>MRS!J7</f>
        <v>38</v>
      </c>
      <c r="H7" s="92"/>
      <c r="K7" s="85"/>
      <c r="L7" s="86"/>
      <c r="M7" s="52"/>
    </row>
    <row r="8" spans="1:13" s="51" customFormat="1" ht="32.1" customHeight="1">
      <c r="A8" s="80">
        <f t="shared" si="0"/>
        <v>3</v>
      </c>
      <c r="B8" s="201" t="str">
        <f>CONCATENATE(MRS!B8," ",MRS!D8)</f>
        <v xml:space="preserve">Third Party Inspection &amp; Certificate for Pipe Stand </v>
      </c>
      <c r="C8" s="202"/>
      <c r="D8" s="81" t="str">
        <f>MRS!G8</f>
        <v>EA</v>
      </c>
      <c r="E8" s="82">
        <f>MRS!H8</f>
        <v>1</v>
      </c>
      <c r="F8" s="83">
        <f>MRS!I8</f>
        <v>295</v>
      </c>
      <c r="G8" s="84">
        <f>MRS!J8</f>
        <v>295</v>
      </c>
      <c r="H8" s="92"/>
      <c r="K8" s="52"/>
      <c r="L8" s="52"/>
      <c r="M8" s="52"/>
    </row>
    <row r="9" spans="1:13" s="51" customFormat="1" ht="32.1" customHeight="1">
      <c r="A9" s="80">
        <f t="shared" si="0"/>
        <v>4</v>
      </c>
      <c r="B9" s="201" t="str">
        <f>CONCATENATE(MRS!B9," ",MRS!D9)</f>
        <v xml:space="preserve">Third Party Inspection &amp; Certificate for Chain Block </v>
      </c>
      <c r="C9" s="202"/>
      <c r="D9" s="81" t="str">
        <f>MRS!G9</f>
        <v>EA</v>
      </c>
      <c r="E9" s="82">
        <f>MRS!H9</f>
        <v>1</v>
      </c>
      <c r="F9" s="83">
        <f>MRS!I9</f>
        <v>50</v>
      </c>
      <c r="G9" s="84">
        <f>MRS!J9</f>
        <v>50</v>
      </c>
      <c r="H9" s="92"/>
    </row>
    <row r="10" spans="1:13" s="51" customFormat="1" ht="32.1" customHeight="1">
      <c r="A10" s="80">
        <f t="shared" si="0"/>
        <v>5</v>
      </c>
      <c r="B10" s="201" t="str">
        <f>CONCATENATE(MRS!B10," ",MRS!D10)</f>
        <v xml:space="preserve">Third Party Inspection &amp; Certificate for Cylinder Basket </v>
      </c>
      <c r="C10" s="202"/>
      <c r="D10" s="81" t="str">
        <f>MRS!G10</f>
        <v>EA</v>
      </c>
      <c r="E10" s="82">
        <f>MRS!H10</f>
        <v>1</v>
      </c>
      <c r="F10" s="83">
        <f>MRS!I10</f>
        <v>295</v>
      </c>
      <c r="G10" s="84">
        <f>MRS!J10</f>
        <v>295</v>
      </c>
      <c r="H10" s="92"/>
    </row>
    <row r="11" spans="1:13" s="51" customFormat="1" ht="32.1" customHeight="1">
      <c r="A11" s="80">
        <f t="shared" si="0"/>
        <v>6</v>
      </c>
      <c r="B11" s="201" t="str">
        <f>CONCATENATE(MRS!B11," ",MRS!D11)</f>
        <v xml:space="preserve">Third Party Inspection &amp; Certificate for Lever Block </v>
      </c>
      <c r="C11" s="202"/>
      <c r="D11" s="81" t="str">
        <f>MRS!G11</f>
        <v>EA</v>
      </c>
      <c r="E11" s="82">
        <f>MRS!H11</f>
        <v>1</v>
      </c>
      <c r="F11" s="83">
        <f>MRS!I11</f>
        <v>55</v>
      </c>
      <c r="G11" s="84">
        <f>MRS!J11</f>
        <v>55</v>
      </c>
      <c r="H11" s="92"/>
    </row>
    <row r="12" spans="1:13" s="51" customFormat="1" ht="32.1" customHeight="1">
      <c r="A12" s="80">
        <f t="shared" si="0"/>
        <v>7</v>
      </c>
      <c r="B12" s="201" t="str">
        <f>CONCATENATE(MRS!B12," ",MRS!D12)</f>
        <v xml:space="preserve">Third Party Inspection &amp; Certificate for Round Sling </v>
      </c>
      <c r="C12" s="202"/>
      <c r="D12" s="81" t="str">
        <f>MRS!G12</f>
        <v>EA</v>
      </c>
      <c r="E12" s="82">
        <f>MRS!H12</f>
        <v>1</v>
      </c>
      <c r="F12" s="83">
        <f>MRS!I12</f>
        <v>55</v>
      </c>
      <c r="G12" s="84">
        <f>MRS!J12</f>
        <v>55</v>
      </c>
      <c r="H12" s="92"/>
    </row>
    <row r="13" spans="1:13" s="51" customFormat="1" ht="32.1" customHeight="1">
      <c r="A13" s="80">
        <f t="shared" si="0"/>
        <v>8</v>
      </c>
      <c r="B13" s="201" t="str">
        <f>CONCATENATE(MRS!B13," ",MRS!D13)</f>
        <v xml:space="preserve">Third Party Inspection &amp; Certificate for A Frame (Pipe Stand) </v>
      </c>
      <c r="C13" s="202"/>
      <c r="D13" s="81" t="str">
        <f>MRS!G13</f>
        <v>EA</v>
      </c>
      <c r="E13" s="82">
        <f>MRS!H13</f>
        <v>1</v>
      </c>
      <c r="F13" s="83">
        <f>MRS!I13</f>
        <v>295</v>
      </c>
      <c r="G13" s="84">
        <f>MRS!J13</f>
        <v>295</v>
      </c>
      <c r="H13" s="92"/>
    </row>
    <row r="14" spans="1:13" s="51" customFormat="1" ht="32.1" customHeight="1">
      <c r="A14" s="80">
        <f t="shared" si="0"/>
        <v>9</v>
      </c>
      <c r="B14" s="201" t="str">
        <f>CONCATENATE(MRS!B14," ",MRS!D14)</f>
        <v xml:space="preserve">Third Party Inspection &amp; Certificate for Snatch Block (Pulley) </v>
      </c>
      <c r="C14" s="202"/>
      <c r="D14" s="81" t="str">
        <f>MRS!G14</f>
        <v>EA</v>
      </c>
      <c r="E14" s="82">
        <f>MRS!H14</f>
        <v>1</v>
      </c>
      <c r="F14" s="83">
        <f>MRS!I14</f>
        <v>60</v>
      </c>
      <c r="G14" s="84">
        <f>MRS!J14</f>
        <v>60</v>
      </c>
      <c r="H14" s="92"/>
    </row>
    <row r="15" spans="1:13" s="51" customFormat="1" ht="32.1" customHeight="1">
      <c r="A15" s="80">
        <f t="shared" si="0"/>
        <v>10</v>
      </c>
      <c r="B15" s="201" t="str">
        <f>CONCATENATE(MRS!B15," ",MRS!D15)</f>
        <v xml:space="preserve">Third Party Inspection &amp; Certificate for Wire Rope Sling </v>
      </c>
      <c r="C15" s="202"/>
      <c r="D15" s="81" t="str">
        <f>MRS!G15</f>
        <v>EA</v>
      </c>
      <c r="E15" s="82">
        <f>MRS!H15</f>
        <v>1</v>
      </c>
      <c r="F15" s="83">
        <f>MRS!I15</f>
        <v>55</v>
      </c>
      <c r="G15" s="84">
        <f>MRS!J15</f>
        <v>55</v>
      </c>
      <c r="H15" s="92"/>
    </row>
    <row r="16" spans="1:13" s="51" customFormat="1" ht="32.1" customHeight="1">
      <c r="A16" s="87"/>
      <c r="B16" s="201"/>
      <c r="C16" s="202"/>
      <c r="D16" s="81"/>
      <c r="E16" s="82"/>
      <c r="F16" s="83"/>
      <c r="G16" s="84"/>
      <c r="H16" s="92"/>
    </row>
    <row r="17" spans="1:13" s="51" customFormat="1" ht="32.1" customHeight="1">
      <c r="A17" s="87"/>
      <c r="B17" s="203"/>
      <c r="C17" s="204"/>
      <c r="D17" s="88"/>
      <c r="E17" s="89"/>
      <c r="F17" s="90"/>
      <c r="G17" s="91"/>
      <c r="H17" s="92"/>
    </row>
    <row r="18" spans="1:13" s="51" customFormat="1" ht="23.1" customHeight="1">
      <c r="A18" s="197" t="s">
        <v>79</v>
      </c>
      <c r="B18" s="198"/>
      <c r="C18" s="198"/>
      <c r="D18" s="198"/>
      <c r="E18" s="198"/>
      <c r="F18" s="198"/>
      <c r="G18" s="54">
        <f>SUM(G6:G17)</f>
        <v>1236</v>
      </c>
      <c r="H18" s="55"/>
    </row>
    <row r="19" spans="1:13" s="51" customFormat="1" ht="23.1" customHeight="1">
      <c r="A19" s="197" t="s">
        <v>42</v>
      </c>
      <c r="B19" s="198"/>
      <c r="C19" s="198"/>
      <c r="D19" s="198"/>
      <c r="E19" s="198"/>
      <c r="F19" s="198"/>
      <c r="G19" s="54">
        <f>+G18*0.15</f>
        <v>185.4</v>
      </c>
      <c r="H19" s="55"/>
    </row>
    <row r="20" spans="1:13" s="51" customFormat="1" ht="24.95" customHeight="1" thickBot="1">
      <c r="A20" s="199" t="s">
        <v>80</v>
      </c>
      <c r="B20" s="200"/>
      <c r="C20" s="200"/>
      <c r="D20" s="200"/>
      <c r="E20" s="200"/>
      <c r="F20" s="200"/>
      <c r="G20" s="56">
        <f>G19+G18</f>
        <v>1421.4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SAMOO-DAESHIN-TPI-56-2026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81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87" t="s">
        <v>82</v>
      </c>
      <c r="B24" s="187"/>
      <c r="C24" s="187"/>
      <c r="D24" s="187"/>
      <c r="E24" s="187"/>
      <c r="F24" s="187"/>
      <c r="G24" s="187"/>
      <c r="H24" s="187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2026-09-15T13:05:47Z</cp:lastPrinted>
  <dcterms:created xsi:type="dcterms:W3CDTF">2024-10-20T11:50:19Z</dcterms:created>
  <dcterms:modified xsi:type="dcterms:W3CDTF">2026-09-15T13:05:49Z</dcterms:modified>
</cp:coreProperties>
</file>