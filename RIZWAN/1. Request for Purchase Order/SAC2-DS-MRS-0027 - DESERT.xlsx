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2CE5CACD-8401-4B0A-9D44-ED9AB972396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<sst xmlns="http://schemas.openxmlformats.org/spreadsheetml/2006/main" count="151" uniqueCount="116">
  <si>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</si>
  <si>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</si>
  <si>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</si>
  <si>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</si>
  <si>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</si>
  <si>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</si>
  <si>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</si>
  <si>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</si>
  <si>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</si>
  <si>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</si>
  <si>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</si>
  <si>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</si>
  <si>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</si>
  <si>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</si>
  <si>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</si>
  <si>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</si>
  <si>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</si>
  <si>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</si>
  <si>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</si>
  <si>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</si>
  <si>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</si>
  <si>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</si>
  <si>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</si>
  <si>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</si>
  <si>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</si>
  <si>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</si>
  <si>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</si>
  <si>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</si>
  <si>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</si>
  <si>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</si>
  <si>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</si>
  <si>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</si>
  <si>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</si>
  <si>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</si>
  <si>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</si>
  <si>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</si>
  <si>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</si>
  <si>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</si>
  <si>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</si>
  <si>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</si>
  <si>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</si>
  <si>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</si>
  <si>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</si>
  <si>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</si>
  <si>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</si>
  <si>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</si>
  <si>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</si>
  <si>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</si>
  <si>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</si>
  <si>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</si>
  <si>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</si>
  <si>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</si>
  <si>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</si>
  <si>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</si>
  <si>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</si>
  <si>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</si>
  <si>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</si>
  <si>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</si>
  <si>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</si>
  <si>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</si>
  <si>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</si>
  <si>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</si>
  <si>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</si>
  <si>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</si>
  <si>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</si>
  <si>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</si>
  <si>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</si>
  <si>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</si>
  <si>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</si>
  <si>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</si>
  <si>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</si>
  <si>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</si>
  <si>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</si>
  <si>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</si>
  <si>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</si>
  <si>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</si>
  <si>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</si>
  <si>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</si>
  <si>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</si>
  <si>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</si>
  <si>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</si>
  <si>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</si>
  <si>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</si>
  <si>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</si>
  <si>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</si>
  <si>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</si>
  <si>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</si>
  <si>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</si>
  <si>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</si>
  <si>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</si>
  <si>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</si>
  <si>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</si>
  <si>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</si>
  <si>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</si>
  <si>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</si>
  <si>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</si>
  <si>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</si>
  <si>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</si>
  <si>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</si>
  <si>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</si>
  <si>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</si>
  <si>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</si>
  <si>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Landline: +966 13 362 3735 / Mobile : +966 533121661</t>
  </si>
  <si>
    <t>Hourly</t>
  </si>
  <si>
    <t>Hourly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</si>
  <si>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</si>
  <si>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</si>
  <si>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</si>
  <si>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</si>
  <si>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-MRS-0027</t>
    </r>
  </si>
  <si>
    <t>Light Driver</t>
  </si>
  <si>
    <t>DSCE/DAE/Q-10825</t>
  </si>
  <si>
    <t>Shameer Rehaman</t>
  </si>
  <si>
    <t>+966 53 3121661 / Email:shameer@desertsolutionindus.com</t>
  </si>
  <si>
    <t>Bldg. No. 4645 King Fahad Street, Opposite Jubail Mall, Al Jubail</t>
  </si>
  <si>
    <t>Managing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</si>
</sst>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106</v>
      </c>
      <c r="B1" s="110"/>
      <c r="C1" s="110"/>
      <c r="D1" s="110"/>
      <c r="E1" s="110"/>
      <c r="F1" s="110"/>
      <c r="G1" s="1"/>
      <c r="J1" s="125" t="s">
        <v>91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107</v>
      </c>
      <c r="E2" s="101"/>
      <c r="F2" s="101"/>
      <c r="G2" s="101"/>
      <c r="H2" s="101"/>
      <c r="I2" s="4"/>
      <c r="J2" s="128" t="s">
        <v>105</v>
      </c>
      <c r="K2" s="129"/>
      <c r="L2" s="130"/>
    </row>
    <row r="3" spans="1:19" ht="20.100000000000001" customHeight="1">
      <c r="A3" s="3" t="s">
        <v>109</v>
      </c>
      <c r="B3" s="101"/>
      <c r="C3" s="101"/>
      <c r="D3" s="101"/>
      <c r="E3" s="131">
        <f>+L3</f>
        <v>45690</v>
      </c>
      <c r="F3" s="131"/>
      <c r="G3" s="131"/>
      <c r="H3" s="131"/>
      <c r="I3" s="131"/>
      <c r="J3" s="101"/>
      <c r="K3" s="101"/>
      <c r="L3" s="122">
        <v>45690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96</v>
      </c>
      <c r="J4" s="132" t="s">
        <v>97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110</v>
      </c>
      <c r="C6" s="145"/>
      <c r="D6" s="146"/>
      <c r="E6" s="147"/>
      <c r="F6" s="148"/>
      <c r="G6" s="111" t="s">
        <v>103</v>
      </c>
      <c r="H6" s="112">
        <v>1</v>
      </c>
      <c r="I6" s="113">
        <v>15</v>
      </c>
      <c r="J6" s="113">
        <f>H6*I6</f>
        <v>15</v>
      </c>
      <c r="K6" s="114" t="s">
        <v>99</v>
      </c>
      <c r="L6" s="115" t="s">
        <v>104</v>
      </c>
      <c r="S6" s="106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10" sqref="N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SAC2-DS-MRS-0027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45690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92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Light Driver</v>
      </c>
      <c r="C6" s="163"/>
      <c r="D6" s="164">
        <f>MRS!D6</f>
        <v>0</v>
      </c>
      <c r="E6" s="165"/>
      <c r="F6" s="166"/>
      <c r="G6" s="103" t="str">
        <f>MRS!G6</f>
        <v>Hourly</v>
      </c>
      <c r="H6" s="103">
        <f>MRS!H6</f>
        <v>1</v>
      </c>
      <c r="I6" s="104">
        <f>MRS!I6</f>
        <v>15</v>
      </c>
      <c r="J6" s="104">
        <f>MRS!J6</f>
        <v>15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/>
      <c r="C8" s="168"/>
      <c r="D8" s="169"/>
      <c r="E8" s="170"/>
      <c r="F8" s="171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7"/>
      <c r="C9" s="168"/>
      <c r="D9" s="169"/>
      <c r="E9" s="170"/>
      <c r="F9" s="171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7"/>
      <c r="C10" s="168"/>
      <c r="D10" s="169"/>
      <c r="E10" s="170"/>
      <c r="F10" s="171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7"/>
      <c r="C11" s="168"/>
      <c r="D11" s="169"/>
      <c r="E11" s="170"/>
      <c r="F11" s="171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D11" sqref="D1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76">
        <v>2055104339</v>
      </c>
      <c r="J10" s="39" t="s">
        <v>34</v>
      </c>
      <c r="K10" s="173">
        <f>MRS!L3</f>
        <v>45690</v>
      </c>
      <c r="L10" s="174"/>
      <c r="M10" s="174"/>
    </row>
    <row r="11" spans="2:13" s="39" customFormat="1">
      <c r="B11" s="72"/>
      <c r="C11" s="75" t="s">
        <v>35</v>
      </c>
      <c r="D11" s="76" t="s">
        <v>101</v>
      </c>
      <c r="J11" s="39" t="s">
        <v>36</v>
      </c>
      <c r="K11" s="175" t="str">
        <f>SUBSTITUTE(SUBSTITUTE(+MRS!A3,"  MRS No : ",""),"-MRS","-PO")</f>
        <v>SAC2-DS-PO-0027</v>
      </c>
      <c r="L11" s="175"/>
      <c r="M11" s="175"/>
    </row>
    <row r="12" spans="2:13" s="39" customFormat="1">
      <c r="B12" s="72"/>
      <c r="C12" s="75" t="s">
        <v>37</v>
      </c>
      <c r="D12" s="39" t="s">
        <v>112</v>
      </c>
      <c r="J12" s="39" t="s">
        <v>38</v>
      </c>
    </row>
    <row r="13" spans="2:13" s="39" customFormat="1">
      <c r="B13" s="72"/>
      <c r="C13" s="77"/>
      <c r="D13" s="76" t="s">
        <v>113</v>
      </c>
      <c r="J13" s="39" t="s">
        <v>39</v>
      </c>
    </row>
    <row r="14" spans="2:13" s="39" customFormat="1">
      <c r="B14" s="72"/>
      <c r="C14" s="77" t="s">
        <v>114</v>
      </c>
      <c r="J14" s="39" t="s">
        <v>40</v>
      </c>
      <c r="K14" s="39" t="s">
        <v>111</v>
      </c>
    </row>
    <row r="15" spans="2:13" s="39" customFormat="1">
      <c r="B15" s="72"/>
      <c r="C15" s="77" t="s">
        <v>102</v>
      </c>
      <c r="J15" s="39" t="s">
        <v>41</v>
      </c>
      <c r="K15" s="78">
        <v>45690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110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104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94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Shameer Rehaman</v>
      </c>
    </row>
    <row r="60" spans="1:16" ht="18" customHeight="1">
      <c r="B60" s="26" t="s">
        <v>72</v>
      </c>
      <c r="J60" s="26" t="s">
        <v>73</v>
      </c>
      <c r="K60" s="22" t="s">
        <v>115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108</v>
      </c>
      <c r="J62" s="181" t="str">
        <f>C9</f>
        <v>DSGC(Desert Solution General Contracting Company LLC)</v>
      </c>
      <c r="K62" s="181"/>
      <c r="L62" s="181"/>
      <c r="M62" s="181"/>
    </row>
    <row r="63" spans="1:16" ht="27.95" customHeight="1">
      <c r="A63" s="172" t="s">
        <v>76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SAC2-DS-PO-0027</v>
      </c>
      <c r="C2" s="184" t="s">
        <v>78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45690</v>
      </c>
      <c r="C3" s="51"/>
      <c r="D3" s="52"/>
      <c r="E3" s="185" t="s">
        <v>80</v>
      </c>
      <c r="F3" s="185"/>
      <c r="G3" s="185"/>
      <c r="H3" s="185"/>
      <c r="I3" s="53"/>
    </row>
    <row r="4" spans="1:13" s="55" customFormat="1" ht="28.5" customHeight="1" thickTop="1">
      <c r="A4" s="186" t="s">
        <v>81</v>
      </c>
      <c r="B4" s="188" t="s">
        <v>82</v>
      </c>
      <c r="C4" s="189"/>
      <c r="D4" s="192" t="s">
        <v>83</v>
      </c>
      <c r="E4" s="192" t="s">
        <v>84</v>
      </c>
      <c r="F4" s="194" t="str">
        <f>'PO 1st page'!C9</f>
        <v>DSGC(Desert Solution General Contracting Company LLC)</v>
      </c>
      <c r="G4" s="195"/>
      <c r="H4" s="196" t="s">
        <v>85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86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+'MRS LIST'!B6</f>
        <v>Light Driver</v>
      </c>
      <c r="C6" s="199"/>
      <c r="D6" s="86" t="str">
        <f>+'MRS LIST'!G6</f>
        <v>Hourly</v>
      </c>
      <c r="E6" s="87">
        <f>+'MRS LIST'!H6</f>
        <v>1</v>
      </c>
      <c r="F6" s="88">
        <f>+'MRS LIST'!I6</f>
        <v>15</v>
      </c>
      <c r="G6" s="89">
        <f>+'MRS LIST'!J6</f>
        <v>15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8"/>
      <c r="C7" s="19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87</v>
      </c>
      <c r="B18" s="201"/>
      <c r="C18" s="201"/>
      <c r="D18" s="201"/>
      <c r="E18" s="201"/>
      <c r="F18" s="201"/>
      <c r="G18" s="58">
        <f>SUM(G6:G17)</f>
        <v>15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2.25</v>
      </c>
      <c r="H19" s="59"/>
    </row>
    <row r="20" spans="1:13" s="55" customFormat="1" ht="24.95" customHeight="1" thickBot="1">
      <c r="A20" s="202" t="s">
        <v>88</v>
      </c>
      <c r="B20" s="203"/>
      <c r="C20" s="203"/>
      <c r="D20" s="203"/>
      <c r="E20" s="203"/>
      <c r="F20" s="203"/>
      <c r="G20" s="60">
        <f>G19+G18</f>
        <v>17.25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DSCE/DAE/Q-10825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89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90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2025-02-02T07:31:21Z</cp:lastPrinted>
  <dcterms:created xsi:type="dcterms:W3CDTF">2024-10-20T11:50:19Z</dcterms:created>
  <dcterms:modified xsi:type="dcterms:W3CDTF">2025-06-01T13:53:11Z</dcterms:modified>
</cp:coreProperties>
</file>