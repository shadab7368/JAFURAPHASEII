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7640A72C-6F3E-4C2C-8827-A27C98A26B5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<sst xmlns="http://schemas.openxmlformats.org/spreadsheetml/2006/main" count="153" uniqueCount="117">
  <si>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</si>
  <si>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</si>
  <si>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</si>
  <si>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</si>
  <si>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</si>
  <si>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</si>
  <si>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</si>
  <si>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</si>
  <si>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</si>
  <si>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</si>
  <si>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</si>
  <si>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</si>
  <si>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</si>
  <si>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</si>
  <si>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</si>
  <si>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</si>
  <si>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</si>
  <si>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</si>
  <si>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</si>
  <si>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</si>
  <si>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</si>
  <si>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</si>
  <si>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</si>
  <si>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</si>
  <si>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</si>
  <si>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</si>
  <si>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</si>
  <si>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</si>
  <si>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</si>
  <si>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</si>
  <si>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</si>
  <si>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</si>
  <si>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</si>
  <si>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</si>
  <si>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</si>
  <si>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</si>
  <si>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</si>
  <si>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</si>
  <si>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</si>
  <si>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</si>
  <si>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</si>
  <si>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</si>
  <si>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</si>
  <si>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</si>
  <si>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</si>
  <si>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</si>
  <si>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</si>
  <si>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</si>
  <si>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</si>
  <si>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</si>
  <si>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</si>
  <si>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</si>
  <si>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</si>
  <si>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</si>
  <si>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</si>
  <si>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</si>
  <si>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</si>
  <si>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</si>
  <si>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</si>
  <si>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</si>
  <si>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</si>
  <si>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</si>
  <si>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</si>
  <si>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</si>
  <si>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</si>
  <si>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</si>
  <si>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</si>
  <si>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</si>
  <si>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</si>
  <si>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</si>
  <si>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</si>
  <si>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</si>
  <si>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</si>
  <si>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</si>
  <si>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</si>
  <si>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</si>
  <si>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</si>
  <si>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</si>
  <si>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</si>
  <si>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</si>
  <si>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</si>
  <si>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</si>
  <si>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</si>
  <si>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</si>
  <si>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</si>
  <si>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</si>
  <si>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</si>
  <si>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</si>
  <si>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</si>
  <si>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</si>
  <si>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</si>
  <si>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</si>
  <si>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</si>
  <si>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</si>
  <si>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</si>
  <si>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</si>
  <si>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</si>
  <si>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</si>
  <si>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</si>
  <si>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t>Hourly Based</t>
  </si>
  <si>
    <t>Rigan Khan</t>
  </si>
  <si>
    <t>2055006023</t>
  </si>
  <si>
    <t>300448163100003</t>
  </si>
  <si>
    <t>+966 544290277 / Email:al-aklabi@rigankhan.com</t>
  </si>
  <si>
    <t>Mobile : +966 544290277</t>
  </si>
  <si>
    <t>AMAA</t>
  </si>
  <si>
    <t>AGC-20238877</t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</si>
  <si>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</si>
  <si>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</si>
  <si>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</si>
  <si>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</si>
  <si>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P.O. Box 372, Al Jubail 31951 - KSA</t>
  </si>
  <si>
    <t>BRANCH OF HYUNDAI ENG. &amp; CONST. CO., LTD.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</si>
  <si>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</si>
  <si>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-MRS-0093</t>
    </r>
  </si>
  <si>
    <t>Stainless Steel Welder</t>
  </si>
  <si>
    <t>AMAA(Abdullah Mohammed Al-Aklabi for Gen. Cont. 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</si>
</sst>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10528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110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107</v>
      </c>
      <c r="E2" s="101"/>
      <c r="F2" s="101"/>
      <c r="G2" s="101"/>
      <c r="H2" s="101"/>
      <c r="I2" s="4"/>
      <c r="J2" s="144" t="s">
        <v>109</v>
      </c>
      <c r="K2" s="145"/>
      <c r="L2" s="146"/>
    </row>
    <row r="3" spans="1:19" ht="20.100000000000001" customHeight="1">
      <c r="A3" s="3" t="s">
        <v>114</v>
      </c>
      <c r="B3" s="101"/>
      <c r="C3" s="101"/>
      <c r="D3" s="101"/>
      <c r="E3" s="147">
        <f>+L3</f>
        <v>45864</v>
      </c>
      <c r="F3" s="147"/>
      <c r="G3" s="147"/>
      <c r="H3" s="147"/>
      <c r="I3" s="147"/>
      <c r="J3" s="101"/>
      <c r="K3" s="101"/>
      <c r="L3" s="122">
        <v>45864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95</v>
      </c>
      <c r="J4" s="148" t="s">
        <v>96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115</v>
      </c>
      <c r="C6" s="130"/>
      <c r="D6" s="131"/>
      <c r="E6" s="132"/>
      <c r="F6" s="133"/>
      <c r="G6" s="111" t="s">
        <v>108</v>
      </c>
      <c r="H6" s="112">
        <v>1</v>
      </c>
      <c r="I6" s="113">
        <v>54</v>
      </c>
      <c r="J6" s="113">
        <f>H6*I6</f>
        <v>54</v>
      </c>
      <c r="K6" s="114" t="s">
        <v>105</v>
      </c>
      <c r="L6" s="115" t="s">
        <v>99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54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SAC2-DS-MRS-0093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45864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Stainless Steel Welder</v>
      </c>
      <c r="C6" s="166"/>
      <c r="D6" s="167">
        <f>MRS!D6</f>
        <v>0</v>
      </c>
      <c r="E6" s="168"/>
      <c r="F6" s="169"/>
      <c r="G6" s="103" t="str">
        <f>MRS!G6</f>
        <v>Hour</v>
      </c>
      <c r="H6" s="103">
        <f>MRS!H6</f>
        <v>1</v>
      </c>
      <c r="I6" s="104">
        <f>MRS!I6</f>
        <v>54</v>
      </c>
      <c r="J6" s="104">
        <f>MRS!J6</f>
        <v>54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32" sqref="K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116</v>
      </c>
      <c r="D9" s="39"/>
      <c r="E9" s="39"/>
    </row>
    <row r="10" spans="2:13" s="39" customFormat="1">
      <c r="B10" s="72"/>
      <c r="C10" s="39" t="s">
        <v>32</v>
      </c>
      <c r="D10" s="76" t="s">
        <v>101</v>
      </c>
      <c r="J10" s="39" t="s">
        <v>33</v>
      </c>
      <c r="K10" s="173">
        <f>MRS!L3</f>
        <v>45864</v>
      </c>
      <c r="L10" s="174"/>
      <c r="M10" s="174"/>
    </row>
    <row r="11" spans="2:13" s="39" customFormat="1">
      <c r="B11" s="72"/>
      <c r="C11" s="75" t="s">
        <v>34</v>
      </c>
      <c r="D11" s="76" t="s">
        <v>102</v>
      </c>
      <c r="J11" s="39" t="s">
        <v>35</v>
      </c>
      <c r="K11" s="175" t="str">
        <f>SUBSTITUTE(SUBSTITUTE(+MRS!A3,"  MRS No : ",""),"-MRS","-PO")</f>
        <v>SAC2-DS-PO-0093</v>
      </c>
      <c r="L11" s="175"/>
      <c r="M11" s="175"/>
    </row>
    <row r="12" spans="2:13" s="39" customFormat="1">
      <c r="B12" s="72"/>
      <c r="C12" s="75" t="s">
        <v>36</v>
      </c>
      <c r="D12" s="39" t="s">
        <v>100</v>
      </c>
      <c r="J12" s="39" t="s">
        <v>37</v>
      </c>
    </row>
    <row r="13" spans="2:13" s="39" customFormat="1">
      <c r="B13" s="72"/>
      <c r="C13" s="77"/>
      <c r="D13" s="76" t="s">
        <v>103</v>
      </c>
      <c r="J13" s="39" t="s">
        <v>38</v>
      </c>
    </row>
    <row r="14" spans="2:13" s="39" customFormat="1">
      <c r="B14" s="72"/>
      <c r="C14" s="77" t="s">
        <v>111</v>
      </c>
      <c r="J14" s="39" t="s">
        <v>39</v>
      </c>
      <c r="K14" s="39" t="s">
        <v>106</v>
      </c>
    </row>
    <row r="15" spans="2:13" s="39" customFormat="1">
      <c r="B15" s="72"/>
      <c r="C15" s="77" t="s">
        <v>104</v>
      </c>
      <c r="J15" s="39" t="s">
        <v>40</v>
      </c>
      <c r="K15" s="78">
        <v>45864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115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99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">
        <v>100</v>
      </c>
    </row>
    <row r="60" spans="1:16" ht="18" customHeight="1">
      <c r="B60" s="26" t="s">
        <v>71</v>
      </c>
      <c r="J60" s="26" t="s">
        <v>72</v>
      </c>
      <c r="K60" s="22" t="s">
        <v>98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113</v>
      </c>
      <c r="J62" s="181" t="str">
        <f>C9</f>
        <v>AMAA(Abdullah Mohammed Al-Aklabi for Gen. Cont. Est.)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6" sqref="G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SAC2-DS-PO-0093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45864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AMAA(Abdullah Mohammed Al-Aklabi for Gen. Cont. Est.)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+'MRS LIST'!B6</f>
        <v>Stainless Steel Welder</v>
      </c>
      <c r="C6" s="189"/>
      <c r="D6" s="86" t="str">
        <f>+'MRS LIST'!G6</f>
        <v>Hour</v>
      </c>
      <c r="E6" s="87">
        <f>+'MRS LIST'!H6</f>
        <v>1</v>
      </c>
      <c r="F6" s="88">
        <f>+'MRS LIST'!I6</f>
        <v>54</v>
      </c>
      <c r="G6" s="89">
        <f>+'MRS LIST'!J6</f>
        <v>54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8"/>
      <c r="C7" s="18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/>
      <c r="C8" s="189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54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8.1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62.1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2025-07-26T12:38:32Z</cp:lastPrinted>
  <dcterms:created xsi:type="dcterms:W3CDTF">2024-10-20T11:50:19Z</dcterms:created>
  <dcterms:modified xsi:type="dcterms:W3CDTF">2025-07-26T12:40:33Z</dcterms:modified>
</cp:coreProperties>
</file>