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8081140-B2E6-43AE-9C98-7414A790D271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G8" i="4"/>
  <c r="G9" i="4"/>
  <c r="G10" i="4"/>
  <c r="G11" i="4"/>
  <c r="G12" i="4"/>
  <c r="G13" i="4"/>
  <c r="G14" i="4"/>
  <c r="F8" i="4"/>
  <c r="F9" i="4"/>
  <c r="F10" i="4"/>
  <c r="F11" i="4"/>
  <c r="F12" i="4"/>
  <c r="F13" i="4"/>
  <c r="F14" i="4"/>
  <c r="E8" i="4"/>
  <c r="E9" i="4"/>
  <c r="E10" i="4"/>
  <c r="E11" i="4"/>
  <c r="E12" i="4"/>
  <c r="E13" i="4"/>
  <c r="E14" i="4"/>
  <c r="D8" i="4"/>
  <c r="D9" i="4"/>
  <c r="D10" i="4"/>
  <c r="D11" i="4"/>
  <c r="D12" i="4"/>
  <c r="D13" i="4"/>
  <c r="D14" i="4"/>
  <c r="B14" i="4"/>
  <c r="B13" i="4"/>
  <c r="B12" i="4"/>
  <c r="B11" i="4"/>
  <c r="B10" i="4"/>
  <c r="B9" i="4"/>
  <c r="B8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16" i="1" l="1"/>
  <c r="K67" i="3"/>
  <c r="E3" i="1"/>
  <c r="E7" i="4"/>
  <c r="D7" i="4"/>
  <c r="K10" i="3" l="1"/>
  <c r="A25" i="4" l="1"/>
  <c r="G7" i="4"/>
  <c r="F7" i="4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<sst xmlns="http://schemas.openxmlformats.org/spreadsheetml/2006/main" count="179" uniqueCount="142">
  <si>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</si>
  <si>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</si>
  <si>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</si>
  <si>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</si>
  <si>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</si>
  <si>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</si>
  <si>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</si>
  <si>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</si>
  <si>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</si>
  <si>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</si>
  <si>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</si>
  <si>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</si>
  <si>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</si>
  <si>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</si>
  <si>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</si>
  <si>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</si>
  <si>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</si>
  <si>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</si>
  <si>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</si>
  <si>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</si>
  <si>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</si>
  <si>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</si>
  <si>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</si>
  <si>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</si>
  <si>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</si>
  <si>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</si>
  <si>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</si>
  <si>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</si>
  <si>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</si>
  <si>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</si>
  <si>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</si>
  <si>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</si>
  <si>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</si>
  <si>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</si>
  <si>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</si>
  <si>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</si>
  <si>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</si>
  <si>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</si>
  <si>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</si>
  <si>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</si>
  <si>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</si>
  <si>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</si>
  <si>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</si>
  <si>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</si>
  <si>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</si>
  <si>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</si>
  <si>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</si>
  <si>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</si>
  <si>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</si>
  <si>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</si>
  <si>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</si>
  <si>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</si>
  <si>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</si>
  <si>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</si>
  <si>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</si>
  <si>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</si>
  <si>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</si>
  <si>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</si>
  <si>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</si>
  <si>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</si>
  <si>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</si>
  <si>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</si>
  <si>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</si>
  <si>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</si>
  <si>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</si>
  <si>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</si>
  <si>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</si>
  <si>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</si>
  <si>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</si>
  <si>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</si>
  <si>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</si>
  <si>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</si>
  <si>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</si>
  <si>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</si>
  <si>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</si>
  <si>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</si>
  <si>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</si>
  <si>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</si>
  <si>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</si>
  <si>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</si>
  <si>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</si>
  <si>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</si>
  <si>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</si>
  <si>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</si>
  <si>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</si>
  <si>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</si>
  <si>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</si>
  <si>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</si>
  <si>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</si>
  <si>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</si>
  <si>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</si>
  <si>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</si>
  <si>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</si>
  <si>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</si>
  <si>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</si>
  <si>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</si>
  <si>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</si>
  <si>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</si>
  <si>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</si>
  <si>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</si>
  <si>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</si>
  <si>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</si>
  <si>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</si>
  <si>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</si>
  <si>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</si>
  <si>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</si>
  <si>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</si>
  <si>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</si>
  <si>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</si>
  <si>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</si>
  <si>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</si>
  <si>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</si>
  <si>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</si>
  <si>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-MRS-0206</t>
    </r>
  </si>
  <si>
    <t>OSAZ</t>
  </si>
  <si>
    <t>CS SCH-160 PIPE</t>
  </si>
  <si>
    <t xml:space="preserve"> 6" X 6MTR</t>
  </si>
  <si>
    <t xml:space="preserve"> 2" X 6MTR</t>
  </si>
  <si>
    <t xml:space="preserve"> 1/2" X 6MTR</t>
  </si>
  <si>
    <t xml:space="preserve"> 6" S-160 CS PIPE 200MM LONG</t>
  </si>
  <si>
    <t>BEVELLING</t>
  </si>
  <si>
    <t>2" S-160 CS PIPE 200MM LONG</t>
  </si>
  <si>
    <t>PANEL BOARD</t>
  </si>
  <si>
    <t>FABRICATED 500A</t>
  </si>
  <si>
    <t>FABRICATED 200A</t>
  </si>
  <si>
    <t>XLPE/CU/PVC CABLE</t>
  </si>
  <si>
    <t>4C X 50MM²</t>
  </si>
  <si>
    <t xml:space="preserve"> 4C X 35MM²</t>
  </si>
  <si>
    <t>EA</t>
  </si>
  <si>
    <t>SET</t>
  </si>
  <si>
    <t>MTR</t>
  </si>
  <si>
    <t>Electrical Items</t>
  </si>
  <si>
    <t>2055009599</t>
  </si>
  <si>
    <t>300512826400003</t>
  </si>
  <si>
    <t>OSAZ(Omar Saleh Abdullah Al-Zahrani Electricals)</t>
  </si>
  <si>
    <t>Akhil</t>
  </si>
  <si>
    <t>Email; akhil@osazelectricals.sa</t>
  </si>
  <si>
    <t>Building No. 3350,King Fahad Street-8603,Al Dana Dist. Al Jubail 35514, KSA</t>
  </si>
  <si>
    <t xml:space="preserve">Mobile: </t>
  </si>
  <si>
    <t>OMAR SALEH ABDULLAH AL-ZAHRANI ELECTRICALS</t>
  </si>
  <si>
    <t>95900001286307</t>
  </si>
  <si>
    <t>SA4510000095900001286307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</si>
</sst>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26" t="s">
        <v>87</v>
      </c>
      <c r="K1" s="127"/>
      <c r="L1" s="128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29" t="s">
        <v>94</v>
      </c>
      <c r="K2" s="130"/>
      <c r="L2" s="131"/>
    </row>
    <row r="3" spans="1:18" ht="20.100000000000001" customHeight="1">
      <c r="A3" s="3" t="s">
        <v>113</v>
      </c>
      <c r="B3" s="93"/>
      <c r="C3" s="93"/>
      <c r="D3" s="93"/>
      <c r="E3" s="132">
        <f>+L3</f>
        <v>46036</v>
      </c>
      <c r="F3" s="132"/>
      <c r="G3" s="132"/>
      <c r="H3" s="132"/>
      <c r="I3" s="132"/>
      <c r="J3" s="93"/>
      <c r="K3" s="93"/>
      <c r="L3" s="105">
        <v>46036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33" t="s">
        <v>6</v>
      </c>
      <c r="I4" s="133" t="s">
        <v>91</v>
      </c>
      <c r="J4" s="135" t="s">
        <v>92</v>
      </c>
      <c r="K4" s="133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34"/>
      <c r="I5" s="134"/>
      <c r="J5" s="135"/>
      <c r="K5" s="134"/>
      <c r="L5" s="136"/>
    </row>
    <row r="6" spans="1:18" ht="30" customHeight="1">
      <c r="A6" s="5">
        <f t="shared" ref="A6:A14" si="0">ROW(A1)</f>
        <v>1</v>
      </c>
      <c r="B6" s="121" t="s">
        <v>115</v>
      </c>
      <c r="C6" s="122"/>
      <c r="D6" s="123" t="s">
        <v>116</v>
      </c>
      <c r="E6" s="124"/>
      <c r="F6" s="125"/>
      <c r="G6" s="112" t="s">
        <v>128</v>
      </c>
      <c r="H6" s="112">
        <v>8</v>
      </c>
      <c r="I6" s="113">
        <v>4150</v>
      </c>
      <c r="J6" s="100">
        <f>H6*I6</f>
        <v>33200</v>
      </c>
      <c r="K6" s="101" t="s">
        <v>114</v>
      </c>
      <c r="L6" s="102" t="s">
        <v>99</v>
      </c>
      <c r="R6" s="98"/>
    </row>
    <row r="7" spans="1:18" ht="30" customHeight="1">
      <c r="A7" s="5">
        <f t="shared" si="0"/>
        <v>2</v>
      </c>
      <c r="B7" s="121" t="s">
        <v>115</v>
      </c>
      <c r="C7" s="122"/>
      <c r="D7" s="123" t="s">
        <v>117</v>
      </c>
      <c r="E7" s="124"/>
      <c r="F7" s="125"/>
      <c r="G7" s="112" t="s">
        <v>128</v>
      </c>
      <c r="H7" s="112">
        <v>4</v>
      </c>
      <c r="I7" s="113">
        <v>1100</v>
      </c>
      <c r="J7" s="100">
        <f t="shared" ref="J7:J15" si="1">H7*I7</f>
        <v>4400</v>
      </c>
      <c r="K7" s="101"/>
      <c r="L7" s="102"/>
      <c r="R7" s="98"/>
    </row>
    <row r="8" spans="1:18" ht="23.25" customHeight="1">
      <c r="A8" s="5">
        <f t="shared" si="0"/>
        <v>3</v>
      </c>
      <c r="B8" s="121" t="s">
        <v>115</v>
      </c>
      <c r="C8" s="122"/>
      <c r="D8" s="123" t="s">
        <v>118</v>
      </c>
      <c r="E8" s="124"/>
      <c r="F8" s="125"/>
      <c r="G8" s="112" t="s">
        <v>128</v>
      </c>
      <c r="H8" s="112">
        <v>4</v>
      </c>
      <c r="I8" s="113">
        <v>190</v>
      </c>
      <c r="J8" s="100">
        <f t="shared" si="1"/>
        <v>760</v>
      </c>
      <c r="K8" s="101"/>
      <c r="L8" s="102"/>
      <c r="R8" s="98"/>
    </row>
    <row r="9" spans="1:18" ht="23.25" customHeight="1">
      <c r="A9" s="5">
        <f t="shared" si="0"/>
        <v>4</v>
      </c>
      <c r="B9" s="121" t="s">
        <v>120</v>
      </c>
      <c r="C9" s="122"/>
      <c r="D9" s="123" t="s">
        <v>119</v>
      </c>
      <c r="E9" s="124"/>
      <c r="F9" s="125"/>
      <c r="G9" s="112" t="s">
        <v>128</v>
      </c>
      <c r="H9" s="112">
        <v>366</v>
      </c>
      <c r="I9" s="113">
        <v>65</v>
      </c>
      <c r="J9" s="100">
        <f t="shared" si="1"/>
        <v>23790</v>
      </c>
      <c r="K9" s="101"/>
      <c r="L9" s="102"/>
      <c r="R9" s="98"/>
    </row>
    <row r="10" spans="1:18" ht="23.25" customHeight="1">
      <c r="A10" s="5">
        <f t="shared" si="0"/>
        <v>5</v>
      </c>
      <c r="B10" s="121" t="s">
        <v>120</v>
      </c>
      <c r="C10" s="122"/>
      <c r="D10" s="123" t="s">
        <v>121</v>
      </c>
      <c r="E10" s="124"/>
      <c r="F10" s="125"/>
      <c r="G10" s="112" t="s">
        <v>128</v>
      </c>
      <c r="H10" s="112">
        <v>120</v>
      </c>
      <c r="I10" s="113">
        <v>20</v>
      </c>
      <c r="J10" s="100">
        <f t="shared" si="1"/>
        <v>2400</v>
      </c>
      <c r="K10" s="101"/>
      <c r="L10" s="102"/>
      <c r="R10" s="98"/>
    </row>
    <row r="11" spans="1:18" ht="23.25" customHeight="1">
      <c r="A11" s="5">
        <f t="shared" si="0"/>
        <v>6</v>
      </c>
      <c r="B11" s="121" t="s">
        <v>122</v>
      </c>
      <c r="C11" s="122"/>
      <c r="D11" s="123" t="s">
        <v>123</v>
      </c>
      <c r="E11" s="124"/>
      <c r="F11" s="125"/>
      <c r="G11" s="112" t="s">
        <v>129</v>
      </c>
      <c r="H11" s="112">
        <v>10</v>
      </c>
      <c r="I11" s="113">
        <v>8900</v>
      </c>
      <c r="J11" s="100">
        <f t="shared" si="1"/>
        <v>89000</v>
      </c>
      <c r="K11" s="101"/>
      <c r="L11" s="102"/>
      <c r="R11" s="98"/>
    </row>
    <row r="12" spans="1:18" ht="23.25" customHeight="1">
      <c r="A12" s="5">
        <f t="shared" si="0"/>
        <v>7</v>
      </c>
      <c r="B12" s="121" t="s">
        <v>122</v>
      </c>
      <c r="C12" s="122"/>
      <c r="D12" s="123" t="s">
        <v>124</v>
      </c>
      <c r="E12" s="124"/>
      <c r="F12" s="125"/>
      <c r="G12" s="112" t="s">
        <v>129</v>
      </c>
      <c r="H12" s="112">
        <v>4</v>
      </c>
      <c r="I12" s="113">
        <v>6000</v>
      </c>
      <c r="J12" s="100">
        <f t="shared" si="1"/>
        <v>24000</v>
      </c>
      <c r="K12" s="101"/>
      <c r="L12" s="102"/>
      <c r="R12" s="98"/>
    </row>
    <row r="13" spans="1:18" ht="23.25" customHeight="1">
      <c r="A13" s="5">
        <f t="shared" si="0"/>
        <v>8</v>
      </c>
      <c r="B13" s="121" t="s">
        <v>125</v>
      </c>
      <c r="C13" s="122"/>
      <c r="D13" s="123" t="s">
        <v>126</v>
      </c>
      <c r="E13" s="124"/>
      <c r="F13" s="125"/>
      <c r="G13" s="112" t="s">
        <v>130</v>
      </c>
      <c r="H13" s="112">
        <v>100</v>
      </c>
      <c r="I13" s="113">
        <v>111.5</v>
      </c>
      <c r="J13" s="100">
        <f t="shared" si="1"/>
        <v>11150</v>
      </c>
      <c r="K13" s="101"/>
      <c r="L13" s="102"/>
      <c r="R13" s="98"/>
    </row>
    <row r="14" spans="1:18" ht="23.25" customHeight="1">
      <c r="A14" s="5">
        <f t="shared" si="0"/>
        <v>9</v>
      </c>
      <c r="B14" s="121" t="s">
        <v>125</v>
      </c>
      <c r="C14" s="122"/>
      <c r="D14" s="123" t="s">
        <v>127</v>
      </c>
      <c r="E14" s="124"/>
      <c r="F14" s="125"/>
      <c r="G14" s="112" t="s">
        <v>130</v>
      </c>
      <c r="H14" s="112">
        <v>100</v>
      </c>
      <c r="I14" s="113">
        <v>82.5</v>
      </c>
      <c r="J14" s="100">
        <f t="shared" si="1"/>
        <v>8250</v>
      </c>
      <c r="K14" s="101"/>
      <c r="L14" s="102"/>
      <c r="R14" s="98"/>
    </row>
    <row r="15" spans="1:18" ht="23.25" customHeight="1">
      <c r="A15" s="5"/>
      <c r="B15" s="121"/>
      <c r="C15" s="122"/>
      <c r="D15" s="123"/>
      <c r="E15" s="124"/>
      <c r="F15" s="125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45" t="s">
        <v>8</v>
      </c>
      <c r="B16" s="146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196950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7" t="s">
        <v>11</v>
      </c>
      <c r="S18" s="13" t="s">
        <v>12</v>
      </c>
    </row>
    <row r="19" spans="1:19" ht="50.1" customHeight="1">
      <c r="R19" s="148"/>
      <c r="S19" s="15"/>
    </row>
    <row r="20" spans="1:19" ht="17.100000000000001" customHeight="1">
      <c r="O20" s="11"/>
      <c r="P20" s="11"/>
      <c r="R20" s="149"/>
      <c r="S20" s="15" t="s">
        <v>13</v>
      </c>
    </row>
    <row r="21" spans="1:19" ht="15" customHeight="1">
      <c r="O21" s="17" t="s">
        <v>14</v>
      </c>
      <c r="P21" s="150" t="s">
        <v>15</v>
      </c>
    </row>
    <row r="22" spans="1:19" ht="18" customHeight="1">
      <c r="O22" s="18" t="s">
        <v>16</v>
      </c>
      <c r="P22" s="151"/>
      <c r="R22" s="147" t="s">
        <v>17</v>
      </c>
      <c r="S22" s="12" t="s">
        <v>12</v>
      </c>
    </row>
    <row r="23" spans="1:19" ht="50.1" customHeight="1">
      <c r="O23" s="14"/>
      <c r="P23" s="14"/>
      <c r="R23" s="148"/>
      <c r="S23" s="19"/>
    </row>
    <row r="24" spans="1:19" ht="17.100000000000001" customHeight="1">
      <c r="O24" s="16" t="s">
        <v>13</v>
      </c>
      <c r="P24" s="16" t="s">
        <v>13</v>
      </c>
      <c r="R24" s="14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2"/>
      <c r="P27" s="152"/>
    </row>
    <row r="28" spans="1:19" ht="19.899999999999999" customHeight="1">
      <c r="O28" s="152"/>
      <c r="P28" s="15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0" t="s">
        <v>18</v>
      </c>
      <c r="P46" s="150" t="s">
        <v>18</v>
      </c>
      <c r="S46" s="150" t="s">
        <v>12</v>
      </c>
    </row>
    <row r="47" spans="15:19" ht="21" customHeight="1">
      <c r="O47" s="151"/>
      <c r="P47" s="151"/>
      <c r="S47" s="14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0" t="s">
        <v>18</v>
      </c>
      <c r="P50" s="150" t="s">
        <v>18</v>
      </c>
      <c r="S50" s="150" t="s">
        <v>19</v>
      </c>
    </row>
    <row r="51" spans="15:19" ht="21" customHeight="1">
      <c r="O51" s="151"/>
      <c r="P51" s="151"/>
      <c r="S51" s="149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SAC2-DS-MRS-0206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46036</v>
      </c>
    </row>
    <row r="4" spans="1:18" ht="15.95" customHeight="1">
      <c r="A4" s="158" t="s">
        <v>2</v>
      </c>
      <c r="B4" s="159" t="s">
        <v>20</v>
      </c>
      <c r="C4" s="159"/>
      <c r="D4" s="158" t="s">
        <v>4</v>
      </c>
      <c r="E4" s="158"/>
      <c r="F4" s="158"/>
      <c r="G4" s="159" t="s">
        <v>5</v>
      </c>
      <c r="H4" s="158" t="s">
        <v>88</v>
      </c>
      <c r="I4" s="158" t="s">
        <v>21</v>
      </c>
      <c r="J4" s="158" t="s">
        <v>22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53" t="str">
        <f>MRS!B6</f>
        <v>CS SCH-160 PIPE</v>
      </c>
      <c r="C6" s="154"/>
      <c r="D6" s="155" t="str">
        <f>MRS!D6</f>
        <v xml:space="preserve"> 6" X 6MTR</v>
      </c>
      <c r="E6" s="156"/>
      <c r="F6" s="157"/>
      <c r="G6" s="95" t="str">
        <f>MRS!G6</f>
        <v>EA</v>
      </c>
      <c r="H6" s="95">
        <f>MRS!H6</f>
        <v>8</v>
      </c>
      <c r="I6" s="96">
        <f>MRS!I6</f>
        <v>4150</v>
      </c>
      <c r="J6" s="96">
        <f>MRS!J6</f>
        <v>33200</v>
      </c>
      <c r="K6" s="97"/>
      <c r="O6" s="98"/>
      <c r="P6" s="98"/>
      <c r="R6" s="98"/>
    </row>
    <row r="7" spans="1:18" ht="105" customHeight="1">
      <c r="A7" s="21">
        <f>+MRS!A7</f>
        <v>2</v>
      </c>
      <c r="B7" s="153" t="str">
        <f>MRS!B7</f>
        <v>CS SCH-160 PIPE</v>
      </c>
      <c r="C7" s="154"/>
      <c r="D7" s="155" t="str">
        <f>MRS!D7</f>
        <v xml:space="preserve"> 2" X 6MTR</v>
      </c>
      <c r="E7" s="156"/>
      <c r="F7" s="157"/>
      <c r="G7" s="95" t="str">
        <f>MRS!G7</f>
        <v>EA</v>
      </c>
      <c r="H7" s="95">
        <f>MRS!H7</f>
        <v>4</v>
      </c>
      <c r="I7" s="96">
        <f>MRS!I7</f>
        <v>1100</v>
      </c>
      <c r="J7" s="96">
        <f>MRS!J7</f>
        <v>4400</v>
      </c>
      <c r="K7" s="97"/>
      <c r="O7" s="98"/>
      <c r="P7" s="98"/>
      <c r="R7" s="98"/>
    </row>
    <row r="8" spans="1:18" ht="105" customHeight="1">
      <c r="A8" s="21">
        <f>+MRS!A8</f>
        <v>3</v>
      </c>
      <c r="B8" s="153" t="str">
        <f>MRS!B8</f>
        <v>CS SCH-160 PIPE</v>
      </c>
      <c r="C8" s="154"/>
      <c r="D8" s="155" t="str">
        <f>MRS!D8</f>
        <v xml:space="preserve"> 1/2" X 6MTR</v>
      </c>
      <c r="E8" s="156"/>
      <c r="F8" s="157"/>
      <c r="G8" s="95" t="str">
        <f>MRS!G8</f>
        <v>EA</v>
      </c>
      <c r="H8" s="95">
        <f>MRS!H8</f>
        <v>4</v>
      </c>
      <c r="I8" s="96">
        <f>MRS!I8</f>
        <v>190</v>
      </c>
      <c r="J8" s="96">
        <f>MRS!J8</f>
        <v>760</v>
      </c>
      <c r="K8" s="97"/>
      <c r="O8" s="98"/>
      <c r="P8" s="98"/>
      <c r="R8" s="98"/>
    </row>
    <row r="9" spans="1:18" ht="105" customHeight="1">
      <c r="A9" s="21">
        <f>+MRS!A9</f>
        <v>4</v>
      </c>
      <c r="B9" s="153" t="str">
        <f>MRS!B9</f>
        <v>BEVELLING</v>
      </c>
      <c r="C9" s="154"/>
      <c r="D9" s="155" t="str">
        <f>MRS!D9</f>
        <v xml:space="preserve"> 6" S-160 CS PIPE 200MM LONG</v>
      </c>
      <c r="E9" s="156"/>
      <c r="F9" s="157"/>
      <c r="G9" s="95" t="str">
        <f>MRS!G9</f>
        <v>EA</v>
      </c>
      <c r="H9" s="95">
        <f>MRS!H9</f>
        <v>366</v>
      </c>
      <c r="I9" s="96">
        <f>MRS!I9</f>
        <v>65</v>
      </c>
      <c r="J9" s="96">
        <f>MRS!J9</f>
        <v>23790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3" t="str">
        <f>MRS!B10</f>
        <v>BEVELLING</v>
      </c>
      <c r="C10" s="154"/>
      <c r="D10" s="155" t="str">
        <f>MRS!D10</f>
        <v>2" S-160 CS PIPE 200MM LONG</v>
      </c>
      <c r="E10" s="156"/>
      <c r="F10" s="157"/>
      <c r="G10" s="95" t="str">
        <f>MRS!G10</f>
        <v>EA</v>
      </c>
      <c r="H10" s="95">
        <f>MRS!H10</f>
        <v>120</v>
      </c>
      <c r="I10" s="96">
        <f>MRS!I10</f>
        <v>20</v>
      </c>
      <c r="J10" s="96">
        <f>MRS!J10</f>
        <v>2400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3" t="str">
        <f>MRS!B11</f>
        <v>PANEL BOARD</v>
      </c>
      <c r="C11" s="154"/>
      <c r="D11" s="155" t="str">
        <f>MRS!D11</f>
        <v>FABRICATED 500A</v>
      </c>
      <c r="E11" s="156"/>
      <c r="F11" s="157"/>
      <c r="G11" s="95" t="str">
        <f>MRS!G11</f>
        <v>SET</v>
      </c>
      <c r="H11" s="95">
        <f>MRS!H11</f>
        <v>10</v>
      </c>
      <c r="I11" s="96">
        <f>MRS!I11</f>
        <v>8900</v>
      </c>
      <c r="J11" s="96">
        <f>MRS!J11</f>
        <v>89000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53" t="str">
        <f>MRS!B12</f>
        <v>PANEL BOARD</v>
      </c>
      <c r="C12" s="154"/>
      <c r="D12" s="155" t="str">
        <f>MRS!D12</f>
        <v>FABRICATED 200A</v>
      </c>
      <c r="E12" s="156"/>
      <c r="F12" s="157"/>
      <c r="G12" s="95" t="str">
        <f>MRS!G12</f>
        <v>SET</v>
      </c>
      <c r="H12" s="95">
        <f>MRS!H12</f>
        <v>4</v>
      </c>
      <c r="I12" s="96">
        <f>MRS!I12</f>
        <v>6000</v>
      </c>
      <c r="J12" s="96">
        <f>MRS!J12</f>
        <v>24000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53" t="str">
        <f>MRS!B13</f>
        <v>XLPE/CU/PVC CABLE</v>
      </c>
      <c r="C13" s="154"/>
      <c r="D13" s="155" t="str">
        <f>MRS!D13</f>
        <v>4C X 50MM²</v>
      </c>
      <c r="E13" s="156"/>
      <c r="F13" s="157"/>
      <c r="G13" s="95" t="str">
        <f>MRS!G13</f>
        <v>MTR</v>
      </c>
      <c r="H13" s="95">
        <f>MRS!H13</f>
        <v>100</v>
      </c>
      <c r="I13" s="96">
        <f>MRS!I13</f>
        <v>111.5</v>
      </c>
      <c r="J13" s="96">
        <f>MRS!J13</f>
        <v>11150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53" t="str">
        <f>MRS!B14</f>
        <v>XLPE/CU/PVC CABLE</v>
      </c>
      <c r="C14" s="154"/>
      <c r="D14" s="155" t="str">
        <f>MRS!D14</f>
        <v xml:space="preserve"> 4C X 35MM²</v>
      </c>
      <c r="E14" s="156"/>
      <c r="F14" s="157"/>
      <c r="G14" s="95" t="str">
        <f>MRS!G14</f>
        <v>MTR</v>
      </c>
      <c r="H14" s="95">
        <f>MRS!H14</f>
        <v>100</v>
      </c>
      <c r="I14" s="96">
        <f>MRS!I14</f>
        <v>82.5</v>
      </c>
      <c r="J14" s="96">
        <f>MRS!J14</f>
        <v>8250</v>
      </c>
      <c r="K14" s="97"/>
      <c r="O14" s="98"/>
      <c r="P14" s="98"/>
      <c r="R14" s="98"/>
    </row>
    <row r="15" spans="1:18" ht="105" customHeight="1">
      <c r="A15" s="21">
        <f>+MRS!A15</f>
        <v>0</v>
      </c>
      <c r="B15" s="153">
        <f>MRS!B15</f>
        <v>0</v>
      </c>
      <c r="C15" s="154"/>
      <c r="D15" s="155">
        <f>MRS!D15</f>
        <v>0</v>
      </c>
      <c r="E15" s="156"/>
      <c r="F15" s="157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53"/>
      <c r="C16" s="154"/>
      <c r="D16" s="155"/>
      <c r="E16" s="156"/>
      <c r="F16" s="15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3"/>
      <c r="C17" s="154"/>
      <c r="D17" s="155"/>
      <c r="E17" s="156"/>
      <c r="F17" s="15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3"/>
      <c r="C18" s="154"/>
      <c r="D18" s="155"/>
      <c r="E18" s="156"/>
      <c r="F18" s="15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3"/>
      <c r="C19" s="154"/>
      <c r="D19" s="155"/>
      <c r="E19" s="156"/>
      <c r="F19" s="15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3"/>
      <c r="C20" s="154"/>
      <c r="D20" s="155"/>
      <c r="E20" s="156"/>
      <c r="F20" s="15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3"/>
      <c r="C21" s="154"/>
      <c r="D21" s="155"/>
      <c r="E21" s="156"/>
      <c r="F21" s="15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D11" sqref="D1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134</v>
      </c>
      <c r="D9" s="38"/>
      <c r="E9" s="38"/>
    </row>
    <row r="10" spans="2:13" s="38" customFormat="1">
      <c r="B10" s="69"/>
      <c r="C10" s="38" t="s">
        <v>29</v>
      </c>
      <c r="D10" s="73" t="s">
        <v>132</v>
      </c>
      <c r="J10" s="38" t="s">
        <v>30</v>
      </c>
      <c r="K10" s="161">
        <f>MRS!L3</f>
        <v>46036</v>
      </c>
      <c r="L10" s="162"/>
      <c r="M10" s="162"/>
    </row>
    <row r="11" spans="2:13" s="38" customFormat="1">
      <c r="B11" s="69"/>
      <c r="C11" s="72" t="s">
        <v>31</v>
      </c>
      <c r="D11" s="73" t="s">
        <v>133</v>
      </c>
      <c r="J11" s="38" t="s">
        <v>32</v>
      </c>
      <c r="K11" s="163" t="str">
        <f>SUBSTITUTE(SUBSTITUTE(+MRS!A3,"  MRS No : ",""),"-MRS","-PO")</f>
        <v>SAC2-DS-PO-0206</v>
      </c>
      <c r="L11" s="163"/>
      <c r="M11" s="163"/>
    </row>
    <row r="12" spans="2:13" s="38" customFormat="1">
      <c r="B12" s="69"/>
      <c r="C12" s="72" t="s">
        <v>33</v>
      </c>
      <c r="D12" s="38" t="s">
        <v>135</v>
      </c>
      <c r="J12" s="38" t="s">
        <v>34</v>
      </c>
    </row>
    <row r="13" spans="2:13" s="38" customFormat="1">
      <c r="B13" s="69"/>
      <c r="C13" s="74"/>
      <c r="D13" s="73" t="s">
        <v>136</v>
      </c>
      <c r="J13" s="38" t="s">
        <v>35</v>
      </c>
    </row>
    <row r="14" spans="2:13" s="38" customFormat="1">
      <c r="B14" s="69"/>
      <c r="C14" s="115" t="s">
        <v>137</v>
      </c>
      <c r="J14" s="38" t="s">
        <v>36</v>
      </c>
      <c r="K14" s="38">
        <v>101369</v>
      </c>
    </row>
    <row r="15" spans="2:13" s="38" customFormat="1">
      <c r="B15" s="69"/>
      <c r="C15" s="72" t="s">
        <v>138</v>
      </c>
      <c r="J15" s="38" t="s">
        <v>37</v>
      </c>
      <c r="K15" s="75">
        <v>46032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4" t="s">
        <v>38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2" customHeight="1"/>
    <row r="20" spans="2:13" s="31" customFormat="1" ht="12" customHeight="1">
      <c r="B20" s="165" t="s">
        <v>39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</row>
    <row r="21" spans="2:13" s="31" customFormat="1" ht="12" customHeight="1">
      <c r="B21" s="165" t="s">
        <v>40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</row>
    <row r="22" spans="2:13" s="31" customFormat="1" ht="12" customHeight="1">
      <c r="B22" s="165" t="s">
        <v>41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</row>
    <row r="23" spans="2:13" ht="3.75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2:13" ht="6.95" customHeight="1"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131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196950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29542.5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226492.5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7" t="s">
        <v>106</v>
      </c>
      <c r="F54" s="26" t="s">
        <v>139</v>
      </c>
      <c r="P54" s="26" t="str">
        <f>UPPER(F54)</f>
        <v>OMAR SALEH ABDULLAH AL-ZAHRANI ELECTRICALS</v>
      </c>
    </row>
    <row r="55" spans="2:16" ht="12" customHeight="1">
      <c r="B55" s="81" t="s">
        <v>62</v>
      </c>
      <c r="C55" s="117" t="s">
        <v>107</v>
      </c>
      <c r="F55" s="118" t="s">
        <v>140</v>
      </c>
    </row>
    <row r="56" spans="2:16" ht="12" customHeight="1">
      <c r="B56" s="81" t="s">
        <v>62</v>
      </c>
      <c r="C56" s="117" t="s">
        <v>108</v>
      </c>
      <c r="F56" s="26" t="s">
        <v>141</v>
      </c>
    </row>
    <row r="57" spans="2:16" ht="12" customHeight="1">
      <c r="B57" s="81" t="s">
        <v>62</v>
      </c>
      <c r="C57" s="117" t="s">
        <v>109</v>
      </c>
      <c r="F57" s="26" t="s">
        <v>103</v>
      </c>
    </row>
    <row r="58" spans="2:16" ht="12" customHeight="1">
      <c r="B58" s="81" t="s">
        <v>62</v>
      </c>
      <c r="C58" s="117" t="s">
        <v>110</v>
      </c>
      <c r="F58" s="26" t="s">
        <v>104</v>
      </c>
    </row>
    <row r="59" spans="2:16" ht="12" customHeight="1">
      <c r="B59" s="81" t="s">
        <v>62</v>
      </c>
      <c r="C59" s="117" t="s">
        <v>111</v>
      </c>
      <c r="F59" s="26" t="s">
        <v>105</v>
      </c>
    </row>
    <row r="60" spans="2:16" ht="12" customHeight="1">
      <c r="B60" s="81"/>
      <c r="C60" s="117" t="s">
        <v>112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Akhil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68" t="str">
        <f>C9</f>
        <v>OSAZ(Omar Saleh Abdullah Al-Zahrani Electricals)</v>
      </c>
      <c r="K70" s="168"/>
      <c r="L70" s="168"/>
      <c r="M70" s="168"/>
    </row>
    <row r="71" spans="1:13" ht="27.95" customHeight="1">
      <c r="A71" s="160" t="s">
        <v>72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topLeftCell="A10" zoomScaleSheetLayoutView="100" zoomScalePageLayoutView="55" workbookViewId="0">
      <selection activeCell="D6" sqref="D6:F6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SAC2-DS-PO-0206</v>
      </c>
      <c r="C2" s="171" t="s">
        <v>74</v>
      </c>
      <c r="D2" s="171"/>
      <c r="E2" s="171"/>
      <c r="F2" s="171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46036</v>
      </c>
      <c r="C3" s="48"/>
      <c r="D3" s="49"/>
      <c r="E3" s="172" t="s">
        <v>76</v>
      </c>
      <c r="F3" s="172"/>
      <c r="G3" s="172"/>
      <c r="H3" s="172"/>
      <c r="I3" s="50"/>
    </row>
    <row r="4" spans="1:13" s="52" customFormat="1" ht="28.5" customHeight="1" thickTop="1">
      <c r="A4" s="173" t="s">
        <v>77</v>
      </c>
      <c r="B4" s="175" t="s">
        <v>78</v>
      </c>
      <c r="C4" s="176"/>
      <c r="D4" s="179" t="s">
        <v>79</v>
      </c>
      <c r="E4" s="179" t="s">
        <v>80</v>
      </c>
      <c r="F4" s="181" t="str">
        <f>'PO 1st page'!C9</f>
        <v>OSAZ(Omar Saleh Abdullah Al-Zahrani Electricals)</v>
      </c>
      <c r="G4" s="182"/>
      <c r="H4" s="183" t="s">
        <v>81</v>
      </c>
      <c r="K4" s="53"/>
      <c r="L4" s="53"/>
      <c r="M4" s="53"/>
    </row>
    <row r="5" spans="1:13" s="52" customFormat="1" ht="21.95" customHeight="1">
      <c r="A5" s="174"/>
      <c r="B5" s="177"/>
      <c r="C5" s="178"/>
      <c r="D5" s="180"/>
      <c r="E5" s="180"/>
      <c r="F5" s="54" t="s">
        <v>82</v>
      </c>
      <c r="G5" s="54" t="s">
        <v>48</v>
      </c>
      <c r="H5" s="184"/>
      <c r="K5" s="53"/>
      <c r="L5" s="53"/>
      <c r="M5" s="53"/>
    </row>
    <row r="6" spans="1:13" s="52" customFormat="1" ht="32.1" customHeight="1">
      <c r="A6" s="82">
        <f t="shared" ref="A6:A14" si="0">ROW(A1)</f>
        <v>1</v>
      </c>
      <c r="B6" s="169" t="str">
        <f>MRS!B6&amp;" "&amp;MRS!D6</f>
        <v>CS SCH-160 PIPE  6" X 6MTR</v>
      </c>
      <c r="C6" s="170"/>
      <c r="D6" s="83" t="str">
        <f>MRS!G6</f>
        <v>EA</v>
      </c>
      <c r="E6" s="84">
        <f>MRS!H6</f>
        <v>8</v>
      </c>
      <c r="F6" s="85">
        <f>+'MRS LIST'!I6</f>
        <v>4150</v>
      </c>
      <c r="G6" s="86">
        <f>+'MRS LIST'!J6</f>
        <v>33200</v>
      </c>
      <c r="H6" s="87" t="s">
        <v>99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69" t="str">
        <f>MRS!B7&amp;" "&amp;MRS!D7</f>
        <v>CS SCH-160 PIPE  2" X 6MTR</v>
      </c>
      <c r="C7" s="170"/>
      <c r="D7" s="83" t="str">
        <f>+'MRS LIST'!G7</f>
        <v>EA</v>
      </c>
      <c r="E7" s="84">
        <f>+'MRS LIST'!H7</f>
        <v>4</v>
      </c>
      <c r="F7" s="85">
        <f>+'MRS LIST'!I7</f>
        <v>1100</v>
      </c>
      <c r="G7" s="86">
        <f>+'MRS LIST'!J7</f>
        <v>4400</v>
      </c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69" t="str">
        <f>MRS!B8&amp;" "&amp;MRS!D8</f>
        <v>CS SCH-160 PIPE  1/2" X 6MTR</v>
      </c>
      <c r="C8" s="170"/>
      <c r="D8" s="83" t="str">
        <f>+'MRS LIST'!G8</f>
        <v>EA</v>
      </c>
      <c r="E8" s="84">
        <f>+'MRS LIST'!H8</f>
        <v>4</v>
      </c>
      <c r="F8" s="85">
        <f>+'MRS LIST'!I8</f>
        <v>190</v>
      </c>
      <c r="G8" s="86">
        <f>+'MRS LIST'!J8</f>
        <v>760</v>
      </c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69" t="str">
        <f>MRS!B9&amp;" "&amp;MRS!D9</f>
        <v>BEVELLING  6" S-160 CS PIPE 200MM LONG</v>
      </c>
      <c r="C9" s="170"/>
      <c r="D9" s="83" t="str">
        <f>+'MRS LIST'!G9</f>
        <v>EA</v>
      </c>
      <c r="E9" s="84">
        <f>+'MRS LIST'!H9</f>
        <v>366</v>
      </c>
      <c r="F9" s="85">
        <f>+'MRS LIST'!I9</f>
        <v>65</v>
      </c>
      <c r="G9" s="86">
        <f>+'MRS LIST'!J9</f>
        <v>23790</v>
      </c>
      <c r="H9" s="91"/>
    </row>
    <row r="10" spans="1:13" s="52" customFormat="1" ht="32.1" customHeight="1">
      <c r="A10" s="90">
        <f t="shared" si="0"/>
        <v>5</v>
      </c>
      <c r="B10" s="169" t="str">
        <f>MRS!B10&amp;" "&amp;MRS!D10</f>
        <v>BEVELLING 2" S-160 CS PIPE 200MM LONG</v>
      </c>
      <c r="C10" s="170"/>
      <c r="D10" s="83" t="str">
        <f>+'MRS LIST'!G10</f>
        <v>EA</v>
      </c>
      <c r="E10" s="84">
        <f>+'MRS LIST'!H10</f>
        <v>120</v>
      </c>
      <c r="F10" s="85">
        <f>+'MRS LIST'!I10</f>
        <v>20</v>
      </c>
      <c r="G10" s="86">
        <f>+'MRS LIST'!J10</f>
        <v>2400</v>
      </c>
      <c r="H10" s="91"/>
    </row>
    <row r="11" spans="1:13" s="52" customFormat="1" ht="32.1" customHeight="1">
      <c r="A11" s="90">
        <f t="shared" si="0"/>
        <v>6</v>
      </c>
      <c r="B11" s="169" t="str">
        <f>MRS!B11&amp;" "&amp;MRS!D11</f>
        <v>PANEL BOARD FABRICATED 500A</v>
      </c>
      <c r="C11" s="170"/>
      <c r="D11" s="83" t="str">
        <f>+'MRS LIST'!G11</f>
        <v>SET</v>
      </c>
      <c r="E11" s="84">
        <f>+'MRS LIST'!H11</f>
        <v>10</v>
      </c>
      <c r="F11" s="85">
        <f>+'MRS LIST'!I11</f>
        <v>8900</v>
      </c>
      <c r="G11" s="86">
        <f>+'MRS LIST'!J11</f>
        <v>89000</v>
      </c>
      <c r="H11" s="91"/>
    </row>
    <row r="12" spans="1:13" s="52" customFormat="1" ht="32.1" customHeight="1">
      <c r="A12" s="90">
        <f t="shared" si="0"/>
        <v>7</v>
      </c>
      <c r="B12" s="169" t="str">
        <f>MRS!B12&amp;" "&amp;MRS!D12</f>
        <v>PANEL BOARD FABRICATED 200A</v>
      </c>
      <c r="C12" s="170"/>
      <c r="D12" s="83" t="str">
        <f>+'MRS LIST'!G12</f>
        <v>SET</v>
      </c>
      <c r="E12" s="84">
        <f>+'MRS LIST'!H12</f>
        <v>4</v>
      </c>
      <c r="F12" s="85">
        <f>+'MRS LIST'!I12</f>
        <v>6000</v>
      </c>
      <c r="G12" s="86">
        <f>+'MRS LIST'!J12</f>
        <v>24000</v>
      </c>
      <c r="H12" s="91"/>
    </row>
    <row r="13" spans="1:13" s="52" customFormat="1" ht="32.1" customHeight="1">
      <c r="A13" s="90">
        <f t="shared" si="0"/>
        <v>8</v>
      </c>
      <c r="B13" s="169" t="str">
        <f>MRS!B13&amp;" "&amp;MRS!D13</f>
        <v>XLPE/CU/PVC CABLE 4C X 50MM²</v>
      </c>
      <c r="C13" s="170"/>
      <c r="D13" s="83" t="str">
        <f>+'MRS LIST'!G13</f>
        <v>MTR</v>
      </c>
      <c r="E13" s="84">
        <f>+'MRS LIST'!H13</f>
        <v>100</v>
      </c>
      <c r="F13" s="85">
        <f>+'MRS LIST'!I13</f>
        <v>111.5</v>
      </c>
      <c r="G13" s="86">
        <f>+'MRS LIST'!J13</f>
        <v>11150</v>
      </c>
      <c r="H13" s="91"/>
    </row>
    <row r="14" spans="1:13" s="52" customFormat="1" ht="32.1" customHeight="1">
      <c r="A14" s="90">
        <f t="shared" si="0"/>
        <v>9</v>
      </c>
      <c r="B14" s="169" t="str">
        <f>MRS!B14&amp;" "&amp;MRS!D14</f>
        <v>XLPE/CU/PVC CABLE  4C X 35MM²</v>
      </c>
      <c r="C14" s="170"/>
      <c r="D14" s="83" t="str">
        <f>+'MRS LIST'!G14</f>
        <v>MTR</v>
      </c>
      <c r="E14" s="84">
        <f>+'MRS LIST'!H14</f>
        <v>100</v>
      </c>
      <c r="F14" s="85">
        <f>+'MRS LIST'!I14</f>
        <v>82.5</v>
      </c>
      <c r="G14" s="86">
        <f>+'MRS LIST'!J14</f>
        <v>8250</v>
      </c>
      <c r="H14" s="91"/>
    </row>
    <row r="15" spans="1:13" s="52" customFormat="1" ht="32.1" customHeight="1">
      <c r="A15" s="90"/>
      <c r="B15" s="169"/>
      <c r="C15" s="170"/>
      <c r="D15" s="83"/>
      <c r="E15" s="84"/>
      <c r="F15" s="85"/>
      <c r="G15" s="86"/>
      <c r="H15" s="91"/>
    </row>
    <row r="16" spans="1:13" s="52" customFormat="1" ht="32.1" customHeight="1">
      <c r="A16" s="90"/>
      <c r="B16" s="169"/>
      <c r="C16" s="170"/>
      <c r="D16" s="83"/>
      <c r="E16" s="84"/>
      <c r="F16" s="85"/>
      <c r="G16" s="86"/>
      <c r="H16" s="91"/>
    </row>
    <row r="17" spans="1:13" s="52" customFormat="1" ht="32.1" customHeight="1">
      <c r="A17" s="90"/>
      <c r="B17" s="169"/>
      <c r="C17" s="170"/>
      <c r="D17" s="83"/>
      <c r="E17" s="84"/>
      <c r="F17" s="85"/>
      <c r="G17" s="86"/>
      <c r="H17" s="91"/>
    </row>
    <row r="18" spans="1:13" s="52" customFormat="1" ht="32.1" customHeight="1">
      <c r="A18" s="90"/>
      <c r="B18" s="169"/>
      <c r="C18" s="170"/>
      <c r="D18" s="83"/>
      <c r="E18" s="84"/>
      <c r="F18" s="85"/>
      <c r="G18" s="86"/>
      <c r="H18" s="91"/>
    </row>
    <row r="19" spans="1:13" s="52" customFormat="1" ht="32.1" customHeight="1">
      <c r="A19" s="90"/>
      <c r="B19" s="169"/>
      <c r="C19" s="170"/>
      <c r="D19" s="83"/>
      <c r="E19" s="84"/>
      <c r="F19" s="85"/>
      <c r="G19" s="86"/>
      <c r="H19" s="91"/>
    </row>
    <row r="20" spans="1:13" s="52" customFormat="1" ht="32.1" customHeight="1">
      <c r="A20" s="90"/>
      <c r="B20" s="169"/>
      <c r="C20" s="170"/>
      <c r="D20" s="83"/>
      <c r="E20" s="84"/>
      <c r="F20" s="85"/>
      <c r="G20" s="86"/>
      <c r="H20" s="91"/>
    </row>
    <row r="21" spans="1:13" s="52" customFormat="1" ht="32.1" customHeight="1">
      <c r="A21" s="90"/>
      <c r="B21" s="169"/>
      <c r="C21" s="170"/>
      <c r="D21" s="83"/>
      <c r="E21" s="84"/>
      <c r="F21" s="85"/>
      <c r="G21" s="86"/>
      <c r="H21" s="91"/>
    </row>
    <row r="22" spans="1:13" s="52" customFormat="1" ht="23.1" customHeight="1">
      <c r="A22" s="185" t="s">
        <v>83</v>
      </c>
      <c r="B22" s="186"/>
      <c r="C22" s="186"/>
      <c r="D22" s="186"/>
      <c r="E22" s="186"/>
      <c r="F22" s="186"/>
      <c r="G22" s="55">
        <f>SUM(G6:G21)</f>
        <v>196950</v>
      </c>
      <c r="H22" s="56"/>
    </row>
    <row r="23" spans="1:13" s="52" customFormat="1" ht="23.1" customHeight="1">
      <c r="A23" s="185" t="s">
        <v>47</v>
      </c>
      <c r="B23" s="186"/>
      <c r="C23" s="186"/>
      <c r="D23" s="186"/>
      <c r="E23" s="186"/>
      <c r="F23" s="186"/>
      <c r="G23" s="55">
        <f>+G22*0.15</f>
        <v>29542.5</v>
      </c>
      <c r="H23" s="56"/>
    </row>
    <row r="24" spans="1:13" s="52" customFormat="1" ht="24.95" customHeight="1" thickBot="1">
      <c r="A24" s="187" t="s">
        <v>84</v>
      </c>
      <c r="B24" s="188"/>
      <c r="C24" s="188"/>
      <c r="D24" s="188"/>
      <c r="E24" s="188"/>
      <c r="F24" s="188"/>
      <c r="G24" s="57">
        <f>G23+G22</f>
        <v>226492.5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101369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60" t="s">
        <v>86</v>
      </c>
      <c r="B28" s="160"/>
      <c r="C28" s="160"/>
      <c r="D28" s="160"/>
      <c r="E28" s="160"/>
      <c r="F28" s="160"/>
      <c r="G28" s="160"/>
      <c r="H28" s="160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2026-01-20T02:43:42Z</cp:lastPrinted>
  <dcterms:created xsi:type="dcterms:W3CDTF">2024-10-20T11:50:19Z</dcterms:created>
  <dcterms:modified xsi:type="dcterms:W3CDTF">2026-01-20T02:43:46Z</dcterms:modified>
</cp:coreProperties>
</file>