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57A66DA-934A-4AC2-B78E-409C61E4F89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B8" i="4"/>
  <c r="J8" i="2"/>
  <c r="I8" i="2"/>
  <c r="H8" i="2"/>
  <c r="G8" i="2"/>
  <c r="D8" i="2"/>
  <c r="B8" i="2"/>
  <c r="J8" i="1"/>
  <c r="T54" i="3"/>
  <c r="H7" i="4" l="1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<sst xmlns="http://schemas.openxmlformats.org/spreadsheetml/2006/main" count="164" uniqueCount="134">
  <si>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</si>
  <si>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</si>
  <si>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</si>
  <si>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</si>
  <si>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</si>
  <si>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</si>
  <si>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</si>
  <si>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</si>
  <si>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</si>
  <si>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</si>
  <si>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</si>
  <si>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</si>
  <si>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</si>
  <si>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</si>
  <si>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</si>
  <si>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</si>
  <si>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</si>
  <si>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</si>
  <si>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</si>
  <si>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</si>
  <si>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</si>
  <si>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</si>
  <si>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</si>
  <si>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</si>
  <si>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</si>
  <si>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</si>
  <si>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</si>
  <si>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</si>
  <si>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</si>
  <si>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</si>
  <si>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</si>
  <si>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</si>
  <si>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</si>
  <si>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</si>
  <si>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</si>
  <si>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</si>
  <si>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</si>
  <si>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</si>
  <si>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</si>
  <si>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</si>
  <si>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</si>
  <si>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</si>
  <si>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</si>
  <si>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</si>
  <si>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</si>
  <si>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</si>
  <si>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</si>
  <si>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</si>
  <si>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</si>
  <si>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</si>
  <si>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</si>
  <si>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</si>
  <si>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</si>
  <si>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</si>
  <si>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</si>
  <si>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</si>
  <si>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</si>
  <si>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</si>
  <si>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</si>
  <si>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</si>
  <si>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</si>
  <si>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</si>
  <si>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</si>
  <si>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</si>
  <si>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</si>
  <si>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</si>
  <si>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</si>
  <si>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</si>
  <si>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</si>
  <si>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</si>
  <si>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</si>
  <si>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</si>
  <si>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</si>
  <si>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</si>
  <si>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</si>
  <si>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</si>
  <si>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</si>
  <si>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</si>
  <si>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</si>
  <si>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</si>
  <si>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</si>
  <si>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</si>
  <si>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</si>
  <si>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</si>
  <si>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</si>
  <si>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</si>
  <si>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</si>
  <si>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</si>
  <si>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</si>
  <si>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</si>
  <si>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</si>
  <si>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</si>
  <si>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</si>
  <si>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</si>
  <si>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</si>
  <si>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</si>
  <si>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</si>
  <si>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</si>
  <si>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</si>
  <si>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</si>
  <si>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</si>
  <si>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</si>
  <si>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</si>
  <si>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</si>
  <si>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</si>
  <si>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</si>
  <si>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310793666100003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</si>
  <si>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</si>
  <si>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</si>
  <si>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</si>
  <si>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</si>
  <si>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</si>
  <si>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</si>
  <si>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</si>
  <si>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</si>
  <si>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</si>
  <si>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</si>
  <si>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</si>
  <si>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</si>
  <si>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</si>
  <si>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</si>
  <si>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</si>
  <si>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</si>
  <si>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</si>
  <si>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</si>
  <si>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-MRS-0227</t>
    </r>
  </si>
  <si>
    <t>Generator</t>
  </si>
  <si>
    <t>500 KVA TUV Certified with Sound Attenuated Enclosure</t>
  </si>
  <si>
    <t>Dayana Truck</t>
  </si>
  <si>
    <t>Standard Distribution Panel</t>
  </si>
  <si>
    <t>PC-EQTN2026-2086-(R2)</t>
  </si>
  <si>
    <t>Generator 500 KVA TUV Certified</t>
  </si>
  <si>
    <t>Dayana Truck and Standard Distribution Panel</t>
  </si>
  <si>
    <t>SA92 1000 0006 0000 0038 9408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</si>
</sst>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" fillId="0" borderId="8" xfId="0" quotePrefix="1" applyFont="1" applyBorder="1" applyAlignment="1">
      <alignment horizontal="center" vertical="center" wrapText="1"/>
    </xf>
    <xf numFmtId="0" fontId="55" fillId="3" borderId="0" xfId="5" quotePrefix="1" applyFont="1" applyFill="1"/>
    <xf numFmtId="0" fontId="42" fillId="3" borderId="0" xfId="5" applyFont="1" applyFill="1" applyAlignment="1">
      <alignment horizontal="right" vertical="center" inden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109</v>
      </c>
      <c r="B1" s="109"/>
      <c r="C1" s="109"/>
      <c r="D1" s="109"/>
      <c r="E1" s="109"/>
      <c r="F1" s="109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0"/>
      <c r="C2" s="100"/>
      <c r="D2" s="3" t="s">
        <v>107</v>
      </c>
      <c r="E2" s="100"/>
      <c r="F2" s="100"/>
      <c r="G2" s="100"/>
      <c r="H2" s="100"/>
      <c r="I2" s="4"/>
      <c r="J2" s="130" t="s">
        <v>110</v>
      </c>
      <c r="K2" s="131"/>
      <c r="L2" s="132"/>
    </row>
    <row r="3" spans="1:18" ht="20.100000000000001" customHeight="1">
      <c r="A3" s="3" t="s">
        <v>125</v>
      </c>
      <c r="B3" s="100"/>
      <c r="C3" s="100"/>
      <c r="D3" s="100"/>
      <c r="E3" s="133">
        <f>+L3</f>
        <v>46069</v>
      </c>
      <c r="F3" s="133"/>
      <c r="G3" s="133"/>
      <c r="H3" s="133"/>
      <c r="I3" s="133"/>
      <c r="J3" s="100"/>
      <c r="K3" s="100"/>
      <c r="L3" s="121">
        <v>46069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94</v>
      </c>
      <c r="J4" s="134" t="s">
        <v>95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2.5" customHeight="1">
      <c r="A6" s="5">
        <f t="shared" ref="A6:A15" si="0">ROW(A1)</f>
        <v>1</v>
      </c>
      <c r="B6" s="146" t="s">
        <v>126</v>
      </c>
      <c r="C6" s="147"/>
      <c r="D6" s="148" t="s">
        <v>127</v>
      </c>
      <c r="E6" s="149"/>
      <c r="F6" s="150"/>
      <c r="G6" s="110" t="s">
        <v>90</v>
      </c>
      <c r="H6" s="111">
        <v>1</v>
      </c>
      <c r="I6" s="112">
        <v>13000</v>
      </c>
      <c r="J6" s="112">
        <f>H6*I6</f>
        <v>13000</v>
      </c>
      <c r="K6" s="113" t="s">
        <v>99</v>
      </c>
      <c r="L6" s="206" t="s">
        <v>98</v>
      </c>
      <c r="R6" s="105"/>
    </row>
    <row r="7" spans="1:18" ht="22.5" customHeight="1">
      <c r="A7" s="5">
        <f t="shared" si="0"/>
        <v>2</v>
      </c>
      <c r="B7" s="146" t="s">
        <v>128</v>
      </c>
      <c r="C7" s="147"/>
      <c r="D7" s="151"/>
      <c r="E7" s="149"/>
      <c r="F7" s="150"/>
      <c r="G7" s="110" t="s">
        <v>90</v>
      </c>
      <c r="H7" s="111">
        <v>1</v>
      </c>
      <c r="I7" s="112">
        <v>12000</v>
      </c>
      <c r="J7" s="112">
        <f>H7*I7</f>
        <v>12000</v>
      </c>
      <c r="K7" s="113" t="s">
        <v>111</v>
      </c>
      <c r="L7" s="206" t="s">
        <v>111</v>
      </c>
      <c r="R7" s="105"/>
    </row>
    <row r="8" spans="1:18" ht="22.5" customHeight="1">
      <c r="A8" s="5">
        <f t="shared" si="0"/>
        <v>3</v>
      </c>
      <c r="B8" s="146" t="s">
        <v>129</v>
      </c>
      <c r="C8" s="147"/>
      <c r="D8" s="148"/>
      <c r="E8" s="149"/>
      <c r="F8" s="150"/>
      <c r="G8" s="110" t="s">
        <v>90</v>
      </c>
      <c r="H8" s="111">
        <v>1</v>
      </c>
      <c r="I8" s="112">
        <v>1000</v>
      </c>
      <c r="J8" s="112">
        <f>H8*I8</f>
        <v>1000</v>
      </c>
      <c r="K8" s="113" t="s">
        <v>111</v>
      </c>
      <c r="L8" s="206" t="s">
        <v>111</v>
      </c>
      <c r="R8" s="105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26000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8" sqref="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SAC2-DS-MRS-0227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46069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91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Generator</v>
      </c>
      <c r="C6" s="165"/>
      <c r="D6" s="166" t="str">
        <f>MRS!D6</f>
        <v>500 KVA TUV Certified with Sound Attenuated Enclosure</v>
      </c>
      <c r="E6" s="167"/>
      <c r="F6" s="168"/>
      <c r="G6" s="102" t="str">
        <f>MRS!G6</f>
        <v>Month</v>
      </c>
      <c r="H6" s="102">
        <f>MRS!H6</f>
        <v>1</v>
      </c>
      <c r="I6" s="103">
        <f>MRS!I6</f>
        <v>13000</v>
      </c>
      <c r="J6" s="103">
        <f>MRS!J6</f>
        <v>13000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Dayana Truck</v>
      </c>
      <c r="C7" s="165"/>
      <c r="D7" s="166">
        <f>MRS!D7</f>
        <v>0</v>
      </c>
      <c r="E7" s="167"/>
      <c r="F7" s="168"/>
      <c r="G7" s="102" t="str">
        <f>MRS!G7</f>
        <v>Month</v>
      </c>
      <c r="H7" s="102">
        <f>MRS!H7</f>
        <v>1</v>
      </c>
      <c r="I7" s="103">
        <f>MRS!I7</f>
        <v>12000</v>
      </c>
      <c r="J7" s="103">
        <f>MRS!J7</f>
        <v>12000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 t="str">
        <f>MRS!B8</f>
        <v>Standard Distribution Panel</v>
      </c>
      <c r="C8" s="165"/>
      <c r="D8" s="166">
        <f>MRS!D8</f>
        <v>0</v>
      </c>
      <c r="E8" s="167"/>
      <c r="F8" s="168"/>
      <c r="G8" s="102" t="str">
        <f>MRS!G8</f>
        <v>Month</v>
      </c>
      <c r="H8" s="102">
        <f>MRS!H8</f>
        <v>1</v>
      </c>
      <c r="I8" s="103">
        <f>MRS!I8</f>
        <v>1000</v>
      </c>
      <c r="J8" s="103">
        <f>MRS!J8</f>
        <v>1000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9"/>
      <c r="C9" s="170"/>
      <c r="D9" s="171"/>
      <c r="E9" s="172"/>
      <c r="F9" s="17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9"/>
      <c r="C10" s="170"/>
      <c r="D10" s="171"/>
      <c r="E10" s="172"/>
      <c r="F10" s="17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9"/>
      <c r="C11" s="170"/>
      <c r="D11" s="171"/>
      <c r="E11" s="172"/>
      <c r="F11" s="17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zoomScale="130" zoomScaleNormal="100" zoomScaleSheetLayoutView="130" workbookViewId="0">
      <selection activeCell="F17" sqref="F1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124">
        <v>2055132011</v>
      </c>
      <c r="J10" s="39" t="s">
        <v>31</v>
      </c>
      <c r="K10" s="175">
        <f>MRS!L3</f>
        <v>46069</v>
      </c>
      <c r="L10" s="176"/>
      <c r="M10" s="176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7" t="str">
        <f>SUBSTITUTE(SUBSTITUTE(+MRS!A3,"  MRS No : ",""),"-MRS","-PO")</f>
        <v>SAC2-DS-PO-0227</v>
      </c>
      <c r="L11" s="177"/>
      <c r="M11" s="177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130</v>
      </c>
    </row>
    <row r="15" spans="2:13" s="39" customFormat="1">
      <c r="B15" s="72"/>
      <c r="C15" s="77" t="s">
        <v>103</v>
      </c>
      <c r="J15" s="39" t="s">
        <v>38</v>
      </c>
      <c r="K15" s="78">
        <v>46061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207" t="s">
        <v>131</v>
      </c>
      <c r="M26" s="208" t="s">
        <v>44</v>
      </c>
    </row>
    <row r="27" spans="2:13" ht="11.1" customHeight="1">
      <c r="B27" s="32"/>
      <c r="C27" s="26" t="s">
        <v>132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 t="s">
        <v>97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/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79" t="s">
        <v>63</v>
      </c>
      <c r="C49" s="80" t="s">
        <v>108</v>
      </c>
      <c r="P49" s="81"/>
    </row>
    <row r="50" spans="2:20" s="82" customFormat="1" ht="12" customHeight="1">
      <c r="B50" s="83" t="s">
        <v>63</v>
      </c>
      <c r="C50" s="80" t="s">
        <v>93</v>
      </c>
    </row>
    <row r="51" spans="2:20" s="82" customFormat="1" ht="12" customHeight="1">
      <c r="B51" s="83" t="s">
        <v>63</v>
      </c>
      <c r="C51" s="80" t="s">
        <v>92</v>
      </c>
    </row>
    <row r="52" spans="2:20" s="82" customFormat="1" ht="5.25" customHeight="1">
      <c r="B52" s="83"/>
      <c r="C52" s="80"/>
    </row>
    <row r="53" spans="2:20" ht="15" customHeight="1">
      <c r="B53" s="42">
        <v>7</v>
      </c>
      <c r="C53" s="32" t="s">
        <v>112</v>
      </c>
    </row>
    <row r="54" spans="2:20" ht="12" customHeight="1">
      <c r="B54" s="83" t="s">
        <v>63</v>
      </c>
      <c r="C54" s="125" t="s">
        <v>113</v>
      </c>
      <c r="F54" s="26" t="s">
        <v>120</v>
      </c>
      <c r="T54" s="26" t="str">
        <f>UPPER(F54)</f>
        <v>POWER CARE CO. LTD.</v>
      </c>
    </row>
    <row r="55" spans="2:20" ht="12" customHeight="1">
      <c r="B55" s="83" t="s">
        <v>63</v>
      </c>
      <c r="C55" s="125" t="s">
        <v>114</v>
      </c>
      <c r="F55" s="126" t="s">
        <v>121</v>
      </c>
    </row>
    <row r="56" spans="2:20" ht="12" customHeight="1">
      <c r="B56" s="83" t="s">
        <v>63</v>
      </c>
      <c r="C56" s="125" t="s">
        <v>115</v>
      </c>
      <c r="F56" s="26" t="s">
        <v>133</v>
      </c>
    </row>
    <row r="57" spans="2:20" ht="12" customHeight="1">
      <c r="B57" s="83" t="s">
        <v>63</v>
      </c>
      <c r="C57" s="125" t="s">
        <v>116</v>
      </c>
      <c r="F57" s="26" t="s">
        <v>122</v>
      </c>
    </row>
    <row r="58" spans="2:20" ht="12" customHeight="1">
      <c r="B58" s="83" t="s">
        <v>63</v>
      </c>
      <c r="C58" s="125" t="s">
        <v>117</v>
      </c>
      <c r="F58" s="26" t="s">
        <v>123</v>
      </c>
    </row>
    <row r="59" spans="2:20" ht="12" customHeight="1">
      <c r="B59" s="83" t="s">
        <v>63</v>
      </c>
      <c r="C59" s="125" t="s">
        <v>118</v>
      </c>
      <c r="F59" s="26" t="s">
        <v>119</v>
      </c>
    </row>
    <row r="60" spans="2:20" ht="12" customHeight="1">
      <c r="B60" s="83"/>
      <c r="C60" s="125" t="s">
        <v>124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104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PCCL(Power Care Co. Ltd.)</v>
      </c>
      <c r="K70" s="183"/>
      <c r="L70" s="183"/>
      <c r="M70" s="183"/>
    </row>
    <row r="71" spans="1:13" ht="27.95" customHeight="1">
      <c r="A71" s="174" t="s">
        <v>74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SAC2-DS-PO-0227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46069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PCCL(Power Care Co. Ltd.)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200" t="str">
        <f>+'MRS LIST'!B6</f>
        <v>Generator</v>
      </c>
      <c r="C6" s="201"/>
      <c r="D6" s="85" t="str">
        <f>+'MRS LIST'!G6</f>
        <v>Month</v>
      </c>
      <c r="E6" s="86">
        <f>+'MRS LIST'!H6</f>
        <v>1</v>
      </c>
      <c r="F6" s="87">
        <f>+'MRS LIST'!I6</f>
        <v>13000</v>
      </c>
      <c r="G6" s="88">
        <f>+'MRS LIST'!J6</f>
        <v>13000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200" t="str">
        <f>+'MRS LIST'!B7</f>
        <v>Dayana Truck</v>
      </c>
      <c r="C7" s="201"/>
      <c r="D7" s="85" t="str">
        <f>+'MRS LIST'!G7</f>
        <v>Month</v>
      </c>
      <c r="E7" s="86">
        <f>+'MRS LIST'!H7</f>
        <v>1</v>
      </c>
      <c r="F7" s="87">
        <f>+'MRS LIST'!I7</f>
        <v>12000</v>
      </c>
      <c r="G7" s="88">
        <f>+'MRS LIST'!J7</f>
        <v>12000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0" t="str">
        <f>+'MRS LIST'!B8</f>
        <v>Standard Distribution Panel</v>
      </c>
      <c r="C8" s="201"/>
      <c r="D8" s="85" t="str">
        <f>+'MRS LIST'!G8</f>
        <v>Month</v>
      </c>
      <c r="E8" s="86">
        <f>+'MRS LIST'!H8</f>
        <v>1</v>
      </c>
      <c r="F8" s="87">
        <f>+'MRS LIST'!I8</f>
        <v>1000</v>
      </c>
      <c r="G8" s="88">
        <f>+'MRS LIST'!J8</f>
        <v>1000</v>
      </c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84"/>
      <c r="C9" s="185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4"/>
      <c r="C10" s="185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4"/>
      <c r="C11" s="185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26000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3900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29900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PC-EQTN2026-2086-(R2)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2026-02-16T03:40:29Z</cp:lastPrinted>
  <dcterms:created xsi:type="dcterms:W3CDTF">2024-10-20T11:50:19Z</dcterms:created>
  <dcterms:modified xsi:type="dcterms:W3CDTF">2026-02-16T03:43:41Z</dcterms:modified>
</cp:coreProperties>
</file>