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D0E02993-4BB0-4F6B-B2D1-09722F51C31B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page'!$A$1:$H$22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J15" i="1" l="1"/>
  <c r="J14" i="1"/>
  <c r="G14" i="4" s="1"/>
  <c r="J13" i="1"/>
  <c r="J12" i="1"/>
  <c r="G12" i="4" s="1"/>
  <c r="J11" i="1"/>
  <c r="J10" i="1"/>
  <c r="J9" i="1"/>
  <c r="J8" i="1"/>
  <c r="J7" i="1"/>
  <c r="J6" i="1"/>
  <c r="J6" i="2" s="1"/>
  <c r="A18" i="2"/>
  <c r="A15" i="1"/>
  <c r="A15" i="2" s="1"/>
  <c r="A14" i="1"/>
  <c r="A13" i="1"/>
  <c r="A13" i="2" s="1"/>
  <c r="A12" i="1"/>
  <c r="A11" i="1"/>
  <c r="A11" i="2" s="1"/>
  <c r="A10" i="1"/>
  <c r="A10" i="2" s="1"/>
  <c r="A9" i="1"/>
  <c r="A9" i="2" s="1"/>
  <c r="A8" i="1"/>
  <c r="F11" i="4"/>
  <c r="E11" i="4"/>
  <c r="D11" i="4"/>
  <c r="B11" i="4"/>
  <c r="F10" i="4"/>
  <c r="E10" i="4"/>
  <c r="D10" i="4"/>
  <c r="B10" i="4"/>
  <c r="F9" i="4"/>
  <c r="E9" i="4"/>
  <c r="D9" i="4"/>
  <c r="B9" i="4"/>
  <c r="F8" i="4"/>
  <c r="E8" i="4"/>
  <c r="D8" i="4"/>
  <c r="B8" i="4"/>
  <c r="F7" i="4"/>
  <c r="E7" i="4"/>
  <c r="D7" i="4"/>
  <c r="B7" i="4"/>
  <c r="I18" i="2"/>
  <c r="H18" i="2"/>
  <c r="G18" i="2"/>
  <c r="D18" i="2"/>
  <c r="B18" i="2"/>
  <c r="I17" i="2"/>
  <c r="H17" i="2"/>
  <c r="G17" i="2"/>
  <c r="D17" i="2"/>
  <c r="B17" i="2"/>
  <c r="A17" i="2"/>
  <c r="I16" i="2"/>
  <c r="H16" i="2"/>
  <c r="G16" i="2"/>
  <c r="D16" i="2"/>
  <c r="B16" i="2"/>
  <c r="A16" i="2"/>
  <c r="I15" i="2"/>
  <c r="H15" i="2"/>
  <c r="G15" i="2"/>
  <c r="D15" i="2"/>
  <c r="B15" i="2"/>
  <c r="I14" i="2"/>
  <c r="H14" i="2"/>
  <c r="G14" i="2"/>
  <c r="D14" i="2"/>
  <c r="B14" i="2"/>
  <c r="A14" i="2"/>
  <c r="I13" i="2"/>
  <c r="H13" i="2"/>
  <c r="G13" i="2"/>
  <c r="D13" i="2"/>
  <c r="B13" i="2"/>
  <c r="I12" i="2"/>
  <c r="H12" i="2"/>
  <c r="G12" i="2"/>
  <c r="D12" i="2"/>
  <c r="B12" i="2"/>
  <c r="A12" i="2"/>
  <c r="E12" i="4"/>
  <c r="F12" i="4"/>
  <c r="E13" i="4"/>
  <c r="F13" i="4"/>
  <c r="E14" i="4"/>
  <c r="F14" i="4"/>
  <c r="E15" i="4"/>
  <c r="F15" i="4"/>
  <c r="D12" i="4"/>
  <c r="D13" i="4"/>
  <c r="D14" i="4"/>
  <c r="D15" i="4"/>
  <c r="B12" i="4"/>
  <c r="B13" i="4"/>
  <c r="B14" i="4"/>
  <c r="B15" i="4"/>
  <c r="B6" i="4"/>
  <c r="F6" i="4"/>
  <c r="A11" i="4"/>
  <c r="A12" i="4"/>
  <c r="A13" i="4"/>
  <c r="A14" i="4"/>
  <c r="A15" i="4"/>
  <c r="J18" i="2"/>
  <c r="G15" i="4"/>
  <c r="G13" i="4"/>
  <c r="P54" i="3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1" i="2"/>
  <c r="D10" i="2"/>
  <c r="D9" i="2"/>
  <c r="D8" i="2"/>
  <c r="D7" i="2"/>
  <c r="B11" i="2"/>
  <c r="B10" i="2"/>
  <c r="B9" i="2"/>
  <c r="B8" i="2"/>
  <c r="B7" i="2"/>
  <c r="B6" i="2"/>
  <c r="E6" i="4"/>
  <c r="D6" i="4"/>
  <c r="J11" i="2"/>
  <c r="J10" i="2"/>
  <c r="J9" i="2"/>
  <c r="J8" i="2"/>
  <c r="J7" i="2"/>
  <c r="J16" i="1" l="1"/>
  <c r="J17" i="2"/>
  <c r="J13" i="2"/>
  <c r="J15" i="2"/>
  <c r="G9" i="4"/>
  <c r="G7" i="4"/>
  <c r="J12" i="2"/>
  <c r="J14" i="2"/>
  <c r="G10" i="4"/>
  <c r="J16" i="2"/>
  <c r="G8" i="4"/>
  <c r="G11" i="4"/>
  <c r="G6" i="4"/>
  <c r="K67" i="3"/>
  <c r="G16" i="4" l="1"/>
  <c r="K10" i="3"/>
  <c r="A19" i="4" l="1"/>
  <c r="I6" i="2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F29" i="3" l="1"/>
  <c r="G17" i="4" l="1"/>
  <c r="F30" i="3" s="1"/>
  <c r="G18" i="4" l="1"/>
  <c r="F31" i="3" s="1"/>
</calcChain>
</file>

<file path=xl/sharedStrings.xml><?xml version="1.0" encoding="utf-8"?>
<sst xmlns="http://schemas.openxmlformats.org/spreadsheetml/2006/main" count="187" uniqueCount="148">
  <si>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</si>
  <si>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</si>
  <si>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</si>
  <si>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</si>
  <si>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</si>
  <si>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</si>
  <si>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</si>
  <si>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</si>
  <si>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</si>
  <si>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</si>
  <si>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</si>
  <si>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</si>
  <si>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</si>
  <si>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</si>
  <si>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</si>
  <si>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</si>
  <si>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</si>
  <si>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</si>
  <si>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</si>
  <si>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</si>
  <si>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</si>
  <si>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</si>
  <si>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</si>
  <si>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</si>
  <si>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</si>
  <si>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</si>
  <si>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</si>
  <si>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</si>
  <si>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</si>
  <si>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</si>
  <si>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</si>
  <si>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</si>
  <si>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</si>
  <si>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</si>
  <si>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</si>
  <si>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</si>
  <si>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</si>
  <si>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</si>
  <si>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</si>
  <si>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</si>
  <si>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</si>
  <si>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</si>
  <si>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</si>
  <si>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</si>
  <si>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</si>
  <si>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</si>
  <si>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</si>
  <si>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</si>
  <si>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</si>
  <si>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</si>
  <si>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</si>
  <si>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</si>
  <si>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</si>
  <si>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</si>
  <si>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</si>
  <si>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</si>
  <si>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</si>
  <si>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</si>
  <si>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</si>
  <si>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</si>
  <si>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</si>
  <si>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</si>
  <si>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</si>
  <si>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</si>
  <si>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</si>
  <si>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</si>
  <si>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</si>
  <si>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</si>
  <si>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</si>
  <si>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</si>
  <si>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</si>
  <si>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</si>
  <si>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</si>
  <si>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</si>
  <si>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</si>
  <si>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</si>
  <si>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</si>
  <si>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</si>
  <si>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</si>
  <si>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</si>
  <si>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</si>
  <si>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</si>
  <si>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</si>
  <si>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</si>
  <si>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</si>
  <si>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</si>
  <si>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</si>
  <si>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</si>
  <si>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</si>
  <si>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</si>
  <si>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</si>
  <si>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</si>
  <si>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</si>
  <si>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</si>
  <si>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</si>
  <si>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</si>
  <si>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</si>
  <si>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</si>
  <si>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</si>
  <si>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</si>
  <si>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</si>
  <si>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Site Materials</t>
  </si>
  <si>
    <t>AMT(Alam Alamani Trading Company)</t>
  </si>
  <si>
    <t>2051229875</t>
  </si>
  <si>
    <t>311236644400003</t>
  </si>
  <si>
    <t>Building No. 3345,Ath Thuqbah Dist. Al Khobar 34623, KSA</t>
  </si>
  <si>
    <t>ALAM ALAMANI TRADING COMPANY</t>
  </si>
  <si>
    <t>353387194001</t>
  </si>
  <si>
    <t>SA76 4500 0000 3533 8719 4001</t>
  </si>
  <si>
    <t>SAUDI BRITISH BANK</t>
  </si>
  <si>
    <t>SABBSARI</t>
  </si>
  <si>
    <t>AMT</t>
  </si>
  <si>
    <t>+966 56 482 5879 / Email: sales@alamaniya.com</t>
  </si>
  <si>
    <t>Mobile:</t>
  </si>
  <si>
    <t>+966 56 482 5879</t>
  </si>
  <si>
    <t xml:space="preserve"> In Charge :</t>
  </si>
  <si>
    <t>Rafeeq Kotyadi</t>
  </si>
  <si>
    <t>Marketing Manager</t>
  </si>
  <si>
    <t>EA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</si>
  <si>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-MRS-0426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</si>
  <si>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</si>
  <si>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</si>
  <si>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</si>
  <si>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</si>
  <si>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</si>
  <si>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</si>
  <si>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</si>
  <si>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</si>
  <si>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</si>
  <si>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</si>
  <si>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</si>
  <si>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</si>
  <si>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QT26-1562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</si>
  <si>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</si>
  <si>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</si>
  <si>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 xml:space="preserve">POLYESTER ENDLESS ROUND SLING </t>
  </si>
  <si>
    <t xml:space="preserve">SWL-20MT, LENGTH-10Mtr, CIRCUM-20Mtr, FOS-7:1, </t>
  </si>
  <si>
    <t xml:space="preserve">SWL-10MT, LENGTH-10Mtr, CIRCUM-20Mtr, FOS-7:1, </t>
  </si>
  <si>
    <t xml:space="preserve">Manually Operated Chain Lever Block </t>
  </si>
  <si>
    <t xml:space="preserve">SWL-1.5MT, Load Chain Length-3Mtr, </t>
  </si>
  <si>
    <t xml:space="preserve">SWL-2MT, Load Chain Length-3Mtr, </t>
  </si>
  <si>
    <t>3" WIDE POLYESTER DUPLEX WEBBING SLING,</t>
  </si>
  <si>
    <t xml:space="preserve"> BOTH END SOFT EYE, LENGTH-3Mtr, SWL-3Ton, FOS-7:1, </t>
  </si>
  <si>
    <t xml:space="preserve">3" WIDE POLYESTER DUPLEX WEBBING SLING, </t>
  </si>
  <si>
    <t xml:space="preserve">BOTH END SOFT EYE, LENGTH-6Mtr, SWL-3Ton, FOS-7:1, </t>
  </si>
  <si>
    <t xml:space="preserve">BOTH END SOFT EYE, LENGTH-8Mtr, SWL-3Ton, FOS-7:1, </t>
  </si>
  <si>
    <t xml:space="preserve">3/4" G209 SCREW PIN TYPE ALLOY BOW SHACKLE, </t>
  </si>
  <si>
    <t xml:space="preserve">SWL-4.75MT,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</si>
</sst>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</borders>
  <cellStyleXfs count="28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3" fontId="38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9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9" xfId="6" applyFont="1" applyFill="1" applyBorder="1" applyAlignment="1">
      <alignment horizontal="center" vertical="center" wrapText="1"/>
    </xf>
    <xf numFmtId="43" fontId="12" fillId="0" borderId="19" xfId="6" quotePrefix="1" applyNumberFormat="1" applyFont="1" applyBorder="1" applyAlignment="1">
      <alignment vertical="center" wrapText="1"/>
    </xf>
    <xf numFmtId="0" fontId="7" fillId="0" borderId="33" xfId="6" applyFont="1" applyBorder="1"/>
    <xf numFmtId="170" fontId="9" fillId="0" borderId="40" xfId="6" applyNumberFormat="1" applyFont="1" applyBorder="1" applyAlignment="1">
      <alignment horizontal="center" vertical="center" wrapText="1"/>
    </xf>
    <xf numFmtId="0" fontId="7" fillId="0" borderId="41" xfId="6" applyFont="1" applyBorder="1"/>
    <xf numFmtId="0" fontId="9" fillId="0" borderId="0" xfId="6" applyFont="1" applyAlignment="1">
      <alignment vertical="center"/>
    </xf>
    <xf numFmtId="0" fontId="25" fillId="0" borderId="42" xfId="6" applyFont="1" applyBorder="1" applyAlignment="1">
      <alignment vertical="center"/>
    </xf>
    <xf numFmtId="0" fontId="25" fillId="0" borderId="42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4" xfId="6" quotePrefix="1" applyFont="1" applyBorder="1" applyAlignment="1">
      <alignment horizontal="center" vertical="center"/>
    </xf>
    <xf numFmtId="0" fontId="5" fillId="2" borderId="37" xfId="7" applyFont="1" applyFill="1" applyBorder="1" applyAlignment="1">
      <alignment horizontal="center" vertical="center" wrapText="1"/>
    </xf>
    <xf numFmtId="0" fontId="5" fillId="2" borderId="37" xfId="8" applyFont="1" applyFill="1" applyBorder="1" applyAlignment="1">
      <alignment horizontal="center" vertical="center"/>
    </xf>
    <xf numFmtId="43" fontId="5" fillId="0" borderId="37" xfId="9" quotePrefix="1" applyFont="1" applyFill="1" applyBorder="1" applyAlignment="1">
      <alignment vertical="center"/>
    </xf>
    <xf numFmtId="43" fontId="5" fillId="0" borderId="37" xfId="6" applyNumberFormat="1" applyFont="1" applyBorder="1" applyAlignment="1">
      <alignment vertical="center"/>
    </xf>
    <xf numFmtId="0" fontId="2" fillId="0" borderId="38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2" xfId="6" quotePrefix="1" applyFont="1" applyBorder="1" applyAlignment="1">
      <alignment horizontal="center" vertical="center"/>
    </xf>
    <xf numFmtId="0" fontId="2" fillId="0" borderId="33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9" xfId="0" applyFont="1" applyBorder="1" applyAlignment="1">
      <alignment horizontal="center" vertical="center"/>
    </xf>
    <xf numFmtId="172" fontId="41" fillId="0" borderId="19" xfId="10" applyNumberFormat="1" applyFont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172" fontId="5" fillId="2" borderId="0" xfId="1" applyNumberFormat="1" applyFont="1" applyFill="1" applyAlignment="1">
      <alignment horizontal="center"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3" xfId="5" applyFont="1" applyFill="1" applyBorder="1"/>
    <xf numFmtId="0" fontId="17" fillId="3" borderId="43" xfId="5" applyFont="1" applyFill="1" applyBorder="1"/>
    <xf numFmtId="0" fontId="5" fillId="2" borderId="18" xfId="1" applyFont="1" applyFill="1" applyBorder="1" applyAlignment="1">
      <alignment horizontal="center" vertical="center"/>
    </xf>
    <xf numFmtId="0" fontId="2" fillId="2" borderId="8" xfId="4" applyNumberFormat="1" applyFont="1" applyFill="1" applyBorder="1" applyAlignment="1">
      <alignment horizontal="left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8" xfId="0" quotePrefix="1" applyFont="1" applyBorder="1" applyAlignment="1">
      <alignment horizontal="center" vertical="center" wrapText="1"/>
    </xf>
    <xf numFmtId="0" fontId="5" fillId="2" borderId="0" xfId="1" applyFont="1" applyFill="1" applyAlignment="1">
      <alignment vertical="center" wrapText="1"/>
    </xf>
    <xf numFmtId="0" fontId="5" fillId="2" borderId="1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vertical="center"/>
    </xf>
    <xf numFmtId="0" fontId="5" fillId="2" borderId="16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4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3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7" fillId="2" borderId="12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vertical="center"/>
    </xf>
    <xf numFmtId="0" fontId="5" fillId="2" borderId="14" xfId="1" applyFont="1" applyFill="1" applyBorder="1" applyAlignment="1">
      <alignment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41" fillId="0" borderId="20" xfId="0" applyFont="1" applyBorder="1" applyAlignment="1">
      <alignment horizontal="left" vertical="center" wrapText="1"/>
    </xf>
    <xf numFmtId="0" fontId="41" fillId="0" borderId="21" xfId="0" applyFont="1" applyBorder="1" applyAlignment="1">
      <alignment horizontal="left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41" fillId="3" borderId="22" xfId="0" applyFont="1" applyFill="1" applyBorder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14" fillId="2" borderId="19" xfId="1" applyFont="1" applyFill="1" applyBorder="1" applyAlignment="1">
      <alignment horizontal="center" vertical="center" wrapText="1"/>
    </xf>
    <xf numFmtId="0" fontId="14" fillId="2" borderId="19" xfId="1" applyFont="1" applyFill="1" applyBorder="1" applyAlignment="1">
      <alignment horizontal="center" vertical="center"/>
    </xf>
    <xf numFmtId="0" fontId="2" fillId="3" borderId="35" xfId="5" applyFont="1" applyFill="1" applyBorder="1" applyAlignment="1">
      <alignment horizontal="left" vertical="center" wrapText="1"/>
    </xf>
    <xf numFmtId="0" fontId="2" fillId="3" borderId="36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4" xfId="6" applyFont="1" applyBorder="1" applyAlignment="1">
      <alignment horizontal="right" vertical="center"/>
    </xf>
    <xf numFmtId="0" fontId="7" fillId="4" borderId="31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12" fillId="0" borderId="32" xfId="6" quotePrefix="1" applyFont="1" applyBorder="1" applyAlignment="1">
      <alignment horizontal="right" vertical="center"/>
    </xf>
    <xf numFmtId="0" fontId="12" fillId="0" borderId="19" xfId="6" quotePrefix="1" applyFont="1" applyBorder="1" applyAlignment="1">
      <alignment horizontal="right" vertical="center"/>
    </xf>
    <xf numFmtId="0" fontId="9" fillId="0" borderId="39" xfId="6" quotePrefix="1" applyFont="1" applyBorder="1" applyAlignment="1">
      <alignment horizontal="right" vertical="center"/>
    </xf>
    <xf numFmtId="0" fontId="9" fillId="0" borderId="40" xfId="6" quotePrefix="1" applyFont="1" applyBorder="1" applyAlignment="1">
      <alignment horizontal="right" vertical="center"/>
    </xf>
    <xf numFmtId="0" fontId="7" fillId="2" borderId="45" xfId="1" applyFont="1" applyFill="1" applyBorder="1" applyAlignment="1">
      <alignment horizontal="center" vertical="center" wrapText="1"/>
    </xf>
    <xf numFmtId="0" fontId="7" fillId="2" borderId="0" xfId="1" applyFont="1" applyFill="1" applyBorder="1" applyAlignment="1">
      <alignment horizontal="center" vertical="center" wrapText="1"/>
    </xf>
    <xf numFmtId="0" fontId="7" fillId="2" borderId="44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/>
    </xf>
    <xf numFmtId="0" fontId="7" fillId="2" borderId="18" xfId="1" applyFont="1" applyFill="1" applyBorder="1" applyAlignment="1">
      <alignment horizontal="center" vertical="center" wrapText="1"/>
    </xf>
    <xf numFmtId="0" fontId="2" fillId="2" borderId="13" xfId="1" applyFill="1" applyBorder="1" applyAlignment="1">
      <alignment horizontal="center" vertical="center" wrapText="1"/>
    </xf>
    <xf numFmtId="0" fontId="2" fillId="2" borderId="46" xfId="1" applyFill="1" applyBorder="1" applyAlignment="1">
      <alignment horizontal="center" vertical="center" wrapText="1"/>
    </xf>
    <xf numFmtId="0" fontId="7" fillId="2" borderId="47" xfId="1" quotePrefix="1" applyFont="1" applyFill="1" applyBorder="1" applyAlignment="1">
      <alignment vertical="center"/>
    </xf>
    <xf numFmtId="0" fontId="2" fillId="2" borderId="7" xfId="1" applyFill="1" applyBorder="1" applyAlignment="1">
      <alignment vertical="center"/>
    </xf>
    <xf numFmtId="0" fontId="2" fillId="2" borderId="7" xfId="1" applyFill="1" applyBorder="1" applyAlignment="1">
      <alignment vertical="center" wrapText="1"/>
    </xf>
    <xf numFmtId="0" fontId="2" fillId="2" borderId="14" xfId="1" applyFill="1" applyBorder="1" applyAlignment="1">
      <alignment horizontal="center" vertical="center"/>
    </xf>
    <xf numFmtId="167" fontId="2" fillId="0" borderId="13" xfId="0" applyNumberFormat="1" applyFont="1" applyBorder="1" applyAlignment="1">
      <alignment horizontal="right" vertical="center" wrapText="1"/>
    </xf>
    <xf numFmtId="0" fontId="2" fillId="2" borderId="14" xfId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/>
    </xf>
    <xf numFmtId="40" fontId="13" fillId="0" borderId="8" xfId="0" applyNumberFormat="1" applyFont="1" applyBorder="1" applyAlignment="1">
      <alignment horizontal="center" vertical="center"/>
    </xf>
    <xf numFmtId="43" fontId="2" fillId="0" borderId="8" xfId="27" applyFont="1" applyBorder="1" applyAlignment="1">
      <alignment horizontal="lef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167" fontId="2" fillId="0" borderId="8" xfId="0" applyNumberFormat="1" applyFont="1" applyBorder="1" applyAlignment="1">
      <alignment horizontal="left" vertical="center" wrapText="1"/>
    </xf>
  </cellXfs>
  <cellStyles count="28">
    <cellStyle name="Comma" xfId="27" builtinId="3"/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1816768</xdr:colOff>
          <xdr:row>17</xdr:row>
          <xdr:rowOff>99761</xdr:rowOff>
        </xdr:from>
        <xdr:to>
          <xdr:col>11</xdr:col>
          <xdr:colOff>1586664</xdr:colOff>
          <xdr:row>23</xdr:row>
          <xdr:rowOff>337886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3558B7CB-00D6-AEA3-D5F2-1845BCAA5C5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120189" y="5894972"/>
              <a:ext cx="8452686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P11" sqref="P11"/>
    </sheetView>
  </sheetViews>
  <sheetFormatPr defaultColWidth="9" defaultRowHeight="21" customHeight="1"/>
  <cols>
    <col min="1" max="1" width="3.7109375" style="2" customWidth="1"/>
    <col min="2" max="2" width="15.7109375" style="2" customWidth="1"/>
    <col min="3" max="3" width="34.28515625" style="2" customWidth="1"/>
    <col min="4" max="4" width="11.28515625" style="2" customWidth="1"/>
    <col min="5" max="5" width="9.5703125" style="2" customWidth="1"/>
    <col min="6" max="6" width="13.855468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8" t="s">
        <v>133</v>
      </c>
      <c r="B1" s="119"/>
      <c r="C1" s="94"/>
      <c r="D1" s="94"/>
      <c r="E1" s="94"/>
      <c r="F1" s="94"/>
      <c r="G1" s="1"/>
      <c r="J1" s="132" t="s">
        <v>80</v>
      </c>
      <c r="K1" s="133"/>
      <c r="L1" s="134"/>
    </row>
    <row r="2" spans="1:18" ht="20.100000000000001" customHeight="1">
      <c r="A2" s="3" t="s">
        <v>1</v>
      </c>
      <c r="B2" s="88"/>
      <c r="C2" s="88"/>
      <c r="D2" s="3" t="s">
        <v>134</v>
      </c>
      <c r="E2" s="88"/>
      <c r="F2" s="88"/>
      <c r="G2" s="88"/>
      <c r="H2" s="88"/>
      <c r="I2" s="4"/>
      <c r="J2" s="135" t="s">
        <v>87</v>
      </c>
      <c r="K2" s="136"/>
      <c r="L2" s="137"/>
    </row>
    <row r="3" spans="1:18" ht="20.100000000000001" customHeight="1">
      <c r="A3" s="3" t="s">
        <v>119</v>
      </c>
      <c r="B3" s="88"/>
      <c r="C3" s="88"/>
      <c r="D3" s="88"/>
      <c r="E3" s="138">
        <f>+L3+3</f>
        <v>46255</v>
      </c>
      <c r="F3" s="138"/>
      <c r="G3" s="138"/>
      <c r="H3" s="138"/>
      <c r="I3" s="138"/>
      <c r="J3" s="88"/>
      <c r="K3" s="88"/>
      <c r="L3" s="120">
        <v>46252</v>
      </c>
      <c r="M3" s="4"/>
    </row>
    <row r="4" spans="1:18" ht="15.95" customHeight="1">
      <c r="A4" s="139" t="s">
        <v>2</v>
      </c>
      <c r="B4" s="140" t="s">
        <v>3</v>
      </c>
      <c r="C4" s="140"/>
      <c r="D4" s="141" t="s">
        <v>4</v>
      </c>
      <c r="E4" s="142"/>
      <c r="F4" s="143"/>
      <c r="G4" s="130" t="s">
        <v>5</v>
      </c>
      <c r="H4" s="131" t="s">
        <v>6</v>
      </c>
      <c r="I4" s="131" t="s">
        <v>84</v>
      </c>
      <c r="J4" s="139" t="s">
        <v>85</v>
      </c>
      <c r="K4" s="131" t="s">
        <v>0</v>
      </c>
      <c r="L4" s="140" t="s">
        <v>7</v>
      </c>
    </row>
    <row r="5" spans="1:18" ht="15.95" customHeight="1">
      <c r="A5" s="131"/>
      <c r="B5" s="130"/>
      <c r="C5" s="130"/>
      <c r="D5" s="187"/>
      <c r="E5" s="188"/>
      <c r="F5" s="189"/>
      <c r="G5" s="190"/>
      <c r="H5" s="191"/>
      <c r="I5" s="191"/>
      <c r="J5" s="131"/>
      <c r="K5" s="191"/>
      <c r="L5" s="130"/>
    </row>
    <row r="6" spans="1:18" s="107" customFormat="1" ht="29.25" customHeight="1">
      <c r="A6" s="105">
        <f t="shared" ref="A6:A15" si="0">ROW(A1)</f>
        <v>1</v>
      </c>
      <c r="B6" s="200" t="s">
        <v>135</v>
      </c>
      <c r="C6" s="200"/>
      <c r="D6" s="200" t="s">
        <v>136</v>
      </c>
      <c r="E6" s="200"/>
      <c r="F6" s="200"/>
      <c r="G6" s="201" t="s">
        <v>118</v>
      </c>
      <c r="H6" s="201">
        <v>1</v>
      </c>
      <c r="I6" s="202">
        <v>980</v>
      </c>
      <c r="J6" s="203">
        <f>+H6*I6</f>
        <v>980</v>
      </c>
      <c r="K6" s="204" t="s">
        <v>111</v>
      </c>
      <c r="L6" s="109" t="s">
        <v>89</v>
      </c>
      <c r="R6" s="108"/>
    </row>
    <row r="7" spans="1:18" s="107" customFormat="1" ht="29.25" customHeight="1">
      <c r="A7" s="105">
        <f t="shared" si="0"/>
        <v>2</v>
      </c>
      <c r="B7" s="200" t="s">
        <v>135</v>
      </c>
      <c r="C7" s="200"/>
      <c r="D7" s="200" t="s">
        <v>136</v>
      </c>
      <c r="E7" s="200"/>
      <c r="F7" s="200"/>
      <c r="G7" s="201" t="s">
        <v>118</v>
      </c>
      <c r="H7" s="201">
        <v>4</v>
      </c>
      <c r="I7" s="202">
        <v>980</v>
      </c>
      <c r="J7" s="203">
        <f t="shared" ref="J7:J15" si="1">+H7*I7</f>
        <v>3920</v>
      </c>
      <c r="K7" s="205"/>
      <c r="L7" s="106"/>
      <c r="R7" s="108"/>
    </row>
    <row r="8" spans="1:18" s="107" customFormat="1" ht="29.25" customHeight="1">
      <c r="A8" s="105">
        <f t="shared" si="0"/>
        <v>3</v>
      </c>
      <c r="B8" s="200" t="s">
        <v>135</v>
      </c>
      <c r="C8" s="200"/>
      <c r="D8" s="200" t="s">
        <v>137</v>
      </c>
      <c r="E8" s="200"/>
      <c r="F8" s="200"/>
      <c r="G8" s="201" t="s">
        <v>118</v>
      </c>
      <c r="H8" s="201">
        <v>4</v>
      </c>
      <c r="I8" s="202">
        <v>330</v>
      </c>
      <c r="J8" s="203">
        <f t="shared" si="1"/>
        <v>1320</v>
      </c>
      <c r="K8" s="205"/>
      <c r="L8" s="106"/>
      <c r="R8" s="108"/>
    </row>
    <row r="9" spans="1:18" s="107" customFormat="1" ht="29.25" customHeight="1">
      <c r="A9" s="105">
        <f t="shared" si="0"/>
        <v>4</v>
      </c>
      <c r="B9" s="200" t="s">
        <v>138</v>
      </c>
      <c r="C9" s="200"/>
      <c r="D9" s="200" t="s">
        <v>139</v>
      </c>
      <c r="E9" s="200"/>
      <c r="F9" s="200"/>
      <c r="G9" s="201" t="s">
        <v>118</v>
      </c>
      <c r="H9" s="201">
        <v>10</v>
      </c>
      <c r="I9" s="202">
        <v>290</v>
      </c>
      <c r="J9" s="203">
        <f t="shared" si="1"/>
        <v>2900</v>
      </c>
      <c r="K9" s="205"/>
      <c r="L9" s="106"/>
      <c r="R9" s="108"/>
    </row>
    <row r="10" spans="1:18" s="107" customFormat="1" ht="29.25" customHeight="1">
      <c r="A10" s="105">
        <f t="shared" si="0"/>
        <v>5</v>
      </c>
      <c r="B10" s="200" t="s">
        <v>138</v>
      </c>
      <c r="C10" s="200"/>
      <c r="D10" s="200" t="s">
        <v>139</v>
      </c>
      <c r="E10" s="200"/>
      <c r="F10" s="200"/>
      <c r="G10" s="201" t="s">
        <v>118</v>
      </c>
      <c r="H10" s="201">
        <v>6</v>
      </c>
      <c r="I10" s="202">
        <v>290</v>
      </c>
      <c r="J10" s="203">
        <f t="shared" si="1"/>
        <v>1740</v>
      </c>
      <c r="K10" s="205"/>
      <c r="L10" s="106"/>
      <c r="R10" s="108"/>
    </row>
    <row r="11" spans="1:18" s="107" customFormat="1" ht="29.25" customHeight="1">
      <c r="A11" s="105">
        <f t="shared" si="0"/>
        <v>6</v>
      </c>
      <c r="B11" s="200" t="s">
        <v>138</v>
      </c>
      <c r="C11" s="200"/>
      <c r="D11" s="200" t="s">
        <v>140</v>
      </c>
      <c r="E11" s="200"/>
      <c r="F11" s="200"/>
      <c r="G11" s="201" t="s">
        <v>118</v>
      </c>
      <c r="H11" s="201">
        <v>3</v>
      </c>
      <c r="I11" s="202">
        <v>350</v>
      </c>
      <c r="J11" s="203">
        <f t="shared" si="1"/>
        <v>1050</v>
      </c>
      <c r="K11" s="205"/>
      <c r="L11" s="106"/>
      <c r="R11" s="108"/>
    </row>
    <row r="12" spans="1:18" s="107" customFormat="1" ht="29.25" customHeight="1">
      <c r="A12" s="105">
        <f t="shared" si="0"/>
        <v>7</v>
      </c>
      <c r="B12" s="200" t="s">
        <v>141</v>
      </c>
      <c r="C12" s="200"/>
      <c r="D12" s="200" t="s">
        <v>142</v>
      </c>
      <c r="E12" s="200"/>
      <c r="F12" s="200"/>
      <c r="G12" s="201" t="s">
        <v>118</v>
      </c>
      <c r="H12" s="201">
        <v>4</v>
      </c>
      <c r="I12" s="202">
        <v>27</v>
      </c>
      <c r="J12" s="203">
        <f t="shared" si="1"/>
        <v>108</v>
      </c>
      <c r="K12" s="205"/>
      <c r="L12" s="106"/>
      <c r="R12" s="108"/>
    </row>
    <row r="13" spans="1:18" s="107" customFormat="1" ht="29.25" customHeight="1">
      <c r="A13" s="105">
        <f t="shared" si="0"/>
        <v>8</v>
      </c>
      <c r="B13" s="200" t="s">
        <v>143</v>
      </c>
      <c r="C13" s="200"/>
      <c r="D13" s="200" t="s">
        <v>144</v>
      </c>
      <c r="E13" s="200"/>
      <c r="F13" s="200"/>
      <c r="G13" s="201" t="s">
        <v>118</v>
      </c>
      <c r="H13" s="201">
        <v>4</v>
      </c>
      <c r="I13" s="202">
        <v>56</v>
      </c>
      <c r="J13" s="203">
        <f t="shared" si="1"/>
        <v>224</v>
      </c>
      <c r="K13" s="205"/>
      <c r="L13" s="106"/>
      <c r="R13" s="108"/>
    </row>
    <row r="14" spans="1:18" s="107" customFormat="1" ht="29.25" customHeight="1">
      <c r="A14" s="105">
        <f t="shared" si="0"/>
        <v>9</v>
      </c>
      <c r="B14" s="200" t="s">
        <v>143</v>
      </c>
      <c r="C14" s="200"/>
      <c r="D14" s="200" t="s">
        <v>145</v>
      </c>
      <c r="E14" s="200"/>
      <c r="F14" s="200"/>
      <c r="G14" s="201" t="s">
        <v>118</v>
      </c>
      <c r="H14" s="201">
        <v>4</v>
      </c>
      <c r="I14" s="202">
        <v>65</v>
      </c>
      <c r="J14" s="203">
        <f t="shared" si="1"/>
        <v>260</v>
      </c>
      <c r="K14" s="205"/>
      <c r="L14" s="106"/>
      <c r="R14" s="108"/>
    </row>
    <row r="15" spans="1:18" s="107" customFormat="1" ht="29.25" customHeight="1">
      <c r="A15" s="105">
        <f t="shared" si="0"/>
        <v>10</v>
      </c>
      <c r="B15" s="200" t="s">
        <v>146</v>
      </c>
      <c r="C15" s="200"/>
      <c r="D15" s="200" t="s">
        <v>147</v>
      </c>
      <c r="E15" s="200"/>
      <c r="F15" s="200"/>
      <c r="G15" s="201" t="s">
        <v>118</v>
      </c>
      <c r="H15" s="201">
        <v>4</v>
      </c>
      <c r="I15" s="202">
        <v>20</v>
      </c>
      <c r="J15" s="203">
        <f t="shared" si="1"/>
        <v>80</v>
      </c>
      <c r="K15" s="205"/>
      <c r="L15" s="106"/>
      <c r="R15" s="108"/>
    </row>
    <row r="16" spans="1:18" ht="24" customHeight="1">
      <c r="A16" s="192" t="s">
        <v>8</v>
      </c>
      <c r="B16" s="193"/>
      <c r="C16" s="194"/>
      <c r="D16" s="195"/>
      <c r="E16" s="195"/>
      <c r="F16" s="195"/>
      <c r="G16" s="196"/>
      <c r="H16" s="196"/>
      <c r="I16" s="197" t="s">
        <v>9</v>
      </c>
      <c r="J16" s="198">
        <f>SUM(J6:J15)</f>
        <v>12582</v>
      </c>
      <c r="K16" s="198"/>
      <c r="L16" s="199"/>
    </row>
    <row r="17" spans="1:26" ht="20.100000000000001" customHeight="1">
      <c r="A17" s="5" t="s">
        <v>10</v>
      </c>
      <c r="B17" s="6"/>
      <c r="C17" s="6"/>
      <c r="D17" s="6"/>
      <c r="E17" s="6"/>
      <c r="F17" s="6"/>
      <c r="G17" s="6"/>
      <c r="H17" s="6"/>
      <c r="I17" s="6"/>
      <c r="J17" s="6"/>
      <c r="K17" s="7"/>
      <c r="L17" s="8"/>
    </row>
    <row r="18" spans="1:26" ht="18" customHeight="1">
      <c r="A18" s="9"/>
      <c r="J18" s="1"/>
      <c r="K18" s="1"/>
      <c r="O18" s="110"/>
      <c r="P18" s="10"/>
      <c r="Q18" s="10"/>
      <c r="R18" s="10"/>
      <c r="S18" s="10"/>
      <c r="T18" s="10"/>
      <c r="U18" s="10"/>
      <c r="V18" s="10"/>
      <c r="W18" s="10"/>
      <c r="Y18" s="152"/>
      <c r="Z18" s="10"/>
    </row>
    <row r="19" spans="1:26" ht="50.1" customHeight="1">
      <c r="O19" s="1"/>
      <c r="Y19" s="153"/>
    </row>
    <row r="20" spans="1:26" ht="15" customHeight="1">
      <c r="O20" s="148" t="s">
        <v>120</v>
      </c>
      <c r="P20" s="154"/>
      <c r="Q20" s="154"/>
      <c r="R20" s="149"/>
      <c r="S20" s="104"/>
      <c r="T20" s="148" t="s">
        <v>121</v>
      </c>
      <c r="U20" s="154"/>
      <c r="V20" s="154"/>
      <c r="W20" s="154"/>
      <c r="X20" s="154"/>
      <c r="Y20" s="149"/>
    </row>
    <row r="21" spans="1:26" ht="15" customHeight="1">
      <c r="O21" s="155" t="s">
        <v>122</v>
      </c>
      <c r="P21" s="144" t="s">
        <v>123</v>
      </c>
      <c r="Q21" s="157" t="s">
        <v>124</v>
      </c>
      <c r="R21" s="144" t="s">
        <v>125</v>
      </c>
      <c r="S21" s="104"/>
      <c r="T21" s="157" t="s">
        <v>126</v>
      </c>
      <c r="U21" s="144" t="s">
        <v>127</v>
      </c>
      <c r="V21" s="148" t="s">
        <v>128</v>
      </c>
      <c r="W21" s="154"/>
      <c r="X21" s="149"/>
      <c r="Y21" s="144" t="s">
        <v>129</v>
      </c>
    </row>
    <row r="22" spans="1:26" ht="18" customHeight="1">
      <c r="O22" s="156"/>
      <c r="P22" s="145"/>
      <c r="Q22" s="146"/>
      <c r="R22" s="145"/>
      <c r="S22" s="111"/>
      <c r="T22" s="146"/>
      <c r="U22" s="145"/>
      <c r="V22" s="12" t="s">
        <v>122</v>
      </c>
      <c r="W22" s="158" t="s">
        <v>130</v>
      </c>
      <c r="X22" s="159"/>
      <c r="Y22" s="145"/>
    </row>
    <row r="23" spans="1:26" ht="50.1" customHeight="1">
      <c r="O23" s="112"/>
      <c r="P23" s="13"/>
      <c r="Q23" s="13"/>
      <c r="R23" s="13"/>
      <c r="S23" s="104"/>
      <c r="T23" s="13"/>
      <c r="U23" s="13"/>
      <c r="V23" s="13"/>
      <c r="W23" s="148"/>
      <c r="X23" s="149"/>
      <c r="Y23" s="113"/>
    </row>
    <row r="24" spans="1:26" ht="36" customHeight="1">
      <c r="O24" s="1"/>
      <c r="W24" s="114"/>
      <c r="X24" s="150" t="s">
        <v>131</v>
      </c>
      <c r="Y24" s="11" t="s">
        <v>129</v>
      </c>
    </row>
    <row r="25" spans="1:26" ht="50.1" customHeight="1">
      <c r="O25" s="115"/>
      <c r="P25" s="115"/>
      <c r="Q25" s="115"/>
      <c r="R25" s="115"/>
      <c r="S25" s="115"/>
      <c r="T25" s="115"/>
      <c r="U25" s="115"/>
      <c r="V25" s="115"/>
      <c r="W25" s="116"/>
      <c r="X25" s="151"/>
      <c r="Y25" s="117"/>
    </row>
    <row r="26" spans="1:26" ht="19.899999999999999" customHeight="1">
      <c r="O26" s="1"/>
    </row>
    <row r="27" spans="1:26" ht="17.45" customHeight="1">
      <c r="O27" s="147"/>
      <c r="P27" s="147"/>
    </row>
    <row r="28" spans="1:26" ht="19.899999999999999" customHeight="1">
      <c r="O28" s="147"/>
      <c r="P28" s="147"/>
    </row>
    <row r="29" spans="1:26" ht="14.25">
      <c r="O29" s="10"/>
      <c r="P29" s="10"/>
    </row>
    <row r="30" spans="1:26" ht="65.099999999999994" customHeight="1"/>
    <row r="31" spans="1:26" ht="14.25">
      <c r="O31" s="10"/>
      <c r="P31" s="10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44" t="s">
        <v>12</v>
      </c>
      <c r="P46" s="144" t="s">
        <v>12</v>
      </c>
      <c r="S46" s="144" t="s">
        <v>11</v>
      </c>
    </row>
    <row r="47" spans="15:19" ht="21" customHeight="1">
      <c r="O47" s="145"/>
      <c r="P47" s="145"/>
      <c r="S47" s="146"/>
    </row>
    <row r="48" spans="15:19" ht="64.900000000000006" customHeight="1">
      <c r="O48" s="13"/>
      <c r="P48" s="13"/>
      <c r="S48" s="14"/>
    </row>
    <row r="49" spans="15:19" ht="7.15" customHeight="1"/>
    <row r="50" spans="15:19" ht="21" customHeight="1">
      <c r="O50" s="144" t="s">
        <v>12</v>
      </c>
      <c r="P50" s="144" t="s">
        <v>12</v>
      </c>
      <c r="S50" s="144" t="s">
        <v>13</v>
      </c>
    </row>
    <row r="51" spans="15:19" ht="21" customHeight="1">
      <c r="O51" s="145"/>
      <c r="P51" s="145"/>
      <c r="S51" s="146"/>
    </row>
    <row r="52" spans="15:19" ht="64.900000000000006" customHeight="1">
      <c r="O52" s="13"/>
      <c r="P52" s="13"/>
      <c r="S52" s="13"/>
    </row>
  </sheetData>
  <mergeCells count="55"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  <mergeCell ref="S46:S47"/>
    <mergeCell ref="O50:O51"/>
    <mergeCell ref="P50:P51"/>
    <mergeCell ref="S50:S51"/>
    <mergeCell ref="O27:O28"/>
    <mergeCell ref="P27:P28"/>
    <mergeCell ref="O46:O47"/>
    <mergeCell ref="P46:P47"/>
    <mergeCell ref="A16:B16"/>
    <mergeCell ref="P21:P22"/>
    <mergeCell ref="B9:C9"/>
    <mergeCell ref="D9:F9"/>
    <mergeCell ref="B10:C10"/>
    <mergeCell ref="D10:F10"/>
    <mergeCell ref="B11:C11"/>
    <mergeCell ref="D11:F11"/>
    <mergeCell ref="D12:F12"/>
    <mergeCell ref="B13:C13"/>
    <mergeCell ref="D13:F13"/>
    <mergeCell ref="B14:C14"/>
    <mergeCell ref="D14:F14"/>
    <mergeCell ref="B12:C12"/>
    <mergeCell ref="A4:A5"/>
    <mergeCell ref="B4:C5"/>
    <mergeCell ref="D4:F5"/>
    <mergeCell ref="D6:F6"/>
    <mergeCell ref="B6:C6"/>
    <mergeCell ref="B15:C15"/>
    <mergeCell ref="D15:F15"/>
    <mergeCell ref="G4:G5"/>
    <mergeCell ref="H4:H5"/>
    <mergeCell ref="J1:L1"/>
    <mergeCell ref="J2:L2"/>
    <mergeCell ref="E3:I3"/>
    <mergeCell ref="I4:I5"/>
    <mergeCell ref="J4:J5"/>
    <mergeCell ref="K4:K5"/>
    <mergeCell ref="L4:L5"/>
    <mergeCell ref="D7:F7"/>
    <mergeCell ref="B8:C8"/>
    <mergeCell ref="D8:F8"/>
    <mergeCell ref="B7:C7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7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12" activePane="bottomLeft" state="frozen"/>
      <selection activeCell="D30" sqref="D30"/>
      <selection pane="bottomLeft" activeCell="J18" sqref="J1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5" t="s">
        <v>86</v>
      </c>
      <c r="B1" s="87"/>
      <c r="C1" s="87"/>
      <c r="D1" s="87"/>
      <c r="E1" s="87"/>
      <c r="F1" s="87"/>
      <c r="G1" s="1"/>
      <c r="J1" s="132" t="str">
        <f>+MRS!J1</f>
        <v>DAESHIN PLANT</v>
      </c>
      <c r="K1" s="134"/>
    </row>
    <row r="2" spans="1:18" ht="24.95" customHeight="1">
      <c r="A2" s="3" t="str">
        <f>+MRS!A2</f>
        <v xml:space="preserve">  PJT :  SACE2           </v>
      </c>
      <c r="B2" s="88"/>
      <c r="C2" s="88"/>
      <c r="D2" s="3" t="str">
        <f>+MRS!D2</f>
        <v>Division (In charge Name) : ADMIN MANAGER (Dong Chang Kim)</v>
      </c>
      <c r="E2" s="88"/>
      <c r="F2" s="88"/>
      <c r="G2" s="15"/>
      <c r="H2" s="15"/>
      <c r="I2" s="15"/>
      <c r="J2" s="135" t="str">
        <f>+MRS!J2</f>
        <v>Subcontract name (SAC2-SC-IK-SMP-01)</v>
      </c>
      <c r="K2" s="137"/>
    </row>
    <row r="3" spans="1:18" ht="24.95" customHeight="1">
      <c r="A3" s="3" t="str">
        <f>+MRS!A3</f>
        <v xml:space="preserve">  MRS No : SAC2-DS-MRS-0426</v>
      </c>
      <c r="B3" s="88"/>
      <c r="C3" s="88"/>
      <c r="D3" s="88"/>
      <c r="E3" s="88"/>
      <c r="F3" s="88"/>
      <c r="G3" s="88"/>
      <c r="H3" s="88"/>
      <c r="I3" s="88"/>
      <c r="J3" s="88"/>
      <c r="K3" s="89">
        <f>+MRS!L3</f>
        <v>46252</v>
      </c>
    </row>
    <row r="4" spans="1:18" ht="15.95" customHeight="1">
      <c r="A4" s="165" t="s">
        <v>2</v>
      </c>
      <c r="B4" s="166" t="s">
        <v>14</v>
      </c>
      <c r="C4" s="166"/>
      <c r="D4" s="165" t="s">
        <v>4</v>
      </c>
      <c r="E4" s="165"/>
      <c r="F4" s="165"/>
      <c r="G4" s="166" t="s">
        <v>5</v>
      </c>
      <c r="H4" s="165" t="s">
        <v>81</v>
      </c>
      <c r="I4" s="165" t="s">
        <v>15</v>
      </c>
      <c r="J4" s="165" t="s">
        <v>16</v>
      </c>
      <c r="K4" s="166" t="s">
        <v>7</v>
      </c>
    </row>
    <row r="5" spans="1:18" ht="15.95" customHeight="1">
      <c r="A5" s="165"/>
      <c r="B5" s="166"/>
      <c r="C5" s="166"/>
      <c r="D5" s="165"/>
      <c r="E5" s="165"/>
      <c r="F5" s="165"/>
      <c r="G5" s="166"/>
      <c r="H5" s="165"/>
      <c r="I5" s="165"/>
      <c r="J5" s="165"/>
      <c r="K5" s="166"/>
    </row>
    <row r="6" spans="1:18" ht="105" customHeight="1">
      <c r="A6" s="16">
        <f>+MRS!A6</f>
        <v>1</v>
      </c>
      <c r="B6" s="160" t="str">
        <f>MRS!B6</f>
        <v xml:space="preserve">POLYESTER ENDLESS ROUND SLING </v>
      </c>
      <c r="C6" s="161"/>
      <c r="D6" s="162" t="str">
        <f>MRS!D6</f>
        <v xml:space="preserve">SWL-20MT, LENGTH-10Mtr, CIRCUM-20Mtr, FOS-7:1, </v>
      </c>
      <c r="E6" s="163"/>
      <c r="F6" s="164"/>
      <c r="G6" s="90" t="str">
        <f>MRS!G6</f>
        <v>EA</v>
      </c>
      <c r="H6" s="90">
        <f>MRS!H6</f>
        <v>1</v>
      </c>
      <c r="I6" s="91">
        <f>MRS!I6</f>
        <v>980</v>
      </c>
      <c r="J6" s="91">
        <f>MRS!J6</f>
        <v>980</v>
      </c>
      <c r="K6" s="92"/>
      <c r="O6" s="93"/>
      <c r="P6" s="93"/>
      <c r="R6" s="93"/>
    </row>
    <row r="7" spans="1:18" ht="105" customHeight="1">
      <c r="A7" s="16">
        <f>+MRS!A7</f>
        <v>2</v>
      </c>
      <c r="B7" s="160" t="str">
        <f>MRS!B7</f>
        <v xml:space="preserve">POLYESTER ENDLESS ROUND SLING </v>
      </c>
      <c r="C7" s="161"/>
      <c r="D7" s="162" t="str">
        <f>MRS!D7</f>
        <v xml:space="preserve">SWL-20MT, LENGTH-10Mtr, CIRCUM-20Mtr, FOS-7:1, </v>
      </c>
      <c r="E7" s="163"/>
      <c r="F7" s="164"/>
      <c r="G7" s="90" t="str">
        <f>MRS!G7</f>
        <v>EA</v>
      </c>
      <c r="H7" s="90">
        <f>MRS!H7</f>
        <v>4</v>
      </c>
      <c r="I7" s="91">
        <f>MRS!I7</f>
        <v>980</v>
      </c>
      <c r="J7" s="91">
        <f>MRS!J7</f>
        <v>3920</v>
      </c>
      <c r="K7" s="92"/>
      <c r="O7" s="93"/>
      <c r="P7" s="93"/>
      <c r="R7" s="93"/>
    </row>
    <row r="8" spans="1:18" ht="105" customHeight="1">
      <c r="A8" s="16">
        <f>+MRS!A8</f>
        <v>3</v>
      </c>
      <c r="B8" s="160" t="str">
        <f>MRS!B8</f>
        <v xml:space="preserve">POLYESTER ENDLESS ROUND SLING </v>
      </c>
      <c r="C8" s="161"/>
      <c r="D8" s="162" t="str">
        <f>MRS!D8</f>
        <v xml:space="preserve">SWL-10MT, LENGTH-10Mtr, CIRCUM-20Mtr, FOS-7:1, </v>
      </c>
      <c r="E8" s="163"/>
      <c r="F8" s="164"/>
      <c r="G8" s="90" t="str">
        <f>MRS!G8</f>
        <v>EA</v>
      </c>
      <c r="H8" s="90">
        <f>MRS!H8</f>
        <v>4</v>
      </c>
      <c r="I8" s="91">
        <f>MRS!I8</f>
        <v>330</v>
      </c>
      <c r="J8" s="91">
        <f>MRS!J8</f>
        <v>1320</v>
      </c>
      <c r="K8" s="92"/>
      <c r="O8" s="93"/>
      <c r="P8" s="93"/>
      <c r="R8" s="93"/>
    </row>
    <row r="9" spans="1:18" ht="105" customHeight="1">
      <c r="A9" s="16">
        <f>+MRS!A9</f>
        <v>4</v>
      </c>
      <c r="B9" s="160" t="str">
        <f>MRS!B9</f>
        <v xml:space="preserve">Manually Operated Chain Lever Block </v>
      </c>
      <c r="C9" s="161"/>
      <c r="D9" s="162" t="str">
        <f>MRS!D9</f>
        <v xml:space="preserve">SWL-1.5MT, Load Chain Length-3Mtr, </v>
      </c>
      <c r="E9" s="163"/>
      <c r="F9" s="164"/>
      <c r="G9" s="90" t="str">
        <f>MRS!G9</f>
        <v>EA</v>
      </c>
      <c r="H9" s="90">
        <f>MRS!H9</f>
        <v>10</v>
      </c>
      <c r="I9" s="91">
        <f>MRS!I9</f>
        <v>290</v>
      </c>
      <c r="J9" s="91">
        <f>MRS!J9</f>
        <v>2900</v>
      </c>
      <c r="K9" s="92"/>
      <c r="O9" s="93"/>
      <c r="P9" s="93"/>
      <c r="R9" s="93"/>
    </row>
    <row r="10" spans="1:18" ht="105" customHeight="1">
      <c r="A10" s="16">
        <f>+MRS!A10</f>
        <v>5</v>
      </c>
      <c r="B10" s="160" t="str">
        <f>MRS!B10</f>
        <v xml:space="preserve">Manually Operated Chain Lever Block </v>
      </c>
      <c r="C10" s="161"/>
      <c r="D10" s="162" t="str">
        <f>MRS!D10</f>
        <v xml:space="preserve">SWL-1.5MT, Load Chain Length-3Mtr, </v>
      </c>
      <c r="E10" s="163"/>
      <c r="F10" s="164"/>
      <c r="G10" s="90" t="str">
        <f>MRS!G10</f>
        <v>EA</v>
      </c>
      <c r="H10" s="90">
        <f>MRS!H10</f>
        <v>6</v>
      </c>
      <c r="I10" s="91">
        <f>MRS!I10</f>
        <v>290</v>
      </c>
      <c r="J10" s="91">
        <f>MRS!J10</f>
        <v>1740</v>
      </c>
      <c r="K10" s="92"/>
      <c r="O10" s="93"/>
      <c r="P10" s="93"/>
      <c r="R10" s="93"/>
    </row>
    <row r="11" spans="1:18" ht="105" customHeight="1">
      <c r="A11" s="16">
        <f>+MRS!A11</f>
        <v>6</v>
      </c>
      <c r="B11" s="160" t="str">
        <f>MRS!B11</f>
        <v xml:space="preserve">Manually Operated Chain Lever Block </v>
      </c>
      <c r="C11" s="161"/>
      <c r="D11" s="162" t="str">
        <f>MRS!D11</f>
        <v xml:space="preserve">SWL-2MT, Load Chain Length-3Mtr, </v>
      </c>
      <c r="E11" s="163"/>
      <c r="F11" s="164"/>
      <c r="G11" s="90" t="str">
        <f>MRS!G11</f>
        <v>EA</v>
      </c>
      <c r="H11" s="90">
        <f>MRS!H11</f>
        <v>3</v>
      </c>
      <c r="I11" s="91">
        <f>MRS!I11</f>
        <v>350</v>
      </c>
      <c r="J11" s="91">
        <f>MRS!J11</f>
        <v>1050</v>
      </c>
      <c r="K11" s="92"/>
      <c r="O11" s="93"/>
      <c r="P11" s="93"/>
      <c r="R11" s="93"/>
    </row>
    <row r="12" spans="1:18" ht="105" customHeight="1">
      <c r="A12" s="16">
        <f>+MRS!A12</f>
        <v>7</v>
      </c>
      <c r="B12" s="160" t="str">
        <f>MRS!B12</f>
        <v>3" WIDE POLYESTER DUPLEX WEBBING SLING,</v>
      </c>
      <c r="C12" s="161"/>
      <c r="D12" s="162" t="str">
        <f>MRS!D12</f>
        <v xml:space="preserve"> BOTH END SOFT EYE, LENGTH-3Mtr, SWL-3Ton, FOS-7:1, </v>
      </c>
      <c r="E12" s="163"/>
      <c r="F12" s="164"/>
      <c r="G12" s="90" t="str">
        <f>MRS!G12</f>
        <v>EA</v>
      </c>
      <c r="H12" s="90">
        <f>MRS!H12</f>
        <v>4</v>
      </c>
      <c r="I12" s="91">
        <f>MRS!I12</f>
        <v>27</v>
      </c>
      <c r="J12" s="91">
        <f>MRS!J12</f>
        <v>108</v>
      </c>
      <c r="K12" s="92"/>
      <c r="O12" s="93"/>
      <c r="P12" s="93"/>
      <c r="R12" s="93"/>
    </row>
    <row r="13" spans="1:18" ht="105" customHeight="1">
      <c r="A13" s="16">
        <f>+MRS!A13</f>
        <v>8</v>
      </c>
      <c r="B13" s="160" t="str">
        <f>MRS!B13</f>
        <v xml:space="preserve">3" WIDE POLYESTER DUPLEX WEBBING SLING, </v>
      </c>
      <c r="C13" s="161"/>
      <c r="D13" s="162" t="str">
        <f>MRS!D13</f>
        <v xml:space="preserve">BOTH END SOFT EYE, LENGTH-6Mtr, SWL-3Ton, FOS-7:1, </v>
      </c>
      <c r="E13" s="163"/>
      <c r="F13" s="164"/>
      <c r="G13" s="90" t="str">
        <f>MRS!G13</f>
        <v>EA</v>
      </c>
      <c r="H13" s="90">
        <f>MRS!H13</f>
        <v>4</v>
      </c>
      <c r="I13" s="91">
        <f>MRS!I13</f>
        <v>56</v>
      </c>
      <c r="J13" s="91">
        <f>MRS!J13</f>
        <v>224</v>
      </c>
      <c r="K13" s="92"/>
      <c r="O13" s="93"/>
      <c r="P13" s="93"/>
      <c r="R13" s="93"/>
    </row>
    <row r="14" spans="1:18" ht="105" customHeight="1">
      <c r="A14" s="16">
        <f>+MRS!A14</f>
        <v>9</v>
      </c>
      <c r="B14" s="160" t="str">
        <f>MRS!B14</f>
        <v xml:space="preserve">3" WIDE POLYESTER DUPLEX WEBBING SLING, </v>
      </c>
      <c r="C14" s="161"/>
      <c r="D14" s="162" t="str">
        <f>MRS!D14</f>
        <v xml:space="preserve">BOTH END SOFT EYE, LENGTH-8Mtr, SWL-3Ton, FOS-7:1, </v>
      </c>
      <c r="E14" s="163"/>
      <c r="F14" s="164"/>
      <c r="G14" s="90" t="str">
        <f>MRS!G14</f>
        <v>EA</v>
      </c>
      <c r="H14" s="90">
        <f>MRS!H14</f>
        <v>4</v>
      </c>
      <c r="I14" s="91">
        <f>MRS!I14</f>
        <v>65</v>
      </c>
      <c r="J14" s="91">
        <f>MRS!J14</f>
        <v>260</v>
      </c>
      <c r="K14" s="92"/>
      <c r="O14" s="93"/>
      <c r="P14" s="93"/>
      <c r="R14" s="93"/>
    </row>
    <row r="15" spans="1:18" ht="105" customHeight="1">
      <c r="A15" s="16">
        <f>+MRS!A15</f>
        <v>10</v>
      </c>
      <c r="B15" s="160" t="str">
        <f>MRS!B15</f>
        <v xml:space="preserve">3/4" G209 SCREW PIN TYPE ALLOY BOW SHACKLE, </v>
      </c>
      <c r="C15" s="161"/>
      <c r="D15" s="162">
        <f>MRS!E15</f>
        <v>0</v>
      </c>
      <c r="E15" s="163"/>
      <c r="F15" s="164"/>
      <c r="G15" s="90" t="str">
        <f>MRS!G15</f>
        <v>EA</v>
      </c>
      <c r="H15" s="90">
        <f>MRS!H15</f>
        <v>4</v>
      </c>
      <c r="I15" s="91">
        <f>MRS!I15</f>
        <v>20</v>
      </c>
      <c r="J15" s="91">
        <f>MRS!J15</f>
        <v>80</v>
      </c>
      <c r="K15" s="92"/>
      <c r="O15" s="93"/>
      <c r="P15" s="93"/>
      <c r="R15" s="93"/>
    </row>
    <row r="16" spans="1:18" ht="105" customHeight="1">
      <c r="A16" s="16" t="e">
        <f>+MRS!#REF!</f>
        <v>#REF!</v>
      </c>
      <c r="B16" s="160" t="e">
        <f>MRS!#REF!</f>
        <v>#REF!</v>
      </c>
      <c r="C16" s="161"/>
      <c r="D16" s="162" t="e">
        <f>MRS!#REF!</f>
        <v>#REF!</v>
      </c>
      <c r="E16" s="163"/>
      <c r="F16" s="164"/>
      <c r="G16" s="90" t="e">
        <f>MRS!#REF!</f>
        <v>#REF!</v>
      </c>
      <c r="H16" s="90" t="e">
        <f>MRS!#REF!</f>
        <v>#REF!</v>
      </c>
      <c r="I16" s="91" t="e">
        <f>MRS!#REF!</f>
        <v>#REF!</v>
      </c>
      <c r="J16" s="91" t="e">
        <f>MRS!#REF!</f>
        <v>#REF!</v>
      </c>
      <c r="K16" s="92"/>
      <c r="O16" s="93"/>
      <c r="P16" s="93"/>
      <c r="R16" s="93"/>
    </row>
    <row r="17" spans="1:18" ht="105" customHeight="1">
      <c r="A17" s="16" t="e">
        <f>+MRS!#REF!</f>
        <v>#REF!</v>
      </c>
      <c r="B17" s="160" t="e">
        <f>MRS!#REF!</f>
        <v>#REF!</v>
      </c>
      <c r="C17" s="161"/>
      <c r="D17" s="162" t="e">
        <f>MRS!#REF!</f>
        <v>#REF!</v>
      </c>
      <c r="E17" s="163"/>
      <c r="F17" s="164"/>
      <c r="G17" s="90" t="e">
        <f>MRS!#REF!</f>
        <v>#REF!</v>
      </c>
      <c r="H17" s="90" t="e">
        <f>MRS!#REF!</f>
        <v>#REF!</v>
      </c>
      <c r="I17" s="91" t="e">
        <f>MRS!#REF!</f>
        <v>#REF!</v>
      </c>
      <c r="J17" s="91" t="e">
        <f>MRS!#REF!</f>
        <v>#REF!</v>
      </c>
      <c r="K17" s="92"/>
      <c r="O17" s="93"/>
      <c r="P17" s="93"/>
      <c r="R17" s="93"/>
    </row>
    <row r="18" spans="1:18" ht="105" customHeight="1">
      <c r="A18" s="16" t="e">
        <f>+MRS!#REF!</f>
        <v>#REF!</v>
      </c>
      <c r="B18" s="160" t="e">
        <f>MRS!#REF!</f>
        <v>#REF!</v>
      </c>
      <c r="C18" s="161"/>
      <c r="D18" s="162" t="e">
        <f>MRS!#REF!</f>
        <v>#REF!</v>
      </c>
      <c r="E18" s="163"/>
      <c r="F18" s="164"/>
      <c r="G18" s="90" t="e">
        <f>MRS!#REF!</f>
        <v>#REF!</v>
      </c>
      <c r="H18" s="90" t="e">
        <f>MRS!#REF!</f>
        <v>#REF!</v>
      </c>
      <c r="I18" s="91" t="e">
        <f>MRS!#REF!</f>
        <v>#REF!</v>
      </c>
      <c r="J18" s="91" t="e">
        <f>MRS!#REF!</f>
        <v>#REF!</v>
      </c>
      <c r="K18" s="92"/>
      <c r="O18" s="93"/>
      <c r="P18" s="93"/>
      <c r="R18" s="93"/>
    </row>
    <row r="19" spans="1:18" ht="105" customHeight="1">
      <c r="A19" s="16"/>
      <c r="B19" s="160"/>
      <c r="C19" s="161"/>
      <c r="D19" s="162"/>
      <c r="E19" s="163"/>
      <c r="F19" s="164"/>
      <c r="G19" s="90"/>
      <c r="H19" s="90"/>
      <c r="I19" s="91"/>
      <c r="J19" s="91"/>
      <c r="K19" s="92"/>
      <c r="O19" s="93"/>
      <c r="P19" s="93"/>
      <c r="R19" s="93"/>
    </row>
    <row r="20" spans="1:18" ht="105" customHeight="1">
      <c r="A20" s="16"/>
      <c r="B20" s="160"/>
      <c r="C20" s="161"/>
      <c r="D20" s="162"/>
      <c r="E20" s="163"/>
      <c r="F20" s="164"/>
      <c r="G20" s="90"/>
      <c r="H20" s="90"/>
      <c r="I20" s="91"/>
      <c r="J20" s="91"/>
      <c r="K20" s="92"/>
      <c r="O20" s="93"/>
      <c r="P20" s="93"/>
      <c r="R20" s="93"/>
    </row>
    <row r="21" spans="1:18" ht="105" customHeight="1">
      <c r="A21" s="16"/>
      <c r="B21" s="160"/>
      <c r="C21" s="161"/>
      <c r="D21" s="162"/>
      <c r="E21" s="163"/>
      <c r="F21" s="164"/>
      <c r="G21" s="90"/>
      <c r="H21" s="90"/>
      <c r="I21" s="91"/>
      <c r="J21" s="91"/>
      <c r="K21" s="92"/>
      <c r="O21" s="93"/>
      <c r="P21" s="93"/>
      <c r="R21" s="93"/>
    </row>
    <row r="23" spans="1:18" ht="21" customHeight="1">
      <c r="J23" s="97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3" zoomScale="130" zoomScaleNormal="100" zoomScaleSheetLayoutView="130" workbookViewId="0">
      <selection activeCell="I27" sqref="I27"/>
    </sheetView>
  </sheetViews>
  <sheetFormatPr defaultColWidth="9.140625" defaultRowHeight="12.75"/>
  <cols>
    <col min="1" max="1" width="1.5703125" style="21" customWidth="1"/>
    <col min="2" max="2" width="4.28515625" style="21" customWidth="1"/>
    <col min="3" max="3" width="9.140625" style="21" customWidth="1"/>
    <col min="4" max="4" width="12.42578125" style="21" bestFit="1" customWidth="1"/>
    <col min="5" max="5" width="2.5703125" style="21" customWidth="1"/>
    <col min="6" max="6" width="14" style="21" customWidth="1"/>
    <col min="7" max="7" width="6.5703125" style="21" customWidth="1"/>
    <col min="8" max="10" width="9.140625" style="21"/>
    <col min="11" max="11" width="9.7109375" style="21" bestFit="1" customWidth="1"/>
    <col min="12" max="13" width="9.140625" style="21"/>
    <col min="14" max="14" width="1.5703125" style="21" customWidth="1"/>
    <col min="15" max="16384" width="9.140625" style="21"/>
  </cols>
  <sheetData>
    <row r="2" spans="2:13" s="17" customFormat="1" ht="13.5">
      <c r="M2" s="18" t="s">
        <v>91</v>
      </c>
    </row>
    <row r="3" spans="2:13" s="17" customFormat="1">
      <c r="M3" s="19" t="s">
        <v>17</v>
      </c>
    </row>
    <row r="4" spans="2:13" s="17" customFormat="1">
      <c r="M4" s="19" t="s">
        <v>18</v>
      </c>
    </row>
    <row r="5" spans="2:13" s="17" customFormat="1">
      <c r="B5" s="20" t="s">
        <v>19</v>
      </c>
      <c r="M5" s="19" t="s">
        <v>20</v>
      </c>
    </row>
    <row r="6" spans="2:13" s="17" customFormat="1">
      <c r="M6" s="19" t="s">
        <v>21</v>
      </c>
    </row>
    <row r="7" spans="2:13">
      <c r="M7" s="22"/>
    </row>
    <row r="8" spans="2:13">
      <c r="M8" s="22"/>
    </row>
    <row r="9" spans="2:13" s="66" customFormat="1" ht="13.5">
      <c r="B9" s="64" t="s">
        <v>22</v>
      </c>
      <c r="C9" s="65" t="s">
        <v>102</v>
      </c>
      <c r="D9" s="33"/>
      <c r="E9" s="33"/>
    </row>
    <row r="10" spans="2:13" s="33" customFormat="1">
      <c r="B10" s="64"/>
      <c r="C10" s="33" t="s">
        <v>23</v>
      </c>
      <c r="D10" s="68" t="s">
        <v>103</v>
      </c>
      <c r="J10" s="33" t="s">
        <v>24</v>
      </c>
      <c r="K10" s="122">
        <f>MRS!L3</f>
        <v>46252</v>
      </c>
      <c r="L10" s="123"/>
      <c r="M10" s="123"/>
    </row>
    <row r="11" spans="2:13" s="33" customFormat="1">
      <c r="B11" s="64"/>
      <c r="C11" s="67" t="s">
        <v>25</v>
      </c>
      <c r="D11" s="68" t="s">
        <v>104</v>
      </c>
      <c r="J11" s="33" t="s">
        <v>26</v>
      </c>
      <c r="K11" s="124" t="str">
        <f>SUBSTITUTE(SUBSTITUTE(+MRS!A3,"  MRS No : ",""),"-MRS","-PO")</f>
        <v>SAC2-DS-PO-0426</v>
      </c>
      <c r="L11" s="124"/>
      <c r="M11" s="124"/>
    </row>
    <row r="12" spans="2:13" s="33" customFormat="1">
      <c r="B12" s="64"/>
      <c r="C12" s="67" t="s">
        <v>115</v>
      </c>
      <c r="D12" s="33" t="s">
        <v>116</v>
      </c>
      <c r="J12" s="33" t="s">
        <v>27</v>
      </c>
    </row>
    <row r="13" spans="2:13" s="33" customFormat="1">
      <c r="B13" s="64"/>
      <c r="C13" s="69"/>
      <c r="D13" s="68" t="s">
        <v>112</v>
      </c>
      <c r="J13" s="33" t="s">
        <v>28</v>
      </c>
    </row>
    <row r="14" spans="2:13" s="33" customFormat="1">
      <c r="B14" s="64"/>
      <c r="C14" s="98" t="s">
        <v>105</v>
      </c>
      <c r="J14" s="33" t="s">
        <v>29</v>
      </c>
      <c r="K14" s="33" t="s">
        <v>132</v>
      </c>
    </row>
    <row r="15" spans="2:13" s="33" customFormat="1">
      <c r="B15" s="64"/>
      <c r="C15" s="67" t="s">
        <v>113</v>
      </c>
      <c r="D15" s="68" t="s">
        <v>114</v>
      </c>
      <c r="J15" s="33" t="s">
        <v>30</v>
      </c>
      <c r="K15" s="70">
        <v>46243</v>
      </c>
    </row>
    <row r="16" spans="2:13" s="33" customFormat="1">
      <c r="C16" s="69"/>
      <c r="K16" s="70"/>
    </row>
    <row r="17" spans="2:13" ht="6" customHeight="1">
      <c r="C17" s="24"/>
      <c r="K17" s="25"/>
    </row>
    <row r="18" spans="2:13" ht="20.25">
      <c r="B18" s="125" t="s">
        <v>31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</row>
    <row r="19" spans="2:13" ht="12" customHeight="1"/>
    <row r="20" spans="2:13" s="26" customFormat="1" ht="12" customHeight="1">
      <c r="B20" s="126" t="s">
        <v>32</v>
      </c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</row>
    <row r="21" spans="2:13" s="26" customFormat="1" ht="12" customHeight="1">
      <c r="B21" s="126" t="s">
        <v>33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</row>
    <row r="22" spans="2:13" s="26" customFormat="1" ht="12" customHeight="1">
      <c r="B22" s="126" t="s">
        <v>34</v>
      </c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</row>
    <row r="23" spans="2:13" ht="3.7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</row>
    <row r="24" spans="2:13" ht="6.95" customHeight="1"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</row>
    <row r="25" spans="2:13" s="27" customFormat="1" ht="15" customHeight="1">
      <c r="B25" s="27">
        <v>1</v>
      </c>
      <c r="C25" s="27" t="s">
        <v>35</v>
      </c>
    </row>
    <row r="26" spans="2:13" s="33" customFormat="1" ht="15" customHeight="1">
      <c r="B26" s="65"/>
      <c r="C26" s="68" t="s">
        <v>101</v>
      </c>
      <c r="M26" s="71" t="s">
        <v>36</v>
      </c>
    </row>
    <row r="27" spans="2:13" ht="11.1" customHeight="1">
      <c r="B27" s="27"/>
    </row>
    <row r="28" spans="2:13" ht="15" customHeight="1">
      <c r="B28" s="27">
        <v>2</v>
      </c>
      <c r="C28" s="27" t="s">
        <v>37</v>
      </c>
    </row>
    <row r="29" spans="2:13" ht="15" customHeight="1">
      <c r="B29" s="27"/>
      <c r="C29" s="21" t="s">
        <v>38</v>
      </c>
      <c r="E29" s="21" t="s">
        <v>39</v>
      </c>
      <c r="F29" s="99">
        <f>'PO 2nd page'!G16</f>
        <v>12582</v>
      </c>
      <c r="G29" s="96"/>
      <c r="H29" s="96"/>
      <c r="M29" s="28"/>
    </row>
    <row r="30" spans="2:13" ht="15" customHeight="1">
      <c r="B30" s="27"/>
      <c r="C30" s="21" t="s">
        <v>40</v>
      </c>
      <c r="E30" s="21" t="s">
        <v>39</v>
      </c>
      <c r="F30" s="99">
        <f>'PO 2nd page'!G17</f>
        <v>1887.3</v>
      </c>
      <c r="G30" s="96"/>
      <c r="H30" s="96"/>
    </row>
    <row r="31" spans="2:13" ht="15" customHeight="1">
      <c r="B31" s="27"/>
      <c r="C31" s="21" t="s">
        <v>41</v>
      </c>
      <c r="D31" s="29"/>
      <c r="E31" s="21" t="s">
        <v>39</v>
      </c>
      <c r="F31" s="99">
        <f>'PO 2nd page'!G18</f>
        <v>14469.3</v>
      </c>
      <c r="G31" s="96"/>
      <c r="H31" s="96"/>
    </row>
    <row r="32" spans="2:13" ht="11.1" customHeight="1">
      <c r="B32" s="27"/>
    </row>
    <row r="33" spans="2:13" ht="15" customHeight="1">
      <c r="B33" s="27">
        <v>3</v>
      </c>
      <c r="C33" s="27" t="s">
        <v>42</v>
      </c>
    </row>
    <row r="34" spans="2:13" ht="12" customHeight="1">
      <c r="B34" s="27"/>
      <c r="C34" s="17" t="s">
        <v>43</v>
      </c>
    </row>
    <row r="35" spans="2:13" ht="12" customHeight="1">
      <c r="B35" s="27"/>
      <c r="C35" s="17" t="s">
        <v>44</v>
      </c>
    </row>
    <row r="36" spans="2:13" ht="12" customHeight="1">
      <c r="B36" s="27"/>
      <c r="C36" s="17" t="s">
        <v>45</v>
      </c>
    </row>
    <row r="37" spans="2:13" ht="6" customHeight="1">
      <c r="B37" s="27"/>
    </row>
    <row r="38" spans="2:13" ht="15" customHeight="1">
      <c r="B38" s="27">
        <v>4</v>
      </c>
      <c r="C38" s="27" t="s">
        <v>46</v>
      </c>
    </row>
    <row r="39" spans="2:13" ht="12" customHeight="1">
      <c r="B39" s="27"/>
      <c r="C39" s="21" t="s">
        <v>47</v>
      </c>
    </row>
    <row r="40" spans="2:13" ht="6" customHeight="1">
      <c r="B40" s="27"/>
    </row>
    <row r="41" spans="2:13" ht="15" customHeight="1">
      <c r="B41" s="27">
        <v>5</v>
      </c>
      <c r="C41" s="27" t="s">
        <v>48</v>
      </c>
    </row>
    <row r="42" spans="2:13" ht="12" customHeight="1">
      <c r="B42" s="27"/>
      <c r="C42" s="30" t="s">
        <v>49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</row>
    <row r="43" spans="2:13" ht="12" customHeight="1">
      <c r="B43" s="27"/>
      <c r="C43" s="30" t="s">
        <v>50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</row>
    <row r="44" spans="2:13" ht="12" customHeight="1">
      <c r="B44" s="27"/>
      <c r="C44" s="30" t="s">
        <v>51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</row>
    <row r="45" spans="2:13" ht="12" customHeight="1">
      <c r="B45" s="27"/>
      <c r="C45" s="30" t="s">
        <v>52</v>
      </c>
      <c r="D45" s="31"/>
      <c r="E45" s="32"/>
      <c r="F45" s="32"/>
      <c r="G45" s="32"/>
      <c r="H45" s="32"/>
      <c r="I45" s="32"/>
      <c r="J45" s="32"/>
      <c r="K45" s="32"/>
      <c r="L45" s="32"/>
      <c r="M45" s="32"/>
    </row>
    <row r="46" spans="2:13" ht="12" customHeight="1">
      <c r="B46" s="27"/>
      <c r="C46" s="33" t="s">
        <v>53</v>
      </c>
      <c r="D46" s="34"/>
      <c r="E46" s="35"/>
      <c r="F46" s="35"/>
      <c r="G46" s="35"/>
      <c r="H46" s="35"/>
      <c r="I46" s="35"/>
      <c r="J46" s="35"/>
      <c r="K46" s="35"/>
      <c r="L46" s="35"/>
      <c r="M46" s="35"/>
    </row>
    <row r="47" spans="2:13" ht="6" customHeight="1">
      <c r="B47" s="27"/>
    </row>
    <row r="48" spans="2:13" ht="15" customHeight="1">
      <c r="B48" s="27">
        <v>6</v>
      </c>
      <c r="C48" s="27" t="s">
        <v>54</v>
      </c>
    </row>
    <row r="49" spans="2:16" s="33" customFormat="1" ht="12" customHeight="1">
      <c r="B49" s="72" t="s">
        <v>55</v>
      </c>
      <c r="C49" s="73" t="s">
        <v>88</v>
      </c>
      <c r="P49" s="74"/>
    </row>
    <row r="50" spans="2:16" s="75" customFormat="1" ht="12" customHeight="1">
      <c r="B50" s="76" t="s">
        <v>55</v>
      </c>
      <c r="C50" s="73" t="s">
        <v>83</v>
      </c>
    </row>
    <row r="51" spans="2:16" s="75" customFormat="1" ht="12" customHeight="1">
      <c r="B51" s="76" t="s">
        <v>55</v>
      </c>
      <c r="C51" s="73" t="s">
        <v>82</v>
      </c>
    </row>
    <row r="52" spans="2:16" s="75" customFormat="1" ht="6" customHeight="1">
      <c r="B52" s="76"/>
      <c r="C52" s="73"/>
    </row>
    <row r="53" spans="2:16" ht="15" customHeight="1">
      <c r="B53" s="36">
        <v>7</v>
      </c>
      <c r="C53" s="27" t="s">
        <v>92</v>
      </c>
    </row>
    <row r="54" spans="2:16" ht="12" customHeight="1">
      <c r="B54" s="76" t="s">
        <v>55</v>
      </c>
      <c r="C54" s="100" t="s">
        <v>94</v>
      </c>
      <c r="F54" s="101" t="s">
        <v>106</v>
      </c>
      <c r="P54" s="21" t="str">
        <f>UPPER(F54)</f>
        <v>ALAM ALAMANI TRADING COMPANY</v>
      </c>
    </row>
    <row r="55" spans="2:16" ht="12" customHeight="1">
      <c r="B55" s="76" t="s">
        <v>55</v>
      </c>
      <c r="C55" s="100" t="s">
        <v>95</v>
      </c>
      <c r="F55" s="101" t="s">
        <v>107</v>
      </c>
    </row>
    <row r="56" spans="2:16" ht="12" customHeight="1">
      <c r="B56" s="76" t="s">
        <v>55</v>
      </c>
      <c r="C56" s="100" t="s">
        <v>96</v>
      </c>
      <c r="F56" s="21" t="s">
        <v>108</v>
      </c>
    </row>
    <row r="57" spans="2:16" ht="12" customHeight="1">
      <c r="B57" s="76" t="s">
        <v>55</v>
      </c>
      <c r="C57" s="100" t="s">
        <v>97</v>
      </c>
      <c r="F57" s="21" t="s">
        <v>109</v>
      </c>
    </row>
    <row r="58" spans="2:16" ht="12" customHeight="1">
      <c r="B58" s="76" t="s">
        <v>55</v>
      </c>
      <c r="C58" s="100" t="s">
        <v>98</v>
      </c>
      <c r="F58" s="21" t="s">
        <v>110</v>
      </c>
    </row>
    <row r="59" spans="2:16" ht="12" customHeight="1">
      <c r="B59" s="76" t="s">
        <v>55</v>
      </c>
      <c r="C59" s="100" t="s">
        <v>99</v>
      </c>
      <c r="F59" s="21" t="s">
        <v>93</v>
      </c>
    </row>
    <row r="60" spans="2:16" ht="12" customHeight="1">
      <c r="B60" s="76"/>
      <c r="C60" s="100" t="s">
        <v>100</v>
      </c>
    </row>
    <row r="61" spans="2:16" ht="6.75" customHeight="1">
      <c r="B61" s="76"/>
      <c r="C61" s="100"/>
    </row>
    <row r="62" spans="2:16" ht="6" customHeight="1">
      <c r="B62" s="102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</row>
    <row r="63" spans="2:16" ht="11.1" customHeight="1">
      <c r="B63" s="36"/>
    </row>
    <row r="64" spans="2:16">
      <c r="B64" s="27" t="s">
        <v>56</v>
      </c>
      <c r="J64" s="27" t="s">
        <v>57</v>
      </c>
    </row>
    <row r="65" spans="1:13" ht="41.25" customHeight="1"/>
    <row r="66" spans="1:13" ht="13.5" customHeight="1">
      <c r="B66" s="21" t="s">
        <v>58</v>
      </c>
      <c r="J66" s="21" t="s">
        <v>58</v>
      </c>
    </row>
    <row r="67" spans="1:13" ht="13.5" customHeight="1">
      <c r="B67" s="21" t="s">
        <v>59</v>
      </c>
      <c r="J67" s="21" t="s">
        <v>60</v>
      </c>
      <c r="K67" s="17" t="str">
        <f>D12</f>
        <v>Rafeeq Kotyadi</v>
      </c>
    </row>
    <row r="68" spans="1:13" ht="13.5" customHeight="1">
      <c r="B68" s="21" t="s">
        <v>61</v>
      </c>
      <c r="J68" s="21" t="s">
        <v>62</v>
      </c>
      <c r="K68" s="17" t="s">
        <v>117</v>
      </c>
    </row>
    <row r="69" spans="1:13" ht="13.5" customHeight="1">
      <c r="B69" s="21" t="s">
        <v>63</v>
      </c>
      <c r="J69" s="21" t="s">
        <v>64</v>
      </c>
    </row>
    <row r="70" spans="1:13" s="23" customFormat="1" ht="24.75" customHeight="1">
      <c r="B70" s="20" t="s">
        <v>90</v>
      </c>
      <c r="J70" s="129" t="str">
        <f>C9</f>
        <v>AMT(Alam Alamani Trading Company)</v>
      </c>
      <c r="K70" s="129"/>
      <c r="L70" s="129"/>
      <c r="M70" s="129"/>
    </row>
    <row r="71" spans="1:13" ht="27.95" customHeight="1">
      <c r="A71" s="121" t="s">
        <v>65</v>
      </c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</row>
    <row r="78" spans="1:13">
      <c r="B78" s="27"/>
    </row>
    <row r="79" spans="1:13">
      <c r="B79" s="27"/>
    </row>
    <row r="80" spans="1:13">
      <c r="B80" s="27"/>
    </row>
    <row r="81" spans="2:2">
      <c r="B81" s="27"/>
    </row>
    <row r="82" spans="2:2">
      <c r="B82" s="27"/>
    </row>
    <row r="83" spans="2:2">
      <c r="B83" s="27"/>
    </row>
    <row r="84" spans="2:2">
      <c r="B84" s="27"/>
    </row>
    <row r="85" spans="2:2">
      <c r="B85" s="27"/>
    </row>
    <row r="86" spans="2:2">
      <c r="B86" s="27"/>
    </row>
    <row r="87" spans="2:2">
      <c r="B87" s="27"/>
    </row>
    <row r="88" spans="2:2">
      <c r="B88" s="27"/>
    </row>
    <row r="89" spans="2:2">
      <c r="B89" s="27"/>
    </row>
    <row r="90" spans="2:2">
      <c r="B90" s="27"/>
    </row>
    <row r="91" spans="2:2">
      <c r="B91" s="27"/>
    </row>
    <row r="92" spans="2:2">
      <c r="B92" s="27"/>
    </row>
    <row r="93" spans="2:2">
      <c r="B93" s="27"/>
    </row>
    <row r="94" spans="2:2">
      <c r="B94" s="27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6"/>
  <sheetViews>
    <sheetView showGridLines="0" view="pageBreakPreview" topLeftCell="A7" zoomScaleSheetLayoutView="100" zoomScalePageLayoutView="55" workbookViewId="0">
      <selection activeCell="E14" sqref="E14"/>
    </sheetView>
  </sheetViews>
  <sheetFormatPr defaultColWidth="9" defaultRowHeight="12.75"/>
  <cols>
    <col min="1" max="1" width="8.5703125" style="37" customWidth="1"/>
    <col min="2" max="3" width="27.42578125" style="38" customWidth="1"/>
    <col min="4" max="4" width="8.5703125" style="37" customWidth="1"/>
    <col min="5" max="5" width="13.5703125" style="37" customWidth="1"/>
    <col min="6" max="6" width="15.5703125" style="37" customWidth="1"/>
    <col min="7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66</v>
      </c>
      <c r="B2" s="39" t="str">
        <f>+'PO 1st page'!K11</f>
        <v>SAC2-DS-PO-0426</v>
      </c>
      <c r="C2" s="169" t="s">
        <v>67</v>
      </c>
      <c r="D2" s="169"/>
      <c r="E2" s="169"/>
      <c r="F2" s="169"/>
      <c r="G2" s="40"/>
      <c r="H2" s="40"/>
    </row>
    <row r="3" spans="1:13" s="46" customFormat="1" ht="28.5" customHeight="1" thickBot="1">
      <c r="A3" s="41" t="s">
        <v>68</v>
      </c>
      <c r="B3" s="42">
        <f>+'PO 1st page'!K10</f>
        <v>46252</v>
      </c>
      <c r="C3" s="43"/>
      <c r="D3" s="44"/>
      <c r="E3" s="170" t="s">
        <v>69</v>
      </c>
      <c r="F3" s="170"/>
      <c r="G3" s="170"/>
      <c r="H3" s="170"/>
      <c r="I3" s="45"/>
    </row>
    <row r="4" spans="1:13" s="47" customFormat="1" ht="28.5" customHeight="1" thickTop="1">
      <c r="A4" s="173" t="s">
        <v>70</v>
      </c>
      <c r="B4" s="175" t="s">
        <v>71</v>
      </c>
      <c r="C4" s="176"/>
      <c r="D4" s="179" t="s">
        <v>72</v>
      </c>
      <c r="E4" s="179" t="s">
        <v>73</v>
      </c>
      <c r="F4" s="181" t="str">
        <f>'PO 1st page'!C9</f>
        <v>AMT(Alam Alamani Trading Company)</v>
      </c>
      <c r="G4" s="182"/>
      <c r="H4" s="171" t="s">
        <v>74</v>
      </c>
      <c r="K4" s="48"/>
      <c r="L4" s="48"/>
      <c r="M4" s="48"/>
    </row>
    <row r="5" spans="1:13" s="47" customFormat="1" ht="21.95" customHeight="1">
      <c r="A5" s="174"/>
      <c r="B5" s="177"/>
      <c r="C5" s="178"/>
      <c r="D5" s="180"/>
      <c r="E5" s="180"/>
      <c r="F5" s="49" t="s">
        <v>75</v>
      </c>
      <c r="G5" s="49" t="s">
        <v>41</v>
      </c>
      <c r="H5" s="172"/>
      <c r="K5" s="48"/>
      <c r="L5" s="48"/>
      <c r="M5" s="48"/>
    </row>
    <row r="6" spans="1:13" s="47" customFormat="1" ht="40.5" customHeight="1">
      <c r="A6" s="77">
        <f t="shared" ref="A6:A15" si="0">ROW(A1)</f>
        <v>1</v>
      </c>
      <c r="B6" s="167" t="str">
        <f>_xlfn.CONCAT(MRS!B6," ",MRS!D6)</f>
        <v xml:space="preserve">POLYESTER ENDLESS ROUND SLING  SWL-20MT, LENGTH-10Mtr, CIRCUM-20Mtr, FOS-7:1, </v>
      </c>
      <c r="C6" s="168"/>
      <c r="D6" s="78" t="str">
        <f>MRS!G6</f>
        <v>EA</v>
      </c>
      <c r="E6" s="79">
        <f>MRS!H6</f>
        <v>1</v>
      </c>
      <c r="F6" s="80">
        <f>MRS!I6</f>
        <v>980</v>
      </c>
      <c r="G6" s="81">
        <f>MRS!J6</f>
        <v>980</v>
      </c>
      <c r="H6" s="82" t="s">
        <v>89</v>
      </c>
      <c r="K6" s="83"/>
      <c r="L6" s="84"/>
      <c r="M6" s="48"/>
    </row>
    <row r="7" spans="1:13" s="47" customFormat="1" ht="40.5" customHeight="1">
      <c r="A7" s="77">
        <f t="shared" si="0"/>
        <v>2</v>
      </c>
      <c r="B7" s="167" t="str">
        <f>_xlfn.CONCAT(MRS!B7," ",MRS!D7)</f>
        <v xml:space="preserve">POLYESTER ENDLESS ROUND SLING  SWL-20MT, LENGTH-10Mtr, CIRCUM-20Mtr, FOS-7:1, </v>
      </c>
      <c r="C7" s="168"/>
      <c r="D7" s="78" t="str">
        <f>MRS!G7</f>
        <v>EA</v>
      </c>
      <c r="E7" s="79">
        <f>MRS!H7</f>
        <v>4</v>
      </c>
      <c r="F7" s="80">
        <f>MRS!I7</f>
        <v>980</v>
      </c>
      <c r="G7" s="81">
        <f>MRS!J7</f>
        <v>3920</v>
      </c>
      <c r="H7" s="82"/>
      <c r="K7" s="83"/>
      <c r="L7" s="84"/>
      <c r="M7" s="48"/>
    </row>
    <row r="8" spans="1:13" s="47" customFormat="1" ht="40.5" customHeight="1">
      <c r="A8" s="85">
        <f t="shared" si="0"/>
        <v>3</v>
      </c>
      <c r="B8" s="167" t="str">
        <f>_xlfn.CONCAT(MRS!B8," ",MRS!D8)</f>
        <v xml:space="preserve">POLYESTER ENDLESS ROUND SLING  SWL-10MT, LENGTH-10Mtr, CIRCUM-20Mtr, FOS-7:1, </v>
      </c>
      <c r="C8" s="168"/>
      <c r="D8" s="78" t="str">
        <f>MRS!G8</f>
        <v>EA</v>
      </c>
      <c r="E8" s="79">
        <f>MRS!H8</f>
        <v>4</v>
      </c>
      <c r="F8" s="80">
        <f>MRS!I8</f>
        <v>330</v>
      </c>
      <c r="G8" s="81">
        <f>MRS!J8</f>
        <v>1320</v>
      </c>
      <c r="H8" s="82"/>
      <c r="K8" s="48"/>
      <c r="L8" s="48"/>
      <c r="M8" s="48"/>
    </row>
    <row r="9" spans="1:13" s="47" customFormat="1" ht="40.5" customHeight="1">
      <c r="A9" s="85">
        <f t="shared" si="0"/>
        <v>4</v>
      </c>
      <c r="B9" s="167" t="str">
        <f>_xlfn.CONCAT(MRS!B9," ",MRS!D9)</f>
        <v xml:space="preserve">Manually Operated Chain Lever Block  SWL-1.5MT, Load Chain Length-3Mtr, </v>
      </c>
      <c r="C9" s="168"/>
      <c r="D9" s="78" t="str">
        <f>MRS!G9</f>
        <v>EA</v>
      </c>
      <c r="E9" s="79">
        <f>MRS!H9</f>
        <v>10</v>
      </c>
      <c r="F9" s="80">
        <f>MRS!I9</f>
        <v>290</v>
      </c>
      <c r="G9" s="81">
        <f>MRS!J9</f>
        <v>2900</v>
      </c>
      <c r="H9" s="86"/>
    </row>
    <row r="10" spans="1:13" s="47" customFormat="1" ht="40.5" customHeight="1">
      <c r="A10" s="85">
        <f t="shared" si="0"/>
        <v>5</v>
      </c>
      <c r="B10" s="167" t="str">
        <f>_xlfn.CONCAT(MRS!B10," ",MRS!D10)</f>
        <v xml:space="preserve">Manually Operated Chain Lever Block  SWL-1.5MT, Load Chain Length-3Mtr, </v>
      </c>
      <c r="C10" s="168"/>
      <c r="D10" s="78" t="str">
        <f>MRS!G10</f>
        <v>EA</v>
      </c>
      <c r="E10" s="79">
        <f>MRS!H10</f>
        <v>6</v>
      </c>
      <c r="F10" s="80">
        <f>MRS!I10</f>
        <v>290</v>
      </c>
      <c r="G10" s="81">
        <f>MRS!J10</f>
        <v>1740</v>
      </c>
      <c r="H10" s="86"/>
    </row>
    <row r="11" spans="1:13" s="47" customFormat="1" ht="40.5" customHeight="1">
      <c r="A11" s="85">
        <f t="shared" si="0"/>
        <v>6</v>
      </c>
      <c r="B11" s="167" t="str">
        <f>_xlfn.CONCAT(MRS!B11," ",MRS!D11)</f>
        <v xml:space="preserve">Manually Operated Chain Lever Block  SWL-2MT, Load Chain Length-3Mtr, </v>
      </c>
      <c r="C11" s="168"/>
      <c r="D11" s="78" t="str">
        <f>MRS!G11</f>
        <v>EA</v>
      </c>
      <c r="E11" s="79">
        <f>MRS!H11</f>
        <v>3</v>
      </c>
      <c r="F11" s="80">
        <f>MRS!I11</f>
        <v>350</v>
      </c>
      <c r="G11" s="81">
        <f>MRS!J11</f>
        <v>1050</v>
      </c>
      <c r="H11" s="86"/>
    </row>
    <row r="12" spans="1:13" s="47" customFormat="1" ht="40.5" customHeight="1">
      <c r="A12" s="85">
        <f t="shared" si="0"/>
        <v>7</v>
      </c>
      <c r="B12" s="167" t="str">
        <f>_xlfn.CONCAT(MRS!B12," ",MRS!D12)</f>
        <v xml:space="preserve">3" WIDE POLYESTER DUPLEX WEBBING SLING,  BOTH END SOFT EYE, LENGTH-3Mtr, SWL-3Ton, FOS-7:1, </v>
      </c>
      <c r="C12" s="168"/>
      <c r="D12" s="78" t="str">
        <f>MRS!G12</f>
        <v>EA</v>
      </c>
      <c r="E12" s="79">
        <f>MRS!H12</f>
        <v>4</v>
      </c>
      <c r="F12" s="80">
        <f>MRS!I12</f>
        <v>27</v>
      </c>
      <c r="G12" s="81">
        <f>MRS!J12</f>
        <v>108</v>
      </c>
      <c r="H12" s="86"/>
    </row>
    <row r="13" spans="1:13" s="47" customFormat="1" ht="40.5" customHeight="1">
      <c r="A13" s="85">
        <f t="shared" si="0"/>
        <v>8</v>
      </c>
      <c r="B13" s="167" t="str">
        <f>_xlfn.CONCAT(MRS!B13," ",MRS!D13)</f>
        <v xml:space="preserve">3" WIDE POLYESTER DUPLEX WEBBING SLING,  BOTH END SOFT EYE, LENGTH-6Mtr, SWL-3Ton, FOS-7:1, </v>
      </c>
      <c r="C13" s="168"/>
      <c r="D13" s="78" t="str">
        <f>MRS!G13</f>
        <v>EA</v>
      </c>
      <c r="E13" s="79">
        <f>MRS!H13</f>
        <v>4</v>
      </c>
      <c r="F13" s="80">
        <f>MRS!I13</f>
        <v>56</v>
      </c>
      <c r="G13" s="81">
        <f>MRS!J13</f>
        <v>224</v>
      </c>
      <c r="H13" s="86"/>
    </row>
    <row r="14" spans="1:13" s="47" customFormat="1" ht="40.5" customHeight="1">
      <c r="A14" s="85">
        <f t="shared" si="0"/>
        <v>9</v>
      </c>
      <c r="B14" s="167" t="str">
        <f>_xlfn.CONCAT(MRS!B14," ",MRS!D14)</f>
        <v xml:space="preserve">3" WIDE POLYESTER DUPLEX WEBBING SLING,  BOTH END SOFT EYE, LENGTH-8Mtr, SWL-3Ton, FOS-7:1, </v>
      </c>
      <c r="C14" s="168"/>
      <c r="D14" s="78" t="str">
        <f>MRS!G14</f>
        <v>EA</v>
      </c>
      <c r="E14" s="79">
        <f>MRS!H14</f>
        <v>4</v>
      </c>
      <c r="F14" s="80">
        <f>MRS!I14</f>
        <v>65</v>
      </c>
      <c r="G14" s="81">
        <f>MRS!J14</f>
        <v>260</v>
      </c>
      <c r="H14" s="86"/>
    </row>
    <row r="15" spans="1:13" s="47" customFormat="1" ht="40.5" customHeight="1">
      <c r="A15" s="85">
        <f t="shared" si="0"/>
        <v>10</v>
      </c>
      <c r="B15" s="167" t="str">
        <f>_xlfn.CONCAT(MRS!B15," ",MRS!E15)</f>
        <v xml:space="preserve">3/4" G209 SCREW PIN TYPE ALLOY BOW SHACKLE,  </v>
      </c>
      <c r="C15" s="168"/>
      <c r="D15" s="78" t="str">
        <f>MRS!G15</f>
        <v>EA</v>
      </c>
      <c r="E15" s="79">
        <f>MRS!H15</f>
        <v>4</v>
      </c>
      <c r="F15" s="80">
        <f>MRS!I15</f>
        <v>20</v>
      </c>
      <c r="G15" s="81">
        <f>MRS!J15</f>
        <v>80</v>
      </c>
      <c r="H15" s="86"/>
    </row>
    <row r="16" spans="1:13" s="47" customFormat="1" ht="23.1" customHeight="1">
      <c r="A16" s="183" t="s">
        <v>76</v>
      </c>
      <c r="B16" s="184"/>
      <c r="C16" s="184"/>
      <c r="D16" s="184"/>
      <c r="E16" s="184"/>
      <c r="F16" s="184"/>
      <c r="G16" s="50">
        <f>SUM(G6:G15)</f>
        <v>12582</v>
      </c>
      <c r="H16" s="51"/>
    </row>
    <row r="17" spans="1:13" s="47" customFormat="1" ht="23.1" customHeight="1">
      <c r="A17" s="183" t="s">
        <v>40</v>
      </c>
      <c r="B17" s="184"/>
      <c r="C17" s="184"/>
      <c r="D17" s="184"/>
      <c r="E17" s="184"/>
      <c r="F17" s="184"/>
      <c r="G17" s="50">
        <f>+G16*0.15</f>
        <v>1887.3</v>
      </c>
    </row>
    <row r="18" spans="1:13" s="47" customFormat="1" ht="24.95" customHeight="1" thickBot="1">
      <c r="A18" s="185" t="s">
        <v>77</v>
      </c>
      <c r="B18" s="186"/>
      <c r="C18" s="186"/>
      <c r="D18" s="186"/>
      <c r="E18" s="186"/>
      <c r="F18" s="186"/>
      <c r="G18" s="52">
        <f>G17+G16</f>
        <v>14469.3</v>
      </c>
      <c r="H18" s="53"/>
    </row>
    <row r="19" spans="1:13" ht="15.75" thickTop="1">
      <c r="A19" s="54" t="str">
        <f>" 1) Above Price are as per your quotation with ref "&amp;'PO 1st page'!K14</f>
        <v xml:space="preserve"> 1) Above Price are as per your quotation with ref QT26-1562</v>
      </c>
      <c r="B19" s="55"/>
      <c r="C19" s="55"/>
      <c r="D19" s="56"/>
      <c r="E19" s="56"/>
      <c r="F19" s="56"/>
      <c r="G19" s="56"/>
      <c r="H19" s="56"/>
    </row>
    <row r="20" spans="1:13" ht="15">
      <c r="A20" s="57" t="s">
        <v>78</v>
      </c>
      <c r="B20" s="58"/>
      <c r="C20" s="58"/>
      <c r="D20" s="59"/>
      <c r="E20" s="59"/>
      <c r="F20" s="59"/>
      <c r="G20" s="59"/>
      <c r="H20" s="59"/>
      <c r="I20" s="60"/>
    </row>
    <row r="21" spans="1:13" ht="15.75">
      <c r="A21" s="61"/>
    </row>
    <row r="22" spans="1:13">
      <c r="A22" s="121" t="s">
        <v>79</v>
      </c>
      <c r="B22" s="121"/>
      <c r="C22" s="121"/>
      <c r="D22" s="121"/>
      <c r="E22" s="121"/>
      <c r="F22" s="121"/>
      <c r="G22" s="121"/>
      <c r="H22" s="121"/>
      <c r="I22" s="62"/>
      <c r="J22" s="62"/>
      <c r="K22" s="62"/>
      <c r="L22" s="62"/>
      <c r="M22" s="62"/>
    </row>
    <row r="23" spans="1:13" ht="15.75">
      <c r="A23" s="61"/>
      <c r="C23" s="63"/>
    </row>
    <row r="24" spans="1:13" ht="15.75">
      <c r="A24" s="61"/>
      <c r="C24" s="63"/>
    </row>
    <row r="26" spans="1:13" ht="12" customHeight="1"/>
  </sheetData>
  <mergeCells count="22">
    <mergeCell ref="A16:F16"/>
    <mergeCell ref="A17:F17"/>
    <mergeCell ref="A18:F18"/>
    <mergeCell ref="A22:H22"/>
    <mergeCell ref="B12:C12"/>
    <mergeCell ref="B14:C14"/>
    <mergeCell ref="B15:C15"/>
    <mergeCell ref="B13:C13"/>
    <mergeCell ref="A4:A5"/>
    <mergeCell ref="B4:C5"/>
    <mergeCell ref="D4:D5"/>
    <mergeCell ref="E4:E5"/>
    <mergeCell ref="F4:G4"/>
    <mergeCell ref="B11:C11"/>
    <mergeCell ref="C2:F2"/>
    <mergeCell ref="E3:H3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0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2026-08-19T13:37:44Z</cp:lastPrinted>
  <dcterms:created xsi:type="dcterms:W3CDTF">2024-10-20T11:50:19Z</dcterms:created>
  <dcterms:modified xsi:type="dcterms:W3CDTF">2026-08-19T13:37:45Z</dcterms:modified>
</cp:coreProperties>
</file>