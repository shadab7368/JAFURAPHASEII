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72604605-86D3-45D2-8C42-84FAB26CE3BA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3" l="1"/>
  <c r="F31" i="3" s="1"/>
  <c r="B6" i="4"/>
  <c r="J9" i="1"/>
  <c r="J9" i="2" s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<sst xmlns="http://schemas.openxmlformats.org/spreadsheetml/2006/main" count="154" uniqueCount="128">
  <si>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</si>
  <si>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</si>
  <si>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</si>
  <si>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</si>
  <si>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</si>
  <si>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</si>
  <si>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</si>
  <si>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</si>
  <si>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</si>
  <si>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</si>
  <si>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</si>
  <si>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</si>
  <si>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</si>
  <si>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</si>
  <si>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</si>
  <si>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</si>
  <si>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</si>
  <si>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</si>
  <si>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</si>
  <si>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</si>
  <si>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</si>
  <si>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</si>
  <si>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</si>
  <si>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</si>
  <si>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</si>
  <si>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</si>
  <si>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</si>
  <si>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</si>
  <si>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</si>
  <si>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</si>
  <si>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</si>
  <si>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</si>
  <si>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</si>
  <si>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</si>
  <si>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</si>
  <si>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</si>
  <si>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</si>
  <si>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</si>
  <si>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</si>
  <si>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</si>
  <si>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</si>
  <si>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</si>
  <si>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</si>
  <si>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</si>
  <si>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</si>
  <si>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</si>
  <si>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</si>
  <si>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</si>
  <si>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</si>
  <si>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</si>
  <si>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</si>
  <si>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</si>
  <si>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</si>
  <si>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</si>
  <si>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</si>
  <si>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</si>
  <si>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</si>
  <si>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</si>
  <si>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</si>
  <si>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</si>
  <si>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</si>
  <si>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</si>
  <si>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</si>
  <si>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</si>
  <si>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</si>
  <si>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</si>
  <si>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</si>
  <si>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</si>
  <si>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</si>
  <si>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</si>
  <si>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</si>
  <si>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</si>
  <si>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</si>
  <si>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</si>
  <si>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</si>
  <si>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</si>
  <si>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</si>
  <si>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</si>
  <si>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</si>
  <si>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</si>
  <si>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</si>
  <si>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</si>
  <si>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</si>
  <si>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</si>
  <si>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</si>
  <si>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</si>
  <si>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</si>
  <si>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</si>
  <si>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</si>
  <si>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</si>
  <si>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</si>
  <si>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</si>
  <si>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</si>
  <si>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</si>
  <si>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</si>
  <si>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</si>
  <si>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</si>
  <si>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</si>
  <si>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</si>
  <si>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</si>
  <si>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</si>
  <si>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</si>
  <si>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</si>
  <si>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</si>
  <si>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</si>
  <si>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</si>
  <si>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</si>
  <si>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</si>
  <si>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</si>
  <si>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EA</t>
  </si>
  <si>
    <t>One time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</si>
  <si>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</si>
  <si>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</si>
  <si>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</si>
  <si>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</si>
  <si>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</si>
  <si>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</si>
  <si>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</si>
  <si>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</si>
  <si>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</si>
  <si>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</si>
  <si>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</si>
  <si>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SA4710000001400010547706</t>
  </si>
  <si>
    <t>SAUDI NATIONAL BANK</t>
  </si>
  <si>
    <t>NCBKSAJE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</si>
  <si>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-MRS-0181</t>
    </r>
  </si>
  <si>
    <t>Third Party Training for Rigger</t>
  </si>
  <si>
    <t>SAMOO-DAESHIN-19-2025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</si>
</sst>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  <xf numFmtId="0" fontId="56" fillId="3" borderId="0" xfId="5" applyFont="1" applyFill="1" applyAlignment="1">
      <alignment horizontal="left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0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99</v>
      </c>
      <c r="B1" s="110"/>
      <c r="C1" s="110"/>
      <c r="D1" s="110"/>
      <c r="E1" s="110"/>
      <c r="F1" s="110"/>
      <c r="G1" s="1"/>
      <c r="J1" s="127" t="s">
        <v>89</v>
      </c>
      <c r="K1" s="128"/>
      <c r="L1" s="129"/>
    </row>
    <row r="2" spans="1:18" ht="20.100000000000001" customHeight="1">
      <c r="A2" s="3" t="s">
        <v>1</v>
      </c>
      <c r="B2" s="101"/>
      <c r="C2" s="101"/>
      <c r="D2" s="3" t="s">
        <v>100</v>
      </c>
      <c r="E2" s="101"/>
      <c r="F2" s="101"/>
      <c r="G2" s="101"/>
      <c r="H2" s="101"/>
      <c r="I2" s="4"/>
      <c r="J2" s="143" t="s">
        <v>101</v>
      </c>
      <c r="K2" s="144"/>
      <c r="L2" s="145"/>
    </row>
    <row r="3" spans="1:18" ht="20.100000000000001" customHeight="1">
      <c r="A3" s="3" t="s">
        <v>125</v>
      </c>
      <c r="B3" s="101"/>
      <c r="C3" s="101"/>
      <c r="D3" s="101"/>
      <c r="E3" s="130">
        <f>+L3</f>
        <v>46004</v>
      </c>
      <c r="F3" s="130"/>
      <c r="G3" s="130"/>
      <c r="H3" s="130"/>
      <c r="I3" s="130"/>
      <c r="J3" s="101"/>
      <c r="K3" s="101"/>
      <c r="L3" s="122">
        <v>46004</v>
      </c>
      <c r="M3" s="4"/>
    </row>
    <row r="4" spans="1:18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93</v>
      </c>
      <c r="J4" s="131" t="s">
        <v>94</v>
      </c>
      <c r="K4" s="141" t="s">
        <v>0</v>
      </c>
      <c r="L4" s="132" t="s">
        <v>7</v>
      </c>
    </row>
    <row r="5" spans="1:18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8" ht="22.5" customHeight="1">
      <c r="A6" s="5">
        <f t="shared" ref="A6:A15" si="0">ROW(A1)</f>
        <v>1</v>
      </c>
      <c r="B6" s="146" t="s">
        <v>126</v>
      </c>
      <c r="C6" s="147"/>
      <c r="D6" s="148"/>
      <c r="E6" s="149"/>
      <c r="F6" s="150"/>
      <c r="G6" s="111" t="s">
        <v>109</v>
      </c>
      <c r="H6" s="112">
        <v>22</v>
      </c>
      <c r="I6" s="113">
        <v>700</v>
      </c>
      <c r="J6" s="113">
        <f>H6*I6</f>
        <v>15400</v>
      </c>
      <c r="K6" s="114" t="s">
        <v>103</v>
      </c>
      <c r="L6" s="115" t="s">
        <v>110</v>
      </c>
      <c r="R6" s="106"/>
    </row>
    <row r="7" spans="1:18" ht="22.5" customHeight="1">
      <c r="A7" s="5">
        <f t="shared" si="0"/>
        <v>2</v>
      </c>
      <c r="B7" s="146"/>
      <c r="C7" s="147"/>
      <c r="D7" s="151"/>
      <c r="E7" s="149"/>
      <c r="F7" s="150"/>
      <c r="G7" s="111"/>
      <c r="H7" s="112"/>
      <c r="I7" s="113"/>
      <c r="J7" s="113"/>
      <c r="K7" s="114"/>
      <c r="L7" s="115"/>
      <c r="R7" s="106"/>
    </row>
    <row r="8" spans="1:18" ht="22.5" customHeight="1">
      <c r="A8" s="5">
        <f t="shared" si="0"/>
        <v>3</v>
      </c>
      <c r="B8" s="146"/>
      <c r="C8" s="147"/>
      <c r="D8" s="148"/>
      <c r="E8" s="149"/>
      <c r="F8" s="150"/>
      <c r="G8" s="111"/>
      <c r="H8" s="112"/>
      <c r="I8" s="113"/>
      <c r="J8" s="113"/>
      <c r="K8" s="114"/>
      <c r="L8" s="115"/>
      <c r="R8" s="106"/>
    </row>
    <row r="9" spans="1:18" ht="22.5" customHeight="1">
      <c r="A9" s="5">
        <f t="shared" si="0"/>
        <v>4</v>
      </c>
      <c r="B9" s="146"/>
      <c r="C9" s="147"/>
      <c r="D9" s="148"/>
      <c r="E9" s="149"/>
      <c r="F9" s="150"/>
      <c r="G9" s="111"/>
      <c r="H9" s="112"/>
      <c r="I9" s="113"/>
      <c r="J9" s="113">
        <f t="shared" ref="J9" si="1">H9*I9</f>
        <v>0</v>
      </c>
      <c r="K9" s="114"/>
      <c r="L9" s="115"/>
      <c r="R9" s="106"/>
    </row>
    <row r="10" spans="1:18" ht="22.5" customHeight="1">
      <c r="A10" s="5">
        <f t="shared" si="0"/>
        <v>5</v>
      </c>
      <c r="B10" s="152"/>
      <c r="C10" s="152"/>
      <c r="D10" s="153"/>
      <c r="E10" s="153"/>
      <c r="F10" s="153"/>
      <c r="G10" s="111"/>
      <c r="H10" s="112"/>
      <c r="I10" s="116"/>
      <c r="J10" s="113"/>
      <c r="K10" s="114"/>
      <c r="L10" s="111"/>
      <c r="R10" s="106"/>
    </row>
    <row r="11" spans="1:18" ht="22.5" customHeight="1">
      <c r="A11" s="5">
        <f t="shared" si="0"/>
        <v>6</v>
      </c>
      <c r="B11" s="146"/>
      <c r="C11" s="147"/>
      <c r="D11" s="148"/>
      <c r="E11" s="149"/>
      <c r="F11" s="150"/>
      <c r="G11" s="111"/>
      <c r="H11" s="112"/>
      <c r="I11" s="113"/>
      <c r="J11" s="113"/>
      <c r="K11" s="114"/>
      <c r="L11" s="115"/>
      <c r="R11" s="106"/>
    </row>
    <row r="12" spans="1:18" ht="22.5" customHeight="1">
      <c r="A12" s="5">
        <f t="shared" si="0"/>
        <v>7</v>
      </c>
      <c r="B12" s="152"/>
      <c r="C12" s="152"/>
      <c r="D12" s="153"/>
      <c r="E12" s="153"/>
      <c r="F12" s="153"/>
      <c r="G12" s="111"/>
      <c r="H12" s="112"/>
      <c r="I12" s="116"/>
      <c r="J12" s="113"/>
      <c r="K12" s="114"/>
      <c r="L12" s="111"/>
      <c r="R12" s="106"/>
    </row>
    <row r="13" spans="1:18" ht="22.5" customHeight="1">
      <c r="A13" s="5">
        <f t="shared" si="0"/>
        <v>8</v>
      </c>
      <c r="B13" s="146"/>
      <c r="C13" s="147"/>
      <c r="D13" s="148"/>
      <c r="E13" s="149"/>
      <c r="F13" s="150"/>
      <c r="G13" s="111"/>
      <c r="H13" s="112"/>
      <c r="I13" s="113"/>
      <c r="J13" s="113"/>
      <c r="K13" s="114"/>
      <c r="L13" s="115"/>
      <c r="R13" s="106"/>
    </row>
    <row r="14" spans="1:18" ht="22.5" customHeight="1">
      <c r="A14" s="5">
        <f t="shared" si="0"/>
        <v>9</v>
      </c>
      <c r="B14" s="146"/>
      <c r="C14" s="147"/>
      <c r="D14" s="148"/>
      <c r="E14" s="149"/>
      <c r="F14" s="150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46"/>
      <c r="C15" s="147"/>
      <c r="D15" s="148"/>
      <c r="E15" s="149"/>
      <c r="F15" s="150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54" t="s">
        <v>8</v>
      </c>
      <c r="B16" s="15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15400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6" t="s">
        <v>11</v>
      </c>
      <c r="S18" s="13" t="s">
        <v>12</v>
      </c>
    </row>
    <row r="19" spans="1:19" ht="50.1" customHeight="1">
      <c r="R19" s="157"/>
      <c r="S19" s="15"/>
    </row>
    <row r="20" spans="1:19" ht="17.100000000000001" customHeight="1">
      <c r="O20" s="11"/>
      <c r="P20" s="11"/>
      <c r="R20" s="158"/>
      <c r="S20" s="15" t="s">
        <v>13</v>
      </c>
    </row>
    <row r="21" spans="1:19" ht="15" customHeight="1">
      <c r="O21" s="17" t="s">
        <v>14</v>
      </c>
      <c r="P21" s="159" t="s">
        <v>15</v>
      </c>
    </row>
    <row r="22" spans="1:19" ht="18" customHeight="1">
      <c r="O22" s="18" t="s">
        <v>16</v>
      </c>
      <c r="P22" s="160"/>
      <c r="R22" s="156" t="s">
        <v>17</v>
      </c>
      <c r="S22" s="12" t="s">
        <v>12</v>
      </c>
    </row>
    <row r="23" spans="1:19" ht="50.1" customHeight="1">
      <c r="O23" s="14"/>
      <c r="P23" s="14"/>
      <c r="R23" s="157"/>
      <c r="S23" s="19"/>
    </row>
    <row r="24" spans="1:19" ht="17.100000000000001" customHeight="1">
      <c r="O24" s="16" t="s">
        <v>13</v>
      </c>
      <c r="P24" s="16" t="s">
        <v>13</v>
      </c>
      <c r="R24" s="15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1"/>
      <c r="P27" s="161"/>
    </row>
    <row r="28" spans="1:19" ht="19.899999999999999" customHeight="1">
      <c r="O28" s="161"/>
      <c r="P28" s="16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9" t="s">
        <v>18</v>
      </c>
      <c r="P46" s="159" t="s">
        <v>18</v>
      </c>
      <c r="S46" s="159" t="s">
        <v>12</v>
      </c>
    </row>
    <row r="47" spans="15:19" ht="21" customHeight="1">
      <c r="O47" s="160"/>
      <c r="P47" s="160"/>
      <c r="S47" s="15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9" t="s">
        <v>18</v>
      </c>
      <c r="P50" s="159" t="s">
        <v>18</v>
      </c>
      <c r="S50" s="159" t="s">
        <v>19</v>
      </c>
    </row>
    <row r="51" spans="15:19" ht="21" customHeight="1">
      <c r="O51" s="160"/>
      <c r="P51" s="160"/>
      <c r="S51" s="158"/>
    </row>
    <row r="52" spans="15:19" ht="64.900000000000006" customHeight="1">
      <c r="O52" s="14"/>
      <c r="P52" s="14"/>
      <c r="S52" s="14"/>
    </row>
  </sheetData>
  <mergeCells count="44">
    <mergeCell ref="O50:O51"/>
    <mergeCell ref="P50:P51"/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95</v>
      </c>
      <c r="B1" s="100"/>
      <c r="C1" s="100"/>
      <c r="D1" s="100"/>
      <c r="E1" s="100"/>
      <c r="F1" s="100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SAC2-DS-MRS-0181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46004</v>
      </c>
    </row>
    <row r="4" spans="1:18" ht="15.95" customHeight="1">
      <c r="A4" s="162" t="s">
        <v>2</v>
      </c>
      <c r="B4" s="163" t="s">
        <v>20</v>
      </c>
      <c r="C4" s="163"/>
      <c r="D4" s="162" t="s">
        <v>4</v>
      </c>
      <c r="E4" s="162"/>
      <c r="F4" s="162"/>
      <c r="G4" s="163" t="s">
        <v>5</v>
      </c>
      <c r="H4" s="162" t="s">
        <v>90</v>
      </c>
      <c r="I4" s="162" t="s">
        <v>21</v>
      </c>
      <c r="J4" s="162" t="s">
        <v>22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64" t="str">
        <f>MRS!B6</f>
        <v>Third Party Training for Rigger</v>
      </c>
      <c r="C6" s="165"/>
      <c r="D6" s="166">
        <f>MRS!D6</f>
        <v>0</v>
      </c>
      <c r="E6" s="167"/>
      <c r="F6" s="168"/>
      <c r="G6" s="103" t="str">
        <f>MRS!G6</f>
        <v>EA</v>
      </c>
      <c r="H6" s="103">
        <f>MRS!H6</f>
        <v>22</v>
      </c>
      <c r="I6" s="104">
        <f>MRS!I6</f>
        <v>700</v>
      </c>
      <c r="J6" s="104">
        <f>MRS!J6</f>
        <v>15400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4">
        <f>MRS!B8</f>
        <v>0</v>
      </c>
      <c r="C8" s="165"/>
      <c r="D8" s="166">
        <f>MRS!D8</f>
        <v>0</v>
      </c>
      <c r="E8" s="167"/>
      <c r="F8" s="168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4">
        <f>MRS!B9</f>
        <v>0</v>
      </c>
      <c r="C9" s="165"/>
      <c r="D9" s="166">
        <f>MRS!D9</f>
        <v>0</v>
      </c>
      <c r="E9" s="167"/>
      <c r="F9" s="168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C9" sqref="C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104</v>
      </c>
      <c r="D9" s="39"/>
      <c r="E9" s="39"/>
    </row>
    <row r="10" spans="2:13" s="39" customFormat="1">
      <c r="B10" s="72"/>
      <c r="C10" s="39" t="s">
        <v>30</v>
      </c>
      <c r="D10" s="76" t="s">
        <v>105</v>
      </c>
      <c r="J10" s="39" t="s">
        <v>31</v>
      </c>
      <c r="K10" s="175">
        <f>MRS!L3</f>
        <v>46004</v>
      </c>
      <c r="L10" s="176"/>
      <c r="M10" s="176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77" t="str">
        <f>SUBSTITUTE(SUBSTITUTE(+MRS!A3,"  MRS No : ",""),"-MRS","-PO")</f>
        <v>SAC2-DS-PO-0181</v>
      </c>
      <c r="L11" s="177"/>
      <c r="M11" s="177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127</v>
      </c>
    </row>
    <row r="15" spans="2:13" s="39" customFormat="1">
      <c r="B15" s="72"/>
      <c r="C15" s="77" t="s">
        <v>98</v>
      </c>
      <c r="J15" s="39" t="s">
        <v>38</v>
      </c>
      <c r="K15" s="78">
        <v>46002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8" t="s">
        <v>39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40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41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42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76" t="s">
        <v>126</v>
      </c>
      <c r="M26" s="79" t="s">
        <v>44</v>
      </c>
    </row>
    <row r="27" spans="2:13" ht="11.1" customHeight="1">
      <c r="B27" s="32"/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2">
        <v>15400</v>
      </c>
      <c r="G29" s="182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2">
        <f>F29*15%</f>
        <v>2310</v>
      </c>
      <c r="G30" s="182"/>
    </row>
    <row r="31" spans="2:13" ht="12" customHeight="1">
      <c r="B31" s="32"/>
      <c r="C31" s="26" t="s">
        <v>49</v>
      </c>
      <c r="D31" s="35"/>
      <c r="E31" s="26" t="s">
        <v>47</v>
      </c>
      <c r="F31" s="182">
        <f>SUM(F29:G30)</f>
        <v>17710</v>
      </c>
      <c r="G31" s="182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80" t="s">
        <v>63</v>
      </c>
      <c r="C49" s="81" t="s">
        <v>102</v>
      </c>
      <c r="P49" s="82"/>
    </row>
    <row r="50" spans="2:16" s="83" customFormat="1" ht="12" customHeight="1">
      <c r="B50" s="84" t="s">
        <v>63</v>
      </c>
      <c r="C50" s="81" t="s">
        <v>92</v>
      </c>
    </row>
    <row r="51" spans="2:16" s="83" customFormat="1" ht="12" customHeight="1">
      <c r="B51" s="84" t="s">
        <v>63</v>
      </c>
      <c r="C51" s="81" t="s">
        <v>91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111</v>
      </c>
    </row>
    <row r="54" spans="2:16" ht="12" customHeight="1">
      <c r="B54" s="84" t="s">
        <v>63</v>
      </c>
      <c r="C54" s="125" t="s">
        <v>112</v>
      </c>
      <c r="F54" s="26" t="s">
        <v>120</v>
      </c>
    </row>
    <row r="55" spans="2:16" ht="12" customHeight="1">
      <c r="B55" s="84" t="s">
        <v>63</v>
      </c>
      <c r="C55" s="125" t="s">
        <v>113</v>
      </c>
      <c r="F55" s="126" t="s">
        <v>121</v>
      </c>
    </row>
    <row r="56" spans="2:16" ht="12" customHeight="1">
      <c r="B56" s="84" t="s">
        <v>63</v>
      </c>
      <c r="C56" s="125" t="s">
        <v>114</v>
      </c>
      <c r="F56" s="26" t="s">
        <v>122</v>
      </c>
    </row>
    <row r="57" spans="2:16" ht="12" customHeight="1">
      <c r="B57" s="84" t="s">
        <v>63</v>
      </c>
      <c r="C57" s="125" t="s">
        <v>115</v>
      </c>
      <c r="F57" s="26" t="s">
        <v>123</v>
      </c>
    </row>
    <row r="58" spans="2:16" ht="12" customHeight="1">
      <c r="B58" s="84" t="s">
        <v>63</v>
      </c>
      <c r="C58" s="125" t="s">
        <v>116</v>
      </c>
      <c r="F58" s="26" t="s">
        <v>124</v>
      </c>
    </row>
    <row r="59" spans="2:16" ht="12" customHeight="1">
      <c r="B59" s="84" t="s">
        <v>63</v>
      </c>
      <c r="C59" s="125" t="s">
        <v>117</v>
      </c>
      <c r="F59" s="26" t="s">
        <v>118</v>
      </c>
    </row>
    <row r="60" spans="2:16" ht="12" customHeight="1">
      <c r="B60" s="84"/>
      <c r="C60" s="125" t="s">
        <v>119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205" t="str">
        <f>C9</f>
        <v>SAMOO(Samoo Al Bahr Contracting Est.)</v>
      </c>
      <c r="K71" s="205"/>
      <c r="L71" s="205"/>
      <c r="M71" s="205"/>
    </row>
    <row r="72" spans="1:13" ht="27.95" customHeight="1">
      <c r="A72" s="174" t="s">
        <v>74</v>
      </c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SAC2-DS-PO-0181</v>
      </c>
      <c r="C2" s="185" t="s">
        <v>76</v>
      </c>
      <c r="D2" s="185"/>
      <c r="E2" s="185"/>
      <c r="F2" s="185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46004</v>
      </c>
      <c r="C3" s="51"/>
      <c r="D3" s="52"/>
      <c r="E3" s="186" t="s">
        <v>78</v>
      </c>
      <c r="F3" s="186"/>
      <c r="G3" s="186"/>
      <c r="H3" s="186"/>
      <c r="I3" s="53"/>
    </row>
    <row r="4" spans="1:13" s="55" customFormat="1" ht="28.5" customHeight="1" thickTop="1">
      <c r="A4" s="187" t="s">
        <v>79</v>
      </c>
      <c r="B4" s="189" t="s">
        <v>80</v>
      </c>
      <c r="C4" s="190"/>
      <c r="D4" s="193" t="s">
        <v>81</v>
      </c>
      <c r="E4" s="193" t="s">
        <v>82</v>
      </c>
      <c r="F4" s="195" t="str">
        <f>'PO 1st page'!C9</f>
        <v>SAMOO(Samoo Al Bahr Contracting Est.)</v>
      </c>
      <c r="G4" s="196"/>
      <c r="H4" s="197" t="s">
        <v>83</v>
      </c>
      <c r="K4" s="56"/>
      <c r="L4" s="56"/>
      <c r="M4" s="56"/>
    </row>
    <row r="5" spans="1:13" s="55" customFormat="1" ht="21.95" customHeight="1">
      <c r="A5" s="188"/>
      <c r="B5" s="191"/>
      <c r="C5" s="192"/>
      <c r="D5" s="194"/>
      <c r="E5" s="194"/>
      <c r="F5" s="57" t="s">
        <v>84</v>
      </c>
      <c r="G5" s="57" t="s">
        <v>49</v>
      </c>
      <c r="H5" s="198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3" t="str">
        <f>CONCATENATE(MRS!B6," ",MRS!D6)</f>
        <v xml:space="preserve">Third Party Training for Rigger </v>
      </c>
      <c r="C6" s="184"/>
      <c r="D6" s="86" t="str">
        <f>+'MRS LIST'!G6</f>
        <v>EA</v>
      </c>
      <c r="E6" s="87">
        <f>+'MRS LIST'!H6</f>
        <v>22</v>
      </c>
      <c r="F6" s="88">
        <f>+'MRS LIST'!I6</f>
        <v>700</v>
      </c>
      <c r="G6" s="89">
        <f>+'MRS LIST'!J6</f>
        <v>15400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3"/>
      <c r="C7" s="184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3"/>
      <c r="C8" s="184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3"/>
      <c r="C9" s="184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183"/>
      <c r="C10" s="184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3"/>
      <c r="C11" s="184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3"/>
      <c r="C12" s="204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3"/>
      <c r="C13" s="204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3"/>
      <c r="C14" s="204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3"/>
      <c r="C15" s="204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3"/>
      <c r="C16" s="204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3"/>
      <c r="C17" s="204"/>
      <c r="D17" s="94"/>
      <c r="E17" s="95"/>
      <c r="F17" s="96"/>
      <c r="G17" s="97"/>
      <c r="H17" s="98"/>
    </row>
    <row r="18" spans="1:13" s="55" customFormat="1" ht="23.1" customHeight="1">
      <c r="A18" s="199" t="s">
        <v>85</v>
      </c>
      <c r="B18" s="200"/>
      <c r="C18" s="200"/>
      <c r="D18" s="200"/>
      <c r="E18" s="200"/>
      <c r="F18" s="200"/>
      <c r="G18" s="58">
        <f>SUM(G6:G17)</f>
        <v>15400</v>
      </c>
      <c r="H18" s="59"/>
    </row>
    <row r="19" spans="1:13" s="55" customFormat="1" ht="23.1" customHeight="1">
      <c r="A19" s="199" t="s">
        <v>48</v>
      </c>
      <c r="B19" s="200"/>
      <c r="C19" s="200"/>
      <c r="D19" s="200"/>
      <c r="E19" s="200"/>
      <c r="F19" s="200"/>
      <c r="G19" s="58">
        <f>+G18*0.15</f>
        <v>2310</v>
      </c>
      <c r="H19" s="59"/>
    </row>
    <row r="20" spans="1:13" s="55" customFormat="1" ht="24.95" customHeight="1" thickBot="1">
      <c r="A20" s="201" t="s">
        <v>86</v>
      </c>
      <c r="B20" s="202"/>
      <c r="C20" s="202"/>
      <c r="D20" s="202"/>
      <c r="E20" s="202"/>
      <c r="F20" s="202"/>
      <c r="G20" s="60">
        <f>G19+G18</f>
        <v>17710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SAMOO-DAESHIN-19-2025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4" t="s">
        <v>88</v>
      </c>
      <c r="B24" s="174"/>
      <c r="C24" s="174"/>
      <c r="D24" s="174"/>
      <c r="E24" s="174"/>
      <c r="F24" s="174"/>
      <c r="G24" s="174"/>
      <c r="H24" s="174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2025-12-13T12:34:56Z</cp:lastPrinted>
  <dcterms:created xsi:type="dcterms:W3CDTF">2024-10-20T11:50:19Z</dcterms:created>
  <dcterms:modified xsi:type="dcterms:W3CDTF">2025-12-13T12:35:00Z</dcterms:modified>
</cp:coreProperties>
</file>