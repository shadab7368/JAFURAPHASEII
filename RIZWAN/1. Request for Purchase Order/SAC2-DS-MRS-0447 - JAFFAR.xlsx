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7BE5C98-5A22-46B0-BAEA-B5C8E6392461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 l="1"/>
  <c r="C26" i="3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<sst xmlns="http://schemas.openxmlformats.org/spreadsheetml/2006/main" count="163" uniqueCount="133">
  <si>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</si>
  <si>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</si>
  <si>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</si>
  <si>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</si>
  <si>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</si>
  <si>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</si>
  <si>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</si>
  <si>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</si>
  <si>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</si>
  <si>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</si>
  <si>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</si>
  <si>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</si>
  <si>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</si>
  <si>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</si>
  <si>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</si>
  <si>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</si>
  <si>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</si>
  <si>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</si>
  <si>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</si>
  <si>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</si>
  <si>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</si>
  <si>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</si>
  <si>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</si>
  <si>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</si>
  <si>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</si>
  <si>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</si>
  <si>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</si>
  <si>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</si>
  <si>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</si>
  <si>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</si>
  <si>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</si>
  <si>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</si>
  <si>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</si>
  <si>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</si>
  <si>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</si>
  <si>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</si>
  <si>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</si>
  <si>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</si>
  <si>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</si>
  <si>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</si>
  <si>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</si>
  <si>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</si>
  <si>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</si>
  <si>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</si>
  <si>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</si>
  <si>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</si>
  <si>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</si>
  <si>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</si>
  <si>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</si>
  <si>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</si>
  <si>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</si>
  <si>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</si>
  <si>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</si>
  <si>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</si>
  <si>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</si>
  <si>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</si>
  <si>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</si>
  <si>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</si>
  <si>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</si>
  <si>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</si>
  <si>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</si>
  <si>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</si>
  <si>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</si>
  <si>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</si>
  <si>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</si>
  <si>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</si>
  <si>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</si>
  <si>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</si>
  <si>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</si>
  <si>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</si>
  <si>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</si>
  <si>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</si>
  <si>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</si>
  <si>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</si>
  <si>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</si>
  <si>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</si>
  <si>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</si>
  <si>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</si>
  <si>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</si>
  <si>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</si>
  <si>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</si>
  <si>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</si>
  <si>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</si>
  <si>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</si>
  <si>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</si>
  <si>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</si>
  <si>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</si>
  <si>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</si>
  <si>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</si>
  <si>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</si>
  <si>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</si>
  <si>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</si>
  <si>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</si>
  <si>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</si>
  <si>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</si>
  <si>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</si>
  <si>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</si>
  <si>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</si>
  <si>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</si>
  <si>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</si>
  <si>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</si>
  <si>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</si>
  <si>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JSC</t>
  </si>
  <si>
    <t>JSC(Jaffar Mohammed Al-Subaiti &amp; Partner Co.</t>
  </si>
  <si>
    <t xml:space="preserve"> CR No. :</t>
    <phoneticPr fontId="5" type="noConversion"/>
  </si>
  <si>
    <t>310191470100003</t>
  </si>
  <si>
    <t>+966 552860452  / Email:info@jscontractingsa.com</t>
  </si>
  <si>
    <t>Bldg 8771 King Faisal Ibn Abdulaziz Branch Al-Jubail</t>
  </si>
  <si>
    <t>Mobile : +966 552860452</t>
  </si>
  <si>
    <t>04100000309106</t>
  </si>
  <si>
    <t>SA48 1000 0004 1000 0030 9106</t>
  </si>
  <si>
    <t>NATIONAL COMMERCIAL BANK</t>
  </si>
  <si>
    <t>NCBKSAJE</t>
  </si>
  <si>
    <t>Hameed</t>
  </si>
  <si>
    <t>Bus with Driver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</si>
  <si>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</si>
  <si>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</si>
  <si>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</si>
  <si>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</si>
  <si>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</si>
  <si>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</si>
  <si>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</si>
  <si>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</si>
  <si>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</si>
  <si>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</si>
  <si>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</si>
  <si>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</si>
  <si>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JSC-9003</t>
  </si>
  <si>
    <t>JAFFER MOHAMMED ALSBITI AND PARTNER CO</t>
  </si>
  <si>
    <t>Ashok Leyland 66 Seat with driver model 2026 Brand New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</si>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</sst>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1002631</xdr:colOff>
          <xdr:row>17</xdr:row>
          <xdr:rowOff>37098</xdr:rowOff>
        </xdr:from>
        <xdr:to>
          <xdr:col>11</xdr:col>
          <xdr:colOff>1637297</xdr:colOff>
          <xdr:row>22</xdr:row>
          <xdr:rowOff>521369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BADCF52-C5B2-8236-E8A2-D09ED9468FB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94710" y="5030203"/>
              <a:ext cx="8244640" cy="1958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4815C0-8382-4706-853A-0683A5CD837D}">
  <we:reference id="wa200006575" version="1.0.0.5" store="en-US" storeType="OMEX"/>
  <we:alternateReferences>
    <we:reference id="WA200006575" version="1.0.0.5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072E4DB-BBB8-4453-9CD7-5656121BA051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6" sqref="O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130</v>
      </c>
      <c r="B1" s="132"/>
      <c r="C1" s="106"/>
      <c r="D1" s="106"/>
      <c r="E1" s="106"/>
      <c r="F1" s="106"/>
      <c r="G1" s="1"/>
      <c r="J1" s="147" t="s">
        <v>80</v>
      </c>
      <c r="K1" s="148"/>
      <c r="L1" s="149"/>
    </row>
    <row r="2" spans="1:19" ht="20.100000000000001" customHeight="1">
      <c r="A2" s="3" t="s">
        <v>1</v>
      </c>
      <c r="B2" s="97"/>
      <c r="C2" s="97"/>
      <c r="D2" s="3" t="s">
        <v>131</v>
      </c>
      <c r="E2" s="97"/>
      <c r="F2" s="97"/>
      <c r="G2" s="97"/>
      <c r="H2" s="97"/>
      <c r="I2" s="4"/>
      <c r="J2" s="150" t="s">
        <v>89</v>
      </c>
      <c r="K2" s="151"/>
      <c r="L2" s="152"/>
    </row>
    <row r="3" spans="1:19" ht="20.100000000000001" customHeight="1">
      <c r="A3" s="3" t="s">
        <v>132</v>
      </c>
      <c r="B3" s="97"/>
      <c r="C3" s="97"/>
      <c r="D3" s="97"/>
      <c r="E3" s="153">
        <f>+L3+3</f>
        <v>46270</v>
      </c>
      <c r="F3" s="153"/>
      <c r="G3" s="153"/>
      <c r="H3" s="153"/>
      <c r="I3" s="153"/>
      <c r="J3" s="97"/>
      <c r="K3" s="97"/>
      <c r="L3" s="133">
        <v>46267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85</v>
      </c>
      <c r="J4" s="154" t="s">
        <v>86</v>
      </c>
      <c r="K4" s="164" t="s">
        <v>0</v>
      </c>
      <c r="L4" s="155" t="s">
        <v>7</v>
      </c>
    </row>
    <row r="5" spans="1:19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46.5" customHeight="1">
      <c r="A6" s="5">
        <f t="shared" ref="A6:A15" si="0">ROW(A1)</f>
        <v>1</v>
      </c>
      <c r="B6" s="166" t="s">
        <v>114</v>
      </c>
      <c r="C6" s="167"/>
      <c r="D6" s="168" t="s">
        <v>129</v>
      </c>
      <c r="E6" s="169"/>
      <c r="F6" s="170"/>
      <c r="G6" s="107" t="s">
        <v>88</v>
      </c>
      <c r="H6" s="108">
        <v>1</v>
      </c>
      <c r="I6" s="109">
        <v>11500</v>
      </c>
      <c r="J6" s="109">
        <f>H6*I6</f>
        <v>11500</v>
      </c>
      <c r="K6" s="110" t="s">
        <v>102</v>
      </c>
      <c r="L6" s="111" t="s">
        <v>90</v>
      </c>
      <c r="S6" s="102"/>
    </row>
    <row r="7" spans="1:19" ht="22.5" customHeight="1">
      <c r="A7" s="5">
        <f t="shared" si="0"/>
        <v>2</v>
      </c>
      <c r="B7" s="166"/>
      <c r="C7" s="167"/>
      <c r="D7" s="171"/>
      <c r="E7" s="169"/>
      <c r="F7" s="170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66"/>
      <c r="C8" s="167"/>
      <c r="D8" s="168"/>
      <c r="E8" s="169"/>
      <c r="F8" s="170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6"/>
      <c r="C9" s="167"/>
      <c r="D9" s="168"/>
      <c r="E9" s="169"/>
      <c r="F9" s="170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72"/>
      <c r="C10" s="172"/>
      <c r="D10" s="173"/>
      <c r="E10" s="173"/>
      <c r="F10" s="173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6"/>
      <c r="C11" s="167"/>
      <c r="D11" s="168"/>
      <c r="E11" s="169"/>
      <c r="F11" s="170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72"/>
      <c r="C12" s="172"/>
      <c r="D12" s="173"/>
      <c r="E12" s="173"/>
      <c r="F12" s="173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4" t="s">
        <v>8</v>
      </c>
      <c r="B16" s="175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11500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8"/>
      <c r="Z18" s="11"/>
    </row>
    <row r="19" spans="1:26" ht="50.1" customHeight="1">
      <c r="Y19" s="139"/>
    </row>
    <row r="20" spans="1:26" ht="15" customHeight="1">
      <c r="O20" s="134" t="s">
        <v>115</v>
      </c>
      <c r="P20" s="140"/>
      <c r="Q20" s="140"/>
      <c r="R20" s="135"/>
      <c r="S20" s="124"/>
      <c r="T20" s="134" t="s">
        <v>116</v>
      </c>
      <c r="U20" s="140"/>
      <c r="V20" s="140"/>
      <c r="W20" s="140"/>
      <c r="X20" s="140"/>
      <c r="Y20" s="135"/>
    </row>
    <row r="21" spans="1:26" ht="15" customHeight="1">
      <c r="O21" s="141" t="s">
        <v>117</v>
      </c>
      <c r="P21" s="143" t="s">
        <v>118</v>
      </c>
      <c r="Q21" s="141" t="s">
        <v>119</v>
      </c>
      <c r="R21" s="143" t="s">
        <v>120</v>
      </c>
      <c r="S21" s="124"/>
      <c r="T21" s="141" t="s">
        <v>121</v>
      </c>
      <c r="U21" s="143" t="s">
        <v>122</v>
      </c>
      <c r="V21" s="134" t="s">
        <v>123</v>
      </c>
      <c r="W21" s="140"/>
      <c r="X21" s="135"/>
      <c r="Y21" s="143" t="s">
        <v>124</v>
      </c>
    </row>
    <row r="22" spans="1:26" ht="18" customHeight="1">
      <c r="O22" s="142"/>
      <c r="P22" s="144"/>
      <c r="Q22" s="142"/>
      <c r="R22" s="144"/>
      <c r="S22" s="125"/>
      <c r="T22" s="142"/>
      <c r="U22" s="144"/>
      <c r="V22" s="13" t="s">
        <v>117</v>
      </c>
      <c r="W22" s="145" t="s">
        <v>125</v>
      </c>
      <c r="X22" s="146"/>
      <c r="Y22" s="144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34"/>
      <c r="X23" s="135"/>
      <c r="Y23" s="126"/>
    </row>
    <row r="24" spans="1:26" ht="36" customHeight="1">
      <c r="W24" s="127"/>
      <c r="X24" s="136" t="s">
        <v>126</v>
      </c>
      <c r="Y24" s="12" t="s">
        <v>124</v>
      </c>
    </row>
    <row r="25" spans="1:26" ht="50.1" customHeight="1">
      <c r="O25" s="128"/>
      <c r="P25" s="128"/>
      <c r="Q25" s="128"/>
      <c r="R25" s="128"/>
      <c r="S25" s="128"/>
      <c r="T25" s="128"/>
      <c r="U25" s="128"/>
      <c r="V25" s="128"/>
      <c r="W25" s="129"/>
      <c r="X25" s="137"/>
      <c r="Y25" s="130"/>
    </row>
    <row r="26" spans="1:26" ht="19.899999999999999" customHeight="1"/>
    <row r="27" spans="1:26" ht="17.45" customHeight="1">
      <c r="O27" s="176"/>
      <c r="P27" s="176"/>
      <c r="Q27" s="176"/>
    </row>
    <row r="28" spans="1:26" ht="19.899999999999999" customHeight="1">
      <c r="O28" s="176"/>
      <c r="P28" s="176"/>
      <c r="Q28" s="17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4"/>
    </row>
    <row r="42" spans="15:22" ht="64.900000000000006" customHeight="1">
      <c r="T42" s="14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4"/>
      <c r="P47" s="144"/>
      <c r="Q47" s="144"/>
      <c r="T47" s="142"/>
      <c r="U47" s="142"/>
      <c r="V47" s="14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4"/>
      <c r="P51" s="144"/>
      <c r="Q51" s="144"/>
      <c r="T51" s="142"/>
      <c r="U51" s="142"/>
      <c r="V51" s="14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SAC2-DS-MRS-0447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46267</v>
      </c>
    </row>
    <row r="4" spans="1:18" ht="15.95" customHeight="1">
      <c r="A4" s="177" t="s">
        <v>2</v>
      </c>
      <c r="B4" s="178" t="s">
        <v>14</v>
      </c>
      <c r="C4" s="178"/>
      <c r="D4" s="177" t="s">
        <v>4</v>
      </c>
      <c r="E4" s="177"/>
      <c r="F4" s="177"/>
      <c r="G4" s="178" t="s">
        <v>5</v>
      </c>
      <c r="H4" s="177" t="s">
        <v>81</v>
      </c>
      <c r="I4" s="177" t="s">
        <v>15</v>
      </c>
      <c r="J4" s="177" t="s">
        <v>16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17">
        <f>+MRS!A6</f>
        <v>1</v>
      </c>
      <c r="B6" s="179" t="str">
        <f>MRS!B6</f>
        <v>Bus with Driver</v>
      </c>
      <c r="C6" s="180"/>
      <c r="D6" s="181" t="str">
        <f>MRS!D6</f>
        <v>Ashok Leyland 66 Seat with driver model 2026 Brand New</v>
      </c>
      <c r="E6" s="182"/>
      <c r="F6" s="183"/>
      <c r="G6" s="99" t="str">
        <f>MRS!G6</f>
        <v>Hour</v>
      </c>
      <c r="H6" s="99">
        <f>MRS!H6</f>
        <v>1</v>
      </c>
      <c r="I6" s="100">
        <f>MRS!I6</f>
        <v>11500</v>
      </c>
      <c r="J6" s="100">
        <f>MRS!J6</f>
        <v>11500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9">
        <f>MRS!B7</f>
        <v>0</v>
      </c>
      <c r="C7" s="180"/>
      <c r="D7" s="181">
        <f>MRS!D7</f>
        <v>0</v>
      </c>
      <c r="E7" s="182"/>
      <c r="F7" s="183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9">
        <f>MRS!B8</f>
        <v>0</v>
      </c>
      <c r="C8" s="180"/>
      <c r="D8" s="181">
        <f>MRS!D8</f>
        <v>0</v>
      </c>
      <c r="E8" s="182"/>
      <c r="F8" s="183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9">
        <f>MRS!B9</f>
        <v>0</v>
      </c>
      <c r="C9" s="180"/>
      <c r="D9" s="181">
        <f>MRS!D9</f>
        <v>0</v>
      </c>
      <c r="E9" s="182"/>
      <c r="F9" s="183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9">
        <f>MRS!B10</f>
        <v>0</v>
      </c>
      <c r="C10" s="180"/>
      <c r="D10" s="181">
        <f>MRS!D10</f>
        <v>0</v>
      </c>
      <c r="E10" s="182"/>
      <c r="F10" s="183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9">
        <f>MRS!B11</f>
        <v>0</v>
      </c>
      <c r="C11" s="180"/>
      <c r="D11" s="181">
        <f>MRS!D11</f>
        <v>0</v>
      </c>
      <c r="E11" s="182"/>
      <c r="F11" s="183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4"/>
      <c r="C12" s="185"/>
      <c r="D12" s="186"/>
      <c r="E12" s="187"/>
      <c r="F12" s="188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4"/>
      <c r="C13" s="185"/>
      <c r="D13" s="186"/>
      <c r="E13" s="187"/>
      <c r="F13" s="188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4"/>
      <c r="C14" s="185"/>
      <c r="D14" s="186"/>
      <c r="E14" s="187"/>
      <c r="F14" s="188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4"/>
      <c r="C15" s="185"/>
      <c r="D15" s="186"/>
      <c r="E15" s="187"/>
      <c r="F15" s="188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Q66" sqref="Q6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103</v>
      </c>
      <c r="D9" s="35"/>
      <c r="E9" s="35"/>
    </row>
    <row r="10" spans="2:13" s="35" customFormat="1">
      <c r="B10" s="68"/>
      <c r="C10" s="35" t="s">
        <v>104</v>
      </c>
      <c r="D10" s="72">
        <v>2055123095</v>
      </c>
      <c r="J10" s="35" t="s">
        <v>23</v>
      </c>
      <c r="K10" s="190">
        <f>MRS!L3</f>
        <v>46267</v>
      </c>
      <c r="L10" s="191"/>
      <c r="M10" s="191"/>
    </row>
    <row r="11" spans="2:13" s="35" customFormat="1">
      <c r="B11" s="68"/>
      <c r="C11" s="71" t="s">
        <v>24</v>
      </c>
      <c r="D11" s="72" t="s">
        <v>105</v>
      </c>
      <c r="J11" s="35" t="s">
        <v>25</v>
      </c>
      <c r="K11" s="192" t="str">
        <f>SUBSTITUTE(SUBSTITUTE(+MRS!A3,"  MRS No : ",""),"-MRS","-PO")</f>
        <v>SAC2-DS-PO-0447</v>
      </c>
      <c r="L11" s="192"/>
      <c r="M11" s="192"/>
    </row>
    <row r="12" spans="2:13" s="35" customFormat="1">
      <c r="B12" s="68"/>
      <c r="C12" s="71" t="s">
        <v>26</v>
      </c>
      <c r="D12" s="35" t="s">
        <v>113</v>
      </c>
      <c r="J12" s="35" t="s">
        <v>27</v>
      </c>
    </row>
    <row r="13" spans="2:13" s="35" customFormat="1">
      <c r="B13" s="68"/>
      <c r="C13" s="73"/>
      <c r="D13" s="72" t="s">
        <v>106</v>
      </c>
      <c r="J13" s="35" t="s">
        <v>28</v>
      </c>
    </row>
    <row r="14" spans="2:13" s="35" customFormat="1">
      <c r="B14" s="68"/>
      <c r="C14" s="73" t="s">
        <v>107</v>
      </c>
      <c r="J14" s="35" t="s">
        <v>29</v>
      </c>
      <c r="K14" s="35" t="s">
        <v>127</v>
      </c>
    </row>
    <row r="15" spans="2:13" s="35" customFormat="1">
      <c r="B15" s="68"/>
      <c r="C15" s="73" t="s">
        <v>108</v>
      </c>
      <c r="J15" s="35" t="s">
        <v>30</v>
      </c>
      <c r="K15" s="74">
        <v>46250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3" ht="12" customHeight="1"/>
    <row r="20" spans="2:13" s="27" customFormat="1" ht="12" customHeight="1">
      <c r="B20" s="194" t="s">
        <v>32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27" customFormat="1" ht="12" customHeight="1">
      <c r="B21" s="194" t="s">
        <v>33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s="27" customFormat="1" ht="12" customHeight="1">
      <c r="B22" s="194" t="s">
        <v>34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tr">
        <f>MRS!B6</f>
        <v>Bus with Driver</v>
      </c>
      <c r="M26" s="75" t="s">
        <v>36</v>
      </c>
    </row>
    <row r="27" spans="2:13" ht="12" customHeight="1">
      <c r="B27" s="28"/>
      <c r="C27" s="119" t="str">
        <f>MRS!D6</f>
        <v>Ashok Leyland 66 Seat with driver model 2026 Brand New</v>
      </c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97" t="s">
        <v>90</v>
      </c>
      <c r="G29" s="197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97"/>
      <c r="G30" s="197"/>
    </row>
    <row r="31" spans="2:13" ht="12" customHeight="1">
      <c r="B31" s="28"/>
      <c r="C31" s="22" t="s">
        <v>41</v>
      </c>
      <c r="D31" s="31"/>
      <c r="E31" s="22" t="s">
        <v>39</v>
      </c>
      <c r="F31" s="197"/>
      <c r="G31" s="19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83</v>
      </c>
      <c r="P49" s="78"/>
    </row>
    <row r="50" spans="2:16" s="79" customFormat="1" ht="12" customHeight="1">
      <c r="B50" s="80" t="s">
        <v>55</v>
      </c>
      <c r="C50" s="77" t="s">
        <v>84</v>
      </c>
    </row>
    <row r="51" spans="2:16" s="79" customFormat="1" ht="12" customHeight="1">
      <c r="B51" s="80" t="s">
        <v>55</v>
      </c>
      <c r="C51" s="77" t="s">
        <v>82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55</v>
      </c>
      <c r="C54" s="120" t="s">
        <v>94</v>
      </c>
      <c r="F54" s="121" t="s">
        <v>128</v>
      </c>
      <c r="P54" s="22" t="str">
        <f>UPPER(F54)</f>
        <v>JAFFER MOHAMMED ALSBITI AND PARTNER CO</v>
      </c>
    </row>
    <row r="55" spans="2:16" ht="12" customHeight="1">
      <c r="B55" s="80" t="s">
        <v>55</v>
      </c>
      <c r="C55" s="120" t="s">
        <v>95</v>
      </c>
      <c r="F55" s="121" t="s">
        <v>109</v>
      </c>
    </row>
    <row r="56" spans="2:16" ht="12" customHeight="1">
      <c r="B56" s="80" t="s">
        <v>55</v>
      </c>
      <c r="C56" s="120" t="s">
        <v>96</v>
      </c>
      <c r="F56" s="121" t="s">
        <v>110</v>
      </c>
    </row>
    <row r="57" spans="2:16" ht="12" customHeight="1">
      <c r="B57" s="80" t="s">
        <v>55</v>
      </c>
      <c r="C57" s="120" t="s">
        <v>97</v>
      </c>
      <c r="F57" s="22" t="s">
        <v>111</v>
      </c>
    </row>
    <row r="58" spans="2:16" ht="12" customHeight="1">
      <c r="B58" s="80" t="s">
        <v>55</v>
      </c>
      <c r="C58" s="120" t="s">
        <v>98</v>
      </c>
      <c r="F58" s="22" t="s">
        <v>112</v>
      </c>
    </row>
    <row r="59" spans="2:16" ht="12" customHeight="1">
      <c r="B59" s="80" t="s">
        <v>55</v>
      </c>
      <c r="C59" s="120" t="s">
        <v>99</v>
      </c>
      <c r="F59" s="22" t="s">
        <v>100</v>
      </c>
    </row>
    <row r="60" spans="2:16" ht="12" customHeight="1">
      <c r="B60" s="80"/>
      <c r="C60" s="122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Hameed</v>
      </c>
    </row>
    <row r="68" spans="1:13" ht="18" customHeight="1">
      <c r="B68" s="22" t="s">
        <v>61</v>
      </c>
      <c r="J68" s="22" t="s">
        <v>62</v>
      </c>
      <c r="K68" s="18"/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91</v>
      </c>
      <c r="J70" s="198" t="str">
        <f>C9</f>
        <v>JSC(Jaffar Mohammed Al-Subaiti &amp; Partner Co.</v>
      </c>
      <c r="K70" s="198"/>
      <c r="L70" s="198"/>
      <c r="M70" s="198"/>
    </row>
    <row r="71" spans="1:13" ht="27.95" customHeight="1">
      <c r="A71" s="189" t="s">
        <v>65</v>
      </c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SAC2-DS-PO-0447</v>
      </c>
      <c r="C2" s="201" t="s">
        <v>67</v>
      </c>
      <c r="D2" s="201"/>
      <c r="E2" s="201"/>
      <c r="F2" s="201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46267</v>
      </c>
      <c r="C3" s="47"/>
      <c r="D3" s="48"/>
      <c r="E3" s="202" t="s">
        <v>69</v>
      </c>
      <c r="F3" s="202"/>
      <c r="G3" s="202"/>
      <c r="H3" s="202"/>
      <c r="I3" s="49"/>
    </row>
    <row r="4" spans="1:13" s="51" customFormat="1" ht="28.5" customHeight="1" thickTop="1">
      <c r="A4" s="203" t="s">
        <v>70</v>
      </c>
      <c r="B4" s="205" t="s">
        <v>71</v>
      </c>
      <c r="C4" s="206"/>
      <c r="D4" s="209" t="s">
        <v>72</v>
      </c>
      <c r="E4" s="209" t="s">
        <v>73</v>
      </c>
      <c r="F4" s="211" t="str">
        <f>'PO 1st page'!C9</f>
        <v>JSC(Jaffar Mohammed Al-Subaiti &amp; Partner Co.</v>
      </c>
      <c r="G4" s="212"/>
      <c r="H4" s="213" t="s">
        <v>74</v>
      </c>
      <c r="K4" s="52"/>
      <c r="L4" s="52"/>
      <c r="M4" s="52"/>
    </row>
    <row r="5" spans="1:13" s="51" customFormat="1" ht="21.95" customHeight="1">
      <c r="A5" s="204"/>
      <c r="B5" s="207"/>
      <c r="C5" s="208"/>
      <c r="D5" s="210"/>
      <c r="E5" s="210"/>
      <c r="F5" s="53" t="s">
        <v>75</v>
      </c>
      <c r="G5" s="53" t="s">
        <v>41</v>
      </c>
      <c r="H5" s="214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9" t="str">
        <f>CONCATENATE(MRS!B6," ",MRS!D6)</f>
        <v>Bus with Driver Ashok Leyland 66 Seat with driver model 2026 Brand New</v>
      </c>
      <c r="C6" s="200"/>
      <c r="D6" s="82" t="str">
        <f>+'MRS LIST'!G6</f>
        <v>Hour</v>
      </c>
      <c r="E6" s="83">
        <f>+'MRS LIST'!H6</f>
        <v>1</v>
      </c>
      <c r="F6" s="84">
        <f>+'MRS LIST'!I6</f>
        <v>11500</v>
      </c>
      <c r="G6" s="85">
        <f>+'MRS LIST'!J6</f>
        <v>11500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9"/>
      <c r="C7" s="200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9" t="str">
        <f>CONCATENATE(MRS!B8," ",MRS!D8)</f>
        <v xml:space="preserve"> </v>
      </c>
      <c r="C8" s="200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9"/>
      <c r="C9" s="200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99"/>
      <c r="C10" s="200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9"/>
      <c r="C11" s="200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9"/>
      <c r="C12" s="220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9"/>
      <c r="C13" s="220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9"/>
      <c r="C14" s="220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9"/>
      <c r="C15" s="220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9"/>
      <c r="C16" s="220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9"/>
      <c r="C17" s="220"/>
      <c r="D17" s="90"/>
      <c r="E17" s="91"/>
      <c r="F17" s="92"/>
      <c r="G17" s="93"/>
      <c r="H17" s="94"/>
    </row>
    <row r="18" spans="1:13" s="51" customFormat="1" ht="23.1" customHeight="1">
      <c r="A18" s="215" t="s">
        <v>76</v>
      </c>
      <c r="B18" s="216"/>
      <c r="C18" s="216"/>
      <c r="D18" s="216"/>
      <c r="E18" s="216"/>
      <c r="F18" s="216"/>
      <c r="G18" s="54">
        <f>SUM(G6:G17)</f>
        <v>11500</v>
      </c>
      <c r="H18" s="55"/>
    </row>
    <row r="19" spans="1:13" s="51" customFormat="1" ht="23.1" customHeight="1">
      <c r="A19" s="215" t="s">
        <v>40</v>
      </c>
      <c r="B19" s="216"/>
      <c r="C19" s="216"/>
      <c r="D19" s="216"/>
      <c r="E19" s="216"/>
      <c r="F19" s="216"/>
      <c r="G19" s="54">
        <f>+G18*0.15</f>
        <v>1725</v>
      </c>
      <c r="H19" s="55"/>
    </row>
    <row r="20" spans="1:13" s="51" customFormat="1" ht="24.95" customHeight="1" thickBot="1">
      <c r="A20" s="217" t="s">
        <v>77</v>
      </c>
      <c r="B20" s="218"/>
      <c r="C20" s="218"/>
      <c r="D20" s="218"/>
      <c r="E20" s="218"/>
      <c r="F20" s="218"/>
      <c r="G20" s="56">
        <f>G19+G18</f>
        <v>13225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JSC-9003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9" t="s">
        <v>79</v>
      </c>
      <c r="B24" s="189"/>
      <c r="C24" s="189"/>
      <c r="D24" s="189"/>
      <c r="E24" s="189"/>
      <c r="F24" s="189"/>
      <c r="G24" s="189"/>
      <c r="H24" s="189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2026-09-09T12:29:02Z</cp:lastPrinted>
  <dcterms:created xsi:type="dcterms:W3CDTF">2024-10-20T11:50:19Z</dcterms:created>
  <dcterms:modified xsi:type="dcterms:W3CDTF">2026-09-09T12:30:17Z</dcterms:modified>
</cp:coreProperties>
</file>