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59880E3B-217E-483F-A6F3-F9A878DA4014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K59" i="3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<sst xmlns="http://schemas.openxmlformats.org/spreadsheetml/2006/main" count="158" uniqueCount="124">
  <si>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</si>
  <si>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</si>
  <si>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</si>
  <si>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</si>
  <si>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</si>
  <si>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</si>
  <si>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</si>
  <si>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</si>
  <si>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</si>
  <si>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</si>
  <si>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</si>
  <si>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</si>
  <si>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</si>
  <si>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</si>
  <si>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</si>
  <si>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</si>
  <si>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</si>
  <si>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</si>
  <si>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</si>
  <si>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</si>
  <si>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</si>
  <si>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</si>
  <si>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</si>
  <si>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</si>
  <si>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</si>
  <si>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</si>
  <si>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</si>
  <si>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</si>
  <si>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</si>
  <si>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</si>
  <si>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</si>
  <si>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</si>
  <si>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</si>
  <si>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</si>
  <si>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</si>
  <si>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</si>
  <si>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</si>
  <si>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</si>
  <si>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</si>
  <si>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</si>
  <si>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</si>
  <si>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</si>
  <si>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</si>
  <si>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</si>
  <si>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</si>
  <si>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</si>
  <si>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</si>
  <si>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</si>
  <si>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</si>
  <si>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</si>
  <si>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</si>
  <si>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</si>
  <si>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</si>
  <si>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</si>
  <si>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</si>
  <si>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</si>
  <si>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</si>
  <si>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</si>
  <si>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</si>
  <si>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</si>
  <si>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</si>
  <si>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</si>
  <si>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</si>
  <si>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</si>
  <si>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</si>
  <si>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</si>
  <si>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</si>
  <si>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</si>
  <si>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</si>
  <si>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</si>
  <si>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</si>
  <si>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</si>
  <si>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</si>
  <si>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</si>
  <si>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</si>
  <si>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</si>
  <si>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</si>
  <si>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</si>
  <si>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</si>
  <si>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</si>
  <si>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</si>
  <si>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</si>
  <si>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</si>
  <si>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</si>
  <si>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</si>
  <si>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</si>
  <si>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</si>
  <si>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</si>
  <si>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</si>
  <si>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</si>
  <si>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</si>
  <si>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</si>
  <si>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</si>
  <si>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</si>
  <si>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</si>
  <si>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</si>
  <si>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</si>
  <si>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</si>
  <si>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</si>
  <si>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</si>
  <si>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</si>
  <si>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</si>
  <si>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</si>
  <si>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</si>
  <si>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</si>
  <si>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</si>
  <si>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</si>
  <si>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</si>
  <si>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</si>
  <si>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</si>
  <si>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</si>
  <si>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</si>
  <si>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</si>
  <si>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Crane</t>
  </si>
  <si>
    <t>RT Crane 100 Ton</t>
  </si>
  <si>
    <t>Crane Mob &amp; De-Mob. Charge</t>
  </si>
  <si>
    <t>UT-EQUO-25-2734</t>
  </si>
  <si>
    <t>100 Ton RT Crane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</si>
  <si>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</si>
  <si>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</si>
  <si>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</si>
  <si>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</si>
  <si>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-MRS-0030</t>
    </r>
  </si>
  <si>
    <t>310157378500003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</si>
</sst>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Q12" sqref="Q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119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120</v>
      </c>
      <c r="E2" s="101"/>
      <c r="F2" s="101"/>
      <c r="G2" s="101"/>
      <c r="H2" s="101"/>
      <c r="I2" s="4"/>
      <c r="J2" s="158" t="s">
        <v>118</v>
      </c>
      <c r="K2" s="159"/>
      <c r="L2" s="160"/>
    </row>
    <row r="3" spans="1:19" ht="20.100000000000001" customHeight="1">
      <c r="A3" s="3" t="s">
        <v>122</v>
      </c>
      <c r="B3" s="101"/>
      <c r="C3" s="101"/>
      <c r="D3" s="101"/>
      <c r="E3" s="145">
        <f>+L3</f>
        <v>45693</v>
      </c>
      <c r="F3" s="145"/>
      <c r="G3" s="145"/>
      <c r="H3" s="145"/>
      <c r="I3" s="145"/>
      <c r="J3" s="101"/>
      <c r="K3" s="101"/>
      <c r="L3" s="122">
        <v>45693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97</v>
      </c>
      <c r="J4" s="146" t="s">
        <v>98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2.5" customHeight="1">
      <c r="A6" s="5">
        <f t="shared" ref="A6:A15" si="0">ROW(A1)</f>
        <v>1</v>
      </c>
      <c r="B6" s="130" t="s">
        <v>113</v>
      </c>
      <c r="C6" s="131"/>
      <c r="D6" s="132" t="s">
        <v>114</v>
      </c>
      <c r="E6" s="133"/>
      <c r="F6" s="134"/>
      <c r="G6" s="111" t="s">
        <v>93</v>
      </c>
      <c r="H6" s="112">
        <v>1</v>
      </c>
      <c r="I6" s="113">
        <v>100000</v>
      </c>
      <c r="J6" s="113">
        <f>H6*I6</f>
        <v>100000</v>
      </c>
      <c r="K6" s="114" t="s">
        <v>103</v>
      </c>
      <c r="L6" s="115" t="s">
        <v>111</v>
      </c>
      <c r="S6" s="106"/>
    </row>
    <row r="7" spans="1:19" ht="22.5" customHeight="1">
      <c r="A7" s="5">
        <f t="shared" si="0"/>
        <v>2</v>
      </c>
      <c r="B7" s="130" t="s">
        <v>115</v>
      </c>
      <c r="C7" s="131"/>
      <c r="D7" s="141" t="s">
        <v>100</v>
      </c>
      <c r="E7" s="133"/>
      <c r="F7" s="134"/>
      <c r="G7" s="111" t="s">
        <v>101</v>
      </c>
      <c r="H7" s="112">
        <v>1</v>
      </c>
      <c r="I7" s="113">
        <v>12000</v>
      </c>
      <c r="J7" s="113">
        <f>H7*I7</f>
        <v>12000</v>
      </c>
      <c r="K7" s="114" t="s">
        <v>103</v>
      </c>
      <c r="L7" s="115" t="s">
        <v>112</v>
      </c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112000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SAC2-DS-MRS-0030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45693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94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Crane</v>
      </c>
      <c r="C6" s="167"/>
      <c r="D6" s="168" t="str">
        <f>MRS!D6</f>
        <v>RT Crane 100 Ton</v>
      </c>
      <c r="E6" s="169"/>
      <c r="F6" s="170"/>
      <c r="G6" s="103" t="str">
        <f>MRS!G6</f>
        <v>Month</v>
      </c>
      <c r="H6" s="103">
        <f>MRS!H6</f>
        <v>1</v>
      </c>
      <c r="I6" s="104">
        <f>MRS!I6</f>
        <v>100000</v>
      </c>
      <c r="J6" s="104">
        <f>MRS!J6</f>
        <v>100000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Crane Mob &amp; De-Mob. Charge</v>
      </c>
      <c r="C7" s="167"/>
      <c r="D7" s="168" t="str">
        <f>MRS!D7</f>
        <v>Mob. &amp; De-Mob. / per unit - lump sum</v>
      </c>
      <c r="E7" s="169"/>
      <c r="F7" s="170"/>
      <c r="G7" s="103" t="str">
        <f>MRS!G7</f>
        <v>L / S</v>
      </c>
      <c r="H7" s="103">
        <f>MRS!H7</f>
        <v>1</v>
      </c>
      <c r="I7" s="104">
        <f>MRS!I7</f>
        <v>12000</v>
      </c>
      <c r="J7" s="104">
        <f>MRS!J7</f>
        <v>12000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2" zoomScale="130" zoomScaleSheetLayoutView="130" workbookViewId="0">
      <selection activeCell="D12" sqref="D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45693</v>
      </c>
      <c r="L10" s="175"/>
      <c r="M10" s="175"/>
    </row>
    <row r="11" spans="2:13" s="39" customFormat="1">
      <c r="B11" s="72"/>
      <c r="C11" s="75" t="s">
        <v>35</v>
      </c>
      <c r="D11" s="76" t="s">
        <v>123</v>
      </c>
      <c r="J11" s="39" t="s">
        <v>36</v>
      </c>
      <c r="K11" s="176" t="str">
        <f>SUBSTITUTE(SUBSTITUTE(+MRS!A3,"  MRS No : ",""),"-MRS","-PO")</f>
        <v>SAC2-DS-PO-0030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116</v>
      </c>
    </row>
    <row r="15" spans="2:13" s="39" customFormat="1">
      <c r="B15" s="72"/>
      <c r="C15" s="77" t="s">
        <v>107</v>
      </c>
      <c r="J15" s="39" t="s">
        <v>41</v>
      </c>
      <c r="K15" s="78">
        <v>45693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117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121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F14" sqref="F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SAC2-DS-PO-0030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45693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UTCC(United Technology Contracting Co. Ltd.)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Crane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100000</v>
      </c>
      <c r="G6" s="89">
        <f>+'MRS LIST'!J6</f>
        <v>100000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Crane Mob &amp; De-Mob. Charge</v>
      </c>
      <c r="C7" s="203"/>
      <c r="D7" s="86" t="str">
        <f>+'MRS LIST'!G7</f>
        <v>L / S</v>
      </c>
      <c r="E7" s="87">
        <f>+'MRS LIST'!H7</f>
        <v>1</v>
      </c>
      <c r="F7" s="88">
        <f>+'MRS LIST'!I7</f>
        <v>12000</v>
      </c>
      <c r="G7" s="89">
        <f>+'MRS LIST'!J7</f>
        <v>12000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112000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16800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128800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UT-EQUO-25-2734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2025-03-24T03:54:43Z</cp:lastPrinted>
  <dcterms:created xsi:type="dcterms:W3CDTF">2024-10-20T11:50:19Z</dcterms:created>
  <dcterms:modified xsi:type="dcterms:W3CDTF">2025-03-24T03:54:59Z</dcterms:modified>
</cp:coreProperties>
</file>