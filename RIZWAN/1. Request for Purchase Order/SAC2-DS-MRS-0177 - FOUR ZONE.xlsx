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0102D6B-DD7C-46EC-A312-5B86112B66F0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4" i="3" l="1"/>
  <c r="B6" i="4" l="1"/>
  <c r="J7" i="1"/>
  <c r="J7" i="2" s="1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<sst xmlns="http://schemas.openxmlformats.org/spreadsheetml/2006/main" count="172" uniqueCount="131">
  <si>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</si>
  <si>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</si>
  <si>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</si>
  <si>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</si>
  <si>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</si>
  <si>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</si>
  <si>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</si>
  <si>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</si>
  <si>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</si>
  <si>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</si>
  <si>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</si>
  <si>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</si>
  <si>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</si>
  <si>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</si>
  <si>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</si>
  <si>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</si>
  <si>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</si>
  <si>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</si>
  <si>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</si>
  <si>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</si>
  <si>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</si>
  <si>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</si>
  <si>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</si>
  <si>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</si>
  <si>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</si>
  <si>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</si>
  <si>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</si>
  <si>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</si>
  <si>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</si>
  <si>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</si>
  <si>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</si>
  <si>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</si>
  <si>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</si>
  <si>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</si>
  <si>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</si>
  <si>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</si>
  <si>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</si>
  <si>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</si>
  <si>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</si>
  <si>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</si>
  <si>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</si>
  <si>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</si>
  <si>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</si>
  <si>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</si>
  <si>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</si>
  <si>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</si>
  <si>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</si>
  <si>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</si>
  <si>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</si>
  <si>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</si>
  <si>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</si>
  <si>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</si>
  <si>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</si>
  <si>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</si>
  <si>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</si>
  <si>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</si>
  <si>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</si>
  <si>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</si>
  <si>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</si>
  <si>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</si>
  <si>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</si>
  <si>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</si>
  <si>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</si>
  <si>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</si>
  <si>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</si>
  <si>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</si>
  <si>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</si>
  <si>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</si>
  <si>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</si>
  <si>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</si>
  <si>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</si>
  <si>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</si>
  <si>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</si>
  <si>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</si>
  <si>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</si>
  <si>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</si>
  <si>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</si>
  <si>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</si>
  <si>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</si>
  <si>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</si>
  <si>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</si>
  <si>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</si>
  <si>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</si>
  <si>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</si>
  <si>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</si>
  <si>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</si>
  <si>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</si>
  <si>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</si>
  <si>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</si>
  <si>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</si>
  <si>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</si>
  <si>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</si>
  <si>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</si>
  <si>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</si>
  <si>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</si>
  <si>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</si>
  <si>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</si>
  <si>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</si>
  <si>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Bldg No . 7766 Al Dana, Al Jubail 35514, Kingdom of Saudi Arabia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</si>
  <si>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</si>
  <si>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</si>
  <si>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</si>
  <si>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</si>
  <si>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</si>
  <si>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</si>
  <si>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</si>
  <si>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</si>
  <si>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Manlift</t>
  </si>
  <si>
    <t>Branch of Hyundai Engineering and Const. Co., Ltd. (HDEC)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</si>
  <si>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</si>
  <si>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-MRS-0177</t>
    </r>
  </si>
  <si>
    <t>26 Mtr Articulated with IPAF Certified Operator</t>
  </si>
  <si>
    <t>FZ-OFFR-2025-1775</t>
  </si>
  <si>
    <t>Shahid</t>
  </si>
  <si>
    <t xml:space="preserve">+966 57 022 0960 / info@fourzonecontracting.com </t>
  </si>
  <si>
    <t>Mobile : +966 57 022 0960</t>
  </si>
  <si>
    <t>26 Mtr Articulated Manlift with IPAF Certified Operator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</si>
  <si>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</si>
  <si>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</si>
  <si>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</si>
  <si>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</si>
  <si>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</si>
  <si>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</si>
  <si>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</si>
  <si>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</si>
  <si>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</si>
  <si>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FOUR ZONE CONTRACTING EST.</t>
  </si>
  <si>
    <t>SA3410000001400013788710</t>
  </si>
  <si>
    <t>THE SAUDI NATIONAL BANK</t>
  </si>
  <si>
    <t>NCBKSAJE</t>
  </si>
  <si>
    <t>Sales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</si>
</sst>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4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100</v>
      </c>
      <c r="B1" s="111"/>
      <c r="C1" s="111"/>
      <c r="D1" s="111"/>
      <c r="E1" s="111"/>
      <c r="F1" s="111"/>
      <c r="G1" s="1"/>
      <c r="J1" s="134" t="s">
        <v>101</v>
      </c>
      <c r="K1" s="135"/>
      <c r="L1" s="136"/>
    </row>
    <row r="2" spans="1:19" ht="20.100000000000001" customHeight="1">
      <c r="A2" s="3" t="s">
        <v>102</v>
      </c>
      <c r="B2" s="102"/>
      <c r="C2" s="102"/>
      <c r="D2" s="3" t="s">
        <v>103</v>
      </c>
      <c r="E2" s="102"/>
      <c r="F2" s="102"/>
      <c r="G2" s="102"/>
      <c r="H2" s="102"/>
      <c r="I2" s="4"/>
      <c r="J2" s="137" t="s">
        <v>104</v>
      </c>
      <c r="K2" s="138"/>
      <c r="L2" s="139"/>
    </row>
    <row r="3" spans="1:19" ht="20.100000000000001" customHeight="1">
      <c r="A3" s="3" t="s">
        <v>110</v>
      </c>
      <c r="B3" s="102"/>
      <c r="C3" s="102"/>
      <c r="D3" s="102"/>
      <c r="E3" s="140">
        <f>+L3</f>
        <v>45999</v>
      </c>
      <c r="F3" s="140"/>
      <c r="G3" s="140"/>
      <c r="H3" s="140"/>
      <c r="I3" s="140"/>
      <c r="J3" s="102"/>
      <c r="K3" s="102"/>
      <c r="L3" s="123">
        <v>45999</v>
      </c>
      <c r="M3" s="4"/>
    </row>
    <row r="4" spans="1:19" ht="15.95" customHeight="1">
      <c r="A4" s="141" t="s">
        <v>1</v>
      </c>
      <c r="B4" s="142" t="s">
        <v>2</v>
      </c>
      <c r="C4" s="142"/>
      <c r="D4" s="143" t="s">
        <v>3</v>
      </c>
      <c r="E4" s="144"/>
      <c r="F4" s="145"/>
      <c r="G4" s="149" t="s">
        <v>4</v>
      </c>
      <c r="H4" s="151" t="s">
        <v>5</v>
      </c>
      <c r="I4" s="151" t="s">
        <v>94</v>
      </c>
      <c r="J4" s="141" t="s">
        <v>95</v>
      </c>
      <c r="K4" s="151" t="s">
        <v>0</v>
      </c>
      <c r="L4" s="142" t="s">
        <v>6</v>
      </c>
    </row>
    <row r="5" spans="1:19" ht="15.95" customHeight="1">
      <c r="A5" s="141"/>
      <c r="B5" s="142"/>
      <c r="C5" s="142"/>
      <c r="D5" s="146"/>
      <c r="E5" s="147"/>
      <c r="F5" s="148"/>
      <c r="G5" s="150"/>
      <c r="H5" s="152"/>
      <c r="I5" s="152"/>
      <c r="J5" s="141"/>
      <c r="K5" s="152"/>
      <c r="L5" s="142"/>
    </row>
    <row r="6" spans="1:19" ht="22.5" customHeight="1">
      <c r="A6" s="5">
        <f t="shared" ref="A6:A15" si="0">ROW(A1)</f>
        <v>1</v>
      </c>
      <c r="B6" s="153" t="s">
        <v>107</v>
      </c>
      <c r="C6" s="154"/>
      <c r="D6" s="155" t="s">
        <v>111</v>
      </c>
      <c r="E6" s="156"/>
      <c r="F6" s="157"/>
      <c r="G6" s="112" t="s">
        <v>89</v>
      </c>
      <c r="H6" s="113">
        <v>1</v>
      </c>
      <c r="I6" s="114">
        <v>21000</v>
      </c>
      <c r="J6" s="114">
        <f>H6*I6</f>
        <v>21000</v>
      </c>
      <c r="K6" s="115" t="s">
        <v>96</v>
      </c>
      <c r="L6" s="116" t="s">
        <v>99</v>
      </c>
      <c r="S6" s="107"/>
    </row>
    <row r="7" spans="1:19" ht="22.5" customHeight="1">
      <c r="A7" s="5">
        <f t="shared" si="0"/>
        <v>2</v>
      </c>
      <c r="B7" s="153"/>
      <c r="C7" s="154"/>
      <c r="D7" s="158"/>
      <c r="E7" s="156"/>
      <c r="F7" s="157"/>
      <c r="G7" s="112"/>
      <c r="H7" s="113"/>
      <c r="I7" s="114"/>
      <c r="J7" s="114">
        <f>H7*I7</f>
        <v>0</v>
      </c>
      <c r="K7" s="115"/>
      <c r="L7" s="116"/>
      <c r="S7" s="107"/>
    </row>
    <row r="8" spans="1:19" ht="22.5" customHeight="1">
      <c r="A8" s="5">
        <f t="shared" si="0"/>
        <v>3</v>
      </c>
      <c r="B8" s="153"/>
      <c r="C8" s="154"/>
      <c r="D8" s="158"/>
      <c r="E8" s="156"/>
      <c r="F8" s="157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53"/>
      <c r="C9" s="154"/>
      <c r="D9" s="155"/>
      <c r="E9" s="156"/>
      <c r="F9" s="157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9"/>
      <c r="C10" s="159"/>
      <c r="D10" s="160"/>
      <c r="E10" s="160"/>
      <c r="F10" s="160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53"/>
      <c r="C11" s="154"/>
      <c r="D11" s="155"/>
      <c r="E11" s="156"/>
      <c r="F11" s="157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9"/>
      <c r="C12" s="159"/>
      <c r="D12" s="160"/>
      <c r="E12" s="160"/>
      <c r="F12" s="160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53"/>
      <c r="C13" s="154"/>
      <c r="D13" s="155"/>
      <c r="E13" s="156"/>
      <c r="F13" s="157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53"/>
      <c r="C14" s="154"/>
      <c r="D14" s="155"/>
      <c r="E14" s="156"/>
      <c r="F14" s="157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53"/>
      <c r="C15" s="154"/>
      <c r="D15" s="155"/>
      <c r="E15" s="156"/>
      <c r="F15" s="157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61" t="s">
        <v>7</v>
      </c>
      <c r="B16" s="162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21000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3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64"/>
      <c r="T19" s="14"/>
      <c r="U19" s="15"/>
      <c r="V19" s="14"/>
    </row>
    <row r="20" spans="1:22" ht="17.100000000000001" customHeight="1">
      <c r="O20" s="11"/>
      <c r="P20" s="11"/>
      <c r="Q20" s="11"/>
      <c r="S20" s="165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66" t="s">
        <v>16</v>
      </c>
      <c r="Q21" s="166" t="s">
        <v>17</v>
      </c>
    </row>
    <row r="22" spans="1:22" ht="18" customHeight="1">
      <c r="O22" s="18" t="s">
        <v>18</v>
      </c>
      <c r="P22" s="167"/>
      <c r="Q22" s="167"/>
      <c r="S22" s="163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64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65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68"/>
      <c r="P27" s="168"/>
      <c r="Q27" s="168"/>
    </row>
    <row r="28" spans="1:22" ht="19.899999999999999" customHeight="1">
      <c r="O28" s="168"/>
      <c r="P28" s="168"/>
      <c r="Q28" s="16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6" t="s">
        <v>20</v>
      </c>
    </row>
    <row r="41" spans="15:22" ht="19.899999999999999" customHeight="1">
      <c r="T41" s="167"/>
    </row>
    <row r="42" spans="15:22" ht="64.900000000000006" customHeight="1">
      <c r="T42" s="14"/>
    </row>
    <row r="46" spans="15:22" ht="21" customHeight="1">
      <c r="O46" s="166" t="s">
        <v>20</v>
      </c>
      <c r="P46" s="166" t="s">
        <v>20</v>
      </c>
      <c r="Q46" s="166" t="s">
        <v>20</v>
      </c>
      <c r="T46" s="166" t="s">
        <v>21</v>
      </c>
      <c r="U46" s="166" t="s">
        <v>12</v>
      </c>
      <c r="V46" s="166" t="s">
        <v>20</v>
      </c>
    </row>
    <row r="47" spans="15:22" ht="21" customHeight="1">
      <c r="O47" s="167"/>
      <c r="P47" s="167"/>
      <c r="Q47" s="167"/>
      <c r="T47" s="165"/>
      <c r="U47" s="165"/>
      <c r="V47" s="16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6" t="s">
        <v>20</v>
      </c>
      <c r="P50" s="166" t="s">
        <v>20</v>
      </c>
      <c r="Q50" s="166" t="s">
        <v>20</v>
      </c>
      <c r="T50" s="166" t="s">
        <v>12</v>
      </c>
      <c r="U50" s="166" t="s">
        <v>21</v>
      </c>
      <c r="V50" s="166" t="s">
        <v>20</v>
      </c>
    </row>
    <row r="51" spans="15:22" ht="21" customHeight="1">
      <c r="O51" s="167"/>
      <c r="P51" s="167"/>
      <c r="Q51" s="167"/>
      <c r="T51" s="165"/>
      <c r="U51" s="165"/>
      <c r="V51" s="16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69" t="str">
        <f>+MRS!J1</f>
        <v>DAESHIN PLANT</v>
      </c>
      <c r="K1" s="170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1" t="str">
        <f>+MRS!J2</f>
        <v>Subcontract name (SAC2-SC-IK-SMP-01)</v>
      </c>
      <c r="K2" s="172"/>
    </row>
    <row r="3" spans="1:18" ht="24.95" customHeight="1">
      <c r="A3" s="3" t="str">
        <f>+MRS!A3</f>
        <v xml:space="preserve">  MRS No : SAC2-DS-MRS-0177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45999</v>
      </c>
    </row>
    <row r="4" spans="1:18" ht="15.95" customHeight="1">
      <c r="A4" s="173" t="s">
        <v>1</v>
      </c>
      <c r="B4" s="174" t="s">
        <v>22</v>
      </c>
      <c r="C4" s="174"/>
      <c r="D4" s="173" t="s">
        <v>3</v>
      </c>
      <c r="E4" s="173"/>
      <c r="F4" s="173"/>
      <c r="G4" s="174" t="s">
        <v>4</v>
      </c>
      <c r="H4" s="173" t="s">
        <v>90</v>
      </c>
      <c r="I4" s="173" t="s">
        <v>23</v>
      </c>
      <c r="J4" s="173" t="s">
        <v>24</v>
      </c>
      <c r="K4" s="174" t="s">
        <v>6</v>
      </c>
    </row>
    <row r="5" spans="1:18" ht="15.95" customHeight="1">
      <c r="A5" s="173"/>
      <c r="B5" s="174"/>
      <c r="C5" s="174"/>
      <c r="D5" s="173"/>
      <c r="E5" s="173"/>
      <c r="F5" s="173"/>
      <c r="G5" s="174"/>
      <c r="H5" s="173"/>
      <c r="I5" s="173"/>
      <c r="J5" s="173"/>
      <c r="K5" s="174"/>
    </row>
    <row r="6" spans="1:18" ht="105" customHeight="1">
      <c r="A6" s="21">
        <f>+MRS!A6</f>
        <v>1</v>
      </c>
      <c r="B6" s="175" t="str">
        <f>MRS!B6</f>
        <v>Manlift</v>
      </c>
      <c r="C6" s="176"/>
      <c r="D6" s="177" t="str">
        <f>MRS!D6</f>
        <v>26 Mtr Articulated with IPAF Certified Operator</v>
      </c>
      <c r="E6" s="178"/>
      <c r="F6" s="179"/>
      <c r="G6" s="104" t="str">
        <f>MRS!G6</f>
        <v>Month</v>
      </c>
      <c r="H6" s="104">
        <f>MRS!H6</f>
        <v>1</v>
      </c>
      <c r="I6" s="105">
        <f>MRS!I6</f>
        <v>21000</v>
      </c>
      <c r="J6" s="105">
        <f>MRS!J6</f>
        <v>21000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75">
        <f>MRS!B7</f>
        <v>0</v>
      </c>
      <c r="C7" s="176"/>
      <c r="D7" s="177">
        <f>MRS!D7</f>
        <v>0</v>
      </c>
      <c r="E7" s="178"/>
      <c r="F7" s="179"/>
      <c r="G7" s="104">
        <f>MRS!G7</f>
        <v>0</v>
      </c>
      <c r="H7" s="104">
        <f>MRS!H7</f>
        <v>0</v>
      </c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75">
        <f>MRS!B8</f>
        <v>0</v>
      </c>
      <c r="C8" s="176"/>
      <c r="D8" s="177">
        <f>MRS!D8</f>
        <v>0</v>
      </c>
      <c r="E8" s="178"/>
      <c r="F8" s="179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80"/>
      <c r="C9" s="181"/>
      <c r="D9" s="182"/>
      <c r="E9" s="183"/>
      <c r="F9" s="184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80"/>
      <c r="C10" s="181"/>
      <c r="D10" s="182"/>
      <c r="E10" s="183"/>
      <c r="F10" s="184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80"/>
      <c r="C11" s="181"/>
      <c r="D11" s="182"/>
      <c r="E11" s="183"/>
      <c r="F11" s="184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80"/>
      <c r="C12" s="181"/>
      <c r="D12" s="182"/>
      <c r="E12" s="183"/>
      <c r="F12" s="184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80"/>
      <c r="C13" s="181"/>
      <c r="D13" s="182"/>
      <c r="E13" s="183"/>
      <c r="F13" s="184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80"/>
      <c r="C14" s="181"/>
      <c r="D14" s="182"/>
      <c r="E14" s="183"/>
      <c r="F14" s="184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80"/>
      <c r="C15" s="181"/>
      <c r="D15" s="182"/>
      <c r="E15" s="183"/>
      <c r="F15" s="184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80"/>
      <c r="C16" s="181"/>
      <c r="D16" s="182"/>
      <c r="E16" s="183"/>
      <c r="F16" s="184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80"/>
      <c r="C17" s="181"/>
      <c r="D17" s="182"/>
      <c r="E17" s="183"/>
      <c r="F17" s="184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SheetLayoutView="130" workbookViewId="0">
      <selection activeCell="K69" sqref="K6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105</v>
      </c>
      <c r="D9" s="39"/>
      <c r="E9" s="39"/>
    </row>
    <row r="10" spans="2:13" s="39" customFormat="1">
      <c r="B10" s="72"/>
      <c r="C10" s="39" t="s">
        <v>31</v>
      </c>
      <c r="D10" s="36">
        <v>2055133627</v>
      </c>
      <c r="J10" s="39" t="s">
        <v>32</v>
      </c>
      <c r="K10" s="126">
        <f>MRS!L3</f>
        <v>45999</v>
      </c>
      <c r="L10" s="127"/>
      <c r="M10" s="127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28" t="str">
        <f>SUBSTITUTE(SUBSTITUTE(+MRS!A3,"  MRS No : ",""),"-MRS","-PO")</f>
        <v>SAC2-DS-PO-0177</v>
      </c>
      <c r="L11" s="128"/>
      <c r="M11" s="128"/>
    </row>
    <row r="12" spans="2:13" s="39" customFormat="1">
      <c r="B12" s="72"/>
      <c r="C12" s="75" t="s">
        <v>35</v>
      </c>
      <c r="D12" s="39" t="s">
        <v>113</v>
      </c>
      <c r="J12" s="39" t="s">
        <v>36</v>
      </c>
    </row>
    <row r="13" spans="2:13" s="39" customFormat="1">
      <c r="B13" s="72"/>
      <c r="C13" s="77"/>
      <c r="D13" s="76" t="s">
        <v>114</v>
      </c>
      <c r="J13" s="39" t="s">
        <v>37</v>
      </c>
    </row>
    <row r="14" spans="2:13" s="39" customFormat="1">
      <c r="B14" s="72"/>
      <c r="C14" s="77" t="s">
        <v>98</v>
      </c>
      <c r="J14" s="39" t="s">
        <v>38</v>
      </c>
      <c r="K14" s="39" t="s">
        <v>112</v>
      </c>
    </row>
    <row r="15" spans="2:13" s="39" customFormat="1">
      <c r="B15" s="72"/>
      <c r="C15" s="77" t="s">
        <v>115</v>
      </c>
      <c r="J15" s="39" t="s">
        <v>39</v>
      </c>
      <c r="K15" s="78">
        <v>45935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29" t="s">
        <v>40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</row>
    <row r="19" spans="2:13" ht="12" customHeight="1"/>
    <row r="20" spans="2:13" s="31" customFormat="1" ht="12" customHeight="1">
      <c r="B20" s="130" t="s">
        <v>41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</row>
    <row r="21" spans="2:13" s="31" customFormat="1" ht="12" customHeight="1">
      <c r="B21" s="130" t="s">
        <v>42</v>
      </c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</row>
    <row r="22" spans="2:13" s="31" customFormat="1" ht="12" customHeight="1">
      <c r="B22" s="130" t="s">
        <v>43</v>
      </c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</row>
    <row r="23" spans="2:13" ht="6.95" customHeight="1"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</row>
    <row r="24" spans="2:13" ht="6.95" customHeight="1"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207" t="s">
        <v>116</v>
      </c>
      <c r="M26" s="79" t="s">
        <v>45</v>
      </c>
    </row>
    <row r="27" spans="2:13" ht="11.1" customHeight="1">
      <c r="B27" s="32"/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33" t="s">
        <v>99</v>
      </c>
      <c r="G29" s="133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33"/>
      <c r="G30" s="133"/>
    </row>
    <row r="31" spans="2:13" ht="12" customHeight="1">
      <c r="B31" s="32"/>
      <c r="C31" s="26" t="s">
        <v>50</v>
      </c>
      <c r="D31" s="35"/>
      <c r="E31" s="26" t="s">
        <v>48</v>
      </c>
      <c r="F31" s="133"/>
      <c r="G31" s="133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106</v>
      </c>
      <c r="P49" s="82"/>
    </row>
    <row r="50" spans="2:16" s="83" customFormat="1" ht="12" customHeight="1">
      <c r="B50" s="84" t="s">
        <v>64</v>
      </c>
      <c r="C50" s="81" t="s">
        <v>92</v>
      </c>
    </row>
    <row r="51" spans="2:16" s="83" customFormat="1" ht="12" customHeight="1">
      <c r="B51" s="84" t="s">
        <v>64</v>
      </c>
      <c r="C51" s="81" t="s">
        <v>91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117</v>
      </c>
    </row>
    <row r="54" spans="2:16" ht="12" customHeight="1">
      <c r="B54" s="84" t="s">
        <v>64</v>
      </c>
      <c r="C54" s="208" t="s">
        <v>118</v>
      </c>
      <c r="F54" s="26" t="s">
        <v>126</v>
      </c>
      <c r="P54" s="26" t="str">
        <f>UPPER(F54)</f>
        <v>FOUR ZONE CONTRACTING EST.</v>
      </c>
    </row>
    <row r="55" spans="2:16" ht="12" customHeight="1">
      <c r="B55" s="84" t="s">
        <v>64</v>
      </c>
      <c r="C55" s="208" t="s">
        <v>119</v>
      </c>
      <c r="F55" s="209" t="s">
        <v>127</v>
      </c>
    </row>
    <row r="56" spans="2:16" ht="12" customHeight="1">
      <c r="B56" s="84" t="s">
        <v>64</v>
      </c>
      <c r="C56" s="208" t="s">
        <v>120</v>
      </c>
      <c r="F56" s="209" t="s">
        <v>127</v>
      </c>
    </row>
    <row r="57" spans="2:16" ht="12" customHeight="1">
      <c r="B57" s="84" t="s">
        <v>64</v>
      </c>
      <c r="C57" s="208" t="s">
        <v>121</v>
      </c>
      <c r="F57" s="26" t="s">
        <v>128</v>
      </c>
    </row>
    <row r="58" spans="2:16" ht="12" customHeight="1">
      <c r="B58" s="84" t="s">
        <v>64</v>
      </c>
      <c r="C58" s="208" t="s">
        <v>122</v>
      </c>
      <c r="F58" s="26" t="s">
        <v>129</v>
      </c>
    </row>
    <row r="59" spans="2:16" ht="12" customHeight="1">
      <c r="B59" s="84" t="s">
        <v>64</v>
      </c>
      <c r="C59" s="208" t="s">
        <v>123</v>
      </c>
      <c r="F59" s="26" t="s">
        <v>124</v>
      </c>
    </row>
    <row r="60" spans="2:16" ht="12" customHeight="1">
      <c r="B60" s="84"/>
      <c r="C60" s="208" t="s">
        <v>125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65</v>
      </c>
      <c r="J64" s="32" t="s">
        <v>66</v>
      </c>
    </row>
    <row r="65" spans="1:13" ht="42.75" customHeight="1"/>
    <row r="66" spans="1:13" ht="18" customHeight="1">
      <c r="B66" s="26" t="s">
        <v>67</v>
      </c>
      <c r="J66" s="26" t="s">
        <v>67</v>
      </c>
    </row>
    <row r="67" spans="1:13" ht="18" customHeight="1">
      <c r="B67" s="26" t="s">
        <v>68</v>
      </c>
      <c r="J67" s="26" t="s">
        <v>69</v>
      </c>
      <c r="K67" s="22" t="str">
        <f>UPPER(D12)</f>
        <v>SHAHID</v>
      </c>
    </row>
    <row r="68" spans="1:13" ht="18" customHeight="1">
      <c r="B68" s="26" t="s">
        <v>70</v>
      </c>
      <c r="J68" s="26" t="s">
        <v>71</v>
      </c>
      <c r="K68" s="22" t="s">
        <v>130</v>
      </c>
    </row>
    <row r="69" spans="1:13" ht="15" customHeight="1">
      <c r="B69" s="26" t="s">
        <v>72</v>
      </c>
      <c r="J69" s="26" t="s">
        <v>73</v>
      </c>
    </row>
    <row r="70" spans="1:13" s="28" customFormat="1" ht="15" customHeight="1">
      <c r="B70" s="25" t="s">
        <v>108</v>
      </c>
      <c r="J70" s="25" t="str">
        <f>C9</f>
        <v>FZCE(Four Zone Contracting Est.)</v>
      </c>
    </row>
    <row r="71" spans="1:13" ht="27.95" customHeight="1">
      <c r="A71" s="125" t="s">
        <v>74</v>
      </c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SAC2-DS-PO-0177</v>
      </c>
      <c r="C2" s="187" t="s">
        <v>76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45999</v>
      </c>
      <c r="C3" s="51"/>
      <c r="D3" s="52"/>
      <c r="E3" s="188" t="s">
        <v>78</v>
      </c>
      <c r="F3" s="188"/>
      <c r="G3" s="188"/>
      <c r="H3" s="188"/>
      <c r="I3" s="53"/>
    </row>
    <row r="4" spans="1:13" s="55" customFormat="1" ht="28.5" customHeight="1" thickTop="1">
      <c r="A4" s="189" t="s">
        <v>79</v>
      </c>
      <c r="B4" s="191" t="s">
        <v>80</v>
      </c>
      <c r="C4" s="192"/>
      <c r="D4" s="195" t="s">
        <v>81</v>
      </c>
      <c r="E4" s="195" t="s">
        <v>82</v>
      </c>
      <c r="F4" s="197" t="str">
        <f>'PO 1st page'!C9</f>
        <v>FZCE(Four Zone Contracting Est.)</v>
      </c>
      <c r="G4" s="198"/>
      <c r="H4" s="199" t="s">
        <v>83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84</v>
      </c>
      <c r="G5" s="57" t="s">
        <v>50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CONCATENATE(MRS!B6," ",MRS!D6)</f>
        <v>Manlift 26 Mtr Articulated with IPAF Certified Operator</v>
      </c>
      <c r="C6" s="202"/>
      <c r="D6" s="86" t="str">
        <f>+'MRS LIST'!G6</f>
        <v>Month</v>
      </c>
      <c r="E6" s="87">
        <f>+'MRS LIST'!H6</f>
        <v>1</v>
      </c>
      <c r="F6" s="88">
        <f>+'MRS LIST'!I6</f>
        <v>21000</v>
      </c>
      <c r="G6" s="89">
        <f>+'MRS LIST'!J6</f>
        <v>21000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/>
      <c r="C7" s="202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1"/>
      <c r="C8" s="202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203" t="s">
        <v>85</v>
      </c>
      <c r="B18" s="204"/>
      <c r="C18" s="204"/>
      <c r="D18" s="204"/>
      <c r="E18" s="204"/>
      <c r="F18" s="204"/>
      <c r="G18" s="58">
        <f>SUM(G6:G17)</f>
        <v>21000</v>
      </c>
      <c r="H18" s="59"/>
    </row>
    <row r="19" spans="1:13" s="55" customFormat="1" ht="23.1" customHeight="1">
      <c r="A19" s="203" t="s">
        <v>49</v>
      </c>
      <c r="B19" s="204"/>
      <c r="C19" s="204"/>
      <c r="D19" s="204"/>
      <c r="E19" s="204"/>
      <c r="F19" s="204"/>
      <c r="G19" s="58">
        <f>+G18*0.15</f>
        <v>3150</v>
      </c>
      <c r="H19" s="59"/>
    </row>
    <row r="20" spans="1:13" s="55" customFormat="1" ht="24.95" customHeight="1" thickBot="1">
      <c r="A20" s="205" t="s">
        <v>86</v>
      </c>
      <c r="B20" s="206"/>
      <c r="C20" s="206"/>
      <c r="D20" s="206"/>
      <c r="E20" s="206"/>
      <c r="F20" s="206"/>
      <c r="G20" s="60">
        <f>G19+G18</f>
        <v>24150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FZ-OFFR-2025-1775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25" t="s">
        <v>88</v>
      </c>
      <c r="B24" s="125"/>
      <c r="C24" s="125"/>
      <c r="D24" s="125"/>
      <c r="E24" s="125"/>
      <c r="F24" s="125"/>
      <c r="G24" s="125"/>
      <c r="H24" s="125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2025-10-05T11:12:19Z</cp:lastPrinted>
  <dcterms:created xsi:type="dcterms:W3CDTF">2024-10-20T11:50:19Z</dcterms:created>
  <dcterms:modified xsi:type="dcterms:W3CDTF">2025-12-08T13:23:35Z</dcterms:modified>
</cp:coreProperties>
</file>