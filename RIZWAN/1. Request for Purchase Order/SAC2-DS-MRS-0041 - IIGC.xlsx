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8856873E-4416-499C-8D9B-4267C3C9AE3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G7" i="4"/>
  <c r="F7" i="4"/>
  <c r="E7" i="4"/>
  <c r="D7" i="4"/>
  <c r="B7" i="4"/>
  <c r="J7" i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<sst xmlns="http://schemas.openxmlformats.org/spreadsheetml/2006/main" count="158" uniqueCount="123">
  <si>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</si>
  <si>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</si>
  <si>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</si>
  <si>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</si>
  <si>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</si>
  <si>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</si>
  <si>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</si>
  <si>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</si>
  <si>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</si>
  <si>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</si>
  <si>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</si>
  <si>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</si>
  <si>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</si>
  <si>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</si>
  <si>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</si>
  <si>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</si>
  <si>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</si>
  <si>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</si>
  <si>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</si>
  <si>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</si>
  <si>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</si>
  <si>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</si>
  <si>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</si>
  <si>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</si>
  <si>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</si>
  <si>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</si>
  <si>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</si>
  <si>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</si>
  <si>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</si>
  <si>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</si>
  <si>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</si>
  <si>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</si>
  <si>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</si>
  <si>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</si>
  <si>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</si>
  <si>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</si>
  <si>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</si>
  <si>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</si>
  <si>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</si>
  <si>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</si>
  <si>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</si>
  <si>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</si>
  <si>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</si>
  <si>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</si>
  <si>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</si>
  <si>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</si>
  <si>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</si>
  <si>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</si>
  <si>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</si>
  <si>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</si>
  <si>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</si>
  <si>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</si>
  <si>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</si>
  <si>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</si>
  <si>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</si>
  <si>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</si>
  <si>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</si>
  <si>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</si>
  <si>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</si>
  <si>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</si>
  <si>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</si>
  <si>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</si>
  <si>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</si>
  <si>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</si>
  <si>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</si>
  <si>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</si>
  <si>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</si>
  <si>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</si>
  <si>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</si>
  <si>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</si>
  <si>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</si>
  <si>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</si>
  <si>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</si>
  <si>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</si>
  <si>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</si>
  <si>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</si>
  <si>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</si>
  <si>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</si>
  <si>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</si>
  <si>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</si>
  <si>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</si>
  <si>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</si>
  <si>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</si>
  <si>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</si>
  <si>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</si>
  <si>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</si>
  <si>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</si>
  <si>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</si>
  <si>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</si>
  <si>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</si>
  <si>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</si>
  <si>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</si>
  <si>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</si>
  <si>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</si>
  <si>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</si>
  <si>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</si>
  <si>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</si>
  <si>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</si>
  <si>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</si>
  <si>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</si>
  <si>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</si>
  <si>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</si>
  <si>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</si>
  <si>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IIGC(Independent Innovation Gen. Cont. Co. LLC)</t>
  </si>
  <si>
    <t>310793666100003</t>
  </si>
  <si>
    <t xml:space="preserve">2055011426 </t>
  </si>
  <si>
    <t>Rasheed Ismail</t>
  </si>
  <si>
    <t>+966 53 384 2539 /  Email:info@iigcest,com</t>
  </si>
  <si>
    <t>P.O. Box 2654 Al-Jubail 31951</t>
  </si>
  <si>
    <t>Mobile : +966 53 384 2539</t>
  </si>
  <si>
    <t>IIC-EQUO-2025-3727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</si>
  <si>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-MRS-0041</t>
    </r>
  </si>
  <si>
    <t>RT Crane</t>
  </si>
  <si>
    <t>Unit</t>
  </si>
  <si>
    <t>IIGC</t>
  </si>
  <si>
    <t>Mob. &amp; De-Mob. / per unit - lump sum</t>
    <phoneticPr fontId="3" type="noConversion"/>
  </si>
  <si>
    <t>Crane Mob &amp; De-Mob. Charge</t>
  </si>
  <si>
    <t>L / S</t>
    <phoneticPr fontId="10" type="noConversion"/>
  </si>
  <si>
    <t>Monthly Based</t>
  </si>
  <si>
    <t>One Time</t>
  </si>
  <si>
    <t>100 Ton RT Crane with Aramco Certified Operator</t>
  </si>
  <si>
    <t>Equipment Manager</t>
  </si>
  <si>
    <t>100 Ton with Aramco Certified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</si>
</sst>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5" sqref="O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99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1" t="s">
        <v>101</v>
      </c>
      <c r="K2" s="142"/>
      <c r="L2" s="143"/>
    </row>
    <row r="3" spans="1:19" ht="20.100000000000001" customHeight="1">
      <c r="A3" s="3" t="s">
        <v>111</v>
      </c>
      <c r="B3" s="101"/>
      <c r="C3" s="101"/>
      <c r="D3" s="101"/>
      <c r="E3" s="128">
        <f>+L3</f>
        <v>45761</v>
      </c>
      <c r="F3" s="128"/>
      <c r="G3" s="128"/>
      <c r="H3" s="128"/>
      <c r="I3" s="128"/>
      <c r="J3" s="101"/>
      <c r="K3" s="101"/>
      <c r="L3" s="122">
        <v>45761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7" customHeight="1">
      <c r="A6" s="5">
        <f t="shared" ref="A6:A15" si="0">ROW(A1)</f>
        <v>1</v>
      </c>
      <c r="B6" s="144" t="s">
        <v>112</v>
      </c>
      <c r="C6" s="145"/>
      <c r="D6" s="146" t="s">
        <v>122</v>
      </c>
      <c r="E6" s="147"/>
      <c r="F6" s="148"/>
      <c r="G6" s="111" t="s">
        <v>113</v>
      </c>
      <c r="H6" s="112">
        <v>1</v>
      </c>
      <c r="I6" s="113">
        <v>105000</v>
      </c>
      <c r="J6" s="113">
        <f>H6*I6</f>
        <v>105000</v>
      </c>
      <c r="K6" s="114" t="s">
        <v>114</v>
      </c>
      <c r="L6" s="115" t="s">
        <v>118</v>
      </c>
      <c r="S6" s="106"/>
    </row>
    <row r="7" spans="1:19" ht="27" customHeight="1">
      <c r="A7" s="5">
        <f t="shared" si="0"/>
        <v>2</v>
      </c>
      <c r="B7" s="144" t="s">
        <v>116</v>
      </c>
      <c r="C7" s="145"/>
      <c r="D7" s="149" t="s">
        <v>115</v>
      </c>
      <c r="E7" s="147"/>
      <c r="F7" s="148"/>
      <c r="G7" s="111" t="s">
        <v>117</v>
      </c>
      <c r="H7" s="112">
        <v>1</v>
      </c>
      <c r="I7" s="113">
        <v>12000</v>
      </c>
      <c r="J7" s="113">
        <f>H7*I7</f>
        <v>12000</v>
      </c>
      <c r="K7" s="114" t="s">
        <v>114</v>
      </c>
      <c r="L7" s="115" t="s">
        <v>119</v>
      </c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117000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SAC2-DS-MRS-0041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45761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RT Crane</v>
      </c>
      <c r="C6" s="163"/>
      <c r="D6" s="164" t="str">
        <f>MRS!D6</f>
        <v>100 Ton with Aramco Certified Operator</v>
      </c>
      <c r="E6" s="165"/>
      <c r="F6" s="166"/>
      <c r="G6" s="103" t="str">
        <f>MRS!G6</f>
        <v>Unit</v>
      </c>
      <c r="H6" s="103">
        <f>MRS!H6</f>
        <v>1</v>
      </c>
      <c r="I6" s="104">
        <f>MRS!I6</f>
        <v>105000</v>
      </c>
      <c r="J6" s="104">
        <f>MRS!J6</f>
        <v>105000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Crane Mob &amp; De-Mob. Charge</v>
      </c>
      <c r="C7" s="163"/>
      <c r="D7" s="164" t="str">
        <f>MRS!D7</f>
        <v>Mob. &amp; De-Mob. / per unit - lump sum</v>
      </c>
      <c r="E7" s="165"/>
      <c r="F7" s="166"/>
      <c r="G7" s="103" t="str">
        <f>MRS!G7</f>
        <v>L / S</v>
      </c>
      <c r="H7" s="103">
        <f>MRS!H7</f>
        <v>1</v>
      </c>
      <c r="I7" s="104">
        <f>MRS!I7</f>
        <v>12000</v>
      </c>
      <c r="J7" s="104">
        <f>MRS!J7</f>
        <v>12000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6" zoomScale="130" zoomScaleNormal="100" zoomScaleSheetLayoutView="130" workbookViewId="0">
      <selection activeCell="Q26" sqref="Q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103</v>
      </c>
      <c r="D9" s="39"/>
      <c r="E9" s="39"/>
    </row>
    <row r="10" spans="2:13" s="39" customFormat="1">
      <c r="B10" s="72"/>
      <c r="C10" s="39" t="s">
        <v>33</v>
      </c>
      <c r="D10" s="76" t="s">
        <v>105</v>
      </c>
      <c r="J10" s="39" t="s">
        <v>34</v>
      </c>
      <c r="K10" s="173">
        <f>MRS!L3</f>
        <v>45761</v>
      </c>
      <c r="L10" s="174"/>
      <c r="M10" s="174"/>
    </row>
    <row r="11" spans="2:13" s="39" customFormat="1">
      <c r="B11" s="72"/>
      <c r="C11" s="75" t="s">
        <v>35</v>
      </c>
      <c r="D11" s="76" t="s">
        <v>104</v>
      </c>
      <c r="J11" s="39" t="s">
        <v>36</v>
      </c>
      <c r="K11" s="175" t="str">
        <f>SUBSTITUTE(SUBSTITUTE(+MRS!A3,"  MRS No : ",""),"-MRS","-PO")</f>
        <v>SAC2-DS-PO-0041</v>
      </c>
      <c r="L11" s="175"/>
      <c r="M11" s="175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110</v>
      </c>
    </row>
    <row r="15" spans="2:13" s="39" customFormat="1">
      <c r="B15" s="72"/>
      <c r="C15" s="77" t="s">
        <v>109</v>
      </c>
      <c r="J15" s="39" t="s">
        <v>41</v>
      </c>
      <c r="K15" s="78">
        <v>45754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120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118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Rasheed Ismail</v>
      </c>
    </row>
    <row r="60" spans="1:16" ht="18" customHeight="1">
      <c r="B60" s="26" t="s">
        <v>72</v>
      </c>
      <c r="J60" s="26" t="s">
        <v>73</v>
      </c>
      <c r="K60" s="22" t="s">
        <v>121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IIGC(Independent Innovation Gen. Cont. Co. LLC)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3" sqref="K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SAC2-DS-PO-0041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45761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IIGC(Independent Innovation Gen. Cont. Co. LLC)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RT Crane</v>
      </c>
      <c r="C6" s="183"/>
      <c r="D6" s="86" t="str">
        <f>+'MRS LIST'!G6</f>
        <v>Unit</v>
      </c>
      <c r="E6" s="87">
        <f>+'MRS LIST'!H6</f>
        <v>1</v>
      </c>
      <c r="F6" s="88">
        <f>+'MRS LIST'!I6</f>
        <v>105000</v>
      </c>
      <c r="G6" s="89">
        <f>+'MRS LIST'!J6</f>
        <v>105000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+'MRS LIST'!B7</f>
        <v>Crane Mob &amp; De-Mob. Charge</v>
      </c>
      <c r="C7" s="183"/>
      <c r="D7" s="86" t="str">
        <f>+'MRS LIST'!G7</f>
        <v>L / S</v>
      </c>
      <c r="E7" s="87">
        <f>+'MRS LIST'!H7</f>
        <v>1</v>
      </c>
      <c r="F7" s="88">
        <f>+'MRS LIST'!I7</f>
        <v>12000</v>
      </c>
      <c r="G7" s="89">
        <f>+'MRS LIST'!J7</f>
        <v>12000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88</v>
      </c>
      <c r="B18" s="199"/>
      <c r="C18" s="199"/>
      <c r="D18" s="199"/>
      <c r="E18" s="199"/>
      <c r="F18" s="199"/>
      <c r="G18" s="58">
        <f>SUM(G6:G17)</f>
        <v>117000</v>
      </c>
      <c r="H18" s="59"/>
    </row>
    <row r="19" spans="1:13" s="55" customFormat="1" ht="23.1" customHeight="1">
      <c r="A19" s="198" t="s">
        <v>51</v>
      </c>
      <c r="B19" s="199"/>
      <c r="C19" s="199"/>
      <c r="D19" s="199"/>
      <c r="E19" s="199"/>
      <c r="F19" s="199"/>
      <c r="G19" s="58">
        <f>+G18*0.15</f>
        <v>17550</v>
      </c>
      <c r="H19" s="59"/>
    </row>
    <row r="20" spans="1:13" s="55" customFormat="1" ht="24.95" customHeight="1" thickBot="1">
      <c r="A20" s="200" t="s">
        <v>89</v>
      </c>
      <c r="B20" s="201"/>
      <c r="C20" s="201"/>
      <c r="D20" s="201"/>
      <c r="E20" s="201"/>
      <c r="F20" s="201"/>
      <c r="G20" s="60">
        <f>G19+G18</f>
        <v>134550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IIC-EQUO-2025-3727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2025-04-24T08:31:04Z</cp:lastPrinted>
  <dcterms:created xsi:type="dcterms:W3CDTF">2024-10-20T11:50:19Z</dcterms:created>
  <dcterms:modified xsi:type="dcterms:W3CDTF">2025-04-24T08:32:00Z</dcterms:modified>
</cp:coreProperties>
</file>