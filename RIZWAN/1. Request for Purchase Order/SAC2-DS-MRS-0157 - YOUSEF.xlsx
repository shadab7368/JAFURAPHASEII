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BB2402B-FCB2-434D-A1F3-A8C48A5FB14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4" l="1"/>
  <c r="F6" i="4"/>
  <c r="D6" i="4"/>
  <c r="E6" i="4"/>
  <c r="H6" i="4"/>
  <c r="B6" i="4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<sst xmlns="http://schemas.openxmlformats.org/spreadsheetml/2006/main" count="155" uniqueCount="121">
  <si>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</si>
  <si>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</si>
  <si>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</si>
  <si>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</si>
  <si>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</si>
  <si>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</si>
  <si>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</si>
  <si>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</si>
  <si>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</si>
  <si>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</si>
  <si>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</si>
  <si>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</si>
  <si>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</si>
  <si>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</si>
  <si>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</si>
  <si>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</si>
  <si>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</si>
  <si>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</si>
  <si>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</si>
  <si>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</si>
  <si>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</si>
  <si>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</si>
  <si>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</si>
  <si>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</si>
  <si>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</si>
  <si>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</si>
  <si>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</si>
  <si>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</si>
  <si>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</si>
  <si>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</si>
  <si>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</si>
  <si>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</si>
  <si>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</si>
  <si>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</si>
  <si>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</si>
  <si>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</si>
  <si>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</si>
  <si>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</si>
  <si>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</si>
  <si>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</si>
  <si>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</si>
  <si>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</si>
  <si>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</si>
  <si>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</si>
  <si>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</si>
  <si>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</si>
  <si>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</si>
  <si>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</si>
  <si>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</si>
  <si>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</si>
  <si>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</si>
  <si>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</si>
  <si>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</si>
  <si>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</si>
  <si>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</si>
  <si>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</si>
  <si>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</si>
  <si>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</si>
  <si>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</si>
  <si>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</si>
  <si>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</si>
  <si>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</si>
  <si>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</si>
  <si>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</si>
  <si>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</si>
  <si>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</si>
  <si>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</si>
  <si>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</si>
  <si>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</si>
  <si>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</si>
  <si>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</si>
  <si>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</si>
  <si>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</si>
  <si>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</si>
  <si>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</si>
  <si>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</si>
  <si>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</si>
  <si>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</si>
  <si>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</si>
  <si>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</si>
  <si>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</si>
  <si>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</si>
  <si>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</si>
  <si>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</si>
  <si>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</si>
  <si>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</si>
  <si>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</si>
  <si>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</si>
  <si>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</si>
  <si>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</si>
  <si>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</si>
  <si>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</si>
  <si>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</si>
  <si>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</si>
  <si>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</si>
  <si>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</si>
  <si>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</si>
  <si>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</si>
  <si>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</si>
  <si>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</si>
  <si>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</si>
  <si>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</si>
  <si>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</si>
  <si>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Branch of Hyundai Engineering and Const. Co., Ltd. (HDEC)</t>
  </si>
  <si>
    <t>BRANCH OF HYUNDAI ENG. &amp; CONST. CO., LTD.</t>
  </si>
  <si>
    <t>YMAC</t>
  </si>
  <si>
    <t>YMAC(Yousef M. Al Shabini Company Ltd.)</t>
  </si>
  <si>
    <t>2055131139</t>
  </si>
  <si>
    <t>311015286800003</t>
  </si>
  <si>
    <t>Sheikh Rone</t>
  </si>
  <si>
    <t>Mobile No. +966 50 0136989 / email: yfcksa2030@gmail.com</t>
  </si>
  <si>
    <t>P.O. Box 1976 Al Jubail 31951 - Abu Dar Al Gaffary St. KSA</t>
  </si>
  <si>
    <t>Mobile: +966 56 0906764</t>
  </si>
  <si>
    <t>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</si>
  <si>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-MRS-0157</t>
    </r>
  </si>
  <si>
    <t>Pipe Welder</t>
  </si>
  <si>
    <t>SS TIG &amp; ARC</t>
  </si>
  <si>
    <t>Monthly</t>
  </si>
  <si>
    <t>YFC-08112025</t>
  </si>
  <si>
    <t>Monthly Based</t>
  </si>
  <si>
    <t>Pipe Welder (SS TIG &amp; ARC)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</si>
</sst>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20053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36632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0" t="s">
        <v>90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3" t="s">
        <v>97</v>
      </c>
      <c r="K2" s="144"/>
      <c r="L2" s="145"/>
    </row>
    <row r="3" spans="1:19" ht="20.100000000000001" customHeight="1">
      <c r="A3" s="3" t="s">
        <v>114</v>
      </c>
      <c r="B3" s="100"/>
      <c r="C3" s="100"/>
      <c r="D3" s="100"/>
      <c r="E3" s="146">
        <f>+L3</f>
        <v>45970</v>
      </c>
      <c r="F3" s="146"/>
      <c r="G3" s="146"/>
      <c r="H3" s="146"/>
      <c r="I3" s="146"/>
      <c r="J3" s="100"/>
      <c r="K3" s="100"/>
      <c r="L3" s="121">
        <v>45970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94</v>
      </c>
      <c r="J4" s="147" t="s">
        <v>95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9" t="s">
        <v>115</v>
      </c>
      <c r="C6" s="130"/>
      <c r="D6" s="131" t="s">
        <v>116</v>
      </c>
      <c r="E6" s="132"/>
      <c r="F6" s="133"/>
      <c r="G6" s="110" t="s">
        <v>102</v>
      </c>
      <c r="H6" s="111">
        <v>1</v>
      </c>
      <c r="I6" s="112">
        <v>53</v>
      </c>
      <c r="J6" s="112">
        <f>I6*H6</f>
        <v>53</v>
      </c>
      <c r="K6" s="113" t="s">
        <v>105</v>
      </c>
      <c r="L6" s="114" t="s">
        <v>117</v>
      </c>
      <c r="S6" s="105"/>
    </row>
    <row r="7" spans="1:19" ht="22.5" customHeight="1">
      <c r="A7" s="5">
        <f t="shared" si="0"/>
        <v>2</v>
      </c>
      <c r="B7" s="129"/>
      <c r="C7" s="130"/>
      <c r="D7" s="131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53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SAC2-DS-MRS-0157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45970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91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Pipe Welder</v>
      </c>
      <c r="C6" s="165"/>
      <c r="D6" s="166" t="str">
        <f>MRS!D6</f>
        <v>SS TIG &amp; ARC</v>
      </c>
      <c r="E6" s="167"/>
      <c r="F6" s="168"/>
      <c r="G6" s="102" t="str">
        <f>MRS!G6</f>
        <v>HR</v>
      </c>
      <c r="H6" s="102">
        <f>MRS!H6</f>
        <v>1</v>
      </c>
      <c r="I6" s="103">
        <f>MRS!I6</f>
        <v>53</v>
      </c>
      <c r="J6" s="103">
        <f>MRS!J6</f>
        <v>53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7" zoomScale="130" zoomScaleNormal="100" zoomScaleSheetLayoutView="130" workbookViewId="0">
      <selection activeCell="L6" sqref="L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106</v>
      </c>
      <c r="D9" s="38"/>
      <c r="E9" s="38"/>
    </row>
    <row r="10" spans="2:13" s="38" customFormat="1">
      <c r="B10" s="71"/>
      <c r="C10" s="38" t="s">
        <v>32</v>
      </c>
      <c r="D10" s="75" t="s">
        <v>107</v>
      </c>
      <c r="J10" s="38" t="s">
        <v>33</v>
      </c>
      <c r="K10" s="172">
        <f>MRS!L3</f>
        <v>45970</v>
      </c>
      <c r="L10" s="173"/>
      <c r="M10" s="173"/>
    </row>
    <row r="11" spans="2:13" s="38" customFormat="1">
      <c r="B11" s="71"/>
      <c r="C11" s="74" t="s">
        <v>34</v>
      </c>
      <c r="D11" s="75" t="s">
        <v>108</v>
      </c>
      <c r="J11" s="38" t="s">
        <v>35</v>
      </c>
      <c r="K11" s="174" t="str">
        <f>SUBSTITUTE(SUBSTITUTE(+MRS!A3,"  MRS No : ",""),"-MRS","-PO")</f>
        <v>SAC2-DS-PO-0157</v>
      </c>
      <c r="L11" s="174"/>
      <c r="M11" s="174"/>
    </row>
    <row r="12" spans="2:13" s="38" customFormat="1">
      <c r="B12" s="71"/>
      <c r="C12" s="74" t="s">
        <v>36</v>
      </c>
      <c r="D12" s="38" t="s">
        <v>109</v>
      </c>
      <c r="J12" s="38" t="s">
        <v>37</v>
      </c>
    </row>
    <row r="13" spans="2:13" s="38" customFormat="1">
      <c r="B13" s="71"/>
      <c r="C13" s="76"/>
      <c r="D13" s="75" t="s">
        <v>110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118</v>
      </c>
    </row>
    <row r="15" spans="2:13" s="38" customFormat="1">
      <c r="B15" s="71"/>
      <c r="C15" s="76" t="s">
        <v>112</v>
      </c>
      <c r="J15" s="38" t="s">
        <v>40</v>
      </c>
      <c r="K15" s="77">
        <v>45969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120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119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Sheikh Rone</v>
      </c>
    </row>
    <row r="60" spans="1:16" ht="18" customHeight="1">
      <c r="B60" s="26" t="s">
        <v>71</v>
      </c>
      <c r="J60" s="26" t="s">
        <v>72</v>
      </c>
      <c r="K60" s="22" t="s">
        <v>113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103</v>
      </c>
      <c r="J62" s="179" t="str">
        <f>C9</f>
        <v>YMAC(Yousef M. Al Shabini Company Ltd.)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6" sqref="L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SAC2-DS-PO-0157</v>
      </c>
      <c r="C2" s="188" t="s">
        <v>77</v>
      </c>
      <c r="D2" s="188"/>
      <c r="E2" s="188"/>
      <c r="F2" s="188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45970</v>
      </c>
      <c r="C3" s="50"/>
      <c r="D3" s="51"/>
      <c r="E3" s="189" t="s">
        <v>79</v>
      </c>
      <c r="F3" s="189"/>
      <c r="G3" s="189"/>
      <c r="H3" s="189"/>
      <c r="I3" s="52"/>
    </row>
    <row r="4" spans="1:13" s="54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YMAC(Yousef M. Al Shabini Company Ltd.)</v>
      </c>
      <c r="G4" s="199"/>
      <c r="H4" s="200" t="s">
        <v>84</v>
      </c>
      <c r="K4" s="55"/>
      <c r="L4" s="55"/>
      <c r="M4" s="55"/>
    </row>
    <row r="5" spans="1:13" s="54" customFormat="1" ht="21.95" customHeight="1">
      <c r="A5" s="191"/>
      <c r="B5" s="194"/>
      <c r="C5" s="195"/>
      <c r="D5" s="197"/>
      <c r="E5" s="197"/>
      <c r="F5" s="56" t="s">
        <v>85</v>
      </c>
      <c r="G5" s="56" t="s">
        <v>51</v>
      </c>
      <c r="H5" s="201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6" t="str">
        <f>CONCATENATE(MRS!B6," ",MRS!D6)</f>
        <v>Pipe Welder SS TIG &amp; ARC</v>
      </c>
      <c r="C6" s="187"/>
      <c r="D6" s="85" t="str">
        <f>MRS!G6</f>
        <v>HR</v>
      </c>
      <c r="E6" s="86">
        <f>MRS!H6</f>
        <v>1</v>
      </c>
      <c r="F6" s="87">
        <f>MRS!I6</f>
        <v>53</v>
      </c>
      <c r="G6" s="88">
        <f>MRS!J6</f>
        <v>53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6"/>
      <c r="C7" s="187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4" customFormat="1" ht="23.1" customHeight="1">
      <c r="A18" s="180" t="s">
        <v>86</v>
      </c>
      <c r="B18" s="181"/>
      <c r="C18" s="181"/>
      <c r="D18" s="181"/>
      <c r="E18" s="181"/>
      <c r="F18" s="181"/>
      <c r="G18" s="57">
        <f>SUM(G6:G17)</f>
        <v>53</v>
      </c>
      <c r="H18" s="58"/>
    </row>
    <row r="19" spans="1:13" s="54" customFormat="1" ht="23.1" customHeight="1">
      <c r="A19" s="180" t="s">
        <v>50</v>
      </c>
      <c r="B19" s="181"/>
      <c r="C19" s="181"/>
      <c r="D19" s="181"/>
      <c r="E19" s="181"/>
      <c r="F19" s="181"/>
      <c r="G19" s="57">
        <f>+G18*0.15</f>
        <v>7.9499999999999993</v>
      </c>
      <c r="H19" s="58"/>
    </row>
    <row r="20" spans="1:13" s="54" customFormat="1" ht="24.95" customHeight="1" thickBot="1">
      <c r="A20" s="182" t="s">
        <v>87</v>
      </c>
      <c r="B20" s="183"/>
      <c r="C20" s="183"/>
      <c r="D20" s="183"/>
      <c r="E20" s="183"/>
      <c r="F20" s="183"/>
      <c r="G20" s="59">
        <f>G19+G18</f>
        <v>60.95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YFC-08112025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2025-11-09T05:10:14Z</cp:lastPrinted>
  <dcterms:created xsi:type="dcterms:W3CDTF">2024-10-20T11:50:19Z</dcterms:created>
  <dcterms:modified xsi:type="dcterms:W3CDTF">2025-11-09T05:13:30Z</dcterms:modified>
</cp:coreProperties>
</file>