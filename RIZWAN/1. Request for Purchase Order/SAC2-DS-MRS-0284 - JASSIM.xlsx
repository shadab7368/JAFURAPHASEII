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675EF2FB-23F1-4AEA-9ECF-ACA89E62DD43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MRS!$A$1:$L$134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page'!$A$1:$H$131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4" l="1"/>
  <c r="E52" i="4"/>
  <c r="F52" i="4"/>
  <c r="D53" i="4"/>
  <c r="E53" i="4"/>
  <c r="F53" i="4"/>
  <c r="D54" i="4"/>
  <c r="E54" i="4"/>
  <c r="F54" i="4"/>
  <c r="D55" i="4"/>
  <c r="E55" i="4"/>
  <c r="F55" i="4"/>
  <c r="D56" i="4"/>
  <c r="E56" i="4"/>
  <c r="F56" i="4"/>
  <c r="D57" i="4"/>
  <c r="E57" i="4"/>
  <c r="F57" i="4"/>
  <c r="D58" i="4"/>
  <c r="E58" i="4"/>
  <c r="F58" i="4"/>
  <c r="D59" i="4"/>
  <c r="E59" i="4"/>
  <c r="F59" i="4"/>
  <c r="D60" i="4"/>
  <c r="E60" i="4"/>
  <c r="F60" i="4"/>
  <c r="D61" i="4"/>
  <c r="E61" i="4"/>
  <c r="F61" i="4"/>
  <c r="D62" i="4"/>
  <c r="E62" i="4"/>
  <c r="F62" i="4"/>
  <c r="D63" i="4"/>
  <c r="E63" i="4"/>
  <c r="F63" i="4"/>
  <c r="D64" i="4"/>
  <c r="E64" i="4"/>
  <c r="F64" i="4"/>
  <c r="D65" i="4"/>
  <c r="E65" i="4"/>
  <c r="F65" i="4"/>
  <c r="G65" i="4"/>
  <c r="D66" i="4"/>
  <c r="E66" i="4"/>
  <c r="F66" i="4"/>
  <c r="D67" i="4"/>
  <c r="E67" i="4"/>
  <c r="F67" i="4"/>
  <c r="D68" i="4"/>
  <c r="E68" i="4"/>
  <c r="F68" i="4"/>
  <c r="D69" i="4"/>
  <c r="E69" i="4"/>
  <c r="F69" i="4"/>
  <c r="D70" i="4"/>
  <c r="E70" i="4"/>
  <c r="F70" i="4"/>
  <c r="D71" i="4"/>
  <c r="E71" i="4"/>
  <c r="F71" i="4"/>
  <c r="D72" i="4"/>
  <c r="E72" i="4"/>
  <c r="F72" i="4"/>
  <c r="D73" i="4"/>
  <c r="E73" i="4"/>
  <c r="F73" i="4"/>
  <c r="D74" i="4"/>
  <c r="E74" i="4"/>
  <c r="F74" i="4"/>
  <c r="D75" i="4"/>
  <c r="E75" i="4"/>
  <c r="F75" i="4"/>
  <c r="D76" i="4"/>
  <c r="E76" i="4"/>
  <c r="F76" i="4"/>
  <c r="G76" i="4"/>
  <c r="D77" i="4"/>
  <c r="E77" i="4"/>
  <c r="F77" i="4"/>
  <c r="D78" i="4"/>
  <c r="E78" i="4"/>
  <c r="F78" i="4"/>
  <c r="D79" i="4"/>
  <c r="E79" i="4"/>
  <c r="F79" i="4"/>
  <c r="D80" i="4"/>
  <c r="E80" i="4"/>
  <c r="F80" i="4"/>
  <c r="D81" i="4"/>
  <c r="E81" i="4"/>
  <c r="F81" i="4"/>
  <c r="D82" i="4"/>
  <c r="E82" i="4"/>
  <c r="F82" i="4"/>
  <c r="D83" i="4"/>
  <c r="E83" i="4"/>
  <c r="F83" i="4"/>
  <c r="D84" i="4"/>
  <c r="E84" i="4"/>
  <c r="F84" i="4"/>
  <c r="D85" i="4"/>
  <c r="E85" i="4"/>
  <c r="F85" i="4"/>
  <c r="D86" i="4"/>
  <c r="E86" i="4"/>
  <c r="F86" i="4"/>
  <c r="D87" i="4"/>
  <c r="E87" i="4"/>
  <c r="F87" i="4"/>
  <c r="D88" i="4"/>
  <c r="E88" i="4"/>
  <c r="F88" i="4"/>
  <c r="D89" i="4"/>
  <c r="E89" i="4"/>
  <c r="F89" i="4"/>
  <c r="D90" i="4"/>
  <c r="E90" i="4"/>
  <c r="F90" i="4"/>
  <c r="D91" i="4"/>
  <c r="E91" i="4"/>
  <c r="F91" i="4"/>
  <c r="D92" i="4"/>
  <c r="E92" i="4"/>
  <c r="F92" i="4"/>
  <c r="D93" i="4"/>
  <c r="E93" i="4"/>
  <c r="F93" i="4"/>
  <c r="D94" i="4"/>
  <c r="E94" i="4"/>
  <c r="F94" i="4"/>
  <c r="D95" i="4"/>
  <c r="E95" i="4"/>
  <c r="F95" i="4"/>
  <c r="D96" i="4"/>
  <c r="E96" i="4"/>
  <c r="F96" i="4"/>
  <c r="D97" i="4"/>
  <c r="E97" i="4"/>
  <c r="F97" i="4"/>
  <c r="D98" i="4"/>
  <c r="E98" i="4"/>
  <c r="F98" i="4"/>
  <c r="D99" i="4"/>
  <c r="E99" i="4"/>
  <c r="F99" i="4"/>
  <c r="D100" i="4"/>
  <c r="E100" i="4"/>
  <c r="F100" i="4"/>
  <c r="D101" i="4"/>
  <c r="E101" i="4"/>
  <c r="F101" i="4"/>
  <c r="D102" i="4"/>
  <c r="E102" i="4"/>
  <c r="F102" i="4"/>
  <c r="D103" i="4"/>
  <c r="E103" i="4"/>
  <c r="F103" i="4"/>
  <c r="D104" i="4"/>
  <c r="E104" i="4"/>
  <c r="F104" i="4"/>
  <c r="D105" i="4"/>
  <c r="E105" i="4"/>
  <c r="F105" i="4"/>
  <c r="D106" i="4"/>
  <c r="E106" i="4"/>
  <c r="F106" i="4"/>
  <c r="D107" i="4"/>
  <c r="E107" i="4"/>
  <c r="F107" i="4"/>
  <c r="D108" i="4"/>
  <c r="E108" i="4"/>
  <c r="F108" i="4"/>
  <c r="D109" i="4"/>
  <c r="E109" i="4"/>
  <c r="F109" i="4"/>
  <c r="D110" i="4"/>
  <c r="E110" i="4"/>
  <c r="F110" i="4"/>
  <c r="D111" i="4"/>
  <c r="E111" i="4"/>
  <c r="F111" i="4"/>
  <c r="D112" i="4"/>
  <c r="E112" i="4"/>
  <c r="F112" i="4"/>
  <c r="D113" i="4"/>
  <c r="E113" i="4"/>
  <c r="F113" i="4"/>
  <c r="G113" i="4"/>
  <c r="D114" i="4"/>
  <c r="E114" i="4"/>
  <c r="F114" i="4"/>
  <c r="D115" i="4"/>
  <c r="E115" i="4"/>
  <c r="F115" i="4"/>
  <c r="D116" i="4"/>
  <c r="E116" i="4"/>
  <c r="F116" i="4"/>
  <c r="D117" i="4"/>
  <c r="E117" i="4"/>
  <c r="F117" i="4"/>
  <c r="D118" i="4"/>
  <c r="E118" i="4"/>
  <c r="F118" i="4"/>
  <c r="D119" i="4"/>
  <c r="E119" i="4"/>
  <c r="F119" i="4"/>
  <c r="D120" i="4"/>
  <c r="E120" i="4"/>
  <c r="F120" i="4"/>
  <c r="D121" i="4"/>
  <c r="E121" i="4"/>
  <c r="F121" i="4"/>
  <c r="D122" i="4"/>
  <c r="E122" i="4"/>
  <c r="F122" i="4"/>
  <c r="D123" i="4"/>
  <c r="E123" i="4"/>
  <c r="F123" i="4"/>
  <c r="D124" i="4"/>
  <c r="E124" i="4"/>
  <c r="F124" i="4"/>
  <c r="G124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J52" i="1"/>
  <c r="G52" i="4" s="1"/>
  <c r="J53" i="1"/>
  <c r="G53" i="4" s="1"/>
  <c r="J54" i="1"/>
  <c r="G54" i="4" s="1"/>
  <c r="J55" i="1"/>
  <c r="G55" i="4" s="1"/>
  <c r="J56" i="1"/>
  <c r="G56" i="4" s="1"/>
  <c r="J57" i="1"/>
  <c r="G57" i="4" s="1"/>
  <c r="J58" i="1"/>
  <c r="G58" i="4" s="1"/>
  <c r="J59" i="1"/>
  <c r="G59" i="4" s="1"/>
  <c r="J60" i="1"/>
  <c r="G60" i="4" s="1"/>
  <c r="J61" i="1"/>
  <c r="G61" i="4" s="1"/>
  <c r="J62" i="1"/>
  <c r="G62" i="4" s="1"/>
  <c r="J63" i="1"/>
  <c r="G63" i="4" s="1"/>
  <c r="J64" i="1"/>
  <c r="G64" i="4" s="1"/>
  <c r="J65" i="1"/>
  <c r="J66" i="1"/>
  <c r="G66" i="4" s="1"/>
  <c r="J67" i="1"/>
  <c r="G67" i="4" s="1"/>
  <c r="J68" i="1"/>
  <c r="G68" i="4" s="1"/>
  <c r="J69" i="1"/>
  <c r="G69" i="4" s="1"/>
  <c r="J70" i="1"/>
  <c r="G70" i="4" s="1"/>
  <c r="J71" i="1"/>
  <c r="G71" i="4" s="1"/>
  <c r="J72" i="1"/>
  <c r="G72" i="4" s="1"/>
  <c r="J73" i="1"/>
  <c r="G73" i="4" s="1"/>
  <c r="J74" i="1"/>
  <c r="G74" i="4" s="1"/>
  <c r="J75" i="1"/>
  <c r="G75" i="4" s="1"/>
  <c r="J76" i="1"/>
  <c r="J77" i="1"/>
  <c r="G77" i="4" s="1"/>
  <c r="J78" i="1"/>
  <c r="G78" i="4" s="1"/>
  <c r="J79" i="1"/>
  <c r="G79" i="4" s="1"/>
  <c r="J80" i="1"/>
  <c r="G80" i="4" s="1"/>
  <c r="J81" i="1"/>
  <c r="G81" i="4" s="1"/>
  <c r="J82" i="1"/>
  <c r="G82" i="4" s="1"/>
  <c r="J83" i="1"/>
  <c r="G83" i="4" s="1"/>
  <c r="J84" i="1"/>
  <c r="G84" i="4" s="1"/>
  <c r="J85" i="1"/>
  <c r="G85" i="4" s="1"/>
  <c r="J86" i="1"/>
  <c r="G86" i="4" s="1"/>
  <c r="J87" i="1"/>
  <c r="G87" i="4" s="1"/>
  <c r="J88" i="1"/>
  <c r="G88" i="4" s="1"/>
  <c r="J89" i="1"/>
  <c r="G89" i="4" s="1"/>
  <c r="J90" i="1"/>
  <c r="G90" i="4" s="1"/>
  <c r="J91" i="1"/>
  <c r="G91" i="4" s="1"/>
  <c r="J92" i="1"/>
  <c r="G92" i="4" s="1"/>
  <c r="J93" i="1"/>
  <c r="G93" i="4" s="1"/>
  <c r="J94" i="1"/>
  <c r="G94" i="4" s="1"/>
  <c r="J95" i="1"/>
  <c r="G95" i="4" s="1"/>
  <c r="J96" i="1"/>
  <c r="G96" i="4" s="1"/>
  <c r="J97" i="1"/>
  <c r="G97" i="4" s="1"/>
  <c r="J98" i="1"/>
  <c r="G98" i="4" s="1"/>
  <c r="J99" i="1"/>
  <c r="G99" i="4" s="1"/>
  <c r="J100" i="1"/>
  <c r="G100" i="4" s="1"/>
  <c r="J101" i="1"/>
  <c r="G101" i="4" s="1"/>
  <c r="J102" i="1"/>
  <c r="G102" i="4" s="1"/>
  <c r="J103" i="1"/>
  <c r="G103" i="4" s="1"/>
  <c r="J104" i="1"/>
  <c r="G104" i="4" s="1"/>
  <c r="J105" i="1"/>
  <c r="G105" i="4" s="1"/>
  <c r="J106" i="1"/>
  <c r="G106" i="4" s="1"/>
  <c r="J107" i="1"/>
  <c r="G107" i="4" s="1"/>
  <c r="J108" i="1"/>
  <c r="G108" i="4" s="1"/>
  <c r="J109" i="1"/>
  <c r="G109" i="4" s="1"/>
  <c r="J110" i="1"/>
  <c r="G110" i="4" s="1"/>
  <c r="J111" i="1"/>
  <c r="G111" i="4" s="1"/>
  <c r="J112" i="1"/>
  <c r="G112" i="4" s="1"/>
  <c r="J113" i="1"/>
  <c r="J114" i="1"/>
  <c r="G114" i="4" s="1"/>
  <c r="J115" i="1"/>
  <c r="G115" i="4" s="1"/>
  <c r="J116" i="1"/>
  <c r="G116" i="4" s="1"/>
  <c r="J117" i="1"/>
  <c r="G117" i="4" s="1"/>
  <c r="J118" i="1"/>
  <c r="G118" i="4" s="1"/>
  <c r="J119" i="1"/>
  <c r="G119" i="4" s="1"/>
  <c r="J120" i="1"/>
  <c r="G120" i="4" s="1"/>
  <c r="J121" i="1"/>
  <c r="G121" i="4" s="1"/>
  <c r="J122" i="1"/>
  <c r="G122" i="4" s="1"/>
  <c r="J123" i="1"/>
  <c r="G123" i="4" s="1"/>
  <c r="J124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D7" i="4"/>
  <c r="E7" i="4"/>
  <c r="F7" i="4"/>
  <c r="D8" i="4"/>
  <c r="E8" i="4"/>
  <c r="F8" i="4"/>
  <c r="D9" i="4"/>
  <c r="E9" i="4"/>
  <c r="F9" i="4"/>
  <c r="D10" i="4"/>
  <c r="E10" i="4"/>
  <c r="F10" i="4"/>
  <c r="D11" i="4"/>
  <c r="E11" i="4"/>
  <c r="F11" i="4"/>
  <c r="D12" i="4"/>
  <c r="E12" i="4"/>
  <c r="F12" i="4"/>
  <c r="D13" i="4"/>
  <c r="E13" i="4"/>
  <c r="F13" i="4"/>
  <c r="D14" i="4"/>
  <c r="E14" i="4"/>
  <c r="F14" i="4"/>
  <c r="D15" i="4"/>
  <c r="E15" i="4"/>
  <c r="F15" i="4"/>
  <c r="D16" i="4"/>
  <c r="E16" i="4"/>
  <c r="F16" i="4"/>
  <c r="D17" i="4"/>
  <c r="E17" i="4"/>
  <c r="F17" i="4"/>
  <c r="D18" i="4"/>
  <c r="E18" i="4"/>
  <c r="F18" i="4"/>
  <c r="D19" i="4"/>
  <c r="E19" i="4"/>
  <c r="F19" i="4"/>
  <c r="D20" i="4"/>
  <c r="E20" i="4"/>
  <c r="F20" i="4"/>
  <c r="D21" i="4"/>
  <c r="E21" i="4"/>
  <c r="F21" i="4"/>
  <c r="D22" i="4"/>
  <c r="E22" i="4"/>
  <c r="F22" i="4"/>
  <c r="D23" i="4"/>
  <c r="E23" i="4"/>
  <c r="F23" i="4"/>
  <c r="D24" i="4"/>
  <c r="E24" i="4"/>
  <c r="F24" i="4"/>
  <c r="D25" i="4"/>
  <c r="E25" i="4"/>
  <c r="F25" i="4"/>
  <c r="D26" i="4"/>
  <c r="E26" i="4"/>
  <c r="F26" i="4"/>
  <c r="D27" i="4"/>
  <c r="E27" i="4"/>
  <c r="F27" i="4"/>
  <c r="D28" i="4"/>
  <c r="E28" i="4"/>
  <c r="F28" i="4"/>
  <c r="D29" i="4"/>
  <c r="E29" i="4"/>
  <c r="F29" i="4"/>
  <c r="D30" i="4"/>
  <c r="E30" i="4"/>
  <c r="F30" i="4"/>
  <c r="D31" i="4"/>
  <c r="E31" i="4"/>
  <c r="F31" i="4"/>
  <c r="D32" i="4"/>
  <c r="E32" i="4"/>
  <c r="F32" i="4"/>
  <c r="D33" i="4"/>
  <c r="E33" i="4"/>
  <c r="F33" i="4"/>
  <c r="D34" i="4"/>
  <c r="E34" i="4"/>
  <c r="F34" i="4"/>
  <c r="D35" i="4"/>
  <c r="E35" i="4"/>
  <c r="F35" i="4"/>
  <c r="D36" i="4"/>
  <c r="E36" i="4"/>
  <c r="F36" i="4"/>
  <c r="D37" i="4"/>
  <c r="E37" i="4"/>
  <c r="F37" i="4"/>
  <c r="D38" i="4"/>
  <c r="E38" i="4"/>
  <c r="F38" i="4"/>
  <c r="D39" i="4"/>
  <c r="E39" i="4"/>
  <c r="F39" i="4"/>
  <c r="D40" i="4"/>
  <c r="E40" i="4"/>
  <c r="F40" i="4"/>
  <c r="D41" i="4"/>
  <c r="E41" i="4"/>
  <c r="F41" i="4"/>
  <c r="D42" i="4"/>
  <c r="E42" i="4"/>
  <c r="F42" i="4"/>
  <c r="D43" i="4"/>
  <c r="E43" i="4"/>
  <c r="F43" i="4"/>
  <c r="D44" i="4"/>
  <c r="E44" i="4"/>
  <c r="F44" i="4"/>
  <c r="D45" i="4"/>
  <c r="E45" i="4"/>
  <c r="F45" i="4"/>
  <c r="D46" i="4"/>
  <c r="E46" i="4"/>
  <c r="F46" i="4"/>
  <c r="D47" i="4"/>
  <c r="E47" i="4"/>
  <c r="F47" i="4"/>
  <c r="D48" i="4"/>
  <c r="E48" i="4"/>
  <c r="F48" i="4"/>
  <c r="D49" i="4"/>
  <c r="E49" i="4"/>
  <c r="F49" i="4"/>
  <c r="D50" i="4"/>
  <c r="E50" i="4"/>
  <c r="F50" i="4"/>
  <c r="D51" i="4"/>
  <c r="E51" i="4"/>
  <c r="F51" i="4"/>
  <c r="F6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14" i="4"/>
  <c r="B13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16" i="4"/>
  <c r="A17" i="4"/>
  <c r="A18" i="4"/>
  <c r="A19" i="4"/>
  <c r="A20" i="4"/>
  <c r="A21" i="4"/>
  <c r="J16" i="1"/>
  <c r="G16" i="4" s="1"/>
  <c r="J17" i="1"/>
  <c r="G17" i="4" s="1"/>
  <c r="J18" i="1"/>
  <c r="G18" i="4" s="1"/>
  <c r="J19" i="1"/>
  <c r="G19" i="4" s="1"/>
  <c r="J20" i="1"/>
  <c r="G20" i="4" s="1"/>
  <c r="J21" i="1"/>
  <c r="G21" i="4" s="1"/>
  <c r="J22" i="1"/>
  <c r="G22" i="4" s="1"/>
  <c r="J23" i="1"/>
  <c r="G23" i="4" s="1"/>
  <c r="J24" i="1"/>
  <c r="G24" i="4" s="1"/>
  <c r="J25" i="1"/>
  <c r="G25" i="4" s="1"/>
  <c r="J26" i="1"/>
  <c r="G26" i="4" s="1"/>
  <c r="J27" i="1"/>
  <c r="G27" i="4" s="1"/>
  <c r="J28" i="1"/>
  <c r="G28" i="4" s="1"/>
  <c r="J29" i="1"/>
  <c r="G29" i="4" s="1"/>
  <c r="J30" i="1"/>
  <c r="G30" i="4" s="1"/>
  <c r="J31" i="1"/>
  <c r="G31" i="4" s="1"/>
  <c r="J32" i="1"/>
  <c r="G32" i="4" s="1"/>
  <c r="J33" i="1"/>
  <c r="G33" i="4" s="1"/>
  <c r="J34" i="1"/>
  <c r="G34" i="4" s="1"/>
  <c r="J35" i="1"/>
  <c r="G35" i="4" s="1"/>
  <c r="J36" i="1"/>
  <c r="G36" i="4" s="1"/>
  <c r="J37" i="1"/>
  <c r="G37" i="4" s="1"/>
  <c r="J38" i="1"/>
  <c r="G38" i="4" s="1"/>
  <c r="J39" i="1"/>
  <c r="G39" i="4" s="1"/>
  <c r="J40" i="1"/>
  <c r="G40" i="4" s="1"/>
  <c r="J41" i="1"/>
  <c r="G41" i="4" s="1"/>
  <c r="J42" i="1"/>
  <c r="G42" i="4" s="1"/>
  <c r="J43" i="1"/>
  <c r="G43" i="4" s="1"/>
  <c r="J44" i="1"/>
  <c r="G44" i="4" s="1"/>
  <c r="J45" i="1"/>
  <c r="G45" i="4" s="1"/>
  <c r="J46" i="1"/>
  <c r="G46" i="4" s="1"/>
  <c r="J47" i="1"/>
  <c r="G47" i="4" s="1"/>
  <c r="J48" i="1"/>
  <c r="G48" i="4" s="1"/>
  <c r="J49" i="1"/>
  <c r="G49" i="4" s="1"/>
  <c r="J50" i="1"/>
  <c r="G50" i="4" s="1"/>
  <c r="J51" i="1"/>
  <c r="G51" i="4" s="1"/>
  <c r="B8" i="4"/>
  <c r="B9" i="4"/>
  <c r="B10" i="4"/>
  <c r="B11" i="4"/>
  <c r="B12" i="4"/>
  <c r="A15" i="4"/>
  <c r="B7" i="4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A15" i="2" s="1"/>
  <c r="J15" i="1"/>
  <c r="J15" i="2" s="1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G14" i="4" l="1"/>
  <c r="G11" i="4"/>
  <c r="G8" i="4"/>
  <c r="G6" i="4"/>
  <c r="G13" i="4"/>
  <c r="G10" i="4"/>
  <c r="G7" i="4"/>
  <c r="J125" i="1"/>
  <c r="G15" i="4"/>
  <c r="G12" i="4"/>
  <c r="G9" i="4"/>
  <c r="G125" i="4"/>
  <c r="K67" i="3"/>
  <c r="E3" i="1"/>
  <c r="K10" i="3" l="1"/>
  <c r="A128" i="4" l="1"/>
  <c r="I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F29" i="3" l="1"/>
  <c r="G126" i="4" l="1"/>
  <c r="F30" i="3" s="1"/>
  <c r="G127" i="4" l="1"/>
  <c r="F31" i="3" s="1"/>
</calcChain>
</file>

<file path=xl/sharedStrings.xml><?xml version="1.0" encoding="utf-8"?>
<sst xmlns="http://schemas.openxmlformats.org/spreadsheetml/2006/main" count="391" uniqueCount="251">
  <si>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</si>
  <si>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</si>
  <si>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</si>
  <si>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</si>
  <si>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</si>
  <si>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</si>
  <si>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</si>
  <si>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</si>
  <si>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</si>
  <si>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</si>
  <si>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</si>
  <si>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</si>
  <si>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</si>
  <si>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</si>
  <si>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</si>
  <si>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</si>
  <si>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</si>
  <si>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</si>
  <si>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</si>
  <si>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</si>
  <si>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</si>
  <si>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</si>
  <si>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</si>
  <si>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</si>
  <si>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</si>
  <si>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</si>
  <si>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</si>
  <si>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</si>
  <si>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</si>
  <si>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</si>
  <si>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</si>
  <si>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</si>
  <si>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</si>
  <si>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</si>
  <si>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</si>
  <si>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</si>
  <si>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</si>
  <si>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</si>
  <si>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</si>
  <si>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</si>
  <si>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</si>
  <si>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</si>
  <si>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</si>
  <si>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</si>
  <si>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</si>
  <si>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</si>
  <si>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</si>
  <si>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</si>
  <si>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</si>
  <si>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</si>
  <si>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</si>
  <si>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</si>
  <si>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</si>
  <si>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</si>
  <si>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</si>
  <si>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</si>
  <si>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</si>
  <si>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</si>
  <si>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</si>
  <si>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</si>
  <si>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</si>
  <si>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</si>
  <si>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</si>
  <si>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</si>
  <si>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</si>
  <si>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</si>
  <si>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</si>
  <si>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</si>
  <si>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</si>
  <si>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</si>
  <si>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</si>
  <si>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</si>
  <si>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</si>
  <si>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</si>
  <si>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</si>
  <si>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</si>
  <si>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</si>
  <si>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</si>
  <si>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</si>
  <si>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</si>
  <si>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</si>
  <si>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</si>
  <si>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</si>
  <si>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</si>
  <si>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</si>
  <si>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</si>
  <si>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</si>
  <si>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</si>
  <si>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</si>
  <si>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</si>
  <si>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</si>
  <si>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</si>
  <si>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</si>
  <si>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</si>
  <si>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</si>
  <si>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</si>
  <si>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</si>
  <si>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</si>
  <si>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</si>
  <si>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</si>
  <si>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</si>
  <si>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</si>
  <si>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</si>
  <si>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</si>
  <si>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</si>
  <si>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</si>
  <si>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</si>
  <si>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</si>
  <si>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</si>
  <si>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</si>
  <si>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</si>
  <si>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</si>
  <si>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</si>
  <si>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</si>
  <si>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</si>
  <si>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</si>
  <si>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</si>
  <si>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</si>
  <si>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</si>
  <si>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</si>
  <si>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</si>
  <si>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</si>
  <si>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</si>
  <si>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Nos</t>
  </si>
  <si>
    <t>SA96 1000 0095 4000 0618 4205</t>
  </si>
  <si>
    <t>Alumina Gas Lens Nozzle #6 (54N16)</t>
  </si>
  <si>
    <t>Alumina Gas Lens Nozzle #8 (54N14)</t>
  </si>
  <si>
    <t>Argon Regulator Set UL Listed</t>
  </si>
  <si>
    <t>Ceramic Nozzle 350A #6</t>
  </si>
  <si>
    <t>Ceramic Nozzle 350A #7</t>
  </si>
  <si>
    <t>Ceramic Nozzle 350A #8</t>
  </si>
  <si>
    <t>Tig Collet Body 350A 3.2mm</t>
  </si>
  <si>
    <t>Tig Torch Switch</t>
  </si>
  <si>
    <t>Tungsten Electrode 2.4mm</t>
  </si>
  <si>
    <t>Tungsten Electrode 3.2mm</t>
  </si>
  <si>
    <t>Welding Cable Connector 50-70mm2 Male &amp; Female</t>
  </si>
  <si>
    <t>Welding Glass Dark #12</t>
  </si>
  <si>
    <t>WD-40 330ml</t>
  </si>
  <si>
    <t>Zinc Spray Paint</t>
  </si>
  <si>
    <t>Ear Plug with Corded</t>
  </si>
  <si>
    <t>Dust Mask N95 Venus</t>
  </si>
  <si>
    <t>Double Ear Clamp S/S 13-15mm</t>
  </si>
  <si>
    <t>Double Ear Clamp S/S 11-13mm</t>
  </si>
  <si>
    <t>Tig Torch Set Fixed Type 5mtr</t>
  </si>
  <si>
    <t>PVC Coated Orange Fire Blanket 1x50mtr</t>
  </si>
  <si>
    <t>Ordinary Plywood 4'x8'x9mm Indonesia</t>
  </si>
  <si>
    <t>Tig Torch Back Cap Long (57Y02)</t>
  </si>
  <si>
    <t>Tig Torch Back Cap Short (57Y04)</t>
  </si>
  <si>
    <t>Argon Regulator Connector Nut &amp; Nipple 9/16"-1/4"</t>
  </si>
  <si>
    <t>Demolition Hammer SDS Max 1500W GSH 7VC Bosch</t>
  </si>
  <si>
    <t>Measuring Tape 5mtr</t>
  </si>
  <si>
    <t>Pyrometer Infrared Thermometer</t>
  </si>
  <si>
    <t>Waterproof Pigtail Connector (Tig Torch Connector Male &amp; Female)</t>
  </si>
  <si>
    <t>Argon Flow Meter</t>
  </si>
  <si>
    <t>CS Square Tube 20x20x2mm, 6mtr</t>
  </si>
  <si>
    <t>Teflon Tape 19mm x 40yard</t>
  </si>
  <si>
    <t>Plastic Sandbag Heavy Duty (Gunny Sack) 50kg</t>
  </si>
  <si>
    <t>Dial Indicator 0-10mm/0.01mm 2046A Mitutoyo</t>
  </si>
  <si>
    <t>Low Chloride Paint Marker Black Markal</t>
  </si>
  <si>
    <t>Tig Collet Pin 250A 2.4mm</t>
  </si>
  <si>
    <t>Tig Collet Pin 350A 2.4mm</t>
  </si>
  <si>
    <t>Alumina Gas Lens Nozzle #7 (54N15)</t>
  </si>
  <si>
    <t>Cutting Disc S/S 4"x1mm Maks</t>
  </si>
  <si>
    <t>Set</t>
  </si>
  <si>
    <t>Box</t>
  </si>
  <si>
    <t>Roll</t>
  </si>
  <si>
    <t>Site Materials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</si>
  <si>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-MRS-0284</t>
    </r>
  </si>
  <si>
    <t>Vacuum Cleaner 28Liter 4000W</t>
  </si>
  <si>
    <t>Sponge Foam Sheet 900x1900x100mm</t>
  </si>
  <si>
    <t>High Pressure Hose 215bar 3/4" 5mtr Female Fittings Both End</t>
  </si>
  <si>
    <t>High Pressure Hose 215bar 3/4" 10mtr Female Fittings Both End</t>
  </si>
  <si>
    <t>High Pressure Hose 215bar 3/4" 20mtr Female Fittings Both End</t>
  </si>
  <si>
    <t>High Pressure Hose 215bar 3/4" 30mtr Female Fittings Both End</t>
  </si>
  <si>
    <t>High Pressure Hose 215bar 3/4" 50mtr Female Fittings Both End</t>
  </si>
  <si>
    <t>Single Gas Detector H2S 500PPM T40 II Rattler ISC</t>
  </si>
  <si>
    <t>Hydraulic Pump 700Bar with 2mtr Hose 1" Star</t>
  </si>
  <si>
    <t>LED Torch Light Rechargeable Strong 200-250mm</t>
  </si>
  <si>
    <t>Neon Line Tester</t>
  </si>
  <si>
    <t>Allen Key Set T6-T40</t>
  </si>
  <si>
    <t>Portable Dry Oven 5kg 220V</t>
  </si>
  <si>
    <t>Split A/C 2Ton Heat &amp; Cooling Inverter LG</t>
  </si>
  <si>
    <t>A/C Copper Tube Set 5/8"x15mtr</t>
  </si>
  <si>
    <t>A/C Copper Tube Set 1/4"x15mtr</t>
  </si>
  <si>
    <t>Insulation Copper Pipe 5/8" x 15mtr</t>
  </si>
  <si>
    <t>Insulation Copper Pipe 1/4" x 15mtr</t>
  </si>
  <si>
    <t>Insulation Tape Black 2"</t>
  </si>
  <si>
    <t>Masking Tape 2"x20yard</t>
  </si>
  <si>
    <t>Duct Tape 2"x20yard</t>
  </si>
  <si>
    <t>3M Earmuffs for Safety Helmet</t>
  </si>
  <si>
    <t>Drill Bit Cobalt for S/S 5mm</t>
  </si>
  <si>
    <t>Drill Bit Cobalt for S/S 3mm</t>
  </si>
  <si>
    <t>Magnifying Glass Small</t>
  </si>
  <si>
    <t>Measuring Tape 3mtr</t>
  </si>
  <si>
    <t>Line Dori 1mm x 50mtr</t>
  </si>
  <si>
    <t>Low Chloride Paint Marker Red Markal</t>
  </si>
  <si>
    <t>Purge Reinforced Clear Hose 6mm x 50mtr</t>
  </si>
  <si>
    <t>Tig Torch Set Fixed Type 10mtr</t>
  </si>
  <si>
    <t>Digital Multermeter Fluke 15B+</t>
  </si>
  <si>
    <t>Cuttering Plier 7"</t>
  </si>
  <si>
    <t>Dew Point Meter Fluke 971</t>
  </si>
  <si>
    <t>Electric Insulation Tape Yellow</t>
  </si>
  <si>
    <t>Cotton Rags Mixed Color 10Kg</t>
  </si>
  <si>
    <t>Cotton Rags White 10Kg</t>
  </si>
  <si>
    <t>Welding Glass Dark #10</t>
  </si>
  <si>
    <t>Welding Glass Dark #11</t>
  </si>
  <si>
    <t>Ceramic Nozzle 350A #5</t>
  </si>
  <si>
    <t>3-Hole Binder A4 75mm (30ea/Box)</t>
  </si>
  <si>
    <t>Drill Machine 16mm in Steel 1050W Boscch GBM 16-2RE</t>
  </si>
  <si>
    <t>Drill Bit HSS Cobalt (S/S) 6mm</t>
  </si>
  <si>
    <t>Drill Bit HSS Cobalt S/S 8mm</t>
  </si>
  <si>
    <t>Drill Bit HSS Cobalt S/S 10mm</t>
  </si>
  <si>
    <t>Drill Bit HSS Cobalt S/S 11mm</t>
  </si>
  <si>
    <t>Drill Bit HSS Cobalt S/S 12mm</t>
  </si>
  <si>
    <t>Drill Bit HSS Cobalt S/S 13mm</t>
  </si>
  <si>
    <t>Drill Bit HSS Cobalt S/S 14mm</t>
  </si>
  <si>
    <t>PVC Bucket Heavy Duty 20Ltr</t>
  </si>
  <si>
    <t>Electric Concrete Mixing Machine</t>
  </si>
  <si>
    <t>Concrete Mixing Paddle</t>
  </si>
  <si>
    <t>SS Shim Plate 12"x50"x0.03mm</t>
  </si>
  <si>
    <t>SS Shim Plate 12"x50"x0.05mm</t>
  </si>
  <si>
    <t>SS Shim Plate 12"x50"x0.07mm</t>
  </si>
  <si>
    <t>SS Shim Plate 12"x50"x0.10mm</t>
  </si>
  <si>
    <t>Rotary Barrel Hand Pump 3/4" 1.5mtr</t>
  </si>
  <si>
    <t>CS Plate 4'x8'x10mm</t>
  </si>
  <si>
    <t>Diamond Grinding Wheel 4"</t>
  </si>
  <si>
    <t>PVC Flexible Conduit Black 2"x25mtr</t>
  </si>
  <si>
    <t>PVC Flexible Conduit Black 3/4"x100mtr</t>
  </si>
  <si>
    <t>AC Gas Refilling Pipe R410A (Red &amp; Blue)</t>
  </si>
  <si>
    <t>Impact Socket 3/8"dr x 65mm</t>
  </si>
  <si>
    <t>Impact Socket Adapter 1/4"(M) x 3/4"(F)</t>
  </si>
  <si>
    <t>Temperature Humidity Meter (Dew Point) Fluke 971</t>
  </si>
  <si>
    <t>PVC Flat Hose 3" x 25mtr</t>
  </si>
  <si>
    <t>PVC Flat Hose 3" x 10mtr</t>
  </si>
  <si>
    <t>Weld Purge Oxygen Monitor PurgEye100</t>
  </si>
  <si>
    <t>Liquid Leak Detector 5Ltr Weicon</t>
  </si>
  <si>
    <t>Warning Tape Blue/White 3"</t>
  </si>
  <si>
    <t>Warning Tape Yellow/Black 3"</t>
  </si>
  <si>
    <t>Crowfoot Wrench 3/8"dr 10-22mm</t>
  </si>
  <si>
    <t>Crowfoot Wernch 1/2"dr 30mm</t>
  </si>
  <si>
    <t>Thread Dies 1/2"-3/4" NPT for Asada Beaver 100AT</t>
  </si>
  <si>
    <t>Thread Dies 1"-2" NPT for Asada Beaver 100AT</t>
  </si>
  <si>
    <t>Thread Dies 2-1/2"-4" NPT for Asada Beaver 100AT</t>
  </si>
  <si>
    <t>SS304 Plate 4'x8'x6mm</t>
  </si>
  <si>
    <t>Combination Spanner 30/32mm</t>
  </si>
  <si>
    <t>Digital Hygrometer</t>
  </si>
  <si>
    <t>Digital Hygrometer 3.05" LCD Doqaus</t>
  </si>
  <si>
    <t>Split Level 300mm</t>
  </si>
  <si>
    <t>Dial Test Indicator 0-0.8mm 513-404-10A Mitutoyo</t>
  </si>
  <si>
    <t>Pair</t>
  </si>
  <si>
    <t>Q-20263199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</si>
</sst>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Segoe UI"/>
      <family val="2"/>
      <charset val="1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1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170" fontId="56" fillId="3" borderId="0" xfId="5" applyNumberFormat="1" applyFont="1" applyFill="1"/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55" fillId="0" borderId="23" xfId="0" applyFont="1" applyBorder="1" applyAlignment="1">
      <alignment horizontal="left" vertical="center" wrapText="1"/>
    </xf>
    <xf numFmtId="0" fontId="55" fillId="0" borderId="24" xfId="0" applyFont="1" applyBorder="1" applyAlignment="1">
      <alignment horizontal="left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126</xdr:row>
          <xdr:rowOff>20054</xdr:rowOff>
        </xdr:from>
        <xdr:to>
          <xdr:col>12</xdr:col>
          <xdr:colOff>498</xdr:colOff>
          <xdr:row>133</xdr:row>
          <xdr:rowOff>20056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27:$S$133" spid="_x0000_s130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161"/>
  <sheetViews>
    <sheetView showGridLines="0" tabSelected="1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4.28515625" style="2" customWidth="1"/>
    <col min="2" max="2" width="27.140625" style="2" customWidth="1"/>
    <col min="3" max="3" width="33.5703125" style="2" customWidth="1"/>
    <col min="4" max="6" width="6.710937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6" t="s">
        <v>96</v>
      </c>
      <c r="B1" s="98"/>
      <c r="C1" s="98"/>
      <c r="D1" s="98"/>
      <c r="E1" s="98"/>
      <c r="F1" s="98"/>
      <c r="G1" s="1"/>
      <c r="J1" s="140" t="s">
        <v>87</v>
      </c>
      <c r="K1" s="141"/>
      <c r="L1" s="142"/>
    </row>
    <row r="2" spans="1:18" ht="20.100000000000001" customHeight="1">
      <c r="A2" s="3" t="s">
        <v>1</v>
      </c>
      <c r="B2" s="92"/>
      <c r="C2" s="92"/>
      <c r="D2" s="3" t="s">
        <v>95</v>
      </c>
      <c r="E2" s="92"/>
      <c r="F2" s="92"/>
      <c r="G2" s="92"/>
      <c r="H2" s="92"/>
      <c r="I2" s="4"/>
      <c r="J2" s="143" t="s">
        <v>94</v>
      </c>
      <c r="K2" s="144"/>
      <c r="L2" s="145"/>
    </row>
    <row r="3" spans="1:18" ht="20.100000000000001" customHeight="1">
      <c r="A3" s="3" t="s">
        <v>167</v>
      </c>
      <c r="B3" s="92"/>
      <c r="C3" s="92"/>
      <c r="D3" s="92"/>
      <c r="E3" s="146">
        <f>+L3</f>
        <v>46128</v>
      </c>
      <c r="F3" s="146"/>
      <c r="G3" s="146"/>
      <c r="H3" s="146"/>
      <c r="I3" s="146"/>
      <c r="J3" s="92"/>
      <c r="K3" s="92"/>
      <c r="L3" s="104">
        <v>46128</v>
      </c>
      <c r="M3" s="4"/>
    </row>
    <row r="4" spans="1:18" ht="18" customHeight="1">
      <c r="A4" s="125" t="s">
        <v>2</v>
      </c>
      <c r="B4" s="126" t="s">
        <v>3</v>
      </c>
      <c r="C4" s="126"/>
      <c r="D4" s="127" t="s">
        <v>4</v>
      </c>
      <c r="E4" s="128"/>
      <c r="F4" s="129"/>
      <c r="G4" s="133" t="s">
        <v>5</v>
      </c>
      <c r="H4" s="135" t="s">
        <v>6</v>
      </c>
      <c r="I4" s="135" t="s">
        <v>91</v>
      </c>
      <c r="J4" s="125" t="s">
        <v>92</v>
      </c>
      <c r="K4" s="135" t="s">
        <v>0</v>
      </c>
      <c r="L4" s="126" t="s">
        <v>7</v>
      </c>
    </row>
    <row r="5" spans="1:18" ht="18" customHeight="1">
      <c r="A5" s="125"/>
      <c r="B5" s="126"/>
      <c r="C5" s="126"/>
      <c r="D5" s="130"/>
      <c r="E5" s="131"/>
      <c r="F5" s="132"/>
      <c r="G5" s="134"/>
      <c r="H5" s="136"/>
      <c r="I5" s="136"/>
      <c r="J5" s="125"/>
      <c r="K5" s="136"/>
      <c r="L5" s="126"/>
    </row>
    <row r="6" spans="1:18" ht="18" customHeight="1">
      <c r="A6" s="5">
        <f t="shared" ref="A6:A69" si="0">ROW(A1)</f>
        <v>1</v>
      </c>
      <c r="B6" s="123" t="s">
        <v>153</v>
      </c>
      <c r="C6" s="124"/>
      <c r="D6" s="137"/>
      <c r="E6" s="138"/>
      <c r="F6" s="139"/>
      <c r="G6" s="111" t="s">
        <v>123</v>
      </c>
      <c r="H6" s="111">
        <v>66</v>
      </c>
      <c r="I6" s="112">
        <v>73</v>
      </c>
      <c r="J6" s="99">
        <f>H6*I6</f>
        <v>4818</v>
      </c>
      <c r="K6" s="100" t="s">
        <v>98</v>
      </c>
      <c r="L6" s="101" t="s">
        <v>106</v>
      </c>
      <c r="R6" s="97"/>
    </row>
    <row r="7" spans="1:18" ht="18" customHeight="1">
      <c r="A7" s="5">
        <f t="shared" si="0"/>
        <v>2</v>
      </c>
      <c r="B7" s="123" t="s">
        <v>168</v>
      </c>
      <c r="C7" s="124"/>
      <c r="D7" s="137"/>
      <c r="E7" s="138"/>
      <c r="F7" s="139"/>
      <c r="G7" s="111" t="s">
        <v>123</v>
      </c>
      <c r="H7" s="111">
        <v>3</v>
      </c>
      <c r="I7" s="112">
        <v>330</v>
      </c>
      <c r="J7" s="99">
        <f t="shared" ref="J7:J124" si="1">H7*I7</f>
        <v>990</v>
      </c>
      <c r="K7" s="100"/>
      <c r="L7" s="101"/>
      <c r="R7" s="97"/>
    </row>
    <row r="8" spans="1:18" ht="18" customHeight="1">
      <c r="A8" s="5">
        <f t="shared" si="0"/>
        <v>3</v>
      </c>
      <c r="B8" s="123" t="s">
        <v>162</v>
      </c>
      <c r="C8" s="124"/>
      <c r="D8" s="137"/>
      <c r="E8" s="138"/>
      <c r="F8" s="139"/>
      <c r="G8" s="111" t="s">
        <v>123</v>
      </c>
      <c r="H8" s="111">
        <v>2000</v>
      </c>
      <c r="I8" s="112">
        <v>1.5</v>
      </c>
      <c r="J8" s="99">
        <f t="shared" si="1"/>
        <v>3000</v>
      </c>
      <c r="K8" s="100"/>
      <c r="L8" s="101"/>
      <c r="R8" s="97"/>
    </row>
    <row r="9" spans="1:18" ht="18" customHeight="1">
      <c r="A9" s="5">
        <f t="shared" si="0"/>
        <v>4</v>
      </c>
      <c r="B9" s="123" t="s">
        <v>150</v>
      </c>
      <c r="C9" s="124"/>
      <c r="D9" s="137"/>
      <c r="E9" s="138"/>
      <c r="F9" s="139"/>
      <c r="G9" s="111" t="s">
        <v>123</v>
      </c>
      <c r="H9" s="111">
        <v>30</v>
      </c>
      <c r="I9" s="112">
        <v>6.2</v>
      </c>
      <c r="J9" s="99">
        <f t="shared" si="1"/>
        <v>186</v>
      </c>
      <c r="K9" s="100"/>
      <c r="L9" s="101"/>
      <c r="R9" s="97"/>
    </row>
    <row r="10" spans="1:18" ht="18" customHeight="1">
      <c r="A10" s="5">
        <f t="shared" si="0"/>
        <v>5</v>
      </c>
      <c r="B10" s="123" t="s">
        <v>139</v>
      </c>
      <c r="C10" s="124"/>
      <c r="D10" s="137"/>
      <c r="E10" s="138"/>
      <c r="F10" s="139"/>
      <c r="G10" s="111" t="s">
        <v>249</v>
      </c>
      <c r="H10" s="111">
        <v>4000</v>
      </c>
      <c r="I10" s="112">
        <v>0.55000000000000004</v>
      </c>
      <c r="J10" s="99">
        <f t="shared" si="1"/>
        <v>2200</v>
      </c>
      <c r="K10" s="100"/>
      <c r="L10" s="101"/>
      <c r="R10" s="97"/>
    </row>
    <row r="11" spans="1:18" ht="18" customHeight="1">
      <c r="A11" s="5">
        <f t="shared" si="0"/>
        <v>6</v>
      </c>
      <c r="B11" s="123" t="s">
        <v>140</v>
      </c>
      <c r="C11" s="124"/>
      <c r="D11" s="137"/>
      <c r="E11" s="138"/>
      <c r="F11" s="139"/>
      <c r="G11" s="111" t="s">
        <v>123</v>
      </c>
      <c r="H11" s="111">
        <v>4000</v>
      </c>
      <c r="I11" s="112">
        <v>1.5</v>
      </c>
      <c r="J11" s="99">
        <f t="shared" si="1"/>
        <v>6000</v>
      </c>
      <c r="K11" s="100"/>
      <c r="L11" s="101"/>
      <c r="R11" s="97"/>
    </row>
    <row r="12" spans="1:18" ht="18" customHeight="1">
      <c r="A12" s="5">
        <f t="shared" si="0"/>
        <v>7</v>
      </c>
      <c r="B12" s="123" t="s">
        <v>144</v>
      </c>
      <c r="C12" s="124"/>
      <c r="D12" s="137"/>
      <c r="E12" s="138"/>
      <c r="F12" s="139"/>
      <c r="G12" s="111" t="s">
        <v>165</v>
      </c>
      <c r="H12" s="111">
        <v>24</v>
      </c>
      <c r="I12" s="112">
        <v>450</v>
      </c>
      <c r="J12" s="99">
        <f t="shared" si="1"/>
        <v>10800</v>
      </c>
      <c r="K12" s="100"/>
      <c r="L12" s="101"/>
      <c r="R12" s="97"/>
    </row>
    <row r="13" spans="1:18" ht="18" customHeight="1">
      <c r="A13" s="5">
        <f t="shared" si="0"/>
        <v>8</v>
      </c>
      <c r="B13" s="123" t="s">
        <v>169</v>
      </c>
      <c r="C13" s="124"/>
      <c r="D13" s="137"/>
      <c r="E13" s="138"/>
      <c r="F13" s="139"/>
      <c r="G13" s="111" t="s">
        <v>123</v>
      </c>
      <c r="H13" s="111">
        <v>12</v>
      </c>
      <c r="I13" s="112">
        <v>97</v>
      </c>
      <c r="J13" s="99">
        <f t="shared" si="1"/>
        <v>1164</v>
      </c>
      <c r="K13" s="100"/>
      <c r="L13" s="101"/>
      <c r="R13" s="97"/>
    </row>
    <row r="14" spans="1:18" ht="18" customHeight="1">
      <c r="A14" s="5">
        <f t="shared" si="0"/>
        <v>9</v>
      </c>
      <c r="B14" s="123" t="s">
        <v>146</v>
      </c>
      <c r="C14" s="124"/>
      <c r="D14" s="137"/>
      <c r="E14" s="138"/>
      <c r="F14" s="139"/>
      <c r="G14" s="111" t="s">
        <v>123</v>
      </c>
      <c r="H14" s="111">
        <v>60</v>
      </c>
      <c r="I14" s="112">
        <v>4.2</v>
      </c>
      <c r="J14" s="99">
        <f t="shared" si="1"/>
        <v>252</v>
      </c>
      <c r="K14" s="100"/>
      <c r="L14" s="101"/>
      <c r="R14" s="97"/>
    </row>
    <row r="15" spans="1:18" ht="18" customHeight="1">
      <c r="A15" s="5">
        <f t="shared" si="0"/>
        <v>10</v>
      </c>
      <c r="B15" s="123" t="s">
        <v>147</v>
      </c>
      <c r="C15" s="124"/>
      <c r="D15" s="137"/>
      <c r="E15" s="138"/>
      <c r="F15" s="139"/>
      <c r="G15" s="111" t="s">
        <v>123</v>
      </c>
      <c r="H15" s="111">
        <v>120</v>
      </c>
      <c r="I15" s="112">
        <v>3.5</v>
      </c>
      <c r="J15" s="99">
        <f t="shared" si="1"/>
        <v>420</v>
      </c>
      <c r="K15" s="100"/>
      <c r="L15" s="101"/>
      <c r="R15" s="97"/>
    </row>
    <row r="16" spans="1:18" ht="18" customHeight="1">
      <c r="A16" s="5">
        <f t="shared" si="0"/>
        <v>11</v>
      </c>
      <c r="B16" s="123" t="s">
        <v>128</v>
      </c>
      <c r="C16" s="124"/>
      <c r="D16" s="137"/>
      <c r="E16" s="138"/>
      <c r="F16" s="139"/>
      <c r="G16" s="111" t="s">
        <v>123</v>
      </c>
      <c r="H16" s="111">
        <v>480</v>
      </c>
      <c r="I16" s="112">
        <v>12</v>
      </c>
      <c r="J16" s="99">
        <f t="shared" si="1"/>
        <v>5760</v>
      </c>
      <c r="K16" s="100"/>
      <c r="L16" s="101"/>
      <c r="R16" s="97"/>
    </row>
    <row r="17" spans="1:18" ht="18" customHeight="1">
      <c r="A17" s="5">
        <f t="shared" si="0"/>
        <v>12</v>
      </c>
      <c r="B17" s="123" t="s">
        <v>170</v>
      </c>
      <c r="C17" s="124"/>
      <c r="D17" s="137"/>
      <c r="E17" s="138"/>
      <c r="F17" s="139"/>
      <c r="G17" s="111" t="s">
        <v>165</v>
      </c>
      <c r="H17" s="111">
        <v>25</v>
      </c>
      <c r="I17" s="112">
        <v>187</v>
      </c>
      <c r="J17" s="99">
        <f t="shared" si="1"/>
        <v>4675</v>
      </c>
      <c r="K17" s="100"/>
      <c r="L17" s="101"/>
      <c r="R17" s="97"/>
    </row>
    <row r="18" spans="1:18" ht="18" customHeight="1">
      <c r="A18" s="5">
        <f t="shared" si="0"/>
        <v>13</v>
      </c>
      <c r="B18" s="123" t="s">
        <v>171</v>
      </c>
      <c r="C18" s="124"/>
      <c r="D18" s="137"/>
      <c r="E18" s="138"/>
      <c r="F18" s="139"/>
      <c r="G18" s="111" t="s">
        <v>165</v>
      </c>
      <c r="H18" s="111">
        <v>25</v>
      </c>
      <c r="I18" s="112">
        <v>325</v>
      </c>
      <c r="J18" s="99">
        <f t="shared" si="1"/>
        <v>8125</v>
      </c>
      <c r="K18" s="100"/>
      <c r="L18" s="101"/>
      <c r="R18" s="97"/>
    </row>
    <row r="19" spans="1:18" ht="18" customHeight="1">
      <c r="A19" s="5">
        <f t="shared" si="0"/>
        <v>14</v>
      </c>
      <c r="B19" s="123" t="s">
        <v>172</v>
      </c>
      <c r="C19" s="124"/>
      <c r="D19" s="137"/>
      <c r="E19" s="138"/>
      <c r="F19" s="139"/>
      <c r="G19" s="111" t="s">
        <v>165</v>
      </c>
      <c r="H19" s="111">
        <v>25</v>
      </c>
      <c r="I19" s="112">
        <v>575</v>
      </c>
      <c r="J19" s="99">
        <f t="shared" si="1"/>
        <v>14375</v>
      </c>
      <c r="K19" s="100"/>
      <c r="L19" s="101"/>
      <c r="R19" s="97"/>
    </row>
    <row r="20" spans="1:18" ht="18" customHeight="1">
      <c r="A20" s="5">
        <f t="shared" si="0"/>
        <v>15</v>
      </c>
      <c r="B20" s="123" t="s">
        <v>173</v>
      </c>
      <c r="C20" s="124"/>
      <c r="D20" s="137"/>
      <c r="E20" s="138"/>
      <c r="F20" s="139"/>
      <c r="G20" s="111" t="s">
        <v>165</v>
      </c>
      <c r="H20" s="111">
        <v>8</v>
      </c>
      <c r="I20" s="112">
        <v>837</v>
      </c>
      <c r="J20" s="99">
        <f t="shared" si="1"/>
        <v>6696</v>
      </c>
      <c r="K20" s="100"/>
      <c r="L20" s="101"/>
      <c r="R20" s="97"/>
    </row>
    <row r="21" spans="1:18" ht="18" customHeight="1">
      <c r="A21" s="5">
        <f t="shared" si="0"/>
        <v>16</v>
      </c>
      <c r="B21" s="123" t="s">
        <v>174</v>
      </c>
      <c r="C21" s="124"/>
      <c r="D21" s="137"/>
      <c r="E21" s="138"/>
      <c r="F21" s="139"/>
      <c r="G21" s="111" t="s">
        <v>165</v>
      </c>
      <c r="H21" s="111">
        <v>5</v>
      </c>
      <c r="I21" s="112">
        <v>1335</v>
      </c>
      <c r="J21" s="99">
        <f t="shared" si="1"/>
        <v>6675</v>
      </c>
      <c r="K21" s="100"/>
      <c r="L21" s="101"/>
      <c r="R21" s="97"/>
    </row>
    <row r="22" spans="1:18" ht="18" customHeight="1">
      <c r="A22" s="5">
        <f t="shared" si="0"/>
        <v>17</v>
      </c>
      <c r="B22" s="123" t="s">
        <v>175</v>
      </c>
      <c r="C22" s="124"/>
      <c r="D22" s="137"/>
      <c r="E22" s="138"/>
      <c r="F22" s="139"/>
      <c r="G22" s="111" t="s">
        <v>123</v>
      </c>
      <c r="H22" s="111">
        <v>30</v>
      </c>
      <c r="I22" s="112">
        <v>426</v>
      </c>
      <c r="J22" s="99">
        <f t="shared" si="1"/>
        <v>12780</v>
      </c>
      <c r="K22" s="100"/>
      <c r="L22" s="101"/>
      <c r="R22" s="97"/>
    </row>
    <row r="23" spans="1:18" ht="18" customHeight="1">
      <c r="A23" s="5">
        <f t="shared" si="0"/>
        <v>18</v>
      </c>
      <c r="B23" s="123" t="s">
        <v>176</v>
      </c>
      <c r="C23" s="124"/>
      <c r="D23" s="137"/>
      <c r="E23" s="138"/>
      <c r="F23" s="139"/>
      <c r="G23" s="111" t="s">
        <v>163</v>
      </c>
      <c r="H23" s="111">
        <v>5</v>
      </c>
      <c r="I23" s="112">
        <v>1143</v>
      </c>
      <c r="J23" s="99">
        <f t="shared" si="1"/>
        <v>5715</v>
      </c>
      <c r="K23" s="100"/>
      <c r="L23" s="101"/>
      <c r="R23" s="97"/>
    </row>
    <row r="24" spans="1:18" ht="18" customHeight="1">
      <c r="A24" s="5">
        <f t="shared" si="0"/>
        <v>19</v>
      </c>
      <c r="B24" s="123" t="s">
        <v>149</v>
      </c>
      <c r="C24" s="124"/>
      <c r="D24" s="137"/>
      <c r="E24" s="138"/>
      <c r="F24" s="139"/>
      <c r="G24" s="111" t="s">
        <v>123</v>
      </c>
      <c r="H24" s="111">
        <v>2</v>
      </c>
      <c r="I24" s="112">
        <v>3594</v>
      </c>
      <c r="J24" s="99">
        <f t="shared" si="1"/>
        <v>7188</v>
      </c>
      <c r="K24" s="100"/>
      <c r="L24" s="101"/>
      <c r="R24" s="97"/>
    </row>
    <row r="25" spans="1:18" ht="18" customHeight="1">
      <c r="A25" s="5">
        <f t="shared" si="0"/>
        <v>20</v>
      </c>
      <c r="B25" s="123" t="s">
        <v>177</v>
      </c>
      <c r="C25" s="124"/>
      <c r="D25" s="137"/>
      <c r="E25" s="138"/>
      <c r="F25" s="139"/>
      <c r="G25" s="111" t="s">
        <v>123</v>
      </c>
      <c r="H25" s="111">
        <v>6</v>
      </c>
      <c r="I25" s="112">
        <v>48</v>
      </c>
      <c r="J25" s="99">
        <f t="shared" si="1"/>
        <v>288</v>
      </c>
      <c r="K25" s="100"/>
      <c r="L25" s="101"/>
      <c r="R25" s="97"/>
    </row>
    <row r="26" spans="1:18" ht="18" customHeight="1">
      <c r="A26" s="5">
        <f t="shared" si="0"/>
        <v>21</v>
      </c>
      <c r="B26" s="123" t="s">
        <v>178</v>
      </c>
      <c r="C26" s="124"/>
      <c r="D26" s="137"/>
      <c r="E26" s="138"/>
      <c r="F26" s="139"/>
      <c r="G26" s="111" t="s">
        <v>123</v>
      </c>
      <c r="H26" s="111">
        <v>6</v>
      </c>
      <c r="I26" s="112">
        <v>2.5</v>
      </c>
      <c r="J26" s="99">
        <f t="shared" si="1"/>
        <v>15</v>
      </c>
      <c r="K26" s="100"/>
      <c r="L26" s="101"/>
      <c r="R26" s="97"/>
    </row>
    <row r="27" spans="1:18" ht="18" customHeight="1">
      <c r="A27" s="5">
        <f t="shared" si="0"/>
        <v>22</v>
      </c>
      <c r="B27" s="123" t="s">
        <v>179</v>
      </c>
      <c r="C27" s="124"/>
      <c r="D27" s="137"/>
      <c r="E27" s="138"/>
      <c r="F27" s="139"/>
      <c r="G27" s="111" t="s">
        <v>123</v>
      </c>
      <c r="H27" s="111">
        <v>2</v>
      </c>
      <c r="I27" s="112">
        <v>13.4</v>
      </c>
      <c r="J27" s="99">
        <f t="shared" si="1"/>
        <v>26.8</v>
      </c>
      <c r="K27" s="100"/>
      <c r="L27" s="101"/>
      <c r="R27" s="97"/>
    </row>
    <row r="28" spans="1:18" ht="18" customHeight="1">
      <c r="A28" s="5">
        <f t="shared" si="0"/>
        <v>23</v>
      </c>
      <c r="B28" s="123" t="s">
        <v>180</v>
      </c>
      <c r="C28" s="124"/>
      <c r="D28" s="137"/>
      <c r="E28" s="138"/>
      <c r="F28" s="139"/>
      <c r="G28" s="111" t="s">
        <v>123</v>
      </c>
      <c r="H28" s="111">
        <v>40</v>
      </c>
      <c r="I28" s="112">
        <v>210</v>
      </c>
      <c r="J28" s="99">
        <f t="shared" si="1"/>
        <v>8400</v>
      </c>
      <c r="K28" s="100"/>
      <c r="L28" s="101"/>
      <c r="R28" s="97"/>
    </row>
    <row r="29" spans="1:18" ht="18" customHeight="1">
      <c r="A29" s="5">
        <f t="shared" si="0"/>
        <v>24</v>
      </c>
      <c r="B29" s="123" t="s">
        <v>181</v>
      </c>
      <c r="C29" s="124"/>
      <c r="D29" s="137"/>
      <c r="E29" s="138"/>
      <c r="F29" s="139"/>
      <c r="G29" s="111" t="s">
        <v>123</v>
      </c>
      <c r="H29" s="111">
        <v>2</v>
      </c>
      <c r="I29" s="112">
        <v>3010</v>
      </c>
      <c r="J29" s="99">
        <f t="shared" si="1"/>
        <v>6020</v>
      </c>
      <c r="K29" s="100"/>
      <c r="L29" s="101"/>
      <c r="R29" s="97"/>
    </row>
    <row r="30" spans="1:18" ht="18" customHeight="1">
      <c r="A30" s="5">
        <f t="shared" si="0"/>
        <v>25</v>
      </c>
      <c r="B30" s="123" t="s">
        <v>182</v>
      </c>
      <c r="C30" s="124"/>
      <c r="D30" s="137"/>
      <c r="E30" s="138"/>
      <c r="F30" s="139"/>
      <c r="G30" s="111" t="s">
        <v>123</v>
      </c>
      <c r="H30" s="111">
        <v>2</v>
      </c>
      <c r="I30" s="112">
        <v>430</v>
      </c>
      <c r="J30" s="99">
        <f t="shared" si="1"/>
        <v>860</v>
      </c>
      <c r="K30" s="100"/>
      <c r="L30" s="101"/>
      <c r="R30" s="97"/>
    </row>
    <row r="31" spans="1:18" ht="18" customHeight="1">
      <c r="A31" s="5">
        <f t="shared" si="0"/>
        <v>26</v>
      </c>
      <c r="B31" s="123" t="s">
        <v>183</v>
      </c>
      <c r="C31" s="124"/>
      <c r="D31" s="137"/>
      <c r="E31" s="138"/>
      <c r="F31" s="139"/>
      <c r="G31" s="111" t="s">
        <v>123</v>
      </c>
      <c r="H31" s="111">
        <v>2</v>
      </c>
      <c r="I31" s="112">
        <v>143</v>
      </c>
      <c r="J31" s="99">
        <f t="shared" si="1"/>
        <v>286</v>
      </c>
      <c r="K31" s="100"/>
      <c r="L31" s="101"/>
      <c r="R31" s="97"/>
    </row>
    <row r="32" spans="1:18" ht="18" customHeight="1">
      <c r="A32" s="5">
        <f t="shared" si="0"/>
        <v>27</v>
      </c>
      <c r="B32" s="123" t="s">
        <v>184</v>
      </c>
      <c r="C32" s="124"/>
      <c r="D32" s="137"/>
      <c r="E32" s="138"/>
      <c r="F32" s="139"/>
      <c r="G32" s="111" t="s">
        <v>123</v>
      </c>
      <c r="H32" s="111">
        <v>10</v>
      </c>
      <c r="I32" s="112">
        <v>18</v>
      </c>
      <c r="J32" s="99">
        <f t="shared" si="1"/>
        <v>180</v>
      </c>
      <c r="K32" s="100"/>
      <c r="L32" s="101"/>
      <c r="R32" s="97"/>
    </row>
    <row r="33" spans="1:18" ht="18" customHeight="1">
      <c r="A33" s="5">
        <f t="shared" si="0"/>
        <v>28</v>
      </c>
      <c r="B33" s="123" t="s">
        <v>185</v>
      </c>
      <c r="C33" s="124"/>
      <c r="D33" s="137"/>
      <c r="E33" s="138"/>
      <c r="F33" s="139"/>
      <c r="G33" s="111" t="s">
        <v>123</v>
      </c>
      <c r="H33" s="111">
        <v>10</v>
      </c>
      <c r="I33" s="112">
        <v>12</v>
      </c>
      <c r="J33" s="99">
        <f t="shared" si="1"/>
        <v>120</v>
      </c>
      <c r="K33" s="100"/>
      <c r="L33" s="101"/>
      <c r="R33" s="97"/>
    </row>
    <row r="34" spans="1:18" ht="18" customHeight="1">
      <c r="A34" s="5">
        <f t="shared" si="0"/>
        <v>29</v>
      </c>
      <c r="B34" s="123" t="s">
        <v>186</v>
      </c>
      <c r="C34" s="124"/>
      <c r="D34" s="137"/>
      <c r="E34" s="138"/>
      <c r="F34" s="139"/>
      <c r="G34" s="111" t="s">
        <v>123</v>
      </c>
      <c r="H34" s="111">
        <v>130</v>
      </c>
      <c r="I34" s="112">
        <v>3.5</v>
      </c>
      <c r="J34" s="99">
        <f t="shared" si="1"/>
        <v>455</v>
      </c>
      <c r="K34" s="100"/>
      <c r="L34" s="101"/>
      <c r="R34" s="97"/>
    </row>
    <row r="35" spans="1:18" ht="18" customHeight="1">
      <c r="A35" s="5">
        <f t="shared" si="0"/>
        <v>30</v>
      </c>
      <c r="B35" s="123" t="s">
        <v>187</v>
      </c>
      <c r="C35" s="124"/>
      <c r="D35" s="137"/>
      <c r="E35" s="138"/>
      <c r="F35" s="139"/>
      <c r="G35" s="111" t="s">
        <v>123</v>
      </c>
      <c r="H35" s="111">
        <v>400</v>
      </c>
      <c r="I35" s="112">
        <v>2.15</v>
      </c>
      <c r="J35" s="99">
        <f t="shared" si="1"/>
        <v>860</v>
      </c>
      <c r="K35" s="100"/>
      <c r="L35" s="101"/>
      <c r="R35" s="97"/>
    </row>
    <row r="36" spans="1:18" ht="18" customHeight="1">
      <c r="A36" s="5">
        <f t="shared" si="0"/>
        <v>31</v>
      </c>
      <c r="B36" s="123" t="s">
        <v>188</v>
      </c>
      <c r="C36" s="124"/>
      <c r="D36" s="137"/>
      <c r="E36" s="138"/>
      <c r="F36" s="139"/>
      <c r="G36" s="111" t="s">
        <v>123</v>
      </c>
      <c r="H36" s="111">
        <v>300</v>
      </c>
      <c r="I36" s="112">
        <v>2.7</v>
      </c>
      <c r="J36" s="99">
        <f t="shared" si="1"/>
        <v>810</v>
      </c>
      <c r="K36" s="100"/>
      <c r="L36" s="101"/>
      <c r="R36" s="97"/>
    </row>
    <row r="37" spans="1:18" ht="18" customHeight="1">
      <c r="A37" s="5">
        <f t="shared" si="0"/>
        <v>32</v>
      </c>
      <c r="B37" s="123" t="s">
        <v>132</v>
      </c>
      <c r="C37" s="124"/>
      <c r="D37" s="137"/>
      <c r="E37" s="138"/>
      <c r="F37" s="139"/>
      <c r="G37" s="111" t="s">
        <v>123</v>
      </c>
      <c r="H37" s="111">
        <v>180</v>
      </c>
      <c r="I37" s="112">
        <v>12</v>
      </c>
      <c r="J37" s="99">
        <f t="shared" si="1"/>
        <v>2160</v>
      </c>
      <c r="K37" s="100"/>
      <c r="L37" s="101"/>
      <c r="R37" s="97"/>
    </row>
    <row r="38" spans="1:18" ht="18" customHeight="1">
      <c r="A38" s="5">
        <f t="shared" si="0"/>
        <v>33</v>
      </c>
      <c r="B38" s="123" t="s">
        <v>133</v>
      </c>
      <c r="C38" s="124"/>
      <c r="D38" s="137"/>
      <c r="E38" s="138"/>
      <c r="F38" s="139"/>
      <c r="G38" s="111" t="s">
        <v>123</v>
      </c>
      <c r="H38" s="111">
        <v>900</v>
      </c>
      <c r="I38" s="112">
        <v>21</v>
      </c>
      <c r="J38" s="99">
        <f t="shared" si="1"/>
        <v>18900</v>
      </c>
      <c r="K38" s="100"/>
      <c r="L38" s="101"/>
      <c r="R38" s="97"/>
    </row>
    <row r="39" spans="1:18" ht="18" customHeight="1">
      <c r="A39" s="5">
        <f t="shared" si="0"/>
        <v>34</v>
      </c>
      <c r="B39" s="123" t="s">
        <v>134</v>
      </c>
      <c r="C39" s="124"/>
      <c r="D39" s="137"/>
      <c r="E39" s="138"/>
      <c r="F39" s="139"/>
      <c r="G39" s="111" t="s">
        <v>123</v>
      </c>
      <c r="H39" s="111">
        <v>330</v>
      </c>
      <c r="I39" s="112">
        <v>25</v>
      </c>
      <c r="J39" s="99">
        <f t="shared" si="1"/>
        <v>8250</v>
      </c>
      <c r="K39" s="100"/>
      <c r="L39" s="101"/>
      <c r="R39" s="97"/>
    </row>
    <row r="40" spans="1:18" ht="18" customHeight="1">
      <c r="A40" s="5">
        <f t="shared" si="0"/>
        <v>35</v>
      </c>
      <c r="B40" s="123" t="s">
        <v>129</v>
      </c>
      <c r="C40" s="124"/>
      <c r="D40" s="137"/>
      <c r="E40" s="138"/>
      <c r="F40" s="139"/>
      <c r="G40" s="111" t="s">
        <v>123</v>
      </c>
      <c r="H40" s="111">
        <v>300</v>
      </c>
      <c r="I40" s="112">
        <v>12</v>
      </c>
      <c r="J40" s="99">
        <f t="shared" si="1"/>
        <v>3600</v>
      </c>
      <c r="K40" s="100"/>
      <c r="L40" s="101"/>
      <c r="R40" s="97"/>
    </row>
    <row r="41" spans="1:18" ht="18" customHeight="1">
      <c r="A41" s="5">
        <f t="shared" si="0"/>
        <v>36</v>
      </c>
      <c r="B41" s="123" t="s">
        <v>130</v>
      </c>
      <c r="C41" s="124"/>
      <c r="D41" s="137"/>
      <c r="E41" s="138"/>
      <c r="F41" s="139"/>
      <c r="G41" s="111" t="s">
        <v>123</v>
      </c>
      <c r="H41" s="111">
        <v>300</v>
      </c>
      <c r="I41" s="112">
        <v>12</v>
      </c>
      <c r="J41" s="99">
        <f t="shared" si="1"/>
        <v>3600</v>
      </c>
      <c r="K41" s="100"/>
      <c r="L41" s="101"/>
      <c r="R41" s="97"/>
    </row>
    <row r="42" spans="1:18" ht="18" customHeight="1">
      <c r="A42" s="5">
        <f t="shared" si="0"/>
        <v>37</v>
      </c>
      <c r="B42" s="123" t="s">
        <v>189</v>
      </c>
      <c r="C42" s="124"/>
      <c r="D42" s="137"/>
      <c r="E42" s="138"/>
      <c r="F42" s="139"/>
      <c r="G42" s="111" t="s">
        <v>123</v>
      </c>
      <c r="H42" s="111">
        <v>15</v>
      </c>
      <c r="I42" s="112">
        <v>84</v>
      </c>
      <c r="J42" s="99">
        <f t="shared" si="1"/>
        <v>1260</v>
      </c>
      <c r="K42" s="100"/>
      <c r="L42" s="101"/>
      <c r="R42" s="97"/>
    </row>
    <row r="43" spans="1:18" ht="18" customHeight="1">
      <c r="A43" s="5">
        <f t="shared" si="0"/>
        <v>38</v>
      </c>
      <c r="B43" s="123" t="s">
        <v>190</v>
      </c>
      <c r="C43" s="124"/>
      <c r="D43" s="137"/>
      <c r="E43" s="138"/>
      <c r="F43" s="139"/>
      <c r="G43" s="111" t="s">
        <v>123</v>
      </c>
      <c r="H43" s="111">
        <v>60</v>
      </c>
      <c r="I43" s="112">
        <v>3.9</v>
      </c>
      <c r="J43" s="99">
        <f t="shared" si="1"/>
        <v>234</v>
      </c>
      <c r="K43" s="100"/>
      <c r="L43" s="101"/>
      <c r="R43" s="97"/>
    </row>
    <row r="44" spans="1:18" ht="18" customHeight="1">
      <c r="A44" s="5">
        <f t="shared" si="0"/>
        <v>39</v>
      </c>
      <c r="B44" s="123" t="s">
        <v>191</v>
      </c>
      <c r="C44" s="124"/>
      <c r="D44" s="137"/>
      <c r="E44" s="138"/>
      <c r="F44" s="139"/>
      <c r="G44" s="111" t="s">
        <v>123</v>
      </c>
      <c r="H44" s="111">
        <v>60</v>
      </c>
      <c r="I44" s="112">
        <v>2.2000000000000002</v>
      </c>
      <c r="J44" s="99">
        <f t="shared" si="1"/>
        <v>132</v>
      </c>
      <c r="K44" s="100"/>
      <c r="L44" s="101"/>
      <c r="R44" s="97"/>
    </row>
    <row r="45" spans="1:18" ht="18" customHeight="1">
      <c r="A45" s="5">
        <f t="shared" si="0"/>
        <v>40</v>
      </c>
      <c r="B45" s="123" t="s">
        <v>192</v>
      </c>
      <c r="C45" s="124"/>
      <c r="D45" s="137"/>
      <c r="E45" s="138"/>
      <c r="F45" s="139"/>
      <c r="G45" s="111" t="s">
        <v>123</v>
      </c>
      <c r="H45" s="111">
        <v>4</v>
      </c>
      <c r="I45" s="112">
        <v>56</v>
      </c>
      <c r="J45" s="99">
        <f t="shared" si="1"/>
        <v>224</v>
      </c>
      <c r="K45" s="100"/>
      <c r="L45" s="101"/>
      <c r="R45" s="97"/>
    </row>
    <row r="46" spans="1:18" ht="18" customHeight="1">
      <c r="A46" s="5">
        <f t="shared" si="0"/>
        <v>41</v>
      </c>
      <c r="B46" s="123" t="s">
        <v>193</v>
      </c>
      <c r="C46" s="124"/>
      <c r="D46" s="137"/>
      <c r="E46" s="138"/>
      <c r="F46" s="139"/>
      <c r="G46" s="111" t="s">
        <v>123</v>
      </c>
      <c r="H46" s="111">
        <v>5</v>
      </c>
      <c r="I46" s="112">
        <v>5</v>
      </c>
      <c r="J46" s="99">
        <f t="shared" si="1"/>
        <v>25</v>
      </c>
      <c r="K46" s="100"/>
      <c r="L46" s="101"/>
      <c r="R46" s="97"/>
    </row>
    <row r="47" spans="1:18" ht="18" customHeight="1">
      <c r="A47" s="5">
        <f t="shared" si="0"/>
        <v>42</v>
      </c>
      <c r="B47" s="123" t="s">
        <v>194</v>
      </c>
      <c r="C47" s="124"/>
      <c r="D47" s="137"/>
      <c r="E47" s="138"/>
      <c r="F47" s="139"/>
      <c r="G47" s="111" t="s">
        <v>123</v>
      </c>
      <c r="H47" s="111">
        <v>10</v>
      </c>
      <c r="I47" s="112">
        <v>2</v>
      </c>
      <c r="J47" s="99">
        <f t="shared" si="1"/>
        <v>20</v>
      </c>
      <c r="K47" s="100"/>
      <c r="L47" s="101"/>
      <c r="R47" s="97"/>
    </row>
    <row r="48" spans="1:18" ht="18" customHeight="1">
      <c r="A48" s="5">
        <f t="shared" si="0"/>
        <v>43</v>
      </c>
      <c r="B48" s="123" t="s">
        <v>195</v>
      </c>
      <c r="C48" s="124"/>
      <c r="D48" s="137"/>
      <c r="E48" s="138"/>
      <c r="F48" s="139"/>
      <c r="G48" s="111" t="s">
        <v>123</v>
      </c>
      <c r="H48" s="111">
        <v>12</v>
      </c>
      <c r="I48" s="112">
        <v>14.5</v>
      </c>
      <c r="J48" s="99">
        <f t="shared" si="1"/>
        <v>174</v>
      </c>
      <c r="K48" s="100"/>
      <c r="L48" s="101"/>
      <c r="R48" s="97"/>
    </row>
    <row r="49" spans="1:18" ht="18" customHeight="1">
      <c r="A49" s="5">
        <f t="shared" si="0"/>
        <v>44</v>
      </c>
      <c r="B49" s="123" t="s">
        <v>158</v>
      </c>
      <c r="C49" s="124"/>
      <c r="D49" s="137"/>
      <c r="E49" s="138"/>
      <c r="F49" s="139"/>
      <c r="G49" s="111" t="s">
        <v>123</v>
      </c>
      <c r="H49" s="111">
        <v>30</v>
      </c>
      <c r="I49" s="112">
        <v>14.5</v>
      </c>
      <c r="J49" s="99">
        <f t="shared" si="1"/>
        <v>435</v>
      </c>
      <c r="K49" s="100"/>
      <c r="L49" s="101"/>
      <c r="R49" s="97"/>
    </row>
    <row r="50" spans="1:18" ht="18" customHeight="1">
      <c r="A50" s="5">
        <f t="shared" si="0"/>
        <v>45</v>
      </c>
      <c r="B50" s="123" t="s">
        <v>196</v>
      </c>
      <c r="C50" s="124"/>
      <c r="D50" s="137"/>
      <c r="E50" s="138"/>
      <c r="F50" s="139"/>
      <c r="G50" s="111" t="s">
        <v>123</v>
      </c>
      <c r="H50" s="111">
        <v>6</v>
      </c>
      <c r="I50" s="112">
        <v>98</v>
      </c>
      <c r="J50" s="99">
        <f t="shared" si="1"/>
        <v>588</v>
      </c>
      <c r="K50" s="100"/>
      <c r="L50" s="101"/>
      <c r="R50" s="97"/>
    </row>
    <row r="51" spans="1:18" ht="18" customHeight="1">
      <c r="A51" s="5">
        <f t="shared" si="0"/>
        <v>46</v>
      </c>
      <c r="B51" s="123" t="s">
        <v>143</v>
      </c>
      <c r="C51" s="124"/>
      <c r="D51" s="137"/>
      <c r="E51" s="138"/>
      <c r="F51" s="139"/>
      <c r="G51" s="111" t="s">
        <v>123</v>
      </c>
      <c r="H51" s="111">
        <v>15</v>
      </c>
      <c r="I51" s="112">
        <v>415</v>
      </c>
      <c r="J51" s="99">
        <f t="shared" si="1"/>
        <v>6225</v>
      </c>
      <c r="K51" s="100"/>
      <c r="L51" s="101"/>
      <c r="R51" s="97"/>
    </row>
    <row r="52" spans="1:18" ht="18" customHeight="1">
      <c r="A52" s="5">
        <f t="shared" si="0"/>
        <v>47</v>
      </c>
      <c r="B52" s="123" t="s">
        <v>197</v>
      </c>
      <c r="C52" s="124"/>
      <c r="D52" s="120"/>
      <c r="E52" s="121"/>
      <c r="F52" s="122"/>
      <c r="G52" s="111" t="s">
        <v>123</v>
      </c>
      <c r="H52" s="111">
        <v>10</v>
      </c>
      <c r="I52" s="112">
        <v>600</v>
      </c>
      <c r="J52" s="99">
        <f t="shared" si="1"/>
        <v>6000</v>
      </c>
      <c r="K52" s="100"/>
      <c r="L52" s="101"/>
      <c r="R52" s="97"/>
    </row>
    <row r="53" spans="1:18" ht="18" customHeight="1">
      <c r="A53" s="5">
        <f t="shared" si="0"/>
        <v>48</v>
      </c>
      <c r="B53" s="123" t="s">
        <v>125</v>
      </c>
      <c r="C53" s="124"/>
      <c r="D53" s="120"/>
      <c r="E53" s="121"/>
      <c r="F53" s="122"/>
      <c r="G53" s="111" t="s">
        <v>123</v>
      </c>
      <c r="H53" s="111">
        <v>60</v>
      </c>
      <c r="I53" s="112">
        <v>14</v>
      </c>
      <c r="J53" s="99">
        <f t="shared" si="1"/>
        <v>840</v>
      </c>
      <c r="K53" s="100"/>
      <c r="L53" s="101"/>
      <c r="R53" s="97"/>
    </row>
    <row r="54" spans="1:18" ht="18" customHeight="1">
      <c r="A54" s="5">
        <f t="shared" si="0"/>
        <v>49</v>
      </c>
      <c r="B54" s="123" t="s">
        <v>161</v>
      </c>
      <c r="C54" s="124"/>
      <c r="D54" s="120"/>
      <c r="E54" s="121"/>
      <c r="F54" s="122"/>
      <c r="G54" s="111" t="s">
        <v>123</v>
      </c>
      <c r="H54" s="111">
        <v>60</v>
      </c>
      <c r="I54" s="112">
        <v>14</v>
      </c>
      <c r="J54" s="99">
        <f t="shared" si="1"/>
        <v>840</v>
      </c>
      <c r="K54" s="100"/>
      <c r="L54" s="101"/>
      <c r="R54" s="97"/>
    </row>
    <row r="55" spans="1:18" ht="18" customHeight="1">
      <c r="A55" s="5">
        <f t="shared" si="0"/>
        <v>50</v>
      </c>
      <c r="B55" s="123" t="s">
        <v>126</v>
      </c>
      <c r="C55" s="124"/>
      <c r="D55" s="120"/>
      <c r="E55" s="121"/>
      <c r="F55" s="122"/>
      <c r="G55" s="111" t="s">
        <v>123</v>
      </c>
      <c r="H55" s="111">
        <v>60</v>
      </c>
      <c r="I55" s="112">
        <v>14</v>
      </c>
      <c r="J55" s="99">
        <f t="shared" si="1"/>
        <v>840</v>
      </c>
      <c r="K55" s="100"/>
      <c r="L55" s="101"/>
      <c r="R55" s="97"/>
    </row>
    <row r="56" spans="1:18" ht="18" customHeight="1">
      <c r="A56" s="5">
        <f t="shared" si="0"/>
        <v>51</v>
      </c>
      <c r="B56" s="123" t="s">
        <v>198</v>
      </c>
      <c r="C56" s="124"/>
      <c r="D56" s="120"/>
      <c r="E56" s="121"/>
      <c r="F56" s="122"/>
      <c r="G56" s="111" t="s">
        <v>123</v>
      </c>
      <c r="H56" s="111">
        <v>2</v>
      </c>
      <c r="I56" s="112">
        <v>630</v>
      </c>
      <c r="J56" s="99">
        <f t="shared" si="1"/>
        <v>1260</v>
      </c>
      <c r="K56" s="100"/>
      <c r="L56" s="101"/>
      <c r="R56" s="97"/>
    </row>
    <row r="57" spans="1:18" ht="18" customHeight="1">
      <c r="A57" s="5">
        <f t="shared" si="0"/>
        <v>52</v>
      </c>
      <c r="B57" s="123" t="s">
        <v>199</v>
      </c>
      <c r="C57" s="124"/>
      <c r="D57" s="120"/>
      <c r="E57" s="121"/>
      <c r="F57" s="122"/>
      <c r="G57" s="111" t="s">
        <v>123</v>
      </c>
      <c r="H57" s="111">
        <v>2</v>
      </c>
      <c r="I57" s="112">
        <v>16</v>
      </c>
      <c r="J57" s="99">
        <f t="shared" si="1"/>
        <v>32</v>
      </c>
      <c r="K57" s="100"/>
      <c r="L57" s="101"/>
      <c r="R57" s="97"/>
    </row>
    <row r="58" spans="1:18" ht="18" customHeight="1">
      <c r="A58" s="5">
        <f t="shared" si="0"/>
        <v>53</v>
      </c>
      <c r="B58" s="123" t="s">
        <v>200</v>
      </c>
      <c r="C58" s="124"/>
      <c r="D58" s="120"/>
      <c r="E58" s="121"/>
      <c r="F58" s="122"/>
      <c r="G58" s="111" t="s">
        <v>123</v>
      </c>
      <c r="H58" s="111">
        <v>3</v>
      </c>
      <c r="I58" s="112">
        <v>2420</v>
      </c>
      <c r="J58" s="99">
        <f t="shared" si="1"/>
        <v>7260</v>
      </c>
      <c r="K58" s="100"/>
      <c r="L58" s="101"/>
      <c r="R58" s="97"/>
    </row>
    <row r="59" spans="1:18" ht="18" customHeight="1">
      <c r="A59" s="5">
        <f t="shared" si="0"/>
        <v>54</v>
      </c>
      <c r="B59" s="123" t="s">
        <v>201</v>
      </c>
      <c r="C59" s="124"/>
      <c r="D59" s="120"/>
      <c r="E59" s="121"/>
      <c r="F59" s="122"/>
      <c r="G59" s="111" t="s">
        <v>123</v>
      </c>
      <c r="H59" s="111">
        <v>500</v>
      </c>
      <c r="I59" s="112">
        <v>2.2000000000000002</v>
      </c>
      <c r="J59" s="99">
        <f t="shared" si="1"/>
        <v>1100</v>
      </c>
      <c r="K59" s="100"/>
      <c r="L59" s="101"/>
      <c r="R59" s="97"/>
    </row>
    <row r="60" spans="1:18" ht="18" customHeight="1">
      <c r="A60" s="5">
        <f t="shared" si="0"/>
        <v>55</v>
      </c>
      <c r="B60" s="123" t="s">
        <v>137</v>
      </c>
      <c r="C60" s="124"/>
      <c r="D60" s="120"/>
      <c r="E60" s="121"/>
      <c r="F60" s="122"/>
      <c r="G60" s="111" t="s">
        <v>123</v>
      </c>
      <c r="H60" s="111">
        <v>300</v>
      </c>
      <c r="I60" s="112">
        <v>18</v>
      </c>
      <c r="J60" s="99">
        <f t="shared" si="1"/>
        <v>5400</v>
      </c>
      <c r="K60" s="100"/>
      <c r="L60" s="101"/>
      <c r="R60" s="97"/>
    </row>
    <row r="61" spans="1:18" ht="18" customHeight="1">
      <c r="A61" s="5">
        <f t="shared" si="0"/>
        <v>56</v>
      </c>
      <c r="B61" s="123" t="s">
        <v>202</v>
      </c>
      <c r="C61" s="124"/>
      <c r="D61" s="120"/>
      <c r="E61" s="121"/>
      <c r="F61" s="122"/>
      <c r="G61" s="111" t="s">
        <v>123</v>
      </c>
      <c r="H61" s="111">
        <v>12</v>
      </c>
      <c r="I61" s="112">
        <v>38</v>
      </c>
      <c r="J61" s="99">
        <f t="shared" si="1"/>
        <v>456</v>
      </c>
      <c r="K61" s="100"/>
      <c r="L61" s="101"/>
      <c r="R61" s="97"/>
    </row>
    <row r="62" spans="1:18" ht="18" customHeight="1">
      <c r="A62" s="5">
        <f t="shared" si="0"/>
        <v>57</v>
      </c>
      <c r="B62" s="123" t="s">
        <v>203</v>
      </c>
      <c r="C62" s="124"/>
      <c r="D62" s="120"/>
      <c r="E62" s="121"/>
      <c r="F62" s="122"/>
      <c r="G62" s="111" t="s">
        <v>123</v>
      </c>
      <c r="H62" s="111">
        <v>12</v>
      </c>
      <c r="I62" s="112">
        <v>85</v>
      </c>
      <c r="J62" s="99">
        <f t="shared" si="1"/>
        <v>1020</v>
      </c>
      <c r="K62" s="100"/>
      <c r="L62" s="101"/>
      <c r="R62" s="97"/>
    </row>
    <row r="63" spans="1:18" ht="18" customHeight="1">
      <c r="A63" s="5">
        <f t="shared" si="0"/>
        <v>58</v>
      </c>
      <c r="B63" s="123" t="s">
        <v>204</v>
      </c>
      <c r="C63" s="124"/>
      <c r="D63" s="120"/>
      <c r="E63" s="121"/>
      <c r="F63" s="122"/>
      <c r="G63" s="111" t="s">
        <v>123</v>
      </c>
      <c r="H63" s="111">
        <v>120</v>
      </c>
      <c r="I63" s="112">
        <v>0.95</v>
      </c>
      <c r="J63" s="99">
        <f t="shared" si="1"/>
        <v>114</v>
      </c>
      <c r="K63" s="100"/>
      <c r="L63" s="101"/>
      <c r="R63" s="97"/>
    </row>
    <row r="64" spans="1:18" ht="18" customHeight="1">
      <c r="A64" s="5">
        <f t="shared" si="0"/>
        <v>59</v>
      </c>
      <c r="B64" s="123" t="s">
        <v>205</v>
      </c>
      <c r="C64" s="124"/>
      <c r="D64" s="120"/>
      <c r="E64" s="121"/>
      <c r="F64" s="122"/>
      <c r="G64" s="111" t="s">
        <v>123</v>
      </c>
      <c r="H64" s="111">
        <v>120</v>
      </c>
      <c r="I64" s="112">
        <v>0.95</v>
      </c>
      <c r="J64" s="99">
        <f t="shared" si="1"/>
        <v>114</v>
      </c>
      <c r="K64" s="100"/>
      <c r="L64" s="101"/>
      <c r="R64" s="97"/>
    </row>
    <row r="65" spans="1:18" ht="18" customHeight="1">
      <c r="A65" s="5">
        <f t="shared" si="0"/>
        <v>60</v>
      </c>
      <c r="B65" s="123" t="s">
        <v>136</v>
      </c>
      <c r="C65" s="124"/>
      <c r="D65" s="120"/>
      <c r="E65" s="121"/>
      <c r="F65" s="122"/>
      <c r="G65" s="111" t="s">
        <v>123</v>
      </c>
      <c r="H65" s="111">
        <v>120</v>
      </c>
      <c r="I65" s="112">
        <v>0.95</v>
      </c>
      <c r="J65" s="99">
        <f t="shared" si="1"/>
        <v>114</v>
      </c>
      <c r="K65" s="100"/>
      <c r="L65" s="101"/>
      <c r="R65" s="97"/>
    </row>
    <row r="66" spans="1:18" ht="18" customHeight="1">
      <c r="A66" s="5">
        <f t="shared" si="0"/>
        <v>61</v>
      </c>
      <c r="B66" s="123" t="s">
        <v>131</v>
      </c>
      <c r="C66" s="124"/>
      <c r="D66" s="120"/>
      <c r="E66" s="121"/>
      <c r="F66" s="122"/>
      <c r="G66" s="111" t="s">
        <v>123</v>
      </c>
      <c r="H66" s="111">
        <v>120</v>
      </c>
      <c r="I66" s="112">
        <v>13</v>
      </c>
      <c r="J66" s="99">
        <f t="shared" si="1"/>
        <v>1560</v>
      </c>
      <c r="K66" s="100"/>
      <c r="L66" s="101"/>
      <c r="R66" s="97"/>
    </row>
    <row r="67" spans="1:18" ht="18" customHeight="1">
      <c r="A67" s="5">
        <f t="shared" si="0"/>
        <v>62</v>
      </c>
      <c r="B67" s="123" t="s">
        <v>160</v>
      </c>
      <c r="C67" s="124"/>
      <c r="D67" s="120"/>
      <c r="E67" s="121"/>
      <c r="F67" s="122"/>
      <c r="G67" s="111" t="s">
        <v>123</v>
      </c>
      <c r="H67" s="111">
        <v>120</v>
      </c>
      <c r="I67" s="112">
        <v>5.9</v>
      </c>
      <c r="J67" s="99">
        <f t="shared" si="1"/>
        <v>708</v>
      </c>
      <c r="K67" s="100"/>
      <c r="L67" s="101"/>
      <c r="R67" s="97"/>
    </row>
    <row r="68" spans="1:18" ht="18" customHeight="1">
      <c r="A68" s="5">
        <f t="shared" si="0"/>
        <v>63</v>
      </c>
      <c r="B68" s="123" t="s">
        <v>159</v>
      </c>
      <c r="C68" s="124"/>
      <c r="D68" s="120"/>
      <c r="E68" s="121"/>
      <c r="F68" s="122"/>
      <c r="G68" s="111" t="s">
        <v>123</v>
      </c>
      <c r="H68" s="111">
        <v>120</v>
      </c>
      <c r="I68" s="112">
        <v>5.9</v>
      </c>
      <c r="J68" s="99">
        <f t="shared" si="1"/>
        <v>708</v>
      </c>
      <c r="K68" s="100"/>
      <c r="L68" s="101"/>
      <c r="R68" s="97"/>
    </row>
    <row r="69" spans="1:18" ht="18" customHeight="1">
      <c r="A69" s="5">
        <f t="shared" si="0"/>
        <v>64</v>
      </c>
      <c r="B69" s="123" t="s">
        <v>206</v>
      </c>
      <c r="C69" s="124"/>
      <c r="D69" s="120"/>
      <c r="E69" s="121"/>
      <c r="F69" s="122"/>
      <c r="G69" s="111" t="s">
        <v>123</v>
      </c>
      <c r="H69" s="111">
        <v>120</v>
      </c>
      <c r="I69" s="112">
        <v>12</v>
      </c>
      <c r="J69" s="99">
        <f t="shared" si="1"/>
        <v>1440</v>
      </c>
      <c r="K69" s="100"/>
      <c r="L69" s="101"/>
      <c r="R69" s="97"/>
    </row>
    <row r="70" spans="1:18" ht="18" customHeight="1">
      <c r="A70" s="5">
        <f t="shared" ref="A70:A124" si="2">ROW(A65)</f>
        <v>65</v>
      </c>
      <c r="B70" s="123" t="s">
        <v>207</v>
      </c>
      <c r="C70" s="124"/>
      <c r="D70" s="120"/>
      <c r="E70" s="121"/>
      <c r="F70" s="122"/>
      <c r="G70" s="111" t="s">
        <v>164</v>
      </c>
      <c r="H70" s="111">
        <v>3</v>
      </c>
      <c r="I70" s="112">
        <v>580</v>
      </c>
      <c r="J70" s="99">
        <f t="shared" si="1"/>
        <v>1740</v>
      </c>
      <c r="K70" s="100"/>
      <c r="L70" s="101"/>
      <c r="R70" s="97"/>
    </row>
    <row r="71" spans="1:18" ht="18" customHeight="1">
      <c r="A71" s="5">
        <f t="shared" si="2"/>
        <v>66</v>
      </c>
      <c r="B71" s="123" t="s">
        <v>208</v>
      </c>
      <c r="C71" s="124"/>
      <c r="D71" s="120"/>
      <c r="E71" s="121"/>
      <c r="F71" s="122"/>
      <c r="G71" s="111" t="s">
        <v>123</v>
      </c>
      <c r="H71" s="111">
        <v>2</v>
      </c>
      <c r="I71" s="112">
        <v>628</v>
      </c>
      <c r="J71" s="99">
        <f t="shared" si="1"/>
        <v>1256</v>
      </c>
      <c r="K71" s="100"/>
      <c r="L71" s="101"/>
      <c r="R71" s="97"/>
    </row>
    <row r="72" spans="1:18" ht="18" customHeight="1">
      <c r="A72" s="5">
        <f t="shared" si="2"/>
        <v>67</v>
      </c>
      <c r="B72" s="123" t="s">
        <v>209</v>
      </c>
      <c r="C72" s="124"/>
      <c r="D72" s="120"/>
      <c r="E72" s="121"/>
      <c r="F72" s="122"/>
      <c r="G72" s="111" t="s">
        <v>123</v>
      </c>
      <c r="H72" s="111">
        <v>3</v>
      </c>
      <c r="I72" s="112">
        <v>5.5</v>
      </c>
      <c r="J72" s="99">
        <f t="shared" si="1"/>
        <v>16.5</v>
      </c>
      <c r="K72" s="100"/>
      <c r="L72" s="101"/>
      <c r="R72" s="97"/>
    </row>
    <row r="73" spans="1:18" ht="18" customHeight="1">
      <c r="A73" s="5">
        <f t="shared" si="2"/>
        <v>68</v>
      </c>
      <c r="B73" s="123" t="s">
        <v>210</v>
      </c>
      <c r="C73" s="124"/>
      <c r="D73" s="120"/>
      <c r="E73" s="121"/>
      <c r="F73" s="122"/>
      <c r="G73" s="111" t="s">
        <v>123</v>
      </c>
      <c r="H73" s="111">
        <v>5</v>
      </c>
      <c r="I73" s="112">
        <v>9</v>
      </c>
      <c r="J73" s="99">
        <f t="shared" si="1"/>
        <v>45</v>
      </c>
      <c r="K73" s="100"/>
      <c r="L73" s="101"/>
      <c r="R73" s="97"/>
    </row>
    <row r="74" spans="1:18" ht="18" customHeight="1">
      <c r="A74" s="5">
        <f t="shared" si="2"/>
        <v>69</v>
      </c>
      <c r="B74" s="123" t="s">
        <v>211</v>
      </c>
      <c r="C74" s="124"/>
      <c r="D74" s="120"/>
      <c r="E74" s="121"/>
      <c r="F74" s="122"/>
      <c r="G74" s="111" t="s">
        <v>123</v>
      </c>
      <c r="H74" s="111">
        <v>5</v>
      </c>
      <c r="I74" s="112">
        <v>13</v>
      </c>
      <c r="J74" s="99">
        <f t="shared" si="1"/>
        <v>65</v>
      </c>
      <c r="K74" s="100"/>
      <c r="L74" s="101"/>
      <c r="R74" s="97"/>
    </row>
    <row r="75" spans="1:18" ht="18" customHeight="1">
      <c r="A75" s="5">
        <f t="shared" si="2"/>
        <v>70</v>
      </c>
      <c r="B75" s="123" t="s">
        <v>212</v>
      </c>
      <c r="C75" s="124"/>
      <c r="D75" s="120"/>
      <c r="E75" s="121"/>
      <c r="F75" s="122"/>
      <c r="G75" s="111" t="s">
        <v>123</v>
      </c>
      <c r="H75" s="111">
        <v>3</v>
      </c>
      <c r="I75" s="112">
        <v>20</v>
      </c>
      <c r="J75" s="99">
        <f t="shared" si="1"/>
        <v>60</v>
      </c>
      <c r="K75" s="100"/>
      <c r="L75" s="101"/>
      <c r="R75" s="97"/>
    </row>
    <row r="76" spans="1:18" ht="18" customHeight="1">
      <c r="A76" s="5">
        <f t="shared" si="2"/>
        <v>71</v>
      </c>
      <c r="B76" s="123" t="s">
        <v>213</v>
      </c>
      <c r="C76" s="124"/>
      <c r="D76" s="120"/>
      <c r="E76" s="121"/>
      <c r="F76" s="122"/>
      <c r="G76" s="111" t="s">
        <v>123</v>
      </c>
      <c r="H76" s="111">
        <v>5</v>
      </c>
      <c r="I76" s="112">
        <v>23</v>
      </c>
      <c r="J76" s="99">
        <f t="shared" si="1"/>
        <v>115</v>
      </c>
      <c r="K76" s="100"/>
      <c r="L76" s="101"/>
      <c r="R76" s="97"/>
    </row>
    <row r="77" spans="1:18" ht="18" customHeight="1">
      <c r="A77" s="5">
        <f t="shared" si="2"/>
        <v>72</v>
      </c>
      <c r="B77" s="123" t="s">
        <v>214</v>
      </c>
      <c r="C77" s="124"/>
      <c r="D77" s="120"/>
      <c r="E77" s="121"/>
      <c r="F77" s="122"/>
      <c r="G77" s="111" t="s">
        <v>123</v>
      </c>
      <c r="H77" s="111">
        <v>3</v>
      </c>
      <c r="I77" s="112">
        <v>26</v>
      </c>
      <c r="J77" s="99">
        <f t="shared" si="1"/>
        <v>78</v>
      </c>
      <c r="K77" s="100"/>
      <c r="L77" s="101"/>
      <c r="R77" s="97"/>
    </row>
    <row r="78" spans="1:18" ht="18" customHeight="1">
      <c r="A78" s="5">
        <f t="shared" si="2"/>
        <v>73</v>
      </c>
      <c r="B78" s="123" t="s">
        <v>215</v>
      </c>
      <c r="C78" s="124"/>
      <c r="D78" s="120"/>
      <c r="E78" s="121"/>
      <c r="F78" s="122"/>
      <c r="G78" s="111" t="s">
        <v>123</v>
      </c>
      <c r="H78" s="111">
        <v>3</v>
      </c>
      <c r="I78" s="112">
        <v>43</v>
      </c>
      <c r="J78" s="99">
        <f t="shared" si="1"/>
        <v>129</v>
      </c>
      <c r="K78" s="100"/>
      <c r="L78" s="101"/>
      <c r="R78" s="97"/>
    </row>
    <row r="79" spans="1:18" ht="18" customHeight="1">
      <c r="A79" s="5">
        <f t="shared" si="2"/>
        <v>74</v>
      </c>
      <c r="B79" s="123" t="s">
        <v>216</v>
      </c>
      <c r="C79" s="124"/>
      <c r="D79" s="120"/>
      <c r="E79" s="121"/>
      <c r="F79" s="122"/>
      <c r="G79" s="111" t="s">
        <v>123</v>
      </c>
      <c r="H79" s="111">
        <v>60</v>
      </c>
      <c r="I79" s="112">
        <v>38</v>
      </c>
      <c r="J79" s="99">
        <f t="shared" si="1"/>
        <v>2280</v>
      </c>
      <c r="K79" s="100"/>
      <c r="L79" s="101"/>
      <c r="R79" s="97"/>
    </row>
    <row r="80" spans="1:18" ht="18" customHeight="1">
      <c r="A80" s="5">
        <f t="shared" si="2"/>
        <v>75</v>
      </c>
      <c r="B80" s="123" t="s">
        <v>217</v>
      </c>
      <c r="C80" s="124"/>
      <c r="D80" s="120"/>
      <c r="E80" s="121"/>
      <c r="F80" s="122"/>
      <c r="G80" s="111" t="s">
        <v>123</v>
      </c>
      <c r="H80" s="111">
        <v>2</v>
      </c>
      <c r="I80" s="112">
        <v>348</v>
      </c>
      <c r="J80" s="99">
        <f t="shared" si="1"/>
        <v>696</v>
      </c>
      <c r="K80" s="100"/>
      <c r="L80" s="101"/>
      <c r="R80" s="97"/>
    </row>
    <row r="81" spans="1:18" ht="18" customHeight="1">
      <c r="A81" s="5">
        <f t="shared" si="2"/>
        <v>76</v>
      </c>
      <c r="B81" s="123" t="s">
        <v>218</v>
      </c>
      <c r="C81" s="124"/>
      <c r="D81" s="120"/>
      <c r="E81" s="121"/>
      <c r="F81" s="122"/>
      <c r="G81" s="111" t="s">
        <v>123</v>
      </c>
      <c r="H81" s="111">
        <v>24</v>
      </c>
      <c r="I81" s="112">
        <v>44</v>
      </c>
      <c r="J81" s="99">
        <f t="shared" si="1"/>
        <v>1056</v>
      </c>
      <c r="K81" s="100"/>
      <c r="L81" s="101"/>
      <c r="R81" s="97"/>
    </row>
    <row r="82" spans="1:18" ht="18" customHeight="1">
      <c r="A82" s="5">
        <f t="shared" si="2"/>
        <v>77</v>
      </c>
      <c r="B82" s="123" t="s">
        <v>219</v>
      </c>
      <c r="C82" s="124"/>
      <c r="D82" s="120"/>
      <c r="E82" s="121"/>
      <c r="F82" s="122"/>
      <c r="G82" s="111" t="s">
        <v>123</v>
      </c>
      <c r="H82" s="111">
        <v>6</v>
      </c>
      <c r="I82" s="112">
        <v>216</v>
      </c>
      <c r="J82" s="99">
        <f t="shared" si="1"/>
        <v>1296</v>
      </c>
      <c r="K82" s="100"/>
      <c r="L82" s="101"/>
      <c r="R82" s="97"/>
    </row>
    <row r="83" spans="1:18" ht="18" customHeight="1">
      <c r="A83" s="5">
        <f t="shared" si="2"/>
        <v>78</v>
      </c>
      <c r="B83" s="123" t="s">
        <v>220</v>
      </c>
      <c r="C83" s="124"/>
      <c r="D83" s="120"/>
      <c r="E83" s="121"/>
      <c r="F83" s="122"/>
      <c r="G83" s="111" t="s">
        <v>123</v>
      </c>
      <c r="H83" s="111">
        <v>6</v>
      </c>
      <c r="I83" s="112">
        <v>218</v>
      </c>
      <c r="J83" s="99">
        <f t="shared" si="1"/>
        <v>1308</v>
      </c>
      <c r="K83" s="100"/>
      <c r="L83" s="101"/>
      <c r="R83" s="97"/>
    </row>
    <row r="84" spans="1:18" ht="18" customHeight="1">
      <c r="A84" s="5">
        <f t="shared" si="2"/>
        <v>79</v>
      </c>
      <c r="B84" s="123" t="s">
        <v>221</v>
      </c>
      <c r="C84" s="124"/>
      <c r="D84" s="120"/>
      <c r="E84" s="121"/>
      <c r="F84" s="122"/>
      <c r="G84" s="111" t="s">
        <v>123</v>
      </c>
      <c r="H84" s="111">
        <v>6</v>
      </c>
      <c r="I84" s="112">
        <v>220</v>
      </c>
      <c r="J84" s="99">
        <f t="shared" si="1"/>
        <v>1320</v>
      </c>
      <c r="K84" s="100"/>
      <c r="L84" s="101"/>
      <c r="R84" s="97"/>
    </row>
    <row r="85" spans="1:18" ht="18" customHeight="1">
      <c r="A85" s="5">
        <f t="shared" si="2"/>
        <v>80</v>
      </c>
      <c r="B85" s="123" t="s">
        <v>222</v>
      </c>
      <c r="C85" s="124"/>
      <c r="D85" s="120"/>
      <c r="E85" s="121"/>
      <c r="F85" s="122"/>
      <c r="G85" s="111" t="s">
        <v>123</v>
      </c>
      <c r="H85" s="111">
        <v>6</v>
      </c>
      <c r="I85" s="112">
        <v>238</v>
      </c>
      <c r="J85" s="99">
        <f t="shared" si="1"/>
        <v>1428</v>
      </c>
      <c r="K85" s="100"/>
      <c r="L85" s="101"/>
      <c r="R85" s="97"/>
    </row>
    <row r="86" spans="1:18" ht="18" customHeight="1">
      <c r="A86" s="5">
        <f t="shared" si="2"/>
        <v>81</v>
      </c>
      <c r="B86" s="123" t="s">
        <v>223</v>
      </c>
      <c r="C86" s="124"/>
      <c r="D86" s="120"/>
      <c r="E86" s="121"/>
      <c r="F86" s="122"/>
      <c r="G86" s="111" t="s">
        <v>123</v>
      </c>
      <c r="H86" s="111">
        <v>5</v>
      </c>
      <c r="I86" s="112">
        <v>110</v>
      </c>
      <c r="J86" s="99">
        <f t="shared" si="1"/>
        <v>550</v>
      </c>
      <c r="K86" s="100"/>
      <c r="L86" s="101"/>
      <c r="R86" s="97"/>
    </row>
    <row r="87" spans="1:18" ht="18" customHeight="1">
      <c r="A87" s="5">
        <f t="shared" si="2"/>
        <v>82</v>
      </c>
      <c r="B87" s="123" t="s">
        <v>224</v>
      </c>
      <c r="C87" s="124"/>
      <c r="D87" s="120"/>
      <c r="E87" s="121"/>
      <c r="F87" s="122"/>
      <c r="G87" s="111" t="s">
        <v>123</v>
      </c>
      <c r="H87" s="111">
        <v>10</v>
      </c>
      <c r="I87" s="112">
        <v>928</v>
      </c>
      <c r="J87" s="99">
        <f t="shared" si="1"/>
        <v>9280</v>
      </c>
      <c r="K87" s="100"/>
      <c r="L87" s="101"/>
      <c r="R87" s="97"/>
    </row>
    <row r="88" spans="1:18" ht="18" customHeight="1">
      <c r="A88" s="5">
        <f t="shared" si="2"/>
        <v>83</v>
      </c>
      <c r="B88" s="123" t="s">
        <v>225</v>
      </c>
      <c r="C88" s="124"/>
      <c r="D88" s="120"/>
      <c r="E88" s="121"/>
      <c r="F88" s="122"/>
      <c r="G88" s="111" t="s">
        <v>123</v>
      </c>
      <c r="H88" s="111">
        <v>12</v>
      </c>
      <c r="I88" s="112">
        <v>29</v>
      </c>
      <c r="J88" s="99">
        <f t="shared" si="1"/>
        <v>348</v>
      </c>
      <c r="K88" s="100"/>
      <c r="L88" s="101"/>
      <c r="R88" s="97"/>
    </row>
    <row r="89" spans="1:18" ht="18" customHeight="1">
      <c r="A89" s="5">
        <f t="shared" si="2"/>
        <v>84</v>
      </c>
      <c r="B89" s="123" t="s">
        <v>135</v>
      </c>
      <c r="C89" s="124"/>
      <c r="D89" s="120"/>
      <c r="E89" s="121"/>
      <c r="F89" s="122"/>
      <c r="G89" s="111" t="s">
        <v>163</v>
      </c>
      <c r="H89" s="111">
        <v>95</v>
      </c>
      <c r="I89" s="112">
        <v>24.5</v>
      </c>
      <c r="J89" s="99">
        <f t="shared" si="1"/>
        <v>2327.5</v>
      </c>
      <c r="K89" s="100"/>
      <c r="L89" s="101"/>
      <c r="R89" s="97"/>
    </row>
    <row r="90" spans="1:18" ht="18" customHeight="1">
      <c r="A90" s="5">
        <f t="shared" si="2"/>
        <v>85</v>
      </c>
      <c r="B90" s="123" t="s">
        <v>226</v>
      </c>
      <c r="C90" s="124"/>
      <c r="D90" s="120"/>
      <c r="E90" s="121"/>
      <c r="F90" s="122"/>
      <c r="G90" s="111" t="s">
        <v>165</v>
      </c>
      <c r="H90" s="111">
        <v>12</v>
      </c>
      <c r="I90" s="112">
        <v>99</v>
      </c>
      <c r="J90" s="99">
        <f t="shared" si="1"/>
        <v>1188</v>
      </c>
      <c r="K90" s="100"/>
      <c r="L90" s="101"/>
      <c r="R90" s="97"/>
    </row>
    <row r="91" spans="1:18" ht="18" customHeight="1">
      <c r="A91" s="5">
        <f t="shared" si="2"/>
        <v>86</v>
      </c>
      <c r="B91" s="123" t="s">
        <v>227</v>
      </c>
      <c r="C91" s="124"/>
      <c r="D91" s="120"/>
      <c r="E91" s="121"/>
      <c r="F91" s="122"/>
      <c r="G91" s="111" t="s">
        <v>165</v>
      </c>
      <c r="H91" s="111">
        <v>6</v>
      </c>
      <c r="I91" s="112">
        <v>31</v>
      </c>
      <c r="J91" s="99">
        <f t="shared" si="1"/>
        <v>186</v>
      </c>
      <c r="K91" s="100"/>
      <c r="L91" s="101"/>
      <c r="R91" s="97"/>
    </row>
    <row r="92" spans="1:18" ht="18" customHeight="1">
      <c r="A92" s="5">
        <f t="shared" si="2"/>
        <v>87</v>
      </c>
      <c r="B92" s="123" t="s">
        <v>154</v>
      </c>
      <c r="C92" s="124"/>
      <c r="D92" s="120"/>
      <c r="E92" s="121"/>
      <c r="F92" s="122"/>
      <c r="G92" s="111" t="s">
        <v>123</v>
      </c>
      <c r="H92" s="111">
        <v>240</v>
      </c>
      <c r="I92" s="112">
        <v>30.5</v>
      </c>
      <c r="J92" s="99">
        <f t="shared" si="1"/>
        <v>7320</v>
      </c>
      <c r="K92" s="100"/>
      <c r="L92" s="101"/>
      <c r="R92" s="97"/>
    </row>
    <row r="93" spans="1:18" ht="18" customHeight="1">
      <c r="A93" s="5">
        <f t="shared" si="2"/>
        <v>88</v>
      </c>
      <c r="B93" s="123" t="s">
        <v>228</v>
      </c>
      <c r="C93" s="124"/>
      <c r="D93" s="120"/>
      <c r="E93" s="121"/>
      <c r="F93" s="122"/>
      <c r="G93" s="111" t="s">
        <v>163</v>
      </c>
      <c r="H93" s="111">
        <v>3</v>
      </c>
      <c r="I93" s="112">
        <v>102</v>
      </c>
      <c r="J93" s="99">
        <f t="shared" si="1"/>
        <v>306</v>
      </c>
      <c r="K93" s="100"/>
      <c r="L93" s="101"/>
      <c r="R93" s="97"/>
    </row>
    <row r="94" spans="1:18" ht="18" customHeight="1">
      <c r="A94" s="5">
        <f t="shared" si="2"/>
        <v>89</v>
      </c>
      <c r="B94" s="123" t="s">
        <v>151</v>
      </c>
      <c r="C94" s="124"/>
      <c r="D94" s="120"/>
      <c r="E94" s="121"/>
      <c r="F94" s="122"/>
      <c r="G94" s="111" t="s">
        <v>123</v>
      </c>
      <c r="H94" s="111">
        <v>2</v>
      </c>
      <c r="I94" s="112">
        <v>95</v>
      </c>
      <c r="J94" s="99">
        <f t="shared" si="1"/>
        <v>190</v>
      </c>
      <c r="K94" s="100"/>
      <c r="L94" s="101"/>
      <c r="R94" s="97"/>
    </row>
    <row r="95" spans="1:18" ht="18" customHeight="1">
      <c r="A95" s="5">
        <f t="shared" si="2"/>
        <v>90</v>
      </c>
      <c r="B95" s="123" t="s">
        <v>229</v>
      </c>
      <c r="C95" s="124"/>
      <c r="D95" s="120"/>
      <c r="E95" s="121"/>
      <c r="F95" s="122"/>
      <c r="G95" s="111" t="s">
        <v>123</v>
      </c>
      <c r="H95" s="111">
        <v>12</v>
      </c>
      <c r="I95" s="112">
        <v>182</v>
      </c>
      <c r="J95" s="99">
        <f t="shared" si="1"/>
        <v>2184</v>
      </c>
      <c r="K95" s="100"/>
      <c r="L95" s="101"/>
      <c r="R95" s="97"/>
    </row>
    <row r="96" spans="1:18" ht="18" customHeight="1">
      <c r="A96" s="5">
        <f t="shared" si="2"/>
        <v>91</v>
      </c>
      <c r="B96" s="123" t="s">
        <v>230</v>
      </c>
      <c r="C96" s="124"/>
      <c r="D96" s="120"/>
      <c r="E96" s="121"/>
      <c r="F96" s="122"/>
      <c r="G96" s="111" t="s">
        <v>123</v>
      </c>
      <c r="H96" s="111">
        <v>12</v>
      </c>
      <c r="I96" s="112">
        <v>117</v>
      </c>
      <c r="J96" s="99">
        <f t="shared" si="1"/>
        <v>1404</v>
      </c>
      <c r="K96" s="100"/>
      <c r="L96" s="101"/>
      <c r="R96" s="97"/>
    </row>
    <row r="97" spans="1:18" ht="18" customHeight="1">
      <c r="A97" s="5">
        <f t="shared" si="2"/>
        <v>92</v>
      </c>
      <c r="B97" s="123" t="s">
        <v>231</v>
      </c>
      <c r="C97" s="124"/>
      <c r="D97" s="120"/>
      <c r="E97" s="121"/>
      <c r="F97" s="122"/>
      <c r="G97" s="111" t="s">
        <v>123</v>
      </c>
      <c r="H97" s="111">
        <v>1</v>
      </c>
      <c r="I97" s="112">
        <v>2420</v>
      </c>
      <c r="J97" s="99">
        <f t="shared" si="1"/>
        <v>2420</v>
      </c>
      <c r="K97" s="100"/>
      <c r="L97" s="101"/>
      <c r="R97" s="97"/>
    </row>
    <row r="98" spans="1:18" ht="18" customHeight="1">
      <c r="A98" s="5">
        <f t="shared" si="2"/>
        <v>93</v>
      </c>
      <c r="B98" s="123" t="s">
        <v>232</v>
      </c>
      <c r="C98" s="124"/>
      <c r="D98" s="120"/>
      <c r="E98" s="121"/>
      <c r="F98" s="122"/>
      <c r="G98" s="111" t="s">
        <v>165</v>
      </c>
      <c r="H98" s="111">
        <v>2</v>
      </c>
      <c r="I98" s="112">
        <v>325</v>
      </c>
      <c r="J98" s="99">
        <f t="shared" si="1"/>
        <v>650</v>
      </c>
      <c r="K98" s="100"/>
      <c r="L98" s="101"/>
      <c r="R98" s="97"/>
    </row>
    <row r="99" spans="1:18" ht="18" customHeight="1">
      <c r="A99" s="5">
        <f t="shared" si="2"/>
        <v>94</v>
      </c>
      <c r="B99" s="123" t="s">
        <v>233</v>
      </c>
      <c r="C99" s="124"/>
      <c r="D99" s="120"/>
      <c r="E99" s="121"/>
      <c r="F99" s="122"/>
      <c r="G99" s="111" t="s">
        <v>165</v>
      </c>
      <c r="H99" s="111">
        <v>2</v>
      </c>
      <c r="I99" s="112">
        <v>130</v>
      </c>
      <c r="J99" s="99">
        <f t="shared" si="1"/>
        <v>260</v>
      </c>
      <c r="K99" s="100"/>
      <c r="L99" s="101"/>
      <c r="R99" s="97"/>
    </row>
    <row r="100" spans="1:18" ht="18" customHeight="1">
      <c r="A100" s="5">
        <f t="shared" si="2"/>
        <v>95</v>
      </c>
      <c r="B100" s="123" t="s">
        <v>234</v>
      </c>
      <c r="C100" s="124"/>
      <c r="D100" s="120"/>
      <c r="E100" s="121"/>
      <c r="F100" s="122"/>
      <c r="G100" s="111" t="s">
        <v>123</v>
      </c>
      <c r="H100" s="111">
        <v>18</v>
      </c>
      <c r="I100" s="112">
        <v>3200</v>
      </c>
      <c r="J100" s="99">
        <f t="shared" si="1"/>
        <v>57600</v>
      </c>
      <c r="K100" s="100"/>
      <c r="L100" s="101"/>
      <c r="R100" s="97"/>
    </row>
    <row r="101" spans="1:18" ht="18" customHeight="1">
      <c r="A101" s="5">
        <f t="shared" si="2"/>
        <v>96</v>
      </c>
      <c r="B101" s="123" t="s">
        <v>235</v>
      </c>
      <c r="C101" s="124"/>
      <c r="D101" s="120"/>
      <c r="E101" s="121"/>
      <c r="F101" s="122"/>
      <c r="G101" s="111" t="s">
        <v>123</v>
      </c>
      <c r="H101" s="111">
        <v>25</v>
      </c>
      <c r="I101" s="112">
        <v>275</v>
      </c>
      <c r="J101" s="99">
        <f t="shared" si="1"/>
        <v>6875</v>
      </c>
      <c r="K101" s="100"/>
      <c r="L101" s="101"/>
      <c r="R101" s="97"/>
    </row>
    <row r="102" spans="1:18" ht="18" customHeight="1">
      <c r="A102" s="5">
        <f t="shared" si="2"/>
        <v>97</v>
      </c>
      <c r="B102" s="123" t="s">
        <v>155</v>
      </c>
      <c r="C102" s="124"/>
      <c r="D102" s="120"/>
      <c r="E102" s="121"/>
      <c r="F102" s="122"/>
      <c r="G102" s="111" t="s">
        <v>123</v>
      </c>
      <c r="H102" s="111">
        <v>1800</v>
      </c>
      <c r="I102" s="112">
        <v>1.8</v>
      </c>
      <c r="J102" s="99">
        <f t="shared" si="1"/>
        <v>3240</v>
      </c>
      <c r="K102" s="100"/>
      <c r="L102" s="101"/>
      <c r="R102" s="97"/>
    </row>
    <row r="103" spans="1:18" ht="18" customHeight="1">
      <c r="A103" s="5">
        <f t="shared" si="2"/>
        <v>98</v>
      </c>
      <c r="B103" s="123" t="s">
        <v>236</v>
      </c>
      <c r="C103" s="124"/>
      <c r="D103" s="120"/>
      <c r="E103" s="121"/>
      <c r="F103" s="122"/>
      <c r="G103" s="111" t="s">
        <v>123</v>
      </c>
      <c r="H103" s="111">
        <v>120</v>
      </c>
      <c r="I103" s="112">
        <v>4.8</v>
      </c>
      <c r="J103" s="99">
        <f t="shared" si="1"/>
        <v>576</v>
      </c>
      <c r="K103" s="100"/>
      <c r="L103" s="101"/>
      <c r="R103" s="97"/>
    </row>
    <row r="104" spans="1:18" ht="18" customHeight="1">
      <c r="A104" s="5">
        <f t="shared" si="2"/>
        <v>99</v>
      </c>
      <c r="B104" s="123" t="s">
        <v>237</v>
      </c>
      <c r="C104" s="124"/>
      <c r="D104" s="120"/>
      <c r="E104" s="121"/>
      <c r="F104" s="122"/>
      <c r="G104" s="111" t="s">
        <v>123</v>
      </c>
      <c r="H104" s="111">
        <v>120</v>
      </c>
      <c r="I104" s="112">
        <v>3.7</v>
      </c>
      <c r="J104" s="99">
        <f t="shared" si="1"/>
        <v>444</v>
      </c>
      <c r="K104" s="100"/>
      <c r="L104" s="101"/>
      <c r="R104" s="97"/>
    </row>
    <row r="105" spans="1:18" ht="18" customHeight="1">
      <c r="A105" s="5">
        <f t="shared" si="2"/>
        <v>100</v>
      </c>
      <c r="B105" s="123" t="s">
        <v>138</v>
      </c>
      <c r="C105" s="124"/>
      <c r="D105" s="120"/>
      <c r="E105" s="121"/>
      <c r="F105" s="122"/>
      <c r="G105" s="111" t="s">
        <v>123</v>
      </c>
      <c r="H105" s="111">
        <v>30</v>
      </c>
      <c r="I105" s="112">
        <v>35</v>
      </c>
      <c r="J105" s="99">
        <f t="shared" si="1"/>
        <v>1050</v>
      </c>
      <c r="K105" s="100"/>
      <c r="L105" s="101"/>
      <c r="R105" s="97"/>
    </row>
    <row r="106" spans="1:18" ht="18" customHeight="1">
      <c r="A106" s="5">
        <f t="shared" si="2"/>
        <v>101</v>
      </c>
      <c r="B106" s="123" t="s">
        <v>156</v>
      </c>
      <c r="C106" s="124"/>
      <c r="D106" s="120"/>
      <c r="E106" s="121"/>
      <c r="F106" s="122"/>
      <c r="G106" s="111" t="s">
        <v>123</v>
      </c>
      <c r="H106" s="111">
        <v>600</v>
      </c>
      <c r="I106" s="112">
        <v>2.8</v>
      </c>
      <c r="J106" s="99">
        <f t="shared" si="1"/>
        <v>1680</v>
      </c>
      <c r="K106" s="100"/>
      <c r="L106" s="101"/>
      <c r="R106" s="97"/>
    </row>
    <row r="107" spans="1:18" ht="18" customHeight="1">
      <c r="A107" s="5">
        <f t="shared" si="2"/>
        <v>102</v>
      </c>
      <c r="B107" s="123" t="s">
        <v>145</v>
      </c>
      <c r="C107" s="124"/>
      <c r="D107" s="120"/>
      <c r="E107" s="121"/>
      <c r="F107" s="122"/>
      <c r="G107" s="111" t="s">
        <v>123</v>
      </c>
      <c r="H107" s="111">
        <v>360</v>
      </c>
      <c r="I107" s="112">
        <v>76.5</v>
      </c>
      <c r="J107" s="99">
        <f t="shared" si="1"/>
        <v>27540</v>
      </c>
      <c r="K107" s="100"/>
      <c r="L107" s="101"/>
      <c r="R107" s="97"/>
    </row>
    <row r="108" spans="1:18" ht="18" customHeight="1">
      <c r="A108" s="5">
        <f t="shared" si="2"/>
        <v>103</v>
      </c>
      <c r="B108" s="123" t="s">
        <v>142</v>
      </c>
      <c r="C108" s="124"/>
      <c r="D108" s="120"/>
      <c r="E108" s="121"/>
      <c r="F108" s="122"/>
      <c r="G108" s="111" t="s">
        <v>123</v>
      </c>
      <c r="H108" s="111">
        <v>240</v>
      </c>
      <c r="I108" s="112">
        <v>5.8</v>
      </c>
      <c r="J108" s="99">
        <f t="shared" si="1"/>
        <v>1392</v>
      </c>
      <c r="K108" s="100"/>
      <c r="L108" s="101"/>
      <c r="R108" s="97"/>
    </row>
    <row r="109" spans="1:18" ht="18" customHeight="1">
      <c r="A109" s="5">
        <f t="shared" si="2"/>
        <v>104</v>
      </c>
      <c r="B109" s="123" t="s">
        <v>141</v>
      </c>
      <c r="C109" s="124"/>
      <c r="D109" s="120"/>
      <c r="E109" s="121"/>
      <c r="F109" s="122"/>
      <c r="G109" s="111" t="s">
        <v>123</v>
      </c>
      <c r="H109" s="111">
        <v>240</v>
      </c>
      <c r="I109" s="112">
        <v>5.8</v>
      </c>
      <c r="J109" s="99">
        <f t="shared" si="1"/>
        <v>1392</v>
      </c>
      <c r="K109" s="100"/>
      <c r="L109" s="101"/>
      <c r="R109" s="97"/>
    </row>
    <row r="110" spans="1:18" ht="18" customHeight="1">
      <c r="A110" s="5">
        <f t="shared" si="2"/>
        <v>105</v>
      </c>
      <c r="B110" s="123" t="s">
        <v>148</v>
      </c>
      <c r="C110" s="124"/>
      <c r="D110" s="120"/>
      <c r="E110" s="121"/>
      <c r="F110" s="122"/>
      <c r="G110" s="111" t="s">
        <v>123</v>
      </c>
      <c r="H110" s="111">
        <v>240</v>
      </c>
      <c r="I110" s="112">
        <v>9.8000000000000007</v>
      </c>
      <c r="J110" s="99">
        <f t="shared" si="1"/>
        <v>2352</v>
      </c>
      <c r="K110" s="100"/>
      <c r="L110" s="101"/>
      <c r="R110" s="97"/>
    </row>
    <row r="111" spans="1:18" ht="18" customHeight="1">
      <c r="A111" s="5">
        <f t="shared" si="2"/>
        <v>106</v>
      </c>
      <c r="B111" s="123" t="s">
        <v>152</v>
      </c>
      <c r="C111" s="124"/>
      <c r="D111" s="120"/>
      <c r="E111" s="121"/>
      <c r="F111" s="122"/>
      <c r="G111" s="111" t="s">
        <v>163</v>
      </c>
      <c r="H111" s="111">
        <v>120</v>
      </c>
      <c r="I111" s="112">
        <v>14</v>
      </c>
      <c r="J111" s="99">
        <f t="shared" si="1"/>
        <v>1680</v>
      </c>
      <c r="K111" s="100"/>
      <c r="L111" s="101"/>
      <c r="R111" s="97"/>
    </row>
    <row r="112" spans="1:18" ht="18" customHeight="1">
      <c r="A112" s="5">
        <f t="shared" si="2"/>
        <v>107</v>
      </c>
      <c r="B112" s="123" t="s">
        <v>127</v>
      </c>
      <c r="C112" s="124"/>
      <c r="D112" s="120"/>
      <c r="E112" s="121"/>
      <c r="F112" s="122"/>
      <c r="G112" s="111" t="s">
        <v>123</v>
      </c>
      <c r="H112" s="111">
        <v>120</v>
      </c>
      <c r="I112" s="112">
        <v>158</v>
      </c>
      <c r="J112" s="99">
        <f t="shared" si="1"/>
        <v>18960</v>
      </c>
      <c r="K112" s="100"/>
      <c r="L112" s="101"/>
      <c r="R112" s="97"/>
    </row>
    <row r="113" spans="1:19" ht="18" customHeight="1">
      <c r="A113" s="5">
        <f t="shared" si="2"/>
        <v>108</v>
      </c>
      <c r="B113" s="123" t="s">
        <v>238</v>
      </c>
      <c r="C113" s="124"/>
      <c r="D113" s="120"/>
      <c r="E113" s="121"/>
      <c r="F113" s="122"/>
      <c r="G113" s="111" t="s">
        <v>123</v>
      </c>
      <c r="H113" s="111">
        <v>8</v>
      </c>
      <c r="I113" s="112">
        <v>152</v>
      </c>
      <c r="J113" s="99">
        <f t="shared" si="1"/>
        <v>1216</v>
      </c>
      <c r="K113" s="100"/>
      <c r="L113" s="101"/>
      <c r="R113" s="97"/>
    </row>
    <row r="114" spans="1:19" ht="18" customHeight="1">
      <c r="A114" s="5">
        <f t="shared" si="2"/>
        <v>109</v>
      </c>
      <c r="B114" s="123" t="s">
        <v>239</v>
      </c>
      <c r="C114" s="124"/>
      <c r="D114" s="120"/>
      <c r="E114" s="121"/>
      <c r="F114" s="122"/>
      <c r="G114" s="111" t="s">
        <v>123</v>
      </c>
      <c r="H114" s="111">
        <v>6</v>
      </c>
      <c r="I114" s="112">
        <v>47</v>
      </c>
      <c r="J114" s="99">
        <f t="shared" si="1"/>
        <v>282</v>
      </c>
      <c r="K114" s="100"/>
      <c r="L114" s="101"/>
      <c r="R114" s="97"/>
    </row>
    <row r="115" spans="1:19" ht="18" customHeight="1">
      <c r="A115" s="5">
        <f t="shared" si="2"/>
        <v>110</v>
      </c>
      <c r="B115" s="123" t="s">
        <v>240</v>
      </c>
      <c r="C115" s="124"/>
      <c r="D115" s="120"/>
      <c r="E115" s="121"/>
      <c r="F115" s="122"/>
      <c r="G115" s="111" t="s">
        <v>163</v>
      </c>
      <c r="H115" s="111">
        <v>12</v>
      </c>
      <c r="I115" s="112">
        <v>673</v>
      </c>
      <c r="J115" s="99">
        <f t="shared" si="1"/>
        <v>8076</v>
      </c>
      <c r="K115" s="100"/>
      <c r="L115" s="101"/>
      <c r="R115" s="97"/>
    </row>
    <row r="116" spans="1:19" ht="18" customHeight="1">
      <c r="A116" s="5">
        <f t="shared" si="2"/>
        <v>111</v>
      </c>
      <c r="B116" s="123" t="s">
        <v>241</v>
      </c>
      <c r="C116" s="124"/>
      <c r="D116" s="120"/>
      <c r="E116" s="121"/>
      <c r="F116" s="122"/>
      <c r="G116" s="111" t="s">
        <v>163</v>
      </c>
      <c r="H116" s="111">
        <v>12</v>
      </c>
      <c r="I116" s="112">
        <v>715</v>
      </c>
      <c r="J116" s="99">
        <f t="shared" si="1"/>
        <v>8580</v>
      </c>
      <c r="K116" s="100"/>
      <c r="L116" s="101"/>
      <c r="R116" s="97"/>
    </row>
    <row r="117" spans="1:19" ht="18" customHeight="1">
      <c r="A117" s="5">
        <f t="shared" si="2"/>
        <v>112</v>
      </c>
      <c r="B117" s="123" t="s">
        <v>242</v>
      </c>
      <c r="C117" s="124"/>
      <c r="D117" s="120"/>
      <c r="E117" s="121"/>
      <c r="F117" s="122"/>
      <c r="G117" s="111" t="s">
        <v>163</v>
      </c>
      <c r="H117" s="111">
        <v>8</v>
      </c>
      <c r="I117" s="112">
        <v>972</v>
      </c>
      <c r="J117" s="99">
        <f t="shared" si="1"/>
        <v>7776</v>
      </c>
      <c r="K117" s="100"/>
      <c r="L117" s="101"/>
      <c r="R117" s="97"/>
    </row>
    <row r="118" spans="1:19" ht="18" customHeight="1">
      <c r="A118" s="5">
        <f t="shared" si="2"/>
        <v>113</v>
      </c>
      <c r="B118" s="123" t="s">
        <v>243</v>
      </c>
      <c r="C118" s="124"/>
      <c r="D118" s="120"/>
      <c r="E118" s="121"/>
      <c r="F118" s="122"/>
      <c r="G118" s="111" t="s">
        <v>123</v>
      </c>
      <c r="H118" s="111">
        <v>1</v>
      </c>
      <c r="I118" s="112">
        <v>2243</v>
      </c>
      <c r="J118" s="99">
        <f t="shared" si="1"/>
        <v>2243</v>
      </c>
      <c r="K118" s="100"/>
      <c r="L118" s="101"/>
      <c r="R118" s="97"/>
    </row>
    <row r="119" spans="1:19" ht="18" customHeight="1">
      <c r="A119" s="5">
        <f t="shared" si="2"/>
        <v>114</v>
      </c>
      <c r="B119" s="123" t="s">
        <v>244</v>
      </c>
      <c r="C119" s="124"/>
      <c r="D119" s="120"/>
      <c r="E119" s="121"/>
      <c r="F119" s="122"/>
      <c r="G119" s="111" t="s">
        <v>123</v>
      </c>
      <c r="H119" s="111">
        <v>18</v>
      </c>
      <c r="I119" s="112">
        <v>33</v>
      </c>
      <c r="J119" s="99">
        <f t="shared" si="1"/>
        <v>594</v>
      </c>
      <c r="K119" s="100"/>
      <c r="L119" s="101"/>
      <c r="R119" s="97"/>
    </row>
    <row r="120" spans="1:19" ht="18" customHeight="1">
      <c r="A120" s="5">
        <f t="shared" si="2"/>
        <v>115</v>
      </c>
      <c r="B120" s="123" t="s">
        <v>245</v>
      </c>
      <c r="C120" s="124"/>
      <c r="D120" s="120"/>
      <c r="E120" s="121"/>
      <c r="F120" s="122"/>
      <c r="G120" s="111" t="s">
        <v>123</v>
      </c>
      <c r="H120" s="111">
        <v>2</v>
      </c>
      <c r="I120" s="112">
        <v>42</v>
      </c>
      <c r="J120" s="99">
        <f t="shared" si="1"/>
        <v>84</v>
      </c>
      <c r="K120" s="100"/>
      <c r="L120" s="101"/>
      <c r="R120" s="97"/>
    </row>
    <row r="121" spans="1:19" ht="18" customHeight="1">
      <c r="A121" s="5">
        <f t="shared" si="2"/>
        <v>116</v>
      </c>
      <c r="B121" s="123" t="s">
        <v>246</v>
      </c>
      <c r="C121" s="124"/>
      <c r="D121" s="120"/>
      <c r="E121" s="121"/>
      <c r="F121" s="122"/>
      <c r="G121" s="111" t="s">
        <v>123</v>
      </c>
      <c r="H121" s="111">
        <v>3</v>
      </c>
      <c r="I121" s="112">
        <v>66</v>
      </c>
      <c r="J121" s="99">
        <f t="shared" si="1"/>
        <v>198</v>
      </c>
      <c r="K121" s="100"/>
      <c r="L121" s="101"/>
      <c r="R121" s="97"/>
    </row>
    <row r="122" spans="1:19" ht="18" customHeight="1">
      <c r="A122" s="5">
        <f t="shared" si="2"/>
        <v>117</v>
      </c>
      <c r="B122" s="123" t="s">
        <v>247</v>
      </c>
      <c r="C122" s="124"/>
      <c r="D122" s="120"/>
      <c r="E122" s="121"/>
      <c r="F122" s="122"/>
      <c r="G122" s="111" t="s">
        <v>123</v>
      </c>
      <c r="H122" s="111">
        <v>30</v>
      </c>
      <c r="I122" s="112">
        <v>18</v>
      </c>
      <c r="J122" s="99">
        <f t="shared" si="1"/>
        <v>540</v>
      </c>
      <c r="K122" s="100"/>
      <c r="L122" s="101"/>
      <c r="R122" s="97"/>
    </row>
    <row r="123" spans="1:19" ht="18" customHeight="1">
      <c r="A123" s="5">
        <f t="shared" si="2"/>
        <v>118</v>
      </c>
      <c r="B123" s="123" t="s">
        <v>248</v>
      </c>
      <c r="C123" s="124"/>
      <c r="D123" s="120"/>
      <c r="E123" s="121"/>
      <c r="F123" s="122"/>
      <c r="G123" s="111" t="s">
        <v>123</v>
      </c>
      <c r="H123" s="111">
        <v>3</v>
      </c>
      <c r="I123" s="112">
        <v>480</v>
      </c>
      <c r="J123" s="99">
        <f t="shared" si="1"/>
        <v>1440</v>
      </c>
      <c r="K123" s="100"/>
      <c r="L123" s="101"/>
      <c r="R123" s="97"/>
    </row>
    <row r="124" spans="1:19" ht="18" customHeight="1">
      <c r="A124" s="5">
        <f t="shared" si="2"/>
        <v>119</v>
      </c>
      <c r="B124" s="123" t="s">
        <v>157</v>
      </c>
      <c r="C124" s="124"/>
      <c r="D124" s="120"/>
      <c r="E124" s="121"/>
      <c r="F124" s="122"/>
      <c r="G124" s="111" t="s">
        <v>123</v>
      </c>
      <c r="H124" s="111">
        <v>5</v>
      </c>
      <c r="I124" s="112">
        <v>235</v>
      </c>
      <c r="J124" s="99">
        <f t="shared" si="1"/>
        <v>1175</v>
      </c>
      <c r="K124" s="100"/>
      <c r="L124" s="101"/>
      <c r="R124" s="97"/>
    </row>
    <row r="125" spans="1:19" ht="23.25" customHeight="1">
      <c r="A125" s="151" t="s">
        <v>8</v>
      </c>
      <c r="B125" s="152"/>
      <c r="C125" s="102"/>
      <c r="D125" s="108"/>
      <c r="E125" s="108"/>
      <c r="F125" s="108"/>
      <c r="G125" s="109"/>
      <c r="H125" s="109"/>
      <c r="I125" s="110" t="s">
        <v>9</v>
      </c>
      <c r="J125" s="99">
        <f>SUM(J6:J124)</f>
        <v>394259.8</v>
      </c>
      <c r="K125" s="99"/>
      <c r="L125" s="103"/>
    </row>
    <row r="126" spans="1:19" ht="20.100000000000001" customHeight="1">
      <c r="A126" s="6" t="s">
        <v>10</v>
      </c>
      <c r="B126" s="7"/>
      <c r="C126" s="7"/>
      <c r="D126" s="7"/>
      <c r="E126" s="7"/>
      <c r="F126" s="7"/>
      <c r="G126" s="7"/>
      <c r="H126" s="7"/>
      <c r="I126" s="7"/>
      <c r="J126" s="7"/>
      <c r="K126" s="8"/>
      <c r="L126" s="9"/>
    </row>
    <row r="127" spans="1:19" ht="18" customHeight="1">
      <c r="A127" s="10"/>
      <c r="J127" s="1"/>
      <c r="K127" s="1"/>
      <c r="O127" s="11"/>
      <c r="P127" s="11"/>
      <c r="R127" s="153" t="s">
        <v>11</v>
      </c>
      <c r="S127" s="13" t="s">
        <v>12</v>
      </c>
    </row>
    <row r="128" spans="1:19" ht="50.1" customHeight="1">
      <c r="R128" s="154"/>
      <c r="S128" s="15"/>
    </row>
    <row r="129" spans="15:19" ht="17.100000000000001" customHeight="1">
      <c r="O129" s="11"/>
      <c r="P129" s="11"/>
      <c r="R129" s="148"/>
      <c r="S129" s="15" t="s">
        <v>13</v>
      </c>
    </row>
    <row r="130" spans="15:19" ht="15" customHeight="1">
      <c r="O130" s="17" t="s">
        <v>14</v>
      </c>
      <c r="P130" s="147" t="s">
        <v>15</v>
      </c>
    </row>
    <row r="131" spans="15:19" ht="18" customHeight="1">
      <c r="O131" s="18" t="s">
        <v>16</v>
      </c>
      <c r="P131" s="149"/>
      <c r="R131" s="153" t="s">
        <v>17</v>
      </c>
      <c r="S131" s="12" t="s">
        <v>12</v>
      </c>
    </row>
    <row r="132" spans="15:19" ht="50.1" customHeight="1">
      <c r="O132" s="14"/>
      <c r="P132" s="14"/>
      <c r="R132" s="154"/>
      <c r="S132" s="19"/>
    </row>
    <row r="133" spans="15:19" ht="17.100000000000001" customHeight="1">
      <c r="O133" s="16" t="s">
        <v>13</v>
      </c>
      <c r="P133" s="16" t="s">
        <v>13</v>
      </c>
      <c r="R133" s="148"/>
      <c r="S133" s="15" t="s">
        <v>13</v>
      </c>
    </row>
    <row r="134" spans="15:19" ht="9.9499999999999993" customHeight="1"/>
    <row r="135" spans="15:19" ht="19.899999999999999" customHeight="1"/>
    <row r="136" spans="15:19" ht="17.45" customHeight="1">
      <c r="O136" s="150"/>
      <c r="P136" s="150"/>
    </row>
    <row r="137" spans="15:19" ht="19.899999999999999" customHeight="1">
      <c r="O137" s="150"/>
      <c r="P137" s="150"/>
    </row>
    <row r="138" spans="15:19" ht="14.25">
      <c r="O138" s="11"/>
      <c r="P138" s="11"/>
    </row>
    <row r="139" spans="15:19" ht="65.099999999999994" customHeight="1"/>
    <row r="140" spans="15:19" ht="14.25">
      <c r="O140" s="11"/>
      <c r="P140" s="11"/>
    </row>
    <row r="141" spans="15:19" ht="19.899999999999999" customHeight="1"/>
    <row r="142" spans="15:19" ht="14.25"/>
    <row r="143" spans="15:19" ht="19.899999999999999" customHeight="1"/>
    <row r="144" spans="15:19" ht="14.25"/>
    <row r="145" spans="15:19" ht="19.899999999999999" customHeight="1"/>
    <row r="146" spans="15:19" ht="19.899999999999999" customHeight="1"/>
    <row r="147" spans="15:19" ht="64.900000000000006" customHeight="1"/>
    <row r="149" spans="15:19" ht="19.899999999999999" customHeight="1"/>
    <row r="150" spans="15:19" ht="19.899999999999999" customHeight="1"/>
    <row r="151" spans="15:19" ht="64.900000000000006" customHeight="1"/>
    <row r="155" spans="15:19" ht="21" customHeight="1">
      <c r="O155" s="147" t="s">
        <v>18</v>
      </c>
      <c r="P155" s="147" t="s">
        <v>18</v>
      </c>
      <c r="S155" s="147" t="s">
        <v>12</v>
      </c>
    </row>
    <row r="156" spans="15:19" ht="21" customHeight="1">
      <c r="O156" s="149"/>
      <c r="P156" s="149"/>
      <c r="S156" s="148"/>
    </row>
    <row r="157" spans="15:19" ht="64.900000000000006" customHeight="1">
      <c r="O157" s="14"/>
      <c r="P157" s="14"/>
      <c r="S157" s="15"/>
    </row>
    <row r="158" spans="15:19" ht="7.15" customHeight="1"/>
    <row r="159" spans="15:19" ht="21" customHeight="1">
      <c r="O159" s="147" t="s">
        <v>18</v>
      </c>
      <c r="P159" s="147" t="s">
        <v>18</v>
      </c>
      <c r="S159" s="147" t="s">
        <v>19</v>
      </c>
    </row>
    <row r="160" spans="15:19" ht="21" customHeight="1">
      <c r="O160" s="149"/>
      <c r="P160" s="149"/>
      <c r="S160" s="148"/>
    </row>
    <row r="161" spans="15:19" ht="64.900000000000006" customHeight="1">
      <c r="O161" s="14"/>
      <c r="P161" s="14"/>
      <c r="S161" s="14"/>
    </row>
  </sheetData>
  <mergeCells count="189">
    <mergeCell ref="B49:C49"/>
    <mergeCell ref="D49:F49"/>
    <mergeCell ref="B50:C50"/>
    <mergeCell ref="D50:F50"/>
    <mergeCell ref="B51:C51"/>
    <mergeCell ref="D51:F51"/>
    <mergeCell ref="B46:C46"/>
    <mergeCell ref="D46:F46"/>
    <mergeCell ref="B47:C47"/>
    <mergeCell ref="D47:F47"/>
    <mergeCell ref="B48:C48"/>
    <mergeCell ref="D48:F48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43:C43"/>
    <mergeCell ref="D43:F43"/>
    <mergeCell ref="B44:C44"/>
    <mergeCell ref="D44:F44"/>
    <mergeCell ref="B45:C45"/>
    <mergeCell ref="D45:F45"/>
    <mergeCell ref="B40:C40"/>
    <mergeCell ref="D40:F40"/>
    <mergeCell ref="B41:C41"/>
    <mergeCell ref="D41:F41"/>
    <mergeCell ref="B42:C42"/>
    <mergeCell ref="D42:F42"/>
    <mergeCell ref="B37:C37"/>
    <mergeCell ref="D37:F37"/>
    <mergeCell ref="B38:C38"/>
    <mergeCell ref="D38:F38"/>
    <mergeCell ref="B39:C39"/>
    <mergeCell ref="D39:F39"/>
    <mergeCell ref="B34:C34"/>
    <mergeCell ref="D34:F34"/>
    <mergeCell ref="B35:C35"/>
    <mergeCell ref="D35:F35"/>
    <mergeCell ref="B36:C36"/>
    <mergeCell ref="D36:F36"/>
    <mergeCell ref="B31:C31"/>
    <mergeCell ref="D31:F31"/>
    <mergeCell ref="B32:C32"/>
    <mergeCell ref="D32:F32"/>
    <mergeCell ref="B33:C33"/>
    <mergeCell ref="D33:F33"/>
    <mergeCell ref="B28:C28"/>
    <mergeCell ref="D28:F28"/>
    <mergeCell ref="B29:C29"/>
    <mergeCell ref="D29:F29"/>
    <mergeCell ref="B30:C30"/>
    <mergeCell ref="D30:F30"/>
    <mergeCell ref="B25:C25"/>
    <mergeCell ref="D25:F25"/>
    <mergeCell ref="B26:C26"/>
    <mergeCell ref="D26:F26"/>
    <mergeCell ref="B27:C27"/>
    <mergeCell ref="D27:F27"/>
    <mergeCell ref="B22:C22"/>
    <mergeCell ref="D22:F22"/>
    <mergeCell ref="B23:C23"/>
    <mergeCell ref="D23:F23"/>
    <mergeCell ref="B24:C24"/>
    <mergeCell ref="D24:F24"/>
    <mergeCell ref="B19:C19"/>
    <mergeCell ref="D19:F19"/>
    <mergeCell ref="B20:C20"/>
    <mergeCell ref="D20:F20"/>
    <mergeCell ref="B21:C21"/>
    <mergeCell ref="D21:F21"/>
    <mergeCell ref="B16:C16"/>
    <mergeCell ref="D16:F16"/>
    <mergeCell ref="B17:C17"/>
    <mergeCell ref="D17:F17"/>
    <mergeCell ref="B18:C18"/>
    <mergeCell ref="D18:F18"/>
    <mergeCell ref="S155:S156"/>
    <mergeCell ref="O159:O160"/>
    <mergeCell ref="P159:P160"/>
    <mergeCell ref="S159:S160"/>
    <mergeCell ref="O136:O137"/>
    <mergeCell ref="P136:P137"/>
    <mergeCell ref="O155:O156"/>
    <mergeCell ref="P155:P156"/>
    <mergeCell ref="A125:B125"/>
    <mergeCell ref="R127:R129"/>
    <mergeCell ref="P130:P131"/>
    <mergeCell ref="R131:R133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A4:A5"/>
    <mergeCell ref="B4:C5"/>
    <mergeCell ref="D4:F5"/>
    <mergeCell ref="G4:G5"/>
    <mergeCell ref="H4:H5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8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5" t="s">
        <v>93</v>
      </c>
      <c r="B1" s="91"/>
      <c r="C1" s="91"/>
      <c r="D1" s="91"/>
      <c r="E1" s="91"/>
      <c r="F1" s="91"/>
      <c r="G1" s="1"/>
      <c r="J1" s="140" t="str">
        <f>+MRS!J1</f>
        <v>DAESHIN PLANT</v>
      </c>
      <c r="K1" s="142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20"/>
      <c r="H2" s="20"/>
      <c r="I2" s="20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MRS No : SAC2-DS-MRS-0284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46128</v>
      </c>
    </row>
    <row r="4" spans="1:18" ht="15.95" customHeight="1">
      <c r="A4" s="160" t="s">
        <v>2</v>
      </c>
      <c r="B4" s="161" t="s">
        <v>20</v>
      </c>
      <c r="C4" s="161"/>
      <c r="D4" s="160" t="s">
        <v>4</v>
      </c>
      <c r="E4" s="160"/>
      <c r="F4" s="160"/>
      <c r="G4" s="161" t="s">
        <v>5</v>
      </c>
      <c r="H4" s="160" t="s">
        <v>88</v>
      </c>
      <c r="I4" s="160" t="s">
        <v>21</v>
      </c>
      <c r="J4" s="160" t="s">
        <v>22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55" t="str">
        <f>MRS!B6</f>
        <v>Argon Flow Meter</v>
      </c>
      <c r="C6" s="156"/>
      <c r="D6" s="157">
        <f>MRS!D6</f>
        <v>0</v>
      </c>
      <c r="E6" s="158"/>
      <c r="F6" s="159"/>
      <c r="G6" s="94" t="str">
        <f>MRS!G6</f>
        <v>Nos</v>
      </c>
      <c r="H6" s="94">
        <f>MRS!H6</f>
        <v>66</v>
      </c>
      <c r="I6" s="95">
        <f>MRS!I6</f>
        <v>73</v>
      </c>
      <c r="J6" s="95">
        <f>MRS!J6</f>
        <v>4818</v>
      </c>
      <c r="K6" s="96"/>
      <c r="O6" s="97"/>
      <c r="P6" s="97"/>
      <c r="R6" s="97"/>
    </row>
    <row r="7" spans="1:18" ht="105" customHeight="1">
      <c r="A7" s="21">
        <f>+MRS!A7</f>
        <v>2</v>
      </c>
      <c r="B7" s="155" t="str">
        <f>MRS!B7</f>
        <v>Vacuum Cleaner 28Liter 4000W</v>
      </c>
      <c r="C7" s="156"/>
      <c r="D7" s="157">
        <f>MRS!D7</f>
        <v>0</v>
      </c>
      <c r="E7" s="158"/>
      <c r="F7" s="159"/>
      <c r="G7" s="94" t="str">
        <f>MRS!G7</f>
        <v>Nos</v>
      </c>
      <c r="H7" s="94">
        <f>MRS!H7</f>
        <v>3</v>
      </c>
      <c r="I7" s="95">
        <f>MRS!I7</f>
        <v>330</v>
      </c>
      <c r="J7" s="95">
        <f>MRS!J7</f>
        <v>990</v>
      </c>
      <c r="K7" s="96"/>
      <c r="O7" s="97"/>
      <c r="P7" s="97"/>
      <c r="R7" s="97"/>
    </row>
    <row r="8" spans="1:18" ht="105" customHeight="1">
      <c r="A8" s="21">
        <f>+MRS!A8</f>
        <v>3</v>
      </c>
      <c r="B8" s="155" t="str">
        <f>MRS!B8</f>
        <v>Cutting Disc S/S 4"x1mm Maks</v>
      </c>
      <c r="C8" s="156"/>
      <c r="D8" s="157">
        <f>MRS!D8</f>
        <v>0</v>
      </c>
      <c r="E8" s="158"/>
      <c r="F8" s="159"/>
      <c r="G8" s="94" t="str">
        <f>MRS!G8</f>
        <v>Nos</v>
      </c>
      <c r="H8" s="94">
        <f>MRS!H8</f>
        <v>2000</v>
      </c>
      <c r="I8" s="95">
        <f>MRS!I8</f>
        <v>1.5</v>
      </c>
      <c r="J8" s="95">
        <f>MRS!J8</f>
        <v>3000</v>
      </c>
      <c r="K8" s="96"/>
      <c r="O8" s="97"/>
      <c r="P8" s="97"/>
      <c r="R8" s="97"/>
    </row>
    <row r="9" spans="1:18" ht="105" customHeight="1">
      <c r="A9" s="21">
        <f>+MRS!A9</f>
        <v>4</v>
      </c>
      <c r="B9" s="155" t="str">
        <f>MRS!B9</f>
        <v>Measuring Tape 5mtr</v>
      </c>
      <c r="C9" s="156"/>
      <c r="D9" s="157">
        <f>MRS!D9</f>
        <v>0</v>
      </c>
      <c r="E9" s="158"/>
      <c r="F9" s="159"/>
      <c r="G9" s="94" t="str">
        <f>MRS!G9</f>
        <v>Nos</v>
      </c>
      <c r="H9" s="94">
        <f>MRS!H9</f>
        <v>30</v>
      </c>
      <c r="I9" s="95">
        <f>MRS!I9</f>
        <v>6.2</v>
      </c>
      <c r="J9" s="95">
        <f>MRS!J9</f>
        <v>186</v>
      </c>
      <c r="K9" s="96"/>
      <c r="O9" s="97"/>
      <c r="P9" s="97"/>
      <c r="R9" s="97"/>
    </row>
    <row r="10" spans="1:18" ht="105" customHeight="1">
      <c r="A10" s="21">
        <f>+MRS!A10</f>
        <v>5</v>
      </c>
      <c r="B10" s="155" t="str">
        <f>MRS!B10</f>
        <v>Ear Plug with Corded</v>
      </c>
      <c r="C10" s="156"/>
      <c r="D10" s="157">
        <f>MRS!D10</f>
        <v>0</v>
      </c>
      <c r="E10" s="158"/>
      <c r="F10" s="159"/>
      <c r="G10" s="94" t="str">
        <f>MRS!G10</f>
        <v>Pair</v>
      </c>
      <c r="H10" s="94">
        <f>MRS!H10</f>
        <v>4000</v>
      </c>
      <c r="I10" s="95">
        <f>MRS!I10</f>
        <v>0.55000000000000004</v>
      </c>
      <c r="J10" s="95">
        <f>MRS!J10</f>
        <v>2200</v>
      </c>
      <c r="K10" s="96"/>
      <c r="O10" s="97"/>
      <c r="P10" s="97"/>
      <c r="R10" s="97"/>
    </row>
    <row r="11" spans="1:18" ht="105" customHeight="1">
      <c r="A11" s="21">
        <f>+MRS!A11</f>
        <v>6</v>
      </c>
      <c r="B11" s="155" t="str">
        <f>MRS!B11</f>
        <v>Dust Mask N95 Venus</v>
      </c>
      <c r="C11" s="156"/>
      <c r="D11" s="157">
        <f>MRS!D11</f>
        <v>0</v>
      </c>
      <c r="E11" s="158"/>
      <c r="F11" s="159"/>
      <c r="G11" s="94" t="str">
        <f>MRS!G11</f>
        <v>Nos</v>
      </c>
      <c r="H11" s="94">
        <f>MRS!H11</f>
        <v>4000</v>
      </c>
      <c r="I11" s="95">
        <f>MRS!I11</f>
        <v>1.5</v>
      </c>
      <c r="J11" s="95">
        <f>MRS!J11</f>
        <v>6000</v>
      </c>
      <c r="K11" s="96"/>
      <c r="O11" s="97"/>
      <c r="P11" s="97"/>
      <c r="R11" s="97"/>
    </row>
    <row r="12" spans="1:18" ht="105" customHeight="1">
      <c r="A12" s="21">
        <f>+MRS!A12</f>
        <v>7</v>
      </c>
      <c r="B12" s="155" t="str">
        <f>MRS!B12</f>
        <v>PVC Coated Orange Fire Blanket 1x50mtr</v>
      </c>
      <c r="C12" s="156"/>
      <c r="D12" s="157">
        <f>MRS!D12</f>
        <v>0</v>
      </c>
      <c r="E12" s="158"/>
      <c r="F12" s="159"/>
      <c r="G12" s="94" t="str">
        <f>MRS!G12</f>
        <v>Roll</v>
      </c>
      <c r="H12" s="94">
        <f>MRS!H12</f>
        <v>24</v>
      </c>
      <c r="I12" s="95">
        <f>MRS!I12</f>
        <v>450</v>
      </c>
      <c r="J12" s="95">
        <f>MRS!J12</f>
        <v>10800</v>
      </c>
      <c r="K12" s="96"/>
      <c r="O12" s="97"/>
      <c r="P12" s="97"/>
      <c r="R12" s="97"/>
    </row>
    <row r="13" spans="1:18" ht="105" customHeight="1">
      <c r="A13" s="21">
        <f>+MRS!A13</f>
        <v>8</v>
      </c>
      <c r="B13" s="155" t="str">
        <f>MRS!B13</f>
        <v>Sponge Foam Sheet 900x1900x100mm</v>
      </c>
      <c r="C13" s="156"/>
      <c r="D13" s="157">
        <f>MRS!D13</f>
        <v>0</v>
      </c>
      <c r="E13" s="158"/>
      <c r="F13" s="159"/>
      <c r="G13" s="94" t="str">
        <f>MRS!G13</f>
        <v>Nos</v>
      </c>
      <c r="H13" s="94">
        <f>MRS!H13</f>
        <v>12</v>
      </c>
      <c r="I13" s="95">
        <f>MRS!I13</f>
        <v>97</v>
      </c>
      <c r="J13" s="95">
        <f>MRS!J13</f>
        <v>1164</v>
      </c>
      <c r="K13" s="96"/>
      <c r="O13" s="97"/>
      <c r="P13" s="97"/>
      <c r="R13" s="97"/>
    </row>
    <row r="14" spans="1:18" ht="105" customHeight="1">
      <c r="A14" s="21">
        <f>+MRS!A14</f>
        <v>9</v>
      </c>
      <c r="B14" s="155" t="str">
        <f>MRS!B14</f>
        <v>Tig Torch Back Cap Long (57Y02)</v>
      </c>
      <c r="C14" s="156"/>
      <c r="D14" s="157">
        <f>MRS!D14</f>
        <v>0</v>
      </c>
      <c r="E14" s="158"/>
      <c r="F14" s="159"/>
      <c r="G14" s="94" t="str">
        <f>MRS!G14</f>
        <v>Nos</v>
      </c>
      <c r="H14" s="94">
        <f>MRS!H14</f>
        <v>60</v>
      </c>
      <c r="I14" s="95">
        <f>MRS!I14</f>
        <v>4.2</v>
      </c>
      <c r="J14" s="95">
        <f>MRS!J14</f>
        <v>252</v>
      </c>
      <c r="K14" s="96"/>
      <c r="O14" s="97"/>
      <c r="P14" s="97"/>
      <c r="R14" s="97"/>
    </row>
    <row r="15" spans="1:18" ht="105" customHeight="1">
      <c r="A15" s="21">
        <f>+MRS!A15</f>
        <v>10</v>
      </c>
      <c r="B15" s="155" t="str">
        <f>MRS!B15</f>
        <v>Tig Torch Back Cap Short (57Y04)</v>
      </c>
      <c r="C15" s="156"/>
      <c r="D15" s="157">
        <f>MRS!D15</f>
        <v>0</v>
      </c>
      <c r="E15" s="158"/>
      <c r="F15" s="159"/>
      <c r="G15" s="94" t="str">
        <f>MRS!G15</f>
        <v>Nos</v>
      </c>
      <c r="H15" s="94">
        <f>MRS!H15</f>
        <v>120</v>
      </c>
      <c r="I15" s="95">
        <f>MRS!I15</f>
        <v>3.5</v>
      </c>
      <c r="J15" s="95">
        <f>MRS!J15</f>
        <v>420</v>
      </c>
      <c r="K15" s="96"/>
      <c r="O15" s="97"/>
      <c r="P15" s="97"/>
      <c r="R15" s="97"/>
    </row>
    <row r="16" spans="1:18" ht="105" customHeight="1">
      <c r="A16" s="21"/>
      <c r="B16" s="155"/>
      <c r="C16" s="156"/>
      <c r="D16" s="157"/>
      <c r="E16" s="158"/>
      <c r="F16" s="159"/>
      <c r="G16" s="94"/>
      <c r="H16" s="94"/>
      <c r="I16" s="95"/>
      <c r="J16" s="95"/>
      <c r="K16" s="96"/>
      <c r="O16" s="97"/>
      <c r="P16" s="97"/>
      <c r="R16" s="97"/>
    </row>
    <row r="17" spans="1:18" ht="105" customHeight="1">
      <c r="A17" s="21"/>
      <c r="B17" s="155"/>
      <c r="C17" s="156"/>
      <c r="D17" s="157"/>
      <c r="E17" s="158"/>
      <c r="F17" s="159"/>
      <c r="G17" s="94"/>
      <c r="H17" s="94"/>
      <c r="I17" s="95"/>
      <c r="J17" s="95"/>
      <c r="K17" s="96"/>
      <c r="O17" s="97"/>
      <c r="P17" s="97"/>
      <c r="R17" s="97"/>
    </row>
    <row r="18" spans="1:18" ht="105" customHeight="1">
      <c r="A18" s="21"/>
      <c r="B18" s="155"/>
      <c r="C18" s="156"/>
      <c r="D18" s="157"/>
      <c r="E18" s="158"/>
      <c r="F18" s="159"/>
      <c r="G18" s="94"/>
      <c r="H18" s="94"/>
      <c r="I18" s="95"/>
      <c r="J18" s="95"/>
      <c r="K18" s="96"/>
      <c r="O18" s="97"/>
      <c r="P18" s="97"/>
      <c r="R18" s="97"/>
    </row>
    <row r="19" spans="1:18" ht="105" customHeight="1">
      <c r="A19" s="21"/>
      <c r="B19" s="155"/>
      <c r="C19" s="156"/>
      <c r="D19" s="157"/>
      <c r="E19" s="158"/>
      <c r="F19" s="159"/>
      <c r="G19" s="94"/>
      <c r="H19" s="94"/>
      <c r="I19" s="95"/>
      <c r="J19" s="95"/>
      <c r="K19" s="96"/>
      <c r="O19" s="97"/>
      <c r="P19" s="97"/>
      <c r="R19" s="97"/>
    </row>
    <row r="20" spans="1:18" ht="105" customHeight="1">
      <c r="A20" s="21"/>
      <c r="B20" s="155"/>
      <c r="C20" s="156"/>
      <c r="D20" s="157"/>
      <c r="E20" s="158"/>
      <c r="F20" s="159"/>
      <c r="G20" s="94"/>
      <c r="H20" s="94"/>
      <c r="I20" s="95"/>
      <c r="J20" s="95"/>
      <c r="K20" s="96"/>
      <c r="O20" s="97"/>
      <c r="P20" s="97"/>
      <c r="R20" s="97"/>
    </row>
    <row r="21" spans="1:18" ht="105" customHeight="1">
      <c r="A21" s="21"/>
      <c r="B21" s="155"/>
      <c r="C21" s="156"/>
      <c r="D21" s="157"/>
      <c r="E21" s="158"/>
      <c r="F21" s="159"/>
      <c r="G21" s="94"/>
      <c r="H21" s="94"/>
      <c r="I21" s="95"/>
      <c r="J21" s="95"/>
      <c r="K21" s="96"/>
      <c r="O21" s="97"/>
      <c r="P21" s="97"/>
      <c r="R21" s="97"/>
    </row>
    <row r="23" spans="1:18" ht="21" customHeight="1">
      <c r="J23" s="113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99</v>
      </c>
      <c r="D9" s="38"/>
      <c r="E9" s="38"/>
    </row>
    <row r="10" spans="2:13" s="38" customFormat="1">
      <c r="B10" s="69"/>
      <c r="C10" s="38" t="s">
        <v>29</v>
      </c>
      <c r="D10" s="73" t="s">
        <v>100</v>
      </c>
      <c r="J10" s="38" t="s">
        <v>30</v>
      </c>
      <c r="K10" s="163">
        <f>MRS!L3</f>
        <v>46128</v>
      </c>
      <c r="L10" s="164"/>
      <c r="M10" s="164"/>
    </row>
    <row r="11" spans="2:13" s="38" customFormat="1">
      <c r="B11" s="69"/>
      <c r="C11" s="72" t="s">
        <v>31</v>
      </c>
      <c r="D11" s="73" t="s">
        <v>101</v>
      </c>
      <c r="J11" s="38" t="s">
        <v>32</v>
      </c>
      <c r="K11" s="165" t="str">
        <f>SUBSTITUTE(SUBSTITUTE(+MRS!A3,"  MRS No : ",""),"-MRS","-PO")</f>
        <v>SAC2-DS-PO-0284</v>
      </c>
      <c r="L11" s="165"/>
      <c r="M11" s="165"/>
    </row>
    <row r="12" spans="2:13" s="38" customFormat="1">
      <c r="B12" s="69"/>
      <c r="C12" s="72" t="s">
        <v>33</v>
      </c>
      <c r="D12" s="38" t="s">
        <v>102</v>
      </c>
      <c r="J12" s="38" t="s">
        <v>34</v>
      </c>
    </row>
    <row r="13" spans="2:13" s="38" customFormat="1">
      <c r="B13" s="69"/>
      <c r="C13" s="74"/>
      <c r="D13" s="73" t="s">
        <v>103</v>
      </c>
      <c r="J13" s="38" t="s">
        <v>35</v>
      </c>
    </row>
    <row r="14" spans="2:13" s="38" customFormat="1">
      <c r="B14" s="69"/>
      <c r="C14" s="114" t="s">
        <v>108</v>
      </c>
      <c r="J14" s="38" t="s">
        <v>36</v>
      </c>
      <c r="K14" s="38" t="s">
        <v>250</v>
      </c>
    </row>
    <row r="15" spans="2:13" s="38" customFormat="1">
      <c r="B15" s="69"/>
      <c r="C15" s="72" t="s">
        <v>104</v>
      </c>
      <c r="J15" s="38" t="s">
        <v>37</v>
      </c>
      <c r="K15" s="75">
        <v>46126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6" t="s">
        <v>38</v>
      </c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</row>
    <row r="19" spans="2:13" ht="12" customHeight="1"/>
    <row r="20" spans="2:13" s="31" customFormat="1" ht="12" customHeight="1">
      <c r="B20" s="167" t="s">
        <v>39</v>
      </c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</row>
    <row r="21" spans="2:13" s="31" customFormat="1" ht="12" customHeight="1">
      <c r="B21" s="167" t="s">
        <v>40</v>
      </c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</row>
    <row r="22" spans="2:13" s="31" customFormat="1" ht="12" customHeight="1">
      <c r="B22" s="167" t="s">
        <v>41</v>
      </c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</row>
    <row r="23" spans="2:13" ht="3.75" customHeight="1"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</row>
    <row r="24" spans="2:13" ht="6.95" customHeight="1"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166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9">
        <f>'PO 2nd page'!G125</f>
        <v>394259.8</v>
      </c>
      <c r="G29" s="107"/>
      <c r="H29" s="107"/>
      <c r="M29" s="33"/>
    </row>
    <row r="30" spans="2:13" ht="15" customHeight="1">
      <c r="B30" s="32"/>
      <c r="C30" s="26" t="s">
        <v>47</v>
      </c>
      <c r="E30" s="26" t="s">
        <v>46</v>
      </c>
      <c r="F30" s="119">
        <f>'PO 2nd page'!G126</f>
        <v>59138.969999999994</v>
      </c>
      <c r="G30" s="107"/>
      <c r="H30" s="107"/>
    </row>
    <row r="31" spans="2:13" ht="15" customHeight="1">
      <c r="B31" s="32"/>
      <c r="C31" s="26" t="s">
        <v>48</v>
      </c>
      <c r="D31" s="34"/>
      <c r="E31" s="26" t="s">
        <v>46</v>
      </c>
      <c r="F31" s="119">
        <f>'PO 2nd page'!G127</f>
        <v>453398.76999999996</v>
      </c>
      <c r="G31" s="107"/>
      <c r="H31" s="107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110</v>
      </c>
    </row>
    <row r="54" spans="2:16" ht="12" customHeight="1">
      <c r="B54" s="81" t="s">
        <v>62</v>
      </c>
      <c r="C54" s="115" t="s">
        <v>116</v>
      </c>
      <c r="F54" s="26" t="s">
        <v>111</v>
      </c>
    </row>
    <row r="55" spans="2:16" ht="12" customHeight="1">
      <c r="B55" s="81" t="s">
        <v>62</v>
      </c>
      <c r="C55" s="115" t="s">
        <v>117</v>
      </c>
      <c r="F55" s="116" t="s">
        <v>112</v>
      </c>
    </row>
    <row r="56" spans="2:16" ht="12" customHeight="1">
      <c r="B56" s="81" t="s">
        <v>62</v>
      </c>
      <c r="C56" s="115" t="s">
        <v>118</v>
      </c>
      <c r="F56" s="26" t="s">
        <v>124</v>
      </c>
    </row>
    <row r="57" spans="2:16" ht="12" customHeight="1">
      <c r="B57" s="81" t="s">
        <v>62</v>
      </c>
      <c r="C57" s="115" t="s">
        <v>119</v>
      </c>
      <c r="F57" s="26" t="s">
        <v>113</v>
      </c>
    </row>
    <row r="58" spans="2:16" ht="12" customHeight="1">
      <c r="B58" s="81" t="s">
        <v>62</v>
      </c>
      <c r="C58" s="115" t="s">
        <v>120</v>
      </c>
      <c r="F58" s="26" t="s">
        <v>114</v>
      </c>
    </row>
    <row r="59" spans="2:16" ht="12" customHeight="1">
      <c r="B59" s="81" t="s">
        <v>62</v>
      </c>
      <c r="C59" s="115" t="s">
        <v>121</v>
      </c>
      <c r="F59" s="26" t="s">
        <v>115</v>
      </c>
    </row>
    <row r="60" spans="2:16" ht="12" customHeight="1">
      <c r="B60" s="81"/>
      <c r="C60" s="115" t="s">
        <v>122</v>
      </c>
    </row>
    <row r="61" spans="2:16" ht="6.75" customHeight="1">
      <c r="B61" s="81"/>
      <c r="C61" s="115"/>
    </row>
    <row r="62" spans="2:16" ht="6" customHeight="1">
      <c r="B62" s="117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Shashank Kamra</v>
      </c>
    </row>
    <row r="68" spans="1:13" ht="13.5" customHeight="1">
      <c r="B68" s="26" t="s">
        <v>68</v>
      </c>
      <c r="J68" s="26" t="s">
        <v>69</v>
      </c>
      <c r="K68" s="22" t="s">
        <v>105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107</v>
      </c>
      <c r="J70" s="170" t="str">
        <f>C9</f>
        <v>JSAJ(Jassim Saif Amer Aljaberi Trading Est.)</v>
      </c>
      <c r="K70" s="170"/>
      <c r="L70" s="170"/>
      <c r="M70" s="170"/>
    </row>
    <row r="71" spans="1:13" ht="27.95" customHeight="1">
      <c r="A71" s="162" t="s">
        <v>72</v>
      </c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135"/>
  <sheetViews>
    <sheetView showGridLines="0" view="pageBreakPreview" zoomScaleSheetLayoutView="100" zoomScalePageLayoutView="55" workbookViewId="0">
      <selection activeCell="A125" sqref="A125:XFD127"/>
    </sheetView>
  </sheetViews>
  <sheetFormatPr defaultColWidth="9" defaultRowHeight="12.75"/>
  <cols>
    <col min="1" max="1" width="8.5703125" style="42" customWidth="1"/>
    <col min="2" max="2" width="36.5703125" style="43" customWidth="1"/>
    <col min="3" max="3" width="30.710937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SAC2-DS-PO-0284</v>
      </c>
      <c r="C2" s="173" t="s">
        <v>74</v>
      </c>
      <c r="D2" s="173"/>
      <c r="E2" s="173"/>
      <c r="F2" s="173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46128</v>
      </c>
      <c r="C3" s="48"/>
      <c r="D3" s="49"/>
      <c r="E3" s="174" t="s">
        <v>76</v>
      </c>
      <c r="F3" s="174"/>
      <c r="G3" s="174"/>
      <c r="H3" s="174"/>
      <c r="I3" s="50"/>
    </row>
    <row r="4" spans="1:13" s="52" customFormat="1" ht="28.5" customHeight="1" thickTop="1">
      <c r="A4" s="175" t="s">
        <v>77</v>
      </c>
      <c r="B4" s="177" t="s">
        <v>78</v>
      </c>
      <c r="C4" s="178"/>
      <c r="D4" s="181" t="s">
        <v>79</v>
      </c>
      <c r="E4" s="181" t="s">
        <v>80</v>
      </c>
      <c r="F4" s="183" t="str">
        <f>'PO 1st page'!C9</f>
        <v>JSAJ(Jassim Saif Amer Aljaberi Trading Est.)</v>
      </c>
      <c r="G4" s="184"/>
      <c r="H4" s="185" t="s">
        <v>81</v>
      </c>
      <c r="K4" s="53"/>
      <c r="L4" s="53"/>
      <c r="M4" s="53"/>
    </row>
    <row r="5" spans="1:13" s="52" customFormat="1" ht="21.95" customHeight="1">
      <c r="A5" s="176"/>
      <c r="B5" s="179"/>
      <c r="C5" s="180"/>
      <c r="D5" s="182"/>
      <c r="E5" s="182"/>
      <c r="F5" s="54" t="s">
        <v>82</v>
      </c>
      <c r="G5" s="54" t="s">
        <v>48</v>
      </c>
      <c r="H5" s="186"/>
      <c r="K5" s="53"/>
      <c r="L5" s="53"/>
      <c r="M5" s="53"/>
    </row>
    <row r="6" spans="1:13" s="52" customFormat="1" ht="18" customHeight="1">
      <c r="A6" s="82">
        <f t="shared" ref="A6:A69" si="0">ROW(A1)</f>
        <v>1</v>
      </c>
      <c r="B6" s="171" t="str">
        <f>MRS!B6&amp;" "&amp;MRS!D6</f>
        <v xml:space="preserve">Argon Flow Meter </v>
      </c>
      <c r="C6" s="172"/>
      <c r="D6" s="83" t="str">
        <f>MRS!G6</f>
        <v>Nos</v>
      </c>
      <c r="E6" s="84">
        <f>MRS!H6</f>
        <v>66</v>
      </c>
      <c r="F6" s="85">
        <f>MRS!I6</f>
        <v>73</v>
      </c>
      <c r="G6" s="85">
        <f>MRS!J6</f>
        <v>4818</v>
      </c>
      <c r="H6" s="86" t="s">
        <v>106</v>
      </c>
      <c r="K6" s="87"/>
      <c r="L6" s="88"/>
      <c r="M6" s="53"/>
    </row>
    <row r="7" spans="1:13" s="52" customFormat="1" ht="18" customHeight="1">
      <c r="A7" s="82">
        <f t="shared" si="0"/>
        <v>2</v>
      </c>
      <c r="B7" s="171" t="str">
        <f>MRS!B7&amp;" "&amp;MRS!D7</f>
        <v xml:space="preserve">Vacuum Cleaner 28Liter 4000W </v>
      </c>
      <c r="C7" s="172"/>
      <c r="D7" s="83" t="str">
        <f>MRS!G7</f>
        <v>Nos</v>
      </c>
      <c r="E7" s="84">
        <f>MRS!H7</f>
        <v>3</v>
      </c>
      <c r="F7" s="85">
        <f>MRS!I7</f>
        <v>330</v>
      </c>
      <c r="G7" s="85">
        <f>MRS!J7</f>
        <v>990</v>
      </c>
      <c r="H7" s="86"/>
      <c r="K7" s="87"/>
      <c r="L7" s="88"/>
      <c r="M7" s="53"/>
    </row>
    <row r="8" spans="1:13" s="52" customFormat="1" ht="18" customHeight="1">
      <c r="A8" s="89">
        <f t="shared" si="0"/>
        <v>3</v>
      </c>
      <c r="B8" s="171" t="str">
        <f>MRS!B8&amp;" "&amp;MRS!D8</f>
        <v xml:space="preserve">Cutting Disc S/S 4"x1mm Maks </v>
      </c>
      <c r="C8" s="172"/>
      <c r="D8" s="83" t="str">
        <f>MRS!G8</f>
        <v>Nos</v>
      </c>
      <c r="E8" s="84">
        <f>MRS!H8</f>
        <v>2000</v>
      </c>
      <c r="F8" s="85">
        <f>MRS!I8</f>
        <v>1.5</v>
      </c>
      <c r="G8" s="85">
        <f>MRS!J8</f>
        <v>3000</v>
      </c>
      <c r="H8" s="86"/>
      <c r="K8" s="53"/>
      <c r="L8" s="53"/>
      <c r="M8" s="53"/>
    </row>
    <row r="9" spans="1:13" s="52" customFormat="1" ht="18" customHeight="1">
      <c r="A9" s="89">
        <f t="shared" si="0"/>
        <v>4</v>
      </c>
      <c r="B9" s="171" t="str">
        <f>MRS!B9&amp;" "&amp;MRS!D9</f>
        <v xml:space="preserve">Measuring Tape 5mtr </v>
      </c>
      <c r="C9" s="172"/>
      <c r="D9" s="83" t="str">
        <f>MRS!G9</f>
        <v>Nos</v>
      </c>
      <c r="E9" s="84">
        <f>MRS!H9</f>
        <v>30</v>
      </c>
      <c r="F9" s="85">
        <f>MRS!I9</f>
        <v>6.2</v>
      </c>
      <c r="G9" s="85">
        <f>MRS!J9</f>
        <v>186</v>
      </c>
      <c r="H9" s="90"/>
    </row>
    <row r="10" spans="1:13" s="52" customFormat="1" ht="18" customHeight="1">
      <c r="A10" s="89">
        <f t="shared" si="0"/>
        <v>5</v>
      </c>
      <c r="B10" s="171" t="str">
        <f>MRS!B10&amp;" "&amp;MRS!D10</f>
        <v xml:space="preserve">Ear Plug with Corded </v>
      </c>
      <c r="C10" s="172"/>
      <c r="D10" s="83" t="str">
        <f>MRS!G10</f>
        <v>Pair</v>
      </c>
      <c r="E10" s="84">
        <f>MRS!H10</f>
        <v>4000</v>
      </c>
      <c r="F10" s="85">
        <f>MRS!I10</f>
        <v>0.55000000000000004</v>
      </c>
      <c r="G10" s="85">
        <f>MRS!J10</f>
        <v>2200</v>
      </c>
      <c r="H10" s="90"/>
    </row>
    <row r="11" spans="1:13" s="52" customFormat="1" ht="18" customHeight="1">
      <c r="A11" s="89">
        <f t="shared" si="0"/>
        <v>6</v>
      </c>
      <c r="B11" s="171" t="str">
        <f>MRS!B11&amp;" "&amp;MRS!D11</f>
        <v xml:space="preserve">Dust Mask N95 Venus </v>
      </c>
      <c r="C11" s="172"/>
      <c r="D11" s="83" t="str">
        <f>MRS!G11</f>
        <v>Nos</v>
      </c>
      <c r="E11" s="84">
        <f>MRS!H11</f>
        <v>4000</v>
      </c>
      <c r="F11" s="85">
        <f>MRS!I11</f>
        <v>1.5</v>
      </c>
      <c r="G11" s="85">
        <f>MRS!J11</f>
        <v>6000</v>
      </c>
      <c r="H11" s="90"/>
    </row>
    <row r="12" spans="1:13" s="52" customFormat="1" ht="18" customHeight="1">
      <c r="A12" s="89">
        <f t="shared" si="0"/>
        <v>7</v>
      </c>
      <c r="B12" s="171" t="str">
        <f>MRS!B12&amp;" "&amp;MRS!D12</f>
        <v xml:space="preserve">PVC Coated Orange Fire Blanket 1x50mtr </v>
      </c>
      <c r="C12" s="172"/>
      <c r="D12" s="83" t="str">
        <f>MRS!G12</f>
        <v>Roll</v>
      </c>
      <c r="E12" s="84">
        <f>MRS!H12</f>
        <v>24</v>
      </c>
      <c r="F12" s="85">
        <f>MRS!I12</f>
        <v>450</v>
      </c>
      <c r="G12" s="85">
        <f>MRS!J12</f>
        <v>10800</v>
      </c>
      <c r="H12" s="90"/>
    </row>
    <row r="13" spans="1:13" s="52" customFormat="1" ht="18" customHeight="1">
      <c r="A13" s="89">
        <f t="shared" si="0"/>
        <v>8</v>
      </c>
      <c r="B13" s="171" t="str">
        <f>MRS!B13&amp;" "&amp;MRS!D13</f>
        <v xml:space="preserve">Sponge Foam Sheet 900x1900x100mm </v>
      </c>
      <c r="C13" s="172"/>
      <c r="D13" s="83" t="str">
        <f>MRS!G13</f>
        <v>Nos</v>
      </c>
      <c r="E13" s="84">
        <f>MRS!H13</f>
        <v>12</v>
      </c>
      <c r="F13" s="85">
        <f>MRS!I13</f>
        <v>97</v>
      </c>
      <c r="G13" s="85">
        <f>MRS!J13</f>
        <v>1164</v>
      </c>
      <c r="H13" s="90"/>
    </row>
    <row r="14" spans="1:13" s="52" customFormat="1" ht="18" customHeight="1">
      <c r="A14" s="89">
        <f t="shared" si="0"/>
        <v>9</v>
      </c>
      <c r="B14" s="171" t="str">
        <f>MRS!B14&amp;" "&amp;MRS!D14</f>
        <v xml:space="preserve">Tig Torch Back Cap Long (57Y02) </v>
      </c>
      <c r="C14" s="172"/>
      <c r="D14" s="83" t="str">
        <f>MRS!G14</f>
        <v>Nos</v>
      </c>
      <c r="E14" s="84">
        <f>MRS!H14</f>
        <v>60</v>
      </c>
      <c r="F14" s="85">
        <f>MRS!I14</f>
        <v>4.2</v>
      </c>
      <c r="G14" s="85">
        <f>MRS!J14</f>
        <v>252</v>
      </c>
      <c r="H14" s="90"/>
    </row>
    <row r="15" spans="1:13" s="52" customFormat="1" ht="18" customHeight="1">
      <c r="A15" s="89">
        <f t="shared" si="0"/>
        <v>10</v>
      </c>
      <c r="B15" s="171" t="str">
        <f>MRS!B15&amp;" "&amp;MRS!D15</f>
        <v xml:space="preserve">Tig Torch Back Cap Short (57Y04) </v>
      </c>
      <c r="C15" s="172"/>
      <c r="D15" s="83" t="str">
        <f>MRS!G15</f>
        <v>Nos</v>
      </c>
      <c r="E15" s="84">
        <f>MRS!H15</f>
        <v>120</v>
      </c>
      <c r="F15" s="85">
        <f>MRS!I15</f>
        <v>3.5</v>
      </c>
      <c r="G15" s="85">
        <f>MRS!J15</f>
        <v>420</v>
      </c>
      <c r="H15" s="90"/>
    </row>
    <row r="16" spans="1:13" s="52" customFormat="1" ht="18" customHeight="1">
      <c r="A16" s="89">
        <f t="shared" si="0"/>
        <v>11</v>
      </c>
      <c r="B16" s="171" t="str">
        <f>MRS!B16&amp;" "&amp;MRS!D16</f>
        <v xml:space="preserve">Ceramic Nozzle 350A #6 </v>
      </c>
      <c r="C16" s="172"/>
      <c r="D16" s="83" t="str">
        <f>MRS!G16</f>
        <v>Nos</v>
      </c>
      <c r="E16" s="84">
        <f>MRS!H16</f>
        <v>480</v>
      </c>
      <c r="F16" s="85">
        <f>MRS!I16</f>
        <v>12</v>
      </c>
      <c r="G16" s="85">
        <f>MRS!J16</f>
        <v>5760</v>
      </c>
      <c r="H16" s="90"/>
    </row>
    <row r="17" spans="1:8" s="52" customFormat="1" ht="18" customHeight="1">
      <c r="A17" s="89">
        <f t="shared" si="0"/>
        <v>12</v>
      </c>
      <c r="B17" s="171" t="str">
        <f>MRS!B17&amp;" "&amp;MRS!D17</f>
        <v xml:space="preserve">High Pressure Hose 215bar 3/4" 5mtr Female Fittings Both End </v>
      </c>
      <c r="C17" s="172"/>
      <c r="D17" s="83" t="str">
        <f>MRS!G17</f>
        <v>Roll</v>
      </c>
      <c r="E17" s="84">
        <f>MRS!H17</f>
        <v>25</v>
      </c>
      <c r="F17" s="85">
        <f>MRS!I17</f>
        <v>187</v>
      </c>
      <c r="G17" s="85">
        <f>MRS!J17</f>
        <v>4675</v>
      </c>
      <c r="H17" s="90"/>
    </row>
    <row r="18" spans="1:8" s="52" customFormat="1" ht="18" customHeight="1">
      <c r="A18" s="89">
        <f t="shared" si="0"/>
        <v>13</v>
      </c>
      <c r="B18" s="171" t="str">
        <f>MRS!B18&amp;" "&amp;MRS!D18</f>
        <v xml:space="preserve">High Pressure Hose 215bar 3/4" 10mtr Female Fittings Both End </v>
      </c>
      <c r="C18" s="172"/>
      <c r="D18" s="83" t="str">
        <f>MRS!G18</f>
        <v>Roll</v>
      </c>
      <c r="E18" s="84">
        <f>MRS!H18</f>
        <v>25</v>
      </c>
      <c r="F18" s="85">
        <f>MRS!I18</f>
        <v>325</v>
      </c>
      <c r="G18" s="85">
        <f>MRS!J18</f>
        <v>8125</v>
      </c>
      <c r="H18" s="90"/>
    </row>
    <row r="19" spans="1:8" s="52" customFormat="1" ht="18" customHeight="1">
      <c r="A19" s="89">
        <f t="shared" si="0"/>
        <v>14</v>
      </c>
      <c r="B19" s="171" t="str">
        <f>MRS!B19&amp;" "&amp;MRS!D19</f>
        <v xml:space="preserve">High Pressure Hose 215bar 3/4" 20mtr Female Fittings Both End </v>
      </c>
      <c r="C19" s="172"/>
      <c r="D19" s="83" t="str">
        <f>MRS!G19</f>
        <v>Roll</v>
      </c>
      <c r="E19" s="84">
        <f>MRS!H19</f>
        <v>25</v>
      </c>
      <c r="F19" s="85">
        <f>MRS!I19</f>
        <v>575</v>
      </c>
      <c r="G19" s="85">
        <f>MRS!J19</f>
        <v>14375</v>
      </c>
      <c r="H19" s="90"/>
    </row>
    <row r="20" spans="1:8" s="52" customFormat="1" ht="18" customHeight="1">
      <c r="A20" s="89">
        <f t="shared" si="0"/>
        <v>15</v>
      </c>
      <c r="B20" s="171" t="str">
        <f>MRS!B20&amp;" "&amp;MRS!D20</f>
        <v xml:space="preserve">High Pressure Hose 215bar 3/4" 30mtr Female Fittings Both End </v>
      </c>
      <c r="C20" s="172"/>
      <c r="D20" s="83" t="str">
        <f>MRS!G20</f>
        <v>Roll</v>
      </c>
      <c r="E20" s="84">
        <f>MRS!H20</f>
        <v>8</v>
      </c>
      <c r="F20" s="85">
        <f>MRS!I20</f>
        <v>837</v>
      </c>
      <c r="G20" s="85">
        <f>MRS!J20</f>
        <v>6696</v>
      </c>
      <c r="H20" s="90"/>
    </row>
    <row r="21" spans="1:8" s="52" customFormat="1" ht="18" customHeight="1">
      <c r="A21" s="89">
        <f t="shared" si="0"/>
        <v>16</v>
      </c>
      <c r="B21" s="171" t="str">
        <f>MRS!B21&amp;" "&amp;MRS!D21</f>
        <v xml:space="preserve">High Pressure Hose 215bar 3/4" 50mtr Female Fittings Both End </v>
      </c>
      <c r="C21" s="172"/>
      <c r="D21" s="83" t="str">
        <f>MRS!G21</f>
        <v>Roll</v>
      </c>
      <c r="E21" s="84">
        <f>MRS!H21</f>
        <v>5</v>
      </c>
      <c r="F21" s="85">
        <f>MRS!I21</f>
        <v>1335</v>
      </c>
      <c r="G21" s="85">
        <f>MRS!J21</f>
        <v>6675</v>
      </c>
      <c r="H21" s="90"/>
    </row>
    <row r="22" spans="1:8" s="52" customFormat="1" ht="18" customHeight="1">
      <c r="A22" s="89">
        <f t="shared" si="0"/>
        <v>17</v>
      </c>
      <c r="B22" s="171" t="str">
        <f>MRS!B22&amp;" "&amp;MRS!D22</f>
        <v xml:space="preserve">Single Gas Detector H2S 500PPM T40 II Rattler ISC </v>
      </c>
      <c r="C22" s="172"/>
      <c r="D22" s="83" t="str">
        <f>MRS!G22</f>
        <v>Nos</v>
      </c>
      <c r="E22" s="84">
        <f>MRS!H22</f>
        <v>30</v>
      </c>
      <c r="F22" s="85">
        <f>MRS!I22</f>
        <v>426</v>
      </c>
      <c r="G22" s="85">
        <f>MRS!J22</f>
        <v>12780</v>
      </c>
      <c r="H22" s="90"/>
    </row>
    <row r="23" spans="1:8" s="52" customFormat="1" ht="18" customHeight="1">
      <c r="A23" s="89">
        <f t="shared" si="0"/>
        <v>18</v>
      </c>
      <c r="B23" s="171" t="str">
        <f>MRS!B23&amp;" "&amp;MRS!D23</f>
        <v xml:space="preserve">Hydraulic Pump 700Bar with 2mtr Hose 1" Star </v>
      </c>
      <c r="C23" s="172"/>
      <c r="D23" s="83" t="str">
        <f>MRS!G23</f>
        <v>Set</v>
      </c>
      <c r="E23" s="84">
        <f>MRS!H23</f>
        <v>5</v>
      </c>
      <c r="F23" s="85">
        <f>MRS!I23</f>
        <v>1143</v>
      </c>
      <c r="G23" s="85">
        <f>MRS!J23</f>
        <v>5715</v>
      </c>
      <c r="H23" s="90"/>
    </row>
    <row r="24" spans="1:8" s="52" customFormat="1" ht="18" customHeight="1">
      <c r="A24" s="89">
        <f t="shared" si="0"/>
        <v>19</v>
      </c>
      <c r="B24" s="171" t="str">
        <f>MRS!B24&amp;" "&amp;MRS!D24</f>
        <v xml:space="preserve">Demolition Hammer SDS Max 1500W GSH 7VC Bosch </v>
      </c>
      <c r="C24" s="172"/>
      <c r="D24" s="83" t="str">
        <f>MRS!G24</f>
        <v>Nos</v>
      </c>
      <c r="E24" s="84">
        <f>MRS!H24</f>
        <v>2</v>
      </c>
      <c r="F24" s="85">
        <f>MRS!I24</f>
        <v>3594</v>
      </c>
      <c r="G24" s="85">
        <f>MRS!J24</f>
        <v>7188</v>
      </c>
      <c r="H24" s="90"/>
    </row>
    <row r="25" spans="1:8" s="52" customFormat="1" ht="18" customHeight="1">
      <c r="A25" s="89">
        <f t="shared" si="0"/>
        <v>20</v>
      </c>
      <c r="B25" s="171" t="str">
        <f>MRS!B25&amp;" "&amp;MRS!D25</f>
        <v xml:space="preserve">LED Torch Light Rechargeable Strong 200-250mm </v>
      </c>
      <c r="C25" s="172"/>
      <c r="D25" s="83" t="str">
        <f>MRS!G25</f>
        <v>Nos</v>
      </c>
      <c r="E25" s="84">
        <f>MRS!H25</f>
        <v>6</v>
      </c>
      <c r="F25" s="85">
        <f>MRS!I25</f>
        <v>48</v>
      </c>
      <c r="G25" s="85">
        <f>MRS!J25</f>
        <v>288</v>
      </c>
      <c r="H25" s="90"/>
    </row>
    <row r="26" spans="1:8" s="52" customFormat="1" ht="18" customHeight="1">
      <c r="A26" s="89">
        <f t="shared" si="0"/>
        <v>21</v>
      </c>
      <c r="B26" s="171" t="str">
        <f>MRS!B26&amp;" "&amp;MRS!D26</f>
        <v xml:space="preserve">Neon Line Tester </v>
      </c>
      <c r="C26" s="172"/>
      <c r="D26" s="83" t="str">
        <f>MRS!G26</f>
        <v>Nos</v>
      </c>
      <c r="E26" s="84">
        <f>MRS!H26</f>
        <v>6</v>
      </c>
      <c r="F26" s="85">
        <f>MRS!I26</f>
        <v>2.5</v>
      </c>
      <c r="G26" s="85">
        <f>MRS!J26</f>
        <v>15</v>
      </c>
      <c r="H26" s="90"/>
    </row>
    <row r="27" spans="1:8" s="52" customFormat="1" ht="18" customHeight="1">
      <c r="A27" s="89">
        <f t="shared" si="0"/>
        <v>22</v>
      </c>
      <c r="B27" s="171" t="str">
        <f>MRS!B27&amp;" "&amp;MRS!D27</f>
        <v xml:space="preserve">Allen Key Set T6-T40 </v>
      </c>
      <c r="C27" s="172"/>
      <c r="D27" s="83" t="str">
        <f>MRS!G27</f>
        <v>Nos</v>
      </c>
      <c r="E27" s="84">
        <f>MRS!H27</f>
        <v>2</v>
      </c>
      <c r="F27" s="85">
        <f>MRS!I27</f>
        <v>13.4</v>
      </c>
      <c r="G27" s="85">
        <f>MRS!J27</f>
        <v>26.8</v>
      </c>
      <c r="H27" s="90"/>
    </row>
    <row r="28" spans="1:8" s="52" customFormat="1" ht="18" customHeight="1">
      <c r="A28" s="89">
        <f t="shared" si="0"/>
        <v>23</v>
      </c>
      <c r="B28" s="171" t="str">
        <f>MRS!B28&amp;" "&amp;MRS!D28</f>
        <v xml:space="preserve">Portable Dry Oven 5kg 220V </v>
      </c>
      <c r="C28" s="172"/>
      <c r="D28" s="83" t="str">
        <f>MRS!G28</f>
        <v>Nos</v>
      </c>
      <c r="E28" s="84">
        <f>MRS!H28</f>
        <v>40</v>
      </c>
      <c r="F28" s="85">
        <f>MRS!I28</f>
        <v>210</v>
      </c>
      <c r="G28" s="85">
        <f>MRS!J28</f>
        <v>8400</v>
      </c>
      <c r="H28" s="90"/>
    </row>
    <row r="29" spans="1:8" s="52" customFormat="1" ht="18" customHeight="1">
      <c r="A29" s="89">
        <f t="shared" si="0"/>
        <v>24</v>
      </c>
      <c r="B29" s="171" t="str">
        <f>MRS!B29&amp;" "&amp;MRS!D29</f>
        <v xml:space="preserve">Split A/C 2Ton Heat &amp; Cooling Inverter LG </v>
      </c>
      <c r="C29" s="172"/>
      <c r="D29" s="83" t="str">
        <f>MRS!G29</f>
        <v>Nos</v>
      </c>
      <c r="E29" s="84">
        <f>MRS!H29</f>
        <v>2</v>
      </c>
      <c r="F29" s="85">
        <f>MRS!I29</f>
        <v>3010</v>
      </c>
      <c r="G29" s="85">
        <f>MRS!J29</f>
        <v>6020</v>
      </c>
      <c r="H29" s="90"/>
    </row>
    <row r="30" spans="1:8" s="52" customFormat="1" ht="18" customHeight="1">
      <c r="A30" s="89">
        <f t="shared" si="0"/>
        <v>25</v>
      </c>
      <c r="B30" s="171" t="str">
        <f>MRS!B30&amp;" "&amp;MRS!D30</f>
        <v xml:space="preserve">A/C Copper Tube Set 5/8"x15mtr </v>
      </c>
      <c r="C30" s="172"/>
      <c r="D30" s="83" t="str">
        <f>MRS!G30</f>
        <v>Nos</v>
      </c>
      <c r="E30" s="84">
        <f>MRS!H30</f>
        <v>2</v>
      </c>
      <c r="F30" s="85">
        <f>MRS!I30</f>
        <v>430</v>
      </c>
      <c r="G30" s="85">
        <f>MRS!J30</f>
        <v>860</v>
      </c>
      <c r="H30" s="90"/>
    </row>
    <row r="31" spans="1:8" s="52" customFormat="1" ht="18" customHeight="1">
      <c r="A31" s="89">
        <f t="shared" si="0"/>
        <v>26</v>
      </c>
      <c r="B31" s="171" t="str">
        <f>MRS!B31&amp;" "&amp;MRS!D31</f>
        <v xml:space="preserve">A/C Copper Tube Set 1/4"x15mtr </v>
      </c>
      <c r="C31" s="172"/>
      <c r="D31" s="83" t="str">
        <f>MRS!G31</f>
        <v>Nos</v>
      </c>
      <c r="E31" s="84">
        <f>MRS!H31</f>
        <v>2</v>
      </c>
      <c r="F31" s="85">
        <f>MRS!I31</f>
        <v>143</v>
      </c>
      <c r="G31" s="85">
        <f>MRS!J31</f>
        <v>286</v>
      </c>
      <c r="H31" s="90"/>
    </row>
    <row r="32" spans="1:8" s="52" customFormat="1" ht="18" customHeight="1">
      <c r="A32" s="89">
        <f t="shared" si="0"/>
        <v>27</v>
      </c>
      <c r="B32" s="171" t="str">
        <f>MRS!B32&amp;" "&amp;MRS!D32</f>
        <v xml:space="preserve">Insulation Copper Pipe 5/8" x 15mtr </v>
      </c>
      <c r="C32" s="172"/>
      <c r="D32" s="83" t="str">
        <f>MRS!G32</f>
        <v>Nos</v>
      </c>
      <c r="E32" s="84">
        <f>MRS!H32</f>
        <v>10</v>
      </c>
      <c r="F32" s="85">
        <f>MRS!I32</f>
        <v>18</v>
      </c>
      <c r="G32" s="85">
        <f>MRS!J32</f>
        <v>180</v>
      </c>
      <c r="H32" s="90"/>
    </row>
    <row r="33" spans="1:8" s="52" customFormat="1" ht="18" customHeight="1">
      <c r="A33" s="89">
        <f t="shared" si="0"/>
        <v>28</v>
      </c>
      <c r="B33" s="171" t="str">
        <f>MRS!B33&amp;" "&amp;MRS!D33</f>
        <v xml:space="preserve">Insulation Copper Pipe 1/4" x 15mtr </v>
      </c>
      <c r="C33" s="172"/>
      <c r="D33" s="83" t="str">
        <f>MRS!G33</f>
        <v>Nos</v>
      </c>
      <c r="E33" s="84">
        <f>MRS!H33</f>
        <v>10</v>
      </c>
      <c r="F33" s="85">
        <f>MRS!I33</f>
        <v>12</v>
      </c>
      <c r="G33" s="85">
        <f>MRS!J33</f>
        <v>120</v>
      </c>
      <c r="H33" s="90"/>
    </row>
    <row r="34" spans="1:8" s="52" customFormat="1" ht="18" customHeight="1">
      <c r="A34" s="89">
        <f t="shared" si="0"/>
        <v>29</v>
      </c>
      <c r="B34" s="171" t="str">
        <f>MRS!B34&amp;" "&amp;MRS!D34</f>
        <v xml:space="preserve">Insulation Tape Black 2" </v>
      </c>
      <c r="C34" s="172"/>
      <c r="D34" s="83" t="str">
        <f>MRS!G34</f>
        <v>Nos</v>
      </c>
      <c r="E34" s="84">
        <f>MRS!H34</f>
        <v>130</v>
      </c>
      <c r="F34" s="85">
        <f>MRS!I34</f>
        <v>3.5</v>
      </c>
      <c r="G34" s="85">
        <f>MRS!J34</f>
        <v>455</v>
      </c>
      <c r="H34" s="90"/>
    </row>
    <row r="35" spans="1:8" s="52" customFormat="1" ht="18" customHeight="1">
      <c r="A35" s="89">
        <f t="shared" si="0"/>
        <v>30</v>
      </c>
      <c r="B35" s="171" t="str">
        <f>MRS!B35&amp;" "&amp;MRS!D35</f>
        <v xml:space="preserve">Masking Tape 2"x20yard </v>
      </c>
      <c r="C35" s="172"/>
      <c r="D35" s="83" t="str">
        <f>MRS!G35</f>
        <v>Nos</v>
      </c>
      <c r="E35" s="84">
        <f>MRS!H35</f>
        <v>400</v>
      </c>
      <c r="F35" s="85">
        <f>MRS!I35</f>
        <v>2.15</v>
      </c>
      <c r="G35" s="85">
        <f>MRS!J35</f>
        <v>860</v>
      </c>
      <c r="H35" s="90"/>
    </row>
    <row r="36" spans="1:8" s="52" customFormat="1" ht="18" customHeight="1">
      <c r="A36" s="89">
        <f t="shared" si="0"/>
        <v>31</v>
      </c>
      <c r="B36" s="171" t="str">
        <f>MRS!B36&amp;" "&amp;MRS!D36</f>
        <v xml:space="preserve">Duct Tape 2"x20yard </v>
      </c>
      <c r="C36" s="172"/>
      <c r="D36" s="83" t="str">
        <f>MRS!G36</f>
        <v>Nos</v>
      </c>
      <c r="E36" s="84">
        <f>MRS!H36</f>
        <v>300</v>
      </c>
      <c r="F36" s="85">
        <f>MRS!I36</f>
        <v>2.7</v>
      </c>
      <c r="G36" s="85">
        <f>MRS!J36</f>
        <v>810</v>
      </c>
      <c r="H36" s="90"/>
    </row>
    <row r="37" spans="1:8" s="52" customFormat="1" ht="18" customHeight="1">
      <c r="A37" s="89">
        <f t="shared" si="0"/>
        <v>32</v>
      </c>
      <c r="B37" s="171" t="str">
        <f>MRS!B37&amp;" "&amp;MRS!D37</f>
        <v xml:space="preserve">Tig Torch Switch </v>
      </c>
      <c r="C37" s="172"/>
      <c r="D37" s="83" t="str">
        <f>MRS!G37</f>
        <v>Nos</v>
      </c>
      <c r="E37" s="84">
        <f>MRS!H37</f>
        <v>180</v>
      </c>
      <c r="F37" s="85">
        <f>MRS!I37</f>
        <v>12</v>
      </c>
      <c r="G37" s="85">
        <f>MRS!J37</f>
        <v>2160</v>
      </c>
      <c r="H37" s="90"/>
    </row>
    <row r="38" spans="1:8" s="52" customFormat="1" ht="18" customHeight="1">
      <c r="A38" s="89">
        <f t="shared" si="0"/>
        <v>33</v>
      </c>
      <c r="B38" s="171" t="str">
        <f>MRS!B38&amp;" "&amp;MRS!D38</f>
        <v xml:space="preserve">Tungsten Electrode 2.4mm </v>
      </c>
      <c r="C38" s="172"/>
      <c r="D38" s="83" t="str">
        <f>MRS!G38</f>
        <v>Nos</v>
      </c>
      <c r="E38" s="84">
        <f>MRS!H38</f>
        <v>900</v>
      </c>
      <c r="F38" s="85">
        <f>MRS!I38</f>
        <v>21</v>
      </c>
      <c r="G38" s="85">
        <f>MRS!J38</f>
        <v>18900</v>
      </c>
      <c r="H38" s="90"/>
    </row>
    <row r="39" spans="1:8" s="52" customFormat="1" ht="18" customHeight="1">
      <c r="A39" s="89">
        <f t="shared" si="0"/>
        <v>34</v>
      </c>
      <c r="B39" s="171" t="str">
        <f>MRS!B39&amp;" "&amp;MRS!D39</f>
        <v xml:space="preserve">Tungsten Electrode 3.2mm </v>
      </c>
      <c r="C39" s="172"/>
      <c r="D39" s="83" t="str">
        <f>MRS!G39</f>
        <v>Nos</v>
      </c>
      <c r="E39" s="84">
        <f>MRS!H39</f>
        <v>330</v>
      </c>
      <c r="F39" s="85">
        <f>MRS!I39</f>
        <v>25</v>
      </c>
      <c r="G39" s="85">
        <f>MRS!J39</f>
        <v>8250</v>
      </c>
      <c r="H39" s="90"/>
    </row>
    <row r="40" spans="1:8" s="52" customFormat="1" ht="18" customHeight="1">
      <c r="A40" s="89">
        <f t="shared" si="0"/>
        <v>35</v>
      </c>
      <c r="B40" s="171" t="str">
        <f>MRS!B40&amp;" "&amp;MRS!D40</f>
        <v xml:space="preserve">Ceramic Nozzle 350A #7 </v>
      </c>
      <c r="C40" s="172"/>
      <c r="D40" s="83" t="str">
        <f>MRS!G40</f>
        <v>Nos</v>
      </c>
      <c r="E40" s="84">
        <f>MRS!H40</f>
        <v>300</v>
      </c>
      <c r="F40" s="85">
        <f>MRS!I40</f>
        <v>12</v>
      </c>
      <c r="G40" s="85">
        <f>MRS!J40</f>
        <v>3600</v>
      </c>
      <c r="H40" s="90"/>
    </row>
    <row r="41" spans="1:8" s="52" customFormat="1" ht="18" customHeight="1">
      <c r="A41" s="89">
        <f t="shared" si="0"/>
        <v>36</v>
      </c>
      <c r="B41" s="171" t="str">
        <f>MRS!B41&amp;" "&amp;MRS!D41</f>
        <v xml:space="preserve">Ceramic Nozzle 350A #8 </v>
      </c>
      <c r="C41" s="172"/>
      <c r="D41" s="83" t="str">
        <f>MRS!G41</f>
        <v>Nos</v>
      </c>
      <c r="E41" s="84">
        <f>MRS!H41</f>
        <v>300</v>
      </c>
      <c r="F41" s="85">
        <f>MRS!I41</f>
        <v>12</v>
      </c>
      <c r="G41" s="85">
        <f>MRS!J41</f>
        <v>3600</v>
      </c>
      <c r="H41" s="90"/>
    </row>
    <row r="42" spans="1:8" s="52" customFormat="1" ht="18" customHeight="1">
      <c r="A42" s="89">
        <f t="shared" si="0"/>
        <v>37</v>
      </c>
      <c r="B42" s="171" t="str">
        <f>MRS!B42&amp;" "&amp;MRS!D42</f>
        <v xml:space="preserve">3M Earmuffs for Safety Helmet </v>
      </c>
      <c r="C42" s="172"/>
      <c r="D42" s="83" t="str">
        <f>MRS!G42</f>
        <v>Nos</v>
      </c>
      <c r="E42" s="84">
        <f>MRS!H42</f>
        <v>15</v>
      </c>
      <c r="F42" s="85">
        <f>MRS!I42</f>
        <v>84</v>
      </c>
      <c r="G42" s="85">
        <f>MRS!J42</f>
        <v>1260</v>
      </c>
      <c r="H42" s="90"/>
    </row>
    <row r="43" spans="1:8" s="52" customFormat="1" ht="18" customHeight="1">
      <c r="A43" s="89">
        <f t="shared" si="0"/>
        <v>38</v>
      </c>
      <c r="B43" s="171" t="str">
        <f>MRS!B43&amp;" "&amp;MRS!D43</f>
        <v xml:space="preserve">Drill Bit Cobalt for S/S 5mm </v>
      </c>
      <c r="C43" s="172"/>
      <c r="D43" s="83" t="str">
        <f>MRS!G43</f>
        <v>Nos</v>
      </c>
      <c r="E43" s="84">
        <f>MRS!H43</f>
        <v>60</v>
      </c>
      <c r="F43" s="85">
        <f>MRS!I43</f>
        <v>3.9</v>
      </c>
      <c r="G43" s="85">
        <f>MRS!J43</f>
        <v>234</v>
      </c>
      <c r="H43" s="90"/>
    </row>
    <row r="44" spans="1:8" s="52" customFormat="1" ht="18" customHeight="1">
      <c r="A44" s="89">
        <f t="shared" si="0"/>
        <v>39</v>
      </c>
      <c r="B44" s="171" t="str">
        <f>MRS!B44&amp;" "&amp;MRS!D44</f>
        <v xml:space="preserve">Drill Bit Cobalt for S/S 3mm </v>
      </c>
      <c r="C44" s="172"/>
      <c r="D44" s="83" t="str">
        <f>MRS!G44</f>
        <v>Nos</v>
      </c>
      <c r="E44" s="84">
        <f>MRS!H44</f>
        <v>60</v>
      </c>
      <c r="F44" s="85">
        <f>MRS!I44</f>
        <v>2.2000000000000002</v>
      </c>
      <c r="G44" s="85">
        <f>MRS!J44</f>
        <v>132</v>
      </c>
      <c r="H44" s="90"/>
    </row>
    <row r="45" spans="1:8" s="52" customFormat="1" ht="18" customHeight="1">
      <c r="A45" s="89">
        <f t="shared" si="0"/>
        <v>40</v>
      </c>
      <c r="B45" s="171" t="str">
        <f>MRS!B45&amp;" "&amp;MRS!D45</f>
        <v xml:space="preserve">Magnifying Glass Small </v>
      </c>
      <c r="C45" s="172"/>
      <c r="D45" s="83" t="str">
        <f>MRS!G45</f>
        <v>Nos</v>
      </c>
      <c r="E45" s="84">
        <f>MRS!H45</f>
        <v>4</v>
      </c>
      <c r="F45" s="85">
        <f>MRS!I45</f>
        <v>56</v>
      </c>
      <c r="G45" s="85">
        <f>MRS!J45</f>
        <v>224</v>
      </c>
      <c r="H45" s="90"/>
    </row>
    <row r="46" spans="1:8" s="52" customFormat="1" ht="18" customHeight="1">
      <c r="A46" s="89">
        <f t="shared" si="0"/>
        <v>41</v>
      </c>
      <c r="B46" s="171" t="str">
        <f>MRS!B46&amp;" "&amp;MRS!D46</f>
        <v xml:space="preserve">Measuring Tape 3mtr </v>
      </c>
      <c r="C46" s="172"/>
      <c r="D46" s="83" t="str">
        <f>MRS!G46</f>
        <v>Nos</v>
      </c>
      <c r="E46" s="84">
        <f>MRS!H46</f>
        <v>5</v>
      </c>
      <c r="F46" s="85">
        <f>MRS!I46</f>
        <v>5</v>
      </c>
      <c r="G46" s="85">
        <f>MRS!J46</f>
        <v>25</v>
      </c>
      <c r="H46" s="90"/>
    </row>
    <row r="47" spans="1:8" s="52" customFormat="1" ht="18" customHeight="1">
      <c r="A47" s="89">
        <f t="shared" si="0"/>
        <v>42</v>
      </c>
      <c r="B47" s="171" t="str">
        <f>MRS!B47&amp;" "&amp;MRS!D47</f>
        <v xml:space="preserve">Line Dori 1mm x 50mtr </v>
      </c>
      <c r="C47" s="172"/>
      <c r="D47" s="83" t="str">
        <f>MRS!G47</f>
        <v>Nos</v>
      </c>
      <c r="E47" s="84">
        <f>MRS!H47</f>
        <v>10</v>
      </c>
      <c r="F47" s="85">
        <f>MRS!I47</f>
        <v>2</v>
      </c>
      <c r="G47" s="85">
        <f>MRS!J47</f>
        <v>20</v>
      </c>
      <c r="H47" s="90"/>
    </row>
    <row r="48" spans="1:8" s="52" customFormat="1" ht="18" customHeight="1">
      <c r="A48" s="89">
        <f t="shared" si="0"/>
        <v>43</v>
      </c>
      <c r="B48" s="171" t="str">
        <f>MRS!B48&amp;" "&amp;MRS!D48</f>
        <v xml:space="preserve">Low Chloride Paint Marker Red Markal </v>
      </c>
      <c r="C48" s="172"/>
      <c r="D48" s="83" t="str">
        <f>MRS!G48</f>
        <v>Nos</v>
      </c>
      <c r="E48" s="84">
        <f>MRS!H48</f>
        <v>12</v>
      </c>
      <c r="F48" s="85">
        <f>MRS!I48</f>
        <v>14.5</v>
      </c>
      <c r="G48" s="85">
        <f>MRS!J48</f>
        <v>174</v>
      </c>
      <c r="H48" s="90"/>
    </row>
    <row r="49" spans="1:8" s="52" customFormat="1" ht="18" customHeight="1">
      <c r="A49" s="89">
        <f t="shared" si="0"/>
        <v>44</v>
      </c>
      <c r="B49" s="171" t="str">
        <f>MRS!B49&amp;" "&amp;MRS!D49</f>
        <v xml:space="preserve">Low Chloride Paint Marker Black Markal </v>
      </c>
      <c r="C49" s="172"/>
      <c r="D49" s="83" t="str">
        <f>MRS!G49</f>
        <v>Nos</v>
      </c>
      <c r="E49" s="84">
        <f>MRS!H49</f>
        <v>30</v>
      </c>
      <c r="F49" s="85">
        <f>MRS!I49</f>
        <v>14.5</v>
      </c>
      <c r="G49" s="85">
        <f>MRS!J49</f>
        <v>435</v>
      </c>
      <c r="H49" s="90"/>
    </row>
    <row r="50" spans="1:8" s="52" customFormat="1" ht="18" customHeight="1">
      <c r="A50" s="89">
        <f t="shared" si="0"/>
        <v>45</v>
      </c>
      <c r="B50" s="171" t="str">
        <f>MRS!B50&amp;" "&amp;MRS!D50</f>
        <v xml:space="preserve">Purge Reinforced Clear Hose 6mm x 50mtr </v>
      </c>
      <c r="C50" s="172"/>
      <c r="D50" s="83" t="str">
        <f>MRS!G50</f>
        <v>Nos</v>
      </c>
      <c r="E50" s="84">
        <f>MRS!H50</f>
        <v>6</v>
      </c>
      <c r="F50" s="85">
        <f>MRS!I50</f>
        <v>98</v>
      </c>
      <c r="G50" s="85">
        <f>MRS!J50</f>
        <v>588</v>
      </c>
      <c r="H50" s="90"/>
    </row>
    <row r="51" spans="1:8" s="52" customFormat="1" ht="18" customHeight="1">
      <c r="A51" s="89">
        <f t="shared" si="0"/>
        <v>46</v>
      </c>
      <c r="B51" s="171" t="str">
        <f>MRS!B51&amp;" "&amp;MRS!D51</f>
        <v xml:space="preserve">Tig Torch Set Fixed Type 5mtr </v>
      </c>
      <c r="C51" s="172"/>
      <c r="D51" s="83" t="str">
        <f>MRS!G51</f>
        <v>Nos</v>
      </c>
      <c r="E51" s="84">
        <f>MRS!H51</f>
        <v>15</v>
      </c>
      <c r="F51" s="85">
        <f>MRS!I51</f>
        <v>415</v>
      </c>
      <c r="G51" s="85">
        <f>MRS!J51</f>
        <v>6225</v>
      </c>
      <c r="H51" s="90"/>
    </row>
    <row r="52" spans="1:8" s="52" customFormat="1" ht="18" customHeight="1">
      <c r="A52" s="89">
        <f t="shared" si="0"/>
        <v>47</v>
      </c>
      <c r="B52" s="171" t="str">
        <f>MRS!B52&amp;" "&amp;MRS!D52</f>
        <v xml:space="preserve">Tig Torch Set Fixed Type 10mtr </v>
      </c>
      <c r="C52" s="172"/>
      <c r="D52" s="83" t="str">
        <f>MRS!G52</f>
        <v>Nos</v>
      </c>
      <c r="E52" s="84">
        <f>MRS!H52</f>
        <v>10</v>
      </c>
      <c r="F52" s="85">
        <f>MRS!I52</f>
        <v>600</v>
      </c>
      <c r="G52" s="85">
        <f>MRS!J52</f>
        <v>6000</v>
      </c>
      <c r="H52" s="90"/>
    </row>
    <row r="53" spans="1:8" s="52" customFormat="1" ht="18" customHeight="1">
      <c r="A53" s="89">
        <f t="shared" si="0"/>
        <v>48</v>
      </c>
      <c r="B53" s="171" t="str">
        <f>MRS!B53&amp;" "&amp;MRS!D53</f>
        <v xml:space="preserve">Alumina Gas Lens Nozzle #6 (54N16) </v>
      </c>
      <c r="C53" s="172"/>
      <c r="D53" s="83" t="str">
        <f>MRS!G53</f>
        <v>Nos</v>
      </c>
      <c r="E53" s="84">
        <f>MRS!H53</f>
        <v>60</v>
      </c>
      <c r="F53" s="85">
        <f>MRS!I53</f>
        <v>14</v>
      </c>
      <c r="G53" s="85">
        <f>MRS!J53</f>
        <v>840</v>
      </c>
      <c r="H53" s="90"/>
    </row>
    <row r="54" spans="1:8" s="52" customFormat="1" ht="18" customHeight="1">
      <c r="A54" s="89">
        <f t="shared" si="0"/>
        <v>49</v>
      </c>
      <c r="B54" s="171" t="str">
        <f>MRS!B54&amp;" "&amp;MRS!D54</f>
        <v xml:space="preserve">Alumina Gas Lens Nozzle #7 (54N15) </v>
      </c>
      <c r="C54" s="172"/>
      <c r="D54" s="83" t="str">
        <f>MRS!G54</f>
        <v>Nos</v>
      </c>
      <c r="E54" s="84">
        <f>MRS!H54</f>
        <v>60</v>
      </c>
      <c r="F54" s="85">
        <f>MRS!I54</f>
        <v>14</v>
      </c>
      <c r="G54" s="85">
        <f>MRS!J54</f>
        <v>840</v>
      </c>
      <c r="H54" s="90"/>
    </row>
    <row r="55" spans="1:8" s="52" customFormat="1" ht="18" customHeight="1">
      <c r="A55" s="89">
        <f t="shared" si="0"/>
        <v>50</v>
      </c>
      <c r="B55" s="171" t="str">
        <f>MRS!B55&amp;" "&amp;MRS!D55</f>
        <v xml:space="preserve">Alumina Gas Lens Nozzle #8 (54N14) </v>
      </c>
      <c r="C55" s="172"/>
      <c r="D55" s="83" t="str">
        <f>MRS!G55</f>
        <v>Nos</v>
      </c>
      <c r="E55" s="84">
        <f>MRS!H55</f>
        <v>60</v>
      </c>
      <c r="F55" s="85">
        <f>MRS!I55</f>
        <v>14</v>
      </c>
      <c r="G55" s="85">
        <f>MRS!J55</f>
        <v>840</v>
      </c>
      <c r="H55" s="90"/>
    </row>
    <row r="56" spans="1:8" s="52" customFormat="1" ht="18" customHeight="1">
      <c r="A56" s="89">
        <f t="shared" si="0"/>
        <v>51</v>
      </c>
      <c r="B56" s="171" t="str">
        <f>MRS!B56&amp;" "&amp;MRS!D56</f>
        <v xml:space="preserve">Digital Multermeter Fluke 15B+ </v>
      </c>
      <c r="C56" s="172"/>
      <c r="D56" s="83" t="str">
        <f>MRS!G56</f>
        <v>Nos</v>
      </c>
      <c r="E56" s="84">
        <f>MRS!H56</f>
        <v>2</v>
      </c>
      <c r="F56" s="85">
        <f>MRS!I56</f>
        <v>630</v>
      </c>
      <c r="G56" s="85">
        <f>MRS!J56</f>
        <v>1260</v>
      </c>
      <c r="H56" s="90"/>
    </row>
    <row r="57" spans="1:8" s="52" customFormat="1" ht="18" customHeight="1">
      <c r="A57" s="89">
        <f t="shared" si="0"/>
        <v>52</v>
      </c>
      <c r="B57" s="171" t="str">
        <f>MRS!B57&amp;" "&amp;MRS!D57</f>
        <v xml:space="preserve">Cuttering Plier 7" </v>
      </c>
      <c r="C57" s="172"/>
      <c r="D57" s="83" t="str">
        <f>MRS!G57</f>
        <v>Nos</v>
      </c>
      <c r="E57" s="84">
        <f>MRS!H57</f>
        <v>2</v>
      </c>
      <c r="F57" s="85">
        <f>MRS!I57</f>
        <v>16</v>
      </c>
      <c r="G57" s="85">
        <f>MRS!J57</f>
        <v>32</v>
      </c>
      <c r="H57" s="90"/>
    </row>
    <row r="58" spans="1:8" s="52" customFormat="1" ht="18" customHeight="1">
      <c r="A58" s="89">
        <f t="shared" si="0"/>
        <v>53</v>
      </c>
      <c r="B58" s="171" t="str">
        <f>MRS!B58&amp;" "&amp;MRS!D58</f>
        <v xml:space="preserve">Dew Point Meter Fluke 971 </v>
      </c>
      <c r="C58" s="172"/>
      <c r="D58" s="83" t="str">
        <f>MRS!G58</f>
        <v>Nos</v>
      </c>
      <c r="E58" s="84">
        <f>MRS!H58</f>
        <v>3</v>
      </c>
      <c r="F58" s="85">
        <f>MRS!I58</f>
        <v>2420</v>
      </c>
      <c r="G58" s="85">
        <f>MRS!J58</f>
        <v>7260</v>
      </c>
      <c r="H58" s="90"/>
    </row>
    <row r="59" spans="1:8" s="52" customFormat="1" ht="18" customHeight="1">
      <c r="A59" s="89">
        <f t="shared" si="0"/>
        <v>54</v>
      </c>
      <c r="B59" s="171" t="str">
        <f>MRS!B59&amp;" "&amp;MRS!D59</f>
        <v xml:space="preserve">Electric Insulation Tape Yellow </v>
      </c>
      <c r="C59" s="172"/>
      <c r="D59" s="83" t="str">
        <f>MRS!G59</f>
        <v>Nos</v>
      </c>
      <c r="E59" s="84">
        <f>MRS!H59</f>
        <v>500</v>
      </c>
      <c r="F59" s="85">
        <f>MRS!I59</f>
        <v>2.2000000000000002</v>
      </c>
      <c r="G59" s="85">
        <f>MRS!J59</f>
        <v>1100</v>
      </c>
      <c r="H59" s="90"/>
    </row>
    <row r="60" spans="1:8" s="52" customFormat="1" ht="18" customHeight="1">
      <c r="A60" s="89">
        <f t="shared" si="0"/>
        <v>55</v>
      </c>
      <c r="B60" s="171" t="str">
        <f>MRS!B60&amp;" "&amp;MRS!D60</f>
        <v xml:space="preserve">WD-40 330ml </v>
      </c>
      <c r="C60" s="172"/>
      <c r="D60" s="83" t="str">
        <f>MRS!G60</f>
        <v>Nos</v>
      </c>
      <c r="E60" s="84">
        <f>MRS!H60</f>
        <v>300</v>
      </c>
      <c r="F60" s="85">
        <f>MRS!I60</f>
        <v>18</v>
      </c>
      <c r="G60" s="85">
        <f>MRS!J60</f>
        <v>5400</v>
      </c>
      <c r="H60" s="90"/>
    </row>
    <row r="61" spans="1:8" s="52" customFormat="1" ht="18" customHeight="1">
      <c r="A61" s="89">
        <f t="shared" si="0"/>
        <v>56</v>
      </c>
      <c r="B61" s="171" t="str">
        <f>MRS!B61&amp;" "&amp;MRS!D61</f>
        <v xml:space="preserve">Cotton Rags Mixed Color 10Kg </v>
      </c>
      <c r="C61" s="172"/>
      <c r="D61" s="83" t="str">
        <f>MRS!G61</f>
        <v>Nos</v>
      </c>
      <c r="E61" s="84">
        <f>MRS!H61</f>
        <v>12</v>
      </c>
      <c r="F61" s="85">
        <f>MRS!I61</f>
        <v>38</v>
      </c>
      <c r="G61" s="85">
        <f>MRS!J61</f>
        <v>456</v>
      </c>
      <c r="H61" s="90"/>
    </row>
    <row r="62" spans="1:8" s="52" customFormat="1" ht="18" customHeight="1">
      <c r="A62" s="89">
        <f t="shared" si="0"/>
        <v>57</v>
      </c>
      <c r="B62" s="171" t="str">
        <f>MRS!B62&amp;" "&amp;MRS!D62</f>
        <v xml:space="preserve">Cotton Rags White 10Kg </v>
      </c>
      <c r="C62" s="172"/>
      <c r="D62" s="83" t="str">
        <f>MRS!G62</f>
        <v>Nos</v>
      </c>
      <c r="E62" s="84">
        <f>MRS!H62</f>
        <v>12</v>
      </c>
      <c r="F62" s="85">
        <f>MRS!I62</f>
        <v>85</v>
      </c>
      <c r="G62" s="85">
        <f>MRS!J62</f>
        <v>1020</v>
      </c>
      <c r="H62" s="90"/>
    </row>
    <row r="63" spans="1:8" s="52" customFormat="1" ht="18" customHeight="1">
      <c r="A63" s="89">
        <f t="shared" si="0"/>
        <v>58</v>
      </c>
      <c r="B63" s="171" t="str">
        <f>MRS!B63&amp;" "&amp;MRS!D63</f>
        <v xml:space="preserve">Welding Glass Dark #10 </v>
      </c>
      <c r="C63" s="172"/>
      <c r="D63" s="83" t="str">
        <f>MRS!G63</f>
        <v>Nos</v>
      </c>
      <c r="E63" s="84">
        <f>MRS!H63</f>
        <v>120</v>
      </c>
      <c r="F63" s="85">
        <f>MRS!I63</f>
        <v>0.95</v>
      </c>
      <c r="G63" s="85">
        <f>MRS!J63</f>
        <v>114</v>
      </c>
      <c r="H63" s="90"/>
    </row>
    <row r="64" spans="1:8" s="52" customFormat="1" ht="18" customHeight="1">
      <c r="A64" s="89">
        <f t="shared" si="0"/>
        <v>59</v>
      </c>
      <c r="B64" s="171" t="str">
        <f>MRS!B64&amp;" "&amp;MRS!D64</f>
        <v xml:space="preserve">Welding Glass Dark #11 </v>
      </c>
      <c r="C64" s="172"/>
      <c r="D64" s="83" t="str">
        <f>MRS!G64</f>
        <v>Nos</v>
      </c>
      <c r="E64" s="84">
        <f>MRS!H64</f>
        <v>120</v>
      </c>
      <c r="F64" s="85">
        <f>MRS!I64</f>
        <v>0.95</v>
      </c>
      <c r="G64" s="85">
        <f>MRS!J64</f>
        <v>114</v>
      </c>
      <c r="H64" s="90"/>
    </row>
    <row r="65" spans="1:8" s="52" customFormat="1" ht="18" customHeight="1">
      <c r="A65" s="89">
        <f t="shared" si="0"/>
        <v>60</v>
      </c>
      <c r="B65" s="171" t="str">
        <f>MRS!B65&amp;" "&amp;MRS!D65</f>
        <v xml:space="preserve">Welding Glass Dark #12 </v>
      </c>
      <c r="C65" s="172"/>
      <c r="D65" s="83" t="str">
        <f>MRS!G65</f>
        <v>Nos</v>
      </c>
      <c r="E65" s="84">
        <f>MRS!H65</f>
        <v>120</v>
      </c>
      <c r="F65" s="85">
        <f>MRS!I65</f>
        <v>0.95</v>
      </c>
      <c r="G65" s="85">
        <f>MRS!J65</f>
        <v>114</v>
      </c>
      <c r="H65" s="90"/>
    </row>
    <row r="66" spans="1:8" s="52" customFormat="1" ht="18" customHeight="1">
      <c r="A66" s="89">
        <f t="shared" si="0"/>
        <v>61</v>
      </c>
      <c r="B66" s="171" t="str">
        <f>MRS!B66&amp;" "&amp;MRS!D66</f>
        <v xml:space="preserve">Tig Collet Body 350A 3.2mm </v>
      </c>
      <c r="C66" s="172"/>
      <c r="D66" s="83" t="str">
        <f>MRS!G66</f>
        <v>Nos</v>
      </c>
      <c r="E66" s="84">
        <f>MRS!H66</f>
        <v>120</v>
      </c>
      <c r="F66" s="85">
        <f>MRS!I66</f>
        <v>13</v>
      </c>
      <c r="G66" s="85">
        <f>MRS!J66</f>
        <v>1560</v>
      </c>
      <c r="H66" s="90"/>
    </row>
    <row r="67" spans="1:8" s="52" customFormat="1" ht="18" customHeight="1">
      <c r="A67" s="89">
        <f t="shared" si="0"/>
        <v>62</v>
      </c>
      <c r="B67" s="171" t="str">
        <f>MRS!B67&amp;" "&amp;MRS!D67</f>
        <v xml:space="preserve">Tig Collet Pin 350A 2.4mm </v>
      </c>
      <c r="C67" s="172"/>
      <c r="D67" s="83" t="str">
        <f>MRS!G67</f>
        <v>Nos</v>
      </c>
      <c r="E67" s="84">
        <f>MRS!H67</f>
        <v>120</v>
      </c>
      <c r="F67" s="85">
        <f>MRS!I67</f>
        <v>5.9</v>
      </c>
      <c r="G67" s="85">
        <f>MRS!J67</f>
        <v>708</v>
      </c>
      <c r="H67" s="90"/>
    </row>
    <row r="68" spans="1:8" s="52" customFormat="1" ht="18" customHeight="1">
      <c r="A68" s="89">
        <f t="shared" si="0"/>
        <v>63</v>
      </c>
      <c r="B68" s="171" t="str">
        <f>MRS!B68&amp;" "&amp;MRS!D68</f>
        <v xml:space="preserve">Tig Collet Pin 250A 2.4mm </v>
      </c>
      <c r="C68" s="172"/>
      <c r="D68" s="83" t="str">
        <f>MRS!G68</f>
        <v>Nos</v>
      </c>
      <c r="E68" s="84">
        <f>MRS!H68</f>
        <v>120</v>
      </c>
      <c r="F68" s="85">
        <f>MRS!I68</f>
        <v>5.9</v>
      </c>
      <c r="G68" s="85">
        <f>MRS!J68</f>
        <v>708</v>
      </c>
      <c r="H68" s="90"/>
    </row>
    <row r="69" spans="1:8" s="52" customFormat="1" ht="18" customHeight="1">
      <c r="A69" s="89">
        <f t="shared" si="0"/>
        <v>64</v>
      </c>
      <c r="B69" s="171" t="str">
        <f>MRS!B69&amp;" "&amp;MRS!D69</f>
        <v xml:space="preserve">Ceramic Nozzle 350A #5 </v>
      </c>
      <c r="C69" s="172"/>
      <c r="D69" s="83" t="str">
        <f>MRS!G69</f>
        <v>Nos</v>
      </c>
      <c r="E69" s="84">
        <f>MRS!H69</f>
        <v>120</v>
      </c>
      <c r="F69" s="85">
        <f>MRS!I69</f>
        <v>12</v>
      </c>
      <c r="G69" s="85">
        <f>MRS!J69</f>
        <v>1440</v>
      </c>
      <c r="H69" s="90"/>
    </row>
    <row r="70" spans="1:8" s="52" customFormat="1" ht="18" customHeight="1">
      <c r="A70" s="89">
        <f t="shared" ref="A70:A124" si="1">ROW(A65)</f>
        <v>65</v>
      </c>
      <c r="B70" s="171" t="str">
        <f>MRS!B70&amp;" "&amp;MRS!D70</f>
        <v xml:space="preserve">3-Hole Binder A4 75mm (30ea/Box) </v>
      </c>
      <c r="C70" s="172"/>
      <c r="D70" s="83" t="str">
        <f>MRS!G70</f>
        <v>Box</v>
      </c>
      <c r="E70" s="84">
        <f>MRS!H70</f>
        <v>3</v>
      </c>
      <c r="F70" s="85">
        <f>MRS!I70</f>
        <v>580</v>
      </c>
      <c r="G70" s="85">
        <f>MRS!J70</f>
        <v>1740</v>
      </c>
      <c r="H70" s="90"/>
    </row>
    <row r="71" spans="1:8" s="52" customFormat="1" ht="18" customHeight="1">
      <c r="A71" s="89">
        <f t="shared" si="1"/>
        <v>66</v>
      </c>
      <c r="B71" s="171" t="str">
        <f>MRS!B71&amp;" "&amp;MRS!D71</f>
        <v xml:space="preserve">Drill Machine 16mm in Steel 1050W Boscch GBM 16-2RE </v>
      </c>
      <c r="C71" s="172"/>
      <c r="D71" s="83" t="str">
        <f>MRS!G71</f>
        <v>Nos</v>
      </c>
      <c r="E71" s="84">
        <f>MRS!H71</f>
        <v>2</v>
      </c>
      <c r="F71" s="85">
        <f>MRS!I71</f>
        <v>628</v>
      </c>
      <c r="G71" s="85">
        <f>MRS!J71</f>
        <v>1256</v>
      </c>
      <c r="H71" s="90"/>
    </row>
    <row r="72" spans="1:8" s="52" customFormat="1" ht="18" customHeight="1">
      <c r="A72" s="89">
        <f t="shared" si="1"/>
        <v>67</v>
      </c>
      <c r="B72" s="171" t="str">
        <f>MRS!B72&amp;" "&amp;MRS!D72</f>
        <v xml:space="preserve">Drill Bit HSS Cobalt (S/S) 6mm </v>
      </c>
      <c r="C72" s="172"/>
      <c r="D72" s="83" t="str">
        <f>MRS!G72</f>
        <v>Nos</v>
      </c>
      <c r="E72" s="84">
        <f>MRS!H72</f>
        <v>3</v>
      </c>
      <c r="F72" s="85">
        <f>MRS!I72</f>
        <v>5.5</v>
      </c>
      <c r="G72" s="85">
        <f>MRS!J72</f>
        <v>16.5</v>
      </c>
      <c r="H72" s="90"/>
    </row>
    <row r="73" spans="1:8" s="52" customFormat="1" ht="18" customHeight="1">
      <c r="A73" s="89">
        <f t="shared" si="1"/>
        <v>68</v>
      </c>
      <c r="B73" s="171" t="str">
        <f>MRS!B73&amp;" "&amp;MRS!D73</f>
        <v xml:space="preserve">Drill Bit HSS Cobalt S/S 8mm </v>
      </c>
      <c r="C73" s="172"/>
      <c r="D73" s="83" t="str">
        <f>MRS!G73</f>
        <v>Nos</v>
      </c>
      <c r="E73" s="84">
        <f>MRS!H73</f>
        <v>5</v>
      </c>
      <c r="F73" s="85">
        <f>MRS!I73</f>
        <v>9</v>
      </c>
      <c r="G73" s="85">
        <f>MRS!J73</f>
        <v>45</v>
      </c>
      <c r="H73" s="90"/>
    </row>
    <row r="74" spans="1:8" s="52" customFormat="1" ht="18" customHeight="1">
      <c r="A74" s="89">
        <f t="shared" si="1"/>
        <v>69</v>
      </c>
      <c r="B74" s="171" t="str">
        <f>MRS!B74&amp;" "&amp;MRS!D74</f>
        <v xml:space="preserve">Drill Bit HSS Cobalt S/S 10mm </v>
      </c>
      <c r="C74" s="172"/>
      <c r="D74" s="83" t="str">
        <f>MRS!G74</f>
        <v>Nos</v>
      </c>
      <c r="E74" s="84">
        <f>MRS!H74</f>
        <v>5</v>
      </c>
      <c r="F74" s="85">
        <f>MRS!I74</f>
        <v>13</v>
      </c>
      <c r="G74" s="85">
        <f>MRS!J74</f>
        <v>65</v>
      </c>
      <c r="H74" s="90"/>
    </row>
    <row r="75" spans="1:8" s="52" customFormat="1" ht="18" customHeight="1">
      <c r="A75" s="89">
        <f t="shared" si="1"/>
        <v>70</v>
      </c>
      <c r="B75" s="171" t="str">
        <f>MRS!B75&amp;" "&amp;MRS!D75</f>
        <v xml:space="preserve">Drill Bit HSS Cobalt S/S 11mm </v>
      </c>
      <c r="C75" s="172"/>
      <c r="D75" s="83" t="str">
        <f>MRS!G75</f>
        <v>Nos</v>
      </c>
      <c r="E75" s="84">
        <f>MRS!H75</f>
        <v>3</v>
      </c>
      <c r="F75" s="85">
        <f>MRS!I75</f>
        <v>20</v>
      </c>
      <c r="G75" s="85">
        <f>MRS!J75</f>
        <v>60</v>
      </c>
      <c r="H75" s="90"/>
    </row>
    <row r="76" spans="1:8" s="52" customFormat="1" ht="18" customHeight="1">
      <c r="A76" s="89">
        <f t="shared" si="1"/>
        <v>71</v>
      </c>
      <c r="B76" s="171" t="str">
        <f>MRS!B76&amp;" "&amp;MRS!D76</f>
        <v xml:space="preserve">Drill Bit HSS Cobalt S/S 12mm </v>
      </c>
      <c r="C76" s="172"/>
      <c r="D76" s="83" t="str">
        <f>MRS!G76</f>
        <v>Nos</v>
      </c>
      <c r="E76" s="84">
        <f>MRS!H76</f>
        <v>5</v>
      </c>
      <c r="F76" s="85">
        <f>MRS!I76</f>
        <v>23</v>
      </c>
      <c r="G76" s="85">
        <f>MRS!J76</f>
        <v>115</v>
      </c>
      <c r="H76" s="90"/>
    </row>
    <row r="77" spans="1:8" s="52" customFormat="1" ht="18" customHeight="1">
      <c r="A77" s="89">
        <f t="shared" si="1"/>
        <v>72</v>
      </c>
      <c r="B77" s="171" t="str">
        <f>MRS!B77&amp;" "&amp;MRS!D77</f>
        <v xml:space="preserve">Drill Bit HSS Cobalt S/S 13mm </v>
      </c>
      <c r="C77" s="172"/>
      <c r="D77" s="83" t="str">
        <f>MRS!G77</f>
        <v>Nos</v>
      </c>
      <c r="E77" s="84">
        <f>MRS!H77</f>
        <v>3</v>
      </c>
      <c r="F77" s="85">
        <f>MRS!I77</f>
        <v>26</v>
      </c>
      <c r="G77" s="85">
        <f>MRS!J77</f>
        <v>78</v>
      </c>
      <c r="H77" s="90"/>
    </row>
    <row r="78" spans="1:8" s="52" customFormat="1" ht="18" customHeight="1">
      <c r="A78" s="89">
        <f t="shared" si="1"/>
        <v>73</v>
      </c>
      <c r="B78" s="171" t="str">
        <f>MRS!B78&amp;" "&amp;MRS!D78</f>
        <v xml:space="preserve">Drill Bit HSS Cobalt S/S 14mm </v>
      </c>
      <c r="C78" s="172"/>
      <c r="D78" s="83" t="str">
        <f>MRS!G78</f>
        <v>Nos</v>
      </c>
      <c r="E78" s="84">
        <f>MRS!H78</f>
        <v>3</v>
      </c>
      <c r="F78" s="85">
        <f>MRS!I78</f>
        <v>43</v>
      </c>
      <c r="G78" s="85">
        <f>MRS!J78</f>
        <v>129</v>
      </c>
      <c r="H78" s="90"/>
    </row>
    <row r="79" spans="1:8" s="52" customFormat="1" ht="18" customHeight="1">
      <c r="A79" s="89">
        <f t="shared" si="1"/>
        <v>74</v>
      </c>
      <c r="B79" s="171" t="str">
        <f>MRS!B79&amp;" "&amp;MRS!D79</f>
        <v xml:space="preserve">PVC Bucket Heavy Duty 20Ltr </v>
      </c>
      <c r="C79" s="172"/>
      <c r="D79" s="83" t="str">
        <f>MRS!G79</f>
        <v>Nos</v>
      </c>
      <c r="E79" s="84">
        <f>MRS!H79</f>
        <v>60</v>
      </c>
      <c r="F79" s="85">
        <f>MRS!I79</f>
        <v>38</v>
      </c>
      <c r="G79" s="85">
        <f>MRS!J79</f>
        <v>2280</v>
      </c>
      <c r="H79" s="90"/>
    </row>
    <row r="80" spans="1:8" s="52" customFormat="1" ht="18" customHeight="1">
      <c r="A80" s="89">
        <f t="shared" si="1"/>
        <v>75</v>
      </c>
      <c r="B80" s="171" t="str">
        <f>MRS!B80&amp;" "&amp;MRS!D80</f>
        <v xml:space="preserve">Electric Concrete Mixing Machine </v>
      </c>
      <c r="C80" s="172"/>
      <c r="D80" s="83" t="str">
        <f>MRS!G80</f>
        <v>Nos</v>
      </c>
      <c r="E80" s="84">
        <f>MRS!H80</f>
        <v>2</v>
      </c>
      <c r="F80" s="85">
        <f>MRS!I80</f>
        <v>348</v>
      </c>
      <c r="G80" s="85">
        <f>MRS!J80</f>
        <v>696</v>
      </c>
      <c r="H80" s="90"/>
    </row>
    <row r="81" spans="1:8" s="52" customFormat="1" ht="18" customHeight="1">
      <c r="A81" s="89">
        <f t="shared" si="1"/>
        <v>76</v>
      </c>
      <c r="B81" s="171" t="str">
        <f>MRS!B81&amp;" "&amp;MRS!D81</f>
        <v xml:space="preserve">Concrete Mixing Paddle </v>
      </c>
      <c r="C81" s="172"/>
      <c r="D81" s="83" t="str">
        <f>MRS!G81</f>
        <v>Nos</v>
      </c>
      <c r="E81" s="84">
        <f>MRS!H81</f>
        <v>24</v>
      </c>
      <c r="F81" s="85">
        <f>MRS!I81</f>
        <v>44</v>
      </c>
      <c r="G81" s="85">
        <f>MRS!J81</f>
        <v>1056</v>
      </c>
      <c r="H81" s="90"/>
    </row>
    <row r="82" spans="1:8" s="52" customFormat="1" ht="18" customHeight="1">
      <c r="A82" s="89">
        <f t="shared" si="1"/>
        <v>77</v>
      </c>
      <c r="B82" s="171" t="str">
        <f>MRS!B82&amp;" "&amp;MRS!D82</f>
        <v xml:space="preserve">SS Shim Plate 12"x50"x0.03mm </v>
      </c>
      <c r="C82" s="172"/>
      <c r="D82" s="83" t="str">
        <f>MRS!G82</f>
        <v>Nos</v>
      </c>
      <c r="E82" s="84">
        <f>MRS!H82</f>
        <v>6</v>
      </c>
      <c r="F82" s="85">
        <f>MRS!I82</f>
        <v>216</v>
      </c>
      <c r="G82" s="85">
        <f>MRS!J82</f>
        <v>1296</v>
      </c>
      <c r="H82" s="90"/>
    </row>
    <row r="83" spans="1:8" s="52" customFormat="1" ht="18" customHeight="1">
      <c r="A83" s="89">
        <f t="shared" si="1"/>
        <v>78</v>
      </c>
      <c r="B83" s="171" t="str">
        <f>MRS!B83&amp;" "&amp;MRS!D83</f>
        <v xml:space="preserve">SS Shim Plate 12"x50"x0.05mm </v>
      </c>
      <c r="C83" s="172"/>
      <c r="D83" s="83" t="str">
        <f>MRS!G83</f>
        <v>Nos</v>
      </c>
      <c r="E83" s="84">
        <f>MRS!H83</f>
        <v>6</v>
      </c>
      <c r="F83" s="85">
        <f>MRS!I83</f>
        <v>218</v>
      </c>
      <c r="G83" s="85">
        <f>MRS!J83</f>
        <v>1308</v>
      </c>
      <c r="H83" s="90"/>
    </row>
    <row r="84" spans="1:8" s="52" customFormat="1" ht="18" customHeight="1">
      <c r="A84" s="89">
        <f t="shared" si="1"/>
        <v>79</v>
      </c>
      <c r="B84" s="171" t="str">
        <f>MRS!B84&amp;" "&amp;MRS!D84</f>
        <v xml:space="preserve">SS Shim Plate 12"x50"x0.07mm </v>
      </c>
      <c r="C84" s="172"/>
      <c r="D84" s="83" t="str">
        <f>MRS!G84</f>
        <v>Nos</v>
      </c>
      <c r="E84" s="84">
        <f>MRS!H84</f>
        <v>6</v>
      </c>
      <c r="F84" s="85">
        <f>MRS!I84</f>
        <v>220</v>
      </c>
      <c r="G84" s="85">
        <f>MRS!J84</f>
        <v>1320</v>
      </c>
      <c r="H84" s="90"/>
    </row>
    <row r="85" spans="1:8" s="52" customFormat="1" ht="18" customHeight="1">
      <c r="A85" s="89">
        <f t="shared" si="1"/>
        <v>80</v>
      </c>
      <c r="B85" s="171" t="str">
        <f>MRS!B85&amp;" "&amp;MRS!D85</f>
        <v xml:space="preserve">SS Shim Plate 12"x50"x0.10mm </v>
      </c>
      <c r="C85" s="172"/>
      <c r="D85" s="83" t="str">
        <f>MRS!G85</f>
        <v>Nos</v>
      </c>
      <c r="E85" s="84">
        <f>MRS!H85</f>
        <v>6</v>
      </c>
      <c r="F85" s="85">
        <f>MRS!I85</f>
        <v>238</v>
      </c>
      <c r="G85" s="85">
        <f>MRS!J85</f>
        <v>1428</v>
      </c>
      <c r="H85" s="90"/>
    </row>
    <row r="86" spans="1:8" s="52" customFormat="1" ht="18" customHeight="1">
      <c r="A86" s="89">
        <f t="shared" si="1"/>
        <v>81</v>
      </c>
      <c r="B86" s="171" t="str">
        <f>MRS!B86&amp;" "&amp;MRS!D86</f>
        <v xml:space="preserve">Rotary Barrel Hand Pump 3/4" 1.5mtr </v>
      </c>
      <c r="C86" s="172"/>
      <c r="D86" s="83" t="str">
        <f>MRS!G86</f>
        <v>Nos</v>
      </c>
      <c r="E86" s="84">
        <f>MRS!H86</f>
        <v>5</v>
      </c>
      <c r="F86" s="85">
        <f>MRS!I86</f>
        <v>110</v>
      </c>
      <c r="G86" s="85">
        <f>MRS!J86</f>
        <v>550</v>
      </c>
      <c r="H86" s="90"/>
    </row>
    <row r="87" spans="1:8" s="52" customFormat="1" ht="18" customHeight="1">
      <c r="A87" s="89">
        <f t="shared" si="1"/>
        <v>82</v>
      </c>
      <c r="B87" s="171" t="str">
        <f>MRS!B87&amp;" "&amp;MRS!D87</f>
        <v xml:space="preserve">CS Plate 4'x8'x10mm </v>
      </c>
      <c r="C87" s="172"/>
      <c r="D87" s="83" t="str">
        <f>MRS!G87</f>
        <v>Nos</v>
      </c>
      <c r="E87" s="84">
        <f>MRS!H87</f>
        <v>10</v>
      </c>
      <c r="F87" s="85">
        <f>MRS!I87</f>
        <v>928</v>
      </c>
      <c r="G87" s="85">
        <f>MRS!J87</f>
        <v>9280</v>
      </c>
      <c r="H87" s="90"/>
    </row>
    <row r="88" spans="1:8" s="52" customFormat="1" ht="18" customHeight="1">
      <c r="A88" s="89">
        <f t="shared" si="1"/>
        <v>83</v>
      </c>
      <c r="B88" s="171" t="str">
        <f>MRS!B88&amp;" "&amp;MRS!D88</f>
        <v xml:space="preserve">Diamond Grinding Wheel 4" </v>
      </c>
      <c r="C88" s="172"/>
      <c r="D88" s="83" t="str">
        <f>MRS!G88</f>
        <v>Nos</v>
      </c>
      <c r="E88" s="84">
        <f>MRS!H88</f>
        <v>12</v>
      </c>
      <c r="F88" s="85">
        <f>MRS!I88</f>
        <v>29</v>
      </c>
      <c r="G88" s="85">
        <f>MRS!J88</f>
        <v>348</v>
      </c>
      <c r="H88" s="90"/>
    </row>
    <row r="89" spans="1:8" s="52" customFormat="1" ht="18" customHeight="1">
      <c r="A89" s="89">
        <f t="shared" si="1"/>
        <v>84</v>
      </c>
      <c r="B89" s="171" t="str">
        <f>MRS!B89&amp;" "&amp;MRS!D89</f>
        <v xml:space="preserve">Welding Cable Connector 50-70mm2 Male &amp; Female </v>
      </c>
      <c r="C89" s="172"/>
      <c r="D89" s="83" t="str">
        <f>MRS!G89</f>
        <v>Set</v>
      </c>
      <c r="E89" s="84">
        <f>MRS!H89</f>
        <v>95</v>
      </c>
      <c r="F89" s="85">
        <f>MRS!I89</f>
        <v>24.5</v>
      </c>
      <c r="G89" s="85">
        <f>MRS!J89</f>
        <v>2327.5</v>
      </c>
      <c r="H89" s="90"/>
    </row>
    <row r="90" spans="1:8" s="52" customFormat="1" ht="18" customHeight="1">
      <c r="A90" s="89">
        <f t="shared" si="1"/>
        <v>85</v>
      </c>
      <c r="B90" s="171" t="str">
        <f>MRS!B90&amp;" "&amp;MRS!D90</f>
        <v xml:space="preserve">PVC Flexible Conduit Black 2"x25mtr </v>
      </c>
      <c r="C90" s="172"/>
      <c r="D90" s="83" t="str">
        <f>MRS!G90</f>
        <v>Roll</v>
      </c>
      <c r="E90" s="84">
        <f>MRS!H90</f>
        <v>12</v>
      </c>
      <c r="F90" s="85">
        <f>MRS!I90</f>
        <v>99</v>
      </c>
      <c r="G90" s="85">
        <f>MRS!J90</f>
        <v>1188</v>
      </c>
      <c r="H90" s="90"/>
    </row>
    <row r="91" spans="1:8" s="52" customFormat="1" ht="18" customHeight="1">
      <c r="A91" s="89">
        <f t="shared" si="1"/>
        <v>86</v>
      </c>
      <c r="B91" s="171" t="str">
        <f>MRS!B91&amp;" "&amp;MRS!D91</f>
        <v xml:space="preserve">PVC Flexible Conduit Black 3/4"x100mtr </v>
      </c>
      <c r="C91" s="172"/>
      <c r="D91" s="83" t="str">
        <f>MRS!G91</f>
        <v>Roll</v>
      </c>
      <c r="E91" s="84">
        <f>MRS!H91</f>
        <v>6</v>
      </c>
      <c r="F91" s="85">
        <f>MRS!I91</f>
        <v>31</v>
      </c>
      <c r="G91" s="85">
        <f>MRS!J91</f>
        <v>186</v>
      </c>
      <c r="H91" s="90"/>
    </row>
    <row r="92" spans="1:8" s="52" customFormat="1" ht="18" customHeight="1">
      <c r="A92" s="89">
        <f t="shared" si="1"/>
        <v>87</v>
      </c>
      <c r="B92" s="171" t="str">
        <f>MRS!B92&amp;" "&amp;MRS!D92</f>
        <v xml:space="preserve">CS Square Tube 20x20x2mm, 6mtr </v>
      </c>
      <c r="C92" s="172"/>
      <c r="D92" s="83" t="str">
        <f>MRS!G92</f>
        <v>Nos</v>
      </c>
      <c r="E92" s="84">
        <f>MRS!H92</f>
        <v>240</v>
      </c>
      <c r="F92" s="85">
        <f>MRS!I92</f>
        <v>30.5</v>
      </c>
      <c r="G92" s="85">
        <f>MRS!J92</f>
        <v>7320</v>
      </c>
      <c r="H92" s="90"/>
    </row>
    <row r="93" spans="1:8" s="52" customFormat="1" ht="18" customHeight="1">
      <c r="A93" s="89">
        <f t="shared" si="1"/>
        <v>88</v>
      </c>
      <c r="B93" s="171" t="str">
        <f>MRS!B93&amp;" "&amp;MRS!D93</f>
        <v xml:space="preserve">AC Gas Refilling Pipe R410A (Red &amp; Blue) </v>
      </c>
      <c r="C93" s="172"/>
      <c r="D93" s="83" t="str">
        <f>MRS!G93</f>
        <v>Set</v>
      </c>
      <c r="E93" s="84">
        <f>MRS!H93</f>
        <v>3</v>
      </c>
      <c r="F93" s="85">
        <f>MRS!I93</f>
        <v>102</v>
      </c>
      <c r="G93" s="85">
        <f>MRS!J93</f>
        <v>306</v>
      </c>
      <c r="H93" s="90"/>
    </row>
    <row r="94" spans="1:8" s="52" customFormat="1" ht="18" customHeight="1">
      <c r="A94" s="89">
        <f t="shared" si="1"/>
        <v>89</v>
      </c>
      <c r="B94" s="171" t="str">
        <f>MRS!B94&amp;" "&amp;MRS!D94</f>
        <v xml:space="preserve">Pyrometer Infrared Thermometer </v>
      </c>
      <c r="C94" s="172"/>
      <c r="D94" s="83" t="str">
        <f>MRS!G94</f>
        <v>Nos</v>
      </c>
      <c r="E94" s="84">
        <f>MRS!H94</f>
        <v>2</v>
      </c>
      <c r="F94" s="85">
        <f>MRS!I94</f>
        <v>95</v>
      </c>
      <c r="G94" s="85">
        <f>MRS!J94</f>
        <v>190</v>
      </c>
      <c r="H94" s="90"/>
    </row>
    <row r="95" spans="1:8" s="52" customFormat="1" ht="18" customHeight="1">
      <c r="A95" s="89">
        <f t="shared" si="1"/>
        <v>90</v>
      </c>
      <c r="B95" s="171" t="str">
        <f>MRS!B95&amp;" "&amp;MRS!D95</f>
        <v xml:space="preserve">Impact Socket 3/8"dr x 65mm </v>
      </c>
      <c r="C95" s="172"/>
      <c r="D95" s="83" t="str">
        <f>MRS!G95</f>
        <v>Nos</v>
      </c>
      <c r="E95" s="84">
        <f>MRS!H95</f>
        <v>12</v>
      </c>
      <c r="F95" s="85">
        <f>MRS!I95</f>
        <v>182</v>
      </c>
      <c r="G95" s="85">
        <f>MRS!J95</f>
        <v>2184</v>
      </c>
      <c r="H95" s="90"/>
    </row>
    <row r="96" spans="1:8" s="52" customFormat="1" ht="18" customHeight="1">
      <c r="A96" s="89">
        <f t="shared" si="1"/>
        <v>91</v>
      </c>
      <c r="B96" s="171" t="str">
        <f>MRS!B96&amp;" "&amp;MRS!D96</f>
        <v xml:space="preserve">Impact Socket Adapter 1/4"(M) x 3/4"(F) </v>
      </c>
      <c r="C96" s="172"/>
      <c r="D96" s="83" t="str">
        <f>MRS!G96</f>
        <v>Nos</v>
      </c>
      <c r="E96" s="84">
        <f>MRS!H96</f>
        <v>12</v>
      </c>
      <c r="F96" s="85">
        <f>MRS!I96</f>
        <v>117</v>
      </c>
      <c r="G96" s="85">
        <f>MRS!J96</f>
        <v>1404</v>
      </c>
      <c r="H96" s="90"/>
    </row>
    <row r="97" spans="1:8" s="52" customFormat="1" ht="18" customHeight="1">
      <c r="A97" s="89">
        <f t="shared" si="1"/>
        <v>92</v>
      </c>
      <c r="B97" s="171" t="str">
        <f>MRS!B97&amp;" "&amp;MRS!D97</f>
        <v xml:space="preserve">Temperature Humidity Meter (Dew Point) Fluke 971 </v>
      </c>
      <c r="C97" s="172"/>
      <c r="D97" s="83" t="str">
        <f>MRS!G97</f>
        <v>Nos</v>
      </c>
      <c r="E97" s="84">
        <f>MRS!H97</f>
        <v>1</v>
      </c>
      <c r="F97" s="85">
        <f>MRS!I97</f>
        <v>2420</v>
      </c>
      <c r="G97" s="85">
        <f>MRS!J97</f>
        <v>2420</v>
      </c>
      <c r="H97" s="90"/>
    </row>
    <row r="98" spans="1:8" s="52" customFormat="1" ht="18" customHeight="1">
      <c r="A98" s="89">
        <f t="shared" si="1"/>
        <v>93</v>
      </c>
      <c r="B98" s="171" t="str">
        <f>MRS!B98&amp;" "&amp;MRS!D98</f>
        <v xml:space="preserve">PVC Flat Hose 3" x 25mtr </v>
      </c>
      <c r="C98" s="172"/>
      <c r="D98" s="83" t="str">
        <f>MRS!G98</f>
        <v>Roll</v>
      </c>
      <c r="E98" s="84">
        <f>MRS!H98</f>
        <v>2</v>
      </c>
      <c r="F98" s="85">
        <f>MRS!I98</f>
        <v>325</v>
      </c>
      <c r="G98" s="85">
        <f>MRS!J98</f>
        <v>650</v>
      </c>
      <c r="H98" s="90"/>
    </row>
    <row r="99" spans="1:8" s="52" customFormat="1" ht="18" customHeight="1">
      <c r="A99" s="89">
        <f t="shared" si="1"/>
        <v>94</v>
      </c>
      <c r="B99" s="171" t="str">
        <f>MRS!B99&amp;" "&amp;MRS!D99</f>
        <v xml:space="preserve">PVC Flat Hose 3" x 10mtr </v>
      </c>
      <c r="C99" s="172"/>
      <c r="D99" s="83" t="str">
        <f>MRS!G99</f>
        <v>Roll</v>
      </c>
      <c r="E99" s="84">
        <f>MRS!H99</f>
        <v>2</v>
      </c>
      <c r="F99" s="85">
        <f>MRS!I99</f>
        <v>130</v>
      </c>
      <c r="G99" s="85">
        <f>MRS!J99</f>
        <v>260</v>
      </c>
      <c r="H99" s="90"/>
    </row>
    <row r="100" spans="1:8" s="52" customFormat="1" ht="18" customHeight="1">
      <c r="A100" s="89">
        <f t="shared" si="1"/>
        <v>95</v>
      </c>
      <c r="B100" s="171" t="str">
        <f>MRS!B100&amp;" "&amp;MRS!D100</f>
        <v xml:space="preserve">Weld Purge Oxygen Monitor PurgEye100 </v>
      </c>
      <c r="C100" s="172"/>
      <c r="D100" s="83" t="str">
        <f>MRS!G100</f>
        <v>Nos</v>
      </c>
      <c r="E100" s="84">
        <f>MRS!H100</f>
        <v>18</v>
      </c>
      <c r="F100" s="85">
        <f>MRS!I100</f>
        <v>3200</v>
      </c>
      <c r="G100" s="85">
        <f>MRS!J100</f>
        <v>57600</v>
      </c>
      <c r="H100" s="90"/>
    </row>
    <row r="101" spans="1:8" s="52" customFormat="1" ht="18" customHeight="1">
      <c r="A101" s="89">
        <f t="shared" si="1"/>
        <v>96</v>
      </c>
      <c r="B101" s="171" t="str">
        <f>MRS!B101&amp;" "&amp;MRS!D101</f>
        <v xml:space="preserve">Liquid Leak Detector 5Ltr Weicon </v>
      </c>
      <c r="C101" s="172"/>
      <c r="D101" s="83" t="str">
        <f>MRS!G101</f>
        <v>Nos</v>
      </c>
      <c r="E101" s="84">
        <f>MRS!H101</f>
        <v>25</v>
      </c>
      <c r="F101" s="85">
        <f>MRS!I101</f>
        <v>275</v>
      </c>
      <c r="G101" s="85">
        <f>MRS!J101</f>
        <v>6875</v>
      </c>
      <c r="H101" s="90"/>
    </row>
    <row r="102" spans="1:8" s="52" customFormat="1" ht="18" customHeight="1">
      <c r="A102" s="89">
        <f t="shared" si="1"/>
        <v>97</v>
      </c>
      <c r="B102" s="171" t="str">
        <f>MRS!B102&amp;" "&amp;MRS!D102</f>
        <v xml:space="preserve">Teflon Tape 19mm x 40yard </v>
      </c>
      <c r="C102" s="172"/>
      <c r="D102" s="83" t="str">
        <f>MRS!G102</f>
        <v>Nos</v>
      </c>
      <c r="E102" s="84">
        <f>MRS!H102</f>
        <v>1800</v>
      </c>
      <c r="F102" s="85">
        <f>MRS!I102</f>
        <v>1.8</v>
      </c>
      <c r="G102" s="85">
        <f>MRS!J102</f>
        <v>3240</v>
      </c>
      <c r="H102" s="90"/>
    </row>
    <row r="103" spans="1:8" s="52" customFormat="1" ht="18" customHeight="1">
      <c r="A103" s="89">
        <f t="shared" si="1"/>
        <v>98</v>
      </c>
      <c r="B103" s="171" t="str">
        <f>MRS!B103&amp;" "&amp;MRS!D103</f>
        <v xml:space="preserve">Warning Tape Blue/White 3" </v>
      </c>
      <c r="C103" s="172"/>
      <c r="D103" s="83" t="str">
        <f>MRS!G103</f>
        <v>Nos</v>
      </c>
      <c r="E103" s="84">
        <f>MRS!H103</f>
        <v>120</v>
      </c>
      <c r="F103" s="85">
        <f>MRS!I103</f>
        <v>4.8</v>
      </c>
      <c r="G103" s="85">
        <f>MRS!J103</f>
        <v>576</v>
      </c>
      <c r="H103" s="90"/>
    </row>
    <row r="104" spans="1:8" s="52" customFormat="1" ht="18" customHeight="1">
      <c r="A104" s="89">
        <f t="shared" si="1"/>
        <v>99</v>
      </c>
      <c r="B104" s="171" t="str">
        <f>MRS!B104&amp;" "&amp;MRS!D104</f>
        <v xml:space="preserve">Warning Tape Yellow/Black 3" </v>
      </c>
      <c r="C104" s="172"/>
      <c r="D104" s="83" t="str">
        <f>MRS!G104</f>
        <v>Nos</v>
      </c>
      <c r="E104" s="84">
        <f>MRS!H104</f>
        <v>120</v>
      </c>
      <c r="F104" s="85">
        <f>MRS!I104</f>
        <v>3.7</v>
      </c>
      <c r="G104" s="85">
        <f>MRS!J104</f>
        <v>444</v>
      </c>
      <c r="H104" s="90"/>
    </row>
    <row r="105" spans="1:8" s="52" customFormat="1" ht="18" customHeight="1">
      <c r="A105" s="89">
        <f t="shared" si="1"/>
        <v>100</v>
      </c>
      <c r="B105" s="171" t="str">
        <f>MRS!B105&amp;" "&amp;MRS!D105</f>
        <v xml:space="preserve">Zinc Spray Paint </v>
      </c>
      <c r="C105" s="172"/>
      <c r="D105" s="83" t="str">
        <f>MRS!G105</f>
        <v>Nos</v>
      </c>
      <c r="E105" s="84">
        <f>MRS!H105</f>
        <v>30</v>
      </c>
      <c r="F105" s="85">
        <f>MRS!I105</f>
        <v>35</v>
      </c>
      <c r="G105" s="85">
        <f>MRS!J105</f>
        <v>1050</v>
      </c>
      <c r="H105" s="90"/>
    </row>
    <row r="106" spans="1:8" s="52" customFormat="1" ht="18" customHeight="1">
      <c r="A106" s="89">
        <f t="shared" si="1"/>
        <v>101</v>
      </c>
      <c r="B106" s="171" t="str">
        <f>MRS!B106&amp;" "&amp;MRS!D106</f>
        <v xml:space="preserve">Plastic Sandbag Heavy Duty (Gunny Sack) 50kg </v>
      </c>
      <c r="C106" s="172"/>
      <c r="D106" s="83" t="str">
        <f>MRS!G106</f>
        <v>Nos</v>
      </c>
      <c r="E106" s="84">
        <f>MRS!H106</f>
        <v>600</v>
      </c>
      <c r="F106" s="85">
        <f>MRS!I106</f>
        <v>2.8</v>
      </c>
      <c r="G106" s="85">
        <f>MRS!J106</f>
        <v>1680</v>
      </c>
      <c r="H106" s="90"/>
    </row>
    <row r="107" spans="1:8" s="52" customFormat="1" ht="18" customHeight="1">
      <c r="A107" s="89">
        <f t="shared" si="1"/>
        <v>102</v>
      </c>
      <c r="B107" s="171" t="str">
        <f>MRS!B107&amp;" "&amp;MRS!D107</f>
        <v xml:space="preserve">Ordinary Plywood 4'x8'x9mm Indonesia </v>
      </c>
      <c r="C107" s="172"/>
      <c r="D107" s="83" t="str">
        <f>MRS!G107</f>
        <v>Nos</v>
      </c>
      <c r="E107" s="84">
        <f>MRS!H107</f>
        <v>360</v>
      </c>
      <c r="F107" s="85">
        <f>MRS!I107</f>
        <v>76.5</v>
      </c>
      <c r="G107" s="85">
        <f>MRS!J107</f>
        <v>27540</v>
      </c>
      <c r="H107" s="90"/>
    </row>
    <row r="108" spans="1:8" s="52" customFormat="1" ht="18" customHeight="1">
      <c r="A108" s="89">
        <f t="shared" si="1"/>
        <v>103</v>
      </c>
      <c r="B108" s="171" t="str">
        <f>MRS!B108&amp;" "&amp;MRS!D108</f>
        <v xml:space="preserve">Double Ear Clamp S/S 11-13mm </v>
      </c>
      <c r="C108" s="172"/>
      <c r="D108" s="83" t="str">
        <f>MRS!G108</f>
        <v>Nos</v>
      </c>
      <c r="E108" s="84">
        <f>MRS!H108</f>
        <v>240</v>
      </c>
      <c r="F108" s="85">
        <f>MRS!I108</f>
        <v>5.8</v>
      </c>
      <c r="G108" s="85">
        <f>MRS!J108</f>
        <v>1392</v>
      </c>
      <c r="H108" s="90"/>
    </row>
    <row r="109" spans="1:8" s="52" customFormat="1" ht="18" customHeight="1">
      <c r="A109" s="89">
        <f t="shared" si="1"/>
        <v>104</v>
      </c>
      <c r="B109" s="171" t="str">
        <f>MRS!B109&amp;" "&amp;MRS!D109</f>
        <v xml:space="preserve">Double Ear Clamp S/S 13-15mm </v>
      </c>
      <c r="C109" s="172"/>
      <c r="D109" s="83" t="str">
        <f>MRS!G109</f>
        <v>Nos</v>
      </c>
      <c r="E109" s="84">
        <f>MRS!H109</f>
        <v>240</v>
      </c>
      <c r="F109" s="85">
        <f>MRS!I109</f>
        <v>5.8</v>
      </c>
      <c r="G109" s="85">
        <f>MRS!J109</f>
        <v>1392</v>
      </c>
      <c r="H109" s="90"/>
    </row>
    <row r="110" spans="1:8" s="52" customFormat="1" ht="18" customHeight="1">
      <c r="A110" s="89">
        <f t="shared" si="1"/>
        <v>105</v>
      </c>
      <c r="B110" s="171" t="str">
        <f>MRS!B110&amp;" "&amp;MRS!D110</f>
        <v xml:space="preserve">Argon Regulator Connector Nut &amp; Nipple 9/16"-1/4" </v>
      </c>
      <c r="C110" s="172"/>
      <c r="D110" s="83" t="str">
        <f>MRS!G110</f>
        <v>Nos</v>
      </c>
      <c r="E110" s="84">
        <f>MRS!H110</f>
        <v>240</v>
      </c>
      <c r="F110" s="85">
        <f>MRS!I110</f>
        <v>9.8000000000000007</v>
      </c>
      <c r="G110" s="85">
        <f>MRS!J110</f>
        <v>2352</v>
      </c>
      <c r="H110" s="90"/>
    </row>
    <row r="111" spans="1:8" s="52" customFormat="1" ht="18" customHeight="1">
      <c r="A111" s="89">
        <f t="shared" si="1"/>
        <v>106</v>
      </c>
      <c r="B111" s="171" t="str">
        <f>MRS!B111&amp;" "&amp;MRS!D111</f>
        <v xml:space="preserve">Waterproof Pigtail Connector (Tig Torch Connector Male &amp; Female) </v>
      </c>
      <c r="C111" s="172"/>
      <c r="D111" s="83" t="str">
        <f>MRS!G111</f>
        <v>Set</v>
      </c>
      <c r="E111" s="84">
        <f>MRS!H111</f>
        <v>120</v>
      </c>
      <c r="F111" s="85">
        <f>MRS!I111</f>
        <v>14</v>
      </c>
      <c r="G111" s="85">
        <f>MRS!J111</f>
        <v>1680</v>
      </c>
      <c r="H111" s="90"/>
    </row>
    <row r="112" spans="1:8" s="52" customFormat="1" ht="18" customHeight="1">
      <c r="A112" s="89">
        <f t="shared" si="1"/>
        <v>107</v>
      </c>
      <c r="B112" s="171" t="str">
        <f>MRS!B112&amp;" "&amp;MRS!D112</f>
        <v xml:space="preserve">Argon Regulator Set UL Listed </v>
      </c>
      <c r="C112" s="172"/>
      <c r="D112" s="83" t="str">
        <f>MRS!G112</f>
        <v>Nos</v>
      </c>
      <c r="E112" s="84">
        <f>MRS!H112</f>
        <v>120</v>
      </c>
      <c r="F112" s="85">
        <f>MRS!I112</f>
        <v>158</v>
      </c>
      <c r="G112" s="85">
        <f>MRS!J112</f>
        <v>18960</v>
      </c>
      <c r="H112" s="90"/>
    </row>
    <row r="113" spans="1:8" s="52" customFormat="1" ht="18" customHeight="1">
      <c r="A113" s="89">
        <f t="shared" si="1"/>
        <v>108</v>
      </c>
      <c r="B113" s="171" t="str">
        <f>MRS!B113&amp;" "&amp;MRS!D113</f>
        <v xml:space="preserve">Crowfoot Wrench 3/8"dr 10-22mm </v>
      </c>
      <c r="C113" s="172"/>
      <c r="D113" s="83" t="str">
        <f>MRS!G113</f>
        <v>Nos</v>
      </c>
      <c r="E113" s="84">
        <f>MRS!H113</f>
        <v>8</v>
      </c>
      <c r="F113" s="85">
        <f>MRS!I113</f>
        <v>152</v>
      </c>
      <c r="G113" s="85">
        <f>MRS!J113</f>
        <v>1216</v>
      </c>
      <c r="H113" s="90"/>
    </row>
    <row r="114" spans="1:8" s="52" customFormat="1" ht="18" customHeight="1">
      <c r="A114" s="89">
        <f t="shared" si="1"/>
        <v>109</v>
      </c>
      <c r="B114" s="171" t="str">
        <f>MRS!B114&amp;" "&amp;MRS!D114</f>
        <v xml:space="preserve">Crowfoot Wernch 1/2"dr 30mm </v>
      </c>
      <c r="C114" s="172"/>
      <c r="D114" s="83" t="str">
        <f>MRS!G114</f>
        <v>Nos</v>
      </c>
      <c r="E114" s="84">
        <f>MRS!H114</f>
        <v>6</v>
      </c>
      <c r="F114" s="85">
        <f>MRS!I114</f>
        <v>47</v>
      </c>
      <c r="G114" s="85">
        <f>MRS!J114</f>
        <v>282</v>
      </c>
      <c r="H114" s="90"/>
    </row>
    <row r="115" spans="1:8" s="52" customFormat="1" ht="18" customHeight="1">
      <c r="A115" s="89">
        <f t="shared" si="1"/>
        <v>110</v>
      </c>
      <c r="B115" s="171" t="str">
        <f>MRS!B115&amp;" "&amp;MRS!D115</f>
        <v xml:space="preserve">Thread Dies 1/2"-3/4" NPT for Asada Beaver 100AT </v>
      </c>
      <c r="C115" s="172"/>
      <c r="D115" s="83" t="str">
        <f>MRS!G115</f>
        <v>Set</v>
      </c>
      <c r="E115" s="84">
        <f>MRS!H115</f>
        <v>12</v>
      </c>
      <c r="F115" s="85">
        <f>MRS!I115</f>
        <v>673</v>
      </c>
      <c r="G115" s="85">
        <f>MRS!J115</f>
        <v>8076</v>
      </c>
      <c r="H115" s="90"/>
    </row>
    <row r="116" spans="1:8" s="52" customFormat="1" ht="18" customHeight="1">
      <c r="A116" s="89">
        <f t="shared" si="1"/>
        <v>111</v>
      </c>
      <c r="B116" s="171" t="str">
        <f>MRS!B116&amp;" "&amp;MRS!D116</f>
        <v xml:space="preserve">Thread Dies 1"-2" NPT for Asada Beaver 100AT </v>
      </c>
      <c r="C116" s="172"/>
      <c r="D116" s="83" t="str">
        <f>MRS!G116</f>
        <v>Set</v>
      </c>
      <c r="E116" s="84">
        <f>MRS!H116</f>
        <v>12</v>
      </c>
      <c r="F116" s="85">
        <f>MRS!I116</f>
        <v>715</v>
      </c>
      <c r="G116" s="85">
        <f>MRS!J116</f>
        <v>8580</v>
      </c>
      <c r="H116" s="90"/>
    </row>
    <row r="117" spans="1:8" s="52" customFormat="1" ht="18" customHeight="1">
      <c r="A117" s="89">
        <f t="shared" si="1"/>
        <v>112</v>
      </c>
      <c r="B117" s="171" t="str">
        <f>MRS!B117&amp;" "&amp;MRS!D117</f>
        <v xml:space="preserve">Thread Dies 2-1/2"-4" NPT for Asada Beaver 100AT </v>
      </c>
      <c r="C117" s="172"/>
      <c r="D117" s="83" t="str">
        <f>MRS!G117</f>
        <v>Set</v>
      </c>
      <c r="E117" s="84">
        <f>MRS!H117</f>
        <v>8</v>
      </c>
      <c r="F117" s="85">
        <f>MRS!I117</f>
        <v>972</v>
      </c>
      <c r="G117" s="85">
        <f>MRS!J117</f>
        <v>7776</v>
      </c>
      <c r="H117" s="90"/>
    </row>
    <row r="118" spans="1:8" s="52" customFormat="1" ht="18" customHeight="1">
      <c r="A118" s="89">
        <f t="shared" si="1"/>
        <v>113</v>
      </c>
      <c r="B118" s="171" t="str">
        <f>MRS!B118&amp;" "&amp;MRS!D118</f>
        <v xml:space="preserve">SS304 Plate 4'x8'x6mm </v>
      </c>
      <c r="C118" s="172"/>
      <c r="D118" s="83" t="str">
        <f>MRS!G118</f>
        <v>Nos</v>
      </c>
      <c r="E118" s="84">
        <f>MRS!H118</f>
        <v>1</v>
      </c>
      <c r="F118" s="85">
        <f>MRS!I118</f>
        <v>2243</v>
      </c>
      <c r="G118" s="85">
        <f>MRS!J118</f>
        <v>2243</v>
      </c>
      <c r="H118" s="90"/>
    </row>
    <row r="119" spans="1:8" s="52" customFormat="1" ht="18" customHeight="1">
      <c r="A119" s="89">
        <f t="shared" si="1"/>
        <v>114</v>
      </c>
      <c r="B119" s="171" t="str">
        <f>MRS!B119&amp;" "&amp;MRS!D119</f>
        <v xml:space="preserve">Combination Spanner 30/32mm </v>
      </c>
      <c r="C119" s="172"/>
      <c r="D119" s="83" t="str">
        <f>MRS!G119</f>
        <v>Nos</v>
      </c>
      <c r="E119" s="84">
        <f>MRS!H119</f>
        <v>18</v>
      </c>
      <c r="F119" s="85">
        <f>MRS!I119</f>
        <v>33</v>
      </c>
      <c r="G119" s="85">
        <f>MRS!J119</f>
        <v>594</v>
      </c>
      <c r="H119" s="90"/>
    </row>
    <row r="120" spans="1:8" s="52" customFormat="1" ht="18" customHeight="1">
      <c r="A120" s="89">
        <f t="shared" si="1"/>
        <v>115</v>
      </c>
      <c r="B120" s="171" t="str">
        <f>MRS!B120&amp;" "&amp;MRS!D120</f>
        <v xml:space="preserve">Digital Hygrometer </v>
      </c>
      <c r="C120" s="172"/>
      <c r="D120" s="83" t="str">
        <f>MRS!G120</f>
        <v>Nos</v>
      </c>
      <c r="E120" s="84">
        <f>MRS!H120</f>
        <v>2</v>
      </c>
      <c r="F120" s="85">
        <f>MRS!I120</f>
        <v>42</v>
      </c>
      <c r="G120" s="85">
        <f>MRS!J120</f>
        <v>84</v>
      </c>
      <c r="H120" s="90"/>
    </row>
    <row r="121" spans="1:8" s="52" customFormat="1" ht="18" customHeight="1">
      <c r="A121" s="89">
        <f t="shared" si="1"/>
        <v>116</v>
      </c>
      <c r="B121" s="171" t="str">
        <f>MRS!B121&amp;" "&amp;MRS!D121</f>
        <v xml:space="preserve">Digital Hygrometer 3.05" LCD Doqaus </v>
      </c>
      <c r="C121" s="172"/>
      <c r="D121" s="83" t="str">
        <f>MRS!G121</f>
        <v>Nos</v>
      </c>
      <c r="E121" s="84">
        <f>MRS!H121</f>
        <v>3</v>
      </c>
      <c r="F121" s="85">
        <f>MRS!I121</f>
        <v>66</v>
      </c>
      <c r="G121" s="85">
        <f>MRS!J121</f>
        <v>198</v>
      </c>
      <c r="H121" s="90"/>
    </row>
    <row r="122" spans="1:8" s="52" customFormat="1" ht="18" customHeight="1">
      <c r="A122" s="89">
        <f t="shared" si="1"/>
        <v>117</v>
      </c>
      <c r="B122" s="171" t="str">
        <f>MRS!B122&amp;" "&amp;MRS!D122</f>
        <v xml:space="preserve">Split Level 300mm </v>
      </c>
      <c r="C122" s="172"/>
      <c r="D122" s="83" t="str">
        <f>MRS!G122</f>
        <v>Nos</v>
      </c>
      <c r="E122" s="84">
        <f>MRS!H122</f>
        <v>30</v>
      </c>
      <c r="F122" s="85">
        <f>MRS!I122</f>
        <v>18</v>
      </c>
      <c r="G122" s="85">
        <f>MRS!J122</f>
        <v>540</v>
      </c>
      <c r="H122" s="90"/>
    </row>
    <row r="123" spans="1:8" s="52" customFormat="1" ht="18" customHeight="1">
      <c r="A123" s="89">
        <f t="shared" si="1"/>
        <v>118</v>
      </c>
      <c r="B123" s="171" t="str">
        <f>MRS!B123&amp;" "&amp;MRS!D123</f>
        <v xml:space="preserve">Dial Test Indicator 0-0.8mm 513-404-10A Mitutoyo </v>
      </c>
      <c r="C123" s="172"/>
      <c r="D123" s="83" t="str">
        <f>MRS!G123</f>
        <v>Nos</v>
      </c>
      <c r="E123" s="84">
        <f>MRS!H123</f>
        <v>3</v>
      </c>
      <c r="F123" s="85">
        <f>MRS!I123</f>
        <v>480</v>
      </c>
      <c r="G123" s="85">
        <f>MRS!J123</f>
        <v>1440</v>
      </c>
      <c r="H123" s="90"/>
    </row>
    <row r="124" spans="1:8" s="52" customFormat="1" ht="18" customHeight="1">
      <c r="A124" s="89">
        <f t="shared" si="1"/>
        <v>119</v>
      </c>
      <c r="B124" s="171" t="str">
        <f>MRS!B124&amp;" "&amp;MRS!D124</f>
        <v xml:space="preserve">Dial Indicator 0-10mm/0.01mm 2046A Mitutoyo </v>
      </c>
      <c r="C124" s="172"/>
      <c r="D124" s="83" t="str">
        <f>MRS!G124</f>
        <v>Nos</v>
      </c>
      <c r="E124" s="84">
        <f>MRS!H124</f>
        <v>5</v>
      </c>
      <c r="F124" s="85">
        <f>MRS!I124</f>
        <v>235</v>
      </c>
      <c r="G124" s="85">
        <f>MRS!J124</f>
        <v>1175</v>
      </c>
      <c r="H124" s="90"/>
    </row>
    <row r="125" spans="1:8" s="52" customFormat="1" ht="23.1" customHeight="1">
      <c r="A125" s="187" t="s">
        <v>83</v>
      </c>
      <c r="B125" s="188"/>
      <c r="C125" s="188"/>
      <c r="D125" s="188"/>
      <c r="E125" s="188"/>
      <c r="F125" s="188"/>
      <c r="G125" s="55">
        <f>SUM(G6:G124)</f>
        <v>394259.8</v>
      </c>
      <c r="H125" s="56"/>
    </row>
    <row r="126" spans="1:8" s="52" customFormat="1" ht="23.1" customHeight="1">
      <c r="A126" s="187" t="s">
        <v>47</v>
      </c>
      <c r="B126" s="188"/>
      <c r="C126" s="188"/>
      <c r="D126" s="188"/>
      <c r="E126" s="188"/>
      <c r="F126" s="188"/>
      <c r="G126" s="55">
        <f>+G125*0.15</f>
        <v>59138.969999999994</v>
      </c>
      <c r="H126" s="56"/>
    </row>
    <row r="127" spans="1:8" s="52" customFormat="1" ht="24.95" customHeight="1" thickBot="1">
      <c r="A127" s="189" t="s">
        <v>84</v>
      </c>
      <c r="B127" s="190"/>
      <c r="C127" s="190"/>
      <c r="D127" s="190"/>
      <c r="E127" s="190"/>
      <c r="F127" s="190"/>
      <c r="G127" s="57">
        <f>G126+G125</f>
        <v>453398.76999999996</v>
      </c>
      <c r="H127" s="58"/>
    </row>
    <row r="128" spans="1:8" ht="15.75" thickTop="1">
      <c r="A128" s="59" t="str">
        <f>" 1) Above Price are as per your quotation with ref "&amp;'PO 1st page'!K14</f>
        <v xml:space="preserve"> 1) Above Price are as per your quotation with ref Q-20263199</v>
      </c>
      <c r="B128" s="60"/>
      <c r="C128" s="60"/>
      <c r="D128" s="61"/>
      <c r="E128" s="61"/>
      <c r="F128" s="61"/>
      <c r="G128" s="61"/>
      <c r="H128" s="61"/>
    </row>
    <row r="129" spans="1:13" ht="15">
      <c r="A129" s="62" t="s">
        <v>85</v>
      </c>
      <c r="B129" s="63"/>
      <c r="C129" s="63"/>
      <c r="D129" s="64"/>
      <c r="E129" s="64"/>
      <c r="F129" s="64"/>
      <c r="G129" s="64"/>
      <c r="H129" s="64"/>
      <c r="I129" s="65"/>
    </row>
    <row r="130" spans="1:13" ht="15.75">
      <c r="A130" s="66"/>
    </row>
    <row r="131" spans="1:13">
      <c r="A131" s="162" t="s">
        <v>86</v>
      </c>
      <c r="B131" s="162"/>
      <c r="C131" s="162"/>
      <c r="D131" s="162"/>
      <c r="E131" s="162"/>
      <c r="F131" s="162"/>
      <c r="G131" s="162"/>
      <c r="H131" s="162"/>
      <c r="I131" s="67"/>
      <c r="J131" s="67"/>
      <c r="K131" s="67"/>
      <c r="L131" s="67"/>
      <c r="M131" s="67"/>
    </row>
    <row r="132" spans="1:13" ht="15.75">
      <c r="A132" s="66"/>
      <c r="C132" s="68"/>
    </row>
    <row r="133" spans="1:13" ht="15.75">
      <c r="A133" s="66"/>
      <c r="C133" s="68"/>
    </row>
    <row r="135" spans="1:13" ht="12" customHeight="1"/>
  </sheetData>
  <mergeCells count="131">
    <mergeCell ref="B51:C51"/>
    <mergeCell ref="B44:C44"/>
    <mergeCell ref="B45:C45"/>
    <mergeCell ref="B46:C46"/>
    <mergeCell ref="B47:C47"/>
    <mergeCell ref="B48:C48"/>
    <mergeCell ref="B52:C52"/>
    <mergeCell ref="B53:C53"/>
    <mergeCell ref="B54:C54"/>
    <mergeCell ref="B55:C55"/>
    <mergeCell ref="B56:C56"/>
    <mergeCell ref="B57:C57"/>
    <mergeCell ref="B58:C58"/>
    <mergeCell ref="B37:C37"/>
    <mergeCell ref="B38:C38"/>
    <mergeCell ref="B39:C39"/>
    <mergeCell ref="B40:C40"/>
    <mergeCell ref="B41:C41"/>
    <mergeCell ref="B42:C42"/>
    <mergeCell ref="B43:C43"/>
    <mergeCell ref="B49:C49"/>
    <mergeCell ref="B50:C50"/>
    <mergeCell ref="A125:F125"/>
    <mergeCell ref="A126:F126"/>
    <mergeCell ref="A127:F127"/>
    <mergeCell ref="A131:H131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59:C59"/>
    <mergeCell ref="B60:C60"/>
    <mergeCell ref="B61:C61"/>
    <mergeCell ref="B62:C62"/>
    <mergeCell ref="B63:C6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B32:C32"/>
    <mergeCell ref="B33:C33"/>
    <mergeCell ref="B34:C34"/>
    <mergeCell ref="B35:C35"/>
    <mergeCell ref="B36:C36"/>
    <mergeCell ref="B69:C69"/>
    <mergeCell ref="B70:C70"/>
    <mergeCell ref="B71:C71"/>
    <mergeCell ref="B72:C72"/>
    <mergeCell ref="B73:C73"/>
    <mergeCell ref="B64:C64"/>
    <mergeCell ref="B65:C65"/>
    <mergeCell ref="B66:C66"/>
    <mergeCell ref="B67:C67"/>
    <mergeCell ref="B68:C68"/>
    <mergeCell ref="B79:C79"/>
    <mergeCell ref="B80:C80"/>
    <mergeCell ref="B81:C81"/>
    <mergeCell ref="B82:C82"/>
    <mergeCell ref="B83:C83"/>
    <mergeCell ref="B74:C74"/>
    <mergeCell ref="B75:C75"/>
    <mergeCell ref="B76:C76"/>
    <mergeCell ref="B77:C77"/>
    <mergeCell ref="B78:C78"/>
    <mergeCell ref="B89:C89"/>
    <mergeCell ref="B90:C90"/>
    <mergeCell ref="B91:C91"/>
    <mergeCell ref="B92:C92"/>
    <mergeCell ref="B93:C93"/>
    <mergeCell ref="B84:C84"/>
    <mergeCell ref="B85:C85"/>
    <mergeCell ref="B86:C86"/>
    <mergeCell ref="B87:C87"/>
    <mergeCell ref="B88:C88"/>
    <mergeCell ref="B99:C99"/>
    <mergeCell ref="B100:C100"/>
    <mergeCell ref="B101:C101"/>
    <mergeCell ref="B102:C102"/>
    <mergeCell ref="B103:C103"/>
    <mergeCell ref="B94:C94"/>
    <mergeCell ref="B95:C95"/>
    <mergeCell ref="B96:C96"/>
    <mergeCell ref="B97:C97"/>
    <mergeCell ref="B98:C98"/>
    <mergeCell ref="B109:C109"/>
    <mergeCell ref="B110:C110"/>
    <mergeCell ref="B111:C111"/>
    <mergeCell ref="B112:C112"/>
    <mergeCell ref="B113:C113"/>
    <mergeCell ref="B104:C104"/>
    <mergeCell ref="B105:C105"/>
    <mergeCell ref="B106:C106"/>
    <mergeCell ref="B107:C107"/>
    <mergeCell ref="B108:C108"/>
    <mergeCell ref="B124:C124"/>
    <mergeCell ref="B119:C119"/>
    <mergeCell ref="B120:C120"/>
    <mergeCell ref="B121:C121"/>
    <mergeCell ref="B122:C122"/>
    <mergeCell ref="B123:C123"/>
    <mergeCell ref="B114:C114"/>
    <mergeCell ref="B115:C115"/>
    <mergeCell ref="B116:C116"/>
    <mergeCell ref="B117:C117"/>
    <mergeCell ref="B118:C118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4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2026-04-16T08:47:13Z</cp:lastPrinted>
  <dcterms:created xsi:type="dcterms:W3CDTF">2024-10-20T11:50:19Z</dcterms:created>
  <dcterms:modified xsi:type="dcterms:W3CDTF">2026-04-16T08:48:27Z</dcterms:modified>
</cp:coreProperties>
</file>