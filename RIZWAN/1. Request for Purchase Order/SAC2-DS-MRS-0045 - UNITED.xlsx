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C8F4C240-D443-41A2-B160-50D89F059E09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2" l="1"/>
  <c r="I8" i="2"/>
  <c r="H8" i="2"/>
  <c r="G8" i="2"/>
  <c r="D8" i="2"/>
  <c r="B8" i="2"/>
  <c r="H7" i="4"/>
  <c r="H6" i="4"/>
  <c r="K59" i="3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<sst xmlns="http://schemas.openxmlformats.org/spreadsheetml/2006/main" count="158" uniqueCount="124">
  <si>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</si>
  <si>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</si>
  <si>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</si>
  <si>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</si>
  <si>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</si>
  <si>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</si>
  <si>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</si>
  <si>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</si>
  <si>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</si>
  <si>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</si>
  <si>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</si>
  <si>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</si>
  <si>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</si>
  <si>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</si>
  <si>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</si>
  <si>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</si>
  <si>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</si>
  <si>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</si>
  <si>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</si>
  <si>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</si>
  <si>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</si>
  <si>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</si>
  <si>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</si>
  <si>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</si>
  <si>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</si>
  <si>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</si>
  <si>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</si>
  <si>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</si>
  <si>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</si>
  <si>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</si>
  <si>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</si>
  <si>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</si>
  <si>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</si>
  <si>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</si>
  <si>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</si>
  <si>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</si>
  <si>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</si>
  <si>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</si>
  <si>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</si>
  <si>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</si>
  <si>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</si>
  <si>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</si>
  <si>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</si>
  <si>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</si>
  <si>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</si>
  <si>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</si>
  <si>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</si>
  <si>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</si>
  <si>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</si>
  <si>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</si>
  <si>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</si>
  <si>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</si>
  <si>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</si>
  <si>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</si>
  <si>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</si>
  <si>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</si>
  <si>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</si>
  <si>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</si>
  <si>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</si>
  <si>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</si>
  <si>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</si>
  <si>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</si>
  <si>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</si>
  <si>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</si>
  <si>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</si>
  <si>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</si>
  <si>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</si>
  <si>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</si>
  <si>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</si>
  <si>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</si>
  <si>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</si>
  <si>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</si>
  <si>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</si>
  <si>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</si>
  <si>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</si>
  <si>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</si>
  <si>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</si>
  <si>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</si>
  <si>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</si>
  <si>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</si>
  <si>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</si>
  <si>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</si>
  <si>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</si>
  <si>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</si>
  <si>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</si>
  <si>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</si>
  <si>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</si>
  <si>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</si>
  <si>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</si>
  <si>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</si>
  <si>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</si>
  <si>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</si>
  <si>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</si>
  <si>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</si>
  <si>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</si>
  <si>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</si>
  <si>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</si>
  <si>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</si>
  <si>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</si>
  <si>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</si>
  <si>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</si>
  <si>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</si>
  <si>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</si>
  <si>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</si>
  <si>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</si>
  <si>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</si>
  <si>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</si>
  <si>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</si>
  <si>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</si>
  <si>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</si>
  <si>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</si>
  <si>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</si>
  <si>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</si>
  <si>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</si>
  <si>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</si>
  <si>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</si>
  <si>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</si>
  <si>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Manlift</t>
  </si>
  <si>
    <t>Manlift Mob &amp; De-Mob. Charge</t>
  </si>
  <si>
    <t>310157378500003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</si>
  <si>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-MRS-0045</t>
    </r>
  </si>
  <si>
    <t>40 Mtr Articulated Manlift with One Operator Ipal certified</t>
  </si>
  <si>
    <t>40 Mtr Atriculated Manlift with Operator</t>
  </si>
  <si>
    <t>UT-EQUO-25-2940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</si>
</sst>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13" sqref="P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114</v>
      </c>
      <c r="B1" s="110"/>
      <c r="C1" s="110"/>
      <c r="D1" s="110"/>
      <c r="E1" s="110"/>
      <c r="F1" s="110"/>
      <c r="G1" s="1"/>
      <c r="J1" s="126" t="s">
        <v>92</v>
      </c>
      <c r="K1" s="127"/>
      <c r="L1" s="128"/>
    </row>
    <row r="2" spans="1:19" ht="20.100000000000001" customHeight="1">
      <c r="A2" s="3" t="s">
        <v>1</v>
      </c>
      <c r="B2" s="101"/>
      <c r="C2" s="101"/>
      <c r="D2" s="3" t="s">
        <v>115</v>
      </c>
      <c r="E2" s="101"/>
      <c r="F2" s="101"/>
      <c r="G2" s="101"/>
      <c r="H2" s="101"/>
      <c r="I2" s="4"/>
      <c r="J2" s="142" t="s">
        <v>113</v>
      </c>
      <c r="K2" s="143"/>
      <c r="L2" s="144"/>
    </row>
    <row r="3" spans="1:19" ht="20.100000000000001" customHeight="1">
      <c r="A3" s="3" t="s">
        <v>120</v>
      </c>
      <c r="B3" s="101"/>
      <c r="C3" s="101"/>
      <c r="D3" s="101"/>
      <c r="E3" s="129">
        <f>+L3</f>
        <v>45756</v>
      </c>
      <c r="F3" s="129"/>
      <c r="G3" s="129"/>
      <c r="H3" s="129"/>
      <c r="I3" s="129"/>
      <c r="J3" s="101"/>
      <c r="K3" s="101"/>
      <c r="L3" s="122">
        <v>45756</v>
      </c>
      <c r="M3" s="4"/>
    </row>
    <row r="4" spans="1:19" ht="15.95" customHeight="1">
      <c r="A4" s="130" t="s">
        <v>2</v>
      </c>
      <c r="B4" s="131" t="s">
        <v>3</v>
      </c>
      <c r="C4" s="131"/>
      <c r="D4" s="132" t="s">
        <v>4</v>
      </c>
      <c r="E4" s="133"/>
      <c r="F4" s="134"/>
      <c r="G4" s="138" t="s">
        <v>5</v>
      </c>
      <c r="H4" s="140" t="s">
        <v>6</v>
      </c>
      <c r="I4" s="140" t="s">
        <v>97</v>
      </c>
      <c r="J4" s="130" t="s">
        <v>98</v>
      </c>
      <c r="K4" s="140" t="s">
        <v>0</v>
      </c>
      <c r="L4" s="131" t="s">
        <v>7</v>
      </c>
    </row>
    <row r="5" spans="1:19" ht="15.95" customHeight="1">
      <c r="A5" s="130"/>
      <c r="B5" s="131"/>
      <c r="C5" s="131"/>
      <c r="D5" s="135"/>
      <c r="E5" s="136"/>
      <c r="F5" s="137"/>
      <c r="G5" s="139"/>
      <c r="H5" s="141"/>
      <c r="I5" s="141"/>
      <c r="J5" s="130"/>
      <c r="K5" s="141"/>
      <c r="L5" s="131"/>
    </row>
    <row r="6" spans="1:19" ht="31.5" customHeight="1">
      <c r="A6" s="5">
        <f t="shared" ref="A6:A15" si="0">ROW(A1)</f>
        <v>1</v>
      </c>
      <c r="B6" s="145" t="s">
        <v>117</v>
      </c>
      <c r="C6" s="146"/>
      <c r="D6" s="147" t="s">
        <v>121</v>
      </c>
      <c r="E6" s="148"/>
      <c r="F6" s="149"/>
      <c r="G6" s="111" t="s">
        <v>93</v>
      </c>
      <c r="H6" s="112">
        <v>1</v>
      </c>
      <c r="I6" s="113">
        <v>31000</v>
      </c>
      <c r="J6" s="113">
        <f>H6*I6</f>
        <v>31000</v>
      </c>
      <c r="K6" s="114" t="s">
        <v>103</v>
      </c>
      <c r="L6" s="115" t="s">
        <v>111</v>
      </c>
      <c r="S6" s="106"/>
    </row>
    <row r="7" spans="1:19" ht="28.5" customHeight="1">
      <c r="A7" s="5">
        <f t="shared" si="0"/>
        <v>2</v>
      </c>
      <c r="B7" s="145" t="s">
        <v>118</v>
      </c>
      <c r="C7" s="146"/>
      <c r="D7" s="150" t="s">
        <v>100</v>
      </c>
      <c r="E7" s="148"/>
      <c r="F7" s="149"/>
      <c r="G7" s="111" t="s">
        <v>101</v>
      </c>
      <c r="H7" s="112">
        <v>1</v>
      </c>
      <c r="I7" s="113">
        <v>6000</v>
      </c>
      <c r="J7" s="113">
        <f>H7*I7</f>
        <v>6000</v>
      </c>
      <c r="K7" s="114" t="s">
        <v>103</v>
      </c>
      <c r="L7" s="115" t="s">
        <v>112</v>
      </c>
      <c r="S7" s="106"/>
    </row>
    <row r="8" spans="1:19" ht="30.75" customHeight="1">
      <c r="A8" s="5">
        <f t="shared" si="0"/>
        <v>3</v>
      </c>
      <c r="B8" s="145"/>
      <c r="C8" s="146"/>
      <c r="D8" s="150"/>
      <c r="E8" s="148"/>
      <c r="F8" s="149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3" t="s">
        <v>8</v>
      </c>
      <c r="B16" s="15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37000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SAC2-DS-MRS-0045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45756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94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Manlift</v>
      </c>
      <c r="C6" s="164"/>
      <c r="D6" s="165" t="str">
        <f>MRS!D6</f>
        <v>40 Mtr Articulated Manlift with One Operator Ipal certified</v>
      </c>
      <c r="E6" s="166"/>
      <c r="F6" s="167"/>
      <c r="G6" s="103" t="str">
        <f>MRS!G6</f>
        <v>Month</v>
      </c>
      <c r="H6" s="103">
        <f>MRS!H6</f>
        <v>1</v>
      </c>
      <c r="I6" s="104">
        <f>MRS!I6</f>
        <v>31000</v>
      </c>
      <c r="J6" s="104">
        <f>MRS!J6</f>
        <v>31000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3" t="str">
        <f>MRS!B7</f>
        <v>Manlift Mob &amp; De-Mob. Charge</v>
      </c>
      <c r="C7" s="164"/>
      <c r="D7" s="165" t="str">
        <f>MRS!D7</f>
        <v>Mob. &amp; De-Mob. / per unit - lump sum</v>
      </c>
      <c r="E7" s="166"/>
      <c r="F7" s="167"/>
      <c r="G7" s="103" t="str">
        <f>MRS!G7</f>
        <v>L / S</v>
      </c>
      <c r="H7" s="103">
        <f>MRS!H7</f>
        <v>1</v>
      </c>
      <c r="I7" s="104">
        <f>MRS!I7</f>
        <v>6000</v>
      </c>
      <c r="J7" s="104">
        <f>MRS!J7</f>
        <v>6000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3">
        <f>MRS!B8</f>
        <v>0</v>
      </c>
      <c r="C8" s="164"/>
      <c r="D8" s="165">
        <f>MRS!D8</f>
        <v>0</v>
      </c>
      <c r="E8" s="166"/>
      <c r="F8" s="167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8"/>
      <c r="C9" s="169"/>
      <c r="D9" s="170"/>
      <c r="E9" s="171"/>
      <c r="F9" s="172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8"/>
      <c r="C10" s="169"/>
      <c r="D10" s="170"/>
      <c r="E10" s="171"/>
      <c r="F10" s="172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8"/>
      <c r="C11" s="169"/>
      <c r="D11" s="170"/>
      <c r="E11" s="171"/>
      <c r="F11" s="172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29" zoomScale="130" zoomScaleSheetLayoutView="130" workbookViewId="0">
      <selection activeCell="P18" sqref="P1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45756</v>
      </c>
      <c r="L10" s="175"/>
      <c r="M10" s="175"/>
    </row>
    <row r="11" spans="2:13" s="39" customFormat="1">
      <c r="B11" s="72"/>
      <c r="C11" s="75" t="s">
        <v>35</v>
      </c>
      <c r="D11" s="76" t="s">
        <v>119</v>
      </c>
      <c r="J11" s="39" t="s">
        <v>36</v>
      </c>
      <c r="K11" s="176" t="str">
        <f>SUBSTITUTE(SUBSTITUTE(+MRS!A3,"  MRS No : ",""),"-MRS","-PO")</f>
        <v>SAC2-DS-PO-0045</v>
      </c>
      <c r="L11" s="176"/>
      <c r="M11" s="176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123</v>
      </c>
    </row>
    <row r="15" spans="2:13" s="39" customFormat="1">
      <c r="B15" s="72"/>
      <c r="C15" s="77" t="s">
        <v>107</v>
      </c>
      <c r="J15" s="39" t="s">
        <v>41</v>
      </c>
      <c r="K15" s="78">
        <v>45755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122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110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116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Muhammed Huzaifa</v>
      </c>
    </row>
    <row r="60" spans="1:16" ht="18" customHeight="1">
      <c r="B60" s="26" t="s">
        <v>72</v>
      </c>
      <c r="J60" s="26" t="s">
        <v>73</v>
      </c>
      <c r="K60" s="22" t="s">
        <v>99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4" t="str">
        <f>C9</f>
        <v>UTCC(United Technology Contracting Co. Ltd.)</v>
      </c>
    </row>
    <row r="63" spans="1:16" ht="27.9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N8" sqref="N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SAC2-DS-PO-0045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45756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UTCC(United Technology Contracting Co. Ltd.)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+'MRS LIST'!B6</f>
        <v>Manlift</v>
      </c>
      <c r="C6" s="199"/>
      <c r="D6" s="86" t="str">
        <f>+'MRS LIST'!G6</f>
        <v>Month</v>
      </c>
      <c r="E6" s="87">
        <f>+'MRS LIST'!H6</f>
        <v>1</v>
      </c>
      <c r="F6" s="88">
        <f>+'MRS LIST'!I6</f>
        <v>31000</v>
      </c>
      <c r="G6" s="89">
        <f>+'MRS LIST'!J6</f>
        <v>31000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 t="str">
        <f>+'MRS LIST'!B7</f>
        <v>Manlift Mob &amp; De-Mob. Charge</v>
      </c>
      <c r="C7" s="199"/>
      <c r="D7" s="86" t="str">
        <f>+'MRS LIST'!G7</f>
        <v>L / S</v>
      </c>
      <c r="E7" s="87">
        <f>+'MRS LIST'!H7</f>
        <v>1</v>
      </c>
      <c r="F7" s="88">
        <f>+'MRS LIST'!I7</f>
        <v>6000</v>
      </c>
      <c r="G7" s="89">
        <f>+'MRS LIST'!J7</f>
        <v>6000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98"/>
      <c r="C8" s="199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37000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5550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42550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UT-EQUO-25-2940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2025-04-09T12:33:29Z</cp:lastPrinted>
  <dcterms:created xsi:type="dcterms:W3CDTF">2024-10-20T11:50:19Z</dcterms:created>
  <dcterms:modified xsi:type="dcterms:W3CDTF">2025-04-09T13:16:58Z</dcterms:modified>
</cp:coreProperties>
</file>