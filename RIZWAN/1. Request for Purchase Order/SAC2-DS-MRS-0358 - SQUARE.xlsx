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8924AF8-9520-4A99-9763-B396560B69F7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6" i="3" l="1"/>
  <c r="B8" i="4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<sst xmlns="http://schemas.openxmlformats.org/spreadsheetml/2006/main" count="166" uniqueCount="135">
  <si>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</si>
  <si>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</si>
  <si>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</si>
  <si>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</si>
  <si>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</si>
  <si>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</si>
  <si>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</si>
  <si>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</si>
  <si>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</si>
  <si>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</si>
  <si>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</si>
  <si>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</si>
  <si>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</si>
  <si>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</si>
  <si>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</si>
  <si>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</si>
  <si>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</si>
  <si>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</si>
  <si>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</si>
  <si>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</si>
  <si>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</si>
  <si>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</si>
  <si>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</si>
  <si>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</si>
  <si>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</si>
  <si>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</si>
  <si>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</si>
  <si>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</si>
  <si>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</si>
  <si>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</si>
  <si>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</si>
  <si>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</si>
  <si>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</si>
  <si>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</si>
  <si>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</si>
  <si>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</si>
  <si>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</si>
  <si>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</si>
  <si>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</si>
  <si>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</si>
  <si>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</si>
  <si>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</si>
  <si>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</si>
  <si>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</si>
  <si>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</si>
  <si>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</si>
  <si>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</si>
  <si>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</si>
  <si>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</si>
  <si>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</si>
  <si>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</si>
  <si>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</si>
  <si>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</si>
  <si>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</si>
  <si>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</si>
  <si>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</si>
  <si>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</si>
  <si>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</si>
  <si>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</si>
  <si>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</si>
  <si>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</si>
  <si>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</si>
  <si>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</si>
  <si>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</si>
  <si>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</si>
  <si>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</si>
  <si>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</si>
  <si>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</si>
  <si>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</si>
  <si>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</si>
  <si>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</si>
  <si>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</si>
  <si>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</si>
  <si>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</si>
  <si>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</si>
  <si>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</si>
  <si>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</si>
  <si>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</si>
  <si>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</si>
  <si>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</si>
  <si>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</si>
  <si>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</si>
  <si>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</si>
  <si>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</si>
  <si>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</si>
  <si>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</si>
  <si>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</si>
  <si>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</si>
  <si>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</si>
  <si>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</si>
  <si>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</si>
  <si>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</si>
  <si>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</si>
  <si>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</si>
  <si>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</si>
  <si>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</si>
  <si>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</si>
  <si>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</si>
  <si>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</si>
  <si>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</si>
  <si>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</si>
  <si>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</si>
  <si>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-MRS-0358</t>
    </r>
  </si>
  <si>
    <t>BUS</t>
  </si>
  <si>
    <t>Ashok Leyland 64 Seater with driver model 2025</t>
  </si>
  <si>
    <t>+966 597103438  / Email:arshad@squarearabia.com</t>
  </si>
  <si>
    <t>Mobile : +966 597 103438</t>
  </si>
  <si>
    <t>Month</t>
  </si>
  <si>
    <t>NSGC</t>
  </si>
  <si>
    <t>NSGC(New Square Gen. Cont. Est.)</t>
  </si>
  <si>
    <t>2055128188</t>
  </si>
  <si>
    <t>310618678800003</t>
  </si>
  <si>
    <t>Arshad Ibrahim</t>
  </si>
  <si>
    <t>Business Coordinator</t>
  </si>
  <si>
    <t>QT-MPE-302724</t>
  </si>
  <si>
    <t>Bldg 818 Al Jabal Street , Al Jubail , KSA</t>
  </si>
  <si>
    <t>NEW SQUARE GENERAL CONTRACTING EST.</t>
  </si>
  <si>
    <t>352448468001</t>
  </si>
  <si>
    <t>SA74 4500 0000 3524 4846 8001</t>
  </si>
  <si>
    <t>THE SAUDI BRITISH BANK</t>
  </si>
  <si>
    <t>SABBSARI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</si>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</sst>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15" fontId="25" fillId="3" borderId="0" xfId="5" applyNumberFormat="1" applyFont="1" applyFill="1"/>
    <xf numFmtId="0" fontId="4" fillId="2" borderId="21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26" fillId="3" borderId="0" xfId="5" applyFont="1" applyFill="1" applyAlignment="1">
      <alignment horizont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11" fillId="3" borderId="15" xfId="0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17045</xdr:rowOff>
        </xdr:from>
        <xdr:to>
          <xdr:col>11</xdr:col>
          <xdr:colOff>1657350</xdr:colOff>
          <xdr:row>22</xdr:row>
          <xdr:rowOff>571501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54811186-F2E4-F48F-3031-74FC5DBC97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43075" y="5236745"/>
              <a:ext cx="8305800" cy="202130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Normal="95" zoomScaleSheetLayoutView="100" workbookViewId="0">
      <selection activeCell="I25" sqref="I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121</v>
      </c>
      <c r="B1" s="126"/>
      <c r="C1" s="106"/>
      <c r="D1" s="106"/>
      <c r="E1" s="106"/>
      <c r="F1" s="106"/>
      <c r="G1" s="1"/>
      <c r="J1" s="166" t="s">
        <v>81</v>
      </c>
      <c r="K1" s="167"/>
      <c r="L1" s="168"/>
    </row>
    <row r="2" spans="1:19" ht="20.100000000000001" customHeight="1">
      <c r="A2" s="3" t="s">
        <v>1</v>
      </c>
      <c r="B2" s="97"/>
      <c r="C2" s="97"/>
      <c r="D2" s="3" t="s">
        <v>122</v>
      </c>
      <c r="E2" s="97"/>
      <c r="F2" s="97"/>
      <c r="G2" s="97"/>
      <c r="H2" s="97"/>
      <c r="I2" s="4"/>
      <c r="J2" s="169" t="s">
        <v>89</v>
      </c>
      <c r="K2" s="170"/>
      <c r="L2" s="171"/>
    </row>
    <row r="3" spans="1:19" ht="20.100000000000001" customHeight="1">
      <c r="A3" s="3" t="s">
        <v>102</v>
      </c>
      <c r="B3" s="97"/>
      <c r="C3" s="97"/>
      <c r="D3" s="97"/>
      <c r="E3" s="172">
        <f>+L3+3</f>
        <v>46245</v>
      </c>
      <c r="F3" s="172"/>
      <c r="G3" s="172"/>
      <c r="H3" s="172"/>
      <c r="I3" s="172"/>
      <c r="J3" s="97"/>
      <c r="K3" s="97"/>
      <c r="L3" s="127">
        <v>46242</v>
      </c>
      <c r="M3" s="4"/>
    </row>
    <row r="4" spans="1:19" ht="15.95" customHeight="1">
      <c r="A4" s="173" t="s">
        <v>2</v>
      </c>
      <c r="B4" s="174" t="s">
        <v>3</v>
      </c>
      <c r="C4" s="174"/>
      <c r="D4" s="175" t="s">
        <v>4</v>
      </c>
      <c r="E4" s="176"/>
      <c r="F4" s="177"/>
      <c r="G4" s="181" t="s">
        <v>5</v>
      </c>
      <c r="H4" s="183" t="s">
        <v>6</v>
      </c>
      <c r="I4" s="183" t="s">
        <v>86</v>
      </c>
      <c r="J4" s="173" t="s">
        <v>87</v>
      </c>
      <c r="K4" s="183" t="s">
        <v>0</v>
      </c>
      <c r="L4" s="174" t="s">
        <v>7</v>
      </c>
    </row>
    <row r="5" spans="1:19" ht="15.95" customHeight="1">
      <c r="A5" s="173"/>
      <c r="B5" s="174"/>
      <c r="C5" s="174"/>
      <c r="D5" s="178"/>
      <c r="E5" s="179"/>
      <c r="F5" s="180"/>
      <c r="G5" s="182"/>
      <c r="H5" s="184"/>
      <c r="I5" s="184"/>
      <c r="J5" s="173"/>
      <c r="K5" s="184"/>
      <c r="L5" s="174"/>
    </row>
    <row r="6" spans="1:19" ht="46.5" customHeight="1">
      <c r="A6" s="5">
        <f t="shared" ref="A6:A15" si="0">ROW(A1)</f>
        <v>1</v>
      </c>
      <c r="B6" s="155" t="s">
        <v>103</v>
      </c>
      <c r="C6" s="156"/>
      <c r="D6" s="157" t="s">
        <v>104</v>
      </c>
      <c r="E6" s="158"/>
      <c r="F6" s="159"/>
      <c r="G6" s="107" t="s">
        <v>107</v>
      </c>
      <c r="H6" s="108">
        <v>1</v>
      </c>
      <c r="I6" s="109">
        <v>11500</v>
      </c>
      <c r="J6" s="109">
        <f>H6*I6</f>
        <v>11500</v>
      </c>
      <c r="K6" s="110" t="s">
        <v>108</v>
      </c>
      <c r="L6" s="111" t="s">
        <v>90</v>
      </c>
      <c r="S6" s="102"/>
    </row>
    <row r="7" spans="1:19" ht="22.5" customHeight="1">
      <c r="A7" s="5">
        <f t="shared" si="0"/>
        <v>2</v>
      </c>
      <c r="B7" s="155"/>
      <c r="C7" s="156"/>
      <c r="D7" s="165"/>
      <c r="E7" s="158"/>
      <c r="F7" s="159"/>
      <c r="G7" s="107"/>
      <c r="H7" s="108"/>
      <c r="I7" s="109"/>
      <c r="J7" s="109"/>
      <c r="K7" s="110"/>
      <c r="L7" s="111"/>
      <c r="S7" s="102"/>
    </row>
    <row r="8" spans="1:19" ht="22.5" customHeight="1">
      <c r="A8" s="5">
        <f t="shared" si="0"/>
        <v>3</v>
      </c>
      <c r="B8" s="155"/>
      <c r="C8" s="156"/>
      <c r="D8" s="157"/>
      <c r="E8" s="158"/>
      <c r="F8" s="159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55"/>
      <c r="C9" s="156"/>
      <c r="D9" s="157"/>
      <c r="E9" s="158"/>
      <c r="F9" s="159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63"/>
      <c r="C10" s="163"/>
      <c r="D10" s="164"/>
      <c r="E10" s="164"/>
      <c r="F10" s="164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55"/>
      <c r="C11" s="156"/>
      <c r="D11" s="157"/>
      <c r="E11" s="158"/>
      <c r="F11" s="159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63"/>
      <c r="C12" s="163"/>
      <c r="D12" s="164"/>
      <c r="E12" s="164"/>
      <c r="F12" s="164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55"/>
      <c r="C13" s="156"/>
      <c r="D13" s="157"/>
      <c r="E13" s="158"/>
      <c r="F13" s="159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55"/>
      <c r="C14" s="156"/>
      <c r="D14" s="157"/>
      <c r="E14" s="158"/>
      <c r="F14" s="159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55"/>
      <c r="C15" s="156"/>
      <c r="D15" s="157"/>
      <c r="E15" s="158"/>
      <c r="F15" s="159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60" t="s">
        <v>8</v>
      </c>
      <c r="B16" s="161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11500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206"/>
      <c r="Z18" s="11"/>
    </row>
    <row r="19" spans="1:26" ht="50.1" customHeight="1">
      <c r="Y19" s="207"/>
    </row>
    <row r="20" spans="1:26" ht="15" customHeight="1">
      <c r="O20" s="208" t="s">
        <v>123</v>
      </c>
      <c r="P20" s="209"/>
      <c r="Q20" s="209"/>
      <c r="R20" s="210"/>
      <c r="S20" s="124"/>
      <c r="T20" s="208" t="s">
        <v>124</v>
      </c>
      <c r="U20" s="209"/>
      <c r="V20" s="209"/>
      <c r="W20" s="209"/>
      <c r="X20" s="209"/>
      <c r="Y20" s="210"/>
    </row>
    <row r="21" spans="1:26" ht="15" customHeight="1">
      <c r="O21" s="162" t="s">
        <v>125</v>
      </c>
      <c r="P21" s="151" t="s">
        <v>126</v>
      </c>
      <c r="Q21" s="162" t="s">
        <v>127</v>
      </c>
      <c r="R21" s="151" t="s">
        <v>128</v>
      </c>
      <c r="S21" s="124"/>
      <c r="T21" s="162" t="s">
        <v>129</v>
      </c>
      <c r="U21" s="151" t="s">
        <v>130</v>
      </c>
      <c r="V21" s="208" t="s">
        <v>131</v>
      </c>
      <c r="W21" s="209"/>
      <c r="X21" s="210"/>
      <c r="Y21" s="151" t="s">
        <v>132</v>
      </c>
    </row>
    <row r="22" spans="1:26" ht="18" customHeight="1">
      <c r="O22" s="152"/>
      <c r="P22" s="153"/>
      <c r="Q22" s="152"/>
      <c r="R22" s="153"/>
      <c r="S22" s="211"/>
      <c r="T22" s="152"/>
      <c r="U22" s="153"/>
      <c r="V22" s="13" t="s">
        <v>125</v>
      </c>
      <c r="W22" s="212" t="s">
        <v>133</v>
      </c>
      <c r="X22" s="213"/>
      <c r="Y22" s="153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208"/>
      <c r="X23" s="210"/>
      <c r="Y23" s="214"/>
    </row>
    <row r="24" spans="1:26" ht="36" customHeight="1">
      <c r="W24" s="215"/>
      <c r="X24" s="216" t="s">
        <v>134</v>
      </c>
      <c r="Y24" s="12" t="s">
        <v>132</v>
      </c>
    </row>
    <row r="25" spans="1:26" ht="50.1" customHeight="1">
      <c r="O25" s="217"/>
      <c r="P25" s="217"/>
      <c r="Q25" s="217"/>
      <c r="R25" s="217"/>
      <c r="S25" s="217"/>
      <c r="T25" s="217"/>
      <c r="U25" s="217"/>
      <c r="V25" s="217"/>
      <c r="W25" s="218"/>
      <c r="X25" s="219"/>
      <c r="Y25" s="220"/>
    </row>
    <row r="26" spans="1:26" ht="19.899999999999999" customHeight="1"/>
    <row r="27" spans="1:26" ht="17.45" customHeight="1">
      <c r="O27" s="154"/>
      <c r="P27" s="154"/>
    </row>
    <row r="28" spans="1:26" ht="19.899999999999999" customHeight="1">
      <c r="O28" s="154"/>
      <c r="P28" s="154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1" t="s">
        <v>12</v>
      </c>
    </row>
    <row r="41" spans="15:22" ht="19.899999999999999" customHeight="1">
      <c r="T41" s="153"/>
    </row>
    <row r="42" spans="15:22" ht="64.900000000000006" customHeight="1">
      <c r="T42" s="14"/>
    </row>
    <row r="46" spans="15:22" ht="21" customHeight="1">
      <c r="O46" s="151" t="s">
        <v>12</v>
      </c>
      <c r="P46" s="151" t="s">
        <v>12</v>
      </c>
      <c r="Q46" s="151" t="s">
        <v>12</v>
      </c>
      <c r="T46" s="151" t="s">
        <v>13</v>
      </c>
      <c r="U46" s="151" t="s">
        <v>11</v>
      </c>
      <c r="V46" s="151" t="s">
        <v>12</v>
      </c>
    </row>
    <row r="47" spans="15:22" ht="21" customHeight="1">
      <c r="O47" s="153"/>
      <c r="P47" s="153"/>
      <c r="Q47" s="153"/>
      <c r="T47" s="152"/>
      <c r="U47" s="152"/>
      <c r="V47" s="15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1" t="s">
        <v>12</v>
      </c>
      <c r="P50" s="151" t="s">
        <v>12</v>
      </c>
      <c r="Q50" s="151" t="s">
        <v>12</v>
      </c>
      <c r="T50" s="151" t="s">
        <v>11</v>
      </c>
      <c r="U50" s="151" t="s">
        <v>13</v>
      </c>
      <c r="V50" s="151" t="s">
        <v>12</v>
      </c>
    </row>
    <row r="51" spans="15:22" ht="21" customHeight="1">
      <c r="O51" s="153"/>
      <c r="P51" s="153"/>
      <c r="Q51" s="153"/>
      <c r="T51" s="152"/>
      <c r="U51" s="152"/>
      <c r="V51" s="15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2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6"/>
      <c r="C1" s="96"/>
      <c r="D1" s="96"/>
      <c r="E1" s="96"/>
      <c r="F1" s="96"/>
      <c r="G1" s="1"/>
      <c r="J1" s="166" t="str">
        <f>+MRS!J1</f>
        <v>DAESHIN PLANT</v>
      </c>
      <c r="K1" s="168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69" t="str">
        <f>+MRS!J2</f>
        <v>Subcontract name (SAC2-SC-IK-SMP-01)</v>
      </c>
      <c r="K2" s="171"/>
    </row>
    <row r="3" spans="1:18" ht="24.95" customHeight="1">
      <c r="A3" s="3" t="str">
        <f>+MRS!A3</f>
        <v xml:space="preserve">  MRS No : SAC2-DS-MRS-0358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46242</v>
      </c>
    </row>
    <row r="4" spans="1:18" ht="15.95" customHeight="1">
      <c r="A4" s="195" t="s">
        <v>2</v>
      </c>
      <c r="B4" s="196" t="s">
        <v>14</v>
      </c>
      <c r="C4" s="196"/>
      <c r="D4" s="195" t="s">
        <v>4</v>
      </c>
      <c r="E4" s="195"/>
      <c r="F4" s="195"/>
      <c r="G4" s="196" t="s">
        <v>5</v>
      </c>
      <c r="H4" s="195" t="s">
        <v>82</v>
      </c>
      <c r="I4" s="195" t="s">
        <v>15</v>
      </c>
      <c r="J4" s="195" t="s">
        <v>16</v>
      </c>
      <c r="K4" s="196" t="s">
        <v>7</v>
      </c>
    </row>
    <row r="5" spans="1:18" ht="15.95" customHeight="1">
      <c r="A5" s="195"/>
      <c r="B5" s="196"/>
      <c r="C5" s="196"/>
      <c r="D5" s="195"/>
      <c r="E5" s="195"/>
      <c r="F5" s="195"/>
      <c r="G5" s="196"/>
      <c r="H5" s="195"/>
      <c r="I5" s="195"/>
      <c r="J5" s="195"/>
      <c r="K5" s="196"/>
    </row>
    <row r="6" spans="1:18" ht="105" customHeight="1">
      <c r="A6" s="17">
        <f>+MRS!A6</f>
        <v>1</v>
      </c>
      <c r="B6" s="190" t="str">
        <f>MRS!B6</f>
        <v>BUS</v>
      </c>
      <c r="C6" s="191"/>
      <c r="D6" s="192" t="str">
        <f>MRS!D6</f>
        <v>Ashok Leyland 64 Seater with driver model 2025</v>
      </c>
      <c r="E6" s="193"/>
      <c r="F6" s="194"/>
      <c r="G6" s="99" t="str">
        <f>MRS!G6</f>
        <v>Month</v>
      </c>
      <c r="H6" s="99">
        <f>MRS!H6</f>
        <v>1</v>
      </c>
      <c r="I6" s="100">
        <f>MRS!I6</f>
        <v>11500</v>
      </c>
      <c r="J6" s="100">
        <f>MRS!J6</f>
        <v>11500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90">
        <f>MRS!B7</f>
        <v>0</v>
      </c>
      <c r="C7" s="191"/>
      <c r="D7" s="192">
        <f>MRS!D7</f>
        <v>0</v>
      </c>
      <c r="E7" s="193"/>
      <c r="F7" s="194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90">
        <f>MRS!B8</f>
        <v>0</v>
      </c>
      <c r="C8" s="191"/>
      <c r="D8" s="192">
        <f>MRS!D8</f>
        <v>0</v>
      </c>
      <c r="E8" s="193"/>
      <c r="F8" s="194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90">
        <f>MRS!B9</f>
        <v>0</v>
      </c>
      <c r="C9" s="191"/>
      <c r="D9" s="192">
        <f>MRS!D9</f>
        <v>0</v>
      </c>
      <c r="E9" s="193"/>
      <c r="F9" s="194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90">
        <f>MRS!B10</f>
        <v>0</v>
      </c>
      <c r="C10" s="191"/>
      <c r="D10" s="192">
        <f>MRS!D10</f>
        <v>0</v>
      </c>
      <c r="E10" s="193"/>
      <c r="F10" s="194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90">
        <f>MRS!B11</f>
        <v>0</v>
      </c>
      <c r="C11" s="191"/>
      <c r="D11" s="192">
        <f>MRS!D11</f>
        <v>0</v>
      </c>
      <c r="E11" s="193"/>
      <c r="F11" s="194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5"/>
      <c r="C12" s="186"/>
      <c r="D12" s="187"/>
      <c r="E12" s="188"/>
      <c r="F12" s="189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5"/>
      <c r="C13" s="186"/>
      <c r="D13" s="187"/>
      <c r="E13" s="188"/>
      <c r="F13" s="189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5"/>
      <c r="C14" s="186"/>
      <c r="D14" s="187"/>
      <c r="E14" s="188"/>
      <c r="F14" s="189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5"/>
      <c r="C15" s="186"/>
      <c r="D15" s="187"/>
      <c r="E15" s="188"/>
      <c r="F15" s="189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5"/>
      <c r="C16" s="186"/>
      <c r="D16" s="187"/>
      <c r="E16" s="188"/>
      <c r="F16" s="189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5"/>
      <c r="C17" s="186"/>
      <c r="D17" s="187"/>
      <c r="E17" s="188"/>
      <c r="F17" s="189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25" zoomScale="130" zoomScaleNormal="100" zoomScaleSheetLayoutView="130" workbookViewId="0">
      <selection activeCell="P25" sqref="P2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109</v>
      </c>
      <c r="D9" s="35"/>
      <c r="E9" s="35"/>
    </row>
    <row r="10" spans="2:13" s="35" customFormat="1">
      <c r="B10" s="68"/>
      <c r="C10" s="35" t="s">
        <v>23</v>
      </c>
      <c r="D10" s="72" t="s">
        <v>110</v>
      </c>
      <c r="J10" s="35" t="s">
        <v>24</v>
      </c>
      <c r="K10" s="197">
        <f>MRS!L3</f>
        <v>46242</v>
      </c>
      <c r="L10" s="198"/>
      <c r="M10" s="198"/>
    </row>
    <row r="11" spans="2:13" s="35" customFormat="1">
      <c r="B11" s="68"/>
      <c r="C11" s="71" t="s">
        <v>25</v>
      </c>
      <c r="D11" s="72" t="s">
        <v>111</v>
      </c>
      <c r="J11" s="35" t="s">
        <v>26</v>
      </c>
      <c r="K11" s="199" t="str">
        <f>SUBSTITUTE(SUBSTITUTE(+MRS!A3,"  MRS No : ",""),"-MRS","-PO")</f>
        <v>SAC2-DS-PO-0358</v>
      </c>
      <c r="L11" s="199"/>
      <c r="M11" s="199"/>
    </row>
    <row r="12" spans="2:13" s="35" customFormat="1">
      <c r="B12" s="68"/>
      <c r="C12" s="71" t="s">
        <v>27</v>
      </c>
      <c r="D12" s="35" t="s">
        <v>112</v>
      </c>
      <c r="J12" s="35" t="s">
        <v>28</v>
      </c>
    </row>
    <row r="13" spans="2:13" s="35" customFormat="1">
      <c r="B13" s="68"/>
      <c r="C13" s="73"/>
      <c r="D13" s="72" t="s">
        <v>105</v>
      </c>
      <c r="J13" s="35" t="s">
        <v>29</v>
      </c>
    </row>
    <row r="14" spans="2:13" s="35" customFormat="1">
      <c r="B14" s="68"/>
      <c r="C14" s="73" t="s">
        <v>115</v>
      </c>
      <c r="J14" s="35" t="s">
        <v>30</v>
      </c>
      <c r="K14" s="35" t="s">
        <v>114</v>
      </c>
    </row>
    <row r="15" spans="2:13" s="35" customFormat="1">
      <c r="B15" s="68"/>
      <c r="C15" s="73" t="s">
        <v>106</v>
      </c>
      <c r="J15" s="35" t="s">
        <v>31</v>
      </c>
      <c r="K15" s="74">
        <v>46243</v>
      </c>
      <c r="L15" s="123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200" t="s">
        <v>32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</row>
    <row r="19" spans="2:13" ht="12" customHeight="1"/>
    <row r="20" spans="2:13" s="27" customFormat="1" ht="12" customHeight="1">
      <c r="B20" s="201" t="s">
        <v>33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</row>
    <row r="21" spans="2:13" s="27" customFormat="1" ht="12" customHeight="1">
      <c r="B21" s="201" t="s">
        <v>34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</row>
    <row r="22" spans="2:13" s="27" customFormat="1" ht="12" customHeight="1">
      <c r="B22" s="201" t="s">
        <v>35</v>
      </c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</row>
    <row r="23" spans="2:13" ht="6.95" customHeight="1"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</row>
    <row r="24" spans="2:13" ht="6.95" customHeight="1"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72" t="str">
        <f>MRS!B6&amp;" "&amp;MRS!D6</f>
        <v>BUS Ashok Leyland 64 Seater with driver model 2025</v>
      </c>
      <c r="M26" s="75" t="s">
        <v>37</v>
      </c>
    </row>
    <row r="27" spans="2:13" ht="12" customHeight="1">
      <c r="B27" s="28"/>
      <c r="C27" s="119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204" t="s">
        <v>90</v>
      </c>
      <c r="G29" s="204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204"/>
      <c r="G30" s="204"/>
    </row>
    <row r="31" spans="2:13" ht="12" customHeight="1">
      <c r="B31" s="28"/>
      <c r="C31" s="22" t="s">
        <v>42</v>
      </c>
      <c r="D31" s="31"/>
      <c r="E31" s="22" t="s">
        <v>40</v>
      </c>
      <c r="F31" s="204"/>
      <c r="G31" s="20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84</v>
      </c>
      <c r="P49" s="78"/>
    </row>
    <row r="50" spans="2:16" s="79" customFormat="1" ht="12" customHeight="1">
      <c r="B50" s="80" t="s">
        <v>56</v>
      </c>
      <c r="C50" s="77" t="s">
        <v>85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93</v>
      </c>
    </row>
    <row r="54" spans="2:16" ht="12" customHeight="1">
      <c r="B54" s="80" t="s">
        <v>56</v>
      </c>
      <c r="C54" s="120" t="s">
        <v>94</v>
      </c>
      <c r="F54" s="121" t="s">
        <v>116</v>
      </c>
      <c r="P54" s="22" t="str">
        <f>UPPER(F54)</f>
        <v>NEW SQUARE GENERAL CONTRACTING EST.</v>
      </c>
    </row>
    <row r="55" spans="2:16" ht="12" customHeight="1">
      <c r="B55" s="80" t="s">
        <v>56</v>
      </c>
      <c r="C55" s="120" t="s">
        <v>95</v>
      </c>
      <c r="F55" s="121" t="s">
        <v>117</v>
      </c>
    </row>
    <row r="56" spans="2:16" ht="12" customHeight="1">
      <c r="B56" s="80" t="s">
        <v>56</v>
      </c>
      <c r="C56" s="120" t="s">
        <v>96</v>
      </c>
      <c r="F56" s="121" t="s">
        <v>118</v>
      </c>
    </row>
    <row r="57" spans="2:16" ht="12" customHeight="1">
      <c r="B57" s="80" t="s">
        <v>56</v>
      </c>
      <c r="C57" s="120" t="s">
        <v>97</v>
      </c>
      <c r="F57" s="22" t="s">
        <v>119</v>
      </c>
    </row>
    <row r="58" spans="2:16" ht="12" customHeight="1">
      <c r="B58" s="80" t="s">
        <v>56</v>
      </c>
      <c r="C58" s="120" t="s">
        <v>98</v>
      </c>
      <c r="F58" s="22" t="s">
        <v>120</v>
      </c>
    </row>
    <row r="59" spans="2:16" ht="12" customHeight="1">
      <c r="B59" s="80" t="s">
        <v>56</v>
      </c>
      <c r="C59" s="120" t="s">
        <v>99</v>
      </c>
      <c r="F59" s="22" t="s">
        <v>100</v>
      </c>
    </row>
    <row r="60" spans="2:16" ht="12" customHeight="1">
      <c r="B60" s="80"/>
      <c r="C60" s="122" t="s">
        <v>101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Arshad Ibrahim</v>
      </c>
    </row>
    <row r="68" spans="1:13" ht="18" customHeight="1">
      <c r="B68" s="22" t="s">
        <v>62</v>
      </c>
      <c r="J68" s="22" t="s">
        <v>63</v>
      </c>
      <c r="K68" s="18" t="s">
        <v>113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91</v>
      </c>
      <c r="J70" s="205" t="str">
        <f>C9</f>
        <v>NSGC(New Square Gen. Cont. Est.)</v>
      </c>
      <c r="K70" s="205"/>
      <c r="L70" s="205"/>
      <c r="M70" s="205"/>
    </row>
    <row r="71" spans="1:13" ht="27.95" customHeight="1">
      <c r="A71" s="132" t="s">
        <v>66</v>
      </c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8" sqref="L8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SAC2-DS-PO-0358</v>
      </c>
      <c r="C2" s="137" t="s">
        <v>68</v>
      </c>
      <c r="D2" s="137"/>
      <c r="E2" s="137"/>
      <c r="F2" s="137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46242</v>
      </c>
      <c r="C3" s="47"/>
      <c r="D3" s="48"/>
      <c r="E3" s="138" t="s">
        <v>70</v>
      </c>
      <c r="F3" s="138"/>
      <c r="G3" s="138"/>
      <c r="H3" s="138"/>
      <c r="I3" s="49"/>
    </row>
    <row r="4" spans="1:13" s="51" customFormat="1" ht="28.5" customHeight="1" thickTop="1">
      <c r="A4" s="139" t="s">
        <v>71</v>
      </c>
      <c r="B4" s="141" t="s">
        <v>72</v>
      </c>
      <c r="C4" s="142"/>
      <c r="D4" s="145" t="s">
        <v>73</v>
      </c>
      <c r="E4" s="145" t="s">
        <v>74</v>
      </c>
      <c r="F4" s="147" t="str">
        <f>'PO 1st page'!C9</f>
        <v>NSGC(New Square Gen. Cont. Est.)</v>
      </c>
      <c r="G4" s="148"/>
      <c r="H4" s="149" t="s">
        <v>75</v>
      </c>
      <c r="K4" s="52"/>
      <c r="L4" s="52"/>
      <c r="M4" s="52"/>
    </row>
    <row r="5" spans="1:13" s="51" customFormat="1" ht="21.95" customHeight="1">
      <c r="A5" s="140"/>
      <c r="B5" s="143"/>
      <c r="C5" s="144"/>
      <c r="D5" s="146"/>
      <c r="E5" s="146"/>
      <c r="F5" s="53" t="s">
        <v>76</v>
      </c>
      <c r="G5" s="53" t="s">
        <v>42</v>
      </c>
      <c r="H5" s="150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35" t="str">
        <f>CONCATENATE(MRS!B6," ",MRS!D6)</f>
        <v>BUS Ashok Leyland 64 Seater with driver model 2025</v>
      </c>
      <c r="C6" s="136"/>
      <c r="D6" s="82" t="s">
        <v>107</v>
      </c>
      <c r="E6" s="83">
        <f>+'MRS LIST'!H6</f>
        <v>1</v>
      </c>
      <c r="F6" s="84">
        <f>+'MRS LIST'!I6</f>
        <v>11500</v>
      </c>
      <c r="G6" s="85">
        <f>+'MRS LIST'!J6</f>
        <v>11500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35"/>
      <c r="C7" s="136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35" t="str">
        <f>CONCATENATE(MRS!B8," ",MRS!D8)</f>
        <v xml:space="preserve"> </v>
      </c>
      <c r="C8" s="136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35"/>
      <c r="C9" s="136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135"/>
      <c r="C10" s="136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35"/>
      <c r="C11" s="136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133"/>
      <c r="C12" s="134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133"/>
      <c r="C13" s="134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133"/>
      <c r="C14" s="134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133"/>
      <c r="C15" s="134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133"/>
      <c r="C16" s="134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133"/>
      <c r="C17" s="134"/>
      <c r="D17" s="90"/>
      <c r="E17" s="91"/>
      <c r="F17" s="92"/>
      <c r="G17" s="93"/>
      <c r="H17" s="94"/>
    </row>
    <row r="18" spans="1:13" s="51" customFormat="1" ht="23.1" customHeight="1">
      <c r="A18" s="128" t="s">
        <v>77</v>
      </c>
      <c r="B18" s="129"/>
      <c r="C18" s="129"/>
      <c r="D18" s="129"/>
      <c r="E18" s="129"/>
      <c r="F18" s="129"/>
      <c r="G18" s="54">
        <f>SUM(G6:G17)</f>
        <v>11500</v>
      </c>
      <c r="H18" s="55"/>
    </row>
    <row r="19" spans="1:13" s="51" customFormat="1" ht="23.1" customHeight="1">
      <c r="A19" s="128" t="s">
        <v>41</v>
      </c>
      <c r="B19" s="129"/>
      <c r="C19" s="129"/>
      <c r="D19" s="129"/>
      <c r="E19" s="129"/>
      <c r="F19" s="129"/>
      <c r="G19" s="54">
        <f>+G18*0.15</f>
        <v>1725</v>
      </c>
      <c r="H19" s="55"/>
    </row>
    <row r="20" spans="1:13" s="51" customFormat="1" ht="24.95" customHeight="1" thickBot="1">
      <c r="A20" s="130" t="s">
        <v>78</v>
      </c>
      <c r="B20" s="131"/>
      <c r="C20" s="131"/>
      <c r="D20" s="131"/>
      <c r="E20" s="131"/>
      <c r="F20" s="131"/>
      <c r="G20" s="56">
        <f>G19+G18</f>
        <v>13225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QT-MPE-302724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2" t="s">
        <v>80</v>
      </c>
      <c r="B24" s="132"/>
      <c r="C24" s="132"/>
      <c r="D24" s="132"/>
      <c r="E24" s="132"/>
      <c r="F24" s="132"/>
      <c r="G24" s="132"/>
      <c r="H24" s="132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2026-08-10T08:43:41Z</cp:lastPrinted>
  <dcterms:created xsi:type="dcterms:W3CDTF">2024-10-20T11:50:19Z</dcterms:created>
  <dcterms:modified xsi:type="dcterms:W3CDTF">2026-08-10T12:25:38Z</dcterms:modified>
</cp:coreProperties>
</file>