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49BB9EE4-30EE-432B-A6B8-BF9873421EF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J7" i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<sst xmlns="http://schemas.openxmlformats.org/spreadsheetml/2006/main" count="158" uniqueCount="121">
  <si>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</si>
  <si>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</si>
  <si>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</si>
  <si>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</si>
  <si>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</si>
  <si>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</si>
  <si>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</si>
  <si>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</si>
  <si>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</si>
  <si>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</si>
  <si>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</si>
  <si>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</si>
  <si>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</si>
  <si>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</si>
  <si>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</si>
  <si>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</si>
  <si>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</si>
  <si>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</si>
  <si>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</si>
  <si>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</si>
  <si>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</si>
  <si>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</si>
  <si>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</si>
  <si>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</si>
  <si>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</si>
  <si>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</si>
  <si>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</si>
  <si>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</si>
  <si>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</si>
  <si>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</si>
  <si>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</si>
  <si>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</si>
  <si>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</si>
  <si>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</si>
  <si>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</si>
  <si>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</si>
  <si>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</si>
  <si>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</si>
  <si>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</si>
  <si>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</si>
  <si>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</si>
  <si>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</si>
  <si>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</si>
  <si>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</si>
  <si>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</si>
  <si>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</si>
  <si>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</si>
  <si>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</si>
  <si>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</si>
  <si>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</si>
  <si>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</si>
  <si>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</si>
  <si>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</si>
  <si>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</si>
  <si>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</si>
  <si>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</si>
  <si>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</si>
  <si>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</si>
  <si>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</si>
  <si>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</si>
  <si>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</si>
  <si>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</si>
  <si>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</si>
  <si>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</si>
  <si>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</si>
  <si>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</si>
  <si>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</si>
  <si>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</si>
  <si>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</si>
  <si>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</si>
  <si>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</si>
  <si>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</si>
  <si>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</si>
  <si>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</si>
  <si>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</si>
  <si>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</si>
  <si>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</si>
  <si>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</si>
  <si>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</si>
  <si>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</si>
  <si>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</si>
  <si>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</si>
  <si>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</si>
  <si>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</si>
  <si>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</si>
  <si>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</si>
  <si>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</si>
  <si>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</si>
  <si>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</si>
  <si>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</si>
  <si>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</si>
  <si>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</si>
  <si>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</si>
  <si>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</si>
  <si>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</si>
  <si>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</si>
  <si>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</si>
  <si>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</si>
  <si>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</si>
  <si>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</si>
  <si>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</si>
  <si>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</si>
  <si>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</si>
  <si>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</si>
  <si>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</si>
  <si>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</si>
  <si>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-MRS-0089</t>
    </r>
  </si>
  <si>
    <t>QC Inspector - Welding</t>
  </si>
  <si>
    <t>Aramco Approved</t>
  </si>
  <si>
    <t>CORE</t>
  </si>
  <si>
    <t>QC Inspector - Piping</t>
  </si>
  <si>
    <t>QTN/Daeshin/800/25-CTG-00</t>
  </si>
  <si>
    <t>QC Inspector - Welding &amp; Piping (Aramco Approved)</t>
  </si>
  <si>
    <t>Libin Haridas</t>
  </si>
  <si>
    <t>Mobile No. +966 50 0289222 / email: azmal@eleganceksa.com</t>
  </si>
  <si>
    <t>P.O. Box 11586 Al Jubail 31961</t>
  </si>
  <si>
    <t>Mobile: +966 50 0289222</t>
  </si>
  <si>
    <t>2055009921</t>
  </si>
  <si>
    <t>Marketing Manager</t>
  </si>
  <si>
    <t>CORE(Core Team General Contracting Co. LLC)</t>
  </si>
  <si>
    <t>310488294700003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</si>
</sst>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160420</xdr:colOff>
          <xdr:row>17</xdr:row>
          <xdr:rowOff>0</xdr:rowOff>
        </xdr:from>
        <xdr:to>
          <xdr:col>12</xdr:col>
          <xdr:colOff>10525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76999" y="4983079"/>
              <a:ext cx="364005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106</v>
      </c>
      <c r="B3" s="100"/>
      <c r="C3" s="100"/>
      <c r="D3" s="100"/>
      <c r="E3" s="131">
        <f>+L3</f>
        <v>45833</v>
      </c>
      <c r="F3" s="131"/>
      <c r="G3" s="131"/>
      <c r="H3" s="131"/>
      <c r="I3" s="131"/>
      <c r="J3" s="100"/>
      <c r="K3" s="100"/>
      <c r="L3" s="121">
        <v>45833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107</v>
      </c>
      <c r="C6" s="145"/>
      <c r="D6" s="146" t="s">
        <v>108</v>
      </c>
      <c r="E6" s="147"/>
      <c r="F6" s="148"/>
      <c r="G6" s="110" t="s">
        <v>102</v>
      </c>
      <c r="H6" s="111">
        <v>1</v>
      </c>
      <c r="I6" s="112">
        <v>90</v>
      </c>
      <c r="J6" s="112">
        <f>I6*H6</f>
        <v>90</v>
      </c>
      <c r="K6" s="113" t="s">
        <v>109</v>
      </c>
      <c r="L6" s="114" t="s">
        <v>103</v>
      </c>
      <c r="S6" s="105"/>
    </row>
    <row r="7" spans="1:19" ht="22.5" customHeight="1">
      <c r="A7" s="5">
        <f t="shared" si="0"/>
        <v>2</v>
      </c>
      <c r="B7" s="144" t="s">
        <v>110</v>
      </c>
      <c r="C7" s="145"/>
      <c r="D7" s="146" t="s">
        <v>108</v>
      </c>
      <c r="E7" s="147"/>
      <c r="F7" s="148"/>
      <c r="G7" s="110" t="s">
        <v>102</v>
      </c>
      <c r="H7" s="111">
        <v>1</v>
      </c>
      <c r="I7" s="112">
        <v>90</v>
      </c>
      <c r="J7" s="112">
        <f>I7*H7</f>
        <v>90</v>
      </c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180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SAC2-DS-MRS-0089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45833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QC Inspector - Welding</v>
      </c>
      <c r="C6" s="162"/>
      <c r="D6" s="163" t="str">
        <f>MRS!D6</f>
        <v>Aramco Approved</v>
      </c>
      <c r="E6" s="164"/>
      <c r="F6" s="165"/>
      <c r="G6" s="102" t="str">
        <f>MRS!G6</f>
        <v>HR</v>
      </c>
      <c r="H6" s="102">
        <f>MRS!H6</f>
        <v>1</v>
      </c>
      <c r="I6" s="103">
        <f>MRS!I6</f>
        <v>90</v>
      </c>
      <c r="J6" s="103">
        <f>MRS!J6</f>
        <v>90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 t="str">
        <f>MRS!B7</f>
        <v>QC Inspector - Piping</v>
      </c>
      <c r="C7" s="162"/>
      <c r="D7" s="163" t="str">
        <f>MRS!D7</f>
        <v>Aramco Approved</v>
      </c>
      <c r="E7" s="164"/>
      <c r="F7" s="165"/>
      <c r="G7" s="102" t="str">
        <f>MRS!G7</f>
        <v>HR</v>
      </c>
      <c r="H7" s="102">
        <f>MRS!H7</f>
        <v>1</v>
      </c>
      <c r="I7" s="103">
        <f>MRS!I7</f>
        <v>90</v>
      </c>
      <c r="J7" s="103">
        <f>MRS!J7</f>
        <v>90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D12" sqref="D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105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119</v>
      </c>
      <c r="D9" s="38"/>
      <c r="E9" s="38"/>
    </row>
    <row r="10" spans="2:13" s="38" customFormat="1">
      <c r="B10" s="71"/>
      <c r="C10" s="38" t="s">
        <v>32</v>
      </c>
      <c r="D10" s="75" t="s">
        <v>117</v>
      </c>
      <c r="J10" s="38" t="s">
        <v>33</v>
      </c>
      <c r="K10" s="172">
        <f>MRS!L3</f>
        <v>45833</v>
      </c>
      <c r="L10" s="173"/>
      <c r="M10" s="173"/>
    </row>
    <row r="11" spans="2:13" s="38" customFormat="1">
      <c r="B11" s="71"/>
      <c r="C11" s="74" t="s">
        <v>34</v>
      </c>
      <c r="D11" s="75" t="s">
        <v>120</v>
      </c>
      <c r="J11" s="38" t="s">
        <v>35</v>
      </c>
      <c r="K11" s="174" t="str">
        <f>SUBSTITUTE(SUBSTITUTE(+MRS!A3,"  MRS No : ",""),"-MRS","-PO")</f>
        <v>SAC2-DS-PO-0089</v>
      </c>
      <c r="L11" s="174"/>
      <c r="M11" s="174"/>
    </row>
    <row r="12" spans="2:13" s="38" customFormat="1">
      <c r="B12" s="71"/>
      <c r="C12" s="74" t="s">
        <v>36</v>
      </c>
      <c r="D12" s="38" t="s">
        <v>113</v>
      </c>
      <c r="J12" s="38" t="s">
        <v>37</v>
      </c>
    </row>
    <row r="13" spans="2:13" s="38" customFormat="1">
      <c r="B13" s="71"/>
      <c r="C13" s="76"/>
      <c r="D13" s="75" t="s">
        <v>114</v>
      </c>
      <c r="J13" s="38" t="s">
        <v>38</v>
      </c>
    </row>
    <row r="14" spans="2:13" s="38" customFormat="1">
      <c r="B14" s="71"/>
      <c r="C14" s="76" t="s">
        <v>115</v>
      </c>
      <c r="J14" s="38" t="s">
        <v>39</v>
      </c>
      <c r="K14" s="38" t="s">
        <v>111</v>
      </c>
    </row>
    <row r="15" spans="2:13" s="38" customFormat="1">
      <c r="B15" s="71"/>
      <c r="C15" s="76" t="s">
        <v>116</v>
      </c>
      <c r="J15" s="38" t="s">
        <v>40</v>
      </c>
      <c r="K15" s="77">
        <v>45833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112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103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Libin Haridas</v>
      </c>
    </row>
    <row r="60" spans="1:16" ht="18" customHeight="1">
      <c r="B60" s="26" t="s">
        <v>71</v>
      </c>
      <c r="J60" s="26" t="s">
        <v>72</v>
      </c>
      <c r="K60" s="22" t="s">
        <v>118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104</v>
      </c>
      <c r="J62" s="179" t="str">
        <f>C9</f>
        <v>CORE(Core Team General Contracting Co. LLC)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SAC2-DS-PO-0089</v>
      </c>
      <c r="C2" s="182" t="s">
        <v>77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45833</v>
      </c>
      <c r="C3" s="50"/>
      <c r="D3" s="51"/>
      <c r="E3" s="183" t="s">
        <v>79</v>
      </c>
      <c r="F3" s="183"/>
      <c r="G3" s="183"/>
      <c r="H3" s="183"/>
      <c r="I3" s="52"/>
    </row>
    <row r="4" spans="1:13" s="54" customFormat="1" ht="28.5" customHeight="1" thickTop="1">
      <c r="A4" s="184" t="s">
        <v>80</v>
      </c>
      <c r="B4" s="186" t="s">
        <v>81</v>
      </c>
      <c r="C4" s="187"/>
      <c r="D4" s="190" t="s">
        <v>82</v>
      </c>
      <c r="E4" s="190" t="s">
        <v>83</v>
      </c>
      <c r="F4" s="192" t="str">
        <f>'PO 1st page'!C9</f>
        <v>CORE(Core Team General Contracting Co. LLC)</v>
      </c>
      <c r="G4" s="193"/>
      <c r="H4" s="194" t="s">
        <v>84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85</v>
      </c>
      <c r="G5" s="56" t="s">
        <v>51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+'MRS LIST'!B6</f>
        <v>QC Inspector - Welding</v>
      </c>
      <c r="C6" s="181"/>
      <c r="D6" s="85" t="str">
        <f>+'MRS LIST'!G6</f>
        <v>HR</v>
      </c>
      <c r="E6" s="86">
        <f>+'MRS LIST'!H6</f>
        <v>1</v>
      </c>
      <c r="F6" s="87">
        <f>+'MRS LIST'!I6</f>
        <v>90</v>
      </c>
      <c r="G6" s="88">
        <f>+'MRS LIST'!J6</f>
        <v>90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 t="str">
        <f>+'MRS LIST'!B7</f>
        <v>QC Inspector - Piping</v>
      </c>
      <c r="C7" s="181"/>
      <c r="D7" s="85" t="str">
        <f>+'MRS LIST'!G7</f>
        <v>HR</v>
      </c>
      <c r="E7" s="86">
        <f>+'MRS LIST'!H7</f>
        <v>1</v>
      </c>
      <c r="F7" s="87">
        <f>+'MRS LIST'!I7</f>
        <v>90</v>
      </c>
      <c r="G7" s="88">
        <f>+'MRS LIST'!J7</f>
        <v>90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86</v>
      </c>
      <c r="B18" s="197"/>
      <c r="C18" s="197"/>
      <c r="D18" s="197"/>
      <c r="E18" s="197"/>
      <c r="F18" s="197"/>
      <c r="G18" s="57">
        <f>SUM(G6:G17)</f>
        <v>180</v>
      </c>
      <c r="H18" s="58"/>
    </row>
    <row r="19" spans="1:13" s="54" customFormat="1" ht="23.1" customHeight="1">
      <c r="A19" s="196" t="s">
        <v>50</v>
      </c>
      <c r="B19" s="197"/>
      <c r="C19" s="197"/>
      <c r="D19" s="197"/>
      <c r="E19" s="197"/>
      <c r="F19" s="197"/>
      <c r="G19" s="57">
        <f>+G18*0.15</f>
        <v>27</v>
      </c>
      <c r="H19" s="58"/>
    </row>
    <row r="20" spans="1:13" s="54" customFormat="1" ht="24.95" customHeight="1" thickBot="1">
      <c r="A20" s="198" t="s">
        <v>87</v>
      </c>
      <c r="B20" s="199"/>
      <c r="C20" s="199"/>
      <c r="D20" s="199"/>
      <c r="E20" s="199"/>
      <c r="F20" s="199"/>
      <c r="G20" s="59">
        <f>G19+G18</f>
        <v>207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QTN/Daeshin/800/25-CTG-00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2025-07-03T14:20:32Z</cp:lastPrinted>
  <dcterms:created xsi:type="dcterms:W3CDTF">2024-10-20T11:50:19Z</dcterms:created>
  <dcterms:modified xsi:type="dcterms:W3CDTF">2025-07-03T14:24:50Z</dcterms:modified>
</cp:coreProperties>
</file>