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9DFAFB28-595E-439D-A7C4-48967A60657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MRS!$A$1:$L$85</definedName>
    <definedName name="_xlnm.Print_Area" localSheetId="1">'MRS LIST'!$A$1:$K$43</definedName>
    <definedName name="_xlnm.Print_Area" localSheetId="2">'PO 1st page'!$A$1:$N$71</definedName>
    <definedName name="_xlnm.Print_Area" localSheetId="3">'PO 2nd page'!$A$1:$H$83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4" l="1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34" i="2" s="1"/>
  <c r="I34" i="2"/>
  <c r="H34" i="2"/>
  <c r="G34" i="2"/>
  <c r="I33" i="2"/>
  <c r="H33" i="2"/>
  <c r="G33" i="2"/>
  <c r="I32" i="2"/>
  <c r="H32" i="2"/>
  <c r="G32" i="2"/>
  <c r="J31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A33" i="2"/>
  <c r="A31" i="1"/>
  <c r="A30" i="1"/>
  <c r="A29" i="1"/>
  <c r="A28" i="1"/>
  <c r="A27" i="1"/>
  <c r="A26" i="1"/>
  <c r="A26" i="2" s="1"/>
  <c r="A25" i="1"/>
  <c r="A24" i="1"/>
  <c r="A23" i="1"/>
  <c r="A22" i="1"/>
  <c r="A21" i="1"/>
  <c r="A20" i="1"/>
  <c r="A19" i="1"/>
  <c r="A18" i="1"/>
  <c r="A17" i="1"/>
  <c r="A16" i="1"/>
  <c r="A15" i="1"/>
  <c r="A15" i="2" s="1"/>
  <c r="A14" i="1"/>
  <c r="A14" i="2" s="1"/>
  <c r="A13" i="1"/>
  <c r="A13" i="2" s="1"/>
  <c r="A12" i="1"/>
  <c r="A11" i="1"/>
  <c r="A11" i="2" s="1"/>
  <c r="A10" i="1"/>
  <c r="A9" i="1"/>
  <c r="A8" i="1"/>
  <c r="A8" i="2" s="1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A32" i="2"/>
  <c r="A31" i="2"/>
  <c r="A30" i="2"/>
  <c r="A29" i="2"/>
  <c r="A28" i="2"/>
  <c r="A27" i="2"/>
  <c r="A25" i="2"/>
  <c r="A24" i="2"/>
  <c r="A23" i="2"/>
  <c r="A22" i="2"/>
  <c r="A21" i="2"/>
  <c r="A20" i="2"/>
  <c r="A19" i="2"/>
  <c r="A18" i="2"/>
  <c r="A17" i="2"/>
  <c r="A16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12" i="2"/>
  <c r="A10" i="2"/>
  <c r="A9" i="2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J76" i="1"/>
  <c r="J34" i="2" s="1"/>
  <c r="J75" i="1"/>
  <c r="J33" i="2" s="1"/>
  <c r="J32" i="1"/>
  <c r="J32" i="2" s="1"/>
  <c r="J31" i="1"/>
  <c r="J30" i="1"/>
  <c r="J30" i="2" s="1"/>
  <c r="J29" i="1"/>
  <c r="J29" i="2" s="1"/>
  <c r="J28" i="1"/>
  <c r="J28" i="2" s="1"/>
  <c r="J27" i="1"/>
  <c r="J27" i="2" s="1"/>
  <c r="J26" i="1"/>
  <c r="J26" i="2" s="1"/>
  <c r="J25" i="1"/>
  <c r="J25" i="2" s="1"/>
  <c r="J24" i="1"/>
  <c r="J24" i="2" s="1"/>
  <c r="J23" i="1"/>
  <c r="J23" i="2" s="1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A7" i="1"/>
  <c r="H6" i="4"/>
  <c r="A15" i="4"/>
  <c r="A14" i="4"/>
  <c r="A13" i="4"/>
  <c r="A12" i="4"/>
  <c r="A11" i="4"/>
  <c r="A10" i="4"/>
  <c r="A9" i="4"/>
  <c r="A8" i="4"/>
  <c r="J6" i="1"/>
  <c r="B6" i="4"/>
  <c r="A6" i="1"/>
  <c r="E3" i="1"/>
  <c r="F6" i="4"/>
  <c r="E6" i="4"/>
  <c r="D6" i="4"/>
  <c r="J77" i="1" l="1"/>
  <c r="P54" i="3"/>
  <c r="G6" i="4" l="1"/>
  <c r="B7" i="2"/>
  <c r="B8" i="2"/>
  <c r="K67" i="3" l="1"/>
  <c r="K10" i="3" l="1"/>
  <c r="A80" i="4" l="1"/>
  <c r="I6" i="2"/>
  <c r="H6" i="2"/>
  <c r="G6" i="2"/>
  <c r="D6" i="2"/>
  <c r="B6" i="2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2"/>
  <c r="A6" i="2"/>
  <c r="J6" i="2" l="1"/>
  <c r="G78" i="4" l="1"/>
  <c r="F30" i="3" s="1"/>
  <c r="F29" i="3"/>
  <c r="G79" i="4" l="1"/>
  <c r="F31" i="3" s="1"/>
</calcChain>
</file>

<file path=xl/sharedStrings.xml><?xml version="1.0" encoding="utf-8"?>
<sst xmlns="http://schemas.openxmlformats.org/spreadsheetml/2006/main" count="355" uniqueCount="244">
  <si>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</si>
  <si>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</si>
  <si>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</si>
  <si>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</si>
  <si>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</si>
  <si>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</si>
  <si>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</si>
  <si>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</si>
  <si>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</si>
  <si>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</si>
  <si>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</si>
  <si>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</si>
  <si>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</si>
  <si>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</si>
  <si>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</si>
  <si>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</si>
  <si>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</si>
  <si>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</si>
  <si>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</si>
  <si>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</si>
  <si>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</si>
  <si>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</si>
  <si>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</si>
  <si>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</si>
  <si>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</si>
  <si>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</si>
  <si>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</si>
  <si>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</si>
  <si>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</si>
  <si>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</si>
  <si>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</si>
  <si>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</si>
  <si>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</si>
  <si>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</si>
  <si>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</si>
  <si>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</si>
  <si>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</si>
  <si>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</si>
  <si>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</si>
  <si>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</si>
  <si>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</si>
  <si>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</si>
  <si>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</si>
  <si>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</si>
  <si>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</si>
  <si>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</si>
  <si>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</si>
  <si>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</si>
  <si>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</si>
  <si>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</si>
  <si>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</si>
  <si>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</si>
  <si>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</si>
  <si>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</si>
  <si>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</si>
  <si>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</si>
  <si>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</si>
  <si>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</si>
  <si>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</si>
  <si>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</si>
  <si>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</si>
  <si>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</si>
  <si>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</si>
  <si>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</si>
  <si>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</si>
  <si>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</si>
  <si>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</si>
  <si>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</si>
  <si>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</si>
  <si>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</si>
  <si>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</si>
  <si>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</si>
  <si>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</si>
  <si>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</si>
  <si>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</si>
  <si>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</si>
  <si>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</si>
  <si>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</si>
  <si>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</si>
  <si>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</si>
  <si>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</si>
  <si>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</si>
  <si>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</si>
  <si>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</si>
  <si>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</si>
  <si>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</si>
  <si>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</si>
  <si>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</si>
  <si>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</si>
  <si>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</si>
  <si>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</si>
  <si>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</si>
  <si>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</si>
  <si>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</si>
  <si>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</si>
  <si>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</si>
  <si>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</si>
  <si>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</si>
  <si>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</si>
  <si>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</si>
  <si>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</si>
  <si>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</si>
  <si>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</si>
  <si>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</si>
  <si>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</si>
  <si>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</si>
  <si>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</si>
  <si>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</si>
  <si>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</si>
  <si>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</si>
  <si>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</si>
  <si>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</si>
  <si>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</si>
  <si>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</si>
  <si>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</si>
  <si>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</si>
  <si>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</si>
  <si>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</si>
  <si>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</si>
  <si>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</si>
  <si>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</si>
  <si>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</si>
  <si>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</si>
  <si>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</si>
  <si>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</si>
  <si>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</si>
  <si>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</si>
  <si>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</si>
  <si>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</si>
  <si>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ALROMOZ ALFANIAH EST.</t>
  </si>
  <si>
    <t>BOX</t>
  </si>
  <si>
    <t>PKT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</si>
  <si>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-MRS-0477</t>
    </r>
  </si>
  <si>
    <t>TP SWITCH - 8 PORT</t>
  </si>
  <si>
    <t>TIME CARD</t>
  </si>
  <si>
    <t>TIMECARD HOLDER</t>
  </si>
  <si>
    <t>EXTENSION BOARD- LEGRAND</t>
  </si>
  <si>
    <t>KONICA C361i PRINTER - DRUM (Y M C)</t>
  </si>
  <si>
    <t>RICOH C6003 - TONER</t>
  </si>
  <si>
    <t>XEROX C7030 - TONER</t>
  </si>
  <si>
    <t xml:space="preserve">XEROX C7030 </t>
  </si>
  <si>
    <t>XEROX C7030 - DRUM UNIT</t>
  </si>
  <si>
    <t>XEROX B7030 - B&amp;W PRINTER</t>
  </si>
  <si>
    <t>TOSHIBA 6525AC - TONER</t>
  </si>
  <si>
    <t>CANON IMAGE RUNNER C5550 - BLACK TONER</t>
  </si>
  <si>
    <t>CANON IMAGE RUNNER C5550 - YELLOW TONER</t>
  </si>
  <si>
    <t>CANON IMAGE RUNNER C5550 - CYAN TONER</t>
  </si>
  <si>
    <t>CANON IMAGE RUNNER C5550 - MAGENTA TONER</t>
  </si>
  <si>
    <t>CANON IMAGE RUNNER C5550 - DRUM UNIT</t>
  </si>
  <si>
    <t>CANON IMAGE RUNNER C5550 - WASTE TONER BOX</t>
  </si>
  <si>
    <t>A4 PAPER - OMNIA</t>
  </si>
  <si>
    <t>A3 PAPER</t>
  </si>
  <si>
    <t>OFFICE CHAIR</t>
  </si>
  <si>
    <t>MANAGER CHAIR</t>
  </si>
  <si>
    <t>HAND JET SPRAY</t>
  </si>
  <si>
    <t>IGLOO TAPS</t>
  </si>
  <si>
    <t>GARBAGE BAG - 25 KGS</t>
  </si>
  <si>
    <t>FLOOR CLEANING LIQUID</t>
  </si>
  <si>
    <t>CHAIR WHEELS</t>
  </si>
  <si>
    <t>ERASER</t>
  </si>
  <si>
    <t>SHARPNER</t>
  </si>
  <si>
    <t>HIGHLIGHTERS - YELLOW</t>
  </si>
  <si>
    <t>HIGHLIGHTERS - RED</t>
  </si>
  <si>
    <t>HIGHLIGHTERS - GREEN</t>
  </si>
  <si>
    <t>PAPER CLIPS - 28 MM</t>
  </si>
  <si>
    <t>PAPER CLIPS - 32 MM</t>
  </si>
  <si>
    <t>RUBBER BANDS - SMALL PKT</t>
  </si>
  <si>
    <t>PERMENENT MARKER - BLACK</t>
  </si>
  <si>
    <t>PERMENENT MARKER - BLUE</t>
  </si>
  <si>
    <t>PERMENENT MARKER - RED</t>
  </si>
  <si>
    <t>BINDER CLIP - 15 MM</t>
  </si>
  <si>
    <t>BINDER CLIP - 19 MM</t>
  </si>
  <si>
    <t>BINDER CLIP - 25 MM</t>
  </si>
  <si>
    <t>BINDER CLIP - 32 MM</t>
  </si>
  <si>
    <t>DIARY - A5</t>
  </si>
  <si>
    <t>DIARY - A6</t>
  </si>
  <si>
    <t>DIARY - A7 - POCKET DIARY</t>
  </si>
  <si>
    <t>METALLIC SCALE - 30 CMS</t>
  </si>
  <si>
    <t>A3 BOX FILE</t>
  </si>
  <si>
    <t>A4 BOX FILE</t>
  </si>
  <si>
    <t>CORRECTION PEN</t>
  </si>
  <si>
    <t>WHITNER - TAPE TYPE</t>
  </si>
  <si>
    <t>KEY CHAIN</t>
  </si>
  <si>
    <t>A4 LABLE STICKERS</t>
  </si>
  <si>
    <t>A3 LAMINATION SHEETS</t>
  </si>
  <si>
    <t>A4 LAMINATION SHEETS</t>
  </si>
  <si>
    <t>SENSODYNE SOFT BRUSH</t>
  </si>
  <si>
    <t>FACIAL TISSUE - 3 LAYERS</t>
  </si>
  <si>
    <t>TEA BAGS - RABEA</t>
  </si>
  <si>
    <t>NES COFFEE</t>
  </si>
  <si>
    <t>WATER - 1.5 LTRS</t>
  </si>
  <si>
    <t>BREAD</t>
  </si>
  <si>
    <t>AMPLIFLIER</t>
  </si>
  <si>
    <t>CLEAR GLASS</t>
  </si>
  <si>
    <t>DARK GLASS</t>
  </si>
  <si>
    <t>tp link</t>
  </si>
  <si>
    <t>BST,100PCS B862</t>
  </si>
  <si>
    <t>DR316 COLOR DRUM UNIT</t>
  </si>
  <si>
    <t>CYAN</t>
  </si>
  <si>
    <t>MAGENTA</t>
  </si>
  <si>
    <t>YELLOW</t>
  </si>
  <si>
    <t>BLACK</t>
  </si>
  <si>
    <t>006R01829 - CYAN</t>
  </si>
  <si>
    <t>006R01830 - MAGENTA</t>
  </si>
  <si>
    <t>006R01831 - YELLOW</t>
  </si>
  <si>
    <t>006R01828 - BLACK</t>
  </si>
  <si>
    <t>WASTE CATRIDGE - R5</t>
  </si>
  <si>
    <t>DRUM UNIT</t>
  </si>
  <si>
    <t>006R01819 - BLACK TONER</t>
  </si>
  <si>
    <t>T-FC425P-K-M (BLACK)</t>
  </si>
  <si>
    <t>T-FC425P-C-M (CYAN)</t>
  </si>
  <si>
    <t>T-FC425P-M-M (MEGANTA)</t>
  </si>
  <si>
    <t>T-FC425P-Y-M (YELLOW)</t>
  </si>
  <si>
    <t>C-EXV 51 BLACK TONER</t>
  </si>
  <si>
    <t>C-EXV 51 YELLOW TONER</t>
  </si>
  <si>
    <t>C-EXV 51 CYAN TONER</t>
  </si>
  <si>
    <t>C-EXV 51 MAGENTA TONER</t>
  </si>
  <si>
    <t>C-EXV 51 DRUM UNIT</t>
  </si>
  <si>
    <t>WT-202</t>
  </si>
  <si>
    <t>80 GSM 5 REAMS/ BOX</t>
  </si>
  <si>
    <t>neckless</t>
  </si>
  <si>
    <t>STEEL,BOGAATI ITALY</t>
  </si>
  <si>
    <t>SMALL 200 / BIG 200</t>
  </si>
  <si>
    <t>BIG SIZE</t>
  </si>
  <si>
    <t>DAC - 3 LTRS</t>
  </si>
  <si>
    <t>1*4 / PKT</t>
  </si>
  <si>
    <t>1*10/ PKT</t>
  </si>
  <si>
    <t>100/ PKT</t>
  </si>
  <si>
    <t>1*12/ PKT deli</t>
  </si>
  <si>
    <t>12PKTS/ BOX</t>
  </si>
  <si>
    <t>1*30 FILES/ BOX lotus</t>
  </si>
  <si>
    <t>1*12 FILES/ BOX</t>
  </si>
  <si>
    <t>1*12/PKT</t>
  </si>
  <si>
    <t>100 SHEETS/ PKT</t>
  </si>
  <si>
    <t>deluxe 100 SHEETS/ PKT</t>
  </si>
  <si>
    <t>10 BOXES/ PKT</t>
  </si>
  <si>
    <t>190gm</t>
  </si>
  <si>
    <t>60W</t>
  </si>
  <si>
    <t>BAGS</t>
  </si>
  <si>
    <t>BOTTEL</t>
  </si>
  <si>
    <t>PKTS</t>
  </si>
  <si>
    <t>JAR</t>
  </si>
  <si>
    <t>QUO-MAT-26092006</t>
  </si>
  <si>
    <t>Office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</si>
</sst>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0" fontId="2" fillId="0" borderId="12" xfId="0" quotePrefix="1" applyFont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169" fontId="58" fillId="0" borderId="7" xfId="3" applyNumberFormat="1" applyFont="1" applyBorder="1" applyAlignment="1">
      <alignment horizontal="right"/>
    </xf>
    <xf numFmtId="0" fontId="2" fillId="0" borderId="41" xfId="6" quotePrefix="1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1022685</xdr:colOff>
          <xdr:row>78</xdr:row>
          <xdr:rowOff>33589</xdr:rowOff>
        </xdr:from>
        <xdr:to>
          <xdr:col>11</xdr:col>
          <xdr:colOff>1387142</xdr:colOff>
          <xdr:row>84</xdr:row>
          <xdr:rowOff>271715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81:$Y$86" spid="_x0000_s13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14764" y="4806115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13"/>
  <sheetViews>
    <sheetView showGridLines="0" tabSelected="1" view="pageBreakPreview" zoomScale="95" zoomScaleNormal="95" zoomScaleSheetLayoutView="95" workbookViewId="0">
      <selection activeCell="D6" sqref="D6"/>
    </sheetView>
  </sheetViews>
  <sheetFormatPr defaultColWidth="9" defaultRowHeight="21" customHeight="1"/>
  <cols>
    <col min="1" max="1" width="3.7109375" style="2" customWidth="1"/>
    <col min="2" max="2" width="21.5703125" style="2" customWidth="1"/>
    <col min="3" max="3" width="24.42578125" style="2" customWidth="1"/>
    <col min="4" max="6" width="13.5703125" style="2" customWidth="1"/>
    <col min="7" max="7" width="8.42578125" style="2" bestFit="1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127</v>
      </c>
      <c r="B1" s="122"/>
      <c r="C1" s="92"/>
      <c r="D1" s="92"/>
      <c r="E1" s="92"/>
      <c r="F1" s="92"/>
      <c r="G1" s="1"/>
      <c r="J1" s="126" t="s">
        <v>81</v>
      </c>
      <c r="K1" s="127"/>
      <c r="L1" s="128"/>
    </row>
    <row r="2" spans="1:19" ht="20.100000000000001" customHeight="1">
      <c r="A2" s="3" t="s">
        <v>1</v>
      </c>
      <c r="B2" s="86"/>
      <c r="C2" s="86"/>
      <c r="D2" s="3" t="s">
        <v>128</v>
      </c>
      <c r="E2" s="86"/>
      <c r="F2" s="86"/>
      <c r="G2" s="86"/>
      <c r="H2" s="86"/>
      <c r="I2" s="4"/>
      <c r="J2" s="129" t="s">
        <v>92</v>
      </c>
      <c r="K2" s="130"/>
      <c r="L2" s="131"/>
    </row>
    <row r="3" spans="1:19" ht="20.100000000000001" customHeight="1">
      <c r="A3" s="3" t="s">
        <v>132</v>
      </c>
      <c r="B3" s="86"/>
      <c r="C3" s="86"/>
      <c r="D3" s="86"/>
      <c r="E3" s="132">
        <f>+L3+3</f>
        <v>46299</v>
      </c>
      <c r="F3" s="132"/>
      <c r="G3" s="132"/>
      <c r="H3" s="132"/>
      <c r="I3" s="132"/>
      <c r="J3" s="86"/>
      <c r="K3" s="86"/>
      <c r="L3" s="185">
        <v>46296</v>
      </c>
      <c r="M3" s="4"/>
    </row>
    <row r="4" spans="1:19" ht="21.75" customHeight="1">
      <c r="A4" s="124" t="s">
        <v>2</v>
      </c>
      <c r="B4" s="125" t="s">
        <v>3</v>
      </c>
      <c r="C4" s="125"/>
      <c r="D4" s="124" t="s">
        <v>4</v>
      </c>
      <c r="E4" s="124"/>
      <c r="F4" s="124"/>
      <c r="G4" s="125" t="s">
        <v>5</v>
      </c>
      <c r="H4" s="124" t="s">
        <v>6</v>
      </c>
      <c r="I4" s="124" t="s">
        <v>85</v>
      </c>
      <c r="J4" s="124" t="s">
        <v>86</v>
      </c>
      <c r="K4" s="124" t="s">
        <v>0</v>
      </c>
      <c r="L4" s="125" t="s">
        <v>7</v>
      </c>
    </row>
    <row r="5" spans="1:19" ht="21.75" customHeight="1">
      <c r="A5" s="124"/>
      <c r="B5" s="125"/>
      <c r="C5" s="125"/>
      <c r="D5" s="124"/>
      <c r="E5" s="124"/>
      <c r="F5" s="124"/>
      <c r="G5" s="125"/>
      <c r="H5" s="124"/>
      <c r="I5" s="124"/>
      <c r="J5" s="124"/>
      <c r="K5" s="124"/>
      <c r="L5" s="125"/>
    </row>
    <row r="6" spans="1:19" ht="22.5" customHeight="1">
      <c r="A6" s="96">
        <f t="shared" ref="A6:A69" si="0">ROW(A1)</f>
        <v>1</v>
      </c>
      <c r="B6" s="111" t="s">
        <v>133</v>
      </c>
      <c r="C6" s="112"/>
      <c r="D6" s="114" t="s">
        <v>195</v>
      </c>
      <c r="E6" s="114"/>
      <c r="F6" s="112"/>
      <c r="G6" s="97" t="s">
        <v>88</v>
      </c>
      <c r="H6" s="98">
        <v>2</v>
      </c>
      <c r="I6" s="99">
        <v>86</v>
      </c>
      <c r="J6" s="99">
        <f>+I6*H6</f>
        <v>172</v>
      </c>
      <c r="K6" s="100" t="s">
        <v>89</v>
      </c>
      <c r="L6" s="123" t="s">
        <v>94</v>
      </c>
      <c r="S6" s="91"/>
    </row>
    <row r="7" spans="1:19" ht="22.5" customHeight="1">
      <c r="A7" s="96">
        <f t="shared" si="0"/>
        <v>2</v>
      </c>
      <c r="B7" s="111" t="s">
        <v>134</v>
      </c>
      <c r="C7" s="112"/>
      <c r="D7" s="114" t="s">
        <v>196</v>
      </c>
      <c r="E7" s="114"/>
      <c r="F7" s="112"/>
      <c r="G7" s="97" t="s">
        <v>131</v>
      </c>
      <c r="H7" s="98">
        <v>100</v>
      </c>
      <c r="I7" s="99">
        <v>9</v>
      </c>
      <c r="J7" s="99">
        <f>+H7*I7</f>
        <v>900</v>
      </c>
      <c r="K7" s="100"/>
      <c r="L7" s="123"/>
      <c r="S7" s="91"/>
    </row>
    <row r="8" spans="1:19" ht="22.5" customHeight="1">
      <c r="A8" s="96">
        <f t="shared" si="0"/>
        <v>3</v>
      </c>
      <c r="B8" s="111" t="s">
        <v>135</v>
      </c>
      <c r="C8" s="112"/>
      <c r="D8" s="114"/>
      <c r="E8" s="114"/>
      <c r="F8" s="112"/>
      <c r="G8" s="97" t="s">
        <v>88</v>
      </c>
      <c r="H8" s="98">
        <v>10</v>
      </c>
      <c r="I8" s="99">
        <v>75</v>
      </c>
      <c r="J8" s="99">
        <f t="shared" ref="J8:J76" si="1">+H8*I8</f>
        <v>750</v>
      </c>
      <c r="K8" s="100"/>
      <c r="L8" s="123"/>
      <c r="S8" s="91"/>
    </row>
    <row r="9" spans="1:19" ht="22.5" customHeight="1">
      <c r="A9" s="96">
        <f t="shared" si="0"/>
        <v>4</v>
      </c>
      <c r="B9" s="111" t="s">
        <v>136</v>
      </c>
      <c r="C9" s="112"/>
      <c r="D9" s="114"/>
      <c r="E9" s="114"/>
      <c r="F9" s="112"/>
      <c r="G9" s="97" t="s">
        <v>88</v>
      </c>
      <c r="H9" s="98">
        <v>20</v>
      </c>
      <c r="I9" s="99">
        <v>80</v>
      </c>
      <c r="J9" s="99">
        <f t="shared" si="1"/>
        <v>1600</v>
      </c>
      <c r="K9" s="100"/>
      <c r="L9" s="123"/>
      <c r="S9" s="91"/>
    </row>
    <row r="10" spans="1:19" ht="22.5" customHeight="1">
      <c r="A10" s="96">
        <f t="shared" si="0"/>
        <v>5</v>
      </c>
      <c r="B10" s="111" t="s">
        <v>137</v>
      </c>
      <c r="C10" s="112"/>
      <c r="D10" s="114" t="s">
        <v>197</v>
      </c>
      <c r="E10" s="114"/>
      <c r="F10" s="112"/>
      <c r="G10" s="97" t="s">
        <v>88</v>
      </c>
      <c r="H10" s="98">
        <v>5</v>
      </c>
      <c r="I10" s="99">
        <v>915</v>
      </c>
      <c r="J10" s="99">
        <f t="shared" si="1"/>
        <v>4575</v>
      </c>
      <c r="K10" s="100"/>
      <c r="L10" s="123"/>
      <c r="S10" s="91"/>
    </row>
    <row r="11" spans="1:19" ht="22.5" customHeight="1">
      <c r="A11" s="96">
        <f t="shared" si="0"/>
        <v>6</v>
      </c>
      <c r="B11" s="111" t="s">
        <v>138</v>
      </c>
      <c r="C11" s="112"/>
      <c r="D11" s="114" t="s">
        <v>198</v>
      </c>
      <c r="E11" s="114"/>
      <c r="F11" s="112"/>
      <c r="G11" s="97" t="s">
        <v>88</v>
      </c>
      <c r="H11" s="98">
        <v>6</v>
      </c>
      <c r="I11" s="99">
        <v>506</v>
      </c>
      <c r="J11" s="99">
        <f t="shared" si="1"/>
        <v>3036</v>
      </c>
      <c r="K11" s="100"/>
      <c r="L11" s="123"/>
      <c r="S11" s="91"/>
    </row>
    <row r="12" spans="1:19" ht="22.5" customHeight="1">
      <c r="A12" s="96">
        <f t="shared" si="0"/>
        <v>7</v>
      </c>
      <c r="B12" s="111" t="s">
        <v>138</v>
      </c>
      <c r="C12" s="112"/>
      <c r="D12" s="114" t="s">
        <v>199</v>
      </c>
      <c r="E12" s="114"/>
      <c r="F12" s="112"/>
      <c r="G12" s="97" t="s">
        <v>88</v>
      </c>
      <c r="H12" s="98">
        <v>6</v>
      </c>
      <c r="I12" s="99">
        <v>506</v>
      </c>
      <c r="J12" s="99">
        <f t="shared" si="1"/>
        <v>3036</v>
      </c>
      <c r="K12" s="100"/>
      <c r="L12" s="123"/>
      <c r="S12" s="91"/>
    </row>
    <row r="13" spans="1:19" ht="22.5" customHeight="1">
      <c r="A13" s="96">
        <f t="shared" si="0"/>
        <v>8</v>
      </c>
      <c r="B13" s="111" t="s">
        <v>138</v>
      </c>
      <c r="C13" s="112"/>
      <c r="D13" s="114" t="s">
        <v>200</v>
      </c>
      <c r="E13" s="114"/>
      <c r="F13" s="112"/>
      <c r="G13" s="97" t="s">
        <v>88</v>
      </c>
      <c r="H13" s="98">
        <v>6</v>
      </c>
      <c r="I13" s="99">
        <v>506</v>
      </c>
      <c r="J13" s="99">
        <f t="shared" si="1"/>
        <v>3036</v>
      </c>
      <c r="K13" s="100"/>
      <c r="L13" s="123"/>
      <c r="S13" s="91"/>
    </row>
    <row r="14" spans="1:19" ht="22.5" customHeight="1">
      <c r="A14" s="96">
        <f t="shared" si="0"/>
        <v>9</v>
      </c>
      <c r="B14" s="111" t="s">
        <v>138</v>
      </c>
      <c r="C14" s="112"/>
      <c r="D14" s="114" t="s">
        <v>201</v>
      </c>
      <c r="E14" s="114"/>
      <c r="F14" s="112"/>
      <c r="G14" s="97" t="s">
        <v>88</v>
      </c>
      <c r="H14" s="98">
        <v>12</v>
      </c>
      <c r="I14" s="99">
        <v>342</v>
      </c>
      <c r="J14" s="99">
        <f t="shared" si="1"/>
        <v>4104</v>
      </c>
      <c r="K14" s="100"/>
      <c r="L14" s="123"/>
      <c r="S14" s="91"/>
    </row>
    <row r="15" spans="1:19" ht="22.5" customHeight="1">
      <c r="A15" s="96">
        <f t="shared" si="0"/>
        <v>10</v>
      </c>
      <c r="B15" s="111" t="s">
        <v>139</v>
      </c>
      <c r="C15" s="112"/>
      <c r="D15" s="114" t="s">
        <v>202</v>
      </c>
      <c r="E15" s="114"/>
      <c r="F15" s="112"/>
      <c r="G15" s="97" t="s">
        <v>88</v>
      </c>
      <c r="H15" s="98">
        <v>4</v>
      </c>
      <c r="I15" s="99">
        <v>460</v>
      </c>
      <c r="J15" s="99">
        <f t="shared" si="1"/>
        <v>1840</v>
      </c>
      <c r="K15" s="100"/>
      <c r="L15" s="123"/>
      <c r="S15" s="91"/>
    </row>
    <row r="16" spans="1:19" ht="22.5" customHeight="1">
      <c r="A16" s="96">
        <f t="shared" si="0"/>
        <v>11</v>
      </c>
      <c r="B16" s="111" t="s">
        <v>139</v>
      </c>
      <c r="C16" s="112"/>
      <c r="D16" s="114" t="s">
        <v>203</v>
      </c>
      <c r="E16" s="114"/>
      <c r="F16" s="112"/>
      <c r="G16" s="97" t="s">
        <v>88</v>
      </c>
      <c r="H16" s="98">
        <v>4</v>
      </c>
      <c r="I16" s="99">
        <v>460</v>
      </c>
      <c r="J16" s="99">
        <f t="shared" si="1"/>
        <v>1840</v>
      </c>
      <c r="K16" s="100"/>
      <c r="L16" s="123"/>
      <c r="S16" s="91"/>
    </row>
    <row r="17" spans="1:19" ht="22.5" customHeight="1">
      <c r="A17" s="96">
        <f t="shared" si="0"/>
        <v>12</v>
      </c>
      <c r="B17" s="111" t="s">
        <v>139</v>
      </c>
      <c r="C17" s="112"/>
      <c r="D17" s="114" t="s">
        <v>204</v>
      </c>
      <c r="E17" s="114"/>
      <c r="F17" s="112"/>
      <c r="G17" s="97" t="s">
        <v>88</v>
      </c>
      <c r="H17" s="98">
        <v>4</v>
      </c>
      <c r="I17" s="99">
        <v>460</v>
      </c>
      <c r="J17" s="99">
        <f t="shared" si="1"/>
        <v>1840</v>
      </c>
      <c r="K17" s="100"/>
      <c r="L17" s="123"/>
      <c r="S17" s="91"/>
    </row>
    <row r="18" spans="1:19" ht="22.5" customHeight="1">
      <c r="A18" s="96">
        <f t="shared" si="0"/>
        <v>13</v>
      </c>
      <c r="B18" s="111" t="s">
        <v>139</v>
      </c>
      <c r="C18" s="112"/>
      <c r="D18" s="114" t="s">
        <v>205</v>
      </c>
      <c r="E18" s="114"/>
      <c r="F18" s="112"/>
      <c r="G18" s="97" t="s">
        <v>88</v>
      </c>
      <c r="H18" s="98">
        <v>6</v>
      </c>
      <c r="I18" s="99">
        <v>360</v>
      </c>
      <c r="J18" s="99">
        <f t="shared" si="1"/>
        <v>2160</v>
      </c>
      <c r="K18" s="100"/>
      <c r="L18" s="123"/>
      <c r="S18" s="91"/>
    </row>
    <row r="19" spans="1:19" ht="22.5" customHeight="1">
      <c r="A19" s="96">
        <f t="shared" si="0"/>
        <v>14</v>
      </c>
      <c r="B19" s="111" t="s">
        <v>140</v>
      </c>
      <c r="C19" s="112"/>
      <c r="D19" s="114" t="s">
        <v>206</v>
      </c>
      <c r="E19" s="114"/>
      <c r="F19" s="112"/>
      <c r="G19" s="97" t="s">
        <v>88</v>
      </c>
      <c r="H19" s="98">
        <v>3</v>
      </c>
      <c r="I19" s="99">
        <v>220</v>
      </c>
      <c r="J19" s="99">
        <f t="shared" si="1"/>
        <v>660</v>
      </c>
      <c r="K19" s="100"/>
      <c r="L19" s="123"/>
      <c r="S19" s="91"/>
    </row>
    <row r="20" spans="1:19" ht="22.5" customHeight="1">
      <c r="A20" s="96">
        <f t="shared" si="0"/>
        <v>15</v>
      </c>
      <c r="B20" s="111" t="s">
        <v>141</v>
      </c>
      <c r="C20" s="112"/>
      <c r="D20" s="114" t="s">
        <v>207</v>
      </c>
      <c r="E20" s="114"/>
      <c r="F20" s="112"/>
      <c r="G20" s="97" t="s">
        <v>88</v>
      </c>
      <c r="H20" s="98">
        <v>4</v>
      </c>
      <c r="I20" s="99">
        <v>1125</v>
      </c>
      <c r="J20" s="99">
        <f t="shared" si="1"/>
        <v>4500</v>
      </c>
      <c r="K20" s="100"/>
      <c r="L20" s="123"/>
      <c r="S20" s="91"/>
    </row>
    <row r="21" spans="1:19" ht="22.5" customHeight="1">
      <c r="A21" s="96">
        <f t="shared" si="0"/>
        <v>16</v>
      </c>
      <c r="B21" s="111" t="s">
        <v>142</v>
      </c>
      <c r="C21" s="112"/>
      <c r="D21" s="114" t="s">
        <v>208</v>
      </c>
      <c r="E21" s="114"/>
      <c r="F21" s="112"/>
      <c r="G21" s="97" t="s">
        <v>88</v>
      </c>
      <c r="H21" s="98">
        <v>2</v>
      </c>
      <c r="I21" s="99">
        <v>450</v>
      </c>
      <c r="J21" s="99">
        <f t="shared" si="1"/>
        <v>900</v>
      </c>
      <c r="K21" s="100"/>
      <c r="L21" s="123"/>
      <c r="S21" s="91"/>
    </row>
    <row r="22" spans="1:19" ht="22.5" customHeight="1">
      <c r="A22" s="96">
        <f t="shared" si="0"/>
        <v>17</v>
      </c>
      <c r="B22" s="111" t="s">
        <v>143</v>
      </c>
      <c r="C22" s="112"/>
      <c r="D22" s="114" t="s">
        <v>209</v>
      </c>
      <c r="E22" s="114"/>
      <c r="F22" s="112"/>
      <c r="G22" s="97" t="s">
        <v>88</v>
      </c>
      <c r="H22" s="98">
        <v>4</v>
      </c>
      <c r="I22" s="99">
        <v>385</v>
      </c>
      <c r="J22" s="99">
        <f t="shared" si="1"/>
        <v>1540</v>
      </c>
      <c r="K22" s="100"/>
      <c r="L22" s="123"/>
      <c r="S22" s="91"/>
    </row>
    <row r="23" spans="1:19" ht="22.5" customHeight="1">
      <c r="A23" s="96">
        <f t="shared" si="0"/>
        <v>18</v>
      </c>
      <c r="B23" s="111" t="s">
        <v>143</v>
      </c>
      <c r="C23" s="112"/>
      <c r="D23" s="114" t="s">
        <v>210</v>
      </c>
      <c r="E23" s="114"/>
      <c r="F23" s="112"/>
      <c r="G23" s="97" t="s">
        <v>88</v>
      </c>
      <c r="H23" s="98">
        <v>2</v>
      </c>
      <c r="I23" s="99">
        <v>500</v>
      </c>
      <c r="J23" s="99">
        <f t="shared" si="1"/>
        <v>1000</v>
      </c>
      <c r="K23" s="100"/>
      <c r="L23" s="123"/>
      <c r="S23" s="91"/>
    </row>
    <row r="24" spans="1:19" ht="22.5" customHeight="1">
      <c r="A24" s="96">
        <f t="shared" si="0"/>
        <v>19</v>
      </c>
      <c r="B24" s="111" t="s">
        <v>143</v>
      </c>
      <c r="C24" s="112"/>
      <c r="D24" s="114" t="s">
        <v>211</v>
      </c>
      <c r="E24" s="114"/>
      <c r="F24" s="112"/>
      <c r="G24" s="97" t="s">
        <v>88</v>
      </c>
      <c r="H24" s="98">
        <v>2</v>
      </c>
      <c r="I24" s="99">
        <v>500</v>
      </c>
      <c r="J24" s="99">
        <f t="shared" si="1"/>
        <v>1000</v>
      </c>
      <c r="K24" s="100"/>
      <c r="L24" s="123"/>
      <c r="S24" s="91"/>
    </row>
    <row r="25" spans="1:19" ht="22.5" customHeight="1">
      <c r="A25" s="96">
        <f t="shared" si="0"/>
        <v>20</v>
      </c>
      <c r="B25" s="111" t="s">
        <v>143</v>
      </c>
      <c r="C25" s="112"/>
      <c r="D25" s="114" t="s">
        <v>212</v>
      </c>
      <c r="E25" s="114"/>
      <c r="F25" s="112"/>
      <c r="G25" s="97" t="s">
        <v>88</v>
      </c>
      <c r="H25" s="98">
        <v>2</v>
      </c>
      <c r="I25" s="99">
        <v>500</v>
      </c>
      <c r="J25" s="99">
        <f t="shared" si="1"/>
        <v>1000</v>
      </c>
      <c r="K25" s="100"/>
      <c r="L25" s="123"/>
      <c r="S25" s="91"/>
    </row>
    <row r="26" spans="1:19" ht="22.5" customHeight="1">
      <c r="A26" s="96">
        <f t="shared" si="0"/>
        <v>21</v>
      </c>
      <c r="B26" s="111" t="s">
        <v>144</v>
      </c>
      <c r="C26" s="112"/>
      <c r="D26" s="114" t="s">
        <v>213</v>
      </c>
      <c r="E26" s="114"/>
      <c r="F26" s="112"/>
      <c r="G26" s="97" t="s">
        <v>88</v>
      </c>
      <c r="H26" s="98">
        <v>4</v>
      </c>
      <c r="I26" s="99">
        <v>575</v>
      </c>
      <c r="J26" s="99">
        <f t="shared" si="1"/>
        <v>2300</v>
      </c>
      <c r="K26" s="100"/>
      <c r="L26" s="123"/>
      <c r="S26" s="91"/>
    </row>
    <row r="27" spans="1:19" ht="22.5" customHeight="1">
      <c r="A27" s="96">
        <f t="shared" si="0"/>
        <v>22</v>
      </c>
      <c r="B27" s="111" t="s">
        <v>145</v>
      </c>
      <c r="C27" s="112"/>
      <c r="D27" s="114" t="s">
        <v>214</v>
      </c>
      <c r="E27" s="114"/>
      <c r="F27" s="112"/>
      <c r="G27" s="97" t="s">
        <v>88</v>
      </c>
      <c r="H27" s="98">
        <v>2</v>
      </c>
      <c r="I27" s="99">
        <v>650</v>
      </c>
      <c r="J27" s="99">
        <f t="shared" si="1"/>
        <v>1300</v>
      </c>
      <c r="K27" s="100"/>
      <c r="L27" s="123"/>
      <c r="S27" s="91"/>
    </row>
    <row r="28" spans="1:19" ht="22.5" customHeight="1">
      <c r="A28" s="96">
        <f t="shared" si="0"/>
        <v>23</v>
      </c>
      <c r="B28" s="111" t="s">
        <v>146</v>
      </c>
      <c r="C28" s="112"/>
      <c r="D28" s="114" t="s">
        <v>215</v>
      </c>
      <c r="E28" s="114"/>
      <c r="F28" s="112"/>
      <c r="G28" s="97" t="s">
        <v>88</v>
      </c>
      <c r="H28" s="98">
        <v>2</v>
      </c>
      <c r="I28" s="99">
        <v>650</v>
      </c>
      <c r="J28" s="99">
        <f t="shared" si="1"/>
        <v>1300</v>
      </c>
      <c r="K28" s="100"/>
      <c r="L28" s="123"/>
      <c r="S28" s="91"/>
    </row>
    <row r="29" spans="1:19" ht="22.5" customHeight="1">
      <c r="A29" s="96">
        <f t="shared" si="0"/>
        <v>24</v>
      </c>
      <c r="B29" s="111" t="s">
        <v>147</v>
      </c>
      <c r="C29" s="112"/>
      <c r="D29" s="114" t="s">
        <v>216</v>
      </c>
      <c r="E29" s="114"/>
      <c r="F29" s="112"/>
      <c r="G29" s="97" t="s">
        <v>88</v>
      </c>
      <c r="H29" s="98">
        <v>2</v>
      </c>
      <c r="I29" s="99">
        <v>650</v>
      </c>
      <c r="J29" s="99">
        <f t="shared" si="1"/>
        <v>1300</v>
      </c>
      <c r="K29" s="100"/>
      <c r="L29" s="123"/>
      <c r="S29" s="91"/>
    </row>
    <row r="30" spans="1:19" ht="22.5" customHeight="1">
      <c r="A30" s="96">
        <f t="shared" si="0"/>
        <v>25</v>
      </c>
      <c r="B30" s="111" t="s">
        <v>148</v>
      </c>
      <c r="C30" s="112"/>
      <c r="D30" s="114" t="s">
        <v>217</v>
      </c>
      <c r="E30" s="114"/>
      <c r="F30" s="112"/>
      <c r="G30" s="97" t="s">
        <v>88</v>
      </c>
      <c r="H30" s="98">
        <v>2</v>
      </c>
      <c r="I30" s="99">
        <v>2030</v>
      </c>
      <c r="J30" s="99">
        <f t="shared" si="1"/>
        <v>4060</v>
      </c>
      <c r="K30" s="100"/>
      <c r="L30" s="123"/>
      <c r="S30" s="91"/>
    </row>
    <row r="31" spans="1:19" ht="22.5" customHeight="1">
      <c r="A31" s="96">
        <f t="shared" si="0"/>
        <v>26</v>
      </c>
      <c r="B31" s="111" t="s">
        <v>149</v>
      </c>
      <c r="C31" s="112"/>
      <c r="D31" s="114" t="s">
        <v>218</v>
      </c>
      <c r="E31" s="114"/>
      <c r="F31" s="112"/>
      <c r="G31" s="97" t="s">
        <v>88</v>
      </c>
      <c r="H31" s="98">
        <v>2</v>
      </c>
      <c r="I31" s="99">
        <v>244</v>
      </c>
      <c r="J31" s="99">
        <f t="shared" si="1"/>
        <v>488</v>
      </c>
      <c r="K31" s="100"/>
      <c r="L31" s="123"/>
      <c r="S31" s="91"/>
    </row>
    <row r="32" spans="1:19" ht="22.5" customHeight="1">
      <c r="A32" s="96">
        <f t="shared" si="0"/>
        <v>27</v>
      </c>
      <c r="B32" s="111" t="s">
        <v>150</v>
      </c>
      <c r="C32" s="112"/>
      <c r="D32" s="114" t="s">
        <v>219</v>
      </c>
      <c r="E32" s="114"/>
      <c r="F32" s="112"/>
      <c r="G32" s="97" t="s">
        <v>130</v>
      </c>
      <c r="H32" s="98">
        <v>350</v>
      </c>
      <c r="I32" s="99">
        <v>65</v>
      </c>
      <c r="J32" s="99">
        <f t="shared" si="1"/>
        <v>22750</v>
      </c>
      <c r="K32" s="100"/>
      <c r="L32" s="123"/>
      <c r="S32" s="91"/>
    </row>
    <row r="33" spans="1:19" ht="22.5" customHeight="1">
      <c r="A33" s="96">
        <f t="shared" si="0"/>
        <v>28</v>
      </c>
      <c r="B33" s="111" t="s">
        <v>151</v>
      </c>
      <c r="C33" s="112"/>
      <c r="D33" s="114"/>
      <c r="E33" s="114"/>
      <c r="F33" s="112"/>
      <c r="G33" s="97" t="s">
        <v>130</v>
      </c>
      <c r="H33" s="98">
        <v>120</v>
      </c>
      <c r="I33" s="99">
        <v>160</v>
      </c>
      <c r="J33" s="99">
        <f t="shared" si="1"/>
        <v>19200</v>
      </c>
      <c r="K33" s="100"/>
      <c r="L33" s="123"/>
      <c r="S33" s="91"/>
    </row>
    <row r="34" spans="1:19" ht="22.5" customHeight="1">
      <c r="A34" s="96">
        <f t="shared" si="0"/>
        <v>29</v>
      </c>
      <c r="B34" s="111" t="s">
        <v>152</v>
      </c>
      <c r="C34" s="112"/>
      <c r="D34" s="114" t="s">
        <v>220</v>
      </c>
      <c r="E34" s="114"/>
      <c r="F34" s="112"/>
      <c r="G34" s="97" t="s">
        <v>88</v>
      </c>
      <c r="H34" s="98">
        <v>6</v>
      </c>
      <c r="I34" s="99">
        <v>156</v>
      </c>
      <c r="J34" s="99">
        <f t="shared" si="1"/>
        <v>936</v>
      </c>
      <c r="K34" s="100"/>
      <c r="L34" s="123"/>
      <c r="S34" s="91"/>
    </row>
    <row r="35" spans="1:19" ht="22.5" customHeight="1">
      <c r="A35" s="96">
        <f t="shared" si="0"/>
        <v>30</v>
      </c>
      <c r="B35" s="111" t="s">
        <v>153</v>
      </c>
      <c r="C35" s="112"/>
      <c r="D35" s="114"/>
      <c r="E35" s="114"/>
      <c r="F35" s="112"/>
      <c r="G35" s="97" t="s">
        <v>88</v>
      </c>
      <c r="H35" s="98">
        <v>3</v>
      </c>
      <c r="I35" s="99">
        <v>311</v>
      </c>
      <c r="J35" s="99">
        <f t="shared" si="1"/>
        <v>933</v>
      </c>
      <c r="K35" s="100"/>
      <c r="L35" s="123"/>
      <c r="S35" s="91"/>
    </row>
    <row r="36" spans="1:19" ht="22.5" customHeight="1">
      <c r="A36" s="96">
        <f t="shared" si="0"/>
        <v>31</v>
      </c>
      <c r="B36" s="111" t="s">
        <v>154</v>
      </c>
      <c r="C36" s="112"/>
      <c r="D36" s="114" t="s">
        <v>221</v>
      </c>
      <c r="E36" s="114"/>
      <c r="F36" s="112"/>
      <c r="G36" s="97" t="s">
        <v>88</v>
      </c>
      <c r="H36" s="98">
        <v>20</v>
      </c>
      <c r="I36" s="99">
        <v>16</v>
      </c>
      <c r="J36" s="99">
        <f t="shared" si="1"/>
        <v>320</v>
      </c>
      <c r="K36" s="100"/>
      <c r="L36" s="123"/>
      <c r="S36" s="91"/>
    </row>
    <row r="37" spans="1:19" ht="22.5" customHeight="1">
      <c r="A37" s="96">
        <f t="shared" si="0"/>
        <v>32</v>
      </c>
      <c r="B37" s="111" t="s">
        <v>155</v>
      </c>
      <c r="C37" s="112"/>
      <c r="D37" s="114" t="s">
        <v>222</v>
      </c>
      <c r="E37" s="114"/>
      <c r="F37" s="112"/>
      <c r="G37" s="97" t="s">
        <v>88</v>
      </c>
      <c r="H37" s="98">
        <v>400</v>
      </c>
      <c r="I37" s="99">
        <v>4.5</v>
      </c>
      <c r="J37" s="99">
        <f t="shared" si="1"/>
        <v>1800</v>
      </c>
      <c r="K37" s="100"/>
      <c r="L37" s="123"/>
      <c r="S37" s="91"/>
    </row>
    <row r="38" spans="1:19" ht="22.5" customHeight="1">
      <c r="A38" s="96">
        <f t="shared" si="0"/>
        <v>33</v>
      </c>
      <c r="B38" s="111" t="s">
        <v>156</v>
      </c>
      <c r="C38" s="112"/>
      <c r="D38" s="114" t="s">
        <v>223</v>
      </c>
      <c r="E38" s="114"/>
      <c r="F38" s="112"/>
      <c r="G38" s="97" t="s">
        <v>238</v>
      </c>
      <c r="H38" s="98">
        <v>300</v>
      </c>
      <c r="I38" s="99">
        <v>41.5</v>
      </c>
      <c r="J38" s="99">
        <f t="shared" si="1"/>
        <v>12450</v>
      </c>
      <c r="K38" s="100"/>
      <c r="L38" s="123"/>
      <c r="S38" s="91"/>
    </row>
    <row r="39" spans="1:19" ht="22.5" customHeight="1">
      <c r="A39" s="96">
        <f t="shared" si="0"/>
        <v>34</v>
      </c>
      <c r="B39" s="111" t="s">
        <v>157</v>
      </c>
      <c r="C39" s="112"/>
      <c r="D39" s="114" t="s">
        <v>224</v>
      </c>
      <c r="E39" s="114"/>
      <c r="F39" s="112"/>
      <c r="G39" s="97" t="s">
        <v>239</v>
      </c>
      <c r="H39" s="98">
        <v>50</v>
      </c>
      <c r="I39" s="99">
        <v>26</v>
      </c>
      <c r="J39" s="99">
        <f t="shared" si="1"/>
        <v>1300</v>
      </c>
      <c r="K39" s="100"/>
      <c r="L39" s="123"/>
      <c r="S39" s="91"/>
    </row>
    <row r="40" spans="1:19" ht="22.5" customHeight="1">
      <c r="A40" s="96">
        <f t="shared" si="0"/>
        <v>35</v>
      </c>
      <c r="B40" s="111" t="s">
        <v>158</v>
      </c>
      <c r="C40" s="112"/>
      <c r="D40" s="114" t="s">
        <v>225</v>
      </c>
      <c r="E40" s="114"/>
      <c r="F40" s="112"/>
      <c r="G40" s="97" t="s">
        <v>131</v>
      </c>
      <c r="H40" s="98">
        <v>30</v>
      </c>
      <c r="I40" s="99">
        <v>14.5</v>
      </c>
      <c r="J40" s="99">
        <f t="shared" si="1"/>
        <v>435</v>
      </c>
      <c r="K40" s="100"/>
      <c r="L40" s="123"/>
      <c r="S40" s="91"/>
    </row>
    <row r="41" spans="1:19" ht="22.5" customHeight="1">
      <c r="A41" s="96">
        <f t="shared" si="0"/>
        <v>36</v>
      </c>
      <c r="B41" s="111" t="s">
        <v>159</v>
      </c>
      <c r="C41" s="112"/>
      <c r="D41" s="114"/>
      <c r="E41" s="114"/>
      <c r="F41" s="112"/>
      <c r="G41" s="97" t="s">
        <v>131</v>
      </c>
      <c r="H41" s="98">
        <v>5</v>
      </c>
      <c r="I41" s="99">
        <v>8</v>
      </c>
      <c r="J41" s="99">
        <f t="shared" si="1"/>
        <v>40</v>
      </c>
      <c r="K41" s="100"/>
      <c r="L41" s="123"/>
      <c r="S41" s="91"/>
    </row>
    <row r="42" spans="1:19" ht="22.5" customHeight="1">
      <c r="A42" s="96">
        <f t="shared" si="0"/>
        <v>37</v>
      </c>
      <c r="B42" s="111" t="s">
        <v>160</v>
      </c>
      <c r="C42" s="112"/>
      <c r="D42" s="114"/>
      <c r="E42" s="114"/>
      <c r="F42" s="112"/>
      <c r="G42" s="97" t="s">
        <v>88</v>
      </c>
      <c r="H42" s="98">
        <v>20</v>
      </c>
      <c r="I42" s="99">
        <v>1.6</v>
      </c>
      <c r="J42" s="99">
        <f t="shared" si="1"/>
        <v>32</v>
      </c>
      <c r="K42" s="100"/>
      <c r="L42" s="123"/>
      <c r="S42" s="91"/>
    </row>
    <row r="43" spans="1:19" ht="22.5" customHeight="1">
      <c r="A43" s="96">
        <f t="shared" si="0"/>
        <v>38</v>
      </c>
      <c r="B43" s="111" t="s">
        <v>161</v>
      </c>
      <c r="C43" s="112"/>
      <c r="D43" s="114" t="s">
        <v>226</v>
      </c>
      <c r="E43" s="114"/>
      <c r="F43" s="112"/>
      <c r="G43" s="97" t="s">
        <v>131</v>
      </c>
      <c r="H43" s="98">
        <v>100</v>
      </c>
      <c r="I43" s="99">
        <v>12.5</v>
      </c>
      <c r="J43" s="99">
        <f t="shared" si="1"/>
        <v>1250</v>
      </c>
      <c r="K43" s="100"/>
      <c r="L43" s="123"/>
      <c r="S43" s="91"/>
    </row>
    <row r="44" spans="1:19" ht="22.5" customHeight="1">
      <c r="A44" s="96">
        <f t="shared" si="0"/>
        <v>39</v>
      </c>
      <c r="B44" s="111" t="s">
        <v>162</v>
      </c>
      <c r="C44" s="112"/>
      <c r="D44" s="114" t="s">
        <v>226</v>
      </c>
      <c r="E44" s="114"/>
      <c r="F44" s="112"/>
      <c r="G44" s="97" t="s">
        <v>131</v>
      </c>
      <c r="H44" s="98">
        <v>15</v>
      </c>
      <c r="I44" s="99">
        <v>12.5</v>
      </c>
      <c r="J44" s="99">
        <f t="shared" si="1"/>
        <v>187.5</v>
      </c>
      <c r="K44" s="100"/>
      <c r="L44" s="123"/>
      <c r="S44" s="91"/>
    </row>
    <row r="45" spans="1:19" ht="22.5" customHeight="1">
      <c r="A45" s="96">
        <f t="shared" si="0"/>
        <v>40</v>
      </c>
      <c r="B45" s="111" t="s">
        <v>163</v>
      </c>
      <c r="C45" s="112"/>
      <c r="D45" s="114" t="s">
        <v>226</v>
      </c>
      <c r="E45" s="114"/>
      <c r="F45" s="112"/>
      <c r="G45" s="97" t="s">
        <v>131</v>
      </c>
      <c r="H45" s="98">
        <v>15</v>
      </c>
      <c r="I45" s="99">
        <v>12.5</v>
      </c>
      <c r="J45" s="99">
        <f t="shared" si="1"/>
        <v>187.5</v>
      </c>
      <c r="K45" s="100"/>
      <c r="L45" s="123"/>
      <c r="S45" s="91"/>
    </row>
    <row r="46" spans="1:19" ht="22.5" customHeight="1">
      <c r="A46" s="96">
        <f t="shared" si="0"/>
        <v>41</v>
      </c>
      <c r="B46" s="111" t="s">
        <v>164</v>
      </c>
      <c r="C46" s="112"/>
      <c r="D46" s="114" t="s">
        <v>227</v>
      </c>
      <c r="E46" s="114"/>
      <c r="F46" s="112"/>
      <c r="G46" s="97" t="s">
        <v>131</v>
      </c>
      <c r="H46" s="98">
        <v>10</v>
      </c>
      <c r="I46" s="99">
        <v>1.5</v>
      </c>
      <c r="J46" s="99">
        <f t="shared" si="1"/>
        <v>15</v>
      </c>
      <c r="K46" s="100"/>
      <c r="L46" s="123"/>
      <c r="S46" s="91"/>
    </row>
    <row r="47" spans="1:19" ht="22.5" customHeight="1">
      <c r="A47" s="96">
        <f t="shared" si="0"/>
        <v>42</v>
      </c>
      <c r="B47" s="111" t="s">
        <v>165</v>
      </c>
      <c r="C47" s="112"/>
      <c r="D47" s="114" t="s">
        <v>227</v>
      </c>
      <c r="E47" s="114"/>
      <c r="F47" s="112"/>
      <c r="G47" s="97" t="s">
        <v>131</v>
      </c>
      <c r="H47" s="98">
        <v>10</v>
      </c>
      <c r="I47" s="99">
        <v>2</v>
      </c>
      <c r="J47" s="99">
        <f t="shared" si="1"/>
        <v>20</v>
      </c>
      <c r="K47" s="100"/>
      <c r="L47" s="123"/>
      <c r="S47" s="91"/>
    </row>
    <row r="48" spans="1:19" ht="22.5" customHeight="1">
      <c r="A48" s="96">
        <f t="shared" si="0"/>
        <v>43</v>
      </c>
      <c r="B48" s="111" t="s">
        <v>166</v>
      </c>
      <c r="C48" s="112"/>
      <c r="D48" s="114"/>
      <c r="E48" s="114"/>
      <c r="F48" s="112"/>
      <c r="G48" s="97" t="s">
        <v>131</v>
      </c>
      <c r="H48" s="98">
        <v>30</v>
      </c>
      <c r="I48" s="99">
        <v>3</v>
      </c>
      <c r="J48" s="99">
        <f t="shared" si="1"/>
        <v>90</v>
      </c>
      <c r="K48" s="100"/>
      <c r="L48" s="123"/>
      <c r="S48" s="91"/>
    </row>
    <row r="49" spans="1:19" ht="22.5" customHeight="1">
      <c r="A49" s="96">
        <f t="shared" si="0"/>
        <v>44</v>
      </c>
      <c r="B49" s="111" t="s">
        <v>167</v>
      </c>
      <c r="C49" s="112"/>
      <c r="D49" s="114" t="s">
        <v>228</v>
      </c>
      <c r="E49" s="114"/>
      <c r="F49" s="112"/>
      <c r="G49" s="97" t="s">
        <v>131</v>
      </c>
      <c r="H49" s="98">
        <v>40</v>
      </c>
      <c r="I49" s="99">
        <v>15</v>
      </c>
      <c r="J49" s="99">
        <f t="shared" si="1"/>
        <v>600</v>
      </c>
      <c r="K49" s="100"/>
      <c r="L49" s="123"/>
      <c r="S49" s="91"/>
    </row>
    <row r="50" spans="1:19" ht="22.5" customHeight="1">
      <c r="A50" s="96">
        <f t="shared" si="0"/>
        <v>45</v>
      </c>
      <c r="B50" s="111" t="s">
        <v>168</v>
      </c>
      <c r="C50" s="112"/>
      <c r="D50" s="114" t="s">
        <v>228</v>
      </c>
      <c r="E50" s="114"/>
      <c r="F50" s="112"/>
      <c r="G50" s="97" t="s">
        <v>131</v>
      </c>
      <c r="H50" s="98">
        <v>20</v>
      </c>
      <c r="I50" s="99">
        <v>15</v>
      </c>
      <c r="J50" s="99">
        <f t="shared" si="1"/>
        <v>300</v>
      </c>
      <c r="K50" s="100"/>
      <c r="L50" s="123"/>
      <c r="S50" s="91"/>
    </row>
    <row r="51" spans="1:19" ht="22.5" customHeight="1">
      <c r="A51" s="96">
        <f t="shared" si="0"/>
        <v>46</v>
      </c>
      <c r="B51" s="111" t="s">
        <v>169</v>
      </c>
      <c r="C51" s="112"/>
      <c r="D51" s="114" t="s">
        <v>228</v>
      </c>
      <c r="E51" s="114"/>
      <c r="F51" s="112"/>
      <c r="G51" s="97" t="s">
        <v>131</v>
      </c>
      <c r="H51" s="98">
        <v>20</v>
      </c>
      <c r="I51" s="99">
        <v>15</v>
      </c>
      <c r="J51" s="99">
        <f t="shared" si="1"/>
        <v>300</v>
      </c>
      <c r="K51" s="100"/>
      <c r="L51" s="123"/>
      <c r="S51" s="91"/>
    </row>
    <row r="52" spans="1:19" ht="22.5" customHeight="1">
      <c r="A52" s="96">
        <f t="shared" si="0"/>
        <v>47</v>
      </c>
      <c r="B52" s="111" t="s">
        <v>170</v>
      </c>
      <c r="C52" s="112"/>
      <c r="D52" s="114" t="s">
        <v>229</v>
      </c>
      <c r="E52" s="114"/>
      <c r="F52" s="112"/>
      <c r="G52" s="97" t="s">
        <v>130</v>
      </c>
      <c r="H52" s="98">
        <v>50</v>
      </c>
      <c r="I52" s="99">
        <v>12</v>
      </c>
      <c r="J52" s="99">
        <f t="shared" si="1"/>
        <v>600</v>
      </c>
      <c r="K52" s="100"/>
      <c r="L52" s="123"/>
      <c r="S52" s="91"/>
    </row>
    <row r="53" spans="1:19" ht="22.5" customHeight="1">
      <c r="A53" s="96">
        <f t="shared" si="0"/>
        <v>48</v>
      </c>
      <c r="B53" s="111" t="s">
        <v>171</v>
      </c>
      <c r="C53" s="112"/>
      <c r="D53" s="114" t="s">
        <v>229</v>
      </c>
      <c r="E53" s="114"/>
      <c r="F53" s="112"/>
      <c r="G53" s="97" t="s">
        <v>130</v>
      </c>
      <c r="H53" s="98">
        <v>30</v>
      </c>
      <c r="I53" s="99">
        <v>14.5</v>
      </c>
      <c r="J53" s="99">
        <f t="shared" si="1"/>
        <v>435</v>
      </c>
      <c r="K53" s="100"/>
      <c r="L53" s="123"/>
      <c r="S53" s="91"/>
    </row>
    <row r="54" spans="1:19" ht="22.5" customHeight="1">
      <c r="A54" s="96">
        <f t="shared" si="0"/>
        <v>49</v>
      </c>
      <c r="B54" s="111" t="s">
        <v>172</v>
      </c>
      <c r="C54" s="112"/>
      <c r="D54" s="114" t="s">
        <v>229</v>
      </c>
      <c r="E54" s="114"/>
      <c r="F54" s="112"/>
      <c r="G54" s="97" t="s">
        <v>130</v>
      </c>
      <c r="H54" s="98">
        <v>30</v>
      </c>
      <c r="I54" s="99">
        <v>16</v>
      </c>
      <c r="J54" s="99">
        <f t="shared" si="1"/>
        <v>480</v>
      </c>
      <c r="K54" s="100"/>
      <c r="L54" s="123"/>
      <c r="S54" s="91"/>
    </row>
    <row r="55" spans="1:19" ht="22.5" customHeight="1">
      <c r="A55" s="96">
        <f t="shared" si="0"/>
        <v>50</v>
      </c>
      <c r="B55" s="111" t="s">
        <v>173</v>
      </c>
      <c r="C55" s="112"/>
      <c r="D55" s="114" t="s">
        <v>229</v>
      </c>
      <c r="E55" s="114"/>
      <c r="F55" s="112"/>
      <c r="G55" s="97" t="s">
        <v>130</v>
      </c>
      <c r="H55" s="98">
        <v>30</v>
      </c>
      <c r="I55" s="99">
        <v>26</v>
      </c>
      <c r="J55" s="99">
        <f t="shared" si="1"/>
        <v>780</v>
      </c>
      <c r="K55" s="100"/>
      <c r="L55" s="123"/>
      <c r="S55" s="91"/>
    </row>
    <row r="56" spans="1:19" ht="22.5" customHeight="1">
      <c r="A56" s="96">
        <f t="shared" si="0"/>
        <v>51</v>
      </c>
      <c r="B56" s="111" t="s">
        <v>174</v>
      </c>
      <c r="C56" s="112"/>
      <c r="D56" s="114"/>
      <c r="E56" s="114"/>
      <c r="F56" s="112"/>
      <c r="G56" s="97" t="s">
        <v>88</v>
      </c>
      <c r="H56" s="98">
        <v>20</v>
      </c>
      <c r="I56" s="99">
        <v>5</v>
      </c>
      <c r="J56" s="99">
        <f t="shared" si="1"/>
        <v>100</v>
      </c>
      <c r="K56" s="100"/>
      <c r="L56" s="123"/>
      <c r="S56" s="91"/>
    </row>
    <row r="57" spans="1:19" ht="22.5" customHeight="1">
      <c r="A57" s="96">
        <f t="shared" si="0"/>
        <v>52</v>
      </c>
      <c r="B57" s="111" t="s">
        <v>175</v>
      </c>
      <c r="C57" s="112"/>
      <c r="D57" s="114"/>
      <c r="E57" s="114"/>
      <c r="F57" s="112"/>
      <c r="G57" s="97" t="s">
        <v>88</v>
      </c>
      <c r="H57" s="98">
        <v>20</v>
      </c>
      <c r="I57" s="99">
        <v>4.25</v>
      </c>
      <c r="J57" s="99">
        <f t="shared" si="1"/>
        <v>85</v>
      </c>
      <c r="K57" s="100"/>
      <c r="L57" s="123"/>
      <c r="S57" s="91"/>
    </row>
    <row r="58" spans="1:19" ht="22.5" customHeight="1">
      <c r="A58" s="96">
        <f t="shared" si="0"/>
        <v>53</v>
      </c>
      <c r="B58" s="111" t="s">
        <v>176</v>
      </c>
      <c r="C58" s="112"/>
      <c r="D58" s="114"/>
      <c r="E58" s="114"/>
      <c r="F58" s="112"/>
      <c r="G58" s="97" t="s">
        <v>88</v>
      </c>
      <c r="H58" s="98">
        <v>40</v>
      </c>
      <c r="I58" s="99">
        <v>3.25</v>
      </c>
      <c r="J58" s="99">
        <f t="shared" si="1"/>
        <v>130</v>
      </c>
      <c r="K58" s="100"/>
      <c r="L58" s="123"/>
      <c r="S58" s="91"/>
    </row>
    <row r="59" spans="1:19" ht="22.5" customHeight="1">
      <c r="A59" s="96">
        <f t="shared" si="0"/>
        <v>54</v>
      </c>
      <c r="B59" s="111" t="s">
        <v>177</v>
      </c>
      <c r="C59" s="112"/>
      <c r="D59" s="114"/>
      <c r="E59" s="114"/>
      <c r="F59" s="112"/>
      <c r="G59" s="97" t="s">
        <v>88</v>
      </c>
      <c r="H59" s="98">
        <v>10</v>
      </c>
      <c r="I59" s="99">
        <v>2</v>
      </c>
      <c r="J59" s="99">
        <f t="shared" si="1"/>
        <v>20</v>
      </c>
      <c r="K59" s="100"/>
      <c r="L59" s="123"/>
      <c r="S59" s="91"/>
    </row>
    <row r="60" spans="1:19" ht="22.5" customHeight="1">
      <c r="A60" s="96">
        <f t="shared" si="0"/>
        <v>55</v>
      </c>
      <c r="B60" s="111" t="s">
        <v>178</v>
      </c>
      <c r="C60" s="112"/>
      <c r="D60" s="114" t="s">
        <v>230</v>
      </c>
      <c r="E60" s="114"/>
      <c r="F60" s="112"/>
      <c r="G60" s="97" t="s">
        <v>130</v>
      </c>
      <c r="H60" s="98">
        <v>3</v>
      </c>
      <c r="I60" s="99">
        <v>180</v>
      </c>
      <c r="J60" s="99">
        <f t="shared" si="1"/>
        <v>540</v>
      </c>
      <c r="K60" s="100"/>
      <c r="L60" s="123"/>
      <c r="S60" s="91"/>
    </row>
    <row r="61" spans="1:19" ht="22.5" customHeight="1">
      <c r="A61" s="96">
        <f t="shared" si="0"/>
        <v>56</v>
      </c>
      <c r="B61" s="111" t="s">
        <v>179</v>
      </c>
      <c r="C61" s="112"/>
      <c r="D61" s="114" t="s">
        <v>231</v>
      </c>
      <c r="E61" s="114"/>
      <c r="F61" s="112"/>
      <c r="G61" s="97" t="s">
        <v>130</v>
      </c>
      <c r="H61" s="98">
        <v>6</v>
      </c>
      <c r="I61" s="99">
        <v>150</v>
      </c>
      <c r="J61" s="99">
        <f t="shared" si="1"/>
        <v>900</v>
      </c>
      <c r="K61" s="100"/>
      <c r="L61" s="123"/>
      <c r="S61" s="91"/>
    </row>
    <row r="62" spans="1:19" ht="22.5" customHeight="1">
      <c r="A62" s="96">
        <f t="shared" si="0"/>
        <v>57</v>
      </c>
      <c r="B62" s="111" t="s">
        <v>180</v>
      </c>
      <c r="C62" s="112"/>
      <c r="D62" s="114" t="s">
        <v>232</v>
      </c>
      <c r="E62" s="114"/>
      <c r="F62" s="112"/>
      <c r="G62" s="97" t="s">
        <v>131</v>
      </c>
      <c r="H62" s="98">
        <v>10</v>
      </c>
      <c r="I62" s="99">
        <v>16</v>
      </c>
      <c r="J62" s="99">
        <f t="shared" si="1"/>
        <v>160</v>
      </c>
      <c r="K62" s="100"/>
      <c r="L62" s="123"/>
      <c r="S62" s="91"/>
    </row>
    <row r="63" spans="1:19" ht="22.5" customHeight="1">
      <c r="A63" s="96">
        <f t="shared" si="0"/>
        <v>58</v>
      </c>
      <c r="B63" s="111" t="s">
        <v>181</v>
      </c>
      <c r="C63" s="112"/>
      <c r="D63" s="114"/>
      <c r="E63" s="114"/>
      <c r="F63" s="112"/>
      <c r="G63" s="97" t="s">
        <v>88</v>
      </c>
      <c r="H63" s="98">
        <v>30</v>
      </c>
      <c r="I63" s="99">
        <v>3</v>
      </c>
      <c r="J63" s="99">
        <f t="shared" si="1"/>
        <v>90</v>
      </c>
      <c r="K63" s="100"/>
      <c r="L63" s="123"/>
      <c r="S63" s="91"/>
    </row>
    <row r="64" spans="1:19" ht="22.5" customHeight="1">
      <c r="A64" s="96">
        <f t="shared" si="0"/>
        <v>59</v>
      </c>
      <c r="B64" s="111" t="s">
        <v>182</v>
      </c>
      <c r="C64" s="112"/>
      <c r="D64" s="114"/>
      <c r="E64" s="114"/>
      <c r="F64" s="112"/>
      <c r="G64" s="97" t="s">
        <v>130</v>
      </c>
      <c r="H64" s="98">
        <v>2</v>
      </c>
      <c r="I64" s="99">
        <v>8</v>
      </c>
      <c r="J64" s="99">
        <f t="shared" si="1"/>
        <v>16</v>
      </c>
      <c r="K64" s="100"/>
      <c r="L64" s="123"/>
      <c r="S64" s="91"/>
    </row>
    <row r="65" spans="1:26" ht="22.5" customHeight="1">
      <c r="A65" s="96">
        <f t="shared" si="0"/>
        <v>60</v>
      </c>
      <c r="B65" s="111" t="s">
        <v>183</v>
      </c>
      <c r="C65" s="112"/>
      <c r="D65" s="114" t="s">
        <v>233</v>
      </c>
      <c r="E65" s="114"/>
      <c r="F65" s="112"/>
      <c r="G65" s="97" t="s">
        <v>240</v>
      </c>
      <c r="H65" s="98">
        <v>20</v>
      </c>
      <c r="I65" s="99">
        <v>30</v>
      </c>
      <c r="J65" s="99">
        <f t="shared" si="1"/>
        <v>600</v>
      </c>
      <c r="K65" s="100"/>
      <c r="L65" s="123"/>
      <c r="S65" s="91"/>
    </row>
    <row r="66" spans="1:26" ht="22.5" customHeight="1">
      <c r="A66" s="96">
        <f t="shared" si="0"/>
        <v>61</v>
      </c>
      <c r="B66" s="111" t="s">
        <v>184</v>
      </c>
      <c r="C66" s="112"/>
      <c r="D66" s="114" t="s">
        <v>234</v>
      </c>
      <c r="E66" s="114"/>
      <c r="F66" s="112"/>
      <c r="G66" s="97" t="s">
        <v>240</v>
      </c>
      <c r="H66" s="98">
        <v>20</v>
      </c>
      <c r="I66" s="99">
        <v>63</v>
      </c>
      <c r="J66" s="99">
        <f t="shared" si="1"/>
        <v>1260</v>
      </c>
      <c r="K66" s="100"/>
      <c r="L66" s="123"/>
      <c r="S66" s="91"/>
    </row>
    <row r="67" spans="1:26" ht="22.5" customHeight="1">
      <c r="A67" s="96">
        <f t="shared" si="0"/>
        <v>62</v>
      </c>
      <c r="B67" s="111" t="s">
        <v>185</v>
      </c>
      <c r="C67" s="112"/>
      <c r="D67" s="114" t="s">
        <v>234</v>
      </c>
      <c r="E67" s="114"/>
      <c r="F67" s="112"/>
      <c r="G67" s="97" t="s">
        <v>240</v>
      </c>
      <c r="H67" s="98">
        <v>40</v>
      </c>
      <c r="I67" s="99">
        <v>32</v>
      </c>
      <c r="J67" s="99">
        <f t="shared" si="1"/>
        <v>1280</v>
      </c>
      <c r="K67" s="100"/>
      <c r="L67" s="123"/>
      <c r="S67" s="91"/>
    </row>
    <row r="68" spans="1:26" ht="22.5" customHeight="1">
      <c r="A68" s="96">
        <f t="shared" si="0"/>
        <v>63</v>
      </c>
      <c r="B68" s="111" t="s">
        <v>186</v>
      </c>
      <c r="C68" s="112"/>
      <c r="D68" s="114"/>
      <c r="E68" s="114"/>
      <c r="F68" s="112"/>
      <c r="G68" s="97" t="s">
        <v>88</v>
      </c>
      <c r="H68" s="98">
        <v>100</v>
      </c>
      <c r="I68" s="99">
        <v>7</v>
      </c>
      <c r="J68" s="99">
        <f t="shared" si="1"/>
        <v>700</v>
      </c>
      <c r="K68" s="100"/>
      <c r="L68" s="123"/>
      <c r="S68" s="91"/>
    </row>
    <row r="69" spans="1:26" ht="22.5" customHeight="1">
      <c r="A69" s="96">
        <f t="shared" si="0"/>
        <v>64</v>
      </c>
      <c r="B69" s="111" t="s">
        <v>187</v>
      </c>
      <c r="C69" s="112"/>
      <c r="D69" s="114" t="s">
        <v>235</v>
      </c>
      <c r="E69" s="114"/>
      <c r="F69" s="112"/>
      <c r="G69" s="97" t="s">
        <v>131</v>
      </c>
      <c r="H69" s="98">
        <v>20</v>
      </c>
      <c r="I69" s="99">
        <v>19.5</v>
      </c>
      <c r="J69" s="99">
        <f t="shared" si="1"/>
        <v>390</v>
      </c>
      <c r="K69" s="100"/>
      <c r="L69" s="123"/>
      <c r="S69" s="91"/>
    </row>
    <row r="70" spans="1:26" ht="22.5" customHeight="1">
      <c r="A70" s="96">
        <f t="shared" ref="A70:A76" si="2">ROW(A65)</f>
        <v>65</v>
      </c>
      <c r="B70" s="111" t="s">
        <v>188</v>
      </c>
      <c r="C70" s="112"/>
      <c r="D70" s="114"/>
      <c r="E70" s="114"/>
      <c r="F70" s="112"/>
      <c r="G70" s="97" t="s">
        <v>240</v>
      </c>
      <c r="H70" s="98">
        <v>100</v>
      </c>
      <c r="I70" s="99">
        <v>10.41</v>
      </c>
      <c r="J70" s="99">
        <f t="shared" si="1"/>
        <v>1041</v>
      </c>
      <c r="K70" s="100"/>
      <c r="L70" s="123"/>
      <c r="S70" s="91"/>
    </row>
    <row r="71" spans="1:26" ht="22.5" customHeight="1">
      <c r="A71" s="96">
        <f t="shared" si="2"/>
        <v>66</v>
      </c>
      <c r="B71" s="111" t="s">
        <v>189</v>
      </c>
      <c r="C71" s="112"/>
      <c r="D71" s="114" t="s">
        <v>236</v>
      </c>
      <c r="E71" s="114"/>
      <c r="F71" s="112"/>
      <c r="G71" s="97" t="s">
        <v>241</v>
      </c>
      <c r="H71" s="98">
        <v>50</v>
      </c>
      <c r="I71" s="99">
        <v>24</v>
      </c>
      <c r="J71" s="99">
        <f t="shared" si="1"/>
        <v>1200</v>
      </c>
      <c r="K71" s="100"/>
      <c r="L71" s="123"/>
      <c r="S71" s="91"/>
    </row>
    <row r="72" spans="1:26" ht="22.5" customHeight="1">
      <c r="A72" s="96">
        <f t="shared" si="2"/>
        <v>67</v>
      </c>
      <c r="B72" s="111" t="s">
        <v>190</v>
      </c>
      <c r="C72" s="112"/>
      <c r="D72" s="114"/>
      <c r="E72" s="114"/>
      <c r="F72" s="112"/>
      <c r="G72" s="97" t="s">
        <v>240</v>
      </c>
      <c r="H72" s="98">
        <v>700</v>
      </c>
      <c r="I72" s="99">
        <v>6.5</v>
      </c>
      <c r="J72" s="99">
        <f t="shared" si="1"/>
        <v>4550</v>
      </c>
      <c r="K72" s="100"/>
      <c r="L72" s="123"/>
      <c r="S72" s="91"/>
    </row>
    <row r="73" spans="1:26" ht="22.5" customHeight="1">
      <c r="A73" s="96">
        <f t="shared" si="2"/>
        <v>68</v>
      </c>
      <c r="B73" s="111" t="s">
        <v>191</v>
      </c>
      <c r="C73" s="112"/>
      <c r="D73" s="114"/>
      <c r="E73" s="114"/>
      <c r="F73" s="112"/>
      <c r="G73" s="97" t="s">
        <v>88</v>
      </c>
      <c r="H73" s="98">
        <v>3000</v>
      </c>
      <c r="I73" s="99">
        <v>1.25</v>
      </c>
      <c r="J73" s="99">
        <f t="shared" si="1"/>
        <v>3750</v>
      </c>
      <c r="K73" s="100"/>
      <c r="L73" s="123"/>
      <c r="S73" s="91"/>
    </row>
    <row r="74" spans="1:26" ht="22.5" customHeight="1">
      <c r="A74" s="96">
        <f t="shared" si="2"/>
        <v>69</v>
      </c>
      <c r="B74" s="111" t="s">
        <v>192</v>
      </c>
      <c r="C74" s="112"/>
      <c r="D74" s="114" t="s">
        <v>237</v>
      </c>
      <c r="E74" s="114"/>
      <c r="F74" s="112"/>
      <c r="G74" s="97" t="s">
        <v>88</v>
      </c>
      <c r="H74" s="98">
        <v>1</v>
      </c>
      <c r="I74" s="99">
        <v>600</v>
      </c>
      <c r="J74" s="99">
        <f t="shared" si="1"/>
        <v>600</v>
      </c>
      <c r="K74" s="100"/>
      <c r="L74" s="123"/>
      <c r="S74" s="91"/>
    </row>
    <row r="75" spans="1:26" ht="22.5" customHeight="1">
      <c r="A75" s="96">
        <f t="shared" si="2"/>
        <v>70</v>
      </c>
      <c r="B75" s="111" t="s">
        <v>193</v>
      </c>
      <c r="C75" s="112"/>
      <c r="D75" s="114"/>
      <c r="E75" s="114"/>
      <c r="F75" s="112"/>
      <c r="G75" s="97" t="s">
        <v>88</v>
      </c>
      <c r="H75" s="98">
        <v>1000</v>
      </c>
      <c r="I75" s="99">
        <v>3</v>
      </c>
      <c r="J75" s="99">
        <f t="shared" si="1"/>
        <v>3000</v>
      </c>
      <c r="K75" s="100"/>
      <c r="L75" s="123"/>
      <c r="S75" s="91"/>
    </row>
    <row r="76" spans="1:26" ht="22.5" customHeight="1">
      <c r="A76" s="96">
        <f t="shared" si="2"/>
        <v>71</v>
      </c>
      <c r="B76" s="111" t="s">
        <v>194</v>
      </c>
      <c r="C76" s="112"/>
      <c r="D76" s="114"/>
      <c r="E76" s="114"/>
      <c r="F76" s="112"/>
      <c r="G76" s="97" t="s">
        <v>88</v>
      </c>
      <c r="H76" s="98">
        <v>1000</v>
      </c>
      <c r="I76" s="99">
        <v>3</v>
      </c>
      <c r="J76" s="99">
        <f t="shared" si="1"/>
        <v>3000</v>
      </c>
      <c r="K76" s="100"/>
      <c r="L76" s="123"/>
      <c r="S76" s="91"/>
    </row>
    <row r="77" spans="1:26" ht="22.5" customHeight="1">
      <c r="A77" s="136" t="s">
        <v>8</v>
      </c>
      <c r="B77" s="137"/>
      <c r="C77" s="103"/>
      <c r="D77" s="104"/>
      <c r="E77" s="104"/>
      <c r="F77" s="104"/>
      <c r="G77" s="105"/>
      <c r="H77" s="106"/>
      <c r="I77" s="102" t="s">
        <v>9</v>
      </c>
      <c r="J77" s="99">
        <f>SUM(J6:J76)</f>
        <v>139090</v>
      </c>
      <c r="K77" s="99"/>
      <c r="L77" s="101"/>
    </row>
    <row r="78" spans="1:26" ht="25.5" customHeight="1">
      <c r="A78" s="95" t="s">
        <v>10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</row>
    <row r="79" spans="1:26" ht="18" customHeight="1">
      <c r="A79" s="7"/>
      <c r="J79" s="1"/>
      <c r="K79" s="1"/>
      <c r="O79" s="8"/>
      <c r="P79" s="8"/>
      <c r="Q79" s="8"/>
      <c r="R79" s="8"/>
      <c r="S79" s="8"/>
      <c r="T79" s="8"/>
      <c r="U79" s="8"/>
      <c r="V79" s="8"/>
      <c r="W79" s="8"/>
      <c r="Y79" s="144"/>
      <c r="Z79" s="8"/>
    </row>
    <row r="80" spans="1:26" ht="50.1" customHeight="1">
      <c r="Y80" s="145"/>
    </row>
    <row r="81" spans="15:25" ht="15" customHeight="1">
      <c r="O81" s="140" t="s">
        <v>115</v>
      </c>
      <c r="P81" s="146"/>
      <c r="Q81" s="146"/>
      <c r="R81" s="141"/>
      <c r="S81" s="113"/>
      <c r="T81" s="140" t="s">
        <v>116</v>
      </c>
      <c r="U81" s="146"/>
      <c r="V81" s="146"/>
      <c r="W81" s="146"/>
      <c r="X81" s="146"/>
      <c r="Y81" s="141"/>
    </row>
    <row r="82" spans="15:25" ht="15" customHeight="1">
      <c r="O82" s="139" t="s">
        <v>117</v>
      </c>
      <c r="P82" s="133" t="s">
        <v>118</v>
      </c>
      <c r="Q82" s="139" t="s">
        <v>119</v>
      </c>
      <c r="R82" s="133" t="s">
        <v>120</v>
      </c>
      <c r="S82" s="113"/>
      <c r="T82" s="139" t="s">
        <v>121</v>
      </c>
      <c r="U82" s="133" t="s">
        <v>122</v>
      </c>
      <c r="V82" s="140" t="s">
        <v>123</v>
      </c>
      <c r="W82" s="146"/>
      <c r="X82" s="141"/>
      <c r="Y82" s="133" t="s">
        <v>124</v>
      </c>
    </row>
    <row r="83" spans="15:25" ht="18" customHeight="1">
      <c r="O83" s="135"/>
      <c r="P83" s="134"/>
      <c r="Q83" s="135"/>
      <c r="R83" s="134"/>
      <c r="S83" s="115"/>
      <c r="T83" s="135"/>
      <c r="U83" s="134"/>
      <c r="V83" s="10" t="s">
        <v>117</v>
      </c>
      <c r="W83" s="147" t="s">
        <v>125</v>
      </c>
      <c r="X83" s="148"/>
      <c r="Y83" s="134"/>
    </row>
    <row r="84" spans="15:25" ht="50.1" customHeight="1">
      <c r="O84" s="11"/>
      <c r="P84" s="11"/>
      <c r="Q84" s="11"/>
      <c r="R84" s="11"/>
      <c r="S84" s="113"/>
      <c r="T84" s="11"/>
      <c r="U84" s="11"/>
      <c r="V84" s="11"/>
      <c r="W84" s="140"/>
      <c r="X84" s="141"/>
      <c r="Y84" s="116"/>
    </row>
    <row r="85" spans="15:25" ht="36" customHeight="1">
      <c r="W85" s="117"/>
      <c r="X85" s="142" t="s">
        <v>126</v>
      </c>
      <c r="Y85" s="9" t="s">
        <v>124</v>
      </c>
    </row>
    <row r="86" spans="15:25" ht="50.1" customHeight="1">
      <c r="O86" s="118"/>
      <c r="P86" s="118"/>
      <c r="Q86" s="118"/>
      <c r="R86" s="118"/>
      <c r="S86" s="118"/>
      <c r="T86" s="118"/>
      <c r="U86" s="118"/>
      <c r="V86" s="118"/>
      <c r="W86" s="119"/>
      <c r="X86" s="143"/>
      <c r="Y86" s="120"/>
    </row>
    <row r="87" spans="15:25" ht="19.899999999999999" customHeight="1"/>
    <row r="88" spans="15:25" ht="17.45" customHeight="1">
      <c r="O88" s="138"/>
      <c r="P88" s="138"/>
      <c r="Q88" s="138"/>
    </row>
    <row r="89" spans="15:25" ht="19.899999999999999" customHeight="1">
      <c r="O89" s="138"/>
      <c r="P89" s="138"/>
      <c r="Q89" s="138"/>
    </row>
    <row r="90" spans="15:25" ht="14.25">
      <c r="O90" s="8"/>
      <c r="P90" s="8"/>
      <c r="Q90" s="8"/>
    </row>
    <row r="91" spans="15:25" ht="65.099999999999994" customHeight="1"/>
    <row r="92" spans="15:25" ht="14.25">
      <c r="O92" s="8"/>
      <c r="P92" s="8"/>
      <c r="Q92" s="8"/>
    </row>
    <row r="93" spans="15:25" ht="19.899999999999999" customHeight="1"/>
    <row r="94" spans="15:25" ht="14.25"/>
    <row r="95" spans="15:25" ht="19.899999999999999" customHeight="1"/>
    <row r="96" spans="15:25" ht="14.25"/>
    <row r="97" spans="15:22" ht="19.899999999999999" customHeight="1"/>
    <row r="98" spans="15:22" ht="19.899999999999999" customHeight="1"/>
    <row r="99" spans="15:22" ht="64.900000000000006" customHeight="1"/>
    <row r="101" spans="15:22" ht="19.899999999999999" customHeight="1">
      <c r="T101" s="133" t="s">
        <v>12</v>
      </c>
    </row>
    <row r="102" spans="15:22" ht="19.899999999999999" customHeight="1">
      <c r="T102" s="134"/>
    </row>
    <row r="103" spans="15:22" ht="64.900000000000006" customHeight="1">
      <c r="T103" s="11"/>
    </row>
    <row r="107" spans="15:22" ht="21" customHeight="1">
      <c r="O107" s="133" t="s">
        <v>12</v>
      </c>
      <c r="P107" s="133" t="s">
        <v>12</v>
      </c>
      <c r="Q107" s="133" t="s">
        <v>12</v>
      </c>
      <c r="T107" s="133" t="s">
        <v>13</v>
      </c>
      <c r="U107" s="133" t="s">
        <v>11</v>
      </c>
      <c r="V107" s="133" t="s">
        <v>12</v>
      </c>
    </row>
    <row r="108" spans="15:22" ht="21" customHeight="1">
      <c r="O108" s="134"/>
      <c r="P108" s="134"/>
      <c r="Q108" s="134"/>
      <c r="T108" s="135"/>
      <c r="U108" s="135"/>
      <c r="V108" s="134"/>
    </row>
    <row r="109" spans="15:22" ht="64.900000000000006" customHeight="1">
      <c r="O109" s="11"/>
      <c r="P109" s="11"/>
      <c r="Q109" s="11"/>
      <c r="T109" s="11"/>
      <c r="U109" s="12"/>
      <c r="V109" s="11"/>
    </row>
    <row r="110" spans="15:22" ht="7.15" customHeight="1"/>
    <row r="111" spans="15:22" ht="21" customHeight="1">
      <c r="O111" s="133" t="s">
        <v>12</v>
      </c>
      <c r="P111" s="133" t="s">
        <v>12</v>
      </c>
      <c r="Q111" s="133" t="s">
        <v>12</v>
      </c>
      <c r="T111" s="133" t="s">
        <v>11</v>
      </c>
      <c r="U111" s="133" t="s">
        <v>13</v>
      </c>
      <c r="V111" s="133" t="s">
        <v>12</v>
      </c>
    </row>
    <row r="112" spans="15:22" ht="21" customHeight="1">
      <c r="O112" s="134"/>
      <c r="P112" s="134"/>
      <c r="Q112" s="134"/>
      <c r="T112" s="135"/>
      <c r="U112" s="135"/>
      <c r="V112" s="134"/>
    </row>
    <row r="113" spans="15:22" ht="64.900000000000006" customHeight="1">
      <c r="O113" s="11"/>
      <c r="P113" s="11"/>
      <c r="Q113" s="11"/>
      <c r="T113" s="12"/>
      <c r="U113" s="11"/>
      <c r="V113" s="11"/>
    </row>
  </sheetData>
  <mergeCells count="43">
    <mergeCell ref="W84:X84"/>
    <mergeCell ref="X85:X86"/>
    <mergeCell ref="Y79:Y80"/>
    <mergeCell ref="O81:R81"/>
    <mergeCell ref="T81:Y81"/>
    <mergeCell ref="O82:O83"/>
    <mergeCell ref="R82:R83"/>
    <mergeCell ref="T82:T83"/>
    <mergeCell ref="U82:U83"/>
    <mergeCell ref="V82:X82"/>
    <mergeCell ref="Y82:Y83"/>
    <mergeCell ref="W83:X83"/>
    <mergeCell ref="A77:B77"/>
    <mergeCell ref="P88:P89"/>
    <mergeCell ref="Q88:Q89"/>
    <mergeCell ref="O88:O89"/>
    <mergeCell ref="U107:U108"/>
    <mergeCell ref="T101:T102"/>
    <mergeCell ref="P82:P83"/>
    <mergeCell ref="Q82:Q83"/>
    <mergeCell ref="V107:V108"/>
    <mergeCell ref="O111:O112"/>
    <mergeCell ref="P111:P112"/>
    <mergeCell ref="Q111:Q112"/>
    <mergeCell ref="T111:T112"/>
    <mergeCell ref="U111:U112"/>
    <mergeCell ref="V111:V112"/>
    <mergeCell ref="O107:O108"/>
    <mergeCell ref="P107:P108"/>
    <mergeCell ref="Q107:Q108"/>
    <mergeCell ref="T107:T108"/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view="pageBreakPreview" zoomScale="70" zoomScaleNormal="95" zoomScaleSheetLayoutView="70" workbookViewId="0">
      <pane ySplit="5" topLeftCell="A32" activePane="bottomLeft" state="frozen"/>
      <selection activeCell="D30" sqref="D30"/>
      <selection pane="bottomLeft" activeCell="I36" sqref="I3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SAC2-DS-MRS-0477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46296</v>
      </c>
    </row>
    <row r="4" spans="1:18" ht="15.95" customHeight="1">
      <c r="A4" s="154" t="s">
        <v>2</v>
      </c>
      <c r="B4" s="155" t="s">
        <v>14</v>
      </c>
      <c r="C4" s="155"/>
      <c r="D4" s="154" t="s">
        <v>4</v>
      </c>
      <c r="E4" s="154"/>
      <c r="F4" s="154"/>
      <c r="G4" s="155" t="s">
        <v>5</v>
      </c>
      <c r="H4" s="154" t="s">
        <v>82</v>
      </c>
      <c r="I4" s="154" t="s">
        <v>15</v>
      </c>
      <c r="J4" s="154" t="s">
        <v>16</v>
      </c>
      <c r="K4" s="155" t="s">
        <v>7</v>
      </c>
    </row>
    <row r="5" spans="1:18" ht="15.95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5"/>
    </row>
    <row r="6" spans="1:18" ht="74.25" customHeight="1">
      <c r="A6" s="14">
        <f>+MRS!A6</f>
        <v>1</v>
      </c>
      <c r="B6" s="152" t="str">
        <f>MRS!B6</f>
        <v>TP SWITCH - 8 PORT</v>
      </c>
      <c r="C6" s="153"/>
      <c r="D6" s="149" t="str">
        <f>MRS!D6</f>
        <v>tp link</v>
      </c>
      <c r="E6" s="150"/>
      <c r="F6" s="151"/>
      <c r="G6" s="88" t="str">
        <f>MRS!G6</f>
        <v>EA</v>
      </c>
      <c r="H6" s="88">
        <f>MRS!H6</f>
        <v>2</v>
      </c>
      <c r="I6" s="89">
        <f>MRS!I6</f>
        <v>86</v>
      </c>
      <c r="J6" s="89">
        <f>MRS!J6</f>
        <v>172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2" t="str">
        <f>MRS!B7</f>
        <v>TIME CARD</v>
      </c>
      <c r="C7" s="153"/>
      <c r="D7" s="149" t="str">
        <f>MRS!D7</f>
        <v>BST,100PCS B862</v>
      </c>
      <c r="E7" s="150"/>
      <c r="F7" s="151"/>
      <c r="G7" s="88" t="str">
        <f>MRS!G7</f>
        <v>PKT</v>
      </c>
      <c r="H7" s="88">
        <f>MRS!H7</f>
        <v>100</v>
      </c>
      <c r="I7" s="89">
        <f>MRS!I7</f>
        <v>9</v>
      </c>
      <c r="J7" s="89">
        <f>MRS!J7</f>
        <v>900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2" t="str">
        <f>MRS!B8</f>
        <v>TIMECARD HOLDER</v>
      </c>
      <c r="C8" s="153"/>
      <c r="D8" s="149">
        <f>MRS!D8</f>
        <v>0</v>
      </c>
      <c r="E8" s="150"/>
      <c r="F8" s="151"/>
      <c r="G8" s="88" t="str">
        <f>MRS!G8</f>
        <v>EA</v>
      </c>
      <c r="H8" s="88">
        <f>MRS!H8</f>
        <v>10</v>
      </c>
      <c r="I8" s="89">
        <f>MRS!I8</f>
        <v>75</v>
      </c>
      <c r="J8" s="89">
        <f>MRS!J8</f>
        <v>750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2" t="str">
        <f>MRS!B9</f>
        <v>EXTENSION BOARD- LEGRAND</v>
      </c>
      <c r="C9" s="153"/>
      <c r="D9" s="149">
        <f>MRS!D9</f>
        <v>0</v>
      </c>
      <c r="E9" s="150"/>
      <c r="F9" s="151"/>
      <c r="G9" s="88" t="str">
        <f>MRS!G9</f>
        <v>EA</v>
      </c>
      <c r="H9" s="88">
        <f>MRS!H9</f>
        <v>20</v>
      </c>
      <c r="I9" s="89">
        <f>MRS!I9</f>
        <v>80</v>
      </c>
      <c r="J9" s="89">
        <f>MRS!J9</f>
        <v>1600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2" t="str">
        <f>MRS!B10</f>
        <v>KONICA C361i PRINTER - DRUM (Y M C)</v>
      </c>
      <c r="C10" s="153"/>
      <c r="D10" s="149" t="str">
        <f>MRS!D10</f>
        <v>DR316 COLOR DRUM UNIT</v>
      </c>
      <c r="E10" s="150"/>
      <c r="F10" s="151"/>
      <c r="G10" s="88" t="str">
        <f>MRS!G10</f>
        <v>EA</v>
      </c>
      <c r="H10" s="88">
        <f>MRS!H10</f>
        <v>5</v>
      </c>
      <c r="I10" s="89">
        <f>MRS!I10</f>
        <v>915</v>
      </c>
      <c r="J10" s="89">
        <f>MRS!J10</f>
        <v>4575</v>
      </c>
      <c r="K10" s="90"/>
      <c r="O10" s="91"/>
      <c r="P10" s="91"/>
      <c r="R10" s="91"/>
    </row>
    <row r="11" spans="1:18" ht="74.25" customHeight="1">
      <c r="A11" s="14">
        <f>+MRS!A11</f>
        <v>6</v>
      </c>
      <c r="B11" s="152" t="str">
        <f>MRS!B11</f>
        <v>RICOH C6003 - TONER</v>
      </c>
      <c r="C11" s="153"/>
      <c r="D11" s="149" t="str">
        <f>MRS!D11</f>
        <v>CYAN</v>
      </c>
      <c r="E11" s="150"/>
      <c r="F11" s="151"/>
      <c r="G11" s="88" t="str">
        <f>MRS!G11</f>
        <v>EA</v>
      </c>
      <c r="H11" s="88">
        <f>MRS!H11</f>
        <v>6</v>
      </c>
      <c r="I11" s="89">
        <f>MRS!I11</f>
        <v>506</v>
      </c>
      <c r="J11" s="89">
        <f>MRS!J11</f>
        <v>3036</v>
      </c>
      <c r="K11" s="90"/>
      <c r="O11" s="91"/>
      <c r="P11" s="91"/>
      <c r="R11" s="91"/>
    </row>
    <row r="12" spans="1:18" ht="74.25" customHeight="1">
      <c r="A12" s="14">
        <f>+MRS!A12</f>
        <v>7</v>
      </c>
      <c r="B12" s="152" t="str">
        <f>MRS!B12</f>
        <v>RICOH C6003 - TONER</v>
      </c>
      <c r="C12" s="153"/>
      <c r="D12" s="149" t="str">
        <f>MRS!D12</f>
        <v>MAGENTA</v>
      </c>
      <c r="E12" s="150"/>
      <c r="F12" s="151"/>
      <c r="G12" s="88" t="str">
        <f>MRS!G12</f>
        <v>EA</v>
      </c>
      <c r="H12" s="88">
        <f>MRS!H12</f>
        <v>6</v>
      </c>
      <c r="I12" s="89">
        <f>MRS!I12</f>
        <v>506</v>
      </c>
      <c r="J12" s="89">
        <f>MRS!J12</f>
        <v>3036</v>
      </c>
      <c r="K12" s="90"/>
      <c r="O12" s="91"/>
      <c r="P12" s="91"/>
      <c r="R12" s="91"/>
    </row>
    <row r="13" spans="1:18" ht="74.25" customHeight="1">
      <c r="A13" s="14">
        <f>+MRS!A13</f>
        <v>8</v>
      </c>
      <c r="B13" s="152" t="str">
        <f>MRS!B13</f>
        <v>RICOH C6003 - TONER</v>
      </c>
      <c r="C13" s="153"/>
      <c r="D13" s="149" t="str">
        <f>MRS!D13</f>
        <v>YELLOW</v>
      </c>
      <c r="E13" s="150"/>
      <c r="F13" s="151"/>
      <c r="G13" s="88" t="str">
        <f>MRS!G13</f>
        <v>EA</v>
      </c>
      <c r="H13" s="88">
        <f>MRS!H13</f>
        <v>6</v>
      </c>
      <c r="I13" s="89">
        <f>MRS!I13</f>
        <v>506</v>
      </c>
      <c r="J13" s="89">
        <f>MRS!J13</f>
        <v>3036</v>
      </c>
      <c r="K13" s="90"/>
      <c r="O13" s="91"/>
      <c r="P13" s="91"/>
      <c r="R13" s="91"/>
    </row>
    <row r="14" spans="1:18" ht="74.25" customHeight="1">
      <c r="A14" s="14">
        <f>+MRS!A14</f>
        <v>9</v>
      </c>
      <c r="B14" s="152" t="str">
        <f>MRS!B14</f>
        <v>RICOH C6003 - TONER</v>
      </c>
      <c r="C14" s="153"/>
      <c r="D14" s="149" t="str">
        <f>MRS!D14</f>
        <v>BLACK</v>
      </c>
      <c r="E14" s="150"/>
      <c r="F14" s="151"/>
      <c r="G14" s="88" t="str">
        <f>MRS!G14</f>
        <v>EA</v>
      </c>
      <c r="H14" s="88">
        <f>MRS!H14</f>
        <v>12</v>
      </c>
      <c r="I14" s="89">
        <f>MRS!I14</f>
        <v>342</v>
      </c>
      <c r="J14" s="89">
        <f>MRS!J14</f>
        <v>4104</v>
      </c>
      <c r="K14" s="90"/>
      <c r="O14" s="91"/>
      <c r="P14" s="91"/>
      <c r="R14" s="91"/>
    </row>
    <row r="15" spans="1:18" ht="74.25" customHeight="1">
      <c r="A15" s="14">
        <f>+MRS!A15</f>
        <v>10</v>
      </c>
      <c r="B15" s="152" t="str">
        <f>MRS!B15</f>
        <v>XEROX C7030 - TONER</v>
      </c>
      <c r="C15" s="153"/>
      <c r="D15" s="149" t="str">
        <f>MRS!D15</f>
        <v>006R01829 - CYAN</v>
      </c>
      <c r="E15" s="150"/>
      <c r="F15" s="151"/>
      <c r="G15" s="88" t="str">
        <f>MRS!G15</f>
        <v>EA</v>
      </c>
      <c r="H15" s="88">
        <f>MRS!H15</f>
        <v>4</v>
      </c>
      <c r="I15" s="89">
        <f>MRS!I15</f>
        <v>460</v>
      </c>
      <c r="J15" s="89">
        <f>MRS!J15</f>
        <v>1840</v>
      </c>
      <c r="K15" s="90"/>
      <c r="O15" s="91"/>
      <c r="P15" s="91"/>
      <c r="R15" s="91"/>
    </row>
    <row r="16" spans="1:18" ht="74.25" customHeight="1">
      <c r="A16" s="14">
        <f>+MRS!A16</f>
        <v>11</v>
      </c>
      <c r="B16" s="152" t="str">
        <f>MRS!B16</f>
        <v>XEROX C7030 - TONER</v>
      </c>
      <c r="C16" s="153"/>
      <c r="D16" s="149" t="str">
        <f>MRS!D16</f>
        <v>006R01830 - MAGENTA</v>
      </c>
      <c r="E16" s="150"/>
      <c r="F16" s="151"/>
      <c r="G16" s="88" t="str">
        <f>MRS!G16</f>
        <v>EA</v>
      </c>
      <c r="H16" s="88">
        <f>MRS!H16</f>
        <v>4</v>
      </c>
      <c r="I16" s="89">
        <f>MRS!I16</f>
        <v>460</v>
      </c>
      <c r="J16" s="89">
        <f>MRS!J16</f>
        <v>1840</v>
      </c>
      <c r="K16" s="90"/>
      <c r="O16" s="91"/>
      <c r="P16" s="91"/>
      <c r="R16" s="91"/>
    </row>
    <row r="17" spans="1:18" ht="74.25" customHeight="1">
      <c r="A17" s="14">
        <f>+MRS!A17</f>
        <v>12</v>
      </c>
      <c r="B17" s="152" t="str">
        <f>MRS!B17</f>
        <v>XEROX C7030 - TONER</v>
      </c>
      <c r="C17" s="153"/>
      <c r="D17" s="149" t="str">
        <f>MRS!D17</f>
        <v>006R01831 - YELLOW</v>
      </c>
      <c r="E17" s="150"/>
      <c r="F17" s="151"/>
      <c r="G17" s="88" t="str">
        <f>MRS!G17</f>
        <v>EA</v>
      </c>
      <c r="H17" s="88">
        <f>MRS!H17</f>
        <v>4</v>
      </c>
      <c r="I17" s="89">
        <f>MRS!I17</f>
        <v>460</v>
      </c>
      <c r="J17" s="89">
        <f>MRS!J17</f>
        <v>1840</v>
      </c>
      <c r="K17" s="90"/>
      <c r="O17" s="91"/>
      <c r="P17" s="91"/>
      <c r="R17" s="91"/>
    </row>
    <row r="18" spans="1:18" ht="74.25" customHeight="1">
      <c r="A18" s="14">
        <f>+MRS!A18</f>
        <v>13</v>
      </c>
      <c r="B18" s="152" t="str">
        <f>MRS!B18</f>
        <v>XEROX C7030 - TONER</v>
      </c>
      <c r="C18" s="153"/>
      <c r="D18" s="149" t="str">
        <f>MRS!D18</f>
        <v>006R01828 - BLACK</v>
      </c>
      <c r="E18" s="150"/>
      <c r="F18" s="151"/>
      <c r="G18" s="88" t="str">
        <f>MRS!G18</f>
        <v>EA</v>
      </c>
      <c r="H18" s="88">
        <f>MRS!H18</f>
        <v>6</v>
      </c>
      <c r="I18" s="89">
        <f>MRS!I18</f>
        <v>360</v>
      </c>
      <c r="J18" s="89">
        <f>MRS!J18</f>
        <v>2160</v>
      </c>
      <c r="K18" s="90"/>
      <c r="O18" s="91"/>
      <c r="P18" s="91"/>
      <c r="R18" s="91"/>
    </row>
    <row r="19" spans="1:18" ht="74.25" customHeight="1">
      <c r="A19" s="14">
        <f>+MRS!A19</f>
        <v>14</v>
      </c>
      <c r="B19" s="152" t="str">
        <f>MRS!B19</f>
        <v xml:space="preserve">XEROX C7030 </v>
      </c>
      <c r="C19" s="153"/>
      <c r="D19" s="149" t="str">
        <f>MRS!D19</f>
        <v>WASTE CATRIDGE - R5</v>
      </c>
      <c r="E19" s="150"/>
      <c r="F19" s="151"/>
      <c r="G19" s="88" t="str">
        <f>MRS!G19</f>
        <v>EA</v>
      </c>
      <c r="H19" s="88">
        <f>MRS!H19</f>
        <v>3</v>
      </c>
      <c r="I19" s="89">
        <f>MRS!I19</f>
        <v>220</v>
      </c>
      <c r="J19" s="89">
        <f>MRS!J19</f>
        <v>660</v>
      </c>
      <c r="K19" s="90"/>
      <c r="O19" s="91"/>
      <c r="P19" s="91"/>
      <c r="R19" s="91"/>
    </row>
    <row r="20" spans="1:18" ht="74.25" customHeight="1">
      <c r="A20" s="14">
        <f>+MRS!A20</f>
        <v>15</v>
      </c>
      <c r="B20" s="152" t="str">
        <f>MRS!B20</f>
        <v>XEROX C7030 - DRUM UNIT</v>
      </c>
      <c r="C20" s="153"/>
      <c r="D20" s="149" t="str">
        <f>MRS!D20</f>
        <v>DRUM UNIT</v>
      </c>
      <c r="E20" s="150"/>
      <c r="F20" s="151"/>
      <c r="G20" s="88" t="str">
        <f>MRS!G20</f>
        <v>EA</v>
      </c>
      <c r="H20" s="88">
        <f>MRS!H20</f>
        <v>4</v>
      </c>
      <c r="I20" s="89">
        <f>MRS!I20</f>
        <v>1125</v>
      </c>
      <c r="J20" s="89">
        <f>MRS!J20</f>
        <v>4500</v>
      </c>
      <c r="K20" s="90"/>
      <c r="O20" s="91"/>
      <c r="P20" s="91"/>
      <c r="R20" s="91"/>
    </row>
    <row r="21" spans="1:18" ht="74.25" customHeight="1">
      <c r="A21" s="14">
        <f>+MRS!A21</f>
        <v>16</v>
      </c>
      <c r="B21" s="152" t="str">
        <f>MRS!B21</f>
        <v>XEROX B7030 - B&amp;W PRINTER</v>
      </c>
      <c r="C21" s="153"/>
      <c r="D21" s="149" t="str">
        <f>MRS!D21</f>
        <v>006R01819 - BLACK TONER</v>
      </c>
      <c r="E21" s="150"/>
      <c r="F21" s="151"/>
      <c r="G21" s="88" t="str">
        <f>MRS!G21</f>
        <v>EA</v>
      </c>
      <c r="H21" s="88">
        <f>MRS!H21</f>
        <v>2</v>
      </c>
      <c r="I21" s="89">
        <f>MRS!I21</f>
        <v>450</v>
      </c>
      <c r="J21" s="89">
        <f>MRS!J21</f>
        <v>900</v>
      </c>
      <c r="K21" s="90"/>
      <c r="O21" s="91"/>
      <c r="P21" s="91"/>
      <c r="R21" s="91"/>
    </row>
    <row r="22" spans="1:18" ht="74.25" customHeight="1">
      <c r="A22" s="14">
        <f>+MRS!A22</f>
        <v>17</v>
      </c>
      <c r="B22" s="152" t="str">
        <f>MRS!B22</f>
        <v>TOSHIBA 6525AC - TONER</v>
      </c>
      <c r="C22" s="153"/>
      <c r="D22" s="149" t="str">
        <f>MRS!D22</f>
        <v>T-FC425P-K-M (BLACK)</v>
      </c>
      <c r="E22" s="150"/>
      <c r="F22" s="151"/>
      <c r="G22" s="88" t="str">
        <f>MRS!G22</f>
        <v>EA</v>
      </c>
      <c r="H22" s="88">
        <f>MRS!H22</f>
        <v>4</v>
      </c>
      <c r="I22" s="89">
        <f>MRS!I22</f>
        <v>385</v>
      </c>
      <c r="J22" s="89">
        <f>MRS!J22</f>
        <v>1540</v>
      </c>
      <c r="K22" s="90"/>
      <c r="O22" s="91"/>
      <c r="P22" s="91"/>
      <c r="R22" s="91"/>
    </row>
    <row r="23" spans="1:18" ht="74.25" customHeight="1">
      <c r="A23" s="14">
        <f>+MRS!A23</f>
        <v>18</v>
      </c>
      <c r="B23" s="152" t="str">
        <f>MRS!B23</f>
        <v>TOSHIBA 6525AC - TONER</v>
      </c>
      <c r="C23" s="153"/>
      <c r="D23" s="149" t="str">
        <f>MRS!D23</f>
        <v>T-FC425P-C-M (CYAN)</v>
      </c>
      <c r="E23" s="150"/>
      <c r="F23" s="151"/>
      <c r="G23" s="88" t="str">
        <f>MRS!G23</f>
        <v>EA</v>
      </c>
      <c r="H23" s="88">
        <f>MRS!H23</f>
        <v>2</v>
      </c>
      <c r="I23" s="89">
        <f>MRS!I23</f>
        <v>500</v>
      </c>
      <c r="J23" s="89">
        <f>MRS!J23</f>
        <v>1000</v>
      </c>
      <c r="K23" s="90"/>
      <c r="O23" s="91"/>
      <c r="P23" s="91"/>
      <c r="R23" s="91"/>
    </row>
    <row r="24" spans="1:18" ht="74.25" customHeight="1">
      <c r="A24" s="14">
        <f>+MRS!A24</f>
        <v>19</v>
      </c>
      <c r="B24" s="152" t="str">
        <f>MRS!B24</f>
        <v>TOSHIBA 6525AC - TONER</v>
      </c>
      <c r="C24" s="153"/>
      <c r="D24" s="149" t="str">
        <f>MRS!D24</f>
        <v>T-FC425P-M-M (MEGANTA)</v>
      </c>
      <c r="E24" s="150"/>
      <c r="F24" s="151"/>
      <c r="G24" s="88" t="str">
        <f>MRS!G24</f>
        <v>EA</v>
      </c>
      <c r="H24" s="88">
        <f>MRS!H24</f>
        <v>2</v>
      </c>
      <c r="I24" s="89">
        <f>MRS!I24</f>
        <v>500</v>
      </c>
      <c r="J24" s="89">
        <f>MRS!J24</f>
        <v>1000</v>
      </c>
      <c r="K24" s="90"/>
      <c r="O24" s="91"/>
      <c r="P24" s="91"/>
      <c r="R24" s="91"/>
    </row>
    <row r="25" spans="1:18" ht="74.25" customHeight="1">
      <c r="A25" s="14">
        <f>+MRS!A25</f>
        <v>20</v>
      </c>
      <c r="B25" s="152" t="str">
        <f>MRS!B25</f>
        <v>TOSHIBA 6525AC - TONER</v>
      </c>
      <c r="C25" s="153"/>
      <c r="D25" s="149" t="str">
        <f>MRS!D25</f>
        <v>T-FC425P-Y-M (YELLOW)</v>
      </c>
      <c r="E25" s="150"/>
      <c r="F25" s="151"/>
      <c r="G25" s="88" t="str">
        <f>MRS!G25</f>
        <v>EA</v>
      </c>
      <c r="H25" s="88">
        <f>MRS!H25</f>
        <v>2</v>
      </c>
      <c r="I25" s="89">
        <f>MRS!I25</f>
        <v>500</v>
      </c>
      <c r="J25" s="89">
        <f>MRS!J25</f>
        <v>1000</v>
      </c>
      <c r="K25" s="90"/>
      <c r="O25" s="91"/>
      <c r="P25" s="91"/>
      <c r="R25" s="91"/>
    </row>
    <row r="26" spans="1:18" ht="74.25" customHeight="1">
      <c r="A26" s="14">
        <f>+MRS!A26</f>
        <v>21</v>
      </c>
      <c r="B26" s="152" t="str">
        <f>MRS!B26</f>
        <v>CANON IMAGE RUNNER C5550 - BLACK TONER</v>
      </c>
      <c r="C26" s="153"/>
      <c r="D26" s="149" t="str">
        <f>MRS!D26</f>
        <v>C-EXV 51 BLACK TONER</v>
      </c>
      <c r="E26" s="150"/>
      <c r="F26" s="151"/>
      <c r="G26" s="88" t="str">
        <f>MRS!G26</f>
        <v>EA</v>
      </c>
      <c r="H26" s="88">
        <f>MRS!H26</f>
        <v>4</v>
      </c>
      <c r="I26" s="89">
        <f>MRS!I26</f>
        <v>575</v>
      </c>
      <c r="J26" s="89">
        <f>MRS!J26</f>
        <v>2300</v>
      </c>
      <c r="K26" s="90"/>
      <c r="O26" s="91"/>
      <c r="P26" s="91"/>
      <c r="R26" s="91"/>
    </row>
    <row r="27" spans="1:18" ht="74.25" customHeight="1">
      <c r="A27" s="14">
        <f>+MRS!A27</f>
        <v>22</v>
      </c>
      <c r="B27" s="152" t="str">
        <f>MRS!B27</f>
        <v>CANON IMAGE RUNNER C5550 - YELLOW TONER</v>
      </c>
      <c r="C27" s="153"/>
      <c r="D27" s="149" t="str">
        <f>MRS!D27</f>
        <v>C-EXV 51 YELLOW TONER</v>
      </c>
      <c r="E27" s="150"/>
      <c r="F27" s="151"/>
      <c r="G27" s="88" t="str">
        <f>MRS!G27</f>
        <v>EA</v>
      </c>
      <c r="H27" s="88">
        <f>MRS!H27</f>
        <v>2</v>
      </c>
      <c r="I27" s="89">
        <f>MRS!I27</f>
        <v>650</v>
      </c>
      <c r="J27" s="89">
        <f>MRS!J27</f>
        <v>1300</v>
      </c>
      <c r="K27" s="90"/>
      <c r="O27" s="91"/>
      <c r="P27" s="91"/>
      <c r="R27" s="91"/>
    </row>
    <row r="28" spans="1:18" ht="74.25" customHeight="1">
      <c r="A28" s="14">
        <f>+MRS!A28</f>
        <v>23</v>
      </c>
      <c r="B28" s="152" t="str">
        <f>MRS!B28</f>
        <v>CANON IMAGE RUNNER C5550 - CYAN TONER</v>
      </c>
      <c r="C28" s="153"/>
      <c r="D28" s="149" t="str">
        <f>MRS!D28</f>
        <v>C-EXV 51 CYAN TONER</v>
      </c>
      <c r="E28" s="150"/>
      <c r="F28" s="151"/>
      <c r="G28" s="88" t="str">
        <f>MRS!G28</f>
        <v>EA</v>
      </c>
      <c r="H28" s="88">
        <f>MRS!H28</f>
        <v>2</v>
      </c>
      <c r="I28" s="89">
        <f>MRS!I28</f>
        <v>650</v>
      </c>
      <c r="J28" s="89">
        <f>MRS!J28</f>
        <v>1300</v>
      </c>
      <c r="K28" s="90"/>
      <c r="O28" s="91"/>
      <c r="P28" s="91"/>
      <c r="R28" s="91"/>
    </row>
    <row r="29" spans="1:18" ht="74.25" customHeight="1">
      <c r="A29" s="14">
        <f>+MRS!A29</f>
        <v>24</v>
      </c>
      <c r="B29" s="152" t="str">
        <f>MRS!B29</f>
        <v>CANON IMAGE RUNNER C5550 - MAGENTA TONER</v>
      </c>
      <c r="C29" s="153"/>
      <c r="D29" s="149" t="str">
        <f>MRS!D29</f>
        <v>C-EXV 51 MAGENTA TONER</v>
      </c>
      <c r="E29" s="150"/>
      <c r="F29" s="151"/>
      <c r="G29" s="88" t="str">
        <f>MRS!G29</f>
        <v>EA</v>
      </c>
      <c r="H29" s="88">
        <f>MRS!H29</f>
        <v>2</v>
      </c>
      <c r="I29" s="89">
        <f>MRS!I29</f>
        <v>650</v>
      </c>
      <c r="J29" s="89">
        <f>MRS!J29</f>
        <v>1300</v>
      </c>
      <c r="K29" s="90"/>
      <c r="O29" s="91"/>
      <c r="P29" s="91"/>
      <c r="R29" s="91"/>
    </row>
    <row r="30" spans="1:18" ht="74.25" customHeight="1">
      <c r="A30" s="14">
        <f>+MRS!A30</f>
        <v>25</v>
      </c>
      <c r="B30" s="152" t="str">
        <f>MRS!B30</f>
        <v>CANON IMAGE RUNNER C5550 - DRUM UNIT</v>
      </c>
      <c r="C30" s="153"/>
      <c r="D30" s="149" t="str">
        <f>MRS!D30</f>
        <v>C-EXV 51 DRUM UNIT</v>
      </c>
      <c r="E30" s="150"/>
      <c r="F30" s="151"/>
      <c r="G30" s="88" t="str">
        <f>MRS!G30</f>
        <v>EA</v>
      </c>
      <c r="H30" s="88">
        <f>MRS!H30</f>
        <v>2</v>
      </c>
      <c r="I30" s="89">
        <f>MRS!I30</f>
        <v>2030</v>
      </c>
      <c r="J30" s="89">
        <f>MRS!J30</f>
        <v>4060</v>
      </c>
      <c r="K30" s="90"/>
      <c r="O30" s="91"/>
      <c r="P30" s="91"/>
      <c r="R30" s="91"/>
    </row>
    <row r="31" spans="1:18" ht="74.25" customHeight="1">
      <c r="A31" s="14">
        <f>+MRS!A31</f>
        <v>26</v>
      </c>
      <c r="B31" s="152" t="str">
        <f>MRS!B31</f>
        <v>CANON IMAGE RUNNER C5550 - WASTE TONER BOX</v>
      </c>
      <c r="C31" s="153"/>
      <c r="D31" s="149" t="str">
        <f>MRS!D31</f>
        <v>WT-202</v>
      </c>
      <c r="E31" s="150"/>
      <c r="F31" s="151"/>
      <c r="G31" s="88" t="str">
        <f>MRS!G31</f>
        <v>EA</v>
      </c>
      <c r="H31" s="88">
        <f>MRS!H31</f>
        <v>2</v>
      </c>
      <c r="I31" s="89">
        <f>MRS!I31</f>
        <v>244</v>
      </c>
      <c r="J31" s="89">
        <f>MRS!J31</f>
        <v>488</v>
      </c>
      <c r="K31" s="90"/>
      <c r="O31" s="91"/>
      <c r="P31" s="91"/>
      <c r="R31" s="91"/>
    </row>
    <row r="32" spans="1:18" ht="74.25" customHeight="1">
      <c r="A32" s="14">
        <f>+MRS!A32</f>
        <v>27</v>
      </c>
      <c r="B32" s="152" t="str">
        <f>MRS!B32</f>
        <v>A4 PAPER - OMNIA</v>
      </c>
      <c r="C32" s="153"/>
      <c r="D32" s="149" t="str">
        <f>MRS!D32</f>
        <v>80 GSM 5 REAMS/ BOX</v>
      </c>
      <c r="E32" s="150"/>
      <c r="F32" s="151"/>
      <c r="G32" s="88" t="str">
        <f>MRS!G32</f>
        <v>BOX</v>
      </c>
      <c r="H32" s="88">
        <f>MRS!H32</f>
        <v>350</v>
      </c>
      <c r="I32" s="89">
        <f>MRS!I32</f>
        <v>65</v>
      </c>
      <c r="J32" s="89">
        <f>MRS!J32</f>
        <v>22750</v>
      </c>
      <c r="K32" s="90"/>
      <c r="O32" s="91"/>
      <c r="P32" s="91"/>
      <c r="R32" s="91"/>
    </row>
    <row r="33" spans="1:18" ht="74.25" customHeight="1">
      <c r="A33" s="14">
        <f>+MRS!A75</f>
        <v>70</v>
      </c>
      <c r="B33" s="152" t="str">
        <f>MRS!B75</f>
        <v>CLEAR GLASS</v>
      </c>
      <c r="C33" s="153"/>
      <c r="D33" s="149">
        <f>MRS!D75</f>
        <v>0</v>
      </c>
      <c r="E33" s="150"/>
      <c r="F33" s="151"/>
      <c r="G33" s="88" t="str">
        <f>MRS!G75</f>
        <v>EA</v>
      </c>
      <c r="H33" s="88">
        <f>MRS!H75</f>
        <v>1000</v>
      </c>
      <c r="I33" s="89">
        <f>MRS!I75</f>
        <v>3</v>
      </c>
      <c r="J33" s="89">
        <f>MRS!J75</f>
        <v>3000</v>
      </c>
      <c r="K33" s="90"/>
      <c r="O33" s="91"/>
      <c r="P33" s="91"/>
      <c r="R33" s="91"/>
    </row>
    <row r="34" spans="1:18" ht="74.25" customHeight="1">
      <c r="A34" s="14">
        <f>+MRS!A76</f>
        <v>71</v>
      </c>
      <c r="B34" s="152" t="str">
        <f>MRS!B76</f>
        <v>DARK GLASS</v>
      </c>
      <c r="C34" s="153"/>
      <c r="D34" s="149">
        <f>MRS!D76</f>
        <v>0</v>
      </c>
      <c r="E34" s="150"/>
      <c r="F34" s="151"/>
      <c r="G34" s="88" t="str">
        <f>MRS!G76</f>
        <v>EA</v>
      </c>
      <c r="H34" s="88">
        <f>MRS!H76</f>
        <v>1000</v>
      </c>
      <c r="I34" s="89">
        <f>MRS!I76</f>
        <v>3</v>
      </c>
      <c r="J34" s="89">
        <f>MRS!J76</f>
        <v>3000</v>
      </c>
      <c r="K34" s="90"/>
      <c r="O34" s="91"/>
      <c r="P34" s="91"/>
      <c r="R34" s="91"/>
    </row>
    <row r="35" spans="1:18" ht="74.25" customHeight="1">
      <c r="A35" s="14" t="str">
        <f>+MRS!A77</f>
        <v>Purpose</v>
      </c>
      <c r="B35" s="152">
        <f>MRS!B96</f>
        <v>0</v>
      </c>
      <c r="C35" s="153"/>
      <c r="D35" s="149">
        <f>MRS!D96</f>
        <v>0</v>
      </c>
      <c r="E35" s="150"/>
      <c r="F35" s="151"/>
      <c r="G35" s="88">
        <f>MRS!G96</f>
        <v>0</v>
      </c>
      <c r="H35" s="88">
        <f>MRS!H96</f>
        <v>0</v>
      </c>
      <c r="I35" s="89">
        <f>MRS!I96</f>
        <v>0</v>
      </c>
      <c r="J35" s="89">
        <f>MRS!J96</f>
        <v>0</v>
      </c>
      <c r="K35" s="90"/>
      <c r="O35" s="91"/>
      <c r="P35" s="91"/>
      <c r="R35" s="91"/>
    </row>
    <row r="36" spans="1:18" ht="74.25" customHeight="1">
      <c r="A36" s="14" t="str">
        <f>+MRS!A78</f>
        <v xml:space="preserve">  * There will be an additional administration expense and financial expense (Depend on contract) deduction of total provision cost price.</v>
      </c>
      <c r="B36" s="152">
        <f>MRS!B97</f>
        <v>0</v>
      </c>
      <c r="C36" s="153"/>
      <c r="D36" s="149">
        <f>MRS!D97</f>
        <v>0</v>
      </c>
      <c r="E36" s="150"/>
      <c r="F36" s="151"/>
      <c r="G36" s="88">
        <f>MRS!G97</f>
        <v>0</v>
      </c>
      <c r="H36" s="88">
        <f>MRS!H97</f>
        <v>0</v>
      </c>
      <c r="I36" s="89">
        <f>MRS!I97</f>
        <v>0</v>
      </c>
      <c r="J36" s="89">
        <f>MRS!J97</f>
        <v>0</v>
      </c>
      <c r="K36" s="90"/>
      <c r="O36" s="91"/>
      <c r="P36" s="91"/>
      <c r="R36" s="91"/>
    </row>
    <row r="37" spans="1:18" ht="74.25" customHeight="1">
      <c r="A37" s="14">
        <f>+MRS!A79</f>
        <v>0</v>
      </c>
      <c r="B37" s="152">
        <f>MRS!B98</f>
        <v>0</v>
      </c>
      <c r="C37" s="153"/>
      <c r="D37" s="149">
        <f>MRS!D98</f>
        <v>0</v>
      </c>
      <c r="E37" s="150"/>
      <c r="F37" s="151"/>
      <c r="G37" s="88">
        <f>MRS!G98</f>
        <v>0</v>
      </c>
      <c r="H37" s="88">
        <f>MRS!H98</f>
        <v>0</v>
      </c>
      <c r="I37" s="89">
        <f>MRS!I98</f>
        <v>0</v>
      </c>
      <c r="J37" s="89">
        <f>MRS!J98</f>
        <v>0</v>
      </c>
      <c r="K37" s="90"/>
      <c r="O37" s="91"/>
      <c r="P37" s="91"/>
      <c r="R37" s="91"/>
    </row>
    <row r="38" spans="1:18" ht="74.25" customHeight="1">
      <c r="A38" s="14">
        <f>+MRS!A80</f>
        <v>0</v>
      </c>
      <c r="B38" s="152">
        <f>MRS!B99</f>
        <v>0</v>
      </c>
      <c r="C38" s="153"/>
      <c r="D38" s="149">
        <f>MRS!D99</f>
        <v>0</v>
      </c>
      <c r="E38" s="150"/>
      <c r="F38" s="151"/>
      <c r="G38" s="88">
        <f>MRS!G99</f>
        <v>0</v>
      </c>
      <c r="H38" s="88">
        <f>MRS!H99</f>
        <v>0</v>
      </c>
      <c r="I38" s="89">
        <f>MRS!I99</f>
        <v>0</v>
      </c>
      <c r="J38" s="89">
        <f>MRS!J99</f>
        <v>0</v>
      </c>
      <c r="K38" s="90"/>
      <c r="O38" s="91"/>
      <c r="P38" s="91"/>
      <c r="R38" s="91"/>
    </row>
    <row r="39" spans="1:18" ht="74.25" customHeight="1">
      <c r="A39" s="14">
        <f>+MRS!A81</f>
        <v>0</v>
      </c>
      <c r="B39" s="152">
        <f>MRS!B100</f>
        <v>0</v>
      </c>
      <c r="C39" s="153"/>
      <c r="D39" s="149">
        <f>MRS!D100</f>
        <v>0</v>
      </c>
      <c r="E39" s="150"/>
      <c r="F39" s="151"/>
      <c r="G39" s="88">
        <f>MRS!G100</f>
        <v>0</v>
      </c>
      <c r="H39" s="88">
        <f>MRS!H100</f>
        <v>0</v>
      </c>
      <c r="I39" s="89">
        <f>MRS!I100</f>
        <v>0</v>
      </c>
      <c r="J39" s="89">
        <f>MRS!J100</f>
        <v>0</v>
      </c>
      <c r="K39" s="90"/>
      <c r="O39" s="91"/>
      <c r="P39" s="91"/>
      <c r="R39" s="91"/>
    </row>
    <row r="40" spans="1:18" ht="21" customHeight="1">
      <c r="A40" s="14">
        <f>+MRS!A82</f>
        <v>0</v>
      </c>
    </row>
    <row r="41" spans="1:18" ht="21" customHeight="1">
      <c r="A41" s="14">
        <f>+MRS!A83</f>
        <v>0</v>
      </c>
    </row>
    <row r="42" spans="1:18" ht="21" customHeight="1">
      <c r="A42" s="14">
        <f>+MRS!A84</f>
        <v>0</v>
      </c>
    </row>
    <row r="43" spans="1:18" ht="21" customHeight="1">
      <c r="A43" s="14">
        <f>+MRS!A85</f>
        <v>0</v>
      </c>
    </row>
    <row r="44" spans="1:18" ht="21" customHeight="1">
      <c r="A44" s="14">
        <f>+MRS!A86</f>
        <v>0</v>
      </c>
    </row>
    <row r="45" spans="1:18" ht="21" customHeight="1">
      <c r="A45" s="14">
        <f>+MRS!A87</f>
        <v>0</v>
      </c>
    </row>
    <row r="46" spans="1:18" ht="21" customHeight="1">
      <c r="A46" s="14">
        <f>+MRS!A88</f>
        <v>0</v>
      </c>
    </row>
    <row r="47" spans="1:18" ht="21" customHeight="1">
      <c r="A47" s="14">
        <f>+MRS!A89</f>
        <v>0</v>
      </c>
    </row>
    <row r="48" spans="1:18" ht="21" customHeight="1">
      <c r="A48" s="14">
        <f>+MRS!A90</f>
        <v>0</v>
      </c>
    </row>
    <row r="49" spans="1:1" ht="21" customHeight="1">
      <c r="A49" s="14">
        <f>+MRS!A91</f>
        <v>0</v>
      </c>
    </row>
    <row r="50" spans="1:1" ht="21" customHeight="1">
      <c r="A50" s="14">
        <f>+MRS!A92</f>
        <v>0</v>
      </c>
    </row>
    <row r="51" spans="1:1" ht="21" customHeight="1">
      <c r="A51" s="14">
        <f>+MRS!A93</f>
        <v>0</v>
      </c>
    </row>
    <row r="52" spans="1:1" ht="21" customHeight="1">
      <c r="A52" s="14">
        <f>+MRS!A94</f>
        <v>0</v>
      </c>
    </row>
    <row r="53" spans="1:1" ht="21" customHeight="1">
      <c r="A53" s="14">
        <f>+MRS!A95</f>
        <v>0</v>
      </c>
    </row>
  </sheetData>
  <mergeCells count="78">
    <mergeCell ref="B15:C15"/>
    <mergeCell ref="D15:F1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8:F8"/>
    <mergeCell ref="B8:C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38:F38"/>
    <mergeCell ref="D39:F39"/>
    <mergeCell ref="D7:F7"/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57">
        <f>MRS!L3</f>
        <v>46296</v>
      </c>
      <c r="L10" s="158"/>
      <c r="M10" s="158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59" t="str">
        <f>SUBSTITUTE(SUBSTITUTE(+MRS!A3,"  MRS No : ",""),"-MRS","-PO")</f>
        <v>SAC2-DS-PO-0477</v>
      </c>
      <c r="L11" s="159"/>
      <c r="M11" s="159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242</v>
      </c>
    </row>
    <row r="15" spans="2:13" s="31" customFormat="1">
      <c r="B15" s="64"/>
      <c r="C15" s="69" t="s">
        <v>97</v>
      </c>
      <c r="J15" s="31" t="s">
        <v>31</v>
      </c>
      <c r="K15" s="70">
        <v>46285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60" t="s">
        <v>32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</row>
    <row r="19" spans="2:13" ht="12" customHeight="1"/>
    <row r="20" spans="2:13" s="24" customFormat="1" ht="12" customHeight="1">
      <c r="B20" s="161" t="s">
        <v>33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</row>
    <row r="21" spans="2:13" s="24" customFormat="1" ht="12" customHeight="1">
      <c r="B21" s="161" t="s">
        <v>34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</row>
    <row r="22" spans="2:13" s="24" customFormat="1" ht="12" customHeight="1">
      <c r="B22" s="161" t="s">
        <v>35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</row>
    <row r="23" spans="2:13" ht="6.95" customHeight="1"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2:13" ht="6.95" customHeight="1"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">
        <v>243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page'!G77</f>
        <v>139090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page'!G78</f>
        <v>20863.5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page'!G79</f>
        <v>159953.5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129</v>
      </c>
      <c r="P54" s="19" t="str">
        <f>UPPER(F54)</f>
        <v>ALROMOZ ALFANIAH EST.</v>
      </c>
    </row>
    <row r="55" spans="2:16" ht="12" customHeight="1">
      <c r="B55" s="76" t="s">
        <v>56</v>
      </c>
      <c r="C55" s="107" t="s">
        <v>104</v>
      </c>
      <c r="F55" s="108" t="s">
        <v>113</v>
      </c>
    </row>
    <row r="56" spans="2:16" ht="12" customHeight="1">
      <c r="B56" s="76" t="s">
        <v>56</v>
      </c>
      <c r="C56" s="107" t="s">
        <v>105</v>
      </c>
      <c r="F56" s="108" t="s">
        <v>114</v>
      </c>
    </row>
    <row r="57" spans="2:16" ht="12" customHeight="1">
      <c r="B57" s="76" t="s">
        <v>56</v>
      </c>
      <c r="C57" s="107" t="s">
        <v>106</v>
      </c>
      <c r="F57" s="19" t="s">
        <v>112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64" t="str">
        <f>C9</f>
        <v>ATGC(Alrmooz Technical for General Contracting Est.)</v>
      </c>
      <c r="K70" s="164"/>
      <c r="L70" s="164"/>
      <c r="M70" s="164"/>
    </row>
    <row r="71" spans="1:13" ht="27.95" customHeight="1">
      <c r="A71" s="156" t="s">
        <v>66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87"/>
  <sheetViews>
    <sheetView showGridLines="0" view="pageBreakPreview" zoomScaleSheetLayoutView="100" zoomScalePageLayoutView="55" workbookViewId="0">
      <selection activeCell="G6" sqref="G6"/>
    </sheetView>
  </sheetViews>
  <sheetFormatPr defaultColWidth="9" defaultRowHeight="12.75"/>
  <cols>
    <col min="1" max="1" width="8.5703125" style="37" customWidth="1"/>
    <col min="2" max="2" width="44.85546875" style="38" customWidth="1"/>
    <col min="3" max="3" width="44.5703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SAC2-DS-PO-0477</v>
      </c>
      <c r="C2" s="167" t="s">
        <v>68</v>
      </c>
      <c r="D2" s="167"/>
      <c r="E2" s="167"/>
      <c r="F2" s="167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46296</v>
      </c>
      <c r="C3" s="43"/>
      <c r="D3" s="44"/>
      <c r="E3" s="168" t="s">
        <v>70</v>
      </c>
      <c r="F3" s="168"/>
      <c r="G3" s="168"/>
      <c r="H3" s="168"/>
      <c r="I3" s="45"/>
    </row>
    <row r="4" spans="1:13" s="47" customFormat="1" ht="28.5" customHeight="1" thickTop="1">
      <c r="A4" s="169" t="s">
        <v>71</v>
      </c>
      <c r="B4" s="171" t="s">
        <v>72</v>
      </c>
      <c r="C4" s="172"/>
      <c r="D4" s="175" t="s">
        <v>73</v>
      </c>
      <c r="E4" s="175" t="s">
        <v>74</v>
      </c>
      <c r="F4" s="177" t="str">
        <f>'PO 1st page'!C9</f>
        <v>ATGC(Alrmooz Technical for General Contracting Est.)</v>
      </c>
      <c r="G4" s="178"/>
      <c r="H4" s="179" t="s">
        <v>75</v>
      </c>
      <c r="K4" s="48"/>
      <c r="L4" s="48"/>
      <c r="M4" s="48"/>
    </row>
    <row r="5" spans="1:13" s="47" customFormat="1" ht="21.95" customHeight="1">
      <c r="A5" s="170"/>
      <c r="B5" s="173"/>
      <c r="C5" s="174"/>
      <c r="D5" s="176"/>
      <c r="E5" s="176"/>
      <c r="F5" s="49" t="s">
        <v>76</v>
      </c>
      <c r="G5" s="49" t="s">
        <v>42</v>
      </c>
      <c r="H5" s="180"/>
      <c r="K5" s="48"/>
      <c r="L5" s="48"/>
      <c r="M5" s="48"/>
    </row>
    <row r="6" spans="1:13" s="47" customFormat="1" ht="25.5" customHeight="1">
      <c r="A6" s="77">
        <f t="shared" ref="A6:A69" si="0">ROW(A1)</f>
        <v>1</v>
      </c>
      <c r="B6" s="165" t="str">
        <f>MRS!B6&amp;" "&amp;MRS!D6</f>
        <v>TP SWITCH - 8 PORT tp link</v>
      </c>
      <c r="C6" s="166"/>
      <c r="D6" s="78" t="str">
        <f>MRS!G6</f>
        <v>EA</v>
      </c>
      <c r="E6" s="79">
        <f>MRS!H6</f>
        <v>2</v>
      </c>
      <c r="F6" s="80">
        <f>MRS!I6</f>
        <v>86</v>
      </c>
      <c r="G6" s="81">
        <f>F6*E6</f>
        <v>172</v>
      </c>
      <c r="H6" s="82" t="str">
        <f>MRS!L6</f>
        <v>One time</v>
      </c>
      <c r="K6" s="83"/>
      <c r="L6" s="84"/>
      <c r="M6" s="48"/>
    </row>
    <row r="7" spans="1:13" s="47" customFormat="1" ht="25.5" customHeight="1">
      <c r="A7" s="77">
        <f t="shared" si="0"/>
        <v>2</v>
      </c>
      <c r="B7" s="165" t="str">
        <f>MRS!B7&amp;" "&amp;MRS!D7</f>
        <v>TIME CARD BST,100PCS B862</v>
      </c>
      <c r="C7" s="166"/>
      <c r="D7" s="78" t="str">
        <f>MRS!G7</f>
        <v>PKT</v>
      </c>
      <c r="E7" s="79">
        <f>MRS!H7</f>
        <v>100</v>
      </c>
      <c r="F7" s="80">
        <f>MRS!I7</f>
        <v>9</v>
      </c>
      <c r="G7" s="81">
        <f t="shared" ref="G7:G70" si="1">F7*E7</f>
        <v>900</v>
      </c>
      <c r="H7" s="82"/>
      <c r="K7" s="83"/>
      <c r="L7" s="84"/>
      <c r="M7" s="48"/>
    </row>
    <row r="8" spans="1:13" s="47" customFormat="1" ht="25.5" customHeight="1">
      <c r="A8" s="77">
        <f t="shared" si="0"/>
        <v>3</v>
      </c>
      <c r="B8" s="165" t="str">
        <f>MRS!B8&amp;" "&amp;MRS!D8</f>
        <v xml:space="preserve">TIMECARD HOLDER </v>
      </c>
      <c r="C8" s="166"/>
      <c r="D8" s="78" t="str">
        <f>MRS!G8</f>
        <v>EA</v>
      </c>
      <c r="E8" s="79">
        <f>MRS!H8</f>
        <v>10</v>
      </c>
      <c r="F8" s="80">
        <f>MRS!I8</f>
        <v>75</v>
      </c>
      <c r="G8" s="81">
        <f t="shared" si="1"/>
        <v>750</v>
      </c>
      <c r="H8" s="82"/>
      <c r="K8" s="48"/>
      <c r="L8" s="48"/>
      <c r="M8" s="48"/>
    </row>
    <row r="9" spans="1:13" s="47" customFormat="1" ht="25.5" customHeight="1">
      <c r="A9" s="77">
        <f t="shared" si="0"/>
        <v>4</v>
      </c>
      <c r="B9" s="165" t="str">
        <f>MRS!B9&amp;" "&amp;MRS!D9</f>
        <v xml:space="preserve">EXTENSION BOARD- LEGRAND </v>
      </c>
      <c r="C9" s="166"/>
      <c r="D9" s="78" t="str">
        <f>MRS!G9</f>
        <v>EA</v>
      </c>
      <c r="E9" s="79">
        <f>MRS!H9</f>
        <v>20</v>
      </c>
      <c r="F9" s="80">
        <f>MRS!I9</f>
        <v>80</v>
      </c>
      <c r="G9" s="81">
        <f t="shared" si="1"/>
        <v>1600</v>
      </c>
      <c r="H9" s="82"/>
    </row>
    <row r="10" spans="1:13" s="47" customFormat="1" ht="25.5" customHeight="1">
      <c r="A10" s="77">
        <f t="shared" si="0"/>
        <v>5</v>
      </c>
      <c r="B10" s="165" t="str">
        <f>MRS!B10&amp;" "&amp;MRS!D10</f>
        <v>KONICA C361i PRINTER - DRUM (Y M C) DR316 COLOR DRUM UNIT</v>
      </c>
      <c r="C10" s="166"/>
      <c r="D10" s="78" t="str">
        <f>MRS!G10</f>
        <v>EA</v>
      </c>
      <c r="E10" s="79">
        <f>MRS!H10</f>
        <v>5</v>
      </c>
      <c r="F10" s="80">
        <f>MRS!I10</f>
        <v>915</v>
      </c>
      <c r="G10" s="81">
        <f t="shared" si="1"/>
        <v>4575</v>
      </c>
      <c r="H10" s="82"/>
    </row>
    <row r="11" spans="1:13" s="47" customFormat="1" ht="25.5" customHeight="1">
      <c r="A11" s="77">
        <f t="shared" si="0"/>
        <v>6</v>
      </c>
      <c r="B11" s="165" t="str">
        <f>MRS!B11&amp;" "&amp;MRS!D11</f>
        <v>RICOH C6003 - TONER CYAN</v>
      </c>
      <c r="C11" s="166"/>
      <c r="D11" s="78" t="str">
        <f>MRS!G11</f>
        <v>EA</v>
      </c>
      <c r="E11" s="79">
        <f>MRS!H11</f>
        <v>6</v>
      </c>
      <c r="F11" s="80">
        <f>MRS!I11</f>
        <v>506</v>
      </c>
      <c r="G11" s="81">
        <f t="shared" si="1"/>
        <v>3036</v>
      </c>
      <c r="H11" s="82"/>
    </row>
    <row r="12" spans="1:13" s="47" customFormat="1" ht="25.5" customHeight="1">
      <c r="A12" s="77">
        <f t="shared" si="0"/>
        <v>7</v>
      </c>
      <c r="B12" s="165" t="str">
        <f>MRS!B12&amp;" "&amp;MRS!D12</f>
        <v>RICOH C6003 - TONER MAGENTA</v>
      </c>
      <c r="C12" s="166"/>
      <c r="D12" s="78" t="str">
        <f>MRS!G12</f>
        <v>EA</v>
      </c>
      <c r="E12" s="79">
        <f>MRS!H12</f>
        <v>6</v>
      </c>
      <c r="F12" s="80">
        <f>MRS!I12</f>
        <v>506</v>
      </c>
      <c r="G12" s="81">
        <f t="shared" si="1"/>
        <v>3036</v>
      </c>
      <c r="H12" s="82"/>
    </row>
    <row r="13" spans="1:13" s="47" customFormat="1" ht="25.5" customHeight="1">
      <c r="A13" s="77">
        <f t="shared" si="0"/>
        <v>8</v>
      </c>
      <c r="B13" s="165" t="str">
        <f>MRS!B13&amp;" "&amp;MRS!D13</f>
        <v>RICOH C6003 - TONER YELLOW</v>
      </c>
      <c r="C13" s="166"/>
      <c r="D13" s="78" t="str">
        <f>MRS!G13</f>
        <v>EA</v>
      </c>
      <c r="E13" s="79">
        <f>MRS!H13</f>
        <v>6</v>
      </c>
      <c r="F13" s="80">
        <f>MRS!I13</f>
        <v>506</v>
      </c>
      <c r="G13" s="81">
        <f t="shared" si="1"/>
        <v>3036</v>
      </c>
      <c r="H13" s="82"/>
    </row>
    <row r="14" spans="1:13" s="47" customFormat="1" ht="25.5" customHeight="1">
      <c r="A14" s="77">
        <f t="shared" si="0"/>
        <v>9</v>
      </c>
      <c r="B14" s="165" t="str">
        <f>MRS!B14&amp;" "&amp;MRS!D14</f>
        <v>RICOH C6003 - TONER BLACK</v>
      </c>
      <c r="C14" s="166"/>
      <c r="D14" s="78" t="str">
        <f>MRS!G14</f>
        <v>EA</v>
      </c>
      <c r="E14" s="79">
        <f>MRS!H14</f>
        <v>12</v>
      </c>
      <c r="F14" s="80">
        <f>MRS!I14</f>
        <v>342</v>
      </c>
      <c r="G14" s="81">
        <f t="shared" si="1"/>
        <v>4104</v>
      </c>
      <c r="H14" s="82"/>
    </row>
    <row r="15" spans="1:13" s="47" customFormat="1" ht="25.5" customHeight="1">
      <c r="A15" s="77">
        <f t="shared" si="0"/>
        <v>10</v>
      </c>
      <c r="B15" s="165" t="str">
        <f>MRS!B15&amp;" "&amp;MRS!D15</f>
        <v>XEROX C7030 - TONER 006R01829 - CYAN</v>
      </c>
      <c r="C15" s="166"/>
      <c r="D15" s="78" t="str">
        <f>MRS!G15</f>
        <v>EA</v>
      </c>
      <c r="E15" s="79">
        <f>MRS!H15</f>
        <v>4</v>
      </c>
      <c r="F15" s="80">
        <f>MRS!I15</f>
        <v>460</v>
      </c>
      <c r="G15" s="81">
        <f t="shared" si="1"/>
        <v>1840</v>
      </c>
      <c r="H15" s="82"/>
    </row>
    <row r="16" spans="1:13" s="47" customFormat="1" ht="25.5" customHeight="1">
      <c r="A16" s="77">
        <f t="shared" si="0"/>
        <v>11</v>
      </c>
      <c r="B16" s="165" t="str">
        <f>MRS!B16&amp;" "&amp;MRS!D16</f>
        <v>XEROX C7030 - TONER 006R01830 - MAGENTA</v>
      </c>
      <c r="C16" s="166"/>
      <c r="D16" s="78" t="str">
        <f>MRS!G16</f>
        <v>EA</v>
      </c>
      <c r="E16" s="79">
        <f>MRS!H16</f>
        <v>4</v>
      </c>
      <c r="F16" s="80">
        <f>MRS!I16</f>
        <v>460</v>
      </c>
      <c r="G16" s="81">
        <f t="shared" si="1"/>
        <v>1840</v>
      </c>
      <c r="H16" s="82"/>
    </row>
    <row r="17" spans="1:8" s="47" customFormat="1" ht="25.5" customHeight="1">
      <c r="A17" s="77">
        <f t="shared" si="0"/>
        <v>12</v>
      </c>
      <c r="B17" s="165" t="str">
        <f>MRS!B17&amp;" "&amp;MRS!D17</f>
        <v>XEROX C7030 - TONER 006R01831 - YELLOW</v>
      </c>
      <c r="C17" s="166"/>
      <c r="D17" s="78" t="str">
        <f>MRS!G17</f>
        <v>EA</v>
      </c>
      <c r="E17" s="79">
        <f>MRS!H17</f>
        <v>4</v>
      </c>
      <c r="F17" s="80">
        <f>MRS!I17</f>
        <v>460</v>
      </c>
      <c r="G17" s="81">
        <f t="shared" si="1"/>
        <v>1840</v>
      </c>
      <c r="H17" s="82"/>
    </row>
    <row r="18" spans="1:8" s="47" customFormat="1" ht="25.5" customHeight="1">
      <c r="A18" s="77">
        <f t="shared" si="0"/>
        <v>13</v>
      </c>
      <c r="B18" s="165" t="str">
        <f>MRS!B18&amp;" "&amp;MRS!D18</f>
        <v>XEROX C7030 - TONER 006R01828 - BLACK</v>
      </c>
      <c r="C18" s="166"/>
      <c r="D18" s="78" t="str">
        <f>MRS!G18</f>
        <v>EA</v>
      </c>
      <c r="E18" s="79">
        <f>MRS!H18</f>
        <v>6</v>
      </c>
      <c r="F18" s="80">
        <f>MRS!I18</f>
        <v>360</v>
      </c>
      <c r="G18" s="81">
        <f t="shared" si="1"/>
        <v>2160</v>
      </c>
      <c r="H18" s="82"/>
    </row>
    <row r="19" spans="1:8" s="47" customFormat="1" ht="25.5" customHeight="1">
      <c r="A19" s="77">
        <f t="shared" si="0"/>
        <v>14</v>
      </c>
      <c r="B19" s="165" t="str">
        <f>MRS!B19&amp;" "&amp;MRS!D19</f>
        <v>XEROX C7030  WASTE CATRIDGE - R5</v>
      </c>
      <c r="C19" s="166"/>
      <c r="D19" s="78" t="str">
        <f>MRS!G19</f>
        <v>EA</v>
      </c>
      <c r="E19" s="79">
        <f>MRS!H19</f>
        <v>3</v>
      </c>
      <c r="F19" s="80">
        <f>MRS!I19</f>
        <v>220</v>
      </c>
      <c r="G19" s="81">
        <f t="shared" si="1"/>
        <v>660</v>
      </c>
      <c r="H19" s="82"/>
    </row>
    <row r="20" spans="1:8" s="47" customFormat="1" ht="25.5" customHeight="1">
      <c r="A20" s="77">
        <f t="shared" si="0"/>
        <v>15</v>
      </c>
      <c r="B20" s="165" t="str">
        <f>MRS!B20&amp;" "&amp;MRS!D20</f>
        <v>XEROX C7030 - DRUM UNIT DRUM UNIT</v>
      </c>
      <c r="C20" s="166"/>
      <c r="D20" s="78" t="str">
        <f>MRS!G20</f>
        <v>EA</v>
      </c>
      <c r="E20" s="79">
        <f>MRS!H20</f>
        <v>4</v>
      </c>
      <c r="F20" s="80">
        <f>MRS!I20</f>
        <v>1125</v>
      </c>
      <c r="G20" s="81">
        <f t="shared" si="1"/>
        <v>4500</v>
      </c>
      <c r="H20" s="82"/>
    </row>
    <row r="21" spans="1:8" s="47" customFormat="1" ht="25.5" customHeight="1">
      <c r="A21" s="77">
        <f t="shared" si="0"/>
        <v>16</v>
      </c>
      <c r="B21" s="165" t="str">
        <f>MRS!B21&amp;" "&amp;MRS!D21</f>
        <v>XEROX B7030 - B&amp;W PRINTER 006R01819 - BLACK TONER</v>
      </c>
      <c r="C21" s="166"/>
      <c r="D21" s="78" t="str">
        <f>MRS!G21</f>
        <v>EA</v>
      </c>
      <c r="E21" s="79">
        <f>MRS!H21</f>
        <v>2</v>
      </c>
      <c r="F21" s="80">
        <f>MRS!I21</f>
        <v>450</v>
      </c>
      <c r="G21" s="81">
        <f t="shared" si="1"/>
        <v>900</v>
      </c>
      <c r="H21" s="82"/>
    </row>
    <row r="22" spans="1:8" s="47" customFormat="1" ht="25.5" customHeight="1">
      <c r="A22" s="77">
        <f t="shared" si="0"/>
        <v>17</v>
      </c>
      <c r="B22" s="165" t="str">
        <f>MRS!B22&amp;" "&amp;MRS!D22</f>
        <v>TOSHIBA 6525AC - TONER T-FC425P-K-M (BLACK)</v>
      </c>
      <c r="C22" s="166"/>
      <c r="D22" s="78" t="str">
        <f>MRS!G22</f>
        <v>EA</v>
      </c>
      <c r="E22" s="79">
        <f>MRS!H22</f>
        <v>4</v>
      </c>
      <c r="F22" s="80">
        <f>MRS!I22</f>
        <v>385</v>
      </c>
      <c r="G22" s="81">
        <f t="shared" si="1"/>
        <v>1540</v>
      </c>
      <c r="H22" s="82"/>
    </row>
    <row r="23" spans="1:8" s="47" customFormat="1" ht="25.5" customHeight="1">
      <c r="A23" s="77">
        <f t="shared" si="0"/>
        <v>18</v>
      </c>
      <c r="B23" s="165" t="str">
        <f>MRS!B23&amp;" "&amp;MRS!D23</f>
        <v>TOSHIBA 6525AC - TONER T-FC425P-C-M (CYAN)</v>
      </c>
      <c r="C23" s="166"/>
      <c r="D23" s="78" t="str">
        <f>MRS!G23</f>
        <v>EA</v>
      </c>
      <c r="E23" s="79">
        <f>MRS!H23</f>
        <v>2</v>
      </c>
      <c r="F23" s="80">
        <f>MRS!I23</f>
        <v>500</v>
      </c>
      <c r="G23" s="81">
        <f t="shared" si="1"/>
        <v>1000</v>
      </c>
      <c r="H23" s="82"/>
    </row>
    <row r="24" spans="1:8" s="47" customFormat="1" ht="25.5" customHeight="1">
      <c r="A24" s="77">
        <f t="shared" si="0"/>
        <v>19</v>
      </c>
      <c r="B24" s="165" t="str">
        <f>MRS!B24&amp;" "&amp;MRS!D24</f>
        <v>TOSHIBA 6525AC - TONER T-FC425P-M-M (MEGANTA)</v>
      </c>
      <c r="C24" s="166"/>
      <c r="D24" s="78" t="str">
        <f>MRS!G24</f>
        <v>EA</v>
      </c>
      <c r="E24" s="79">
        <f>MRS!H24</f>
        <v>2</v>
      </c>
      <c r="F24" s="80">
        <f>MRS!I24</f>
        <v>500</v>
      </c>
      <c r="G24" s="81">
        <f t="shared" si="1"/>
        <v>1000</v>
      </c>
      <c r="H24" s="82"/>
    </row>
    <row r="25" spans="1:8" s="47" customFormat="1" ht="25.5" customHeight="1">
      <c r="A25" s="77">
        <f t="shared" si="0"/>
        <v>20</v>
      </c>
      <c r="B25" s="165" t="str">
        <f>MRS!B25&amp;" "&amp;MRS!D25</f>
        <v>TOSHIBA 6525AC - TONER T-FC425P-Y-M (YELLOW)</v>
      </c>
      <c r="C25" s="166"/>
      <c r="D25" s="78" t="str">
        <f>MRS!G25</f>
        <v>EA</v>
      </c>
      <c r="E25" s="79">
        <f>MRS!H25</f>
        <v>2</v>
      </c>
      <c r="F25" s="80">
        <f>MRS!I25</f>
        <v>500</v>
      </c>
      <c r="G25" s="81">
        <f t="shared" si="1"/>
        <v>1000</v>
      </c>
      <c r="H25" s="82"/>
    </row>
    <row r="26" spans="1:8" s="47" customFormat="1" ht="25.5" customHeight="1">
      <c r="A26" s="77">
        <f t="shared" si="0"/>
        <v>21</v>
      </c>
      <c r="B26" s="165" t="str">
        <f>MRS!B26&amp;" "&amp;MRS!D26</f>
        <v>CANON IMAGE RUNNER C5550 - BLACK TONER C-EXV 51 BLACK TONER</v>
      </c>
      <c r="C26" s="166"/>
      <c r="D26" s="78" t="str">
        <f>MRS!G26</f>
        <v>EA</v>
      </c>
      <c r="E26" s="79">
        <f>MRS!H26</f>
        <v>4</v>
      </c>
      <c r="F26" s="80">
        <f>MRS!I26</f>
        <v>575</v>
      </c>
      <c r="G26" s="81">
        <f t="shared" si="1"/>
        <v>2300</v>
      </c>
      <c r="H26" s="82"/>
    </row>
    <row r="27" spans="1:8" s="47" customFormat="1" ht="25.5" customHeight="1">
      <c r="A27" s="77">
        <f t="shared" si="0"/>
        <v>22</v>
      </c>
      <c r="B27" s="165" t="str">
        <f>MRS!B27&amp;" "&amp;MRS!D27</f>
        <v>CANON IMAGE RUNNER C5550 - YELLOW TONER C-EXV 51 YELLOW TONER</v>
      </c>
      <c r="C27" s="166"/>
      <c r="D27" s="78" t="str">
        <f>MRS!G27</f>
        <v>EA</v>
      </c>
      <c r="E27" s="79">
        <f>MRS!H27</f>
        <v>2</v>
      </c>
      <c r="F27" s="80">
        <f>MRS!I27</f>
        <v>650</v>
      </c>
      <c r="G27" s="81">
        <f t="shared" si="1"/>
        <v>1300</v>
      </c>
      <c r="H27" s="82"/>
    </row>
    <row r="28" spans="1:8" s="47" customFormat="1" ht="25.5" customHeight="1">
      <c r="A28" s="77">
        <f t="shared" si="0"/>
        <v>23</v>
      </c>
      <c r="B28" s="165" t="str">
        <f>MRS!B28&amp;" "&amp;MRS!D28</f>
        <v>CANON IMAGE RUNNER C5550 - CYAN TONER C-EXV 51 CYAN TONER</v>
      </c>
      <c r="C28" s="166"/>
      <c r="D28" s="78" t="str">
        <f>MRS!G28</f>
        <v>EA</v>
      </c>
      <c r="E28" s="79">
        <f>MRS!H28</f>
        <v>2</v>
      </c>
      <c r="F28" s="80">
        <f>MRS!I28</f>
        <v>650</v>
      </c>
      <c r="G28" s="81">
        <f t="shared" si="1"/>
        <v>1300</v>
      </c>
      <c r="H28" s="82"/>
    </row>
    <row r="29" spans="1:8" s="47" customFormat="1" ht="25.5" customHeight="1">
      <c r="A29" s="77">
        <f t="shared" si="0"/>
        <v>24</v>
      </c>
      <c r="B29" s="165" t="str">
        <f>MRS!B29&amp;" "&amp;MRS!D29</f>
        <v>CANON IMAGE RUNNER C5550 - MAGENTA TONER C-EXV 51 MAGENTA TONER</v>
      </c>
      <c r="C29" s="166"/>
      <c r="D29" s="78" t="str">
        <f>MRS!G29</f>
        <v>EA</v>
      </c>
      <c r="E29" s="79">
        <f>MRS!H29</f>
        <v>2</v>
      </c>
      <c r="F29" s="80">
        <f>MRS!I29</f>
        <v>650</v>
      </c>
      <c r="G29" s="81">
        <f t="shared" si="1"/>
        <v>1300</v>
      </c>
      <c r="H29" s="82"/>
    </row>
    <row r="30" spans="1:8" s="47" customFormat="1" ht="25.5" customHeight="1">
      <c r="A30" s="77">
        <f t="shared" si="0"/>
        <v>25</v>
      </c>
      <c r="B30" s="165" t="str">
        <f>MRS!B30&amp;" "&amp;MRS!D30</f>
        <v>CANON IMAGE RUNNER C5550 - DRUM UNIT C-EXV 51 DRUM UNIT</v>
      </c>
      <c r="C30" s="166"/>
      <c r="D30" s="78" t="str">
        <f>MRS!G30</f>
        <v>EA</v>
      </c>
      <c r="E30" s="79">
        <f>MRS!H30</f>
        <v>2</v>
      </c>
      <c r="F30" s="80">
        <f>MRS!I30</f>
        <v>2030</v>
      </c>
      <c r="G30" s="81">
        <f t="shared" si="1"/>
        <v>4060</v>
      </c>
      <c r="H30" s="82"/>
    </row>
    <row r="31" spans="1:8" s="47" customFormat="1" ht="25.5" customHeight="1">
      <c r="A31" s="77">
        <f t="shared" si="0"/>
        <v>26</v>
      </c>
      <c r="B31" s="165" t="str">
        <f>MRS!B31&amp;" "&amp;MRS!D31</f>
        <v>CANON IMAGE RUNNER C5550 - WASTE TONER BOX WT-202</v>
      </c>
      <c r="C31" s="166"/>
      <c r="D31" s="78" t="str">
        <f>MRS!G31</f>
        <v>EA</v>
      </c>
      <c r="E31" s="79">
        <f>MRS!H31</f>
        <v>2</v>
      </c>
      <c r="F31" s="80">
        <f>MRS!I31</f>
        <v>244</v>
      </c>
      <c r="G31" s="81">
        <f t="shared" si="1"/>
        <v>488</v>
      </c>
      <c r="H31" s="82"/>
    </row>
    <row r="32" spans="1:8" s="47" customFormat="1" ht="25.5" customHeight="1">
      <c r="A32" s="77">
        <f t="shared" si="0"/>
        <v>27</v>
      </c>
      <c r="B32" s="165" t="str">
        <f>MRS!B32&amp;" "&amp;MRS!D32</f>
        <v>A4 PAPER - OMNIA 80 GSM 5 REAMS/ BOX</v>
      </c>
      <c r="C32" s="166"/>
      <c r="D32" s="78" t="str">
        <f>MRS!G32</f>
        <v>BOX</v>
      </c>
      <c r="E32" s="79">
        <f>MRS!H32</f>
        <v>350</v>
      </c>
      <c r="F32" s="80">
        <f>MRS!I32</f>
        <v>65</v>
      </c>
      <c r="G32" s="81">
        <f t="shared" si="1"/>
        <v>22750</v>
      </c>
      <c r="H32" s="82"/>
    </row>
    <row r="33" spans="1:8" s="47" customFormat="1" ht="25.5" customHeight="1">
      <c r="A33" s="77">
        <f t="shared" si="0"/>
        <v>28</v>
      </c>
      <c r="B33" s="165" t="str">
        <f>MRS!B33&amp;" "&amp;MRS!D33</f>
        <v xml:space="preserve">A3 PAPER </v>
      </c>
      <c r="C33" s="166"/>
      <c r="D33" s="78" t="str">
        <f>MRS!G33</f>
        <v>BOX</v>
      </c>
      <c r="E33" s="79">
        <f>MRS!H33</f>
        <v>120</v>
      </c>
      <c r="F33" s="80">
        <f>MRS!I33</f>
        <v>160</v>
      </c>
      <c r="G33" s="81">
        <f t="shared" si="1"/>
        <v>19200</v>
      </c>
      <c r="H33" s="82"/>
    </row>
    <row r="34" spans="1:8" s="47" customFormat="1" ht="25.5" customHeight="1">
      <c r="A34" s="77">
        <f t="shared" si="0"/>
        <v>29</v>
      </c>
      <c r="B34" s="165" t="str">
        <f>MRS!B34&amp;" "&amp;MRS!D34</f>
        <v>OFFICE CHAIR neckless</v>
      </c>
      <c r="C34" s="166"/>
      <c r="D34" s="78" t="str">
        <f>MRS!G34</f>
        <v>EA</v>
      </c>
      <c r="E34" s="79">
        <f>MRS!H34</f>
        <v>6</v>
      </c>
      <c r="F34" s="80">
        <f>MRS!I34</f>
        <v>156</v>
      </c>
      <c r="G34" s="81">
        <f t="shared" si="1"/>
        <v>936</v>
      </c>
      <c r="H34" s="82"/>
    </row>
    <row r="35" spans="1:8" s="47" customFormat="1" ht="25.5" customHeight="1">
      <c r="A35" s="77">
        <f t="shared" si="0"/>
        <v>30</v>
      </c>
      <c r="B35" s="165" t="str">
        <f>MRS!B35&amp;" "&amp;MRS!D35</f>
        <v xml:space="preserve">MANAGER CHAIR </v>
      </c>
      <c r="C35" s="166"/>
      <c r="D35" s="78" t="str">
        <f>MRS!G35</f>
        <v>EA</v>
      </c>
      <c r="E35" s="79">
        <f>MRS!H35</f>
        <v>3</v>
      </c>
      <c r="F35" s="80">
        <f>MRS!I35</f>
        <v>311</v>
      </c>
      <c r="G35" s="81">
        <f t="shared" si="1"/>
        <v>933</v>
      </c>
      <c r="H35" s="186"/>
    </row>
    <row r="36" spans="1:8" s="47" customFormat="1" ht="25.5" customHeight="1">
      <c r="A36" s="77">
        <f t="shared" si="0"/>
        <v>31</v>
      </c>
      <c r="B36" s="165" t="str">
        <f>MRS!B36&amp;" "&amp;MRS!D36</f>
        <v>HAND JET SPRAY STEEL,BOGAATI ITALY</v>
      </c>
      <c r="C36" s="166"/>
      <c r="D36" s="78" t="str">
        <f>MRS!G36</f>
        <v>EA</v>
      </c>
      <c r="E36" s="79">
        <f>MRS!H36</f>
        <v>20</v>
      </c>
      <c r="F36" s="80">
        <f>MRS!I36</f>
        <v>16</v>
      </c>
      <c r="G36" s="81">
        <f t="shared" si="1"/>
        <v>320</v>
      </c>
      <c r="H36" s="186"/>
    </row>
    <row r="37" spans="1:8" s="47" customFormat="1" ht="25.5" customHeight="1">
      <c r="A37" s="77">
        <f t="shared" si="0"/>
        <v>32</v>
      </c>
      <c r="B37" s="165" t="str">
        <f>MRS!B37&amp;" "&amp;MRS!D37</f>
        <v>IGLOO TAPS SMALL 200 / BIG 200</v>
      </c>
      <c r="C37" s="166"/>
      <c r="D37" s="78" t="str">
        <f>MRS!G37</f>
        <v>EA</v>
      </c>
      <c r="E37" s="79">
        <f>MRS!H37</f>
        <v>400</v>
      </c>
      <c r="F37" s="80">
        <f>MRS!I37</f>
        <v>4.5</v>
      </c>
      <c r="G37" s="81">
        <f t="shared" si="1"/>
        <v>1800</v>
      </c>
      <c r="H37" s="186"/>
    </row>
    <row r="38" spans="1:8" s="47" customFormat="1" ht="25.5" customHeight="1">
      <c r="A38" s="77">
        <f t="shared" si="0"/>
        <v>33</v>
      </c>
      <c r="B38" s="165" t="str">
        <f>MRS!B38&amp;" "&amp;MRS!D38</f>
        <v>GARBAGE BAG - 25 KGS BIG SIZE</v>
      </c>
      <c r="C38" s="166"/>
      <c r="D38" s="78" t="str">
        <f>MRS!G38</f>
        <v>BAGS</v>
      </c>
      <c r="E38" s="79">
        <f>MRS!H38</f>
        <v>300</v>
      </c>
      <c r="F38" s="80">
        <f>MRS!I38</f>
        <v>41.5</v>
      </c>
      <c r="G38" s="81">
        <f t="shared" si="1"/>
        <v>12450</v>
      </c>
      <c r="H38" s="186"/>
    </row>
    <row r="39" spans="1:8" s="47" customFormat="1" ht="25.5" customHeight="1">
      <c r="A39" s="77">
        <f t="shared" si="0"/>
        <v>34</v>
      </c>
      <c r="B39" s="165" t="str">
        <f>MRS!B39&amp;" "&amp;MRS!D39</f>
        <v>FLOOR CLEANING LIQUID DAC - 3 LTRS</v>
      </c>
      <c r="C39" s="166"/>
      <c r="D39" s="78" t="str">
        <f>MRS!G39</f>
        <v>BOTTEL</v>
      </c>
      <c r="E39" s="79">
        <f>MRS!H39</f>
        <v>50</v>
      </c>
      <c r="F39" s="80">
        <f>MRS!I39</f>
        <v>26</v>
      </c>
      <c r="G39" s="81">
        <f t="shared" si="1"/>
        <v>1300</v>
      </c>
      <c r="H39" s="186"/>
    </row>
    <row r="40" spans="1:8" s="47" customFormat="1" ht="25.5" customHeight="1">
      <c r="A40" s="77">
        <f t="shared" si="0"/>
        <v>35</v>
      </c>
      <c r="B40" s="165" t="str">
        <f>MRS!B40&amp;" "&amp;MRS!D40</f>
        <v>CHAIR WHEELS 1*4 / PKT</v>
      </c>
      <c r="C40" s="166"/>
      <c r="D40" s="78" t="str">
        <f>MRS!G40</f>
        <v>PKT</v>
      </c>
      <c r="E40" s="79">
        <f>MRS!H40</f>
        <v>30</v>
      </c>
      <c r="F40" s="80">
        <f>MRS!I40</f>
        <v>14.5</v>
      </c>
      <c r="G40" s="81">
        <f t="shared" si="1"/>
        <v>435</v>
      </c>
      <c r="H40" s="186"/>
    </row>
    <row r="41" spans="1:8" s="47" customFormat="1" ht="25.5" customHeight="1">
      <c r="A41" s="77">
        <f t="shared" si="0"/>
        <v>36</v>
      </c>
      <c r="B41" s="165" t="str">
        <f>MRS!B41&amp;" "&amp;MRS!D41</f>
        <v xml:space="preserve">ERASER </v>
      </c>
      <c r="C41" s="166"/>
      <c r="D41" s="78" t="str">
        <f>MRS!G41</f>
        <v>PKT</v>
      </c>
      <c r="E41" s="79">
        <f>MRS!H41</f>
        <v>5</v>
      </c>
      <c r="F41" s="80">
        <f>MRS!I41</f>
        <v>8</v>
      </c>
      <c r="G41" s="81">
        <f t="shared" si="1"/>
        <v>40</v>
      </c>
      <c r="H41" s="186"/>
    </row>
    <row r="42" spans="1:8" s="47" customFormat="1" ht="25.5" customHeight="1">
      <c r="A42" s="77">
        <f t="shared" si="0"/>
        <v>37</v>
      </c>
      <c r="B42" s="165" t="str">
        <f>MRS!B42&amp;" "&amp;MRS!D42</f>
        <v xml:space="preserve">SHARPNER </v>
      </c>
      <c r="C42" s="166"/>
      <c r="D42" s="78" t="str">
        <f>MRS!G42</f>
        <v>EA</v>
      </c>
      <c r="E42" s="79">
        <f>MRS!H42</f>
        <v>20</v>
      </c>
      <c r="F42" s="80">
        <f>MRS!I42</f>
        <v>1.6</v>
      </c>
      <c r="G42" s="81">
        <f t="shared" si="1"/>
        <v>32</v>
      </c>
      <c r="H42" s="186"/>
    </row>
    <row r="43" spans="1:8" s="47" customFormat="1" ht="25.5" customHeight="1">
      <c r="A43" s="77">
        <f t="shared" si="0"/>
        <v>38</v>
      </c>
      <c r="B43" s="165" t="str">
        <f>MRS!B43&amp;" "&amp;MRS!D43</f>
        <v>HIGHLIGHTERS - YELLOW 1*10/ PKT</v>
      </c>
      <c r="C43" s="166"/>
      <c r="D43" s="78" t="str">
        <f>MRS!G43</f>
        <v>PKT</v>
      </c>
      <c r="E43" s="79">
        <f>MRS!H43</f>
        <v>100</v>
      </c>
      <c r="F43" s="80">
        <f>MRS!I43</f>
        <v>12.5</v>
      </c>
      <c r="G43" s="81">
        <f t="shared" si="1"/>
        <v>1250</v>
      </c>
      <c r="H43" s="186"/>
    </row>
    <row r="44" spans="1:8" s="47" customFormat="1" ht="25.5" customHeight="1">
      <c r="A44" s="77">
        <f t="shared" si="0"/>
        <v>39</v>
      </c>
      <c r="B44" s="165" t="str">
        <f>MRS!B44&amp;" "&amp;MRS!D44</f>
        <v>HIGHLIGHTERS - RED 1*10/ PKT</v>
      </c>
      <c r="C44" s="166"/>
      <c r="D44" s="78" t="str">
        <f>MRS!G44</f>
        <v>PKT</v>
      </c>
      <c r="E44" s="79">
        <f>MRS!H44</f>
        <v>15</v>
      </c>
      <c r="F44" s="80">
        <f>MRS!I44</f>
        <v>12.5</v>
      </c>
      <c r="G44" s="81">
        <f t="shared" si="1"/>
        <v>187.5</v>
      </c>
      <c r="H44" s="186"/>
    </row>
    <row r="45" spans="1:8" s="47" customFormat="1" ht="25.5" customHeight="1">
      <c r="A45" s="77">
        <f t="shared" si="0"/>
        <v>40</v>
      </c>
      <c r="B45" s="165" t="str">
        <f>MRS!B45&amp;" "&amp;MRS!D45</f>
        <v>HIGHLIGHTERS - GREEN 1*10/ PKT</v>
      </c>
      <c r="C45" s="166"/>
      <c r="D45" s="78" t="str">
        <f>MRS!G45</f>
        <v>PKT</v>
      </c>
      <c r="E45" s="79">
        <f>MRS!H45</f>
        <v>15</v>
      </c>
      <c r="F45" s="80">
        <f>MRS!I45</f>
        <v>12.5</v>
      </c>
      <c r="G45" s="81">
        <f t="shared" si="1"/>
        <v>187.5</v>
      </c>
      <c r="H45" s="186"/>
    </row>
    <row r="46" spans="1:8" s="47" customFormat="1" ht="25.5" customHeight="1">
      <c r="A46" s="77">
        <f t="shared" si="0"/>
        <v>41</v>
      </c>
      <c r="B46" s="165" t="str">
        <f>MRS!B46&amp;" "&amp;MRS!D46</f>
        <v>PAPER CLIPS - 28 MM 100/ PKT</v>
      </c>
      <c r="C46" s="166"/>
      <c r="D46" s="78" t="str">
        <f>MRS!G46</f>
        <v>PKT</v>
      </c>
      <c r="E46" s="79">
        <f>MRS!H46</f>
        <v>10</v>
      </c>
      <c r="F46" s="80">
        <f>MRS!I46</f>
        <v>1.5</v>
      </c>
      <c r="G46" s="81">
        <f t="shared" si="1"/>
        <v>15</v>
      </c>
      <c r="H46" s="186"/>
    </row>
    <row r="47" spans="1:8" s="47" customFormat="1" ht="25.5" customHeight="1">
      <c r="A47" s="77">
        <f t="shared" si="0"/>
        <v>42</v>
      </c>
      <c r="B47" s="165" t="str">
        <f>MRS!B47&amp;" "&amp;MRS!D47</f>
        <v>PAPER CLIPS - 32 MM 100/ PKT</v>
      </c>
      <c r="C47" s="166"/>
      <c r="D47" s="78" t="str">
        <f>MRS!G47</f>
        <v>PKT</v>
      </c>
      <c r="E47" s="79">
        <f>MRS!H47</f>
        <v>10</v>
      </c>
      <c r="F47" s="80">
        <f>MRS!I47</f>
        <v>2</v>
      </c>
      <c r="G47" s="81">
        <f t="shared" si="1"/>
        <v>20</v>
      </c>
      <c r="H47" s="186"/>
    </row>
    <row r="48" spans="1:8" s="47" customFormat="1" ht="25.5" customHeight="1">
      <c r="A48" s="77">
        <f t="shared" si="0"/>
        <v>43</v>
      </c>
      <c r="B48" s="165" t="str">
        <f>MRS!B48&amp;" "&amp;MRS!D48</f>
        <v xml:space="preserve">RUBBER BANDS - SMALL PKT </v>
      </c>
      <c r="C48" s="166"/>
      <c r="D48" s="78" t="str">
        <f>MRS!G48</f>
        <v>PKT</v>
      </c>
      <c r="E48" s="79">
        <f>MRS!H48</f>
        <v>30</v>
      </c>
      <c r="F48" s="80">
        <f>MRS!I48</f>
        <v>3</v>
      </c>
      <c r="G48" s="81">
        <f t="shared" si="1"/>
        <v>90</v>
      </c>
      <c r="H48" s="186"/>
    </row>
    <row r="49" spans="1:8" s="47" customFormat="1" ht="25.5" customHeight="1">
      <c r="A49" s="77">
        <f t="shared" si="0"/>
        <v>44</v>
      </c>
      <c r="B49" s="165" t="str">
        <f>MRS!B49&amp;" "&amp;MRS!D49</f>
        <v>PERMENENT MARKER - BLACK 1*12/ PKT deli</v>
      </c>
      <c r="C49" s="166"/>
      <c r="D49" s="78" t="str">
        <f>MRS!G49</f>
        <v>PKT</v>
      </c>
      <c r="E49" s="79">
        <f>MRS!H49</f>
        <v>40</v>
      </c>
      <c r="F49" s="80">
        <f>MRS!I49</f>
        <v>15</v>
      </c>
      <c r="G49" s="81">
        <f t="shared" si="1"/>
        <v>600</v>
      </c>
      <c r="H49" s="186"/>
    </row>
    <row r="50" spans="1:8" s="47" customFormat="1" ht="25.5" customHeight="1">
      <c r="A50" s="77">
        <f t="shared" si="0"/>
        <v>45</v>
      </c>
      <c r="B50" s="165" t="str">
        <f>MRS!B50&amp;" "&amp;MRS!D50</f>
        <v>PERMENENT MARKER - BLUE 1*12/ PKT deli</v>
      </c>
      <c r="C50" s="166"/>
      <c r="D50" s="78" t="str">
        <f>MRS!G50</f>
        <v>PKT</v>
      </c>
      <c r="E50" s="79">
        <f>MRS!H50</f>
        <v>20</v>
      </c>
      <c r="F50" s="80">
        <f>MRS!I50</f>
        <v>15</v>
      </c>
      <c r="G50" s="81">
        <f t="shared" si="1"/>
        <v>300</v>
      </c>
      <c r="H50" s="186"/>
    </row>
    <row r="51" spans="1:8" s="47" customFormat="1" ht="25.5" customHeight="1">
      <c r="A51" s="77">
        <f t="shared" si="0"/>
        <v>46</v>
      </c>
      <c r="B51" s="165" t="str">
        <f>MRS!B51&amp;" "&amp;MRS!D51</f>
        <v>PERMENENT MARKER - RED 1*12/ PKT deli</v>
      </c>
      <c r="C51" s="166"/>
      <c r="D51" s="78" t="str">
        <f>MRS!G51</f>
        <v>PKT</v>
      </c>
      <c r="E51" s="79">
        <f>MRS!H51</f>
        <v>20</v>
      </c>
      <c r="F51" s="80">
        <f>MRS!I51</f>
        <v>15</v>
      </c>
      <c r="G51" s="81">
        <f t="shared" si="1"/>
        <v>300</v>
      </c>
      <c r="H51" s="186"/>
    </row>
    <row r="52" spans="1:8" s="47" customFormat="1" ht="25.5" customHeight="1">
      <c r="A52" s="77">
        <f t="shared" si="0"/>
        <v>47</v>
      </c>
      <c r="B52" s="165" t="str">
        <f>MRS!B52&amp;" "&amp;MRS!D52</f>
        <v>BINDER CLIP - 15 MM 12PKTS/ BOX</v>
      </c>
      <c r="C52" s="166"/>
      <c r="D52" s="78" t="str">
        <f>MRS!G52</f>
        <v>BOX</v>
      </c>
      <c r="E52" s="79">
        <f>MRS!H52</f>
        <v>50</v>
      </c>
      <c r="F52" s="80">
        <f>MRS!I52</f>
        <v>12</v>
      </c>
      <c r="G52" s="81">
        <f t="shared" si="1"/>
        <v>600</v>
      </c>
      <c r="H52" s="186"/>
    </row>
    <row r="53" spans="1:8" s="47" customFormat="1" ht="25.5" customHeight="1">
      <c r="A53" s="77">
        <f t="shared" si="0"/>
        <v>48</v>
      </c>
      <c r="B53" s="165" t="str">
        <f>MRS!B53&amp;" "&amp;MRS!D53</f>
        <v>BINDER CLIP - 19 MM 12PKTS/ BOX</v>
      </c>
      <c r="C53" s="166"/>
      <c r="D53" s="78" t="str">
        <f>MRS!G53</f>
        <v>BOX</v>
      </c>
      <c r="E53" s="79">
        <f>MRS!H53</f>
        <v>30</v>
      </c>
      <c r="F53" s="80">
        <f>MRS!I53</f>
        <v>14.5</v>
      </c>
      <c r="G53" s="81">
        <f t="shared" si="1"/>
        <v>435</v>
      </c>
      <c r="H53" s="186"/>
    </row>
    <row r="54" spans="1:8" s="47" customFormat="1" ht="25.5" customHeight="1">
      <c r="A54" s="77">
        <f t="shared" si="0"/>
        <v>49</v>
      </c>
      <c r="B54" s="165" t="str">
        <f>MRS!B54&amp;" "&amp;MRS!D54</f>
        <v>BINDER CLIP - 25 MM 12PKTS/ BOX</v>
      </c>
      <c r="C54" s="166"/>
      <c r="D54" s="78" t="str">
        <f>MRS!G54</f>
        <v>BOX</v>
      </c>
      <c r="E54" s="79">
        <f>MRS!H54</f>
        <v>30</v>
      </c>
      <c r="F54" s="80">
        <f>MRS!I54</f>
        <v>16</v>
      </c>
      <c r="G54" s="81">
        <f t="shared" si="1"/>
        <v>480</v>
      </c>
      <c r="H54" s="186"/>
    </row>
    <row r="55" spans="1:8" s="47" customFormat="1" ht="25.5" customHeight="1">
      <c r="A55" s="77">
        <f t="shared" si="0"/>
        <v>50</v>
      </c>
      <c r="B55" s="165" t="str">
        <f>MRS!B55&amp;" "&amp;MRS!D55</f>
        <v>BINDER CLIP - 32 MM 12PKTS/ BOX</v>
      </c>
      <c r="C55" s="166"/>
      <c r="D55" s="78" t="str">
        <f>MRS!G55</f>
        <v>BOX</v>
      </c>
      <c r="E55" s="79">
        <f>MRS!H55</f>
        <v>30</v>
      </c>
      <c r="F55" s="80">
        <f>MRS!I55</f>
        <v>26</v>
      </c>
      <c r="G55" s="81">
        <f t="shared" si="1"/>
        <v>780</v>
      </c>
      <c r="H55" s="186"/>
    </row>
    <row r="56" spans="1:8" s="47" customFormat="1" ht="25.5" customHeight="1">
      <c r="A56" s="77">
        <f t="shared" si="0"/>
        <v>51</v>
      </c>
      <c r="B56" s="165" t="str">
        <f>MRS!B56&amp;" "&amp;MRS!D56</f>
        <v xml:space="preserve">DIARY - A5 </v>
      </c>
      <c r="C56" s="166"/>
      <c r="D56" s="78" t="str">
        <f>MRS!G56</f>
        <v>EA</v>
      </c>
      <c r="E56" s="79">
        <f>MRS!H56</f>
        <v>20</v>
      </c>
      <c r="F56" s="80">
        <f>MRS!I56</f>
        <v>5</v>
      </c>
      <c r="G56" s="81">
        <f t="shared" si="1"/>
        <v>100</v>
      </c>
      <c r="H56" s="186"/>
    </row>
    <row r="57" spans="1:8" s="47" customFormat="1" ht="25.5" customHeight="1">
      <c r="A57" s="77">
        <f t="shared" si="0"/>
        <v>52</v>
      </c>
      <c r="B57" s="165" t="str">
        <f>MRS!B57&amp;" "&amp;MRS!D57</f>
        <v xml:space="preserve">DIARY - A6 </v>
      </c>
      <c r="C57" s="166"/>
      <c r="D57" s="78" t="str">
        <f>MRS!G57</f>
        <v>EA</v>
      </c>
      <c r="E57" s="79">
        <f>MRS!H57</f>
        <v>20</v>
      </c>
      <c r="F57" s="80">
        <f>MRS!I57</f>
        <v>4.25</v>
      </c>
      <c r="G57" s="81">
        <f t="shared" si="1"/>
        <v>85</v>
      </c>
      <c r="H57" s="186"/>
    </row>
    <row r="58" spans="1:8" s="47" customFormat="1" ht="25.5" customHeight="1">
      <c r="A58" s="77">
        <f t="shared" si="0"/>
        <v>53</v>
      </c>
      <c r="B58" s="165" t="str">
        <f>MRS!B58&amp;" "&amp;MRS!D58</f>
        <v xml:space="preserve">DIARY - A7 - POCKET DIARY </v>
      </c>
      <c r="C58" s="166"/>
      <c r="D58" s="78" t="str">
        <f>MRS!G58</f>
        <v>EA</v>
      </c>
      <c r="E58" s="79">
        <f>MRS!H58</f>
        <v>40</v>
      </c>
      <c r="F58" s="80">
        <f>MRS!I58</f>
        <v>3.25</v>
      </c>
      <c r="G58" s="81">
        <f t="shared" si="1"/>
        <v>130</v>
      </c>
      <c r="H58" s="186"/>
    </row>
    <row r="59" spans="1:8" s="47" customFormat="1" ht="25.5" customHeight="1">
      <c r="A59" s="77">
        <f t="shared" si="0"/>
        <v>54</v>
      </c>
      <c r="B59" s="165" t="str">
        <f>MRS!B59&amp;" "&amp;MRS!D59</f>
        <v xml:space="preserve">METALLIC SCALE - 30 CMS </v>
      </c>
      <c r="C59" s="166"/>
      <c r="D59" s="78" t="str">
        <f>MRS!G59</f>
        <v>EA</v>
      </c>
      <c r="E59" s="79">
        <f>MRS!H59</f>
        <v>10</v>
      </c>
      <c r="F59" s="80">
        <f>MRS!I59</f>
        <v>2</v>
      </c>
      <c r="G59" s="81">
        <f t="shared" si="1"/>
        <v>20</v>
      </c>
      <c r="H59" s="186"/>
    </row>
    <row r="60" spans="1:8" s="47" customFormat="1" ht="25.5" customHeight="1">
      <c r="A60" s="77">
        <f t="shared" si="0"/>
        <v>55</v>
      </c>
      <c r="B60" s="165" t="str">
        <f>MRS!B60&amp;" "&amp;MRS!D60</f>
        <v>A3 BOX FILE 1*30 FILES/ BOX lotus</v>
      </c>
      <c r="C60" s="166"/>
      <c r="D60" s="78" t="str">
        <f>MRS!G60</f>
        <v>BOX</v>
      </c>
      <c r="E60" s="79">
        <f>MRS!H60</f>
        <v>3</v>
      </c>
      <c r="F60" s="80">
        <f>MRS!I60</f>
        <v>180</v>
      </c>
      <c r="G60" s="81">
        <f t="shared" si="1"/>
        <v>540</v>
      </c>
      <c r="H60" s="186"/>
    </row>
    <row r="61" spans="1:8" s="47" customFormat="1" ht="25.5" customHeight="1">
      <c r="A61" s="77">
        <f t="shared" si="0"/>
        <v>56</v>
      </c>
      <c r="B61" s="165" t="str">
        <f>MRS!B61&amp;" "&amp;MRS!D61</f>
        <v>A4 BOX FILE 1*12 FILES/ BOX</v>
      </c>
      <c r="C61" s="166"/>
      <c r="D61" s="78" t="str">
        <f>MRS!G61</f>
        <v>BOX</v>
      </c>
      <c r="E61" s="79">
        <f>MRS!H61</f>
        <v>6</v>
      </c>
      <c r="F61" s="80">
        <f>MRS!I61</f>
        <v>150</v>
      </c>
      <c r="G61" s="81">
        <f t="shared" si="1"/>
        <v>900</v>
      </c>
      <c r="H61" s="186"/>
    </row>
    <row r="62" spans="1:8" s="47" customFormat="1" ht="25.5" customHeight="1">
      <c r="A62" s="77">
        <f t="shared" si="0"/>
        <v>57</v>
      </c>
      <c r="B62" s="165" t="str">
        <f>MRS!B62&amp;" "&amp;MRS!D62</f>
        <v>CORRECTION PEN 1*12/PKT</v>
      </c>
      <c r="C62" s="166"/>
      <c r="D62" s="78" t="str">
        <f>MRS!G62</f>
        <v>PKT</v>
      </c>
      <c r="E62" s="79">
        <f>MRS!H62</f>
        <v>10</v>
      </c>
      <c r="F62" s="80">
        <f>MRS!I62</f>
        <v>16</v>
      </c>
      <c r="G62" s="81">
        <f t="shared" si="1"/>
        <v>160</v>
      </c>
      <c r="H62" s="186"/>
    </row>
    <row r="63" spans="1:8" s="47" customFormat="1" ht="25.5" customHeight="1">
      <c r="A63" s="77">
        <f t="shared" si="0"/>
        <v>58</v>
      </c>
      <c r="B63" s="165" t="str">
        <f>MRS!B63&amp;" "&amp;MRS!D63</f>
        <v xml:space="preserve">WHITNER - TAPE TYPE </v>
      </c>
      <c r="C63" s="166"/>
      <c r="D63" s="78" t="str">
        <f>MRS!G63</f>
        <v>EA</v>
      </c>
      <c r="E63" s="79">
        <f>MRS!H63</f>
        <v>30</v>
      </c>
      <c r="F63" s="80">
        <f>MRS!I63</f>
        <v>3</v>
      </c>
      <c r="G63" s="81">
        <f t="shared" si="1"/>
        <v>90</v>
      </c>
      <c r="H63" s="186"/>
    </row>
    <row r="64" spans="1:8" s="47" customFormat="1" ht="25.5" customHeight="1">
      <c r="A64" s="77">
        <f t="shared" si="0"/>
        <v>59</v>
      </c>
      <c r="B64" s="165" t="str">
        <f>MRS!B64&amp;" "&amp;MRS!D64</f>
        <v xml:space="preserve">KEY CHAIN </v>
      </c>
      <c r="C64" s="166"/>
      <c r="D64" s="78" t="str">
        <f>MRS!G64</f>
        <v>BOX</v>
      </c>
      <c r="E64" s="79">
        <f>MRS!H64</f>
        <v>2</v>
      </c>
      <c r="F64" s="80">
        <f>MRS!I64</f>
        <v>8</v>
      </c>
      <c r="G64" s="81">
        <f t="shared" si="1"/>
        <v>16</v>
      </c>
      <c r="H64" s="186"/>
    </row>
    <row r="65" spans="1:8" s="47" customFormat="1" ht="25.5" customHeight="1">
      <c r="A65" s="77">
        <f t="shared" si="0"/>
        <v>60</v>
      </c>
      <c r="B65" s="165" t="str">
        <f>MRS!B65&amp;" "&amp;MRS!D65</f>
        <v>A4 LABLE STICKERS 100 SHEETS/ PKT</v>
      </c>
      <c r="C65" s="166"/>
      <c r="D65" s="78" t="str">
        <f>MRS!G65</f>
        <v>PKTS</v>
      </c>
      <c r="E65" s="79">
        <f>MRS!H65</f>
        <v>20</v>
      </c>
      <c r="F65" s="80">
        <f>MRS!I65</f>
        <v>30</v>
      </c>
      <c r="G65" s="81">
        <f t="shared" si="1"/>
        <v>600</v>
      </c>
      <c r="H65" s="186"/>
    </row>
    <row r="66" spans="1:8" s="47" customFormat="1" ht="25.5" customHeight="1">
      <c r="A66" s="77">
        <f t="shared" si="0"/>
        <v>61</v>
      </c>
      <c r="B66" s="165" t="str">
        <f>MRS!B66&amp;" "&amp;MRS!D66</f>
        <v>A3 LAMINATION SHEETS deluxe 100 SHEETS/ PKT</v>
      </c>
      <c r="C66" s="166"/>
      <c r="D66" s="78" t="str">
        <f>MRS!G66</f>
        <v>PKTS</v>
      </c>
      <c r="E66" s="79">
        <f>MRS!H66</f>
        <v>20</v>
      </c>
      <c r="F66" s="80">
        <f>MRS!I66</f>
        <v>63</v>
      </c>
      <c r="G66" s="81">
        <f t="shared" si="1"/>
        <v>1260</v>
      </c>
      <c r="H66" s="186"/>
    </row>
    <row r="67" spans="1:8" s="47" customFormat="1" ht="25.5" customHeight="1">
      <c r="A67" s="77">
        <f t="shared" si="0"/>
        <v>62</v>
      </c>
      <c r="B67" s="165" t="str">
        <f>MRS!B67&amp;" "&amp;MRS!D67</f>
        <v>A4 LAMINATION SHEETS deluxe 100 SHEETS/ PKT</v>
      </c>
      <c r="C67" s="166"/>
      <c r="D67" s="78" t="str">
        <f>MRS!G67</f>
        <v>PKTS</v>
      </c>
      <c r="E67" s="79">
        <f>MRS!H67</f>
        <v>40</v>
      </c>
      <c r="F67" s="80">
        <f>MRS!I67</f>
        <v>32</v>
      </c>
      <c r="G67" s="81">
        <f t="shared" si="1"/>
        <v>1280</v>
      </c>
      <c r="H67" s="186"/>
    </row>
    <row r="68" spans="1:8" s="47" customFormat="1" ht="25.5" customHeight="1">
      <c r="A68" s="77">
        <f t="shared" si="0"/>
        <v>63</v>
      </c>
      <c r="B68" s="165" t="str">
        <f>MRS!B68&amp;" "&amp;MRS!D68</f>
        <v xml:space="preserve">SENSODYNE SOFT BRUSH </v>
      </c>
      <c r="C68" s="166"/>
      <c r="D68" s="78" t="str">
        <f>MRS!G68</f>
        <v>EA</v>
      </c>
      <c r="E68" s="79">
        <f>MRS!H68</f>
        <v>100</v>
      </c>
      <c r="F68" s="80">
        <f>MRS!I68</f>
        <v>7</v>
      </c>
      <c r="G68" s="81">
        <f t="shared" si="1"/>
        <v>700</v>
      </c>
      <c r="H68" s="186"/>
    </row>
    <row r="69" spans="1:8" s="47" customFormat="1" ht="25.5" customHeight="1">
      <c r="A69" s="77">
        <f t="shared" si="0"/>
        <v>64</v>
      </c>
      <c r="B69" s="165" t="str">
        <f>MRS!B69&amp;" "&amp;MRS!D69</f>
        <v>FACIAL TISSUE - 3 LAYERS 10 BOXES/ PKT</v>
      </c>
      <c r="C69" s="166"/>
      <c r="D69" s="78" t="str">
        <f>MRS!G69</f>
        <v>PKT</v>
      </c>
      <c r="E69" s="79">
        <f>MRS!H69</f>
        <v>20</v>
      </c>
      <c r="F69" s="80">
        <f>MRS!I69</f>
        <v>19.5</v>
      </c>
      <c r="G69" s="81">
        <f t="shared" si="1"/>
        <v>390</v>
      </c>
      <c r="H69" s="186"/>
    </row>
    <row r="70" spans="1:8" s="47" customFormat="1" ht="25.5" customHeight="1">
      <c r="A70" s="77">
        <f t="shared" ref="A70:A76" si="2">ROW(A65)</f>
        <v>65</v>
      </c>
      <c r="B70" s="165" t="str">
        <f>MRS!B70&amp;" "&amp;MRS!D70</f>
        <v xml:space="preserve">TEA BAGS - RABEA </v>
      </c>
      <c r="C70" s="166"/>
      <c r="D70" s="78" t="str">
        <f>MRS!G70</f>
        <v>PKTS</v>
      </c>
      <c r="E70" s="79">
        <f>MRS!H70</f>
        <v>100</v>
      </c>
      <c r="F70" s="80">
        <f>MRS!I70</f>
        <v>10.41</v>
      </c>
      <c r="G70" s="81">
        <f t="shared" si="1"/>
        <v>1041</v>
      </c>
      <c r="H70" s="186"/>
    </row>
    <row r="71" spans="1:8" s="47" customFormat="1" ht="25.5" customHeight="1">
      <c r="A71" s="77">
        <f t="shared" si="2"/>
        <v>66</v>
      </c>
      <c r="B71" s="165" t="str">
        <f>MRS!B71&amp;" "&amp;MRS!D71</f>
        <v>NES COFFEE 190gm</v>
      </c>
      <c r="C71" s="166"/>
      <c r="D71" s="78" t="str">
        <f>MRS!G71</f>
        <v>JAR</v>
      </c>
      <c r="E71" s="79">
        <f>MRS!H71</f>
        <v>50</v>
      </c>
      <c r="F71" s="80">
        <f>MRS!I71</f>
        <v>24</v>
      </c>
      <c r="G71" s="81">
        <f t="shared" ref="G71:G76" si="3">F71*E71</f>
        <v>1200</v>
      </c>
      <c r="H71" s="186"/>
    </row>
    <row r="72" spans="1:8" s="47" customFormat="1" ht="25.5" customHeight="1">
      <c r="A72" s="77">
        <f t="shared" si="2"/>
        <v>67</v>
      </c>
      <c r="B72" s="165" t="str">
        <f>MRS!B72&amp;" "&amp;MRS!D72</f>
        <v xml:space="preserve">WATER - 1.5 LTRS </v>
      </c>
      <c r="C72" s="166"/>
      <c r="D72" s="78" t="str">
        <f>MRS!G72</f>
        <v>PKTS</v>
      </c>
      <c r="E72" s="79">
        <f>MRS!H72</f>
        <v>700</v>
      </c>
      <c r="F72" s="80">
        <f>MRS!I72</f>
        <v>6.5</v>
      </c>
      <c r="G72" s="81">
        <f t="shared" si="3"/>
        <v>4550</v>
      </c>
      <c r="H72" s="186"/>
    </row>
    <row r="73" spans="1:8" s="47" customFormat="1" ht="25.5" customHeight="1">
      <c r="A73" s="77">
        <f t="shared" si="2"/>
        <v>68</v>
      </c>
      <c r="B73" s="165" t="str">
        <f>MRS!B73&amp;" "&amp;MRS!D73</f>
        <v xml:space="preserve">BREAD </v>
      </c>
      <c r="C73" s="166"/>
      <c r="D73" s="78" t="str">
        <f>MRS!G73</f>
        <v>EA</v>
      </c>
      <c r="E73" s="79">
        <f>MRS!H73</f>
        <v>3000</v>
      </c>
      <c r="F73" s="80">
        <f>MRS!I73</f>
        <v>1.25</v>
      </c>
      <c r="G73" s="81">
        <f t="shared" si="3"/>
        <v>3750</v>
      </c>
      <c r="H73" s="186"/>
    </row>
    <row r="74" spans="1:8" s="47" customFormat="1" ht="25.5" customHeight="1">
      <c r="A74" s="77">
        <f t="shared" si="2"/>
        <v>69</v>
      </c>
      <c r="B74" s="165" t="str">
        <f>MRS!B74&amp;" "&amp;MRS!D74</f>
        <v>AMPLIFLIER 60W</v>
      </c>
      <c r="C74" s="166"/>
      <c r="D74" s="78" t="str">
        <f>MRS!G74</f>
        <v>EA</v>
      </c>
      <c r="E74" s="79">
        <f>MRS!H74</f>
        <v>1</v>
      </c>
      <c r="F74" s="80">
        <f>MRS!I74</f>
        <v>600</v>
      </c>
      <c r="G74" s="81">
        <f t="shared" si="3"/>
        <v>600</v>
      </c>
      <c r="H74" s="186"/>
    </row>
    <row r="75" spans="1:8" s="47" customFormat="1" ht="25.5" customHeight="1">
      <c r="A75" s="77">
        <f t="shared" si="2"/>
        <v>70</v>
      </c>
      <c r="B75" s="165" t="str">
        <f>MRS!B75&amp;" "&amp;MRS!D75</f>
        <v xml:space="preserve">CLEAR GLASS </v>
      </c>
      <c r="C75" s="166"/>
      <c r="D75" s="78" t="str">
        <f>MRS!G75</f>
        <v>EA</v>
      </c>
      <c r="E75" s="79">
        <f>MRS!H75</f>
        <v>1000</v>
      </c>
      <c r="F75" s="80">
        <f>MRS!I75</f>
        <v>3</v>
      </c>
      <c r="G75" s="81">
        <f t="shared" si="3"/>
        <v>3000</v>
      </c>
      <c r="H75" s="186"/>
    </row>
    <row r="76" spans="1:8" s="47" customFormat="1" ht="25.5" customHeight="1">
      <c r="A76" s="77">
        <f t="shared" si="2"/>
        <v>71</v>
      </c>
      <c r="B76" s="165" t="str">
        <f>MRS!B76&amp;" "&amp;MRS!D76</f>
        <v xml:space="preserve">DARK GLASS </v>
      </c>
      <c r="C76" s="166"/>
      <c r="D76" s="78" t="str">
        <f>MRS!G76</f>
        <v>EA</v>
      </c>
      <c r="E76" s="79">
        <f>MRS!H76</f>
        <v>1000</v>
      </c>
      <c r="F76" s="80">
        <f>MRS!I76</f>
        <v>3</v>
      </c>
      <c r="G76" s="81">
        <f t="shared" si="3"/>
        <v>3000</v>
      </c>
      <c r="H76" s="186"/>
    </row>
    <row r="77" spans="1:8" s="47" customFormat="1" ht="23.1" customHeight="1">
      <c r="A77" s="181" t="s">
        <v>77</v>
      </c>
      <c r="B77" s="182"/>
      <c r="C77" s="182"/>
      <c r="D77" s="182"/>
      <c r="E77" s="182"/>
      <c r="F77" s="182"/>
      <c r="G77" s="50">
        <f>SUM(G5:G76)</f>
        <v>139090</v>
      </c>
      <c r="H77" s="51"/>
    </row>
    <row r="78" spans="1:8" s="47" customFormat="1" ht="23.1" customHeight="1">
      <c r="A78" s="181" t="s">
        <v>41</v>
      </c>
      <c r="B78" s="182"/>
      <c r="C78" s="182"/>
      <c r="D78" s="182"/>
      <c r="E78" s="182"/>
      <c r="F78" s="182"/>
      <c r="G78" s="50">
        <f>+G77*0.15</f>
        <v>20863.5</v>
      </c>
      <c r="H78" s="51"/>
    </row>
    <row r="79" spans="1:8" s="47" customFormat="1" ht="24.95" customHeight="1" thickBot="1">
      <c r="A79" s="183" t="s">
        <v>78</v>
      </c>
      <c r="B79" s="184"/>
      <c r="C79" s="184"/>
      <c r="D79" s="184"/>
      <c r="E79" s="184"/>
      <c r="F79" s="184"/>
      <c r="G79" s="52">
        <f>G78+G77</f>
        <v>159953.5</v>
      </c>
      <c r="H79" s="53"/>
    </row>
    <row r="80" spans="1:8" ht="15.75" thickTop="1">
      <c r="A80" s="54" t="str">
        <f>" 1) Above Price are as per your quotation with ref "&amp;'PO 1st page'!K14</f>
        <v xml:space="preserve"> 1) Above Price are as per your quotation with ref QUO-MAT-26092006</v>
      </c>
      <c r="B80" s="55"/>
      <c r="C80" s="55"/>
      <c r="D80" s="56"/>
      <c r="E80" s="56"/>
      <c r="F80" s="56"/>
      <c r="G80" s="56"/>
      <c r="H80" s="56"/>
    </row>
    <row r="81" spans="1:13" ht="15">
      <c r="A81" s="57" t="s">
        <v>79</v>
      </c>
      <c r="B81" s="58"/>
      <c r="C81" s="58"/>
      <c r="D81" s="59"/>
      <c r="E81" s="59"/>
      <c r="F81" s="59"/>
      <c r="G81" s="59"/>
      <c r="H81" s="59"/>
      <c r="I81" s="60"/>
    </row>
    <row r="82" spans="1:13" ht="15.75">
      <c r="A82" s="61"/>
    </row>
    <row r="83" spans="1:13">
      <c r="A83" s="156" t="s">
        <v>80</v>
      </c>
      <c r="B83" s="156"/>
      <c r="C83" s="156"/>
      <c r="D83" s="156"/>
      <c r="E83" s="156"/>
      <c r="F83" s="156"/>
      <c r="G83" s="156"/>
      <c r="H83" s="156"/>
      <c r="I83" s="62"/>
      <c r="J83" s="62"/>
      <c r="K83" s="62"/>
      <c r="L83" s="62"/>
      <c r="M83" s="62"/>
    </row>
    <row r="84" spans="1:13" ht="15.75">
      <c r="A84" s="61"/>
      <c r="C84" s="63"/>
    </row>
    <row r="85" spans="1:13" ht="15.75">
      <c r="A85" s="61"/>
      <c r="C85" s="63"/>
    </row>
    <row r="87" spans="1:13" ht="12" customHeight="1"/>
  </sheetData>
  <mergeCells count="83">
    <mergeCell ref="B76:C76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A77:F77"/>
    <mergeCell ref="A78:F78"/>
    <mergeCell ref="A79:F79"/>
    <mergeCell ref="A83:H83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35:C35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15:C15"/>
    <mergeCell ref="B33:C33"/>
    <mergeCell ref="B34:C34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56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2026-10-01T04:11:37Z</cp:lastPrinted>
  <dcterms:created xsi:type="dcterms:W3CDTF">2024-10-20T11:50:19Z</dcterms:created>
  <dcterms:modified xsi:type="dcterms:W3CDTF">2026-10-01T04:14:46Z</dcterms:modified>
</cp:coreProperties>
</file>