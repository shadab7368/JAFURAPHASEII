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497D747-2555-4DAA-A763-B11CC62DD58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H6" i="4"/>
  <c r="F9" i="4"/>
  <c r="F8" i="4"/>
  <c r="E9" i="4"/>
  <c r="E8" i="4"/>
  <c r="D9" i="4"/>
  <c r="D8" i="4"/>
  <c r="B9" i="4"/>
  <c r="B8" i="4"/>
  <c r="A8" i="4"/>
  <c r="A9" i="4"/>
  <c r="B7" i="4"/>
  <c r="B6" i="4"/>
  <c r="J11" i="1"/>
  <c r="J10" i="1"/>
  <c r="J9" i="1"/>
  <c r="J8" i="1"/>
  <c r="J7" i="1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G11" i="4" s="1"/>
  <c r="J10" i="2"/>
  <c r="G10" i="4" s="1"/>
  <c r="J9" i="2"/>
  <c r="G9" i="4" s="1"/>
  <c r="J8" i="2"/>
  <c r="G8" i="4" s="1"/>
  <c r="K59" i="3"/>
  <c r="E3" i="1"/>
  <c r="H7" i="2"/>
  <c r="E7" i="4" s="1"/>
  <c r="G7" i="2"/>
  <c r="D7" i="4" s="1"/>
  <c r="D7" i="2"/>
  <c r="B7" i="2"/>
  <c r="K10" i="3" l="1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2"/>
  <c r="A10" i="2"/>
  <c r="A9" i="2"/>
  <c r="A8" i="2"/>
  <c r="A7" i="1"/>
  <c r="A7" i="2" s="1"/>
  <c r="A6" i="1"/>
  <c r="A6" i="2" s="1"/>
  <c r="J16" i="1" l="1"/>
  <c r="J6" i="2"/>
  <c r="G6" i="4" s="1"/>
  <c r="G18" i="4" s="1"/>
  <c r="F29" i="3" s="1"/>
  <c r="G19" i="4" l="1"/>
  <c r="F30" i="3" s="1"/>
  <c r="G20" i="4" l="1"/>
  <c r="F31" i="3" s="1"/>
</calcChain>
</file>

<file path=xl/sharedStrings.xml><?xml version="1.0" encoding="utf-8"?>
<sst xmlns="http://schemas.openxmlformats.org/spreadsheetml/2006/main" count="148" uniqueCount="120">
  <si>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</si>
  <si>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</si>
  <si>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</si>
  <si>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</si>
  <si>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</si>
  <si>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</si>
  <si>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</si>
  <si>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</si>
  <si>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</si>
  <si>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</si>
  <si>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</si>
  <si>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</si>
  <si>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</si>
  <si>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</si>
  <si>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</si>
  <si>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</si>
  <si>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</si>
  <si>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</si>
  <si>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</si>
  <si>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</si>
  <si>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</si>
  <si>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</si>
  <si>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</si>
  <si>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</si>
  <si>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</si>
  <si>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</si>
  <si>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</si>
  <si>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</si>
  <si>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</si>
  <si>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</si>
  <si>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</si>
  <si>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</si>
  <si>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</si>
  <si>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</si>
  <si>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</si>
  <si>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</si>
  <si>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</si>
  <si>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</si>
  <si>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</si>
  <si>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</si>
  <si>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</si>
  <si>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</si>
  <si>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</si>
  <si>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</si>
  <si>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</si>
  <si>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</si>
  <si>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</si>
  <si>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</si>
  <si>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</si>
  <si>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</si>
  <si>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</si>
  <si>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</si>
  <si>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</si>
  <si>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</si>
  <si>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</si>
  <si>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</si>
  <si>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</si>
  <si>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</si>
  <si>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</si>
  <si>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</si>
  <si>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</si>
  <si>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</si>
  <si>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</si>
  <si>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</si>
  <si>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</si>
  <si>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</si>
  <si>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</si>
  <si>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</si>
  <si>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</si>
  <si>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</si>
  <si>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</si>
  <si>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</si>
  <si>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</si>
  <si>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</si>
  <si>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</si>
  <si>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</si>
  <si>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</si>
  <si>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</si>
  <si>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</si>
  <si>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</si>
  <si>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</si>
  <si>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</si>
  <si>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</si>
  <si>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</si>
  <si>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</si>
  <si>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</si>
  <si>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</si>
  <si>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</si>
  <si>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</si>
  <si>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</si>
  <si>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</si>
  <si>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</si>
  <si>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</si>
  <si>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</si>
  <si>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</si>
  <si>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</si>
  <si>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</si>
  <si>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</si>
  <si>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</si>
  <si>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KG</t>
  </si>
  <si>
    <t>OWTC</t>
  </si>
  <si>
    <t>OWTC(Ocean Wings Trading Co.)</t>
  </si>
  <si>
    <t>2055025122</t>
  </si>
  <si>
    <t>Rameez Abdul Khadar</t>
  </si>
  <si>
    <t>310060487300003</t>
  </si>
  <si>
    <t>Sales Engineer</t>
  </si>
  <si>
    <t>Mobile No. +966 55 938 0672 / email: manaf.a@oceanwings.co</t>
  </si>
  <si>
    <t>Landline : +966 13 340 3073 / Mobile: +966 55 938 0672</t>
  </si>
  <si>
    <t>BRANCH OF HYUNDAI ENG. &amp; CONST. CO., LTD.</t>
  </si>
  <si>
    <t>Branch of Hyundai Engineering and Const. Co., Ltd. (HDEC)</t>
  </si>
  <si>
    <t>Tebah Area, 8462, Al Jubail 35513, KSA</t>
  </si>
  <si>
    <t>Welding Rod</t>
  </si>
  <si>
    <t>One time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</si>
  <si>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</si>
  <si>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-MRS-0158</t>
    </r>
  </si>
  <si>
    <t>TIG WIRE (GTAW), OK TIGROD 12.60, 
ER70S-3, 2.4 MM, 5Kg/Pk</t>
  </si>
  <si>
    <t>TIG WIRE (GTAW), OK Tigrod 16.30, 
ER316L, 1.6x1000mm 5kg</t>
  </si>
  <si>
    <t>TIG WIRE (GTAW), OK Tigrod 16.30, 
ER316L, 2.4 MM, 5.0 Kg</t>
  </si>
  <si>
    <t>TIG WIRE (GTAW), OK Tigrod 16.53, 
ER309L, 2.4 MM, 5.0 Kg</t>
  </si>
  <si>
    <t>23002955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</si>
</sst>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#,##0.0;[Red]\-#,##0.0;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175" fontId="2" fillId="0" borderId="8" xfId="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" fillId="3" borderId="38" xfId="5" applyFont="1" applyFill="1" applyBorder="1" applyAlignment="1">
      <alignment horizontal="left" vertical="center" wrapText="1"/>
    </xf>
    <xf numFmtId="0" fontId="5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772026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45868" y="5143500"/>
              <a:ext cx="406116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42" t="s">
        <v>87</v>
      </c>
      <c r="K1" s="143"/>
      <c r="L1" s="144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45" t="s">
        <v>94</v>
      </c>
      <c r="K2" s="146"/>
      <c r="L2" s="147"/>
    </row>
    <row r="3" spans="1:18" ht="20.100000000000001" customHeight="1">
      <c r="A3" s="3" t="s">
        <v>114</v>
      </c>
      <c r="B3" s="100"/>
      <c r="C3" s="100"/>
      <c r="D3" s="100"/>
      <c r="E3" s="148">
        <f>+L3</f>
        <v>45971</v>
      </c>
      <c r="F3" s="148"/>
      <c r="G3" s="148"/>
      <c r="H3" s="148"/>
      <c r="I3" s="148"/>
      <c r="J3" s="100"/>
      <c r="K3" s="100"/>
      <c r="L3" s="121">
        <v>45971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91</v>
      </c>
      <c r="J4" s="149" t="s">
        <v>92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40.5" customHeight="1">
      <c r="A6" s="5">
        <f t="shared" ref="A6:A15" si="0">ROW(A1)</f>
        <v>1</v>
      </c>
      <c r="B6" s="130" t="s">
        <v>111</v>
      </c>
      <c r="C6" s="131"/>
      <c r="D6" s="132" t="s">
        <v>115</v>
      </c>
      <c r="E6" s="133"/>
      <c r="F6" s="134"/>
      <c r="G6" s="110" t="s">
        <v>99</v>
      </c>
      <c r="H6" s="111">
        <v>100</v>
      </c>
      <c r="I6" s="112">
        <v>19.75</v>
      </c>
      <c r="J6" s="112">
        <f>I6*H6</f>
        <v>1975</v>
      </c>
      <c r="K6" s="113" t="s">
        <v>100</v>
      </c>
      <c r="L6" s="114" t="s">
        <v>112</v>
      </c>
      <c r="R6" s="105"/>
    </row>
    <row r="7" spans="1:18" ht="40.5" customHeight="1">
      <c r="A7" s="5">
        <f t="shared" si="0"/>
        <v>2</v>
      </c>
      <c r="B7" s="130" t="s">
        <v>111</v>
      </c>
      <c r="C7" s="131"/>
      <c r="D7" s="141" t="s">
        <v>116</v>
      </c>
      <c r="E7" s="133"/>
      <c r="F7" s="134"/>
      <c r="G7" s="110" t="s">
        <v>99</v>
      </c>
      <c r="H7" s="111">
        <v>50</v>
      </c>
      <c r="I7" s="112">
        <v>101</v>
      </c>
      <c r="J7" s="112">
        <f t="shared" ref="J7:J11" si="1">I7*H7</f>
        <v>5050</v>
      </c>
      <c r="K7" s="113" t="s">
        <v>113</v>
      </c>
      <c r="L7" s="114" t="s">
        <v>113</v>
      </c>
      <c r="R7" s="105"/>
    </row>
    <row r="8" spans="1:18" ht="40.5" customHeight="1">
      <c r="A8" s="5">
        <v>3</v>
      </c>
      <c r="B8" s="130" t="s">
        <v>111</v>
      </c>
      <c r="C8" s="131"/>
      <c r="D8" s="141" t="s">
        <v>117</v>
      </c>
      <c r="E8" s="133"/>
      <c r="F8" s="134"/>
      <c r="G8" s="110" t="s">
        <v>99</v>
      </c>
      <c r="H8" s="111">
        <v>30</v>
      </c>
      <c r="I8" s="112">
        <v>80</v>
      </c>
      <c r="J8" s="112">
        <f t="shared" si="1"/>
        <v>2400</v>
      </c>
      <c r="K8" s="113"/>
      <c r="L8" s="114"/>
      <c r="P8" s="2" t="s">
        <v>98</v>
      </c>
      <c r="R8" s="105"/>
    </row>
    <row r="9" spans="1:18" ht="40.5" customHeight="1">
      <c r="A9" s="5">
        <v>4</v>
      </c>
      <c r="B9" s="130" t="s">
        <v>111</v>
      </c>
      <c r="C9" s="131"/>
      <c r="D9" s="132" t="s">
        <v>118</v>
      </c>
      <c r="E9" s="133"/>
      <c r="F9" s="134"/>
      <c r="G9" s="110" t="s">
        <v>99</v>
      </c>
      <c r="H9" s="111">
        <v>15</v>
      </c>
      <c r="I9" s="112">
        <v>84</v>
      </c>
      <c r="J9" s="112">
        <f t="shared" si="1"/>
        <v>1260</v>
      </c>
      <c r="K9" s="113"/>
      <c r="L9" s="114"/>
      <c r="R9" s="105"/>
    </row>
    <row r="10" spans="1:18" ht="40.5" customHeight="1">
      <c r="A10" s="5"/>
      <c r="B10" s="139"/>
      <c r="C10" s="139"/>
      <c r="D10" s="140"/>
      <c r="E10" s="140"/>
      <c r="F10" s="140"/>
      <c r="G10" s="110"/>
      <c r="H10" s="111"/>
      <c r="I10" s="115"/>
      <c r="J10" s="112">
        <f t="shared" si="1"/>
        <v>0</v>
      </c>
      <c r="K10" s="113"/>
      <c r="L10" s="110"/>
      <c r="R10" s="105"/>
    </row>
    <row r="11" spans="1:18" ht="40.5" customHeight="1">
      <c r="A11" s="5"/>
      <c r="B11" s="139"/>
      <c r="C11" s="139"/>
      <c r="D11" s="140"/>
      <c r="E11" s="140"/>
      <c r="F11" s="140"/>
      <c r="G11" s="110"/>
      <c r="H11" s="125"/>
      <c r="I11" s="112"/>
      <c r="J11" s="112">
        <f t="shared" si="1"/>
        <v>0</v>
      </c>
      <c r="K11" s="113"/>
      <c r="L11" s="114"/>
      <c r="R11" s="105"/>
    </row>
    <row r="12" spans="1:18" ht="22.5" hidden="1" customHeight="1">
      <c r="A12" s="5">
        <f t="shared" si="0"/>
        <v>7</v>
      </c>
      <c r="B12" s="139"/>
      <c r="C12" s="139"/>
      <c r="D12" s="140"/>
      <c r="E12" s="140"/>
      <c r="F12" s="140"/>
      <c r="G12" s="110"/>
      <c r="H12" s="111"/>
      <c r="I12" s="115"/>
      <c r="J12" s="112"/>
      <c r="K12" s="113"/>
      <c r="L12" s="110"/>
      <c r="R12" s="105"/>
    </row>
    <row r="13" spans="1:18" ht="22.5" hidden="1" customHeight="1">
      <c r="A13" s="5">
        <f t="shared" si="0"/>
        <v>8</v>
      </c>
      <c r="B13" s="130"/>
      <c r="C13" s="131"/>
      <c r="D13" s="132"/>
      <c r="E13" s="133"/>
      <c r="F13" s="134"/>
      <c r="G13" s="110"/>
      <c r="H13" s="111"/>
      <c r="I13" s="112"/>
      <c r="J13" s="112"/>
      <c r="K13" s="113"/>
      <c r="L13" s="114"/>
      <c r="R13" s="105"/>
    </row>
    <row r="14" spans="1:18" ht="22.5" hidden="1" customHeight="1">
      <c r="A14" s="5">
        <f t="shared" si="0"/>
        <v>9</v>
      </c>
      <c r="B14" s="130"/>
      <c r="C14" s="131"/>
      <c r="D14" s="132"/>
      <c r="E14" s="133"/>
      <c r="F14" s="134"/>
      <c r="G14" s="110"/>
      <c r="H14" s="111"/>
      <c r="I14" s="112"/>
      <c r="J14" s="112"/>
      <c r="K14" s="113"/>
      <c r="L14" s="114"/>
      <c r="R14" s="105"/>
    </row>
    <row r="15" spans="1:18" ht="22.5" hidden="1" customHeight="1">
      <c r="A15" s="5">
        <f t="shared" si="0"/>
        <v>10</v>
      </c>
      <c r="B15" s="130"/>
      <c r="C15" s="131"/>
      <c r="D15" s="132"/>
      <c r="E15" s="133"/>
      <c r="F15" s="134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5" t="s">
        <v>8</v>
      </c>
      <c r="B16" s="13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10685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7" t="s">
        <v>11</v>
      </c>
      <c r="S18" s="13" t="s">
        <v>12</v>
      </c>
    </row>
    <row r="19" spans="1:19" ht="50.1" customHeight="1">
      <c r="R19" s="138"/>
      <c r="S19" s="15"/>
    </row>
    <row r="20" spans="1:19" ht="17.100000000000001" customHeight="1">
      <c r="O20" s="11"/>
      <c r="P20" s="11"/>
      <c r="R20" s="128"/>
      <c r="S20" s="15" t="s">
        <v>13</v>
      </c>
    </row>
    <row r="21" spans="1:19" ht="15" customHeight="1">
      <c r="O21" s="17" t="s">
        <v>14</v>
      </c>
      <c r="P21" s="126" t="s">
        <v>15</v>
      </c>
    </row>
    <row r="22" spans="1:19" ht="18" customHeight="1">
      <c r="O22" s="18" t="s">
        <v>16</v>
      </c>
      <c r="P22" s="127"/>
      <c r="R22" s="137" t="s">
        <v>17</v>
      </c>
      <c r="S22" s="12" t="s">
        <v>12</v>
      </c>
    </row>
    <row r="23" spans="1:19" ht="50.1" customHeight="1">
      <c r="O23" s="14"/>
      <c r="P23" s="14"/>
      <c r="R23" s="138"/>
      <c r="S23" s="19"/>
    </row>
    <row r="24" spans="1:19" ht="17.100000000000001" customHeight="1">
      <c r="O24" s="16" t="s">
        <v>13</v>
      </c>
      <c r="P24" s="16" t="s">
        <v>13</v>
      </c>
      <c r="R24" s="12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9"/>
      <c r="P27" s="129"/>
    </row>
    <row r="28" spans="1:19" ht="19.899999999999999" customHeight="1">
      <c r="O28" s="129"/>
      <c r="P28" s="12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6" t="s">
        <v>18</v>
      </c>
      <c r="P46" s="126" t="s">
        <v>18</v>
      </c>
      <c r="S46" s="126" t="s">
        <v>12</v>
      </c>
    </row>
    <row r="47" spans="15:19" ht="21" customHeight="1">
      <c r="O47" s="127"/>
      <c r="P47" s="127"/>
      <c r="S47" s="12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6" t="s">
        <v>18</v>
      </c>
      <c r="P50" s="126" t="s">
        <v>18</v>
      </c>
      <c r="S50" s="126" t="s">
        <v>19</v>
      </c>
    </row>
    <row r="51" spans="15:19" ht="21" customHeight="1">
      <c r="O51" s="127"/>
      <c r="P51" s="127"/>
      <c r="S51" s="128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SAC2-DS-MRS-0158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45971</v>
      </c>
    </row>
    <row r="4" spans="1:18" ht="15.95" customHeight="1">
      <c r="A4" s="171" t="s">
        <v>2</v>
      </c>
      <c r="B4" s="172" t="s">
        <v>20</v>
      </c>
      <c r="C4" s="172"/>
      <c r="D4" s="171" t="s">
        <v>4</v>
      </c>
      <c r="E4" s="171"/>
      <c r="F4" s="171"/>
      <c r="G4" s="172" t="s">
        <v>5</v>
      </c>
      <c r="H4" s="171" t="s">
        <v>88</v>
      </c>
      <c r="I4" s="171" t="s">
        <v>21</v>
      </c>
      <c r="J4" s="171" t="s">
        <v>22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Welding Rod</v>
      </c>
      <c r="C6" s="167"/>
      <c r="D6" s="168" t="str">
        <f>MRS!D6</f>
        <v>TIG WIRE (GTAW), OK TIGROD 12.60, 
ER70S-3, 2.4 MM, 5Kg/Pk</v>
      </c>
      <c r="E6" s="169"/>
      <c r="F6" s="170"/>
      <c r="G6" s="102" t="str">
        <f>MRS!G6</f>
        <v>KG</v>
      </c>
      <c r="H6" s="102">
        <f>MRS!H6</f>
        <v>100</v>
      </c>
      <c r="I6" s="103">
        <f>MRS!I6</f>
        <v>19.75</v>
      </c>
      <c r="J6" s="103">
        <f>MRS!J6</f>
        <v>1975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 t="str">
        <f>MRS!B7</f>
        <v>Welding Rod</v>
      </c>
      <c r="C7" s="167"/>
      <c r="D7" s="168" t="str">
        <f>MRS!D7</f>
        <v>TIG WIRE (GTAW), OK Tigrod 16.30, 
ER316L, 1.6x1000mm 5kg</v>
      </c>
      <c r="E7" s="169"/>
      <c r="F7" s="170"/>
      <c r="G7" s="102" t="str">
        <f>MRS!G7</f>
        <v>KG</v>
      </c>
      <c r="H7" s="102">
        <f>MRS!H7</f>
        <v>50</v>
      </c>
      <c r="I7" s="103">
        <f>MRS!I7</f>
        <v>101</v>
      </c>
      <c r="J7" s="103">
        <f>MRS!J7</f>
        <v>5050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 t="str">
        <f>MRS!B8</f>
        <v>Welding Rod</v>
      </c>
      <c r="C8" s="167"/>
      <c r="D8" s="168" t="str">
        <f>MRS!D8</f>
        <v>TIG WIRE (GTAW), OK Tigrod 16.30, 
ER316L, 2.4 MM, 5.0 Kg</v>
      </c>
      <c r="E8" s="169"/>
      <c r="F8" s="170"/>
      <c r="G8" s="102" t="str">
        <f>MRS!G8</f>
        <v>KG</v>
      </c>
      <c r="H8" s="102">
        <f>MRS!H8</f>
        <v>30</v>
      </c>
      <c r="I8" s="103">
        <f>MRS!I8</f>
        <v>80</v>
      </c>
      <c r="J8" s="103">
        <f>MRS!J8</f>
        <v>2400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 t="str">
        <f>MRS!B9</f>
        <v>Welding Rod</v>
      </c>
      <c r="C9" s="167"/>
      <c r="D9" s="168" t="str">
        <f>MRS!D9</f>
        <v>TIG WIRE (GTAW), OK Tigrod 16.53, 
ER309L, 2.4 MM, 5.0 Kg</v>
      </c>
      <c r="E9" s="169"/>
      <c r="F9" s="170"/>
      <c r="G9" s="102" t="str">
        <f>MRS!G9</f>
        <v>KG</v>
      </c>
      <c r="H9" s="102">
        <f>MRS!H9</f>
        <v>15</v>
      </c>
      <c r="I9" s="103">
        <f>MRS!I9</f>
        <v>84</v>
      </c>
      <c r="J9" s="103">
        <f>MRS!J9</f>
        <v>1260</v>
      </c>
      <c r="K9" s="104"/>
      <c r="O9" s="105"/>
      <c r="P9" s="105"/>
      <c r="R9" s="105"/>
    </row>
    <row r="10" spans="1:18" ht="105" customHeight="1">
      <c r="A10" s="21">
        <f>+MRS!A10</f>
        <v>0</v>
      </c>
      <c r="B10" s="166">
        <f>MRS!B10</f>
        <v>0</v>
      </c>
      <c r="C10" s="167"/>
      <c r="D10" s="168">
        <f>MRS!D10</f>
        <v>0</v>
      </c>
      <c r="E10" s="169"/>
      <c r="F10" s="17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0</v>
      </c>
      <c r="B11" s="166">
        <f>MRS!B11</f>
        <v>0</v>
      </c>
      <c r="C11" s="167"/>
      <c r="D11" s="168">
        <f>MRS!D11</f>
        <v>0</v>
      </c>
      <c r="E11" s="169"/>
      <c r="F11" s="17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Q86"/>
  <sheetViews>
    <sheetView view="pageBreakPreview" zoomScale="130" zoomScaleNormal="100" zoomScaleSheetLayoutView="130" workbookViewId="0">
      <selection activeCell="D6" sqref="D6:F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108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101</v>
      </c>
      <c r="D9" s="38"/>
      <c r="E9" s="38"/>
    </row>
    <row r="10" spans="2:13" s="38" customFormat="1">
      <c r="B10" s="71"/>
      <c r="C10" s="38" t="s">
        <v>29</v>
      </c>
      <c r="D10" s="75" t="s">
        <v>102</v>
      </c>
      <c r="J10" s="38" t="s">
        <v>30</v>
      </c>
      <c r="K10" s="174">
        <f>MRS!L3</f>
        <v>45971</v>
      </c>
      <c r="L10" s="175"/>
      <c r="M10" s="175"/>
    </row>
    <row r="11" spans="2:13" s="38" customFormat="1">
      <c r="B11" s="71"/>
      <c r="C11" s="74" t="s">
        <v>31</v>
      </c>
      <c r="D11" s="75" t="s">
        <v>104</v>
      </c>
      <c r="J11" s="38" t="s">
        <v>32</v>
      </c>
      <c r="K11" s="176" t="str">
        <f>SUBSTITUTE(SUBSTITUTE(+MRS!A3,"  MRS No : ",""),"-MRS","-PO")</f>
        <v>SAC2-DS-PO-0158</v>
      </c>
      <c r="L11" s="176"/>
      <c r="M11" s="176"/>
    </row>
    <row r="12" spans="2:13" s="38" customFormat="1">
      <c r="B12" s="71"/>
      <c r="C12" s="74" t="s">
        <v>33</v>
      </c>
      <c r="D12" s="38" t="s">
        <v>103</v>
      </c>
      <c r="J12" s="38" t="s">
        <v>34</v>
      </c>
    </row>
    <row r="13" spans="2:13" s="38" customFormat="1">
      <c r="B13" s="71"/>
      <c r="C13" s="76"/>
      <c r="D13" s="75" t="s">
        <v>106</v>
      </c>
      <c r="J13" s="38" t="s">
        <v>35</v>
      </c>
    </row>
    <row r="14" spans="2:13" s="38" customFormat="1">
      <c r="B14" s="71"/>
      <c r="C14" s="76" t="s">
        <v>110</v>
      </c>
      <c r="J14" s="38" t="s">
        <v>36</v>
      </c>
      <c r="K14" s="75" t="s">
        <v>119</v>
      </c>
    </row>
    <row r="15" spans="2:13" s="38" customFormat="1">
      <c r="B15" s="71"/>
      <c r="C15" s="76" t="s">
        <v>107</v>
      </c>
      <c r="J15" s="38" t="s">
        <v>37</v>
      </c>
      <c r="K15" s="77">
        <v>45970</v>
      </c>
    </row>
    <row r="16" spans="2:13" s="38" customFormat="1">
      <c r="C16" s="76"/>
      <c r="K16" s="77"/>
    </row>
    <row r="17" spans="2:17" ht="6" customHeight="1">
      <c r="C17" s="29"/>
      <c r="K17" s="30"/>
    </row>
    <row r="18" spans="2:17" ht="20.25">
      <c r="B18" s="177" t="s">
        <v>38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7" ht="12" customHeight="1"/>
    <row r="20" spans="2:17" s="31" customFormat="1" ht="12" customHeight="1">
      <c r="B20" s="178" t="s">
        <v>39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Q20" s="31" t="s">
        <v>98</v>
      </c>
    </row>
    <row r="21" spans="2:17" s="31" customFormat="1" ht="12" customHeight="1">
      <c r="B21" s="178" t="s">
        <v>40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7" s="31" customFormat="1" ht="12" customHeight="1">
      <c r="B22" s="178" t="s">
        <v>41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7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7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7" s="32" customFormat="1" ht="20.100000000000001" customHeight="1">
      <c r="B25" s="32">
        <v>1</v>
      </c>
      <c r="C25" s="32" t="s">
        <v>42</v>
      </c>
    </row>
    <row r="26" spans="2:17" s="38" customFormat="1" ht="15" customHeight="1">
      <c r="B26" s="72"/>
      <c r="C26" s="75" t="s">
        <v>111</v>
      </c>
      <c r="M26" s="78" t="s">
        <v>43</v>
      </c>
    </row>
    <row r="27" spans="2:17" ht="11.1" customHeight="1">
      <c r="B27" s="32"/>
    </row>
    <row r="28" spans="2:17" ht="20.100000000000001" customHeight="1">
      <c r="B28" s="32">
        <v>2</v>
      </c>
      <c r="C28" s="32" t="s">
        <v>44</v>
      </c>
    </row>
    <row r="29" spans="2:17" ht="15" customHeight="1">
      <c r="B29" s="32"/>
      <c r="C29" s="26" t="s">
        <v>45</v>
      </c>
      <c r="E29" s="26" t="s">
        <v>46</v>
      </c>
      <c r="F29" s="124">
        <f>'PO 2nd page'!G18</f>
        <v>10685</v>
      </c>
      <c r="G29" s="124"/>
      <c r="H29" s="124"/>
      <c r="M29" s="33"/>
    </row>
    <row r="30" spans="2:17" ht="15" customHeight="1">
      <c r="B30" s="32"/>
      <c r="C30" s="26" t="s">
        <v>47</v>
      </c>
      <c r="E30" s="26" t="s">
        <v>46</v>
      </c>
      <c r="F30" s="124">
        <f>'PO 2nd page'!G19</f>
        <v>1602.75</v>
      </c>
      <c r="G30" s="124"/>
      <c r="H30" s="124"/>
    </row>
    <row r="31" spans="2:17" ht="15" customHeight="1">
      <c r="B31" s="32"/>
      <c r="C31" s="26" t="s">
        <v>48</v>
      </c>
      <c r="D31" s="34"/>
      <c r="E31" s="26" t="s">
        <v>46</v>
      </c>
      <c r="F31" s="124">
        <f>'PO 2nd page'!G20</f>
        <v>12287.75</v>
      </c>
      <c r="G31" s="124"/>
      <c r="H31" s="124"/>
    </row>
    <row r="32" spans="2:17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8" customFormat="1" ht="15" customHeight="1">
      <c r="B49" s="79" t="s">
        <v>62</v>
      </c>
      <c r="C49" s="80" t="s">
        <v>97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89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Rameez Abdul Khadar</v>
      </c>
    </row>
    <row r="60" spans="1:16" ht="18" customHeight="1">
      <c r="B60" s="26" t="s">
        <v>68</v>
      </c>
      <c r="J60" s="26" t="s">
        <v>69</v>
      </c>
      <c r="K60" s="22" t="s">
        <v>105</v>
      </c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109</v>
      </c>
      <c r="J62" s="181" t="str">
        <f>C9</f>
        <v>OWTC(Ocean Wings Trading Co.)</v>
      </c>
      <c r="K62" s="181"/>
      <c r="L62" s="181"/>
      <c r="M62" s="181"/>
    </row>
    <row r="63" spans="1:16" ht="27.95" customHeight="1">
      <c r="A63" s="173" t="s">
        <v>72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7" zoomScaleSheetLayoutView="100" zoomScalePageLayoutView="55" workbookViewId="0">
      <selection activeCell="D6" sqref="D6:F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SAC2-DS-PO-0158</v>
      </c>
      <c r="C2" s="192" t="s">
        <v>74</v>
      </c>
      <c r="D2" s="192"/>
      <c r="E2" s="192"/>
      <c r="F2" s="192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45971</v>
      </c>
      <c r="C3" s="50"/>
      <c r="D3" s="51"/>
      <c r="E3" s="193" t="s">
        <v>76</v>
      </c>
      <c r="F3" s="193"/>
      <c r="G3" s="193"/>
      <c r="H3" s="193"/>
      <c r="I3" s="52"/>
    </row>
    <row r="4" spans="1:13" s="54" customFormat="1" ht="28.5" customHeight="1" thickTop="1">
      <c r="A4" s="194" t="s">
        <v>77</v>
      </c>
      <c r="B4" s="196" t="s">
        <v>78</v>
      </c>
      <c r="C4" s="197"/>
      <c r="D4" s="200" t="s">
        <v>79</v>
      </c>
      <c r="E4" s="200" t="s">
        <v>80</v>
      </c>
      <c r="F4" s="202" t="str">
        <f>'PO 1st page'!C9</f>
        <v>OWTC(Ocean Wings Trading Co.)</v>
      </c>
      <c r="G4" s="203"/>
      <c r="H4" s="204" t="s">
        <v>81</v>
      </c>
      <c r="K4" s="55"/>
      <c r="L4" s="55"/>
      <c r="M4" s="55"/>
    </row>
    <row r="5" spans="1:13" s="54" customFormat="1" ht="21.95" customHeight="1">
      <c r="A5" s="195"/>
      <c r="B5" s="198"/>
      <c r="C5" s="199"/>
      <c r="D5" s="201"/>
      <c r="E5" s="201"/>
      <c r="F5" s="56" t="s">
        <v>82</v>
      </c>
      <c r="G5" s="56" t="s">
        <v>48</v>
      </c>
      <c r="H5" s="205"/>
      <c r="K5" s="55"/>
      <c r="L5" s="55"/>
      <c r="M5" s="55"/>
    </row>
    <row r="6" spans="1:13" s="54" customFormat="1" ht="45" customHeight="1">
      <c r="A6" s="84">
        <f t="shared" ref="A6:A9" si="0">ROW(A1)</f>
        <v>1</v>
      </c>
      <c r="B6" s="190" t="str">
        <f>MRS!B6&amp;" "&amp;MRS!D6</f>
        <v>Welding Rod TIG WIRE (GTAW), OK TIGROD 12.60, 
ER70S-3, 2.4 MM, 5Kg/Pk</v>
      </c>
      <c r="C6" s="191"/>
      <c r="D6" s="85" t="str">
        <f>+'MRS LIST'!G6</f>
        <v>KG</v>
      </c>
      <c r="E6" s="86">
        <f>+'MRS LIST'!H6</f>
        <v>100</v>
      </c>
      <c r="F6" s="87">
        <f>+'MRS LIST'!I6</f>
        <v>19.75</v>
      </c>
      <c r="G6" s="88">
        <f>+'MRS LIST'!J6</f>
        <v>1975</v>
      </c>
      <c r="H6" s="89" t="str">
        <f>MRS!L6</f>
        <v>One time</v>
      </c>
      <c r="K6" s="90"/>
      <c r="L6" s="91"/>
      <c r="M6" s="55"/>
    </row>
    <row r="7" spans="1:13" s="54" customFormat="1" ht="47.25" customHeight="1">
      <c r="A7" s="84">
        <f t="shared" si="0"/>
        <v>2</v>
      </c>
      <c r="B7" s="190" t="str">
        <f>MRS!B7&amp;" "&amp;MRS!D7</f>
        <v>Welding Rod TIG WIRE (GTAW), OK Tigrod 16.30, 
ER316L, 1.6x1000mm 5kg</v>
      </c>
      <c r="C7" s="191"/>
      <c r="D7" s="85" t="str">
        <f>+'MRS LIST'!G7</f>
        <v>KG</v>
      </c>
      <c r="E7" s="86">
        <f>+'MRS LIST'!H7</f>
        <v>50</v>
      </c>
      <c r="F7" s="87">
        <f>+'MRS LIST'!I7</f>
        <v>101</v>
      </c>
      <c r="G7" s="88">
        <f>+'MRS LIST'!J7</f>
        <v>5050</v>
      </c>
      <c r="H7" s="89" t="str">
        <f>MRS!L7</f>
        <v>"</v>
      </c>
      <c r="K7" s="90"/>
      <c r="L7" s="91"/>
      <c r="M7" s="55"/>
    </row>
    <row r="8" spans="1:13" s="54" customFormat="1" ht="32.1" customHeight="1">
      <c r="A8" s="84">
        <f t="shared" si="0"/>
        <v>3</v>
      </c>
      <c r="B8" s="190" t="str">
        <f>MRS!B8&amp;" "&amp;MRS!D8</f>
        <v>Welding Rod TIG WIRE (GTAW), OK Tigrod 16.30, 
ER316L, 2.4 MM, 5.0 Kg</v>
      </c>
      <c r="C8" s="191"/>
      <c r="D8" s="85" t="str">
        <f>+'MRS LIST'!G8</f>
        <v>KG</v>
      </c>
      <c r="E8" s="86">
        <f>+'MRS LIST'!H8</f>
        <v>30</v>
      </c>
      <c r="F8" s="87">
        <f>+'MRS LIST'!I8</f>
        <v>80</v>
      </c>
      <c r="G8" s="88">
        <f>+'MRS LIST'!J8</f>
        <v>2400</v>
      </c>
      <c r="H8" s="97"/>
      <c r="K8" s="55"/>
      <c r="L8" s="55"/>
      <c r="M8" s="55"/>
    </row>
    <row r="9" spans="1:13" s="54" customFormat="1" ht="32.1" customHeight="1">
      <c r="A9" s="84">
        <f t="shared" si="0"/>
        <v>4</v>
      </c>
      <c r="B9" s="190" t="str">
        <f>MRS!B9&amp;" "&amp;MRS!D9</f>
        <v>Welding Rod TIG WIRE (GTAW), OK Tigrod 16.53, 
ER309L, 2.4 MM, 5.0 Kg</v>
      </c>
      <c r="C9" s="191"/>
      <c r="D9" s="85" t="str">
        <f>+'MRS LIST'!G9</f>
        <v>KG</v>
      </c>
      <c r="E9" s="86">
        <f>+'MRS LIST'!H9</f>
        <v>15</v>
      </c>
      <c r="F9" s="87">
        <f>+'MRS LIST'!I9</f>
        <v>84</v>
      </c>
      <c r="G9" s="88">
        <f>+'MRS LIST'!J9</f>
        <v>1260</v>
      </c>
      <c r="H9" s="97"/>
    </row>
    <row r="10" spans="1:13" s="54" customFormat="1" ht="32.1" customHeight="1">
      <c r="A10" s="92"/>
      <c r="B10" s="190"/>
      <c r="C10" s="191"/>
      <c r="D10" s="85"/>
      <c r="E10" s="86"/>
      <c r="F10" s="87"/>
      <c r="G10" s="88">
        <f>+'MRS LIST'!J10</f>
        <v>0</v>
      </c>
      <c r="H10" s="97"/>
    </row>
    <row r="11" spans="1:13" s="54" customFormat="1" ht="32.1" customHeight="1">
      <c r="A11" s="92"/>
      <c r="B11" s="190"/>
      <c r="C11" s="191"/>
      <c r="D11" s="85"/>
      <c r="E11" s="86"/>
      <c r="F11" s="87"/>
      <c r="G11" s="88">
        <f>+'MRS LIST'!J11</f>
        <v>0</v>
      </c>
      <c r="H11" s="97"/>
    </row>
    <row r="12" spans="1:13" s="54" customFormat="1" ht="32.1" customHeight="1">
      <c r="A12" s="92"/>
      <c r="B12" s="186"/>
      <c r="C12" s="187"/>
      <c r="D12" s="85"/>
      <c r="E12" s="86"/>
      <c r="F12" s="87"/>
      <c r="G12" s="88"/>
      <c r="H12" s="97"/>
    </row>
    <row r="13" spans="1:13" s="54" customFormat="1" ht="32.1" customHeight="1">
      <c r="A13" s="92"/>
      <c r="B13" s="188"/>
      <c r="C13" s="189"/>
      <c r="D13" s="93"/>
      <c r="E13" s="94"/>
      <c r="F13" s="95"/>
      <c r="G13" s="96"/>
      <c r="H13" s="97"/>
    </row>
    <row r="14" spans="1:13" s="54" customFormat="1" ht="32.1" customHeight="1">
      <c r="A14" s="92"/>
      <c r="B14" s="188"/>
      <c r="C14" s="189"/>
      <c r="D14" s="93"/>
      <c r="E14" s="94"/>
      <c r="F14" s="98"/>
      <c r="G14" s="96"/>
      <c r="H14" s="97"/>
    </row>
    <row r="15" spans="1:13" s="54" customFormat="1" ht="32.1" customHeight="1">
      <c r="A15" s="92"/>
      <c r="B15" s="188"/>
      <c r="C15" s="189"/>
      <c r="D15" s="93"/>
      <c r="E15" s="94"/>
      <c r="F15" s="98"/>
      <c r="G15" s="96"/>
      <c r="H15" s="97"/>
    </row>
    <row r="16" spans="1:13" s="54" customFormat="1" ht="32.1" customHeight="1">
      <c r="A16" s="92"/>
      <c r="B16" s="188"/>
      <c r="C16" s="189"/>
      <c r="D16" s="93"/>
      <c r="E16" s="94"/>
      <c r="F16" s="95"/>
      <c r="G16" s="96"/>
      <c r="H16" s="97"/>
    </row>
    <row r="17" spans="1:13" s="54" customFormat="1" ht="32.1" customHeight="1">
      <c r="A17" s="92"/>
      <c r="B17" s="188"/>
      <c r="C17" s="189"/>
      <c r="D17" s="93"/>
      <c r="E17" s="94"/>
      <c r="F17" s="95"/>
      <c r="G17" s="96"/>
      <c r="H17" s="97"/>
    </row>
    <row r="18" spans="1:13" s="54" customFormat="1" ht="23.1" customHeight="1">
      <c r="A18" s="182" t="s">
        <v>83</v>
      </c>
      <c r="B18" s="183"/>
      <c r="C18" s="183"/>
      <c r="D18" s="183"/>
      <c r="E18" s="183"/>
      <c r="F18" s="183"/>
      <c r="G18" s="57">
        <f>SUM(G6:G17)</f>
        <v>10685</v>
      </c>
      <c r="H18" s="58"/>
    </row>
    <row r="19" spans="1:13" s="54" customFormat="1" ht="23.1" customHeight="1">
      <c r="A19" s="182" t="s">
        <v>47</v>
      </c>
      <c r="B19" s="183"/>
      <c r="C19" s="183"/>
      <c r="D19" s="183"/>
      <c r="E19" s="183"/>
      <c r="F19" s="183"/>
      <c r="G19" s="57">
        <f>+G18*0.15</f>
        <v>1602.75</v>
      </c>
      <c r="H19" s="58"/>
    </row>
    <row r="20" spans="1:13" s="54" customFormat="1" ht="24.95" customHeight="1" thickBot="1">
      <c r="A20" s="184" t="s">
        <v>84</v>
      </c>
      <c r="B20" s="185"/>
      <c r="C20" s="185"/>
      <c r="D20" s="185"/>
      <c r="E20" s="185"/>
      <c r="F20" s="185"/>
      <c r="G20" s="59">
        <f>G19+G18</f>
        <v>12287.75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23002955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3" t="s">
        <v>86</v>
      </c>
      <c r="B24" s="173"/>
      <c r="C24" s="173"/>
      <c r="D24" s="173"/>
      <c r="E24" s="173"/>
      <c r="F24" s="173"/>
      <c r="G24" s="173"/>
      <c r="H24" s="173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2025-11-10T05:21:44Z</cp:lastPrinted>
  <dcterms:created xsi:type="dcterms:W3CDTF">2024-10-20T11:50:19Z</dcterms:created>
  <dcterms:modified xsi:type="dcterms:W3CDTF">2025-12-04T03:41:28Z</dcterms:modified>
</cp:coreProperties>
</file>