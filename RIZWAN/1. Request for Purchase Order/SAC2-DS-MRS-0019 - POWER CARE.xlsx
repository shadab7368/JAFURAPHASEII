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4E975F67-92D0-48A7-8711-C451BE804370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J7" i="1"/>
  <c r="K59" i="3" l="1"/>
  <c r="H6" i="4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<sst xmlns="http://schemas.openxmlformats.org/spreadsheetml/2006/main" count="156" uniqueCount="121">
  <si>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</si>
  <si>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</si>
  <si>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</si>
  <si>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</si>
  <si>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</si>
  <si>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</si>
  <si>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</si>
  <si>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</si>
  <si>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</si>
  <si>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</si>
  <si>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</si>
  <si>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</si>
  <si>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</si>
  <si>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</si>
  <si>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</si>
  <si>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</si>
  <si>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</si>
  <si>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</si>
  <si>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</si>
  <si>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</si>
  <si>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</si>
  <si>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</si>
  <si>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</si>
  <si>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</si>
  <si>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</si>
  <si>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</si>
  <si>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</si>
  <si>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</si>
  <si>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</si>
  <si>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</si>
  <si>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</si>
  <si>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</si>
  <si>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</si>
  <si>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</si>
  <si>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</si>
  <si>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</si>
  <si>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</si>
  <si>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</si>
  <si>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</si>
  <si>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</si>
  <si>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</si>
  <si>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</si>
  <si>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</si>
  <si>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</si>
  <si>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</si>
  <si>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</si>
  <si>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</si>
  <si>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</si>
  <si>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</si>
  <si>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</si>
  <si>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</si>
  <si>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</si>
  <si>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</si>
  <si>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</si>
  <si>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</si>
  <si>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</si>
  <si>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</si>
  <si>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</si>
  <si>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</si>
  <si>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</si>
  <si>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</si>
  <si>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</si>
  <si>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</si>
  <si>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</si>
  <si>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</si>
  <si>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</si>
  <si>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</si>
  <si>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</si>
  <si>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</si>
  <si>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</si>
  <si>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</si>
  <si>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</si>
  <si>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</si>
  <si>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</si>
  <si>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</si>
  <si>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</si>
  <si>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</si>
  <si>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</si>
  <si>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</si>
  <si>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</si>
  <si>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</si>
  <si>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</si>
  <si>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</si>
  <si>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</si>
  <si>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</si>
  <si>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</si>
  <si>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</si>
  <si>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</si>
  <si>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</si>
  <si>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</si>
  <si>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</si>
  <si>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</si>
  <si>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</si>
  <si>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</si>
  <si>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</si>
  <si>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</si>
  <si>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</si>
  <si>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</si>
  <si>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</si>
  <si>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</si>
  <si>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</si>
  <si>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</si>
  <si>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</si>
  <si>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</si>
  <si>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Tower Light</t>
  </si>
  <si>
    <t>PCCL</t>
  </si>
  <si>
    <t>PC-EQTN2024-1284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</si>
  <si>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</si>
  <si>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</si>
  <si>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</si>
  <si>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</si>
  <si>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</si>
  <si>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</si>
  <si>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PLT 1600S / India / 400W</t>
  </si>
  <si>
    <t>Tower Light  PLT 1600S 400W</t>
  </si>
  <si>
    <t>Mob. &amp; De-Mob. / per unit - lump sum</t>
    <phoneticPr fontId="2" type="noConversion"/>
  </si>
  <si>
    <t>Tower Light Mob &amp; De-Mob. Charge</t>
  </si>
  <si>
    <t>L/S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</si>
  <si>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-MRS-0019</t>
    </r>
  </si>
  <si>
    <t>Subcontract name ()</t>
  </si>
  <si>
    <t>310793666100003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</si>
</sst>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L3" sqref="L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101</v>
      </c>
      <c r="B1" s="110"/>
      <c r="C1" s="110"/>
      <c r="D1" s="110"/>
      <c r="E1" s="110"/>
      <c r="F1" s="110"/>
      <c r="G1" s="1"/>
      <c r="J1" s="140" t="s">
        <v>92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43" t="s">
        <v>119</v>
      </c>
      <c r="K2" s="144"/>
      <c r="L2" s="145"/>
    </row>
    <row r="3" spans="1:19" ht="20.100000000000001" customHeight="1">
      <c r="A3" s="3" t="s">
        <v>118</v>
      </c>
      <c r="B3" s="101"/>
      <c r="C3" s="101"/>
      <c r="D3" s="101"/>
      <c r="E3" s="146">
        <f>+L3</f>
        <v>45662</v>
      </c>
      <c r="F3" s="146"/>
      <c r="G3" s="146"/>
      <c r="H3" s="146"/>
      <c r="I3" s="146"/>
      <c r="J3" s="101"/>
      <c r="K3" s="101"/>
      <c r="L3" s="122">
        <v>45662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98</v>
      </c>
      <c r="J4" s="147" t="s">
        <v>99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104</v>
      </c>
      <c r="C6" s="129"/>
      <c r="D6" s="130" t="s">
        <v>113</v>
      </c>
      <c r="E6" s="131"/>
      <c r="F6" s="132"/>
      <c r="G6" s="111" t="s">
        <v>93</v>
      </c>
      <c r="H6" s="112">
        <v>1</v>
      </c>
      <c r="I6" s="113">
        <v>2800</v>
      </c>
      <c r="J6" s="113">
        <f>H6*I6</f>
        <v>2800</v>
      </c>
      <c r="K6" s="114" t="s">
        <v>105</v>
      </c>
      <c r="L6" s="115" t="s">
        <v>103</v>
      </c>
      <c r="S6" s="106"/>
    </row>
    <row r="7" spans="1:19" ht="22.5" customHeight="1">
      <c r="A7" s="5">
        <f t="shared" si="0"/>
        <v>2</v>
      </c>
      <c r="B7" s="128" t="s">
        <v>116</v>
      </c>
      <c r="C7" s="129"/>
      <c r="D7" s="139" t="s">
        <v>115</v>
      </c>
      <c r="E7" s="131"/>
      <c r="F7" s="132"/>
      <c r="G7" s="111" t="s">
        <v>117</v>
      </c>
      <c r="H7" s="112">
        <v>1</v>
      </c>
      <c r="I7" s="113">
        <v>3000</v>
      </c>
      <c r="J7" s="113">
        <f>I7</f>
        <v>3000</v>
      </c>
      <c r="K7" s="114" t="s">
        <v>105</v>
      </c>
      <c r="L7" s="115"/>
      <c r="S7" s="106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8</v>
      </c>
      <c r="B16" s="13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5800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101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43" t="str">
        <f>+MRS!J2</f>
        <v>Subcontract name ()</v>
      </c>
      <c r="K2" s="145"/>
    </row>
    <row r="3" spans="1:18" ht="24.95" customHeight="1">
      <c r="A3" s="3" t="str">
        <f>+MRS!A3</f>
        <v xml:space="preserve">  MRS No : SAC2-DS-MRS-0019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45662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94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Tower Light</v>
      </c>
      <c r="C6" s="165"/>
      <c r="D6" s="166" t="str">
        <f>MRS!D6</f>
        <v>PLT 1600S / India / 400W</v>
      </c>
      <c r="E6" s="167"/>
      <c r="F6" s="168"/>
      <c r="G6" s="103" t="str">
        <f>MRS!G6</f>
        <v>Month</v>
      </c>
      <c r="H6" s="103">
        <f>MRS!H6</f>
        <v>1</v>
      </c>
      <c r="I6" s="104">
        <f>MRS!I6</f>
        <v>2800</v>
      </c>
      <c r="J6" s="104">
        <f>MRS!J6</f>
        <v>2800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 t="str">
        <f>MRS!B7</f>
        <v>Tower Light Mob &amp; De-Mob. Charge</v>
      </c>
      <c r="C7" s="165"/>
      <c r="D7" s="166" t="str">
        <f>MRS!D7</f>
        <v>Mob. &amp; De-Mob. / per unit - lump sum</v>
      </c>
      <c r="E7" s="167"/>
      <c r="F7" s="168"/>
      <c r="G7" s="103" t="str">
        <f>MRS!G7</f>
        <v>L/S</v>
      </c>
      <c r="H7" s="103">
        <f>MRS!H7</f>
        <v>1</v>
      </c>
      <c r="I7" s="104">
        <f>MRS!I7</f>
        <v>3000</v>
      </c>
      <c r="J7" s="104">
        <f>MRS!J7</f>
        <v>3000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59"/>
      <c r="C8" s="160"/>
      <c r="D8" s="161"/>
      <c r="E8" s="162"/>
      <c r="F8" s="163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59"/>
      <c r="C9" s="160"/>
      <c r="D9" s="161"/>
      <c r="E9" s="162"/>
      <c r="F9" s="163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59"/>
      <c r="C10" s="160"/>
      <c r="D10" s="161"/>
      <c r="E10" s="162"/>
      <c r="F10" s="163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59"/>
      <c r="C11" s="160"/>
      <c r="D11" s="161"/>
      <c r="E11" s="162"/>
      <c r="F11" s="163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60" zoomScaleNormal="100" zoomScaleSheetLayoutView="160" workbookViewId="0">
      <selection activeCell="P12" sqref="P1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76">
        <v>2055132011</v>
      </c>
      <c r="J10" s="39" t="s">
        <v>34</v>
      </c>
      <c r="K10" s="172">
        <f>MRS!L3</f>
        <v>45662</v>
      </c>
      <c r="L10" s="173"/>
      <c r="M10" s="173"/>
    </row>
    <row r="11" spans="2:13" s="39" customFormat="1">
      <c r="B11" s="72"/>
      <c r="C11" s="75" t="s">
        <v>35</v>
      </c>
      <c r="D11" s="76" t="s">
        <v>120</v>
      </c>
      <c r="J11" s="39" t="s">
        <v>36</v>
      </c>
      <c r="K11" s="174" t="str">
        <f>SUBSTITUTE(SUBSTITUTE(+MRS!A3,"  MRS No : ",""),"-MRS","-PO")</f>
        <v>SAC2-DS-PO-0019</v>
      </c>
      <c r="L11" s="174"/>
      <c r="M11" s="174"/>
    </row>
    <row r="12" spans="2:13" s="39" customFormat="1">
      <c r="B12" s="72"/>
      <c r="C12" s="75" t="s">
        <v>37</v>
      </c>
      <c r="D12" s="39" t="s">
        <v>108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112</v>
      </c>
      <c r="J14" s="39" t="s">
        <v>40</v>
      </c>
      <c r="K14" s="39" t="s">
        <v>106</v>
      </c>
    </row>
    <row r="15" spans="2:13" s="39" customFormat="1">
      <c r="B15" s="72"/>
      <c r="C15" s="77" t="s">
        <v>110</v>
      </c>
      <c r="J15" s="39" t="s">
        <v>41</v>
      </c>
      <c r="K15" s="78">
        <v>45657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114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 t="s">
        <v>102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96</v>
      </c>
      <c r="P49" s="82"/>
    </row>
    <row r="50" spans="1:16" s="83" customFormat="1" ht="15" customHeight="1">
      <c r="B50" s="84" t="s">
        <v>66</v>
      </c>
      <c r="C50" s="81" t="s">
        <v>97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Aarzoo</v>
      </c>
    </row>
    <row r="60" spans="1:16" ht="18" customHeight="1">
      <c r="B60" s="26" t="s">
        <v>72</v>
      </c>
      <c r="J60" s="26" t="s">
        <v>73</v>
      </c>
      <c r="K60" s="22" t="s">
        <v>111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PCCL(Power Care Co. Ltd.)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3" zoomScaleSheetLayoutView="100" zoomScalePageLayoutView="55" workbookViewId="0">
      <selection activeCell="K21" sqref="K2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SAC2-DS-PO-0019</v>
      </c>
      <c r="C2" s="187" t="s">
        <v>79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45662</v>
      </c>
      <c r="C3" s="51"/>
      <c r="D3" s="52"/>
      <c r="E3" s="188" t="s">
        <v>81</v>
      </c>
      <c r="F3" s="188"/>
      <c r="G3" s="188"/>
      <c r="H3" s="188"/>
      <c r="I3" s="53"/>
    </row>
    <row r="4" spans="1:13" s="55" customFormat="1" ht="28.5" customHeight="1" thickTop="1">
      <c r="A4" s="189" t="s">
        <v>82</v>
      </c>
      <c r="B4" s="191" t="s">
        <v>83</v>
      </c>
      <c r="C4" s="192"/>
      <c r="D4" s="195" t="s">
        <v>84</v>
      </c>
      <c r="E4" s="195" t="s">
        <v>85</v>
      </c>
      <c r="F4" s="197" t="str">
        <f>'PO 1st page'!C9</f>
        <v>PCCL(Power Care Co. Ltd.)</v>
      </c>
      <c r="G4" s="198"/>
      <c r="H4" s="199" t="s">
        <v>86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87</v>
      </c>
      <c r="G5" s="57" t="s">
        <v>52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Tower Light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2800</v>
      </c>
      <c r="G6" s="89">
        <f>+'MRS LIST'!J6</f>
        <v>2800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Tower Light Mob &amp; De-Mob. Charge</v>
      </c>
      <c r="C7" s="202"/>
      <c r="D7" s="86" t="str">
        <f>+'MRS LIST'!G7</f>
        <v>L/S</v>
      </c>
      <c r="E7" s="87">
        <f>+'MRS LIST'!H7</f>
        <v>1</v>
      </c>
      <c r="F7" s="88">
        <f>+'MRS LIST'!I7</f>
        <v>3000</v>
      </c>
      <c r="G7" s="89">
        <f>+'MRS LIST'!J7</f>
        <v>3000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88</v>
      </c>
      <c r="B18" s="182"/>
      <c r="C18" s="182"/>
      <c r="D18" s="182"/>
      <c r="E18" s="182"/>
      <c r="F18" s="182"/>
      <c r="G18" s="58">
        <f>SUM(G6:G17)</f>
        <v>5800</v>
      </c>
      <c r="H18" s="59"/>
    </row>
    <row r="19" spans="1:13" s="55" customFormat="1" ht="23.1" customHeight="1">
      <c r="A19" s="181" t="s">
        <v>51</v>
      </c>
      <c r="B19" s="182"/>
      <c r="C19" s="182"/>
      <c r="D19" s="182"/>
      <c r="E19" s="182"/>
      <c r="F19" s="182"/>
      <c r="G19" s="58">
        <f>+G18*0.15</f>
        <v>870</v>
      </c>
      <c r="H19" s="59"/>
    </row>
    <row r="20" spans="1:13" s="55" customFormat="1" ht="24.95" customHeight="1" thickBot="1">
      <c r="A20" s="183" t="s">
        <v>89</v>
      </c>
      <c r="B20" s="184"/>
      <c r="C20" s="184"/>
      <c r="D20" s="184"/>
      <c r="E20" s="184"/>
      <c r="F20" s="184"/>
      <c r="G20" s="60">
        <f>G19+G18</f>
        <v>6670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PC-EQTN2024-1284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2025-03-02T04:33:50Z</cp:lastPrinted>
  <dcterms:created xsi:type="dcterms:W3CDTF">2024-10-20T11:50:19Z</dcterms:created>
  <dcterms:modified xsi:type="dcterms:W3CDTF">2025-03-02T04:35:45Z</dcterms:modified>
</cp:coreProperties>
</file>