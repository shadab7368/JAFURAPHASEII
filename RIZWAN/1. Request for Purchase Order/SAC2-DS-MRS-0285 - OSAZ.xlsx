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6695465-4E73-4892-BDD2-C1ECBFC6AFA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D8" i="4"/>
  <c r="E8" i="4"/>
  <c r="F8" i="4"/>
  <c r="D9" i="4"/>
  <c r="E9" i="4"/>
  <c r="F9" i="4"/>
  <c r="G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G16" i="4"/>
  <c r="D17" i="4"/>
  <c r="E17" i="4"/>
  <c r="F17" i="4"/>
  <c r="D18" i="4"/>
  <c r="E18" i="4"/>
  <c r="F18" i="4"/>
  <c r="E6" i="4"/>
  <c r="F6" i="4"/>
  <c r="B15" i="4"/>
  <c r="B16" i="4"/>
  <c r="B17" i="4"/>
  <c r="B18" i="4"/>
  <c r="A15" i="4"/>
  <c r="A16" i="4"/>
  <c r="A17" i="4"/>
  <c r="A18" i="4"/>
  <c r="J15" i="1"/>
  <c r="G15" i="4" s="1"/>
  <c r="J16" i="1"/>
  <c r="J17" i="1"/>
  <c r="G17" i="4" s="1"/>
  <c r="J18" i="1"/>
  <c r="G18" i="4" s="1"/>
  <c r="A14" i="1"/>
  <c r="A15" i="1"/>
  <c r="A16" i="1"/>
  <c r="A17" i="1"/>
  <c r="A18" i="1"/>
  <c r="P54" i="3"/>
  <c r="B14" i="4"/>
  <c r="B13" i="4"/>
  <c r="B12" i="4"/>
  <c r="B11" i="4"/>
  <c r="B10" i="4"/>
  <c r="B9" i="4"/>
  <c r="B8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J15" i="2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8" i="4" l="1"/>
  <c r="G10" i="4"/>
  <c r="G6" i="4"/>
  <c r="G14" i="4"/>
  <c r="G11" i="4"/>
  <c r="G12" i="4"/>
  <c r="G13" i="4"/>
  <c r="G7" i="4"/>
  <c r="J19" i="1"/>
  <c r="K67" i="3"/>
  <c r="E3" i="1"/>
  <c r="K10" i="3" l="1"/>
  <c r="A32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29" i="4" l="1"/>
  <c r="F29" i="3" s="1"/>
  <c r="G30" i="4" l="1"/>
  <c r="F30" i="3" s="1"/>
  <c r="G31" i="4" l="1"/>
  <c r="F31" i="3" s="1"/>
</calcChain>
</file>

<file path=xl/sharedStrings.xml><?xml version="1.0" encoding="utf-8"?>
<sst xmlns="http://schemas.openxmlformats.org/spreadsheetml/2006/main" count="178" uniqueCount="138">
  <si>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</si>
  <si>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</si>
  <si>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</si>
  <si>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</si>
  <si>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</si>
  <si>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</si>
  <si>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</si>
  <si>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</si>
  <si>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</si>
  <si>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</si>
  <si>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</si>
  <si>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</si>
  <si>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</si>
  <si>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</si>
  <si>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</si>
  <si>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</si>
  <si>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</si>
  <si>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</si>
  <si>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</si>
  <si>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</si>
  <si>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</si>
  <si>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</si>
  <si>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</si>
  <si>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</si>
  <si>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</si>
  <si>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</si>
  <si>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</si>
  <si>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</si>
  <si>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</si>
  <si>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</si>
  <si>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</si>
  <si>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</si>
  <si>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</si>
  <si>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</si>
  <si>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</si>
  <si>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</si>
  <si>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</si>
  <si>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</si>
  <si>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</si>
  <si>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</si>
  <si>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</si>
  <si>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</si>
  <si>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</si>
  <si>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</si>
  <si>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</si>
  <si>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</si>
  <si>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</si>
  <si>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</si>
  <si>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</si>
  <si>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</si>
  <si>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</si>
  <si>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</si>
  <si>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</si>
  <si>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</si>
  <si>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</si>
  <si>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</si>
  <si>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</si>
  <si>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</si>
  <si>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</si>
  <si>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</si>
  <si>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</si>
  <si>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</si>
  <si>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</si>
  <si>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</si>
  <si>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</si>
  <si>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</si>
  <si>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</si>
  <si>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</si>
  <si>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</si>
  <si>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</si>
  <si>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</si>
  <si>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</si>
  <si>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</si>
  <si>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</si>
  <si>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</si>
  <si>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</si>
  <si>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</si>
  <si>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</si>
  <si>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</si>
  <si>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</si>
  <si>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</si>
  <si>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</si>
  <si>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</si>
  <si>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</si>
  <si>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</si>
  <si>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</si>
  <si>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</si>
  <si>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</si>
  <si>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</si>
  <si>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</si>
  <si>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</si>
  <si>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</si>
  <si>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</si>
  <si>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</si>
  <si>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</si>
  <si>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</si>
  <si>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</si>
  <si>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</si>
  <si>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</si>
  <si>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</si>
  <si>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</si>
  <si>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</si>
  <si>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</si>
  <si>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</si>
  <si>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</si>
  <si>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</si>
  <si>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</si>
  <si>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</si>
  <si>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</si>
  <si>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</si>
  <si>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</si>
  <si>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</si>
  <si>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</si>
  <si>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</si>
  <si>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</si>
  <si>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Electrical Items</t>
  </si>
  <si>
    <t>2055009599</t>
  </si>
  <si>
    <t>300512826400003</t>
  </si>
  <si>
    <t>Building No. 3350,King Fahad Street-8603,Al Dana Dist. Al Jubail 35514, KSA</t>
  </si>
  <si>
    <t>OMAR SALEH ABDULLAH AL-ZAHRANI ELECTRICALS</t>
  </si>
  <si>
    <t>95900001286307</t>
  </si>
  <si>
    <t>FLEXIBLE CABLE WHITE 3C X 6MM² 100YARD / ROLL</t>
  </si>
  <si>
    <t>16A/220V 3PIN MOBILE PLUG IP66/67 MQ</t>
  </si>
  <si>
    <t>16A/220V 3PIN MOBILE SOCKET IP66/67 MQ</t>
  </si>
  <si>
    <t>RCCB 25A 2P 10mA</t>
  </si>
  <si>
    <t>RL</t>
  </si>
  <si>
    <t>OSAZ (Omar Saleh Abdullah Al-Zahrani Electricals)</t>
  </si>
  <si>
    <t>SA45 1000 0095 9000 0128 6307</t>
  </si>
  <si>
    <t>Mansoor</t>
  </si>
  <si>
    <t xml:space="preserve">Mobile: +966 57 694 3329 </t>
  </si>
  <si>
    <t>1 GANG 32A SWITCHED SOCKET WITH BOX</t>
  </si>
  <si>
    <t>FLAT CABLE WHITE 1.5MM² 48 X 20 X 80Y - CARTEL</t>
  </si>
  <si>
    <t>DIGITAL MULTIMETER FLUKE</t>
  </si>
  <si>
    <t>32A/220V 3PIN MOBILE PLUG IP66/67 MQ</t>
  </si>
  <si>
    <t>32A/220V 3PIN MOBILE SOCKET IP66/67 MQ</t>
  </si>
  <si>
    <t>LED FLOOD LIGHT 400W</t>
  </si>
  <si>
    <t>FLEXIBLE CABLE WHITE 4C X 6MM² 100YARD / ROLL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</si>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</sst>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20</xdr:row>
          <xdr:rowOff>20054</xdr:rowOff>
        </xdr:from>
        <xdr:to>
          <xdr:col>12</xdr:col>
          <xdr:colOff>499</xdr:colOff>
          <xdr:row>27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1:$S$27" spid="_x0000_s1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5"/>
  <sheetViews>
    <sheetView showGridLines="0" tabSelected="1" view="pageBreakPreview" zoomScale="95" zoomScaleNormal="95" zoomScaleSheetLayoutView="95" workbookViewId="0">
      <selection activeCell="A3" sqref="A3"/>
    </sheetView>
  </sheetViews>
  <sheetFormatPr defaultColWidth="9" defaultRowHeight="21" customHeight="1"/>
  <cols>
    <col min="1" max="1" width="3.7109375" style="2" customWidth="1"/>
    <col min="2" max="3" width="30.140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45" t="s">
        <v>87</v>
      </c>
      <c r="K1" s="146"/>
      <c r="L1" s="147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8" t="s">
        <v>94</v>
      </c>
      <c r="K2" s="149"/>
      <c r="L2" s="150"/>
    </row>
    <row r="3" spans="1:18" ht="20.100000000000001" customHeight="1">
      <c r="A3" s="3" t="s">
        <v>137</v>
      </c>
      <c r="B3" s="92"/>
      <c r="C3" s="92"/>
      <c r="D3" s="92"/>
      <c r="E3" s="151">
        <f>+L3</f>
        <v>46128</v>
      </c>
      <c r="F3" s="151"/>
      <c r="G3" s="151"/>
      <c r="H3" s="151"/>
      <c r="I3" s="151"/>
      <c r="J3" s="92"/>
      <c r="K3" s="92"/>
      <c r="L3" s="104">
        <v>46128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91</v>
      </c>
      <c r="J4" s="133" t="s">
        <v>92</v>
      </c>
      <c r="K4" s="143" t="s">
        <v>0</v>
      </c>
      <c r="L4" s="134" t="s">
        <v>7</v>
      </c>
    </row>
    <row r="5" spans="1:18" ht="18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2.5" customHeight="1">
      <c r="A6" s="5">
        <f t="shared" ref="A6:A18" si="0">ROW(A1)</f>
        <v>1</v>
      </c>
      <c r="B6" s="128" t="s">
        <v>122</v>
      </c>
      <c r="C6" s="129"/>
      <c r="D6" s="130"/>
      <c r="E6" s="131"/>
      <c r="F6" s="132"/>
      <c r="G6" s="111" t="s">
        <v>114</v>
      </c>
      <c r="H6" s="111">
        <v>200</v>
      </c>
      <c r="I6" s="112">
        <v>18.5</v>
      </c>
      <c r="J6" s="99">
        <f>H6*I6</f>
        <v>3700</v>
      </c>
      <c r="K6" s="100" t="s">
        <v>113</v>
      </c>
      <c r="L6" s="101" t="s">
        <v>99</v>
      </c>
      <c r="R6" s="97"/>
    </row>
    <row r="7" spans="1:18" ht="22.5" customHeight="1">
      <c r="A7" s="5">
        <f t="shared" si="0"/>
        <v>2</v>
      </c>
      <c r="B7" s="128" t="s">
        <v>123</v>
      </c>
      <c r="C7" s="129"/>
      <c r="D7" s="130"/>
      <c r="E7" s="131"/>
      <c r="F7" s="132"/>
      <c r="G7" s="111" t="s">
        <v>114</v>
      </c>
      <c r="H7" s="111">
        <v>200</v>
      </c>
      <c r="I7" s="112">
        <v>26.5</v>
      </c>
      <c r="J7" s="99">
        <f t="shared" ref="J7:J18" si="1">H7*I7</f>
        <v>5300</v>
      </c>
      <c r="K7" s="100"/>
      <c r="L7" s="101"/>
      <c r="R7" s="97"/>
    </row>
    <row r="8" spans="1:18" ht="22.5" customHeight="1">
      <c r="A8" s="5">
        <f t="shared" si="0"/>
        <v>3</v>
      </c>
      <c r="B8" s="128" t="s">
        <v>130</v>
      </c>
      <c r="C8" s="129"/>
      <c r="D8" s="130"/>
      <c r="E8" s="131"/>
      <c r="F8" s="132"/>
      <c r="G8" s="111" t="s">
        <v>114</v>
      </c>
      <c r="H8" s="111">
        <v>10</v>
      </c>
      <c r="I8" s="112">
        <v>15</v>
      </c>
      <c r="J8" s="99">
        <f t="shared" si="1"/>
        <v>150</v>
      </c>
      <c r="K8" s="100"/>
      <c r="L8" s="101"/>
      <c r="R8" s="97"/>
    </row>
    <row r="9" spans="1:18" ht="22.5" customHeight="1">
      <c r="A9" s="5">
        <f t="shared" si="0"/>
        <v>4</v>
      </c>
      <c r="B9" s="128" t="s">
        <v>131</v>
      </c>
      <c r="C9" s="129"/>
      <c r="D9" s="130"/>
      <c r="E9" s="131"/>
      <c r="F9" s="132"/>
      <c r="G9" s="111" t="s">
        <v>125</v>
      </c>
      <c r="H9" s="111">
        <v>1</v>
      </c>
      <c r="I9" s="112">
        <v>65</v>
      </c>
      <c r="J9" s="99">
        <f t="shared" si="1"/>
        <v>65</v>
      </c>
      <c r="K9" s="100"/>
      <c r="L9" s="101"/>
      <c r="R9" s="97"/>
    </row>
    <row r="10" spans="1:18" ht="22.5" customHeight="1">
      <c r="A10" s="5">
        <f t="shared" si="0"/>
        <v>5</v>
      </c>
      <c r="B10" s="128" t="s">
        <v>132</v>
      </c>
      <c r="C10" s="129"/>
      <c r="D10" s="130"/>
      <c r="E10" s="131"/>
      <c r="F10" s="132"/>
      <c r="G10" s="111" t="s">
        <v>114</v>
      </c>
      <c r="H10" s="111">
        <v>1</v>
      </c>
      <c r="I10" s="112">
        <v>720</v>
      </c>
      <c r="J10" s="99">
        <f t="shared" si="1"/>
        <v>720</v>
      </c>
      <c r="K10" s="100"/>
      <c r="L10" s="101"/>
      <c r="R10" s="97"/>
    </row>
    <row r="11" spans="1:18" ht="22.5" customHeight="1">
      <c r="A11" s="5">
        <f t="shared" si="0"/>
        <v>6</v>
      </c>
      <c r="B11" s="128" t="s">
        <v>124</v>
      </c>
      <c r="C11" s="129"/>
      <c r="D11" s="130"/>
      <c r="E11" s="131"/>
      <c r="F11" s="132"/>
      <c r="G11" s="111" t="s">
        <v>114</v>
      </c>
      <c r="H11" s="111">
        <v>20</v>
      </c>
      <c r="I11" s="112">
        <v>110</v>
      </c>
      <c r="J11" s="99">
        <f t="shared" si="1"/>
        <v>2200</v>
      </c>
      <c r="K11" s="100"/>
      <c r="L11" s="101"/>
      <c r="R11" s="97"/>
    </row>
    <row r="12" spans="1:18" ht="22.5" customHeight="1">
      <c r="A12" s="5">
        <f t="shared" si="0"/>
        <v>7</v>
      </c>
      <c r="B12" s="128" t="s">
        <v>133</v>
      </c>
      <c r="C12" s="129"/>
      <c r="D12" s="130"/>
      <c r="E12" s="131"/>
      <c r="F12" s="132"/>
      <c r="G12" s="111" t="s">
        <v>114</v>
      </c>
      <c r="H12" s="111">
        <v>100</v>
      </c>
      <c r="I12" s="112">
        <v>38.5</v>
      </c>
      <c r="J12" s="99">
        <f t="shared" si="1"/>
        <v>3850</v>
      </c>
      <c r="K12" s="100"/>
      <c r="L12" s="101"/>
      <c r="R12" s="97"/>
    </row>
    <row r="13" spans="1:18" ht="22.5" customHeight="1">
      <c r="A13" s="5">
        <f t="shared" si="0"/>
        <v>8</v>
      </c>
      <c r="B13" s="128" t="s">
        <v>134</v>
      </c>
      <c r="C13" s="129"/>
      <c r="D13" s="130"/>
      <c r="E13" s="131"/>
      <c r="F13" s="132"/>
      <c r="G13" s="111" t="s">
        <v>114</v>
      </c>
      <c r="H13" s="111">
        <v>100</v>
      </c>
      <c r="I13" s="112">
        <v>65</v>
      </c>
      <c r="J13" s="99">
        <f t="shared" si="1"/>
        <v>6500</v>
      </c>
      <c r="K13" s="100"/>
      <c r="L13" s="101"/>
      <c r="R13" s="97"/>
    </row>
    <row r="14" spans="1:18" ht="22.5" customHeight="1">
      <c r="A14" s="5">
        <f t="shared" si="0"/>
        <v>9</v>
      </c>
      <c r="B14" s="128" t="s">
        <v>135</v>
      </c>
      <c r="C14" s="129"/>
      <c r="D14" s="130"/>
      <c r="E14" s="131"/>
      <c r="F14" s="132"/>
      <c r="G14" s="111" t="s">
        <v>114</v>
      </c>
      <c r="H14" s="111">
        <v>200</v>
      </c>
      <c r="I14" s="112">
        <v>95</v>
      </c>
      <c r="J14" s="99">
        <f t="shared" si="1"/>
        <v>19000</v>
      </c>
      <c r="K14" s="100"/>
      <c r="L14" s="101"/>
      <c r="R14" s="97"/>
    </row>
    <row r="15" spans="1:18" ht="22.5" customHeight="1">
      <c r="A15" s="5">
        <f t="shared" si="0"/>
        <v>10</v>
      </c>
      <c r="B15" s="128" t="s">
        <v>121</v>
      </c>
      <c r="C15" s="129"/>
      <c r="D15" s="130"/>
      <c r="E15" s="131"/>
      <c r="F15" s="132"/>
      <c r="G15" s="111" t="s">
        <v>125</v>
      </c>
      <c r="H15" s="111">
        <v>50</v>
      </c>
      <c r="I15" s="112">
        <v>585</v>
      </c>
      <c r="J15" s="99">
        <f t="shared" si="1"/>
        <v>29250</v>
      </c>
      <c r="K15" s="100"/>
      <c r="L15" s="101"/>
      <c r="R15" s="97"/>
    </row>
    <row r="16" spans="1:18" ht="22.5" customHeight="1">
      <c r="A16" s="5">
        <f t="shared" si="0"/>
        <v>11</v>
      </c>
      <c r="B16" s="128" t="s">
        <v>136</v>
      </c>
      <c r="C16" s="129"/>
      <c r="D16" s="130"/>
      <c r="E16" s="131"/>
      <c r="F16" s="132"/>
      <c r="G16" s="111" t="s">
        <v>125</v>
      </c>
      <c r="H16" s="111">
        <v>5</v>
      </c>
      <c r="I16" s="112">
        <v>760</v>
      </c>
      <c r="J16" s="99">
        <f t="shared" si="1"/>
        <v>3800</v>
      </c>
      <c r="K16" s="100"/>
      <c r="L16" s="101"/>
      <c r="R16" s="97"/>
    </row>
    <row r="17" spans="1:19" ht="22.5" customHeight="1">
      <c r="A17" s="5">
        <f t="shared" si="0"/>
        <v>12</v>
      </c>
      <c r="B17" s="128" t="s">
        <v>122</v>
      </c>
      <c r="C17" s="129"/>
      <c r="D17" s="130"/>
      <c r="E17" s="131"/>
      <c r="F17" s="132"/>
      <c r="G17" s="111" t="s">
        <v>114</v>
      </c>
      <c r="H17" s="111">
        <v>50</v>
      </c>
      <c r="I17" s="112">
        <v>18.5</v>
      </c>
      <c r="J17" s="99">
        <f t="shared" si="1"/>
        <v>925</v>
      </c>
      <c r="K17" s="100"/>
      <c r="L17" s="101"/>
      <c r="R17" s="97"/>
    </row>
    <row r="18" spans="1:19" ht="22.5" customHeight="1">
      <c r="A18" s="5">
        <f t="shared" si="0"/>
        <v>13</v>
      </c>
      <c r="B18" s="128" t="s">
        <v>123</v>
      </c>
      <c r="C18" s="129"/>
      <c r="D18" s="130"/>
      <c r="E18" s="131"/>
      <c r="F18" s="132"/>
      <c r="G18" s="111" t="s">
        <v>114</v>
      </c>
      <c r="H18" s="111">
        <v>50</v>
      </c>
      <c r="I18" s="112">
        <v>26.5</v>
      </c>
      <c r="J18" s="99">
        <f t="shared" si="1"/>
        <v>1325</v>
      </c>
      <c r="K18" s="100"/>
      <c r="L18" s="101"/>
      <c r="R18" s="97"/>
    </row>
    <row r="19" spans="1:19" ht="23.25" customHeight="1">
      <c r="A19" s="124" t="s">
        <v>8</v>
      </c>
      <c r="B19" s="125"/>
      <c r="C19" s="102"/>
      <c r="D19" s="108"/>
      <c r="E19" s="108"/>
      <c r="F19" s="108"/>
      <c r="G19" s="109"/>
      <c r="H19" s="109"/>
      <c r="I19" s="110" t="s">
        <v>9</v>
      </c>
      <c r="J19" s="99">
        <f>SUM(J6:J18)</f>
        <v>76785</v>
      </c>
      <c r="K19" s="99"/>
      <c r="L19" s="103"/>
    </row>
    <row r="20" spans="1:19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19" ht="18" customHeight="1">
      <c r="A21" s="10"/>
      <c r="J21" s="1"/>
      <c r="K21" s="1"/>
      <c r="O21" s="11"/>
      <c r="P21" s="11"/>
      <c r="R21" s="126" t="s">
        <v>11</v>
      </c>
      <c r="S21" s="13" t="s">
        <v>12</v>
      </c>
    </row>
    <row r="22" spans="1:19" ht="50.1" customHeight="1">
      <c r="R22" s="127"/>
      <c r="S22" s="15"/>
    </row>
    <row r="23" spans="1:19" ht="17.100000000000001" customHeight="1">
      <c r="O23" s="11"/>
      <c r="P23" s="11"/>
      <c r="R23" s="121"/>
      <c r="S23" s="15" t="s">
        <v>13</v>
      </c>
    </row>
    <row r="24" spans="1:19" ht="15" customHeight="1">
      <c r="O24" s="17" t="s">
        <v>14</v>
      </c>
      <c r="P24" s="120" t="s">
        <v>15</v>
      </c>
    </row>
    <row r="25" spans="1:19" ht="18" customHeight="1">
      <c r="O25" s="18" t="s">
        <v>16</v>
      </c>
      <c r="P25" s="122"/>
      <c r="R25" s="126" t="s">
        <v>17</v>
      </c>
      <c r="S25" s="12" t="s">
        <v>12</v>
      </c>
    </row>
    <row r="26" spans="1:19" ht="50.1" customHeight="1">
      <c r="O26" s="14"/>
      <c r="P26" s="14"/>
      <c r="R26" s="127"/>
      <c r="S26" s="19"/>
    </row>
    <row r="27" spans="1:19" ht="17.100000000000001" customHeight="1">
      <c r="O27" s="16" t="s">
        <v>13</v>
      </c>
      <c r="P27" s="16" t="s">
        <v>13</v>
      </c>
      <c r="R27" s="121"/>
      <c r="S27" s="15" t="s">
        <v>13</v>
      </c>
    </row>
    <row r="28" spans="1:19" ht="9.9499999999999993" customHeight="1"/>
    <row r="29" spans="1:19" ht="19.899999999999999" customHeight="1"/>
    <row r="30" spans="1:19" ht="17.45" customHeight="1">
      <c r="O30" s="123"/>
      <c r="P30" s="123"/>
    </row>
    <row r="31" spans="1:19" ht="19.899999999999999" customHeight="1">
      <c r="O31" s="123"/>
      <c r="P31" s="123"/>
    </row>
    <row r="32" spans="1:19" ht="14.25">
      <c r="O32" s="11"/>
      <c r="P32" s="11"/>
    </row>
    <row r="33" spans="15:16" ht="65.099999999999994" customHeight="1"/>
    <row r="34" spans="15:16" ht="14.25">
      <c r="O34" s="11"/>
      <c r="P34" s="11"/>
    </row>
    <row r="35" spans="15:16" ht="19.899999999999999" customHeight="1"/>
    <row r="36" spans="15:16" ht="14.25"/>
    <row r="37" spans="15:16" ht="19.899999999999999" customHeight="1"/>
    <row r="38" spans="15:16" ht="14.25"/>
    <row r="39" spans="15:16" ht="19.899999999999999" customHeight="1"/>
    <row r="40" spans="15:16" ht="19.899999999999999" customHeight="1"/>
    <row r="41" spans="15:16" ht="64.900000000000006" customHeight="1"/>
    <row r="43" spans="15:16" ht="19.899999999999999" customHeight="1"/>
    <row r="44" spans="15:16" ht="19.899999999999999" customHeight="1"/>
    <row r="45" spans="15:16" ht="64.900000000000006" customHeight="1"/>
    <row r="49" spans="15:19" ht="21" customHeight="1">
      <c r="O49" s="120" t="s">
        <v>18</v>
      </c>
      <c r="P49" s="120" t="s">
        <v>18</v>
      </c>
      <c r="S49" s="120" t="s">
        <v>12</v>
      </c>
    </row>
    <row r="50" spans="15:19" ht="21" customHeight="1">
      <c r="O50" s="122"/>
      <c r="P50" s="122"/>
      <c r="S50" s="121"/>
    </row>
    <row r="51" spans="15:19" ht="64.900000000000006" customHeight="1">
      <c r="O51" s="14"/>
      <c r="P51" s="14"/>
      <c r="S51" s="15"/>
    </row>
    <row r="52" spans="15:19" ht="7.15" customHeight="1"/>
    <row r="53" spans="15:19" ht="21" customHeight="1">
      <c r="O53" s="120" t="s">
        <v>18</v>
      </c>
      <c r="P53" s="120" t="s">
        <v>18</v>
      </c>
      <c r="S53" s="120" t="s">
        <v>19</v>
      </c>
    </row>
    <row r="54" spans="15:19" ht="21" customHeight="1">
      <c r="O54" s="122"/>
      <c r="P54" s="122"/>
      <c r="S54" s="121"/>
    </row>
    <row r="55" spans="15:19" ht="64.900000000000006" customHeight="1">
      <c r="O55" s="14"/>
      <c r="P55" s="14"/>
      <c r="S55" s="14"/>
    </row>
  </sheetData>
  <mergeCells count="50">
    <mergeCell ref="B15:C15"/>
    <mergeCell ref="B16:C16"/>
    <mergeCell ref="B17:C17"/>
    <mergeCell ref="B18:C18"/>
    <mergeCell ref="D15:F15"/>
    <mergeCell ref="D16:F16"/>
    <mergeCell ref="D17:F17"/>
    <mergeCell ref="D18:F18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A19:B19"/>
    <mergeCell ref="R21:R23"/>
    <mergeCell ref="P24:P25"/>
    <mergeCell ref="R25:R27"/>
    <mergeCell ref="B9:C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S49:S50"/>
    <mergeCell ref="O53:O54"/>
    <mergeCell ref="P53:P54"/>
    <mergeCell ref="S53:S54"/>
    <mergeCell ref="O30:O31"/>
    <mergeCell ref="P30:P31"/>
    <mergeCell ref="O49:O50"/>
    <mergeCell ref="P49:P50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SAC2-DS-MRS-0285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46128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88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2" t="str">
        <f>MRS!B6</f>
        <v>16A/220V 3PIN MOBILE PLUG IP66/67 MQ</v>
      </c>
      <c r="C6" s="153"/>
      <c r="D6" s="154">
        <f>MRS!D6</f>
        <v>0</v>
      </c>
      <c r="E6" s="155"/>
      <c r="F6" s="156"/>
      <c r="G6" s="94" t="str">
        <f>MRS!G6</f>
        <v>EA</v>
      </c>
      <c r="H6" s="94">
        <f>MRS!H6</f>
        <v>200</v>
      </c>
      <c r="I6" s="95">
        <f>MRS!I6</f>
        <v>18.5</v>
      </c>
      <c r="J6" s="95">
        <f>MRS!J6</f>
        <v>3700</v>
      </c>
      <c r="K6" s="96"/>
      <c r="O6" s="97"/>
      <c r="P6" s="97"/>
      <c r="R6" s="97"/>
    </row>
    <row r="7" spans="1:18" ht="105" customHeight="1">
      <c r="A7" s="21">
        <f>+MRS!A7</f>
        <v>2</v>
      </c>
      <c r="B7" s="152" t="str">
        <f>MRS!B7</f>
        <v>16A/220V 3PIN MOBILE SOCKET IP66/67 MQ</v>
      </c>
      <c r="C7" s="153"/>
      <c r="D7" s="154">
        <f>MRS!D7</f>
        <v>0</v>
      </c>
      <c r="E7" s="155"/>
      <c r="F7" s="156"/>
      <c r="G7" s="94" t="str">
        <f>MRS!G7</f>
        <v>EA</v>
      </c>
      <c r="H7" s="94">
        <f>MRS!H7</f>
        <v>200</v>
      </c>
      <c r="I7" s="95">
        <f>MRS!I7</f>
        <v>26.5</v>
      </c>
      <c r="J7" s="95">
        <f>MRS!J7</f>
        <v>5300</v>
      </c>
      <c r="K7" s="96"/>
      <c r="O7" s="97"/>
      <c r="P7" s="97"/>
      <c r="R7" s="97"/>
    </row>
    <row r="8" spans="1:18" ht="105" customHeight="1">
      <c r="A8" s="21">
        <f>+MRS!A8</f>
        <v>3</v>
      </c>
      <c r="B8" s="152" t="str">
        <f>MRS!B8</f>
        <v>1 GANG 32A SWITCHED SOCKET WITH BOX</v>
      </c>
      <c r="C8" s="153"/>
      <c r="D8" s="154">
        <f>MRS!D8</f>
        <v>0</v>
      </c>
      <c r="E8" s="155"/>
      <c r="F8" s="156"/>
      <c r="G8" s="94" t="str">
        <f>MRS!G8</f>
        <v>EA</v>
      </c>
      <c r="H8" s="94">
        <f>MRS!H8</f>
        <v>10</v>
      </c>
      <c r="I8" s="95">
        <f>MRS!I8</f>
        <v>15</v>
      </c>
      <c r="J8" s="95">
        <f>MRS!J8</f>
        <v>150</v>
      </c>
      <c r="K8" s="96"/>
      <c r="O8" s="97"/>
      <c r="P8" s="97"/>
      <c r="R8" s="97"/>
    </row>
    <row r="9" spans="1:18" ht="105" customHeight="1">
      <c r="A9" s="21">
        <f>+MRS!A9</f>
        <v>4</v>
      </c>
      <c r="B9" s="152" t="str">
        <f>MRS!B9</f>
        <v>FLAT CABLE WHITE 1.5MM² 48 X 20 X 80Y - CARTEL</v>
      </c>
      <c r="C9" s="153"/>
      <c r="D9" s="154">
        <f>MRS!D9</f>
        <v>0</v>
      </c>
      <c r="E9" s="155"/>
      <c r="F9" s="156"/>
      <c r="G9" s="94" t="str">
        <f>MRS!G9</f>
        <v>RL</v>
      </c>
      <c r="H9" s="94">
        <f>MRS!H9</f>
        <v>1</v>
      </c>
      <c r="I9" s="95">
        <f>MRS!I9</f>
        <v>65</v>
      </c>
      <c r="J9" s="95">
        <f>MRS!J9</f>
        <v>65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2" t="str">
        <f>MRS!B10</f>
        <v>DIGITAL MULTIMETER FLUKE</v>
      </c>
      <c r="C10" s="153"/>
      <c r="D10" s="154">
        <f>MRS!D10</f>
        <v>0</v>
      </c>
      <c r="E10" s="155"/>
      <c r="F10" s="156"/>
      <c r="G10" s="94" t="str">
        <f>MRS!G10</f>
        <v>EA</v>
      </c>
      <c r="H10" s="94">
        <f>MRS!H10</f>
        <v>1</v>
      </c>
      <c r="I10" s="95">
        <f>MRS!I10</f>
        <v>720</v>
      </c>
      <c r="J10" s="95">
        <f>MRS!J10</f>
        <v>720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2" t="str">
        <f>MRS!B11</f>
        <v>RCCB 25A 2P 10mA</v>
      </c>
      <c r="C11" s="153"/>
      <c r="D11" s="154">
        <f>MRS!D11</f>
        <v>0</v>
      </c>
      <c r="E11" s="155"/>
      <c r="F11" s="156"/>
      <c r="G11" s="94" t="str">
        <f>MRS!G11</f>
        <v>EA</v>
      </c>
      <c r="H11" s="94">
        <f>MRS!H11</f>
        <v>20</v>
      </c>
      <c r="I11" s="95">
        <f>MRS!I11</f>
        <v>110</v>
      </c>
      <c r="J11" s="95">
        <f>MRS!J11</f>
        <v>2200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2" t="str">
        <f>MRS!B12</f>
        <v>32A/220V 3PIN MOBILE PLUG IP66/67 MQ</v>
      </c>
      <c r="C12" s="153"/>
      <c r="D12" s="154">
        <f>MRS!D12</f>
        <v>0</v>
      </c>
      <c r="E12" s="155"/>
      <c r="F12" s="156"/>
      <c r="G12" s="94" t="str">
        <f>MRS!G12</f>
        <v>EA</v>
      </c>
      <c r="H12" s="94">
        <f>MRS!H12</f>
        <v>100</v>
      </c>
      <c r="I12" s="95">
        <f>MRS!I12</f>
        <v>38.5</v>
      </c>
      <c r="J12" s="95">
        <f>MRS!J12</f>
        <v>3850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2" t="str">
        <f>MRS!B13</f>
        <v>32A/220V 3PIN MOBILE SOCKET IP66/67 MQ</v>
      </c>
      <c r="C13" s="153"/>
      <c r="D13" s="154">
        <f>MRS!D13</f>
        <v>0</v>
      </c>
      <c r="E13" s="155"/>
      <c r="F13" s="156"/>
      <c r="G13" s="94" t="str">
        <f>MRS!G13</f>
        <v>EA</v>
      </c>
      <c r="H13" s="94">
        <f>MRS!H13</f>
        <v>100</v>
      </c>
      <c r="I13" s="95">
        <f>MRS!I13</f>
        <v>65</v>
      </c>
      <c r="J13" s="95">
        <f>MRS!J13</f>
        <v>6500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2" t="str">
        <f>MRS!B14</f>
        <v>LED FLOOD LIGHT 400W</v>
      </c>
      <c r="C14" s="153"/>
      <c r="D14" s="154">
        <f>MRS!D14</f>
        <v>0</v>
      </c>
      <c r="E14" s="155"/>
      <c r="F14" s="156"/>
      <c r="G14" s="94" t="str">
        <f>MRS!G14</f>
        <v>EA</v>
      </c>
      <c r="H14" s="94">
        <f>MRS!H14</f>
        <v>200</v>
      </c>
      <c r="I14" s="95">
        <f>MRS!I14</f>
        <v>95</v>
      </c>
      <c r="J14" s="95">
        <f>MRS!J14</f>
        <v>19000</v>
      </c>
      <c r="K14" s="96"/>
      <c r="O14" s="97"/>
      <c r="P14" s="97"/>
      <c r="R14" s="97"/>
    </row>
    <row r="15" spans="1:18" ht="105" customHeight="1">
      <c r="A15" s="21" t="e">
        <f>+MRS!#REF!</f>
        <v>#REF!</v>
      </c>
      <c r="B15" s="152" t="e">
        <f>MRS!#REF!</f>
        <v>#REF!</v>
      </c>
      <c r="C15" s="153"/>
      <c r="D15" s="154" t="e">
        <f>MRS!#REF!</f>
        <v>#REF!</v>
      </c>
      <c r="E15" s="155"/>
      <c r="F15" s="156"/>
      <c r="G15" s="94" t="e">
        <f>MRS!#REF!</f>
        <v>#REF!</v>
      </c>
      <c r="H15" s="94" t="e">
        <f>MRS!#REF!</f>
        <v>#REF!</v>
      </c>
      <c r="I15" s="95" t="e">
        <f>MRS!#REF!</f>
        <v>#REF!</v>
      </c>
      <c r="J15" s="95" t="e">
        <f>MRS!#REF!</f>
        <v>#REF!</v>
      </c>
      <c r="K15" s="96"/>
      <c r="O15" s="97"/>
      <c r="P15" s="97"/>
      <c r="R15" s="97"/>
    </row>
    <row r="16" spans="1:18" ht="105" customHeight="1">
      <c r="A16" s="21"/>
      <c r="B16" s="152"/>
      <c r="C16" s="153"/>
      <c r="D16" s="154"/>
      <c r="E16" s="155"/>
      <c r="F16" s="156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2"/>
      <c r="C17" s="153"/>
      <c r="D17" s="154"/>
      <c r="E17" s="155"/>
      <c r="F17" s="156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2"/>
      <c r="C18" s="153"/>
      <c r="D18" s="154"/>
      <c r="E18" s="155"/>
      <c r="F18" s="156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2"/>
      <c r="C19" s="153"/>
      <c r="D19" s="154"/>
      <c r="E19" s="155"/>
      <c r="F19" s="156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2"/>
      <c r="C20" s="153"/>
      <c r="D20" s="154"/>
      <c r="E20" s="155"/>
      <c r="F20" s="156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2"/>
      <c r="C21" s="153"/>
      <c r="D21" s="154"/>
      <c r="E21" s="155"/>
      <c r="F21" s="156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126</v>
      </c>
      <c r="D9" s="38"/>
      <c r="E9" s="38"/>
    </row>
    <row r="10" spans="2:13" s="38" customFormat="1">
      <c r="B10" s="69"/>
      <c r="C10" s="38" t="s">
        <v>29</v>
      </c>
      <c r="D10" s="73" t="s">
        <v>116</v>
      </c>
      <c r="J10" s="38" t="s">
        <v>30</v>
      </c>
      <c r="K10" s="160">
        <f>MRS!L3</f>
        <v>46128</v>
      </c>
      <c r="L10" s="161"/>
      <c r="M10" s="161"/>
    </row>
    <row r="11" spans="2:13" s="38" customFormat="1">
      <c r="B11" s="69"/>
      <c r="C11" s="72" t="s">
        <v>31</v>
      </c>
      <c r="D11" s="73" t="s">
        <v>117</v>
      </c>
      <c r="J11" s="38" t="s">
        <v>32</v>
      </c>
      <c r="K11" s="162" t="str">
        <f>SUBSTITUTE(SUBSTITUTE(+MRS!A3,"  MRS No : ",""),"-MRS","-PO")</f>
        <v>SAC2-DS-PO-0285</v>
      </c>
      <c r="L11" s="162"/>
      <c r="M11" s="162"/>
    </row>
    <row r="12" spans="2:13" s="38" customFormat="1">
      <c r="B12" s="69"/>
      <c r="C12" s="72" t="s">
        <v>33</v>
      </c>
      <c r="D12" s="38" t="s">
        <v>128</v>
      </c>
      <c r="J12" s="38" t="s">
        <v>34</v>
      </c>
    </row>
    <row r="13" spans="2:13" s="38" customFormat="1">
      <c r="B13" s="69"/>
      <c r="C13" s="74"/>
      <c r="D13" s="73" t="s">
        <v>129</v>
      </c>
      <c r="J13" s="38" t="s">
        <v>35</v>
      </c>
    </row>
    <row r="14" spans="2:13" s="38" customFormat="1">
      <c r="B14" s="69"/>
      <c r="C14" s="114" t="s">
        <v>118</v>
      </c>
      <c r="J14" s="38" t="s">
        <v>36</v>
      </c>
      <c r="K14" s="38">
        <v>101696</v>
      </c>
    </row>
    <row r="15" spans="2:13" s="38" customFormat="1">
      <c r="B15" s="69"/>
      <c r="C15" s="72" t="s">
        <v>129</v>
      </c>
      <c r="J15" s="38" t="s">
        <v>37</v>
      </c>
      <c r="K15" s="75">
        <v>46126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3" t="s">
        <v>38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31" customFormat="1" ht="12" customHeight="1">
      <c r="B20" s="164" t="s">
        <v>39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31" customFormat="1" ht="12" customHeight="1">
      <c r="B21" s="164" t="s">
        <v>40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31" customFormat="1" ht="12" customHeight="1">
      <c r="B22" s="164" t="s">
        <v>41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page'!G29</f>
        <v>76785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page'!G30</f>
        <v>11517.75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page'!G31</f>
        <v>88302.75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6" t="s">
        <v>106</v>
      </c>
      <c r="F54" s="26" t="s">
        <v>119</v>
      </c>
      <c r="P54" s="26" t="str">
        <f>UPPER(F54)</f>
        <v>OMAR SALEH ABDULLAH AL-ZAHRANI ELECTRICALS</v>
      </c>
    </row>
    <row r="55" spans="2:16" ht="12" customHeight="1">
      <c r="B55" s="81" t="s">
        <v>62</v>
      </c>
      <c r="C55" s="116" t="s">
        <v>107</v>
      </c>
      <c r="F55" s="117" t="s">
        <v>120</v>
      </c>
    </row>
    <row r="56" spans="2:16" ht="12" customHeight="1">
      <c r="B56" s="81" t="s">
        <v>62</v>
      </c>
      <c r="C56" s="116" t="s">
        <v>108</v>
      </c>
      <c r="F56" s="26" t="s">
        <v>127</v>
      </c>
    </row>
    <row r="57" spans="2:16" ht="12" customHeight="1">
      <c r="B57" s="81" t="s">
        <v>62</v>
      </c>
      <c r="C57" s="116" t="s">
        <v>109</v>
      </c>
      <c r="F57" s="26" t="s">
        <v>103</v>
      </c>
    </row>
    <row r="58" spans="2:16" ht="12" customHeight="1">
      <c r="B58" s="81" t="s">
        <v>62</v>
      </c>
      <c r="C58" s="116" t="s">
        <v>110</v>
      </c>
      <c r="F58" s="26" t="s">
        <v>104</v>
      </c>
    </row>
    <row r="59" spans="2:16" ht="12" customHeight="1">
      <c r="B59" s="81" t="s">
        <v>62</v>
      </c>
      <c r="C59" s="116" t="s">
        <v>111</v>
      </c>
      <c r="F59" s="26" t="s">
        <v>105</v>
      </c>
    </row>
    <row r="60" spans="2:16" ht="12" customHeight="1">
      <c r="B60" s="81"/>
      <c r="C60" s="116" t="s">
        <v>112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Mansoor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7" t="str">
        <f>C9</f>
        <v>OSAZ (Omar Saleh Abdullah Al-Zahrani Electricals)</v>
      </c>
      <c r="K70" s="167"/>
      <c r="L70" s="167"/>
      <c r="M70" s="167"/>
    </row>
    <row r="71" spans="1:13" ht="27.95" customHeight="1">
      <c r="A71" s="159" t="s">
        <v>72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SAC2-DS-PO-0285</v>
      </c>
      <c r="C2" s="174" t="s">
        <v>74</v>
      </c>
      <c r="D2" s="174"/>
      <c r="E2" s="174"/>
      <c r="F2" s="174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46128</v>
      </c>
      <c r="C3" s="48"/>
      <c r="D3" s="49"/>
      <c r="E3" s="175" t="s">
        <v>76</v>
      </c>
      <c r="F3" s="175"/>
      <c r="G3" s="175"/>
      <c r="H3" s="175"/>
      <c r="I3" s="50"/>
    </row>
    <row r="4" spans="1:13" s="52" customFormat="1" ht="28.5" customHeight="1" thickTop="1">
      <c r="A4" s="176" t="s">
        <v>77</v>
      </c>
      <c r="B4" s="178" t="s">
        <v>78</v>
      </c>
      <c r="C4" s="179"/>
      <c r="D4" s="182" t="s">
        <v>79</v>
      </c>
      <c r="E4" s="182" t="s">
        <v>80</v>
      </c>
      <c r="F4" s="184" t="str">
        <f>'PO 1st page'!C9</f>
        <v>OSAZ (Omar Saleh Abdullah Al-Zahrani Electricals)</v>
      </c>
      <c r="G4" s="185"/>
      <c r="H4" s="186" t="s">
        <v>81</v>
      </c>
      <c r="K4" s="53"/>
      <c r="L4" s="53"/>
      <c r="M4" s="53"/>
    </row>
    <row r="5" spans="1:13" s="52" customFormat="1" ht="21.95" customHeight="1">
      <c r="A5" s="177"/>
      <c r="B5" s="180"/>
      <c r="C5" s="181"/>
      <c r="D5" s="183"/>
      <c r="E5" s="183"/>
      <c r="F5" s="54" t="s">
        <v>82</v>
      </c>
      <c r="G5" s="54" t="s">
        <v>48</v>
      </c>
      <c r="H5" s="187"/>
      <c r="K5" s="53"/>
      <c r="L5" s="53"/>
      <c r="M5" s="53"/>
    </row>
    <row r="6" spans="1:13" s="52" customFormat="1" ht="32.1" customHeight="1">
      <c r="A6" s="82">
        <f t="shared" ref="A6:A18" si="0">ROW(A1)</f>
        <v>1</v>
      </c>
      <c r="B6" s="172" t="str">
        <f>MRS!B6&amp;" "&amp;MRS!D6</f>
        <v xml:space="preserve">16A/220V 3PIN MOBILE PLUG IP66/67 MQ </v>
      </c>
      <c r="C6" s="173"/>
      <c r="D6" s="83" t="str">
        <f>MRS!G6</f>
        <v>EA</v>
      </c>
      <c r="E6" s="83">
        <f>MRS!H6</f>
        <v>200</v>
      </c>
      <c r="F6" s="84">
        <f>MRS!I6</f>
        <v>18.5</v>
      </c>
      <c r="G6" s="85">
        <f>MRS!J6</f>
        <v>3700</v>
      </c>
      <c r="H6" s="86" t="s">
        <v>99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2" t="str">
        <f>MRS!B7&amp;" "&amp;MRS!D7</f>
        <v xml:space="preserve">16A/220V 3PIN MOBILE SOCKET IP66/67 MQ </v>
      </c>
      <c r="C7" s="173"/>
      <c r="D7" s="83" t="str">
        <f>MRS!G7</f>
        <v>EA</v>
      </c>
      <c r="E7" s="83">
        <f>MRS!H7</f>
        <v>200</v>
      </c>
      <c r="F7" s="84">
        <f>MRS!I7</f>
        <v>26.5</v>
      </c>
      <c r="G7" s="85">
        <f>MRS!J7</f>
        <v>5300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72" t="str">
        <f>MRS!B8&amp;" "&amp;MRS!D8</f>
        <v xml:space="preserve">1 GANG 32A SWITCHED SOCKET WITH BOX </v>
      </c>
      <c r="C8" s="173"/>
      <c r="D8" s="83" t="str">
        <f>MRS!G8</f>
        <v>EA</v>
      </c>
      <c r="E8" s="83">
        <f>MRS!H8</f>
        <v>10</v>
      </c>
      <c r="F8" s="84">
        <f>MRS!I8</f>
        <v>15</v>
      </c>
      <c r="G8" s="85">
        <f>MRS!J8</f>
        <v>150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72" t="str">
        <f>MRS!B9&amp;" "&amp;MRS!D9</f>
        <v xml:space="preserve">FLAT CABLE WHITE 1.5MM² 48 X 20 X 80Y - CARTEL </v>
      </c>
      <c r="C9" s="173"/>
      <c r="D9" s="83" t="str">
        <f>MRS!G9</f>
        <v>RL</v>
      </c>
      <c r="E9" s="83">
        <f>MRS!H9</f>
        <v>1</v>
      </c>
      <c r="F9" s="84">
        <f>MRS!I9</f>
        <v>65</v>
      </c>
      <c r="G9" s="85">
        <f>MRS!J9</f>
        <v>65</v>
      </c>
      <c r="H9" s="90"/>
    </row>
    <row r="10" spans="1:13" s="52" customFormat="1" ht="32.1" customHeight="1">
      <c r="A10" s="89">
        <f t="shared" si="0"/>
        <v>5</v>
      </c>
      <c r="B10" s="172" t="str">
        <f>MRS!B10&amp;" "&amp;MRS!D10</f>
        <v xml:space="preserve">DIGITAL MULTIMETER FLUKE </v>
      </c>
      <c r="C10" s="173"/>
      <c r="D10" s="83" t="str">
        <f>MRS!G10</f>
        <v>EA</v>
      </c>
      <c r="E10" s="83">
        <f>MRS!H10</f>
        <v>1</v>
      </c>
      <c r="F10" s="84">
        <f>MRS!I10</f>
        <v>720</v>
      </c>
      <c r="G10" s="85">
        <f>MRS!J10</f>
        <v>720</v>
      </c>
      <c r="H10" s="90"/>
    </row>
    <row r="11" spans="1:13" s="52" customFormat="1" ht="32.1" customHeight="1">
      <c r="A11" s="89">
        <f t="shared" si="0"/>
        <v>6</v>
      </c>
      <c r="B11" s="172" t="str">
        <f>MRS!B11&amp;" "&amp;MRS!D11</f>
        <v xml:space="preserve">RCCB 25A 2P 10mA </v>
      </c>
      <c r="C11" s="173"/>
      <c r="D11" s="83" t="str">
        <f>MRS!G11</f>
        <v>EA</v>
      </c>
      <c r="E11" s="83">
        <f>MRS!H11</f>
        <v>20</v>
      </c>
      <c r="F11" s="84">
        <f>MRS!I11</f>
        <v>110</v>
      </c>
      <c r="G11" s="85">
        <f>MRS!J11</f>
        <v>2200</v>
      </c>
      <c r="H11" s="90"/>
    </row>
    <row r="12" spans="1:13" s="52" customFormat="1" ht="32.1" customHeight="1">
      <c r="A12" s="89">
        <f t="shared" si="0"/>
        <v>7</v>
      </c>
      <c r="B12" s="172" t="str">
        <f>MRS!B12&amp;" "&amp;MRS!D12</f>
        <v xml:space="preserve">32A/220V 3PIN MOBILE PLUG IP66/67 MQ </v>
      </c>
      <c r="C12" s="173"/>
      <c r="D12" s="83" t="str">
        <f>MRS!G12</f>
        <v>EA</v>
      </c>
      <c r="E12" s="83">
        <f>MRS!H12</f>
        <v>100</v>
      </c>
      <c r="F12" s="84">
        <f>MRS!I12</f>
        <v>38.5</v>
      </c>
      <c r="G12" s="85">
        <f>MRS!J12</f>
        <v>3850</v>
      </c>
      <c r="H12" s="90"/>
    </row>
    <row r="13" spans="1:13" s="52" customFormat="1" ht="32.1" customHeight="1">
      <c r="A13" s="89">
        <f t="shared" si="0"/>
        <v>8</v>
      </c>
      <c r="B13" s="172" t="str">
        <f>MRS!B13&amp;" "&amp;MRS!D13</f>
        <v xml:space="preserve">32A/220V 3PIN MOBILE SOCKET IP66/67 MQ </v>
      </c>
      <c r="C13" s="173"/>
      <c r="D13" s="83" t="str">
        <f>MRS!G13</f>
        <v>EA</v>
      </c>
      <c r="E13" s="83">
        <f>MRS!H13</f>
        <v>100</v>
      </c>
      <c r="F13" s="84">
        <f>MRS!I13</f>
        <v>65</v>
      </c>
      <c r="G13" s="85">
        <f>MRS!J13</f>
        <v>6500</v>
      </c>
      <c r="H13" s="90"/>
    </row>
    <row r="14" spans="1:13" s="52" customFormat="1" ht="32.1" customHeight="1">
      <c r="A14" s="89">
        <f t="shared" si="0"/>
        <v>9</v>
      </c>
      <c r="B14" s="172" t="str">
        <f>MRS!B14&amp;" "&amp;MRS!D14</f>
        <v xml:space="preserve">LED FLOOD LIGHT 400W </v>
      </c>
      <c r="C14" s="173"/>
      <c r="D14" s="83" t="str">
        <f>MRS!G14</f>
        <v>EA</v>
      </c>
      <c r="E14" s="83">
        <f>MRS!H14</f>
        <v>200</v>
      </c>
      <c r="F14" s="84">
        <f>MRS!I14</f>
        <v>95</v>
      </c>
      <c r="G14" s="85">
        <f>MRS!J14</f>
        <v>19000</v>
      </c>
      <c r="H14" s="90"/>
    </row>
    <row r="15" spans="1:13" s="52" customFormat="1" ht="32.1" customHeight="1">
      <c r="A15" s="89">
        <f t="shared" si="0"/>
        <v>10</v>
      </c>
      <c r="B15" s="172" t="str">
        <f>MRS!B15&amp;" "&amp;MRS!D15</f>
        <v xml:space="preserve">FLEXIBLE CABLE WHITE 3C X 6MM² 100YARD / ROLL </v>
      </c>
      <c r="C15" s="173"/>
      <c r="D15" s="83" t="str">
        <f>MRS!G15</f>
        <v>RL</v>
      </c>
      <c r="E15" s="83">
        <f>MRS!H15</f>
        <v>50</v>
      </c>
      <c r="F15" s="84">
        <f>MRS!I15</f>
        <v>585</v>
      </c>
      <c r="G15" s="85">
        <f>MRS!J15</f>
        <v>29250</v>
      </c>
      <c r="H15" s="90"/>
    </row>
    <row r="16" spans="1:13" s="52" customFormat="1" ht="32.1" customHeight="1">
      <c r="A16" s="89">
        <f t="shared" si="0"/>
        <v>11</v>
      </c>
      <c r="B16" s="172" t="str">
        <f>MRS!B16&amp;" "&amp;MRS!D16</f>
        <v xml:space="preserve">FLEXIBLE CABLE WHITE 4C X 6MM² 100YARD / ROLL </v>
      </c>
      <c r="C16" s="173"/>
      <c r="D16" s="83" t="str">
        <f>MRS!G16</f>
        <v>RL</v>
      </c>
      <c r="E16" s="83">
        <f>MRS!H16</f>
        <v>5</v>
      </c>
      <c r="F16" s="84">
        <f>MRS!I16</f>
        <v>760</v>
      </c>
      <c r="G16" s="85">
        <f>MRS!J16</f>
        <v>3800</v>
      </c>
      <c r="H16" s="90"/>
    </row>
    <row r="17" spans="1:8" s="52" customFormat="1" ht="32.1" customHeight="1">
      <c r="A17" s="89">
        <f t="shared" si="0"/>
        <v>12</v>
      </c>
      <c r="B17" s="172" t="str">
        <f>MRS!B17&amp;" "&amp;MRS!D17</f>
        <v xml:space="preserve">16A/220V 3PIN MOBILE PLUG IP66/67 MQ </v>
      </c>
      <c r="C17" s="173"/>
      <c r="D17" s="83" t="str">
        <f>MRS!G17</f>
        <v>EA</v>
      </c>
      <c r="E17" s="83">
        <f>MRS!H17</f>
        <v>50</v>
      </c>
      <c r="F17" s="84">
        <f>MRS!I17</f>
        <v>18.5</v>
      </c>
      <c r="G17" s="85">
        <f>MRS!J17</f>
        <v>925</v>
      </c>
      <c r="H17" s="90"/>
    </row>
    <row r="18" spans="1:8" s="52" customFormat="1" ht="32.1" customHeight="1">
      <c r="A18" s="89">
        <f t="shared" si="0"/>
        <v>13</v>
      </c>
      <c r="B18" s="172" t="str">
        <f>MRS!B18&amp;" "&amp;MRS!D18</f>
        <v xml:space="preserve">16A/220V 3PIN MOBILE SOCKET IP66/67 MQ </v>
      </c>
      <c r="C18" s="173"/>
      <c r="D18" s="83" t="str">
        <f>MRS!G18</f>
        <v>EA</v>
      </c>
      <c r="E18" s="83">
        <f>MRS!H18</f>
        <v>50</v>
      </c>
      <c r="F18" s="84">
        <f>MRS!I18</f>
        <v>26.5</v>
      </c>
      <c r="G18" s="85">
        <f>MRS!J18</f>
        <v>1325</v>
      </c>
      <c r="H18" s="90"/>
    </row>
    <row r="19" spans="1:8" s="52" customFormat="1" ht="32.1" customHeight="1">
      <c r="A19" s="89"/>
      <c r="B19" s="172"/>
      <c r="C19" s="173"/>
      <c r="D19" s="83"/>
      <c r="E19" s="83"/>
      <c r="F19" s="84"/>
      <c r="G19" s="85"/>
      <c r="H19" s="90"/>
    </row>
    <row r="20" spans="1:8" s="52" customFormat="1" ht="32.1" customHeight="1">
      <c r="A20" s="89"/>
      <c r="B20" s="172"/>
      <c r="C20" s="173"/>
      <c r="D20" s="83"/>
      <c r="E20" s="83"/>
      <c r="F20" s="84"/>
      <c r="G20" s="85"/>
      <c r="H20" s="90"/>
    </row>
    <row r="21" spans="1:8" s="52" customFormat="1" ht="32.1" customHeight="1">
      <c r="A21" s="89"/>
      <c r="B21" s="172"/>
      <c r="C21" s="173"/>
      <c r="D21" s="83"/>
      <c r="E21" s="83"/>
      <c r="F21" s="84"/>
      <c r="G21" s="85"/>
      <c r="H21" s="90"/>
    </row>
    <row r="22" spans="1:8" s="52" customFormat="1" ht="32.1" customHeight="1">
      <c r="A22" s="89"/>
      <c r="B22" s="172"/>
      <c r="C22" s="173"/>
      <c r="D22" s="83"/>
      <c r="E22" s="83"/>
      <c r="F22" s="84"/>
      <c r="G22" s="85"/>
      <c r="H22" s="90"/>
    </row>
    <row r="23" spans="1:8" s="52" customFormat="1" ht="32.1" customHeight="1">
      <c r="A23" s="89"/>
      <c r="B23" s="172"/>
      <c r="C23" s="173"/>
      <c r="D23" s="83"/>
      <c r="E23" s="83"/>
      <c r="F23" s="84"/>
      <c r="G23" s="85"/>
      <c r="H23" s="90"/>
    </row>
    <row r="24" spans="1:8" s="52" customFormat="1" ht="32.1" customHeight="1">
      <c r="A24" s="89"/>
      <c r="B24" s="172"/>
      <c r="C24" s="173"/>
      <c r="D24" s="83"/>
      <c r="E24" s="83"/>
      <c r="F24" s="84"/>
      <c r="G24" s="85"/>
      <c r="H24" s="90"/>
    </row>
    <row r="25" spans="1:8" s="52" customFormat="1" ht="32.1" customHeight="1">
      <c r="A25" s="89"/>
      <c r="B25" s="172"/>
      <c r="C25" s="173"/>
      <c r="D25" s="83"/>
      <c r="E25" s="83"/>
      <c r="F25" s="84"/>
      <c r="G25" s="85"/>
      <c r="H25" s="90"/>
    </row>
    <row r="26" spans="1:8" s="52" customFormat="1" ht="32.1" customHeight="1">
      <c r="A26" s="89"/>
      <c r="B26" s="172"/>
      <c r="C26" s="173"/>
      <c r="D26" s="83"/>
      <c r="E26" s="83"/>
      <c r="F26" s="84"/>
      <c r="G26" s="85"/>
      <c r="H26" s="90"/>
    </row>
    <row r="27" spans="1:8" s="52" customFormat="1" ht="32.1" customHeight="1">
      <c r="A27" s="89"/>
      <c r="B27" s="172"/>
      <c r="C27" s="173"/>
      <c r="D27" s="83"/>
      <c r="E27" s="83"/>
      <c r="F27" s="84"/>
      <c r="G27" s="85"/>
      <c r="H27" s="90"/>
    </row>
    <row r="28" spans="1:8" s="52" customFormat="1" ht="32.1" customHeight="1">
      <c r="A28" s="89"/>
      <c r="B28" s="172"/>
      <c r="C28" s="173"/>
      <c r="D28" s="83"/>
      <c r="E28" s="83"/>
      <c r="F28" s="84"/>
      <c r="G28" s="85"/>
      <c r="H28" s="90"/>
    </row>
    <row r="29" spans="1:8" s="52" customFormat="1" ht="23.1" customHeight="1">
      <c r="A29" s="168" t="s">
        <v>83</v>
      </c>
      <c r="B29" s="169"/>
      <c r="C29" s="169"/>
      <c r="D29" s="169"/>
      <c r="E29" s="169"/>
      <c r="F29" s="169"/>
      <c r="G29" s="55">
        <f>SUM(G6:G28)</f>
        <v>76785</v>
      </c>
      <c r="H29" s="56"/>
    </row>
    <row r="30" spans="1:8" s="52" customFormat="1" ht="23.1" customHeight="1">
      <c r="A30" s="168" t="s">
        <v>47</v>
      </c>
      <c r="B30" s="169"/>
      <c r="C30" s="169"/>
      <c r="D30" s="169"/>
      <c r="E30" s="169"/>
      <c r="F30" s="169"/>
      <c r="G30" s="55">
        <f>+G29*0.15</f>
        <v>11517.75</v>
      </c>
      <c r="H30" s="56"/>
    </row>
    <row r="31" spans="1:8" s="52" customFormat="1" ht="24.95" customHeight="1" thickBot="1">
      <c r="A31" s="170" t="s">
        <v>84</v>
      </c>
      <c r="B31" s="171"/>
      <c r="C31" s="171"/>
      <c r="D31" s="171"/>
      <c r="E31" s="171"/>
      <c r="F31" s="171"/>
      <c r="G31" s="57">
        <f>G30+G29</f>
        <v>88302.75</v>
      </c>
      <c r="H31" s="58"/>
    </row>
    <row r="32" spans="1:8" ht="15.75" thickTop="1">
      <c r="A32" s="59" t="str">
        <f>" 1) Above Price are as per your quotation with ref "&amp;'PO 1st page'!K14</f>
        <v xml:space="preserve"> 1) Above Price are as per your quotation with ref 101696</v>
      </c>
      <c r="B32" s="60"/>
      <c r="C32" s="60"/>
      <c r="D32" s="61"/>
      <c r="E32" s="61"/>
      <c r="F32" s="61"/>
      <c r="G32" s="61"/>
      <c r="H32" s="61"/>
    </row>
    <row r="33" spans="1:13" ht="15">
      <c r="A33" s="62" t="s">
        <v>85</v>
      </c>
      <c r="B33" s="63"/>
      <c r="C33" s="63"/>
      <c r="D33" s="64"/>
      <c r="E33" s="64"/>
      <c r="F33" s="64"/>
      <c r="G33" s="64"/>
      <c r="H33" s="64"/>
      <c r="I33" s="65"/>
    </row>
    <row r="34" spans="1:13" ht="15.75">
      <c r="A34" s="66"/>
    </row>
    <row r="35" spans="1:13">
      <c r="A35" s="159" t="s">
        <v>86</v>
      </c>
      <c r="B35" s="159"/>
      <c r="C35" s="159"/>
      <c r="D35" s="159"/>
      <c r="E35" s="159"/>
      <c r="F35" s="159"/>
      <c r="G35" s="159"/>
      <c r="H35" s="159"/>
      <c r="I35" s="67"/>
      <c r="J35" s="67"/>
      <c r="K35" s="67"/>
      <c r="L35" s="67"/>
      <c r="M35" s="67"/>
    </row>
    <row r="36" spans="1:13" ht="15.75">
      <c r="A36" s="66"/>
      <c r="C36" s="68"/>
    </row>
    <row r="37" spans="1:13" ht="15.75">
      <c r="A37" s="66"/>
      <c r="C37" s="68"/>
    </row>
    <row r="39" spans="1:13" ht="12" customHeight="1"/>
  </sheetData>
  <mergeCells count="35">
    <mergeCell ref="B22:C22"/>
    <mergeCell ref="B23:C23"/>
    <mergeCell ref="B24:C24"/>
    <mergeCell ref="B25:C25"/>
    <mergeCell ref="B26:C26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9:F29"/>
    <mergeCell ref="A30:F30"/>
    <mergeCell ref="A31:F31"/>
    <mergeCell ref="A35:H35"/>
    <mergeCell ref="B12:C12"/>
    <mergeCell ref="B14:C14"/>
    <mergeCell ref="B15:C15"/>
    <mergeCell ref="B27:C27"/>
    <mergeCell ref="B28:C28"/>
    <mergeCell ref="B16:C16"/>
    <mergeCell ref="B17:C17"/>
    <mergeCell ref="B19:C19"/>
    <mergeCell ref="B18:C18"/>
    <mergeCell ref="B13:C13"/>
    <mergeCell ref="B20:C20"/>
    <mergeCell ref="B21:C2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2026-04-16T11:05:46Z</cp:lastPrinted>
  <dcterms:created xsi:type="dcterms:W3CDTF">2024-10-20T11:50:19Z</dcterms:created>
  <dcterms:modified xsi:type="dcterms:W3CDTF">2026-04-16T11:05:53Z</dcterms:modified>
</cp:coreProperties>
</file>