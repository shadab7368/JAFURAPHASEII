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18E29EA-EFB1-4997-87D8-5E788DD5316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H6" i="4"/>
  <c r="K67" i="3" l="1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<sst xmlns="http://schemas.openxmlformats.org/spreadsheetml/2006/main" count="172" uniqueCount="131">
  <si>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</si>
  <si>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</si>
  <si>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</si>
  <si>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</si>
  <si>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</si>
  <si>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</si>
  <si>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</si>
  <si>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</si>
  <si>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</si>
  <si>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</si>
  <si>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</si>
  <si>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</si>
  <si>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</si>
  <si>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</si>
  <si>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</si>
  <si>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</si>
  <si>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</si>
  <si>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</si>
  <si>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</si>
  <si>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</si>
  <si>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</si>
  <si>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</si>
  <si>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</si>
  <si>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</si>
  <si>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</si>
  <si>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</si>
  <si>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</si>
  <si>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</si>
  <si>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</si>
  <si>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</si>
  <si>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</si>
  <si>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</si>
  <si>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</si>
  <si>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</si>
  <si>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</si>
  <si>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</si>
  <si>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</si>
  <si>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</si>
  <si>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</si>
  <si>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</si>
  <si>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</si>
  <si>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</si>
  <si>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</si>
  <si>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</si>
  <si>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</si>
  <si>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</si>
  <si>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</si>
  <si>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</si>
  <si>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</si>
  <si>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</si>
  <si>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</si>
  <si>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</si>
  <si>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</si>
  <si>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</si>
  <si>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</si>
  <si>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</si>
  <si>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</si>
  <si>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</si>
  <si>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</si>
  <si>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</si>
  <si>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</si>
  <si>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</si>
  <si>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</si>
  <si>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</si>
  <si>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</si>
  <si>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</si>
  <si>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</si>
  <si>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</si>
  <si>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</si>
  <si>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</si>
  <si>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</si>
  <si>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</si>
  <si>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</si>
  <si>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</si>
  <si>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</si>
  <si>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</si>
  <si>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</si>
  <si>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</si>
  <si>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</si>
  <si>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</si>
  <si>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</si>
  <si>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</si>
  <si>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</si>
  <si>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</si>
  <si>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</si>
  <si>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</si>
  <si>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</si>
  <si>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</si>
  <si>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</si>
  <si>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</si>
  <si>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</si>
  <si>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</si>
  <si>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</si>
  <si>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</si>
  <si>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</si>
  <si>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</si>
  <si>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</si>
  <si>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</si>
  <si>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</si>
  <si>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</si>
  <si>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ACE</t>
  </si>
  <si>
    <t>Abhilash K.K.</t>
  </si>
  <si>
    <t>Operation Manager</t>
  </si>
  <si>
    <t>Bldg No . 4383 Prince Mishal Street, Dammam, KSA</t>
  </si>
  <si>
    <t>Landline: +966 138051540 / Mobile : +966 582136007</t>
  </si>
  <si>
    <t>+966 58 2136007 / Email:info@acesaudi.me</t>
  </si>
  <si>
    <t>ACE(Advanced Start Trading &amp; General Contracting Est.)</t>
  </si>
  <si>
    <t>2050122560</t>
  </si>
  <si>
    <t>300380116700003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</si>
  <si>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</si>
  <si>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</si>
  <si>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Monthly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</si>
  <si>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-MRS-0218</t>
    </r>
  </si>
  <si>
    <t>SS Multi Welder</t>
  </si>
  <si>
    <t>Hour</t>
  </si>
  <si>
    <t>QTN-MS-25-228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</si>
  <si>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</si>
  <si>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</si>
  <si>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</si>
  <si>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</si>
  <si>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</si>
  <si>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</si>
  <si>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</si>
  <si>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</si>
  <si>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</si>
  <si>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ADVANCED START TRADING &amp; GENERAL CONTRACTING EST.</t>
  </si>
  <si>
    <t>SA5810000008600000357104</t>
  </si>
  <si>
    <t>8600000357104</t>
  </si>
  <si>
    <t>SAUDI NATIONAL BANK</t>
  </si>
  <si>
    <t>NCBKSAJE</t>
  </si>
  <si>
    <t xml:space="preserve">Monthly Based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</si>
</sst>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2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0" fillId="3" borderId="0" xfId="5" applyFont="1" applyFill="1"/>
    <xf numFmtId="0" fontId="18" fillId="3" borderId="0" xfId="5" quotePrefix="1" applyFont="1" applyFill="1"/>
    <xf numFmtId="0" fontId="51" fillId="3" borderId="0" xfId="5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501316</xdr:colOff>
          <xdr:row>16</xdr:row>
          <xdr:rowOff>240630</xdr:rowOff>
        </xdr:from>
        <xdr:to>
          <xdr:col>12</xdr:col>
          <xdr:colOff>502</xdr:colOff>
          <xdr:row>23</xdr:row>
          <xdr:rowOff>200526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75158" y="4973051"/>
              <a:ext cx="433187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10"/>
      <c r="C1" s="110"/>
      <c r="D1" s="110"/>
      <c r="E1" s="110"/>
      <c r="F1" s="110"/>
      <c r="G1" s="1"/>
      <c r="J1" s="128" t="s">
        <v>92</v>
      </c>
      <c r="K1" s="129"/>
      <c r="L1" s="130"/>
    </row>
    <row r="2" spans="1:19" ht="20.100000000000001" customHeight="1">
      <c r="A2" s="3" t="s">
        <v>1</v>
      </c>
      <c r="B2" s="101"/>
      <c r="C2" s="101"/>
      <c r="D2" s="3" t="s">
        <v>109</v>
      </c>
      <c r="E2" s="101"/>
      <c r="F2" s="101"/>
      <c r="G2" s="101"/>
      <c r="H2" s="101"/>
      <c r="I2" s="4"/>
      <c r="J2" s="131" t="s">
        <v>99</v>
      </c>
      <c r="K2" s="132"/>
      <c r="L2" s="133"/>
    </row>
    <row r="3" spans="1:19" ht="20.100000000000001" customHeight="1">
      <c r="A3" s="3" t="s">
        <v>112</v>
      </c>
      <c r="B3" s="101"/>
      <c r="C3" s="101"/>
      <c r="D3" s="101"/>
      <c r="E3" s="134">
        <f>+L3</f>
        <v>46060</v>
      </c>
      <c r="F3" s="134"/>
      <c r="G3" s="134"/>
      <c r="H3" s="134"/>
      <c r="I3" s="134"/>
      <c r="J3" s="101"/>
      <c r="K3" s="101"/>
      <c r="L3" s="122">
        <v>46060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96</v>
      </c>
      <c r="J4" s="135" t="s">
        <v>97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113</v>
      </c>
      <c r="C6" s="148"/>
      <c r="D6" s="149"/>
      <c r="E6" s="150"/>
      <c r="F6" s="151"/>
      <c r="G6" s="111" t="s">
        <v>114</v>
      </c>
      <c r="H6" s="112">
        <v>1</v>
      </c>
      <c r="I6" s="113">
        <v>54</v>
      </c>
      <c r="J6" s="113">
        <f>H6*I6</f>
        <v>54</v>
      </c>
      <c r="K6" s="114" t="s">
        <v>100</v>
      </c>
      <c r="L6" s="115" t="s">
        <v>111</v>
      </c>
      <c r="S6" s="106"/>
    </row>
    <row r="7" spans="1:19" ht="22.5" customHeight="1">
      <c r="A7" s="5">
        <f t="shared" si="0"/>
        <v>2</v>
      </c>
      <c r="B7" s="147"/>
      <c r="C7" s="148"/>
      <c r="D7" s="152"/>
      <c r="E7" s="150"/>
      <c r="F7" s="151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7"/>
      <c r="C8" s="148"/>
      <c r="D8" s="149"/>
      <c r="E8" s="150"/>
      <c r="F8" s="151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5" t="s">
        <v>8</v>
      </c>
      <c r="B16" s="15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54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0" t="s">
        <v>17</v>
      </c>
      <c r="Q21" s="160" t="s">
        <v>18</v>
      </c>
    </row>
    <row r="22" spans="1:22" ht="18" customHeight="1">
      <c r="O22" s="18" t="s">
        <v>19</v>
      </c>
      <c r="P22" s="161"/>
      <c r="Q22" s="161"/>
      <c r="S22" s="15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9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21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21</v>
      </c>
      <c r="P46" s="160" t="s">
        <v>21</v>
      </c>
      <c r="Q46" s="160" t="s">
        <v>21</v>
      </c>
      <c r="T46" s="160" t="s">
        <v>22</v>
      </c>
      <c r="U46" s="160" t="s">
        <v>13</v>
      </c>
      <c r="V46" s="160" t="s">
        <v>21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21</v>
      </c>
      <c r="P50" s="160" t="s">
        <v>21</v>
      </c>
      <c r="Q50" s="160" t="s">
        <v>21</v>
      </c>
      <c r="T50" s="160" t="s">
        <v>13</v>
      </c>
      <c r="U50" s="160" t="s">
        <v>22</v>
      </c>
      <c r="V50" s="160" t="s">
        <v>21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1" t="str">
        <f>+MRS!J2</f>
        <v>Subcontract name ()</v>
      </c>
      <c r="K2" s="133"/>
    </row>
    <row r="3" spans="1:18" ht="24.95" customHeight="1">
      <c r="A3" s="3" t="str">
        <f>+MRS!A3</f>
        <v xml:space="preserve">  MRS No : SAC2-DS-MRS-0218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46060</v>
      </c>
    </row>
    <row r="4" spans="1:18" ht="15.95" customHeight="1">
      <c r="A4" s="163" t="s">
        <v>2</v>
      </c>
      <c r="B4" s="164" t="s">
        <v>23</v>
      </c>
      <c r="C4" s="164"/>
      <c r="D4" s="163" t="s">
        <v>4</v>
      </c>
      <c r="E4" s="163"/>
      <c r="F4" s="163"/>
      <c r="G4" s="164" t="s">
        <v>5</v>
      </c>
      <c r="H4" s="163" t="s">
        <v>93</v>
      </c>
      <c r="I4" s="163" t="s">
        <v>24</v>
      </c>
      <c r="J4" s="163" t="s">
        <v>25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SS Multi Welder</v>
      </c>
      <c r="C6" s="166"/>
      <c r="D6" s="167">
        <f>MRS!D6</f>
        <v>0</v>
      </c>
      <c r="E6" s="168"/>
      <c r="F6" s="169"/>
      <c r="G6" s="103" t="str">
        <f>MRS!G6</f>
        <v>Hour</v>
      </c>
      <c r="H6" s="103">
        <f>MRS!H6</f>
        <v>1</v>
      </c>
      <c r="I6" s="104">
        <f>MRS!I6</f>
        <v>54</v>
      </c>
      <c r="J6" s="104">
        <f>MRS!J6</f>
        <v>54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0"/>
      <c r="C8" s="171"/>
      <c r="D8" s="172"/>
      <c r="E8" s="173"/>
      <c r="F8" s="17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70"/>
      <c r="C9" s="171"/>
      <c r="D9" s="172"/>
      <c r="E9" s="173"/>
      <c r="F9" s="17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0"/>
      <c r="C10" s="171"/>
      <c r="D10" s="172"/>
      <c r="E10" s="173"/>
      <c r="F10" s="17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0"/>
      <c r="C11" s="171"/>
      <c r="D11" s="172"/>
      <c r="E11" s="173"/>
      <c r="F11" s="17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9" zoomScale="130" zoomScaleNormal="100" zoomScaleSheetLayoutView="130" workbookViewId="0">
      <selection activeCell="F30" sqref="F30:G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106</v>
      </c>
      <c r="D9" s="39"/>
      <c r="E9" s="39"/>
    </row>
    <row r="10" spans="2:13" s="39" customFormat="1">
      <c r="B10" s="72"/>
      <c r="C10" s="39" t="s">
        <v>33</v>
      </c>
      <c r="D10" s="76" t="s">
        <v>107</v>
      </c>
      <c r="J10" s="39" t="s">
        <v>34</v>
      </c>
      <c r="K10" s="176">
        <f>MRS!L3</f>
        <v>46060</v>
      </c>
      <c r="L10" s="177"/>
      <c r="M10" s="177"/>
    </row>
    <row r="11" spans="2:13" s="39" customFormat="1">
      <c r="B11" s="72"/>
      <c r="C11" s="75" t="s">
        <v>35</v>
      </c>
      <c r="D11" s="76" t="s">
        <v>108</v>
      </c>
      <c r="J11" s="39" t="s">
        <v>36</v>
      </c>
      <c r="K11" s="178" t="str">
        <f>SUBSTITUTE(SUBSTITUTE(+MRS!A3,"  MRS No : ",""),"-MRS","-PO")</f>
        <v>SAC2-DS-PO-0218</v>
      </c>
      <c r="L11" s="178"/>
      <c r="M11" s="178"/>
    </row>
    <row r="12" spans="2:13" s="39" customFormat="1">
      <c r="B12" s="72"/>
      <c r="C12" s="75" t="s">
        <v>37</v>
      </c>
      <c r="D12" s="39" t="s">
        <v>101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103</v>
      </c>
      <c r="J14" s="39" t="s">
        <v>40</v>
      </c>
      <c r="K14" s="39" t="s">
        <v>115</v>
      </c>
    </row>
    <row r="15" spans="2:13" s="39" customFormat="1">
      <c r="B15" s="72"/>
      <c r="C15" s="77" t="s">
        <v>104</v>
      </c>
      <c r="J15" s="39" t="s">
        <v>41</v>
      </c>
      <c r="K15" s="78">
        <v>46007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42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43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45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">
        <v>113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24" t="s">
        <v>130</v>
      </c>
      <c r="G29" s="124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3"/>
      <c r="G30" s="183"/>
    </row>
    <row r="31" spans="2:13" ht="12" customHeight="1">
      <c r="B31" s="32"/>
      <c r="C31" s="26" t="s">
        <v>52</v>
      </c>
      <c r="D31" s="35"/>
      <c r="E31" s="26" t="s">
        <v>50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6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6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110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94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116</v>
      </c>
    </row>
    <row r="54" spans="2:16" ht="12" customHeight="1">
      <c r="B54" s="84" t="s">
        <v>66</v>
      </c>
      <c r="C54" s="125" t="s">
        <v>117</v>
      </c>
      <c r="F54" s="126" t="s">
        <v>125</v>
      </c>
      <c r="P54" s="26" t="str">
        <f>UPPER(F54)</f>
        <v>ADVANCED START TRADING &amp; GENERAL CONTRACTING EST.</v>
      </c>
    </row>
    <row r="55" spans="2:16" ht="12" customHeight="1">
      <c r="B55" s="84" t="s">
        <v>66</v>
      </c>
      <c r="C55" s="125" t="s">
        <v>118</v>
      </c>
      <c r="F55" s="126" t="s">
        <v>127</v>
      </c>
    </row>
    <row r="56" spans="2:16" ht="12" customHeight="1">
      <c r="B56" s="84" t="s">
        <v>66</v>
      </c>
      <c r="C56" s="125" t="s">
        <v>119</v>
      </c>
      <c r="F56" s="126" t="s">
        <v>126</v>
      </c>
    </row>
    <row r="57" spans="2:16" ht="12" customHeight="1">
      <c r="B57" s="84" t="s">
        <v>66</v>
      </c>
      <c r="C57" s="125" t="s">
        <v>120</v>
      </c>
      <c r="F57" s="26" t="s">
        <v>128</v>
      </c>
    </row>
    <row r="58" spans="2:16" ht="12" customHeight="1">
      <c r="B58" s="84" t="s">
        <v>66</v>
      </c>
      <c r="C58" s="125" t="s">
        <v>121</v>
      </c>
      <c r="F58" s="26" t="s">
        <v>129</v>
      </c>
    </row>
    <row r="59" spans="2:16" ht="12" customHeight="1">
      <c r="B59" s="84" t="s">
        <v>66</v>
      </c>
      <c r="C59" s="125" t="s">
        <v>122</v>
      </c>
      <c r="F59" s="26" t="s">
        <v>123</v>
      </c>
    </row>
    <row r="60" spans="2:16" ht="12" customHeight="1">
      <c r="B60" s="84"/>
      <c r="C60" s="127" t="s">
        <v>124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50.1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Abhilash K.K.</v>
      </c>
    </row>
    <row r="68" spans="1:13" ht="18" customHeight="1">
      <c r="B68" s="26" t="s">
        <v>72</v>
      </c>
      <c r="J68" s="26" t="s">
        <v>73</v>
      </c>
      <c r="K68" s="22" t="s">
        <v>102</v>
      </c>
    </row>
    <row r="69" spans="1:13" ht="15" customHeight="1">
      <c r="B69" s="26" t="s">
        <v>74</v>
      </c>
      <c r="J69" s="26" t="s">
        <v>75</v>
      </c>
    </row>
    <row r="70" spans="1:13" s="28" customFormat="1" ht="24.75" customHeight="1">
      <c r="B70" s="25" t="s">
        <v>76</v>
      </c>
      <c r="J70" s="184" t="str">
        <f>C9</f>
        <v>ACE(Advanced Start Trading &amp; General Contracting Est.)</v>
      </c>
      <c r="K70" s="184"/>
      <c r="L70" s="184"/>
      <c r="M70" s="184"/>
    </row>
    <row r="71" spans="1:13" ht="27.95" customHeight="1">
      <c r="A71" s="175" t="s">
        <v>77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SAC2-DS-PO-0218</v>
      </c>
      <c r="C2" s="187" t="s">
        <v>79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46060</v>
      </c>
      <c r="C3" s="51"/>
      <c r="D3" s="52"/>
      <c r="E3" s="188" t="s">
        <v>81</v>
      </c>
      <c r="F3" s="188"/>
      <c r="G3" s="188"/>
      <c r="H3" s="188"/>
      <c r="I3" s="53"/>
    </row>
    <row r="4" spans="1:13" s="55" customFormat="1" ht="28.5" customHeight="1" thickTop="1">
      <c r="A4" s="189" t="s">
        <v>82</v>
      </c>
      <c r="B4" s="191" t="s">
        <v>83</v>
      </c>
      <c r="C4" s="192"/>
      <c r="D4" s="195" t="s">
        <v>84</v>
      </c>
      <c r="E4" s="195" t="s">
        <v>85</v>
      </c>
      <c r="F4" s="197" t="str">
        <f>'PO 1st page'!C9</f>
        <v>ACE(Advanced Start Trading &amp; General Contracting Est.)</v>
      </c>
      <c r="G4" s="198"/>
      <c r="H4" s="199" t="s">
        <v>86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87</v>
      </c>
      <c r="G5" s="57" t="s">
        <v>52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CONCATENATE(MRS!B6," ",MRS!D6)</f>
        <v xml:space="preserve">SS Multi Welder </v>
      </c>
      <c r="C6" s="202"/>
      <c r="D6" s="86" t="str">
        <f>+'MRS LIST'!G6</f>
        <v>Hour</v>
      </c>
      <c r="E6" s="87">
        <f>+'MRS LIST'!H6</f>
        <v>1</v>
      </c>
      <c r="F6" s="88">
        <f>+'MRS LIST'!I6</f>
        <v>54</v>
      </c>
      <c r="G6" s="89">
        <f>+'MRS LIST'!J6</f>
        <v>54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88</v>
      </c>
      <c r="B18" s="204"/>
      <c r="C18" s="204"/>
      <c r="D18" s="204"/>
      <c r="E18" s="204"/>
      <c r="F18" s="204"/>
      <c r="G18" s="58">
        <f>SUM(G6:G17)</f>
        <v>54</v>
      </c>
      <c r="H18" s="59"/>
    </row>
    <row r="19" spans="1:13" s="55" customFormat="1" ht="23.1" customHeight="1">
      <c r="A19" s="203" t="s">
        <v>51</v>
      </c>
      <c r="B19" s="204"/>
      <c r="C19" s="204"/>
      <c r="D19" s="204"/>
      <c r="E19" s="204"/>
      <c r="F19" s="204"/>
      <c r="G19" s="58">
        <f>+G18*0.15</f>
        <v>8.1</v>
      </c>
      <c r="H19" s="59"/>
    </row>
    <row r="20" spans="1:13" s="55" customFormat="1" ht="24.95" customHeight="1" thickBot="1">
      <c r="A20" s="205" t="s">
        <v>89</v>
      </c>
      <c r="B20" s="206"/>
      <c r="C20" s="206"/>
      <c r="D20" s="206"/>
      <c r="E20" s="206"/>
      <c r="F20" s="206"/>
      <c r="G20" s="60">
        <f>G19+G18</f>
        <v>62.1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QTN-MS-25-228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91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2026-02-07T12:06:16Z</cp:lastPrinted>
  <dcterms:created xsi:type="dcterms:W3CDTF">2024-10-20T11:50:19Z</dcterms:created>
  <dcterms:modified xsi:type="dcterms:W3CDTF">2026-02-07T12:09:24Z</dcterms:modified>
</cp:coreProperties>
</file>