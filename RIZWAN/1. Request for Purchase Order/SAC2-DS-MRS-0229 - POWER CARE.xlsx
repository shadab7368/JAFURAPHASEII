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5745D933-1C32-4897-9D98-F58D4A745E84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T54" i="3"/>
  <c r="H7" i="4" l="1"/>
  <c r="J7" i="1"/>
  <c r="K67" i="3" l="1"/>
  <c r="H6" i="4"/>
  <c r="E3" i="1"/>
  <c r="H7" i="2"/>
  <c r="E7" i="4" s="1"/>
  <c r="G7" i="2"/>
  <c r="D7" i="4" s="1"/>
  <c r="D7" i="2"/>
  <c r="B7" i="2"/>
  <c r="B7" i="4" s="1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<sst xmlns="http://schemas.openxmlformats.org/spreadsheetml/2006/main" count="160" uniqueCount="135">
  <si>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</si>
  <si>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</si>
  <si>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</si>
  <si>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</si>
  <si>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</si>
  <si>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</si>
  <si>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</si>
  <si>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</si>
  <si>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</si>
  <si>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</si>
  <si>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</si>
  <si>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</si>
  <si>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</si>
  <si>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</si>
  <si>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</si>
  <si>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</si>
  <si>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</si>
  <si>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</si>
  <si>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</si>
  <si>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</si>
  <si>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</si>
  <si>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</si>
  <si>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</si>
  <si>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</si>
  <si>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</si>
  <si>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</si>
  <si>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</si>
  <si>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</si>
  <si>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</si>
  <si>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</si>
  <si>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</si>
  <si>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</si>
  <si>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</si>
  <si>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</si>
  <si>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</si>
  <si>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</si>
  <si>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</si>
  <si>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</si>
  <si>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</si>
  <si>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</si>
  <si>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</si>
  <si>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</si>
  <si>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</si>
  <si>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</si>
  <si>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</si>
  <si>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</si>
  <si>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</si>
  <si>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</si>
  <si>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</si>
  <si>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</si>
  <si>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</si>
  <si>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</si>
  <si>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</si>
  <si>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</si>
  <si>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</si>
  <si>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</si>
  <si>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</si>
  <si>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</si>
  <si>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</si>
  <si>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</si>
  <si>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</si>
  <si>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</si>
  <si>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</si>
  <si>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</si>
  <si>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</si>
  <si>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</si>
  <si>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</si>
  <si>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</si>
  <si>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</si>
  <si>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</si>
  <si>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</si>
  <si>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</si>
  <si>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</si>
  <si>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</si>
  <si>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</si>
  <si>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</si>
  <si>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</si>
  <si>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</si>
  <si>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</si>
  <si>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</si>
  <si>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</si>
  <si>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</si>
  <si>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</si>
  <si>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</si>
  <si>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</si>
  <si>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</si>
  <si>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</si>
  <si>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</si>
  <si>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</si>
  <si>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</si>
  <si>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</si>
  <si>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</si>
  <si>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</si>
  <si>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</si>
  <si>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</si>
  <si>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</si>
  <si>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</si>
  <si>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Monthly based</t>
  </si>
  <si>
    <t>Monthly Based</t>
  </si>
  <si>
    <t>PCCL</t>
  </si>
  <si>
    <t>PCCL(Power Care Co. Ltd.)</t>
  </si>
  <si>
    <t>Mohammed Aarzoo</t>
  </si>
  <si>
    <t>+966 55 5014763 / Email:aarzoo@powercareksa.com</t>
  </si>
  <si>
    <t>Landline: +966 133627417 / Mobile : +966 555014763</t>
  </si>
  <si>
    <t>Director</t>
  </si>
  <si>
    <t>Bldg No . 8590 Al Jabal Street, Al Dana, Al Jubail</t>
  </si>
  <si>
    <t>L/S</t>
  </si>
  <si>
    <t>310793666100003</t>
  </si>
  <si>
    <t>One Time</t>
  </si>
  <si>
    <t>Division (In charge Name) : ADMIN MANAGER (Dong Chang Kim)</t>
  </si>
  <si>
    <t xml:space="preserve">  Delivery &amp; Payment : Dong Chang Kim / Daeshin Admin. [ Mobile No. : +966 53 748 5762 / Email : kdchjs@daeshinplant.com ]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</si>
  <si>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</si>
  <si>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Subcontract name (SAC2-SC-IK-SMP-01)</t>
  </si>
  <si>
    <t>"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</si>
  <si>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</si>
  <si>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</si>
  <si>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</si>
  <si>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</si>
  <si>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</si>
  <si>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</si>
  <si>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</si>
  <si>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</si>
  <si>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>POWER CARE CO. LTD.</t>
  </si>
  <si>
    <t>06000000389408</t>
  </si>
  <si>
    <t>SAUDI NATIONAL BANK</t>
  </si>
  <si>
    <t>NCBKSAJE</t>
  </si>
  <si>
    <t xml:space="preserve">  Bank account changes are strictly prohibited. Payments will only be made to the account registered and approved in this Purchase Order.</t>
  </si>
  <si>
    <t>Generator</t>
  </si>
  <si>
    <t>350 KVA TUV Certified with Sound Attenuated Enclosure</t>
  </si>
  <si>
    <t>Generator 350 KVA TUV Certified</t>
  </si>
  <si>
    <t>SA92 1000 0006 0000 0038 9408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</si>
  <si>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-MRS-0229</t>
    </r>
  </si>
  <si>
    <t>Generator De-Mob. Charge</t>
  </si>
  <si>
    <t>De-Mob. / per unit - lump sum</t>
  </si>
  <si>
    <t>PC-EQTN2026-2113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</si>
</sst>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7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4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0" fontId="27" fillId="3" borderId="0" xfId="5" quotePrefix="1" applyFont="1" applyFill="1" applyAlignment="1">
      <alignment horizontal="left"/>
    </xf>
    <xf numFmtId="0" fontId="54" fillId="3" borderId="0" xfId="5" applyFont="1" applyFill="1"/>
    <xf numFmtId="0" fontId="18" fillId="3" borderId="0" xfId="5" quotePrefix="1" applyFont="1" applyFill="1"/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17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20" xr:uid="{843BFAE7-7FA3-4B59-B94E-3AADC027A301}"/>
    <cellStyle name="쉼표 [0] 2 2 3" xfId="16" xr:uid="{5DB1ECBA-768E-457B-8347-5602F27078D7}"/>
    <cellStyle name="쉼표 [0] 2 2 4" xfId="12" xr:uid="{6B1AD85A-25EC-4CE8-8E46-8D6670B2B375}"/>
    <cellStyle name="쉼표 2" xfId="9" xr:uid="{F2A3A689-A30F-4FCA-9C51-F28F11796A46}"/>
    <cellStyle name="쉼표 2 2" xfId="22" xr:uid="{D69AF00D-8DAE-4D2B-B5E0-E5DB2E7D9021}"/>
    <cellStyle name="쉼표 2 3" xfId="18" xr:uid="{AB7B30F1-B2B6-4CF3-A711-1A93C2551658}"/>
    <cellStyle name="쉼표 2 4" xfId="14" xr:uid="{7C6C239E-9E34-4BA7-A987-D55178EFEDFD}"/>
    <cellStyle name="표준 2 2" xfId="2" xr:uid="{12B761D3-4229-4E14-8168-D5975293A996}"/>
    <cellStyle name="표준 2 2 2" xfId="19" xr:uid="{48F0C246-0A9A-45D2-83D9-AF05892F0DF7}"/>
    <cellStyle name="표준 2 2 3" xfId="15" xr:uid="{BBA1A03B-0057-4B17-8096-BFB3A5A64A18}"/>
    <cellStyle name="표준 2 2 4" xfId="11" xr:uid="{320059B6-BE36-4040-A47E-6DEB231F448A}"/>
    <cellStyle name="표준 2 3 2 2" xfId="5" xr:uid="{BD51BFCC-3D36-446B-BE80-7856DF8371E9}"/>
    <cellStyle name="표준 2 3 2 2 2" xfId="21" xr:uid="{89E61A53-6F19-44FA-A97A-73D08137A834}"/>
    <cellStyle name="표준 2 3 2 2 3" xfId="17" xr:uid="{56A54916-9EC5-4241-BFCE-E28B549DFC7A}"/>
    <cellStyle name="표준 2 3 2 2 4" xfId="13" xr:uid="{270D41D4-5BD0-4940-8CE0-5206F3AF6C78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360947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1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677526" y="4983079"/>
              <a:ext cx="342950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43243</xdr:colOff>
      <xdr:row>6</xdr:row>
      <xdr:rowOff>117231</xdr:rowOff>
    </xdr:from>
    <xdr:to>
      <xdr:col>12</xdr:col>
      <xdr:colOff>575452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20" y="1091712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G7" sqref="G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4" t="s">
        <v>111</v>
      </c>
      <c r="B1" s="110"/>
      <c r="C1" s="110"/>
      <c r="D1" s="110"/>
      <c r="E1" s="110"/>
      <c r="F1" s="110"/>
      <c r="G1" s="1"/>
      <c r="J1" s="144" t="s">
        <v>89</v>
      </c>
      <c r="K1" s="145"/>
      <c r="L1" s="146"/>
    </row>
    <row r="2" spans="1:18" ht="20.100000000000001" customHeight="1">
      <c r="A2" s="3" t="s">
        <v>1</v>
      </c>
      <c r="B2" s="101"/>
      <c r="C2" s="101"/>
      <c r="D2" s="3" t="s">
        <v>109</v>
      </c>
      <c r="E2" s="101"/>
      <c r="F2" s="101"/>
      <c r="G2" s="101"/>
      <c r="H2" s="101"/>
      <c r="I2" s="4"/>
      <c r="J2" s="147" t="s">
        <v>112</v>
      </c>
      <c r="K2" s="148"/>
      <c r="L2" s="149"/>
    </row>
    <row r="3" spans="1:18" ht="20.100000000000001" customHeight="1">
      <c r="A3" s="3" t="s">
        <v>131</v>
      </c>
      <c r="B3" s="101"/>
      <c r="C3" s="101"/>
      <c r="D3" s="101"/>
      <c r="E3" s="150">
        <f>+L3</f>
        <v>46069</v>
      </c>
      <c r="F3" s="150"/>
      <c r="G3" s="150"/>
      <c r="H3" s="150"/>
      <c r="I3" s="150"/>
      <c r="J3" s="101"/>
      <c r="K3" s="101"/>
      <c r="L3" s="122">
        <v>46069</v>
      </c>
      <c r="M3" s="4"/>
    </row>
    <row r="4" spans="1:18" ht="15.95" customHeight="1">
      <c r="A4" s="151" t="s">
        <v>2</v>
      </c>
      <c r="B4" s="152" t="s">
        <v>3</v>
      </c>
      <c r="C4" s="152"/>
      <c r="D4" s="153" t="s">
        <v>4</v>
      </c>
      <c r="E4" s="154"/>
      <c r="F4" s="155"/>
      <c r="G4" s="159" t="s">
        <v>5</v>
      </c>
      <c r="H4" s="161" t="s">
        <v>6</v>
      </c>
      <c r="I4" s="161" t="s">
        <v>94</v>
      </c>
      <c r="J4" s="151" t="s">
        <v>95</v>
      </c>
      <c r="K4" s="161" t="s">
        <v>0</v>
      </c>
      <c r="L4" s="152" t="s">
        <v>7</v>
      </c>
    </row>
    <row r="5" spans="1:18" ht="15.95" customHeight="1">
      <c r="A5" s="151"/>
      <c r="B5" s="152"/>
      <c r="C5" s="152"/>
      <c r="D5" s="156"/>
      <c r="E5" s="157"/>
      <c r="F5" s="158"/>
      <c r="G5" s="160"/>
      <c r="H5" s="162"/>
      <c r="I5" s="162"/>
      <c r="J5" s="151"/>
      <c r="K5" s="162"/>
      <c r="L5" s="152"/>
    </row>
    <row r="6" spans="1:18" ht="22.5" customHeight="1">
      <c r="A6" s="5">
        <f t="shared" ref="A6:A15" si="0">ROW(A1)</f>
        <v>1</v>
      </c>
      <c r="B6" s="132" t="s">
        <v>127</v>
      </c>
      <c r="C6" s="133"/>
      <c r="D6" s="134" t="s">
        <v>128</v>
      </c>
      <c r="E6" s="135"/>
      <c r="F6" s="136"/>
      <c r="G6" s="111" t="s">
        <v>90</v>
      </c>
      <c r="H6" s="112">
        <v>1</v>
      </c>
      <c r="I6" s="113">
        <v>9000</v>
      </c>
      <c r="J6" s="113">
        <f>H6*I6</f>
        <v>9000</v>
      </c>
      <c r="K6" s="114" t="s">
        <v>99</v>
      </c>
      <c r="L6" s="115" t="s">
        <v>98</v>
      </c>
      <c r="R6" s="106"/>
    </row>
    <row r="7" spans="1:18" ht="22.5" customHeight="1">
      <c r="A7" s="5">
        <f t="shared" si="0"/>
        <v>2</v>
      </c>
      <c r="B7" s="132" t="s">
        <v>132</v>
      </c>
      <c r="C7" s="133"/>
      <c r="D7" s="143" t="s">
        <v>133</v>
      </c>
      <c r="E7" s="135"/>
      <c r="F7" s="136"/>
      <c r="G7" s="111" t="s">
        <v>106</v>
      </c>
      <c r="H7" s="112">
        <v>1</v>
      </c>
      <c r="I7" s="113">
        <v>1000</v>
      </c>
      <c r="J7" s="113">
        <f>H7*I7</f>
        <v>1000</v>
      </c>
      <c r="K7" s="114" t="s">
        <v>113</v>
      </c>
      <c r="L7" s="115" t="s">
        <v>108</v>
      </c>
      <c r="R7" s="106"/>
    </row>
    <row r="8" spans="1:18" ht="22.5" customHeight="1">
      <c r="A8" s="5">
        <f t="shared" si="0"/>
        <v>3</v>
      </c>
      <c r="B8" s="132"/>
      <c r="C8" s="133"/>
      <c r="D8" s="134"/>
      <c r="E8" s="135"/>
      <c r="F8" s="136"/>
      <c r="G8" s="111"/>
      <c r="H8" s="112"/>
      <c r="I8" s="113"/>
      <c r="J8" s="113"/>
      <c r="K8" s="114"/>
      <c r="L8" s="115"/>
      <c r="R8" s="106"/>
    </row>
    <row r="9" spans="1:18" ht="22.5" customHeight="1">
      <c r="A9" s="5">
        <f t="shared" si="0"/>
        <v>4</v>
      </c>
      <c r="B9" s="132"/>
      <c r="C9" s="133"/>
      <c r="D9" s="134"/>
      <c r="E9" s="135"/>
      <c r="F9" s="136"/>
      <c r="G9" s="111"/>
      <c r="H9" s="112"/>
      <c r="I9" s="113"/>
      <c r="J9" s="113"/>
      <c r="K9" s="114"/>
      <c r="L9" s="115"/>
      <c r="R9" s="106"/>
    </row>
    <row r="10" spans="1:18" ht="22.5" customHeight="1">
      <c r="A10" s="5">
        <f t="shared" si="0"/>
        <v>5</v>
      </c>
      <c r="B10" s="141"/>
      <c r="C10" s="141"/>
      <c r="D10" s="142"/>
      <c r="E10" s="142"/>
      <c r="F10" s="142"/>
      <c r="G10" s="111"/>
      <c r="H10" s="112"/>
      <c r="I10" s="116"/>
      <c r="J10" s="113"/>
      <c r="K10" s="114"/>
      <c r="L10" s="111"/>
      <c r="R10" s="106"/>
    </row>
    <row r="11" spans="1:18" ht="22.5" customHeight="1">
      <c r="A11" s="5">
        <f t="shared" si="0"/>
        <v>6</v>
      </c>
      <c r="B11" s="132"/>
      <c r="C11" s="133"/>
      <c r="D11" s="134"/>
      <c r="E11" s="135"/>
      <c r="F11" s="136"/>
      <c r="G11" s="111"/>
      <c r="H11" s="112"/>
      <c r="I11" s="113"/>
      <c r="J11" s="113"/>
      <c r="K11" s="114"/>
      <c r="L11" s="115"/>
      <c r="R11" s="106"/>
    </row>
    <row r="12" spans="1:18" ht="22.5" customHeight="1">
      <c r="A12" s="5">
        <f t="shared" si="0"/>
        <v>7</v>
      </c>
      <c r="B12" s="141"/>
      <c r="C12" s="141"/>
      <c r="D12" s="142"/>
      <c r="E12" s="142"/>
      <c r="F12" s="142"/>
      <c r="G12" s="111"/>
      <c r="H12" s="112"/>
      <c r="I12" s="116"/>
      <c r="J12" s="113"/>
      <c r="K12" s="114"/>
      <c r="L12" s="111"/>
      <c r="R12" s="106"/>
    </row>
    <row r="13" spans="1:18" ht="22.5" customHeight="1">
      <c r="A13" s="5">
        <f t="shared" si="0"/>
        <v>8</v>
      </c>
      <c r="B13" s="132"/>
      <c r="C13" s="133"/>
      <c r="D13" s="134"/>
      <c r="E13" s="135"/>
      <c r="F13" s="136"/>
      <c r="G13" s="111"/>
      <c r="H13" s="112"/>
      <c r="I13" s="113"/>
      <c r="J13" s="113"/>
      <c r="K13" s="114"/>
      <c r="L13" s="115"/>
      <c r="R13" s="106"/>
    </row>
    <row r="14" spans="1:18" ht="22.5" customHeight="1">
      <c r="A14" s="5">
        <f t="shared" si="0"/>
        <v>9</v>
      </c>
      <c r="B14" s="132"/>
      <c r="C14" s="133"/>
      <c r="D14" s="134"/>
      <c r="E14" s="135"/>
      <c r="F14" s="136"/>
      <c r="G14" s="111"/>
      <c r="H14" s="112"/>
      <c r="I14" s="113"/>
      <c r="J14" s="113"/>
      <c r="K14" s="114"/>
      <c r="L14" s="115"/>
      <c r="R14" s="106"/>
    </row>
    <row r="15" spans="1:18" ht="22.5" customHeight="1">
      <c r="A15" s="5">
        <f t="shared" si="0"/>
        <v>10</v>
      </c>
      <c r="B15" s="132"/>
      <c r="C15" s="133"/>
      <c r="D15" s="134"/>
      <c r="E15" s="135"/>
      <c r="F15" s="136"/>
      <c r="G15" s="111"/>
      <c r="H15" s="112"/>
      <c r="I15" s="113"/>
      <c r="J15" s="113"/>
      <c r="K15" s="114"/>
      <c r="L15" s="115"/>
      <c r="R15" s="106"/>
    </row>
    <row r="16" spans="1:18" ht="22.5" customHeight="1">
      <c r="A16" s="137" t="s">
        <v>8</v>
      </c>
      <c r="B16" s="138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10000</v>
      </c>
      <c r="K16" s="113"/>
      <c r="L16" s="121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39" t="s">
        <v>11</v>
      </c>
      <c r="S18" s="13" t="s">
        <v>12</v>
      </c>
    </row>
    <row r="19" spans="1:19" ht="50.1" customHeight="1">
      <c r="R19" s="140"/>
      <c r="S19" s="15"/>
    </row>
    <row r="20" spans="1:19" ht="17.100000000000001" customHeight="1">
      <c r="O20" s="11"/>
      <c r="P20" s="11"/>
      <c r="R20" s="130"/>
      <c r="S20" s="15" t="s">
        <v>13</v>
      </c>
    </row>
    <row r="21" spans="1:19" ht="15" customHeight="1">
      <c r="O21" s="17" t="s">
        <v>14</v>
      </c>
      <c r="P21" s="128" t="s">
        <v>15</v>
      </c>
    </row>
    <row r="22" spans="1:19" ht="18" customHeight="1">
      <c r="O22" s="18" t="s">
        <v>16</v>
      </c>
      <c r="P22" s="129"/>
      <c r="R22" s="139" t="s">
        <v>17</v>
      </c>
      <c r="S22" s="12" t="s">
        <v>12</v>
      </c>
    </row>
    <row r="23" spans="1:19" ht="50.1" customHeight="1">
      <c r="O23" s="14"/>
      <c r="P23" s="14"/>
      <c r="R23" s="140"/>
      <c r="S23" s="19"/>
    </row>
    <row r="24" spans="1:19" ht="17.100000000000001" customHeight="1">
      <c r="O24" s="16" t="s">
        <v>13</v>
      </c>
      <c r="P24" s="16" t="s">
        <v>13</v>
      </c>
      <c r="R24" s="130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31"/>
      <c r="P27" s="131"/>
    </row>
    <row r="28" spans="1:19" ht="19.899999999999999" customHeight="1">
      <c r="O28" s="131"/>
      <c r="P28" s="131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28" t="s">
        <v>18</v>
      </c>
      <c r="P46" s="128" t="s">
        <v>18</v>
      </c>
      <c r="S46" s="128" t="s">
        <v>12</v>
      </c>
    </row>
    <row r="47" spans="15:19" ht="21" customHeight="1">
      <c r="O47" s="129"/>
      <c r="P47" s="129"/>
      <c r="S47" s="130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28" t="s">
        <v>18</v>
      </c>
      <c r="P50" s="128" t="s">
        <v>18</v>
      </c>
      <c r="S50" s="128" t="s">
        <v>19</v>
      </c>
    </row>
    <row r="51" spans="15:19" ht="21" customHeight="1">
      <c r="O51" s="129"/>
      <c r="P51" s="129"/>
      <c r="S51" s="130"/>
    </row>
    <row r="52" spans="15:19" ht="64.900000000000006" customHeight="1">
      <c r="O52" s="14"/>
      <c r="P52" s="14"/>
      <c r="S52" s="14"/>
    </row>
  </sheetData>
  <mergeCells count="44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R18:R20"/>
    <mergeCell ref="P21:P22"/>
    <mergeCell ref="R22:R24"/>
    <mergeCell ref="O50:O51"/>
    <mergeCell ref="P50:P51"/>
    <mergeCell ref="S50:S51"/>
    <mergeCell ref="O27:O28"/>
    <mergeCell ref="P27:P28"/>
    <mergeCell ref="O46:O47"/>
    <mergeCell ref="P46:P47"/>
    <mergeCell ref="S46:S47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R8" sqref="R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96</v>
      </c>
      <c r="B1" s="100"/>
      <c r="C1" s="100"/>
      <c r="D1" s="100"/>
      <c r="E1" s="100"/>
      <c r="F1" s="100"/>
      <c r="G1" s="1"/>
      <c r="J1" s="144" t="str">
        <f>+MRS!J1</f>
        <v>DAESHIN PLANT</v>
      </c>
      <c r="K1" s="146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7" t="str">
        <f>+MRS!J2</f>
        <v>Subcontract name (SAC2-SC-IK-SMP-01)</v>
      </c>
      <c r="K2" s="149"/>
    </row>
    <row r="3" spans="1:18" ht="24.95" customHeight="1">
      <c r="A3" s="3" t="str">
        <f>+MRS!A3</f>
        <v xml:space="preserve">  MRS No : SAC2-DS-MRS-0229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46069</v>
      </c>
    </row>
    <row r="4" spans="1:18" ht="15.95" customHeight="1">
      <c r="A4" s="173" t="s">
        <v>2</v>
      </c>
      <c r="B4" s="174" t="s">
        <v>20</v>
      </c>
      <c r="C4" s="174"/>
      <c r="D4" s="173" t="s">
        <v>4</v>
      </c>
      <c r="E4" s="173"/>
      <c r="F4" s="173"/>
      <c r="G4" s="174" t="s">
        <v>5</v>
      </c>
      <c r="H4" s="173" t="s">
        <v>91</v>
      </c>
      <c r="I4" s="173" t="s">
        <v>21</v>
      </c>
      <c r="J4" s="173" t="s">
        <v>22</v>
      </c>
      <c r="K4" s="174" t="s">
        <v>7</v>
      </c>
    </row>
    <row r="5" spans="1:18" ht="15.95" customHeight="1">
      <c r="A5" s="173"/>
      <c r="B5" s="174"/>
      <c r="C5" s="174"/>
      <c r="D5" s="173"/>
      <c r="E5" s="173"/>
      <c r="F5" s="173"/>
      <c r="G5" s="174"/>
      <c r="H5" s="173"/>
      <c r="I5" s="173"/>
      <c r="J5" s="173"/>
      <c r="K5" s="174"/>
    </row>
    <row r="6" spans="1:18" ht="105" customHeight="1">
      <c r="A6" s="21">
        <f>+MRS!A6</f>
        <v>1</v>
      </c>
      <c r="B6" s="168" t="str">
        <f>MRS!B6</f>
        <v>Generator</v>
      </c>
      <c r="C6" s="169"/>
      <c r="D6" s="170" t="str">
        <f>MRS!D6</f>
        <v>350 KVA TUV Certified with Sound Attenuated Enclosure</v>
      </c>
      <c r="E6" s="171"/>
      <c r="F6" s="172"/>
      <c r="G6" s="103" t="str">
        <f>MRS!G6</f>
        <v>Month</v>
      </c>
      <c r="H6" s="103">
        <f>MRS!H6</f>
        <v>1</v>
      </c>
      <c r="I6" s="104">
        <f>MRS!I6</f>
        <v>9000</v>
      </c>
      <c r="J6" s="104">
        <f>MRS!J6</f>
        <v>9000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8" t="str">
        <f>MRS!B7</f>
        <v>Generator De-Mob. Charge</v>
      </c>
      <c r="C7" s="169"/>
      <c r="D7" s="170" t="str">
        <f>MRS!D7</f>
        <v>De-Mob. / per unit - lump sum</v>
      </c>
      <c r="E7" s="171"/>
      <c r="F7" s="172"/>
      <c r="G7" s="103" t="str">
        <f>MRS!G7</f>
        <v>L/S</v>
      </c>
      <c r="H7" s="103">
        <f>MRS!H7</f>
        <v>1</v>
      </c>
      <c r="I7" s="104">
        <f>MRS!I7</f>
        <v>1000</v>
      </c>
      <c r="J7" s="104">
        <f>MRS!J7</f>
        <v>1000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3"/>
      <c r="C8" s="164"/>
      <c r="D8" s="165"/>
      <c r="E8" s="166"/>
      <c r="F8" s="167"/>
      <c r="G8" s="107"/>
      <c r="H8" s="108"/>
      <c r="I8" s="109"/>
      <c r="J8" s="109"/>
      <c r="K8" s="105"/>
      <c r="O8" s="106"/>
      <c r="P8" s="106"/>
      <c r="R8" s="106"/>
    </row>
    <row r="9" spans="1:18" ht="105" customHeight="1">
      <c r="A9" s="21">
        <f>+MRS!A9</f>
        <v>4</v>
      </c>
      <c r="B9" s="163"/>
      <c r="C9" s="164"/>
      <c r="D9" s="165"/>
      <c r="E9" s="166"/>
      <c r="F9" s="167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63"/>
      <c r="C10" s="164"/>
      <c r="D10" s="165"/>
      <c r="E10" s="166"/>
      <c r="F10" s="167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63"/>
      <c r="C11" s="164"/>
      <c r="D11" s="165"/>
      <c r="E11" s="166"/>
      <c r="F11" s="167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63"/>
      <c r="C12" s="164"/>
      <c r="D12" s="165"/>
      <c r="E12" s="166"/>
      <c r="F12" s="167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3"/>
      <c r="C13" s="164"/>
      <c r="D13" s="165"/>
      <c r="E13" s="166"/>
      <c r="F13" s="167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3"/>
      <c r="C14" s="164"/>
      <c r="D14" s="165"/>
      <c r="E14" s="166"/>
      <c r="F14" s="167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3"/>
      <c r="C15" s="164"/>
      <c r="D15" s="165"/>
      <c r="E15" s="166"/>
      <c r="F15" s="167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3"/>
      <c r="C16" s="164"/>
      <c r="D16" s="165"/>
      <c r="E16" s="166"/>
      <c r="F16" s="167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3"/>
      <c r="C17" s="164"/>
      <c r="D17" s="165"/>
      <c r="E17" s="166"/>
      <c r="F17" s="167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T94"/>
  <sheetViews>
    <sheetView view="pageBreakPreview" zoomScale="130" zoomScaleNormal="100" zoomScaleSheetLayoutView="13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4" customFormat="1" ht="13.5">
      <c r="B9" s="72" t="s">
        <v>29</v>
      </c>
      <c r="C9" s="73" t="s">
        <v>100</v>
      </c>
      <c r="D9" s="39"/>
      <c r="E9" s="39"/>
    </row>
    <row r="10" spans="2:13" s="39" customFormat="1">
      <c r="B10" s="72"/>
      <c r="C10" s="39" t="s">
        <v>30</v>
      </c>
      <c r="D10" s="125">
        <v>2055132011</v>
      </c>
      <c r="J10" s="39" t="s">
        <v>31</v>
      </c>
      <c r="K10" s="176">
        <f>MRS!L3</f>
        <v>46069</v>
      </c>
      <c r="L10" s="177"/>
      <c r="M10" s="177"/>
    </row>
    <row r="11" spans="2:13" s="39" customFormat="1">
      <c r="B11" s="72"/>
      <c r="C11" s="75" t="s">
        <v>32</v>
      </c>
      <c r="D11" s="76" t="s">
        <v>107</v>
      </c>
      <c r="J11" s="39" t="s">
        <v>33</v>
      </c>
      <c r="K11" s="178" t="str">
        <f>SUBSTITUTE(SUBSTITUTE(+MRS!A3,"  MRS No : ",""),"-MRS","-PO")</f>
        <v>SAC2-DS-PO-0229</v>
      </c>
      <c r="L11" s="178"/>
      <c r="M11" s="178"/>
    </row>
    <row r="12" spans="2:13" s="39" customFormat="1">
      <c r="B12" s="72"/>
      <c r="C12" s="75" t="s">
        <v>34</v>
      </c>
      <c r="D12" s="39" t="s">
        <v>101</v>
      </c>
      <c r="J12" s="39" t="s">
        <v>35</v>
      </c>
    </row>
    <row r="13" spans="2:13" s="39" customFormat="1">
      <c r="B13" s="72"/>
      <c r="C13" s="77"/>
      <c r="D13" s="76" t="s">
        <v>102</v>
      </c>
      <c r="J13" s="39" t="s">
        <v>36</v>
      </c>
    </row>
    <row r="14" spans="2:13" s="39" customFormat="1">
      <c r="B14" s="72"/>
      <c r="C14" s="77" t="s">
        <v>105</v>
      </c>
      <c r="J14" s="39" t="s">
        <v>37</v>
      </c>
      <c r="K14" s="39" t="s">
        <v>134</v>
      </c>
    </row>
    <row r="15" spans="2:13" s="39" customFormat="1">
      <c r="B15" s="72"/>
      <c r="C15" s="77" t="s">
        <v>103</v>
      </c>
      <c r="J15" s="39" t="s">
        <v>38</v>
      </c>
      <c r="K15" s="78">
        <v>46067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9" t="s">
        <v>39</v>
      </c>
      <c r="C18" s="179"/>
      <c r="D18" s="179"/>
      <c r="E18" s="179"/>
      <c r="F18" s="179"/>
      <c r="G18" s="179"/>
      <c r="H18" s="179"/>
      <c r="I18" s="179"/>
      <c r="J18" s="179"/>
      <c r="K18" s="179"/>
      <c r="L18" s="179"/>
      <c r="M18" s="179"/>
    </row>
    <row r="19" spans="2:13" ht="12" customHeight="1"/>
    <row r="20" spans="2:13" s="31" customFormat="1" ht="12" customHeight="1">
      <c r="B20" s="180" t="s">
        <v>40</v>
      </c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</row>
    <row r="21" spans="2:13" s="31" customFormat="1" ht="12" customHeight="1">
      <c r="B21" s="180" t="s">
        <v>41</v>
      </c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</row>
    <row r="22" spans="2:13" s="31" customFormat="1" ht="12" customHeight="1">
      <c r="B22" s="180" t="s">
        <v>42</v>
      </c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</row>
    <row r="23" spans="2:13" ht="6.95" customHeight="1"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2:13" ht="6.95" customHeight="1"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</row>
    <row r="25" spans="2:13" s="32" customFormat="1" ht="15" customHeight="1">
      <c r="B25" s="32">
        <v>1</v>
      </c>
      <c r="C25" s="32" t="s">
        <v>43</v>
      </c>
    </row>
    <row r="26" spans="2:13" s="39" customFormat="1" ht="12" customHeight="1">
      <c r="B26" s="73"/>
      <c r="C26" s="76" t="s">
        <v>129</v>
      </c>
      <c r="M26" s="79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83" t="s">
        <v>97</v>
      </c>
      <c r="G29" s="183"/>
      <c r="H29" s="33"/>
      <c r="M29" s="34"/>
    </row>
    <row r="30" spans="2:13" ht="12" customHeight="1">
      <c r="B30" s="32"/>
      <c r="C30" s="26" t="s">
        <v>48</v>
      </c>
      <c r="E30" s="26" t="s">
        <v>47</v>
      </c>
      <c r="F30" s="183"/>
      <c r="G30" s="183"/>
    </row>
    <row r="31" spans="2:13" ht="12" customHeight="1">
      <c r="B31" s="32"/>
      <c r="C31" s="26" t="s">
        <v>49</v>
      </c>
      <c r="D31" s="35"/>
      <c r="E31" s="26" t="s">
        <v>47</v>
      </c>
      <c r="F31" s="183"/>
      <c r="G31" s="183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20" s="39" customFormat="1" ht="12" customHeight="1">
      <c r="B49" s="80" t="s">
        <v>63</v>
      </c>
      <c r="C49" s="81" t="s">
        <v>110</v>
      </c>
      <c r="P49" s="82"/>
    </row>
    <row r="50" spans="2:20" s="83" customFormat="1" ht="12" customHeight="1">
      <c r="B50" s="84" t="s">
        <v>63</v>
      </c>
      <c r="C50" s="81" t="s">
        <v>93</v>
      </c>
    </row>
    <row r="51" spans="2:20" s="83" customFormat="1" ht="12" customHeight="1">
      <c r="B51" s="84" t="s">
        <v>63</v>
      </c>
      <c r="C51" s="81" t="s">
        <v>92</v>
      </c>
    </row>
    <row r="52" spans="2:20" s="83" customFormat="1" ht="5.25" customHeight="1">
      <c r="B52" s="84"/>
      <c r="C52" s="81"/>
    </row>
    <row r="53" spans="2:20" ht="15" customHeight="1">
      <c r="B53" s="42">
        <v>7</v>
      </c>
      <c r="C53" s="32" t="s">
        <v>114</v>
      </c>
    </row>
    <row r="54" spans="2:20" ht="12" customHeight="1">
      <c r="B54" s="84" t="s">
        <v>63</v>
      </c>
      <c r="C54" s="126" t="s">
        <v>115</v>
      </c>
      <c r="F54" s="26" t="s">
        <v>122</v>
      </c>
      <c r="T54" s="26" t="str">
        <f>UPPER(F54)</f>
        <v>POWER CARE CO. LTD.</v>
      </c>
    </row>
    <row r="55" spans="2:20" ht="12" customHeight="1">
      <c r="B55" s="84" t="s">
        <v>63</v>
      </c>
      <c r="C55" s="126" t="s">
        <v>116</v>
      </c>
      <c r="F55" s="127" t="s">
        <v>123</v>
      </c>
    </row>
    <row r="56" spans="2:20" ht="12" customHeight="1">
      <c r="B56" s="84" t="s">
        <v>63</v>
      </c>
      <c r="C56" s="126" t="s">
        <v>117</v>
      </c>
      <c r="F56" s="26" t="s">
        <v>130</v>
      </c>
    </row>
    <row r="57" spans="2:20" ht="12" customHeight="1">
      <c r="B57" s="84" t="s">
        <v>63</v>
      </c>
      <c r="C57" s="126" t="s">
        <v>118</v>
      </c>
      <c r="F57" s="26" t="s">
        <v>124</v>
      </c>
    </row>
    <row r="58" spans="2:20" ht="12" customHeight="1">
      <c r="B58" s="84" t="s">
        <v>63</v>
      </c>
      <c r="C58" s="126" t="s">
        <v>119</v>
      </c>
      <c r="F58" s="26" t="s">
        <v>125</v>
      </c>
    </row>
    <row r="59" spans="2:20" ht="12" customHeight="1">
      <c r="B59" s="84" t="s">
        <v>63</v>
      </c>
      <c r="C59" s="126" t="s">
        <v>120</v>
      </c>
      <c r="F59" s="26" t="s">
        <v>121</v>
      </c>
    </row>
    <row r="60" spans="2:20" ht="12" customHeight="1">
      <c r="B60" s="84"/>
      <c r="C60" s="126" t="s">
        <v>126</v>
      </c>
    </row>
    <row r="61" spans="2:20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20" ht="3" customHeight="1">
      <c r="B62" s="32"/>
    </row>
    <row r="63" spans="2:20" ht="11.1" customHeight="1">
      <c r="B63" s="42"/>
    </row>
    <row r="64" spans="2:20">
      <c r="B64" s="32" t="s">
        <v>64</v>
      </c>
      <c r="J64" s="32" t="s">
        <v>65</v>
      </c>
    </row>
    <row r="65" spans="1:13" ht="50.1" customHeight="1"/>
    <row r="66" spans="1:13" ht="18" customHeight="1">
      <c r="B66" s="26" t="s">
        <v>66</v>
      </c>
      <c r="J66" s="26" t="s">
        <v>66</v>
      </c>
    </row>
    <row r="67" spans="1:13" ht="18" customHeight="1">
      <c r="B67" s="26" t="s">
        <v>67</v>
      </c>
      <c r="J67" s="26" t="s">
        <v>68</v>
      </c>
      <c r="K67" s="22" t="str">
        <f>D12</f>
        <v>Mohammed Aarzoo</v>
      </c>
    </row>
    <row r="68" spans="1:13" ht="18" customHeight="1">
      <c r="B68" s="26" t="s">
        <v>69</v>
      </c>
      <c r="J68" s="26" t="s">
        <v>70</v>
      </c>
      <c r="K68" s="22" t="s">
        <v>104</v>
      </c>
    </row>
    <row r="69" spans="1:13" ht="15" customHeight="1">
      <c r="B69" s="26" t="s">
        <v>71</v>
      </c>
      <c r="J69" s="26" t="s">
        <v>72</v>
      </c>
    </row>
    <row r="70" spans="1:13" s="28" customFormat="1" ht="24.75" customHeight="1">
      <c r="B70" s="25" t="s">
        <v>73</v>
      </c>
      <c r="J70" s="184" t="str">
        <f>C9</f>
        <v>PCCL(Power Care Co. Ltd.)</v>
      </c>
      <c r="K70" s="184"/>
      <c r="L70" s="184"/>
      <c r="M70" s="184"/>
    </row>
    <row r="71" spans="1:13" ht="27.95" customHeight="1">
      <c r="A71" s="175" t="s">
        <v>74</v>
      </c>
      <c r="B71" s="175"/>
      <c r="C71" s="175"/>
      <c r="D71" s="175"/>
      <c r="E71" s="175"/>
      <c r="F71" s="175"/>
      <c r="G71" s="175"/>
      <c r="H71" s="175"/>
      <c r="I71" s="175"/>
      <c r="J71" s="175"/>
      <c r="K71" s="175"/>
      <c r="L71" s="175"/>
      <c r="M71" s="175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SAC2-DS-PO-0229</v>
      </c>
      <c r="C2" s="191" t="s">
        <v>76</v>
      </c>
      <c r="D2" s="191"/>
      <c r="E2" s="191"/>
      <c r="F2" s="191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46069</v>
      </c>
      <c r="C3" s="51"/>
      <c r="D3" s="52"/>
      <c r="E3" s="192" t="s">
        <v>78</v>
      </c>
      <c r="F3" s="192"/>
      <c r="G3" s="192"/>
      <c r="H3" s="192"/>
      <c r="I3" s="53"/>
    </row>
    <row r="4" spans="1:13" s="55" customFormat="1" ht="28.5" customHeight="1" thickTop="1">
      <c r="A4" s="193" t="s">
        <v>79</v>
      </c>
      <c r="B4" s="195" t="s">
        <v>80</v>
      </c>
      <c r="C4" s="196"/>
      <c r="D4" s="199" t="s">
        <v>81</v>
      </c>
      <c r="E4" s="199" t="s">
        <v>82</v>
      </c>
      <c r="F4" s="201" t="str">
        <f>'PO 1st page'!C9</f>
        <v>PCCL(Power Care Co. Ltd.)</v>
      </c>
      <c r="G4" s="202"/>
      <c r="H4" s="203" t="s">
        <v>83</v>
      </c>
      <c r="K4" s="56"/>
      <c r="L4" s="56"/>
      <c r="M4" s="56"/>
    </row>
    <row r="5" spans="1:13" s="55" customFormat="1" ht="21.95" customHeight="1">
      <c r="A5" s="194"/>
      <c r="B5" s="197"/>
      <c r="C5" s="198"/>
      <c r="D5" s="200"/>
      <c r="E5" s="200"/>
      <c r="F5" s="57" t="s">
        <v>84</v>
      </c>
      <c r="G5" s="57" t="s">
        <v>49</v>
      </c>
      <c r="H5" s="204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5" t="str">
        <f>_xlfn.CONCAT(MRS!B6," ",MRS!D6)</f>
        <v>Generator 350 KVA TUV Certified with Sound Attenuated Enclosure</v>
      </c>
      <c r="C6" s="206"/>
      <c r="D6" s="86" t="str">
        <f>+'MRS LIST'!G6</f>
        <v>Month</v>
      </c>
      <c r="E6" s="87">
        <f>+'MRS LIST'!H6</f>
        <v>1</v>
      </c>
      <c r="F6" s="88">
        <f>+'MRS LIST'!I6</f>
        <v>9000</v>
      </c>
      <c r="G6" s="89">
        <f>+'MRS LIST'!J6</f>
        <v>9000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5" t="str">
        <f>+'MRS LIST'!B7</f>
        <v>Generator De-Mob. Charge</v>
      </c>
      <c r="C7" s="206"/>
      <c r="D7" s="86" t="str">
        <f>+'MRS LIST'!G7</f>
        <v>L/S</v>
      </c>
      <c r="E7" s="87">
        <f>+'MRS LIST'!H7</f>
        <v>1</v>
      </c>
      <c r="F7" s="88">
        <f>+'MRS LIST'!I7</f>
        <v>1000</v>
      </c>
      <c r="G7" s="89">
        <f>+'MRS LIST'!J7</f>
        <v>1000</v>
      </c>
      <c r="H7" s="90" t="str">
        <f>MRS!L7</f>
        <v>One Time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189"/>
      <c r="C8" s="190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9"/>
      <c r="C9" s="190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9"/>
      <c r="C10" s="190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9"/>
      <c r="C11" s="190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9"/>
      <c r="C12" s="190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9"/>
      <c r="C13" s="190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9"/>
      <c r="C14" s="190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9"/>
      <c r="C15" s="190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9"/>
      <c r="C16" s="190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9"/>
      <c r="C17" s="190"/>
      <c r="D17" s="94"/>
      <c r="E17" s="95"/>
      <c r="F17" s="96"/>
      <c r="G17" s="97"/>
      <c r="H17" s="98"/>
    </row>
    <row r="18" spans="1:13" s="55" customFormat="1" ht="23.1" customHeight="1">
      <c r="A18" s="185" t="s">
        <v>85</v>
      </c>
      <c r="B18" s="186"/>
      <c r="C18" s="186"/>
      <c r="D18" s="186"/>
      <c r="E18" s="186"/>
      <c r="F18" s="186"/>
      <c r="G18" s="58">
        <f>SUM(G6:G17)</f>
        <v>10000</v>
      </c>
      <c r="H18" s="59"/>
    </row>
    <row r="19" spans="1:13" s="55" customFormat="1" ht="23.1" customHeight="1">
      <c r="A19" s="185" t="s">
        <v>48</v>
      </c>
      <c r="B19" s="186"/>
      <c r="C19" s="186"/>
      <c r="D19" s="186"/>
      <c r="E19" s="186"/>
      <c r="F19" s="186"/>
      <c r="G19" s="58">
        <f>+G18*0.15</f>
        <v>1500</v>
      </c>
      <c r="H19" s="59"/>
    </row>
    <row r="20" spans="1:13" s="55" customFormat="1" ht="24.95" customHeight="1" thickBot="1">
      <c r="A20" s="187" t="s">
        <v>86</v>
      </c>
      <c r="B20" s="188"/>
      <c r="C20" s="188"/>
      <c r="D20" s="188"/>
      <c r="E20" s="188"/>
      <c r="F20" s="188"/>
      <c r="G20" s="60">
        <f>G19+G18</f>
        <v>11500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PC-EQTN2026-2113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5" t="s">
        <v>88</v>
      </c>
      <c r="B24" s="175"/>
      <c r="C24" s="175"/>
      <c r="D24" s="175"/>
      <c r="E24" s="175"/>
      <c r="F24" s="175"/>
      <c r="G24" s="175"/>
      <c r="H24" s="175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2026-02-16T05:09:41Z</cp:lastPrinted>
  <dcterms:created xsi:type="dcterms:W3CDTF">2024-10-20T11:50:19Z</dcterms:created>
  <dcterms:modified xsi:type="dcterms:W3CDTF">2026-02-16T05:09:44Z</dcterms:modified>
</cp:coreProperties>
</file>