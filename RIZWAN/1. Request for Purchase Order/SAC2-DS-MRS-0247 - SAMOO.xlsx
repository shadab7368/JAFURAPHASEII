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ED68B0F-1EDE-496A-B9EC-96631A44EBE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6" i="4"/>
  <c r="D9" i="4"/>
  <c r="E9" i="4"/>
  <c r="F9" i="4"/>
  <c r="G9" i="4"/>
  <c r="D10" i="4"/>
  <c r="E10" i="4"/>
  <c r="F10" i="4"/>
  <c r="G10" i="4"/>
  <c r="B10" i="4"/>
  <c r="B9" i="4"/>
  <c r="A9" i="4"/>
  <c r="A10" i="4"/>
  <c r="A10" i="1"/>
  <c r="A9" i="1"/>
  <c r="D7" i="4"/>
  <c r="E7" i="4"/>
  <c r="F7" i="4"/>
  <c r="D8" i="4"/>
  <c r="E8" i="4"/>
  <c r="F8" i="4"/>
  <c r="F6" i="4"/>
  <c r="E6" i="4"/>
  <c r="D6" i="4"/>
  <c r="B7" i="4"/>
  <c r="B8" i="4"/>
  <c r="J7" i="1"/>
  <c r="G7" i="4" s="1"/>
  <c r="J8" i="1"/>
  <c r="G8" i="4" s="1"/>
  <c r="J9" i="1"/>
  <c r="J9" i="2" s="1"/>
  <c r="J10" i="1"/>
  <c r="J10" i="2" s="1"/>
  <c r="J11" i="1"/>
  <c r="J11" i="2" s="1"/>
  <c r="J12" i="1"/>
  <c r="J13" i="1"/>
  <c r="J14" i="1"/>
  <c r="J15" i="1"/>
  <c r="J16" i="1"/>
  <c r="B6" i="4"/>
  <c r="A7" i="4"/>
  <c r="A8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<sst xmlns="http://schemas.openxmlformats.org/spreadsheetml/2006/main" count="166" uniqueCount="134">
  <si>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</si>
  <si>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</si>
  <si>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</si>
  <si>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</si>
  <si>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</si>
  <si>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</si>
  <si>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</si>
  <si>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</si>
  <si>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</si>
  <si>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</si>
  <si>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</si>
  <si>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</si>
  <si>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</si>
  <si>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</si>
  <si>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</si>
  <si>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</si>
  <si>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</si>
  <si>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</si>
  <si>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</si>
  <si>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</si>
  <si>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</si>
  <si>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</si>
  <si>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</si>
  <si>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</si>
  <si>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</si>
  <si>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</si>
  <si>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</si>
  <si>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</si>
  <si>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</si>
  <si>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</si>
  <si>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</si>
  <si>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</si>
  <si>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</si>
  <si>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</si>
  <si>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</si>
  <si>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</si>
  <si>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</si>
  <si>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</si>
  <si>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</si>
  <si>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</si>
  <si>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</si>
  <si>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</si>
  <si>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</si>
  <si>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</si>
  <si>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</si>
  <si>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</si>
  <si>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</si>
  <si>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</si>
  <si>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</si>
  <si>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</si>
  <si>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</si>
  <si>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</si>
  <si>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</si>
  <si>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</si>
  <si>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</si>
  <si>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</si>
  <si>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</si>
  <si>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</si>
  <si>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</si>
  <si>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</si>
  <si>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</si>
  <si>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</si>
  <si>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</si>
  <si>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</si>
  <si>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</si>
  <si>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</si>
  <si>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</si>
  <si>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</si>
  <si>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</si>
  <si>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</si>
  <si>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</si>
  <si>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</si>
  <si>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</si>
  <si>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</si>
  <si>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</si>
  <si>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</si>
  <si>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</si>
  <si>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</si>
  <si>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</si>
  <si>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</si>
  <si>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</si>
  <si>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</si>
  <si>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</si>
  <si>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</si>
  <si>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</si>
  <si>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</si>
  <si>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</si>
  <si>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</si>
  <si>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</si>
  <si>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</si>
  <si>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</si>
  <si>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</si>
  <si>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</si>
  <si>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</si>
  <si>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</si>
  <si>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</si>
  <si>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</si>
  <si>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</si>
  <si>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</si>
  <si>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</si>
  <si>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</si>
  <si>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</si>
  <si>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</si>
  <si>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</si>
  <si>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</si>
  <si>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</si>
  <si>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</si>
  <si>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</si>
  <si>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</si>
  <si>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</si>
  <si>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</si>
  <si>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</si>
  <si>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</si>
  <si>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</si>
  <si>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</si>
  <si>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</si>
  <si>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</si>
  <si>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</si>
  <si>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</si>
  <si>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</si>
  <si>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</si>
  <si>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</si>
  <si>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</si>
  <si>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</si>
  <si>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Inspection and Certificate</t>
  </si>
  <si>
    <t>SA47 1000 0001 4000 1054 7706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</si>
  <si>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-MRS-0247</t>
    </r>
  </si>
  <si>
    <t>Third Party Inspection and Certificate for Temporary Platform</t>
  </si>
  <si>
    <t>Third Party Inspection and Certificate for Polyester Halter Strap</t>
  </si>
  <si>
    <t>Third Party Inspection and Certificate for Snatch Block</t>
  </si>
  <si>
    <t>Third Party Inspection and Certificate for Cross Arm Strap</t>
  </si>
  <si>
    <t>Third Party Inspection and Certificate for Cable Drum Stand</t>
  </si>
  <si>
    <t>SAMOO-DAESHIN-MT-32-2026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</si>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</sst>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4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B10" sqref="B10:C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99</v>
      </c>
      <c r="B1" s="107"/>
      <c r="C1" s="107"/>
      <c r="D1" s="107"/>
      <c r="E1" s="107"/>
      <c r="F1" s="107"/>
      <c r="G1" s="1"/>
      <c r="J1" s="126" t="s">
        <v>89</v>
      </c>
      <c r="K1" s="127"/>
      <c r="L1" s="128"/>
    </row>
    <row r="2" spans="1:18" ht="20.100000000000001" customHeight="1">
      <c r="A2" s="3" t="s">
        <v>1</v>
      </c>
      <c r="B2" s="98"/>
      <c r="C2" s="98"/>
      <c r="D2" s="3" t="s">
        <v>100</v>
      </c>
      <c r="E2" s="98"/>
      <c r="F2" s="98"/>
      <c r="G2" s="98"/>
      <c r="H2" s="98"/>
      <c r="I2" s="4"/>
      <c r="J2" s="142" t="s">
        <v>101</v>
      </c>
      <c r="K2" s="143"/>
      <c r="L2" s="144"/>
    </row>
    <row r="3" spans="1:18" ht="20.100000000000001" customHeight="1">
      <c r="A3" s="3" t="s">
        <v>126</v>
      </c>
      <c r="B3" s="98"/>
      <c r="C3" s="98"/>
      <c r="D3" s="98"/>
      <c r="E3" s="129">
        <f>+L3</f>
        <v>46081</v>
      </c>
      <c r="F3" s="129"/>
      <c r="G3" s="129"/>
      <c r="H3" s="129"/>
      <c r="I3" s="129"/>
      <c r="J3" s="98"/>
      <c r="K3" s="98"/>
      <c r="L3" s="119">
        <v>46081</v>
      </c>
      <c r="M3" s="4"/>
    </row>
    <row r="4" spans="1:18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93</v>
      </c>
      <c r="J4" s="130" t="s">
        <v>94</v>
      </c>
      <c r="K4" s="140" t="s">
        <v>0</v>
      </c>
      <c r="L4" s="131" t="s">
        <v>7</v>
      </c>
    </row>
    <row r="5" spans="1:18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8" ht="22.5" customHeight="1">
      <c r="A6" s="5">
        <f t="shared" ref="A6:A10" si="0">ROW(A1)</f>
        <v>1</v>
      </c>
      <c r="B6" s="145" t="s">
        <v>127</v>
      </c>
      <c r="C6" s="146"/>
      <c r="D6" s="147"/>
      <c r="E6" s="148"/>
      <c r="F6" s="149"/>
      <c r="G6" s="108" t="s">
        <v>109</v>
      </c>
      <c r="H6" s="109">
        <v>4</v>
      </c>
      <c r="I6" s="110">
        <v>380</v>
      </c>
      <c r="J6" s="110">
        <f>H6*I6</f>
        <v>1520</v>
      </c>
      <c r="K6" s="111" t="s">
        <v>103</v>
      </c>
      <c r="L6" s="112" t="s">
        <v>110</v>
      </c>
      <c r="R6" s="103"/>
    </row>
    <row r="7" spans="1:18" ht="22.5" customHeight="1">
      <c r="A7" s="5">
        <f t="shared" si="0"/>
        <v>2</v>
      </c>
      <c r="B7" s="145" t="s">
        <v>128</v>
      </c>
      <c r="C7" s="146"/>
      <c r="D7" s="150"/>
      <c r="E7" s="148"/>
      <c r="F7" s="149"/>
      <c r="G7" s="108" t="s">
        <v>109</v>
      </c>
      <c r="H7" s="109">
        <v>8</v>
      </c>
      <c r="I7" s="110">
        <v>50</v>
      </c>
      <c r="J7" s="110">
        <f t="shared" ref="J7:J16" si="1">H7*I7</f>
        <v>400</v>
      </c>
      <c r="K7" s="111"/>
      <c r="L7" s="204" t="s">
        <v>133</v>
      </c>
      <c r="R7" s="103"/>
    </row>
    <row r="8" spans="1:18" ht="22.5" customHeight="1">
      <c r="A8" s="5">
        <f t="shared" si="0"/>
        <v>3</v>
      </c>
      <c r="B8" s="145" t="s">
        <v>129</v>
      </c>
      <c r="C8" s="146"/>
      <c r="D8" s="147"/>
      <c r="E8" s="148"/>
      <c r="F8" s="149"/>
      <c r="G8" s="108" t="s">
        <v>109</v>
      </c>
      <c r="H8" s="109">
        <v>6</v>
      </c>
      <c r="I8" s="110">
        <v>60</v>
      </c>
      <c r="J8" s="110">
        <f t="shared" si="1"/>
        <v>360</v>
      </c>
      <c r="K8" s="111"/>
      <c r="L8" s="204" t="s">
        <v>133</v>
      </c>
      <c r="R8" s="103"/>
    </row>
    <row r="9" spans="1:18" ht="22.5" customHeight="1">
      <c r="A9" s="5">
        <f t="shared" si="0"/>
        <v>4</v>
      </c>
      <c r="B9" s="145" t="s">
        <v>130</v>
      </c>
      <c r="C9" s="146"/>
      <c r="D9" s="147"/>
      <c r="E9" s="148"/>
      <c r="F9" s="149"/>
      <c r="G9" s="108" t="s">
        <v>109</v>
      </c>
      <c r="H9" s="109">
        <v>21</v>
      </c>
      <c r="I9" s="110">
        <v>50</v>
      </c>
      <c r="J9" s="110">
        <f t="shared" si="1"/>
        <v>1050</v>
      </c>
      <c r="K9" s="111"/>
      <c r="L9" s="204" t="s">
        <v>133</v>
      </c>
      <c r="R9" s="103"/>
    </row>
    <row r="10" spans="1:18" ht="22.5" customHeight="1">
      <c r="A10" s="5">
        <f t="shared" si="0"/>
        <v>5</v>
      </c>
      <c r="B10" s="145" t="s">
        <v>131</v>
      </c>
      <c r="C10" s="146"/>
      <c r="D10" s="151"/>
      <c r="E10" s="151"/>
      <c r="F10" s="151"/>
      <c r="G10" s="108" t="s">
        <v>109</v>
      </c>
      <c r="H10" s="109">
        <v>8</v>
      </c>
      <c r="I10" s="113">
        <v>380</v>
      </c>
      <c r="J10" s="110">
        <f t="shared" si="1"/>
        <v>3040</v>
      </c>
      <c r="K10" s="111"/>
      <c r="L10" s="204" t="s">
        <v>133</v>
      </c>
      <c r="R10" s="103"/>
    </row>
    <row r="11" spans="1:18" ht="22.5" customHeight="1">
      <c r="A11" s="5"/>
      <c r="B11" s="145"/>
      <c r="C11" s="146"/>
      <c r="D11" s="147"/>
      <c r="E11" s="148"/>
      <c r="F11" s="149"/>
      <c r="G11" s="108"/>
      <c r="H11" s="109"/>
      <c r="I11" s="110"/>
      <c r="J11" s="110">
        <f t="shared" si="1"/>
        <v>0</v>
      </c>
      <c r="K11" s="111"/>
      <c r="L11" s="112"/>
      <c r="R11" s="103"/>
    </row>
    <row r="12" spans="1:18" ht="22.5" customHeight="1">
      <c r="A12" s="5"/>
      <c r="B12" s="145"/>
      <c r="C12" s="146"/>
      <c r="D12" s="151"/>
      <c r="E12" s="151"/>
      <c r="F12" s="151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/>
      <c r="B13" s="145"/>
      <c r="C13" s="146"/>
      <c r="D13" s="147"/>
      <c r="E13" s="148"/>
      <c r="F13" s="149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/>
      <c r="B14" s="145"/>
      <c r="C14" s="146"/>
      <c r="D14" s="147"/>
      <c r="E14" s="148"/>
      <c r="F14" s="149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/>
      <c r="B15" s="145"/>
      <c r="C15" s="146"/>
      <c r="D15" s="147"/>
      <c r="E15" s="148"/>
      <c r="F15" s="149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5"/>
      <c r="B16" s="145"/>
      <c r="C16" s="146"/>
      <c r="D16" s="147"/>
      <c r="E16" s="148"/>
      <c r="F16" s="149"/>
      <c r="G16" s="108"/>
      <c r="H16" s="109"/>
      <c r="I16" s="110"/>
      <c r="J16" s="110">
        <f t="shared" si="1"/>
        <v>0</v>
      </c>
      <c r="K16" s="111"/>
      <c r="L16" s="112"/>
      <c r="R16" s="103"/>
    </row>
    <row r="17" spans="1:19" ht="22.5" customHeight="1">
      <c r="A17" s="156" t="s">
        <v>8</v>
      </c>
      <c r="B17" s="157"/>
      <c r="C17" s="114"/>
      <c r="D17" s="115"/>
      <c r="E17" s="115"/>
      <c r="F17" s="115"/>
      <c r="G17" s="116"/>
      <c r="H17" s="116"/>
      <c r="I17" s="117" t="s">
        <v>9</v>
      </c>
      <c r="J17" s="110">
        <f>SUM(J6:J16)</f>
        <v>6370</v>
      </c>
      <c r="K17" s="110"/>
      <c r="L17" s="118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58" t="s">
        <v>11</v>
      </c>
      <c r="S19" s="13" t="s">
        <v>12</v>
      </c>
    </row>
    <row r="20" spans="1:19" ht="50.1" customHeight="1">
      <c r="R20" s="159"/>
      <c r="S20" s="15"/>
    </row>
    <row r="21" spans="1:19" ht="17.100000000000001" customHeight="1">
      <c r="O21" s="11"/>
      <c r="P21" s="11"/>
      <c r="R21" s="154"/>
      <c r="S21" s="15" t="s">
        <v>13</v>
      </c>
    </row>
    <row r="22" spans="1:19" ht="15" customHeight="1">
      <c r="O22" s="17" t="s">
        <v>14</v>
      </c>
      <c r="P22" s="152" t="s">
        <v>15</v>
      </c>
    </row>
    <row r="23" spans="1:19" ht="18" customHeight="1">
      <c r="O23" s="18" t="s">
        <v>16</v>
      </c>
      <c r="P23" s="153"/>
      <c r="R23" s="158" t="s">
        <v>17</v>
      </c>
      <c r="S23" s="12" t="s">
        <v>12</v>
      </c>
    </row>
    <row r="24" spans="1:19" ht="50.1" customHeight="1">
      <c r="O24" s="14"/>
      <c r="P24" s="14"/>
      <c r="R24" s="159"/>
      <c r="S24" s="19"/>
    </row>
    <row r="25" spans="1:19" ht="17.100000000000001" customHeight="1">
      <c r="O25" s="16" t="s">
        <v>13</v>
      </c>
      <c r="P25" s="16" t="s">
        <v>13</v>
      </c>
      <c r="R25" s="154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55"/>
      <c r="P28" s="155"/>
    </row>
    <row r="29" spans="1:19" ht="19.899999999999999" customHeight="1">
      <c r="O29" s="155"/>
      <c r="P29" s="155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52" t="s">
        <v>18</v>
      </c>
      <c r="P47" s="152" t="s">
        <v>18</v>
      </c>
      <c r="S47" s="152" t="s">
        <v>12</v>
      </c>
    </row>
    <row r="48" spans="15:19" ht="21" customHeight="1">
      <c r="O48" s="153"/>
      <c r="P48" s="153"/>
      <c r="S48" s="15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52" t="s">
        <v>18</v>
      </c>
      <c r="P51" s="152" t="s">
        <v>18</v>
      </c>
      <c r="S51" s="152" t="s">
        <v>19</v>
      </c>
    </row>
    <row r="52" spans="15:19" ht="21" customHeight="1">
      <c r="O52" s="153"/>
      <c r="P52" s="153"/>
      <c r="S52" s="154"/>
    </row>
    <row r="53" spans="15:19" ht="64.900000000000006" customHeight="1">
      <c r="O53" s="14"/>
      <c r="P53" s="14"/>
      <c r="S53" s="14"/>
    </row>
  </sheetData>
  <mergeCells count="46"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95</v>
      </c>
      <c r="B1" s="97"/>
      <c r="C1" s="97"/>
      <c r="D1" s="97"/>
      <c r="E1" s="97"/>
      <c r="F1" s="97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SAC2-DS-MRS-0247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46081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90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Third Party Inspection and Certificate for Temporary Platform</v>
      </c>
      <c r="C6" s="163"/>
      <c r="D6" s="164">
        <f>MRS!D6</f>
        <v>0</v>
      </c>
      <c r="E6" s="165"/>
      <c r="F6" s="166"/>
      <c r="G6" s="100" t="str">
        <f>MRS!G6</f>
        <v>EA</v>
      </c>
      <c r="H6" s="100">
        <f>MRS!H6</f>
        <v>4</v>
      </c>
      <c r="I6" s="101">
        <f>MRS!I6</f>
        <v>380</v>
      </c>
      <c r="J6" s="101">
        <f>MRS!J6</f>
        <v>1520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2" t="str">
        <f>MRS!B7</f>
        <v>Third Party Inspection and Certificate for Polyester Halter Strap</v>
      </c>
      <c r="C7" s="163"/>
      <c r="D7" s="164">
        <f>MRS!D7</f>
        <v>0</v>
      </c>
      <c r="E7" s="165"/>
      <c r="F7" s="166"/>
      <c r="G7" s="100" t="str">
        <f>MRS!G7</f>
        <v>EA</v>
      </c>
      <c r="H7" s="100">
        <f>MRS!H7</f>
        <v>8</v>
      </c>
      <c r="I7" s="101">
        <f>MRS!I7</f>
        <v>50</v>
      </c>
      <c r="J7" s="101">
        <f>MRS!J7</f>
        <v>400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2" t="str">
        <f>MRS!B8</f>
        <v>Third Party Inspection and Certificate for Snatch Block</v>
      </c>
      <c r="C8" s="163"/>
      <c r="D8" s="164">
        <f>MRS!D8</f>
        <v>0</v>
      </c>
      <c r="E8" s="165"/>
      <c r="F8" s="166"/>
      <c r="G8" s="100" t="str">
        <f>MRS!G8</f>
        <v>EA</v>
      </c>
      <c r="H8" s="100">
        <f>MRS!H8</f>
        <v>6</v>
      </c>
      <c r="I8" s="101">
        <f>MRS!I8</f>
        <v>60</v>
      </c>
      <c r="J8" s="101">
        <f>MRS!J8</f>
        <v>360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2" t="str">
        <f>MRS!B9</f>
        <v>Third Party Inspection and Certificate for Cross Arm Strap</v>
      </c>
      <c r="C9" s="163"/>
      <c r="D9" s="164">
        <f>MRS!D9</f>
        <v>0</v>
      </c>
      <c r="E9" s="165"/>
      <c r="F9" s="166"/>
      <c r="G9" s="100" t="str">
        <f>MRS!G9</f>
        <v>EA</v>
      </c>
      <c r="H9" s="100">
        <f>MRS!H9</f>
        <v>21</v>
      </c>
      <c r="I9" s="101">
        <f>MRS!I9</f>
        <v>50</v>
      </c>
      <c r="J9" s="101">
        <f>MRS!J9</f>
        <v>1050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2" t="str">
        <f>MRS!B10</f>
        <v>Third Party Inspection and Certificate for Cable Drum Stand</v>
      </c>
      <c r="C10" s="163"/>
      <c r="D10" s="164">
        <f>MRS!D10</f>
        <v>0</v>
      </c>
      <c r="E10" s="165"/>
      <c r="F10" s="166"/>
      <c r="G10" s="100" t="str">
        <f>MRS!G10</f>
        <v>EA</v>
      </c>
      <c r="H10" s="100">
        <f>MRS!H10</f>
        <v>8</v>
      </c>
      <c r="I10" s="101">
        <f>MRS!I10</f>
        <v>380</v>
      </c>
      <c r="J10" s="101">
        <f>MRS!J10</f>
        <v>3040</v>
      </c>
      <c r="K10" s="102"/>
      <c r="O10" s="103"/>
      <c r="P10" s="103"/>
      <c r="R10" s="103"/>
    </row>
    <row r="11" spans="1:18" ht="105" customHeight="1">
      <c r="A11" s="21">
        <f>+MRS!A11</f>
        <v>0</v>
      </c>
      <c r="B11" s="162">
        <f>MRS!B11</f>
        <v>0</v>
      </c>
      <c r="C11" s="163"/>
      <c r="D11" s="164">
        <f>MRS!D11</f>
        <v>0</v>
      </c>
      <c r="E11" s="165"/>
      <c r="F11" s="166"/>
      <c r="G11" s="100">
        <f>MRS!G11</f>
        <v>0</v>
      </c>
      <c r="H11" s="100">
        <f>MRS!H11</f>
        <v>0</v>
      </c>
      <c r="I11" s="101">
        <f>MRS!I11</f>
        <v>0</v>
      </c>
      <c r="J11" s="101">
        <f>MRS!J11</f>
        <v>0</v>
      </c>
      <c r="K11" s="102"/>
      <c r="O11" s="103"/>
      <c r="P11" s="103"/>
      <c r="R11" s="103"/>
    </row>
    <row r="12" spans="1:18" ht="105" customHeight="1">
      <c r="A12" s="21">
        <f>+MRS!A12</f>
        <v>0</v>
      </c>
      <c r="B12" s="167"/>
      <c r="C12" s="168"/>
      <c r="D12" s="169"/>
      <c r="E12" s="170"/>
      <c r="F12" s="171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0</v>
      </c>
      <c r="B13" s="167"/>
      <c r="C13" s="168"/>
      <c r="D13" s="169"/>
      <c r="E13" s="170"/>
      <c r="F13" s="171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0</v>
      </c>
      <c r="B14" s="167"/>
      <c r="C14" s="168"/>
      <c r="D14" s="169"/>
      <c r="E14" s="170"/>
      <c r="F14" s="171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+MRS!A16</f>
        <v>0</v>
      </c>
      <c r="B15" s="167"/>
      <c r="C15" s="168"/>
      <c r="D15" s="169"/>
      <c r="E15" s="170"/>
      <c r="F15" s="171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3">
        <f>MRS!L3</f>
        <v>46081</v>
      </c>
      <c r="L10" s="174"/>
      <c r="M10" s="174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5" t="str">
        <f>SUBSTITUTE(SUBSTITUTE(+MRS!A3,"  MRS No : ",""),"-MRS","-PO")</f>
        <v>SAC2-DS-PO-0247</v>
      </c>
      <c r="L11" s="175"/>
      <c r="M11" s="175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132</v>
      </c>
    </row>
    <row r="15" spans="2:13" s="39" customFormat="1">
      <c r="B15" s="72"/>
      <c r="C15" s="77" t="s">
        <v>98</v>
      </c>
      <c r="J15" s="39" t="s">
        <v>38</v>
      </c>
      <c r="K15" s="78">
        <v>46064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39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41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42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4" t="s">
        <v>124</v>
      </c>
      <c r="M26" s="125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0">
        <f>MRS!J17</f>
        <v>6370</v>
      </c>
      <c r="G29" s="180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0">
        <f>F29*15%</f>
        <v>955.5</v>
      </c>
      <c r="G30" s="180"/>
    </row>
    <row r="31" spans="2:13" ht="12" customHeight="1">
      <c r="B31" s="32"/>
      <c r="C31" s="26" t="s">
        <v>49</v>
      </c>
      <c r="D31" s="35"/>
      <c r="E31" s="26" t="s">
        <v>47</v>
      </c>
      <c r="F31" s="180">
        <f>SUM(F29:G30)</f>
        <v>7325.5</v>
      </c>
      <c r="G31" s="18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2" t="s">
        <v>112</v>
      </c>
      <c r="F54" s="26" t="s">
        <v>120</v>
      </c>
    </row>
    <row r="55" spans="2:16" ht="12" customHeight="1">
      <c r="B55" s="83" t="s">
        <v>63</v>
      </c>
      <c r="C55" s="122" t="s">
        <v>113</v>
      </c>
      <c r="F55" s="123" t="s">
        <v>121</v>
      </c>
    </row>
    <row r="56" spans="2:16" ht="12" customHeight="1">
      <c r="B56" s="83" t="s">
        <v>63</v>
      </c>
      <c r="C56" s="122" t="s">
        <v>114</v>
      </c>
      <c r="F56" s="26" t="s">
        <v>125</v>
      </c>
    </row>
    <row r="57" spans="2:16" ht="12" customHeight="1">
      <c r="B57" s="83" t="s">
        <v>63</v>
      </c>
      <c r="C57" s="122" t="s">
        <v>115</v>
      </c>
      <c r="F57" s="26" t="s">
        <v>122</v>
      </c>
    </row>
    <row r="58" spans="2:16" ht="12" customHeight="1">
      <c r="B58" s="83" t="s">
        <v>63</v>
      </c>
      <c r="C58" s="122" t="s">
        <v>116</v>
      </c>
      <c r="F58" s="26" t="s">
        <v>123</v>
      </c>
    </row>
    <row r="59" spans="2:16" ht="12" customHeight="1">
      <c r="B59" s="83" t="s">
        <v>63</v>
      </c>
      <c r="C59" s="122" t="s">
        <v>117</v>
      </c>
      <c r="F59" s="26" t="s">
        <v>118</v>
      </c>
    </row>
    <row r="60" spans="2:16" ht="12" customHeight="1">
      <c r="B60" s="83"/>
      <c r="C60" s="122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1" t="str">
        <f>C9</f>
        <v>SAMOO(Samoo Al Bahr Contracting Est.)</v>
      </c>
      <c r="K71" s="181"/>
      <c r="L71" s="181"/>
      <c r="M71" s="181"/>
    </row>
    <row r="72" spans="1:13" ht="27.95" customHeight="1">
      <c r="A72" s="172" t="s">
        <v>74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:H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SAC2-DS-PO-0247</v>
      </c>
      <c r="C2" s="184" t="s">
        <v>76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46081</v>
      </c>
      <c r="C3" s="51"/>
      <c r="D3" s="52"/>
      <c r="E3" s="185" t="s">
        <v>78</v>
      </c>
      <c r="F3" s="185"/>
      <c r="G3" s="185"/>
      <c r="H3" s="185"/>
      <c r="I3" s="53"/>
    </row>
    <row r="4" spans="1:13" s="55" customFormat="1" ht="28.5" customHeight="1" thickTop="1">
      <c r="A4" s="186" t="s">
        <v>79</v>
      </c>
      <c r="B4" s="188" t="s">
        <v>80</v>
      </c>
      <c r="C4" s="189"/>
      <c r="D4" s="192" t="s">
        <v>81</v>
      </c>
      <c r="E4" s="192" t="s">
        <v>82</v>
      </c>
      <c r="F4" s="194" t="str">
        <f>'PO 1st page'!C9</f>
        <v>SAMOO(Samoo Al Bahr Contracting Est.)</v>
      </c>
      <c r="G4" s="195"/>
      <c r="H4" s="196" t="s">
        <v>83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84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4">
        <f t="shared" ref="A6:A10" si="0">ROW(A1)</f>
        <v>1</v>
      </c>
      <c r="B6" s="182" t="str">
        <f>CONCATENATE(MRS!B6," ",MRS!D6)</f>
        <v xml:space="preserve">Third Party Inspection and Certificate for Temporary Platform </v>
      </c>
      <c r="C6" s="183"/>
      <c r="D6" s="85" t="str">
        <f>MRS!G6</f>
        <v>EA</v>
      </c>
      <c r="E6" s="86">
        <f>MRS!H6</f>
        <v>4</v>
      </c>
      <c r="F6" s="87">
        <f>MRS!I6</f>
        <v>380</v>
      </c>
      <c r="G6" s="88">
        <f>MRS!J6</f>
        <v>1520</v>
      </c>
      <c r="H6" s="88" t="str">
        <f>MRS!L6</f>
        <v>One time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182" t="str">
        <f>CONCATENATE(MRS!B7," ",MRS!D7)</f>
        <v xml:space="preserve">Third Party Inspection and Certificate for Polyester Halter Strap </v>
      </c>
      <c r="C7" s="183"/>
      <c r="D7" s="85" t="str">
        <f>MRS!G7</f>
        <v>EA</v>
      </c>
      <c r="E7" s="86">
        <f>MRS!H7</f>
        <v>8</v>
      </c>
      <c r="F7" s="87">
        <f>MRS!I7</f>
        <v>50</v>
      </c>
      <c r="G7" s="88">
        <f>MRS!J7</f>
        <v>400</v>
      </c>
      <c r="H7" s="88" t="str">
        <f>MRS!L7</f>
        <v>"</v>
      </c>
      <c r="K7" s="89"/>
      <c r="L7" s="90"/>
      <c r="M7" s="56"/>
    </row>
    <row r="8" spans="1:13" s="55" customFormat="1" ht="32.1" customHeight="1">
      <c r="A8" s="91">
        <f t="shared" si="0"/>
        <v>3</v>
      </c>
      <c r="B8" s="182" t="str">
        <f>CONCATENATE(MRS!B8," ",MRS!D8)</f>
        <v xml:space="preserve">Third Party Inspection and Certificate for Snatch Block </v>
      </c>
      <c r="C8" s="183"/>
      <c r="D8" s="85" t="str">
        <f>MRS!G8</f>
        <v>EA</v>
      </c>
      <c r="E8" s="86">
        <f>MRS!H8</f>
        <v>6</v>
      </c>
      <c r="F8" s="87">
        <f>MRS!I8</f>
        <v>60</v>
      </c>
      <c r="G8" s="88">
        <f>MRS!J8</f>
        <v>360</v>
      </c>
      <c r="H8" s="88" t="str">
        <f>MRS!L8</f>
        <v>"</v>
      </c>
      <c r="K8" s="56"/>
      <c r="L8" s="56"/>
      <c r="M8" s="56"/>
    </row>
    <row r="9" spans="1:13" s="55" customFormat="1" ht="32.1" customHeight="1">
      <c r="A9" s="91">
        <f t="shared" si="0"/>
        <v>4</v>
      </c>
      <c r="B9" s="182" t="str">
        <f>CONCATENATE(MRS!B9," ",MRS!D9)</f>
        <v xml:space="preserve">Third Party Inspection and Certificate for Cross Arm Strap </v>
      </c>
      <c r="C9" s="183"/>
      <c r="D9" s="85" t="str">
        <f>MRS!G9</f>
        <v>EA</v>
      </c>
      <c r="E9" s="86">
        <f>MRS!H9</f>
        <v>21</v>
      </c>
      <c r="F9" s="87">
        <f>MRS!I9</f>
        <v>50</v>
      </c>
      <c r="G9" s="88">
        <f>MRS!J9</f>
        <v>1050</v>
      </c>
      <c r="H9" s="88" t="str">
        <f>MRS!L9</f>
        <v>"</v>
      </c>
    </row>
    <row r="10" spans="1:13" s="55" customFormat="1" ht="32.1" customHeight="1">
      <c r="A10" s="91">
        <f t="shared" si="0"/>
        <v>5</v>
      </c>
      <c r="B10" s="182" t="str">
        <f>CONCATENATE(MRS!B10," ",MRS!D10)</f>
        <v xml:space="preserve">Third Party Inspection and Certificate for Cable Drum Stand </v>
      </c>
      <c r="C10" s="183"/>
      <c r="D10" s="85" t="str">
        <f>MRS!G10</f>
        <v>EA</v>
      </c>
      <c r="E10" s="86">
        <f>MRS!H10</f>
        <v>8</v>
      </c>
      <c r="F10" s="87">
        <f>MRS!I10</f>
        <v>380</v>
      </c>
      <c r="G10" s="88">
        <f>MRS!J10</f>
        <v>3040</v>
      </c>
      <c r="H10" s="88" t="str">
        <f>MRS!L10</f>
        <v>"</v>
      </c>
    </row>
    <row r="11" spans="1:13" s="55" customFormat="1" ht="32.1" customHeight="1">
      <c r="A11" s="91"/>
      <c r="B11" s="182"/>
      <c r="C11" s="183"/>
      <c r="D11" s="85"/>
      <c r="E11" s="86"/>
      <c r="F11" s="87"/>
      <c r="G11" s="88"/>
      <c r="H11" s="96"/>
    </row>
    <row r="12" spans="1:13" s="55" customFormat="1" ht="32.1" customHeight="1">
      <c r="A12" s="91"/>
      <c r="B12" s="182"/>
      <c r="C12" s="183"/>
      <c r="D12" s="85"/>
      <c r="E12" s="86"/>
      <c r="F12" s="87"/>
      <c r="G12" s="88"/>
      <c r="H12" s="96"/>
    </row>
    <row r="13" spans="1:13" s="55" customFormat="1" ht="32.1" customHeight="1">
      <c r="A13" s="91"/>
      <c r="B13" s="182"/>
      <c r="C13" s="183"/>
      <c r="D13" s="85"/>
      <c r="E13" s="86"/>
      <c r="F13" s="87"/>
      <c r="G13" s="88"/>
      <c r="H13" s="96"/>
    </row>
    <row r="14" spans="1:13" s="55" customFormat="1" ht="32.1" customHeight="1">
      <c r="A14" s="91"/>
      <c r="B14" s="182"/>
      <c r="C14" s="183"/>
      <c r="D14" s="85"/>
      <c r="E14" s="86"/>
      <c r="F14" s="87"/>
      <c r="G14" s="88"/>
      <c r="H14" s="96"/>
    </row>
    <row r="15" spans="1:13" s="55" customFormat="1" ht="32.1" customHeight="1">
      <c r="A15" s="91"/>
      <c r="B15" s="182"/>
      <c r="C15" s="183"/>
      <c r="D15" s="85"/>
      <c r="E15" s="86"/>
      <c r="F15" s="87"/>
      <c r="G15" s="88"/>
      <c r="H15" s="96"/>
    </row>
    <row r="16" spans="1:13" s="55" customFormat="1" ht="32.1" customHeight="1">
      <c r="A16" s="91"/>
      <c r="B16" s="182"/>
      <c r="C16" s="183"/>
      <c r="D16" s="85"/>
      <c r="E16" s="86"/>
      <c r="F16" s="87"/>
      <c r="G16" s="88"/>
      <c r="H16" s="96"/>
    </row>
    <row r="17" spans="1:13" s="55" customFormat="1" ht="32.1" customHeight="1">
      <c r="A17" s="91"/>
      <c r="B17" s="202"/>
      <c r="C17" s="203"/>
      <c r="D17" s="92"/>
      <c r="E17" s="93"/>
      <c r="F17" s="94"/>
      <c r="G17" s="95"/>
      <c r="H17" s="96"/>
    </row>
    <row r="18" spans="1:13" s="55" customFormat="1" ht="23.1" customHeight="1">
      <c r="A18" s="198" t="s">
        <v>85</v>
      </c>
      <c r="B18" s="199"/>
      <c r="C18" s="199"/>
      <c r="D18" s="199"/>
      <c r="E18" s="199"/>
      <c r="F18" s="199"/>
      <c r="G18" s="58">
        <f>SUM(G6:G17)</f>
        <v>6370</v>
      </c>
      <c r="H18" s="59"/>
    </row>
    <row r="19" spans="1:13" s="55" customFormat="1" ht="23.1" customHeight="1">
      <c r="A19" s="198" t="s">
        <v>48</v>
      </c>
      <c r="B19" s="199"/>
      <c r="C19" s="199"/>
      <c r="D19" s="199"/>
      <c r="E19" s="199"/>
      <c r="F19" s="199"/>
      <c r="G19" s="58">
        <f>+G18*0.15</f>
        <v>955.5</v>
      </c>
      <c r="H19" s="59"/>
    </row>
    <row r="20" spans="1:13" s="55" customFormat="1" ht="24.95" customHeight="1" thickBot="1">
      <c r="A20" s="200" t="s">
        <v>86</v>
      </c>
      <c r="B20" s="201"/>
      <c r="C20" s="201"/>
      <c r="D20" s="201"/>
      <c r="E20" s="201"/>
      <c r="F20" s="201"/>
      <c r="G20" s="60">
        <f>G19+G18</f>
        <v>7325.5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SAMOO-DAESHIN-MT-32-2026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88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2026-02-28T09:23:51Z</cp:lastPrinted>
  <dcterms:created xsi:type="dcterms:W3CDTF">2024-10-20T11:50:19Z</dcterms:created>
  <dcterms:modified xsi:type="dcterms:W3CDTF">2026-02-28T09:23:53Z</dcterms:modified>
</cp:coreProperties>
</file>