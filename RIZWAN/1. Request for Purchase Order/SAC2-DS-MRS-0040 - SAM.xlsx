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EBB22DE0-DF6E-4653-97FF-F706EA330B01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F30" i="3" l="1"/>
  <c r="F31" i="3" s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<sst xmlns="http://schemas.openxmlformats.org/spreadsheetml/2006/main" count="152" uniqueCount="119">
  <si>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</si>
  <si>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</si>
  <si>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</si>
  <si>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</si>
  <si>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</si>
  <si>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</si>
  <si>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</si>
  <si>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</si>
  <si>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</si>
  <si>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</si>
  <si>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</si>
  <si>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</si>
  <si>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PCM</t>
    <phoneticPr fontId="4" type="noConversion"/>
  </si>
  <si>
    <t>ADM</t>
    <phoneticPr fontId="4" type="noConversion"/>
  </si>
  <si>
    <t>PM</t>
    <phoneticPr fontId="11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</si>
  <si>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</si>
  <si>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</si>
  <si>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</si>
  <si>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PCM (Subcon)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</si>
  <si>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</si>
  <si>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</si>
  <si>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</si>
  <si>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</si>
  <si>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</si>
  <si>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</si>
  <si>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</si>
  <si>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</si>
  <si>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</si>
  <si>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</si>
  <si>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</si>
  <si>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</si>
  <si>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</si>
  <si>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</si>
  <si>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</si>
  <si>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</si>
  <si>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</si>
  <si>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</si>
  <si>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</si>
  <si>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</si>
  <si>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</si>
  <si>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</si>
  <si>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</si>
  <si>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</si>
  <si>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</si>
  <si>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</si>
  <si>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</si>
  <si>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</si>
  <si>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</si>
  <si>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</si>
  <si>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</si>
  <si>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</si>
  <si>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</si>
  <si>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</si>
  <si>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</si>
  <si>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</si>
  <si>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</si>
  <si>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</si>
  <si>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</si>
  <si>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</si>
  <si>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</si>
  <si>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</si>
  <si>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</si>
  <si>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</si>
  <si>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</si>
  <si>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</si>
  <si>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</si>
  <si>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</si>
  <si>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</si>
  <si>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</si>
  <si>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</si>
  <si>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</si>
  <si>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</si>
  <si>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</si>
  <si>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</si>
  <si>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</si>
  <si>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</si>
  <si>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</si>
  <si>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</si>
  <si>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</si>
  <si>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</si>
  <si>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</si>
  <si>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</si>
  <si>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</si>
  <si>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</si>
  <si>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</si>
  <si>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</si>
  <si>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</si>
  <si>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</si>
  <si>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</si>
  <si>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</si>
  <si>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</si>
  <si>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</si>
  <si>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</si>
  <si>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</si>
  <si>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</si>
  <si>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</si>
  <si>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</si>
  <si>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</si>
  <si>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</si>
  <si>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SSAM</t>
  </si>
  <si>
    <t>SSAM(Sultan Sulaiman Abdul Muneem Al Juhni Contracting Est.</t>
  </si>
  <si>
    <t>Mohammad Safwan</t>
  </si>
  <si>
    <t>Operation Manager</t>
  </si>
  <si>
    <t>+966 59 1252163 / Email:samest99@gmail.com</t>
  </si>
  <si>
    <t>Bldg. No 4441Sahad IBN Umar, al Safat District, al Jubail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</si>
  <si>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</si>
  <si>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</si>
  <si>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</si>
  <si>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4700123002</t>
  </si>
  <si>
    <t>310903944300003</t>
  </si>
  <si>
    <t>Subcontract name (SAC2-SC-IK-SMP-01)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</si>
  <si>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</si>
  <si>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-MRS-0040</t>
    </r>
  </si>
  <si>
    <t>Pipe Stand</t>
  </si>
  <si>
    <t>PCS</t>
  </si>
  <si>
    <t>SULTAN/PHASE2/TPI/06-25</t>
  </si>
  <si>
    <t>[Excludes Vat]</t>
  </si>
  <si>
    <t>TPI for Test Certification</t>
  </si>
  <si>
    <t>Pipe Stand - TPI for Test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</si>
</sst>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K9" sqref="K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106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107</v>
      </c>
      <c r="E2" s="101"/>
      <c r="F2" s="101"/>
      <c r="G2" s="101"/>
      <c r="H2" s="101"/>
      <c r="I2" s="4"/>
      <c r="J2" s="141" t="s">
        <v>110</v>
      </c>
      <c r="K2" s="142"/>
      <c r="L2" s="143"/>
    </row>
    <row r="3" spans="1:19" ht="20.100000000000001" customHeight="1">
      <c r="A3" s="3" t="s">
        <v>112</v>
      </c>
      <c r="B3" s="101"/>
      <c r="C3" s="101"/>
      <c r="D3" s="101"/>
      <c r="E3" s="128">
        <f>+L3</f>
        <v>45754</v>
      </c>
      <c r="F3" s="128"/>
      <c r="G3" s="128"/>
      <c r="H3" s="128"/>
      <c r="I3" s="128"/>
      <c r="J3" s="101"/>
      <c r="K3" s="101"/>
      <c r="L3" s="122">
        <v>45754</v>
      </c>
      <c r="M3" s="4"/>
    </row>
    <row r="4" spans="1:19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96</v>
      </c>
      <c r="J4" s="129" t="s">
        <v>97</v>
      </c>
      <c r="K4" s="139" t="s">
        <v>0</v>
      </c>
      <c r="L4" s="130" t="s">
        <v>7</v>
      </c>
    </row>
    <row r="5" spans="1:19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19" ht="22.5" customHeight="1">
      <c r="A6" s="5">
        <f t="shared" ref="A6:A15" si="0">ROW(A1)</f>
        <v>1</v>
      </c>
      <c r="B6" s="144" t="s">
        <v>113</v>
      </c>
      <c r="C6" s="145"/>
      <c r="D6" s="146" t="s">
        <v>117</v>
      </c>
      <c r="E6" s="147"/>
      <c r="F6" s="148"/>
      <c r="G6" s="111" t="s">
        <v>114</v>
      </c>
      <c r="H6" s="112">
        <v>50</v>
      </c>
      <c r="I6" s="113">
        <v>335</v>
      </c>
      <c r="J6" s="113">
        <f>H6*I6</f>
        <v>16750</v>
      </c>
      <c r="K6" s="114" t="s">
        <v>99</v>
      </c>
      <c r="L6" s="115"/>
      <c r="S6" s="106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16750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SAC2-DS-MRS-0040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45754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93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Pipe Stand</v>
      </c>
      <c r="C6" s="163"/>
      <c r="D6" s="164" t="str">
        <f>MRS!D6</f>
        <v>TPI for Test Certification</v>
      </c>
      <c r="E6" s="165"/>
      <c r="F6" s="166"/>
      <c r="G6" s="103" t="str">
        <f>MRS!G6</f>
        <v>PCS</v>
      </c>
      <c r="H6" s="103">
        <f>MRS!H6</f>
        <v>50</v>
      </c>
      <c r="I6" s="104">
        <f>MRS!I6</f>
        <v>335</v>
      </c>
      <c r="J6" s="104">
        <f>MRS!J6</f>
        <v>16750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11" zoomScale="130" zoomScaleNormal="100" zoomScaleSheetLayoutView="130" workbookViewId="0">
      <selection activeCell="K32" sqref="K3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76" t="s">
        <v>108</v>
      </c>
      <c r="J10" s="39" t="s">
        <v>34</v>
      </c>
      <c r="K10" s="173">
        <f>MRS!L3</f>
        <v>45754</v>
      </c>
      <c r="L10" s="174"/>
      <c r="M10" s="174"/>
    </row>
    <row r="11" spans="2:13" s="39" customFormat="1">
      <c r="B11" s="72"/>
      <c r="C11" s="75" t="s">
        <v>35</v>
      </c>
      <c r="D11" s="76" t="s">
        <v>109</v>
      </c>
      <c r="J11" s="39" t="s">
        <v>36</v>
      </c>
      <c r="K11" s="175" t="str">
        <f>SUBSTITUTE(SUBSTITUTE(+MRS!A3,"  MRS No : ",""),"-MRS","-PO")</f>
        <v>SAC2-DS-PO-0040</v>
      </c>
      <c r="L11" s="175"/>
      <c r="M11" s="175"/>
    </row>
    <row r="12" spans="2:13" s="39" customFormat="1">
      <c r="B12" s="72"/>
      <c r="C12" s="75" t="s">
        <v>37</v>
      </c>
      <c r="D12" s="39" t="s">
        <v>101</v>
      </c>
      <c r="J12" s="39" t="s">
        <v>38</v>
      </c>
    </row>
    <row r="13" spans="2:13" s="39" customFormat="1">
      <c r="B13" s="72"/>
      <c r="C13" s="77"/>
      <c r="D13" s="76" t="s">
        <v>103</v>
      </c>
      <c r="J13" s="39" t="s">
        <v>39</v>
      </c>
    </row>
    <row r="14" spans="2:13" s="39" customFormat="1">
      <c r="B14" s="72"/>
      <c r="C14" s="77" t="s">
        <v>104</v>
      </c>
      <c r="J14" s="39" t="s">
        <v>40</v>
      </c>
      <c r="K14" s="39" t="s">
        <v>115</v>
      </c>
    </row>
    <row r="15" spans="2:13" s="39" customFormat="1">
      <c r="B15" s="72"/>
      <c r="C15" s="77" t="s">
        <v>105</v>
      </c>
      <c r="J15" s="39" t="s">
        <v>41</v>
      </c>
      <c r="K15" s="78">
        <v>45753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118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>
        <f>'PO 2nd page'!G6</f>
        <v>16750</v>
      </c>
      <c r="G29" s="180"/>
      <c r="H29" s="33" t="s">
        <v>116</v>
      </c>
      <c r="M29" s="34"/>
    </row>
    <row r="30" spans="2:13" ht="15" customHeight="1">
      <c r="B30" s="32"/>
      <c r="C30" s="26" t="s">
        <v>51</v>
      </c>
      <c r="E30" s="26" t="s">
        <v>50</v>
      </c>
      <c r="F30" s="180">
        <f>+F29*0.15</f>
        <v>2512.5</v>
      </c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>
        <f>F29+F30</f>
        <v>19262.5</v>
      </c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111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Mohammad Safwan</v>
      </c>
    </row>
    <row r="60" spans="1:16" ht="18" customHeight="1">
      <c r="B60" s="26" t="s">
        <v>72</v>
      </c>
      <c r="J60" s="26" t="s">
        <v>73</v>
      </c>
      <c r="K60" s="22" t="s">
        <v>102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SSAM(Sultan Sulaiman Abdul Muneem Al Juhni Contracting Est.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4" zoomScaleSheetLayoutView="100" zoomScalePageLayoutView="55" workbookViewId="0">
      <selection activeCell="J14" sqref="J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SAC2-DS-PO-0040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45754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SSAM(Sultan Sulaiman Abdul Muneem Al Juhni Contracting Est.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+'MRS LIST'!B6</f>
        <v>Pipe Stand</v>
      </c>
      <c r="C6" s="183"/>
      <c r="D6" s="86" t="str">
        <f>+'MRS LIST'!G6</f>
        <v>PCS</v>
      </c>
      <c r="E6" s="87">
        <f>+'MRS LIST'!H6</f>
        <v>50</v>
      </c>
      <c r="F6" s="88">
        <f>+'MRS LIST'!I6</f>
        <v>335</v>
      </c>
      <c r="G6" s="89">
        <f>+'MRS LIST'!J6</f>
        <v>16750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2"/>
      <c r="C7" s="18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2"/>
      <c r="C10" s="18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88</v>
      </c>
      <c r="B18" s="199"/>
      <c r="C18" s="199"/>
      <c r="D18" s="199"/>
      <c r="E18" s="199"/>
      <c r="F18" s="199"/>
      <c r="G18" s="58">
        <f>SUM(G6:G17)</f>
        <v>16750</v>
      </c>
      <c r="H18" s="59"/>
    </row>
    <row r="19" spans="1:13" s="55" customFormat="1" ht="23.1" customHeight="1">
      <c r="A19" s="198" t="s">
        <v>51</v>
      </c>
      <c r="B19" s="199"/>
      <c r="C19" s="199"/>
      <c r="D19" s="199"/>
      <c r="E19" s="199"/>
      <c r="F19" s="199"/>
      <c r="G19" s="58">
        <f>+G18*0.15</f>
        <v>2512.5</v>
      </c>
      <c r="H19" s="59"/>
    </row>
    <row r="20" spans="1:13" s="55" customFormat="1" ht="24.95" customHeight="1" thickBot="1">
      <c r="A20" s="200" t="s">
        <v>89</v>
      </c>
      <c r="B20" s="201"/>
      <c r="C20" s="201"/>
      <c r="D20" s="201"/>
      <c r="E20" s="201"/>
      <c r="F20" s="201"/>
      <c r="G20" s="60">
        <f>G19+G18</f>
        <v>19262.5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SULTAN/PHASE2/TPI/06-25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2025-04-10T05:17:22Z</cp:lastPrinted>
  <dcterms:created xsi:type="dcterms:W3CDTF">2024-10-20T11:50:19Z</dcterms:created>
  <dcterms:modified xsi:type="dcterms:W3CDTF">2025-04-10T05:17:28Z</dcterms:modified>
</cp:coreProperties>
</file>