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B448989C-683D-4226-B790-B332BEA754D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F29" i="3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F8" i="4" s="1"/>
  <c r="H8" i="2"/>
  <c r="G8" i="2"/>
  <c r="D8" i="2"/>
  <c r="B8" i="2"/>
  <c r="J9" i="2"/>
  <c r="J8" i="2"/>
  <c r="G8" i="4" s="1"/>
  <c r="J7" i="2" l="1"/>
  <c r="G7" i="4" s="1"/>
  <c r="I7" i="2"/>
  <c r="F7" i="4" s="1"/>
  <c r="H7" i="2"/>
  <c r="G7" i="2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<sst xmlns="http://schemas.openxmlformats.org/spreadsheetml/2006/main" count="154" uniqueCount="121">
  <si>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</si>
  <si>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</si>
  <si>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</si>
  <si>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</si>
  <si>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</si>
  <si>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</si>
  <si>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</si>
  <si>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</si>
  <si>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</si>
  <si>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</si>
  <si>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</si>
  <si>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</si>
  <si>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</si>
  <si>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</si>
  <si>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</si>
  <si>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</si>
  <si>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</si>
  <si>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</si>
  <si>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</si>
  <si>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</si>
  <si>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</si>
  <si>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</si>
  <si>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</si>
  <si>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</si>
  <si>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</si>
  <si>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</si>
  <si>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</si>
  <si>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</si>
  <si>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</si>
  <si>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</si>
  <si>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</si>
  <si>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</si>
  <si>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</si>
  <si>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</si>
  <si>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</si>
  <si>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</si>
  <si>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</si>
  <si>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</si>
  <si>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</si>
  <si>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</si>
  <si>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</si>
  <si>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</si>
  <si>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</si>
  <si>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</si>
  <si>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</si>
  <si>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</si>
  <si>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</si>
  <si>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</si>
  <si>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</si>
  <si>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</si>
  <si>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</si>
  <si>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</si>
  <si>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</si>
  <si>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</si>
  <si>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</si>
  <si>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</si>
  <si>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</si>
  <si>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</si>
  <si>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</si>
  <si>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</si>
  <si>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</si>
  <si>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</si>
  <si>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</si>
  <si>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</si>
  <si>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</si>
  <si>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</si>
  <si>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</si>
  <si>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</si>
  <si>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</si>
  <si>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</si>
  <si>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</si>
  <si>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</si>
  <si>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</si>
  <si>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</si>
  <si>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</si>
  <si>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</si>
  <si>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</si>
  <si>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</si>
  <si>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</si>
  <si>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</si>
  <si>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</si>
  <si>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</si>
  <si>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</si>
  <si>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</si>
  <si>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</si>
  <si>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</si>
  <si>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</si>
  <si>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</si>
  <si>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</si>
  <si>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</si>
  <si>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</si>
  <si>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</si>
  <si>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</si>
  <si>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</si>
  <si>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</si>
  <si>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</si>
  <si>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</si>
  <si>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</si>
  <si>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</si>
  <si>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</si>
  <si>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</si>
  <si>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FCL</t>
  </si>
  <si>
    <t>FCL(Fosam Company Ltd.)</t>
  </si>
  <si>
    <t>4030031273</t>
  </si>
  <si>
    <t>P.O. Box 21453 Jeddah 21453 Saudi Arabia</t>
  </si>
  <si>
    <t>300050279500003</t>
  </si>
  <si>
    <t>Sales Engineer</t>
  </si>
  <si>
    <t>HYUNDAI ENG. &amp; CONST. CO., LTD.</t>
  </si>
  <si>
    <t>Hyundai Engineering and Const. Co., Ltd. (HDEC)</t>
  </si>
  <si>
    <t>Division (In charge Name) : ADMIN MANAGER (Dong Chang Kim)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</si>
  <si>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-MRS-0082</t>
    </r>
  </si>
  <si>
    <t>Hydrocell XL 20mm Sheet (1000mmX2000mm)</t>
  </si>
  <si>
    <t>QUO-191542-M5J2Z2-0</t>
  </si>
  <si>
    <t>Jihad Shalla</t>
  </si>
  <si>
    <t>+966 55 3047862 /email: Jihad.Shalla@Fosroc.com</t>
  </si>
  <si>
    <t>Landline : +966 12 6375345 / Mobile : +966 55 3047862</t>
  </si>
  <si>
    <t>Hydrocell XL 20mm Sheet (1000mmX2000mm)
High performance, cross linked, closed cell, nonabsorbent, polyethylene joint filler</t>
  </si>
  <si>
    <t>EA</t>
  </si>
  <si>
    <t>One time</t>
  </si>
  <si>
    <t>Hydrocell XL 20mm Sheet</t>
  </si>
  <si>
    <t>(1000mmX2000mm)
High performance, cross linked, closed cell, nonabsorbent, polyethylene joint 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</si>
</sst>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340895</xdr:colOff>
          <xdr:row>17</xdr:row>
          <xdr:rowOff>70184</xdr:rowOff>
        </xdr:from>
        <xdr:to>
          <xdr:col>11</xdr:col>
          <xdr:colOff>1644817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69895" y="4572000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5" t="s">
        <v>98</v>
      </c>
      <c r="B1" s="124"/>
      <c r="C1" s="111"/>
      <c r="D1" s="111"/>
      <c r="E1" s="111"/>
      <c r="F1" s="111"/>
      <c r="G1" s="1"/>
      <c r="J1" s="152" t="s">
        <v>90</v>
      </c>
      <c r="K1" s="153"/>
      <c r="L1" s="154"/>
    </row>
    <row r="2" spans="1:19" ht="20.100000000000001" customHeight="1">
      <c r="A2" s="3" t="s">
        <v>1</v>
      </c>
      <c r="B2" s="102"/>
      <c r="C2" s="102"/>
      <c r="D2" s="3" t="s">
        <v>109</v>
      </c>
      <c r="E2" s="102"/>
      <c r="F2" s="102"/>
      <c r="G2" s="102"/>
      <c r="H2" s="102"/>
      <c r="I2" s="4"/>
      <c r="J2" s="155" t="s">
        <v>100</v>
      </c>
      <c r="K2" s="156"/>
      <c r="L2" s="157"/>
    </row>
    <row r="3" spans="1:19" ht="20.100000000000001" customHeight="1">
      <c r="A3" s="3" t="s">
        <v>110</v>
      </c>
      <c r="B3" s="102"/>
      <c r="C3" s="102"/>
      <c r="D3" s="102"/>
      <c r="E3" s="158">
        <f>+L3</f>
        <v>45818</v>
      </c>
      <c r="F3" s="158"/>
      <c r="G3" s="158"/>
      <c r="H3" s="158"/>
      <c r="I3" s="158"/>
      <c r="J3" s="102"/>
      <c r="K3" s="102"/>
      <c r="L3" s="123">
        <v>45818</v>
      </c>
      <c r="M3" s="4"/>
    </row>
    <row r="4" spans="1:19" ht="15.95" customHeight="1">
      <c r="A4" s="161" t="s">
        <v>2</v>
      </c>
      <c r="B4" s="162" t="s">
        <v>3</v>
      </c>
      <c r="C4" s="162"/>
      <c r="D4" s="163" t="s">
        <v>4</v>
      </c>
      <c r="E4" s="164"/>
      <c r="F4" s="165"/>
      <c r="G4" s="169" t="s">
        <v>5</v>
      </c>
      <c r="H4" s="159" t="s">
        <v>6</v>
      </c>
      <c r="I4" s="159" t="s">
        <v>96</v>
      </c>
      <c r="J4" s="161" t="s">
        <v>97</v>
      </c>
      <c r="K4" s="159" t="s">
        <v>0</v>
      </c>
      <c r="L4" s="162" t="s">
        <v>7</v>
      </c>
    </row>
    <row r="5" spans="1:19" ht="15.95" customHeight="1">
      <c r="A5" s="161"/>
      <c r="B5" s="162"/>
      <c r="C5" s="162"/>
      <c r="D5" s="166"/>
      <c r="E5" s="167"/>
      <c r="F5" s="168"/>
      <c r="G5" s="170"/>
      <c r="H5" s="160"/>
      <c r="I5" s="160"/>
      <c r="J5" s="161"/>
      <c r="K5" s="160"/>
      <c r="L5" s="162"/>
    </row>
    <row r="6" spans="1:19" ht="56.25" customHeight="1">
      <c r="A6" s="5">
        <f t="shared" ref="A6:A14" si="0">ROW(A1)</f>
        <v>1</v>
      </c>
      <c r="B6" s="138" t="s">
        <v>119</v>
      </c>
      <c r="C6" s="139"/>
      <c r="D6" s="149" t="s">
        <v>120</v>
      </c>
      <c r="E6" s="150"/>
      <c r="F6" s="151"/>
      <c r="G6" s="112" t="s">
        <v>117</v>
      </c>
      <c r="H6" s="113">
        <v>10</v>
      </c>
      <c r="I6" s="114">
        <v>150</v>
      </c>
      <c r="J6" s="114">
        <f>H6*I6</f>
        <v>1500</v>
      </c>
      <c r="K6" s="115" t="s">
        <v>101</v>
      </c>
      <c r="L6" s="133" t="s">
        <v>118</v>
      </c>
      <c r="S6" s="107"/>
    </row>
    <row r="7" spans="1:19" ht="56.25" customHeight="1">
      <c r="A7" s="5">
        <v>2</v>
      </c>
      <c r="B7" s="138"/>
      <c r="C7" s="139"/>
      <c r="D7" s="149"/>
      <c r="E7" s="150"/>
      <c r="F7" s="151"/>
      <c r="G7" s="112"/>
      <c r="H7" s="113"/>
      <c r="I7" s="114"/>
      <c r="J7" s="114"/>
      <c r="K7" s="115"/>
      <c r="L7" s="116"/>
      <c r="S7" s="107"/>
    </row>
    <row r="8" spans="1:19" ht="56.25" customHeight="1">
      <c r="A8" s="5">
        <f t="shared" si="0"/>
        <v>3</v>
      </c>
      <c r="B8" s="138"/>
      <c r="C8" s="139"/>
      <c r="D8" s="149"/>
      <c r="E8" s="150"/>
      <c r="F8" s="151"/>
      <c r="G8" s="112"/>
      <c r="H8" s="113"/>
      <c r="I8" s="114"/>
      <c r="J8" s="114"/>
      <c r="K8" s="115"/>
      <c r="L8" s="116"/>
      <c r="S8" s="107"/>
    </row>
    <row r="9" spans="1:19" ht="22.5" customHeight="1">
      <c r="A9" s="5"/>
      <c r="B9" s="138"/>
      <c r="C9" s="139"/>
      <c r="D9" s="140"/>
      <c r="E9" s="141"/>
      <c r="F9" s="142"/>
      <c r="G9" s="112"/>
      <c r="H9" s="113"/>
      <c r="I9" s="117"/>
      <c r="J9" s="114"/>
      <c r="K9" s="115"/>
      <c r="L9" s="112"/>
      <c r="S9" s="107"/>
    </row>
    <row r="10" spans="1:19" ht="22.5" hidden="1" customHeight="1">
      <c r="A10" s="5">
        <f t="shared" si="0"/>
        <v>5</v>
      </c>
      <c r="B10" s="138"/>
      <c r="C10" s="139"/>
      <c r="D10" s="140"/>
      <c r="E10" s="141"/>
      <c r="F10" s="142"/>
      <c r="G10" s="112"/>
      <c r="H10" s="113"/>
      <c r="I10" s="114"/>
      <c r="J10" s="114"/>
      <c r="K10" s="115"/>
      <c r="L10" s="133"/>
      <c r="S10" s="107"/>
    </row>
    <row r="11" spans="1:19" ht="22.5" hidden="1" customHeight="1">
      <c r="A11" s="5">
        <v>4</v>
      </c>
      <c r="B11" s="147"/>
      <c r="C11" s="147"/>
      <c r="D11" s="148"/>
      <c r="E11" s="148"/>
      <c r="F11" s="148"/>
      <c r="G11" s="112"/>
      <c r="H11" s="113"/>
      <c r="I11" s="117"/>
      <c r="J11" s="114"/>
      <c r="K11" s="115"/>
      <c r="L11" s="112"/>
      <c r="S11" s="107"/>
    </row>
    <row r="12" spans="1:19" ht="22.5" hidden="1" customHeight="1">
      <c r="A12" s="5">
        <f t="shared" si="0"/>
        <v>7</v>
      </c>
      <c r="B12" s="138"/>
      <c r="C12" s="139"/>
      <c r="D12" s="140"/>
      <c r="E12" s="141"/>
      <c r="F12" s="142"/>
      <c r="G12" s="112"/>
      <c r="H12" s="113"/>
      <c r="I12" s="114"/>
      <c r="J12" s="114"/>
      <c r="K12" s="115"/>
      <c r="L12" s="116"/>
      <c r="S12" s="107"/>
    </row>
    <row r="13" spans="1:19" ht="22.5" hidden="1" customHeight="1">
      <c r="A13" s="5">
        <v>5</v>
      </c>
      <c r="B13" s="138"/>
      <c r="C13" s="139"/>
      <c r="D13" s="140"/>
      <c r="E13" s="141"/>
      <c r="F13" s="142"/>
      <c r="G13" s="112"/>
      <c r="H13" s="113"/>
      <c r="I13" s="114"/>
      <c r="J13" s="114"/>
      <c r="K13" s="115"/>
      <c r="L13" s="116"/>
      <c r="S13" s="107"/>
    </row>
    <row r="14" spans="1:19" ht="22.5" hidden="1" customHeight="1">
      <c r="A14" s="5">
        <f t="shared" si="0"/>
        <v>9</v>
      </c>
      <c r="B14" s="128"/>
      <c r="C14" s="129"/>
      <c r="D14" s="130"/>
      <c r="E14" s="131"/>
      <c r="F14" s="132"/>
      <c r="G14" s="112"/>
      <c r="H14" s="113"/>
      <c r="I14" s="114"/>
      <c r="J14" s="114"/>
      <c r="K14" s="115"/>
      <c r="L14" s="116"/>
      <c r="S14" s="107"/>
    </row>
    <row r="15" spans="1:19" ht="22.5" hidden="1" customHeight="1">
      <c r="A15" s="5">
        <v>6</v>
      </c>
      <c r="B15" s="138"/>
      <c r="C15" s="139"/>
      <c r="D15" s="140"/>
      <c r="E15" s="141"/>
      <c r="F15" s="142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43" t="s">
        <v>8</v>
      </c>
      <c r="B16" s="144"/>
      <c r="C16" s="118"/>
      <c r="D16" s="119"/>
      <c r="E16" s="119"/>
      <c r="F16" s="119"/>
      <c r="G16" s="120"/>
      <c r="H16" s="120"/>
      <c r="I16" s="121" t="s">
        <v>9</v>
      </c>
      <c r="J16" s="114">
        <f>SUM(J6:J15)</f>
        <v>1500</v>
      </c>
      <c r="K16" s="114"/>
      <c r="L16" s="122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6"/>
      <c r="T19" s="14"/>
      <c r="U19" s="15"/>
      <c r="V19" s="14"/>
    </row>
    <row r="20" spans="1:22" ht="17.100000000000001" customHeight="1">
      <c r="O20" s="11"/>
      <c r="P20" s="11"/>
      <c r="Q20" s="11"/>
      <c r="S20" s="13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34" t="s">
        <v>17</v>
      </c>
      <c r="Q21" s="134" t="s">
        <v>18</v>
      </c>
    </row>
    <row r="22" spans="1:22" ht="18" customHeight="1">
      <c r="O22" s="18" t="s">
        <v>19</v>
      </c>
      <c r="P22" s="136"/>
      <c r="Q22" s="136"/>
      <c r="S22" s="14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7"/>
      <c r="P27" s="137"/>
      <c r="Q27" s="137"/>
    </row>
    <row r="28" spans="1:22" ht="19.899999999999999" customHeight="1">
      <c r="O28" s="137"/>
      <c r="P28" s="137"/>
      <c r="Q28" s="13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34" t="s">
        <v>21</v>
      </c>
    </row>
    <row r="41" spans="15:22" ht="19.899999999999999" customHeight="1">
      <c r="T41" s="136"/>
    </row>
    <row r="42" spans="15:22" ht="64.900000000000006" customHeight="1">
      <c r="T42" s="14"/>
    </row>
    <row r="46" spans="15:22" ht="21" customHeight="1">
      <c r="O46" s="134" t="s">
        <v>21</v>
      </c>
      <c r="P46" s="134" t="s">
        <v>21</v>
      </c>
      <c r="Q46" s="134" t="s">
        <v>21</v>
      </c>
      <c r="T46" s="134" t="s">
        <v>22</v>
      </c>
      <c r="U46" s="134" t="s">
        <v>13</v>
      </c>
      <c r="V46" s="134" t="s">
        <v>21</v>
      </c>
    </row>
    <row r="47" spans="15:22" ht="21" customHeight="1">
      <c r="O47" s="136"/>
      <c r="P47" s="136"/>
      <c r="Q47" s="136"/>
      <c r="T47" s="135"/>
      <c r="U47" s="135"/>
      <c r="V47" s="13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34" t="s">
        <v>21</v>
      </c>
      <c r="P50" s="134" t="s">
        <v>21</v>
      </c>
      <c r="Q50" s="134" t="s">
        <v>21</v>
      </c>
      <c r="T50" s="134" t="s">
        <v>13</v>
      </c>
      <c r="U50" s="134" t="s">
        <v>22</v>
      </c>
      <c r="V50" s="134" t="s">
        <v>21</v>
      </c>
    </row>
    <row r="51" spans="15:22" ht="21" customHeight="1">
      <c r="O51" s="136"/>
      <c r="P51" s="136"/>
      <c r="Q51" s="136"/>
      <c r="T51" s="135"/>
      <c r="U51" s="135"/>
      <c r="V51" s="13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81" t="str">
        <f>+MRS!J1</f>
        <v>DAESHIN PLANT</v>
      </c>
      <c r="K1" s="182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83" t="str">
        <f>+MRS!J2</f>
        <v>Subcontract name (SAC2-SC-IK-SMP-01)</v>
      </c>
      <c r="K2" s="184"/>
    </row>
    <row r="3" spans="1:18" ht="24.95" customHeight="1">
      <c r="A3" s="3" t="str">
        <f>+MRS!A3</f>
        <v xml:space="preserve">  MRS No : SAC2-DS-MRS-0082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45818</v>
      </c>
    </row>
    <row r="4" spans="1:18" ht="15.95" customHeight="1">
      <c r="A4" s="185" t="s">
        <v>2</v>
      </c>
      <c r="B4" s="186" t="s">
        <v>23</v>
      </c>
      <c r="C4" s="186"/>
      <c r="D4" s="185" t="s">
        <v>4</v>
      </c>
      <c r="E4" s="185"/>
      <c r="F4" s="185"/>
      <c r="G4" s="186" t="s">
        <v>5</v>
      </c>
      <c r="H4" s="185" t="s">
        <v>91</v>
      </c>
      <c r="I4" s="185" t="s">
        <v>24</v>
      </c>
      <c r="J4" s="185" t="s">
        <v>25</v>
      </c>
      <c r="K4" s="186" t="s">
        <v>7</v>
      </c>
    </row>
    <row r="5" spans="1:18" ht="15.95" customHeight="1">
      <c r="A5" s="185"/>
      <c r="B5" s="186"/>
      <c r="C5" s="186"/>
      <c r="D5" s="185"/>
      <c r="E5" s="185"/>
      <c r="F5" s="185"/>
      <c r="G5" s="186"/>
      <c r="H5" s="185"/>
      <c r="I5" s="185"/>
      <c r="J5" s="185"/>
      <c r="K5" s="186"/>
    </row>
    <row r="6" spans="1:18" ht="105" customHeight="1">
      <c r="A6" s="21">
        <f>+MRS!A6</f>
        <v>1</v>
      </c>
      <c r="B6" s="176" t="str">
        <f>MRS!B6</f>
        <v>Hydrocell XL 20mm Sheet</v>
      </c>
      <c r="C6" s="177"/>
      <c r="D6" s="178" t="str">
        <f>MRS!D6</f>
        <v>(1000mmX2000mm)
High performance, cross linked, closed cell, nonabsorbent, polyethylene joint filler</v>
      </c>
      <c r="E6" s="179"/>
      <c r="F6" s="180"/>
      <c r="G6" s="104" t="str">
        <f>MRS!G6</f>
        <v>EA</v>
      </c>
      <c r="H6" s="104">
        <f>MRS!H6</f>
        <v>10</v>
      </c>
      <c r="I6" s="105">
        <f>MRS!I6</f>
        <v>150</v>
      </c>
      <c r="J6" s="105">
        <f>MRS!J6</f>
        <v>1500</v>
      </c>
      <c r="K6" s="106"/>
      <c r="O6" s="107"/>
      <c r="P6" s="107"/>
      <c r="R6" s="107"/>
    </row>
    <row r="7" spans="1:18" ht="105" customHeight="1">
      <c r="A7" s="21" t="e">
        <f>+MRS!#REF!</f>
        <v>#REF!</v>
      </c>
      <c r="B7" s="176">
        <f>MRS!B7</f>
        <v>0</v>
      </c>
      <c r="C7" s="177"/>
      <c r="D7" s="178">
        <f>MRS!D7</f>
        <v>0</v>
      </c>
      <c r="E7" s="179"/>
      <c r="F7" s="180"/>
      <c r="G7" s="104">
        <f>MRS!G7</f>
        <v>0</v>
      </c>
      <c r="H7" s="104">
        <f>MRS!H7</f>
        <v>0</v>
      </c>
      <c r="I7" s="105">
        <f>MRS!I7</f>
        <v>0</v>
      </c>
      <c r="J7" s="105">
        <f>MRS!J7</f>
        <v>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76">
        <f>MRS!B8</f>
        <v>0</v>
      </c>
      <c r="C8" s="177"/>
      <c r="D8" s="178">
        <f>MRS!D8</f>
        <v>0</v>
      </c>
      <c r="E8" s="179"/>
      <c r="F8" s="180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76">
        <f>MRS!B9</f>
        <v>0</v>
      </c>
      <c r="C9" s="177"/>
      <c r="D9" s="178">
        <f>MRS!D9</f>
        <v>0</v>
      </c>
      <c r="E9" s="179"/>
      <c r="F9" s="180"/>
      <c r="G9" s="104">
        <f>MRS!G9</f>
        <v>0</v>
      </c>
      <c r="H9" s="104">
        <f>MRS!H9</f>
        <v>0</v>
      </c>
      <c r="I9" s="105">
        <f>MRS!I9</f>
        <v>0</v>
      </c>
      <c r="J9" s="105">
        <f>MRS!J9</f>
        <v>0</v>
      </c>
      <c r="K9" s="106"/>
      <c r="O9" s="107"/>
      <c r="P9" s="107"/>
      <c r="R9" s="107"/>
    </row>
    <row r="10" spans="1:18" ht="105" customHeight="1">
      <c r="A10" s="21">
        <f>+MRS!A9</f>
        <v>0</v>
      </c>
      <c r="B10" s="176">
        <f>MRS!B10</f>
        <v>0</v>
      </c>
      <c r="C10" s="177"/>
      <c r="D10" s="178">
        <f>MRS!D10</f>
        <v>0</v>
      </c>
      <c r="E10" s="179"/>
      <c r="F10" s="180"/>
      <c r="G10" s="104">
        <f>MRS!G10</f>
        <v>0</v>
      </c>
      <c r="H10" s="104">
        <f>MRS!H10</f>
        <v>0</v>
      </c>
      <c r="I10" s="105">
        <f>MRS!I10</f>
        <v>0</v>
      </c>
      <c r="J10" s="105">
        <f>MRS!J10</f>
        <v>0</v>
      </c>
      <c r="K10" s="106"/>
      <c r="O10" s="107"/>
      <c r="P10" s="107"/>
      <c r="R10" s="107"/>
    </row>
    <row r="11" spans="1:18" ht="105" customHeight="1">
      <c r="A11" s="21">
        <f>+MRS!A10</f>
        <v>5</v>
      </c>
      <c r="B11" s="171"/>
      <c r="C11" s="172"/>
      <c r="D11" s="173"/>
      <c r="E11" s="174"/>
      <c r="F11" s="175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+MRS!A11</f>
        <v>4</v>
      </c>
      <c r="B12" s="171"/>
      <c r="C12" s="172"/>
      <c r="D12" s="173"/>
      <c r="E12" s="174"/>
      <c r="F12" s="175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+MRS!A12</f>
        <v>7</v>
      </c>
      <c r="B13" s="171"/>
      <c r="C13" s="172"/>
      <c r="D13" s="173"/>
      <c r="E13" s="174"/>
      <c r="F13" s="175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+MRS!A13</f>
        <v>5</v>
      </c>
      <c r="B14" s="171"/>
      <c r="C14" s="172"/>
      <c r="D14" s="173"/>
      <c r="E14" s="174"/>
      <c r="F14" s="175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6</v>
      </c>
      <c r="B15" s="171"/>
      <c r="C15" s="172"/>
      <c r="D15" s="173"/>
      <c r="E15" s="174"/>
      <c r="F15" s="175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zoomScale="130" zoomScaleSheetLayoutView="130" workbookViewId="0">
      <selection activeCell="F31" sqref="F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102</v>
      </c>
      <c r="D9" s="39"/>
      <c r="E9" s="39"/>
    </row>
    <row r="10" spans="2:13" s="39" customFormat="1">
      <c r="B10" s="72"/>
      <c r="C10" s="39" t="s">
        <v>32</v>
      </c>
      <c r="D10" s="76" t="s">
        <v>103</v>
      </c>
      <c r="J10" s="39" t="s">
        <v>33</v>
      </c>
      <c r="K10" s="188">
        <f>MRS!L3</f>
        <v>45818</v>
      </c>
      <c r="L10" s="189"/>
      <c r="M10" s="189"/>
    </row>
    <row r="11" spans="2:13" s="39" customFormat="1">
      <c r="B11" s="72"/>
      <c r="C11" s="75" t="s">
        <v>34</v>
      </c>
      <c r="D11" s="76" t="s">
        <v>105</v>
      </c>
      <c r="J11" s="39" t="s">
        <v>35</v>
      </c>
      <c r="K11" s="190" t="str">
        <f>SUBSTITUTE(SUBSTITUTE(+MRS!A3,"  MRS No : ",""),"-MRS","-PO")</f>
        <v>SAC2-DS-PO-0082</v>
      </c>
      <c r="L11" s="190"/>
      <c r="M11" s="190"/>
    </row>
    <row r="12" spans="2:13" s="39" customFormat="1">
      <c r="B12" s="72"/>
      <c r="C12" s="75" t="s">
        <v>36</v>
      </c>
      <c r="D12" s="39" t="s">
        <v>113</v>
      </c>
      <c r="J12" s="39" t="s">
        <v>37</v>
      </c>
    </row>
    <row r="13" spans="2:13" s="39" customFormat="1">
      <c r="B13" s="72"/>
      <c r="C13" s="77"/>
      <c r="D13" s="76" t="s">
        <v>114</v>
      </c>
      <c r="J13" s="39" t="s">
        <v>38</v>
      </c>
    </row>
    <row r="14" spans="2:13" s="39" customFormat="1">
      <c r="B14" s="72"/>
      <c r="C14" s="77" t="s">
        <v>104</v>
      </c>
      <c r="J14" s="39" t="s">
        <v>39</v>
      </c>
      <c r="K14" s="39" t="s">
        <v>112</v>
      </c>
    </row>
    <row r="15" spans="2:13" s="39" customFormat="1">
      <c r="C15" s="77" t="s">
        <v>115</v>
      </c>
      <c r="J15" s="39" t="s">
        <v>40</v>
      </c>
      <c r="K15" s="78">
        <v>45818</v>
      </c>
    </row>
    <row r="16" spans="2:13" ht="12" customHeight="1">
      <c r="C16" s="29"/>
      <c r="K16" s="30"/>
    </row>
    <row r="17" spans="2:13" ht="20.25">
      <c r="B17" s="191" t="s">
        <v>41</v>
      </c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</row>
    <row r="18" spans="2:13" ht="12" customHeight="1"/>
    <row r="19" spans="2:13" s="31" customFormat="1" ht="12" customHeight="1">
      <c r="B19" s="192" t="s">
        <v>42</v>
      </c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</row>
    <row r="20" spans="2:13" s="31" customFormat="1" ht="12" customHeight="1">
      <c r="B20" s="192" t="s">
        <v>43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31" customFormat="1" ht="12" customHeight="1">
      <c r="B21" s="192" t="s">
        <v>44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ht="6.95" customHeight="1"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111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95">
        <v>1500</v>
      </c>
      <c r="G28" s="195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95">
        <f>F28*15%</f>
        <v>225</v>
      </c>
      <c r="G29" s="195"/>
    </row>
    <row r="30" spans="2:13" ht="15" customHeight="1">
      <c r="B30" s="32"/>
      <c r="C30" s="26" t="s">
        <v>51</v>
      </c>
      <c r="D30" s="35"/>
      <c r="E30" s="26" t="s">
        <v>49</v>
      </c>
      <c r="F30" s="195">
        <f>SUM(F28:G29)</f>
        <v>1725</v>
      </c>
      <c r="G30" s="195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JIHAD SHALLA</v>
      </c>
    </row>
    <row r="59" spans="1:13" ht="18" customHeight="1">
      <c r="B59" s="26" t="s">
        <v>71</v>
      </c>
      <c r="J59" s="26" t="s">
        <v>72</v>
      </c>
      <c r="K59" s="22" t="s">
        <v>106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108</v>
      </c>
      <c r="J61" s="32" t="str">
        <f>C9</f>
        <v>FCL(Fosam Company Ltd.)</v>
      </c>
    </row>
    <row r="62" spans="1:13" ht="27.95" customHeight="1">
      <c r="A62" s="187" t="s">
        <v>75</v>
      </c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E29" sqref="E2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SAC2-DS-PO-0082</v>
      </c>
      <c r="C2" s="202" t="s">
        <v>77</v>
      </c>
      <c r="D2" s="202"/>
      <c r="E2" s="202"/>
      <c r="F2" s="202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45818</v>
      </c>
      <c r="C3" s="51"/>
      <c r="D3" s="52"/>
      <c r="E3" s="203" t="s">
        <v>79</v>
      </c>
      <c r="F3" s="203"/>
      <c r="G3" s="203"/>
      <c r="H3" s="203"/>
      <c r="I3" s="53"/>
    </row>
    <row r="4" spans="1:13" s="55" customFormat="1" ht="28.5" customHeight="1" thickTop="1">
      <c r="A4" s="204" t="s">
        <v>80</v>
      </c>
      <c r="B4" s="206" t="s">
        <v>81</v>
      </c>
      <c r="C4" s="207"/>
      <c r="D4" s="210" t="s">
        <v>82</v>
      </c>
      <c r="E4" s="210" t="s">
        <v>83</v>
      </c>
      <c r="F4" s="212" t="str">
        <f>'PO 1st page'!C9</f>
        <v>FCL(Fosam Company Ltd.)</v>
      </c>
      <c r="G4" s="213"/>
      <c r="H4" s="214" t="s">
        <v>84</v>
      </c>
      <c r="K4" s="56"/>
      <c r="L4" s="56"/>
      <c r="M4" s="56"/>
    </row>
    <row r="5" spans="1:13" s="55" customFormat="1" ht="21.95" customHeight="1">
      <c r="A5" s="205"/>
      <c r="B5" s="208"/>
      <c r="C5" s="209"/>
      <c r="D5" s="211"/>
      <c r="E5" s="211"/>
      <c r="F5" s="57" t="s">
        <v>85</v>
      </c>
      <c r="G5" s="57" t="s">
        <v>51</v>
      </c>
      <c r="H5" s="215"/>
      <c r="K5" s="56"/>
      <c r="L5" s="56"/>
      <c r="M5" s="56"/>
    </row>
    <row r="6" spans="1:13" s="55" customFormat="1" ht="73.5" customHeight="1">
      <c r="A6" s="85">
        <f t="shared" ref="A6:A17" si="0">ROW(A1)</f>
        <v>1</v>
      </c>
      <c r="B6" s="216" t="s">
        <v>116</v>
      </c>
      <c r="C6" s="217"/>
      <c r="D6" s="86" t="str">
        <f>+'MRS LIST'!G6</f>
        <v>EA</v>
      </c>
      <c r="E6" s="87">
        <f>+'MRS LIST'!H6</f>
        <v>10</v>
      </c>
      <c r="F6" s="88">
        <f>+'MRS LIST'!I6</f>
        <v>150</v>
      </c>
      <c r="G6" s="89">
        <f>+'MRS LIST'!J6</f>
        <v>1500</v>
      </c>
      <c r="H6" s="90" t="str">
        <f>MRS!L6</f>
        <v>One time</v>
      </c>
      <c r="K6" s="91"/>
      <c r="L6" s="92"/>
      <c r="M6" s="56"/>
    </row>
    <row r="7" spans="1:13" s="55" customFormat="1" ht="31.5" customHeight="1">
      <c r="A7" s="85">
        <v>2</v>
      </c>
      <c r="B7" s="216"/>
      <c r="C7" s="217"/>
      <c r="D7" s="86"/>
      <c r="E7" s="87"/>
      <c r="F7" s="88">
        <f>+'MRS LIST'!I7</f>
        <v>0</v>
      </c>
      <c r="G7" s="89">
        <f>+'MRS LIST'!J7</f>
        <v>0</v>
      </c>
      <c r="H7" s="90"/>
      <c r="K7" s="91"/>
      <c r="L7" s="92"/>
      <c r="M7" s="56"/>
    </row>
    <row r="8" spans="1:13" s="55" customFormat="1" ht="31.5" customHeight="1">
      <c r="A8" s="93">
        <v>3</v>
      </c>
      <c r="B8" s="216"/>
      <c r="C8" s="217"/>
      <c r="D8" s="86"/>
      <c r="E8" s="87"/>
      <c r="F8" s="88">
        <f>+'MRS LIST'!I8</f>
        <v>0</v>
      </c>
      <c r="G8" s="89">
        <f>+'MRS LIST'!J8</f>
        <v>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6"/>
      <c r="C9" s="217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6"/>
      <c r="C10" s="217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200"/>
      <c r="C11" s="201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200"/>
      <c r="C12" s="20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0"/>
      <c r="C13" s="20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0"/>
      <c r="C14" s="20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0"/>
      <c r="C15" s="20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0"/>
      <c r="C16" s="20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0"/>
      <c r="C17" s="201"/>
      <c r="D17" s="94"/>
      <c r="E17" s="95"/>
      <c r="F17" s="96"/>
      <c r="G17" s="97"/>
      <c r="H17" s="98"/>
    </row>
    <row r="18" spans="1:13" s="55" customFormat="1" ht="23.1" customHeight="1">
      <c r="A18" s="196" t="s">
        <v>86</v>
      </c>
      <c r="B18" s="197"/>
      <c r="C18" s="197"/>
      <c r="D18" s="197"/>
      <c r="E18" s="197"/>
      <c r="F18" s="197"/>
      <c r="G18" s="58">
        <f>SUM(G6:G17)</f>
        <v>1500</v>
      </c>
      <c r="H18" s="59"/>
    </row>
    <row r="19" spans="1:13" s="55" customFormat="1" ht="23.1" customHeight="1">
      <c r="A19" s="196" t="s">
        <v>50</v>
      </c>
      <c r="B19" s="197"/>
      <c r="C19" s="197"/>
      <c r="D19" s="197"/>
      <c r="E19" s="197"/>
      <c r="F19" s="197"/>
      <c r="G19" s="58">
        <f>+G18*0.15</f>
        <v>225</v>
      </c>
      <c r="H19" s="59"/>
    </row>
    <row r="20" spans="1:13" s="55" customFormat="1" ht="23.1" customHeight="1">
      <c r="A20" s="196" t="s">
        <v>99</v>
      </c>
      <c r="B20" s="197"/>
      <c r="C20" s="197"/>
      <c r="D20" s="197"/>
      <c r="E20" s="197"/>
      <c r="F20" s="197"/>
      <c r="G20" s="126">
        <v>0</v>
      </c>
      <c r="H20" s="127"/>
    </row>
    <row r="21" spans="1:13" s="55" customFormat="1" ht="24.95" customHeight="1" thickBot="1">
      <c r="A21" s="198" t="s">
        <v>87</v>
      </c>
      <c r="B21" s="199"/>
      <c r="C21" s="199"/>
      <c r="D21" s="199"/>
      <c r="E21" s="199"/>
      <c r="F21" s="199"/>
      <c r="G21" s="60">
        <f>SUM(G18:G20)</f>
        <v>1725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QUO-191542-M5J2Z2-0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87" t="s">
        <v>89</v>
      </c>
      <c r="B25" s="187"/>
      <c r="C25" s="187"/>
      <c r="D25" s="187"/>
      <c r="E25" s="187"/>
      <c r="F25" s="187"/>
      <c r="G25" s="187"/>
      <c r="H25" s="187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2025-06-10T08:53:45Z</cp:lastPrinted>
  <dcterms:created xsi:type="dcterms:W3CDTF">2024-10-20T11:50:19Z</dcterms:created>
  <dcterms:modified xsi:type="dcterms:W3CDTF">2025-06-10T11:31:37Z</dcterms:modified>
</cp:coreProperties>
</file>