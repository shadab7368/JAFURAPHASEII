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D5E4B2C-31C3-4C3B-BC91-AF46424DF22A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F28" i="3" l="1"/>
  <c r="F29" i="3" s="1"/>
  <c r="F30" i="3" s="1"/>
  <c r="C25" i="3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<sst xmlns="http://schemas.openxmlformats.org/spreadsheetml/2006/main" count="165" uniqueCount="136">
  <si>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</si>
  <si>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</si>
  <si>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</si>
  <si>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</si>
  <si>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</si>
  <si>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</si>
  <si>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</si>
  <si>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</si>
  <si>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</si>
  <si>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</si>
  <si>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</si>
  <si>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</si>
  <si>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</si>
  <si>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</si>
  <si>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</si>
  <si>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</si>
  <si>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</si>
  <si>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</si>
  <si>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</si>
  <si>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</si>
  <si>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</si>
  <si>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</si>
  <si>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</si>
  <si>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</si>
  <si>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</si>
  <si>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</si>
  <si>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</si>
  <si>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</si>
  <si>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</si>
  <si>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</si>
  <si>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</si>
  <si>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</si>
  <si>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</si>
  <si>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</si>
  <si>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</si>
  <si>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</si>
  <si>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</si>
  <si>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</si>
  <si>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</si>
  <si>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</si>
  <si>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</si>
  <si>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</si>
  <si>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</si>
  <si>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</si>
  <si>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</si>
  <si>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</si>
  <si>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</si>
  <si>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</si>
  <si>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</si>
  <si>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</si>
  <si>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</si>
  <si>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</si>
  <si>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</si>
  <si>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</si>
  <si>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</si>
  <si>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</si>
  <si>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</si>
  <si>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</si>
  <si>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</si>
  <si>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</si>
  <si>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</si>
  <si>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</si>
  <si>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</si>
  <si>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</si>
  <si>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</si>
  <si>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</si>
  <si>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</si>
  <si>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</si>
  <si>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</si>
  <si>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</si>
  <si>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</si>
  <si>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</si>
  <si>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</si>
  <si>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</si>
  <si>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</si>
  <si>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</si>
  <si>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</si>
  <si>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</si>
  <si>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</si>
  <si>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</si>
  <si>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</si>
  <si>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</si>
  <si>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</si>
  <si>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</si>
  <si>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</si>
  <si>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</si>
  <si>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</si>
  <si>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</si>
  <si>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</si>
  <si>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</si>
  <si>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</si>
  <si>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</si>
  <si>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</si>
  <si>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</si>
  <si>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</si>
  <si>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</si>
  <si>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</si>
  <si>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</si>
  <si>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</si>
  <si>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</si>
  <si>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</si>
  <si>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</si>
  <si>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</si>
  <si>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</si>
  <si>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</si>
  <si>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</si>
  <si>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</si>
  <si>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</si>
  <si>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</si>
  <si>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</si>
  <si>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</si>
  <si>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</si>
  <si>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</si>
  <si>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-MRS-0407</t>
    </r>
  </si>
  <si>
    <t>Conbextra GP (25kg)</t>
  </si>
  <si>
    <t>General purpose non-shrink cementitious grout consumption rate 13.25 liters/bag 7 days</t>
  </si>
  <si>
    <t>KG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</si>
  <si>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</si>
  <si>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</si>
  <si>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QUO-187472-N0J7L8-0</t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</si>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</sst>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117</v>
      </c>
      <c r="B1" s="135"/>
      <c r="C1" s="107"/>
      <c r="D1" s="107"/>
      <c r="E1" s="107"/>
      <c r="F1" s="107"/>
      <c r="G1" s="1"/>
      <c r="J1" s="165" t="s">
        <v>81</v>
      </c>
      <c r="K1" s="166"/>
      <c r="L1" s="167"/>
    </row>
    <row r="2" spans="1:19" ht="20.100000000000001" customHeight="1">
      <c r="A2" s="3" t="s">
        <v>1</v>
      </c>
      <c r="B2" s="98"/>
      <c r="C2" s="98"/>
      <c r="D2" s="3" t="s">
        <v>118</v>
      </c>
      <c r="E2" s="98"/>
      <c r="F2" s="98"/>
      <c r="G2" s="98"/>
      <c r="H2" s="98"/>
      <c r="I2" s="4"/>
      <c r="J2" s="168" t="s">
        <v>88</v>
      </c>
      <c r="K2" s="169"/>
      <c r="L2" s="170"/>
    </row>
    <row r="3" spans="1:19" ht="20.100000000000001" customHeight="1">
      <c r="A3" s="3" t="s">
        <v>113</v>
      </c>
      <c r="B3" s="98"/>
      <c r="C3" s="98"/>
      <c r="D3" s="98"/>
      <c r="E3" s="171">
        <f>+L3+3</f>
        <v>46243</v>
      </c>
      <c r="F3" s="171"/>
      <c r="G3" s="171"/>
      <c r="H3" s="171"/>
      <c r="I3" s="171"/>
      <c r="J3" s="98"/>
      <c r="K3" s="98"/>
      <c r="L3" s="136">
        <v>46240</v>
      </c>
      <c r="M3" s="4"/>
    </row>
    <row r="4" spans="1:19" ht="15.95" customHeight="1">
      <c r="A4" s="174" t="s">
        <v>2</v>
      </c>
      <c r="B4" s="175" t="s">
        <v>3</v>
      </c>
      <c r="C4" s="175"/>
      <c r="D4" s="176" t="s">
        <v>4</v>
      </c>
      <c r="E4" s="177"/>
      <c r="F4" s="178"/>
      <c r="G4" s="182" t="s">
        <v>5</v>
      </c>
      <c r="H4" s="172" t="s">
        <v>6</v>
      </c>
      <c r="I4" s="172" t="s">
        <v>120</v>
      </c>
      <c r="J4" s="174" t="s">
        <v>121</v>
      </c>
      <c r="K4" s="172" t="s">
        <v>0</v>
      </c>
      <c r="L4" s="175" t="s">
        <v>7</v>
      </c>
    </row>
    <row r="5" spans="1:19" ht="19.5" customHeight="1">
      <c r="A5" s="174"/>
      <c r="B5" s="175"/>
      <c r="C5" s="175"/>
      <c r="D5" s="179"/>
      <c r="E5" s="180"/>
      <c r="F5" s="181"/>
      <c r="G5" s="183"/>
      <c r="H5" s="173"/>
      <c r="I5" s="173"/>
      <c r="J5" s="174"/>
      <c r="K5" s="173"/>
      <c r="L5" s="175"/>
    </row>
    <row r="6" spans="1:19" ht="56.25" customHeight="1">
      <c r="A6" s="5">
        <f t="shared" ref="A6:A14" si="0">ROW(A1)</f>
        <v>1</v>
      </c>
      <c r="B6" s="153" t="s">
        <v>114</v>
      </c>
      <c r="C6" s="154"/>
      <c r="D6" s="162" t="s">
        <v>115</v>
      </c>
      <c r="E6" s="163"/>
      <c r="F6" s="164"/>
      <c r="G6" s="108" t="s">
        <v>116</v>
      </c>
      <c r="H6" s="109">
        <v>1000</v>
      </c>
      <c r="I6" s="110">
        <v>14</v>
      </c>
      <c r="J6" s="110">
        <f>H6*I6</f>
        <v>14000</v>
      </c>
      <c r="K6" s="111" t="s">
        <v>89</v>
      </c>
      <c r="L6" s="126" t="s">
        <v>94</v>
      </c>
      <c r="S6" s="103"/>
    </row>
    <row r="7" spans="1:19" ht="64.5" customHeight="1">
      <c r="A7" s="5"/>
      <c r="B7" s="153"/>
      <c r="C7" s="154"/>
      <c r="D7" s="162"/>
      <c r="E7" s="163"/>
      <c r="F7" s="164"/>
      <c r="G7" s="108"/>
      <c r="H7" s="109"/>
      <c r="I7" s="110"/>
      <c r="J7" s="110">
        <f>H7*I7</f>
        <v>0</v>
      </c>
      <c r="K7" s="111"/>
      <c r="L7" s="112"/>
      <c r="S7" s="103"/>
    </row>
    <row r="8" spans="1:19" ht="56.25" customHeight="1">
      <c r="A8" s="5"/>
      <c r="B8" s="153"/>
      <c r="C8" s="154"/>
      <c r="D8" s="162"/>
      <c r="E8" s="163"/>
      <c r="F8" s="164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3"/>
      <c r="C9" s="154"/>
      <c r="D9" s="155"/>
      <c r="E9" s="156"/>
      <c r="F9" s="157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3"/>
      <c r="C10" s="154"/>
      <c r="D10" s="155"/>
      <c r="E10" s="156"/>
      <c r="F10" s="157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0"/>
      <c r="C11" s="160"/>
      <c r="D11" s="161"/>
      <c r="E11" s="161"/>
      <c r="F11" s="161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3"/>
      <c r="C12" s="154"/>
      <c r="D12" s="155"/>
      <c r="E12" s="156"/>
      <c r="F12" s="157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3"/>
      <c r="C13" s="154"/>
      <c r="D13" s="155"/>
      <c r="E13" s="156"/>
      <c r="F13" s="157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3"/>
      <c r="C15" s="154"/>
      <c r="D15" s="155"/>
      <c r="E15" s="156"/>
      <c r="F15" s="157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8" t="s">
        <v>8</v>
      </c>
      <c r="B16" s="15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14000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3"/>
      <c r="Z18" s="11"/>
    </row>
    <row r="19" spans="1:26" ht="50.1" customHeight="1">
      <c r="Y19" s="144"/>
    </row>
    <row r="20" spans="1:26" ht="15" customHeight="1">
      <c r="O20" s="139" t="s">
        <v>101</v>
      </c>
      <c r="P20" s="145"/>
      <c r="Q20" s="145"/>
      <c r="R20" s="140"/>
      <c r="S20" s="127"/>
      <c r="T20" s="139" t="s">
        <v>102</v>
      </c>
      <c r="U20" s="145"/>
      <c r="V20" s="145"/>
      <c r="W20" s="145"/>
      <c r="X20" s="145"/>
      <c r="Y20" s="140"/>
    </row>
    <row r="21" spans="1:26" ht="15" customHeight="1">
      <c r="O21" s="146" t="s">
        <v>103</v>
      </c>
      <c r="P21" s="148" t="s">
        <v>104</v>
      </c>
      <c r="Q21" s="146" t="s">
        <v>105</v>
      </c>
      <c r="R21" s="148" t="s">
        <v>106</v>
      </c>
      <c r="S21" s="127"/>
      <c r="T21" s="146" t="s">
        <v>107</v>
      </c>
      <c r="U21" s="148" t="s">
        <v>108</v>
      </c>
      <c r="V21" s="139" t="s">
        <v>109</v>
      </c>
      <c r="W21" s="145"/>
      <c r="X21" s="140"/>
      <c r="Y21" s="148" t="s">
        <v>110</v>
      </c>
    </row>
    <row r="22" spans="1:26" ht="18" customHeight="1">
      <c r="O22" s="147"/>
      <c r="P22" s="149"/>
      <c r="Q22" s="147"/>
      <c r="R22" s="149"/>
      <c r="S22" s="128"/>
      <c r="T22" s="147"/>
      <c r="U22" s="149"/>
      <c r="V22" s="13" t="s">
        <v>103</v>
      </c>
      <c r="W22" s="150" t="s">
        <v>111</v>
      </c>
      <c r="X22" s="151"/>
      <c r="Y22" s="149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39"/>
      <c r="X23" s="140"/>
      <c r="Y23" s="129"/>
    </row>
    <row r="24" spans="1:26" ht="36" customHeight="1">
      <c r="W24" s="130"/>
      <c r="X24" s="141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2"/>
      <c r="Y25" s="133"/>
    </row>
    <row r="26" spans="1:26" ht="19.899999999999999" customHeight="1"/>
    <row r="27" spans="1:26" ht="17.45" customHeight="1">
      <c r="O27" s="152"/>
      <c r="P27" s="152"/>
    </row>
    <row r="28" spans="1:26" ht="19.899999999999999" customHeight="1">
      <c r="O28" s="152"/>
      <c r="P28" s="152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8" t="s">
        <v>12</v>
      </c>
    </row>
    <row r="41" spans="15:22" ht="19.899999999999999" customHeight="1">
      <c r="T41" s="149"/>
    </row>
    <row r="42" spans="15:22" ht="64.900000000000006" customHeight="1">
      <c r="T42" s="14"/>
    </row>
    <row r="46" spans="15:22" ht="21" customHeight="1">
      <c r="O46" s="148" t="s">
        <v>12</v>
      </c>
      <c r="P46" s="148" t="s">
        <v>12</v>
      </c>
      <c r="Q46" s="148" t="s">
        <v>12</v>
      </c>
      <c r="T46" s="148" t="s">
        <v>13</v>
      </c>
      <c r="U46" s="148" t="s">
        <v>11</v>
      </c>
      <c r="V46" s="148" t="s">
        <v>12</v>
      </c>
    </row>
    <row r="47" spans="15:22" ht="21" customHeight="1">
      <c r="O47" s="149"/>
      <c r="P47" s="149"/>
      <c r="Q47" s="149"/>
      <c r="T47" s="147"/>
      <c r="U47" s="147"/>
      <c r="V47" s="14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8" t="s">
        <v>12</v>
      </c>
      <c r="P50" s="148" t="s">
        <v>12</v>
      </c>
      <c r="Q50" s="148" t="s">
        <v>12</v>
      </c>
      <c r="T50" s="148" t="s">
        <v>11</v>
      </c>
      <c r="U50" s="148" t="s">
        <v>13</v>
      </c>
      <c r="V50" s="148" t="s">
        <v>12</v>
      </c>
    </row>
    <row r="51" spans="15:22" ht="21" customHeight="1">
      <c r="O51" s="149"/>
      <c r="P51" s="149"/>
      <c r="Q51" s="149"/>
      <c r="T51" s="147"/>
      <c r="U51" s="147"/>
      <c r="V51" s="14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94" t="str">
        <f>+MRS!J1</f>
        <v>DAESHIN PLANT</v>
      </c>
      <c r="K1" s="19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6" t="str">
        <f>+MRS!J2</f>
        <v>Subcontract name (SAC2-SC-IK-SMP-01)</v>
      </c>
      <c r="K2" s="197"/>
    </row>
    <row r="3" spans="1:18" ht="24.95" customHeight="1">
      <c r="A3" s="3" t="str">
        <f>+MRS!A3</f>
        <v xml:space="preserve">  MRS No : SAC2-DS-MRS-0407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46240</v>
      </c>
    </row>
    <row r="4" spans="1:18" ht="15.95" customHeight="1">
      <c r="A4" s="198" t="s">
        <v>2</v>
      </c>
      <c r="B4" s="199" t="s">
        <v>14</v>
      </c>
      <c r="C4" s="199"/>
      <c r="D4" s="198" t="s">
        <v>4</v>
      </c>
      <c r="E4" s="198"/>
      <c r="F4" s="198"/>
      <c r="G4" s="199" t="s">
        <v>5</v>
      </c>
      <c r="H4" s="198" t="s">
        <v>82</v>
      </c>
      <c r="I4" s="198" t="s">
        <v>15</v>
      </c>
      <c r="J4" s="198" t="s">
        <v>16</v>
      </c>
      <c r="K4" s="199" t="s">
        <v>7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7">
        <f>+MRS!A6</f>
        <v>1</v>
      </c>
      <c r="B6" s="189" t="str">
        <f>MRS!B6</f>
        <v>Conbextra GP (25kg)</v>
      </c>
      <c r="C6" s="190"/>
      <c r="D6" s="191" t="str">
        <f>MRS!D6</f>
        <v>General purpose non-shrink cementitious grout consumption rate 13.25 liters/bag 7 days</v>
      </c>
      <c r="E6" s="192"/>
      <c r="F6" s="193"/>
      <c r="G6" s="100" t="str">
        <f>MRS!G6</f>
        <v>KG</v>
      </c>
      <c r="H6" s="100">
        <f>MRS!H6</f>
        <v>1000</v>
      </c>
      <c r="I6" s="101">
        <f>MRS!I6</f>
        <v>14</v>
      </c>
      <c r="J6" s="101">
        <f>MRS!J6</f>
        <v>14000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89">
        <f>MRS!B7</f>
        <v>0</v>
      </c>
      <c r="C7" s="190"/>
      <c r="D7" s="191">
        <f>MRS!D7</f>
        <v>0</v>
      </c>
      <c r="E7" s="192"/>
      <c r="F7" s="193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89">
        <f>MRS!B8</f>
        <v>0</v>
      </c>
      <c r="C8" s="190"/>
      <c r="D8" s="191">
        <f>MRS!D8</f>
        <v>0</v>
      </c>
      <c r="E8" s="192"/>
      <c r="F8" s="193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89">
        <f>MRS!B9</f>
        <v>0</v>
      </c>
      <c r="C9" s="190"/>
      <c r="D9" s="191">
        <f>MRS!D9</f>
        <v>0</v>
      </c>
      <c r="E9" s="192"/>
      <c r="F9" s="193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89">
        <f>MRS!B10</f>
        <v>0</v>
      </c>
      <c r="C10" s="190"/>
      <c r="D10" s="191">
        <f>MRS!D10</f>
        <v>0</v>
      </c>
      <c r="E10" s="192"/>
      <c r="F10" s="193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84"/>
      <c r="C11" s="185"/>
      <c r="D11" s="186"/>
      <c r="E11" s="187"/>
      <c r="F11" s="188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84"/>
      <c r="C12" s="185"/>
      <c r="D12" s="186"/>
      <c r="E12" s="187"/>
      <c r="F12" s="188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84"/>
      <c r="C13" s="185"/>
      <c r="D13" s="186"/>
      <c r="E13" s="187"/>
      <c r="F13" s="188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84"/>
      <c r="C14" s="185"/>
      <c r="D14" s="186"/>
      <c r="E14" s="187"/>
      <c r="F14" s="188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84"/>
      <c r="C15" s="185"/>
      <c r="D15" s="186"/>
      <c r="E15" s="187"/>
      <c r="F15" s="188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12" zoomScale="130" zoomScaleSheetLayoutView="130" workbookViewId="0">
      <selection activeCell="J75" sqref="J7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201">
        <f>MRS!L3</f>
        <v>46240</v>
      </c>
      <c r="L10" s="202"/>
      <c r="M10" s="202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203" t="str">
        <f>SUBSTITUTE(SUBSTITUTE(+MRS!A3,"  MRS No : ",""),"-MRS","-PO")</f>
        <v>SAC2-DS-PO-0407</v>
      </c>
      <c r="L11" s="203"/>
      <c r="M11" s="203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35" t="s">
        <v>119</v>
      </c>
    </row>
    <row r="15" spans="2:13" s="35" customFormat="1">
      <c r="C15" s="73" t="s">
        <v>99</v>
      </c>
      <c r="J15" s="35" t="s">
        <v>31</v>
      </c>
      <c r="K15" s="74">
        <v>46178</v>
      </c>
    </row>
    <row r="16" spans="2:13" ht="12" customHeight="1">
      <c r="C16" s="25"/>
      <c r="K16" s="26"/>
    </row>
    <row r="17" spans="2:13" ht="20.25">
      <c r="B17" s="204" t="s">
        <v>32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2" customHeight="1"/>
    <row r="19" spans="2:13" s="27" customFormat="1" ht="12" customHeight="1">
      <c r="B19" s="205" t="s">
        <v>33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</row>
    <row r="20" spans="2:13" s="27" customFormat="1" ht="12" customHeight="1">
      <c r="B20" s="205" t="s">
        <v>34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27" customFormat="1" ht="12" customHeight="1">
      <c r="B21" s="205" t="s">
        <v>35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ht="6.95" customHeight="1"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GP (25kg)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8">
        <f>'PO 2nd page'!G18</f>
        <v>14000</v>
      </c>
      <c r="G28" s="20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8">
        <f>F28*15%</f>
        <v>2100</v>
      </c>
      <c r="G29" s="208"/>
    </row>
    <row r="30" spans="2:13" ht="12" customHeight="1">
      <c r="B30" s="28"/>
      <c r="C30" s="22" t="s">
        <v>42</v>
      </c>
      <c r="D30" s="31"/>
      <c r="E30" s="22" t="s">
        <v>40</v>
      </c>
      <c r="F30" s="208">
        <f>SUM(F28:G29)</f>
        <v>16100</v>
      </c>
      <c r="G30" s="20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122</v>
      </c>
    </row>
    <row r="54" spans="2:16" ht="12" customHeight="1">
      <c r="B54" s="80" t="s">
        <v>56</v>
      </c>
      <c r="C54" s="137" t="s">
        <v>123</v>
      </c>
      <c r="F54" s="22" t="s">
        <v>124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125</v>
      </c>
      <c r="F55" s="138" t="s">
        <v>126</v>
      </c>
    </row>
    <row r="56" spans="2:16" ht="12" customHeight="1">
      <c r="B56" s="80" t="s">
        <v>56</v>
      </c>
      <c r="C56" s="137" t="s">
        <v>127</v>
      </c>
      <c r="F56" s="138" t="s">
        <v>128</v>
      </c>
    </row>
    <row r="57" spans="2:16" ht="12" customHeight="1">
      <c r="B57" s="80" t="s">
        <v>56</v>
      </c>
      <c r="C57" s="137" t="s">
        <v>129</v>
      </c>
      <c r="F57" s="22" t="s">
        <v>130</v>
      </c>
    </row>
    <row r="58" spans="2:16" ht="12" customHeight="1">
      <c r="B58" s="80" t="s">
        <v>56</v>
      </c>
      <c r="C58" s="137" t="s">
        <v>131</v>
      </c>
      <c r="F58" s="22" t="s">
        <v>132</v>
      </c>
    </row>
    <row r="59" spans="2:16" ht="12" customHeight="1">
      <c r="B59" s="80" t="s">
        <v>56</v>
      </c>
      <c r="C59" s="137" t="s">
        <v>133</v>
      </c>
      <c r="F59" s="22" t="s">
        <v>134</v>
      </c>
    </row>
    <row r="60" spans="2:16" ht="12" customHeight="1">
      <c r="B60" s="80"/>
      <c r="C60" s="31" t="s">
        <v>135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200" t="s">
        <v>66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G19" sqref="G1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SAC2-DS-PO-0407</v>
      </c>
      <c r="C2" s="215" t="s">
        <v>68</v>
      </c>
      <c r="D2" s="215"/>
      <c r="E2" s="215"/>
      <c r="F2" s="21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46240</v>
      </c>
      <c r="C3" s="47"/>
      <c r="D3" s="48"/>
      <c r="E3" s="216" t="s">
        <v>70</v>
      </c>
      <c r="F3" s="216"/>
      <c r="G3" s="216"/>
      <c r="H3" s="216"/>
      <c r="I3" s="49"/>
    </row>
    <row r="4" spans="1:13" s="51" customFormat="1" ht="28.5" customHeight="1" thickTop="1">
      <c r="A4" s="217" t="s">
        <v>71</v>
      </c>
      <c r="B4" s="219" t="s">
        <v>72</v>
      </c>
      <c r="C4" s="220"/>
      <c r="D4" s="223" t="s">
        <v>73</v>
      </c>
      <c r="E4" s="223" t="s">
        <v>74</v>
      </c>
      <c r="F4" s="225" t="str">
        <f>'PO 1st page'!C9</f>
        <v>FCL(Fosam Company Ltd.)</v>
      </c>
      <c r="G4" s="226"/>
      <c r="H4" s="227" t="s">
        <v>75</v>
      </c>
      <c r="K4" s="52"/>
      <c r="L4" s="52"/>
      <c r="M4" s="52"/>
    </row>
    <row r="5" spans="1:13" s="51" customFormat="1" ht="21.95" customHeight="1">
      <c r="A5" s="218"/>
      <c r="B5" s="221"/>
      <c r="C5" s="222"/>
      <c r="D5" s="224"/>
      <c r="E5" s="224"/>
      <c r="F5" s="53" t="s">
        <v>76</v>
      </c>
      <c r="G5" s="53" t="s">
        <v>42</v>
      </c>
      <c r="H5" s="228"/>
      <c r="K5" s="52"/>
      <c r="L5" s="52"/>
      <c r="M5" s="52"/>
    </row>
    <row r="6" spans="1:13" s="51" customFormat="1" ht="53.25" customHeight="1">
      <c r="A6" s="81">
        <f t="shared" ref="A6:A17" si="0">ROW(A1)</f>
        <v>1</v>
      </c>
      <c r="B6" s="229" t="str">
        <f>CONCATENATE(MRS!B6," ",MRS!D6)</f>
        <v>Conbextra GP (25kg) General purpose non-shrink cementitious grout consumption rate 13.25 liters/bag 7 days</v>
      </c>
      <c r="C6" s="230"/>
      <c r="D6" s="82" t="str">
        <f>+'MRS LIST'!G6</f>
        <v>KG</v>
      </c>
      <c r="E6" s="83">
        <f>+'MRS LIST'!H6</f>
        <v>1000</v>
      </c>
      <c r="F6" s="84">
        <f>+'MRS LIST'!I6</f>
        <v>14</v>
      </c>
      <c r="G6" s="85">
        <f>+'MRS LIST'!J6</f>
        <v>14000</v>
      </c>
      <c r="H6" s="86" t="str">
        <f>MRS!L6</f>
        <v>One time</v>
      </c>
      <c r="K6" s="87"/>
      <c r="L6" s="88"/>
      <c r="M6" s="52"/>
    </row>
    <row r="7" spans="1:13" s="51" customFormat="1" ht="27.75" customHeight="1">
      <c r="A7" s="81">
        <v>2</v>
      </c>
      <c r="B7" s="229" t="str">
        <f>CONCATENATE(MRS!B7," ",MRS!D7)</f>
        <v xml:space="preserve"> </v>
      </c>
      <c r="C7" s="230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>
        <v>3</v>
      </c>
      <c r="B8" s="229" t="str">
        <f>CONCATENATE(MRS!B8," ",MRS!D8)</f>
        <v xml:space="preserve"> </v>
      </c>
      <c r="C8" s="230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9"/>
      <c r="C9" s="230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9"/>
      <c r="C10" s="230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13"/>
      <c r="C11" s="214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13"/>
      <c r="C12" s="21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3"/>
      <c r="C13" s="21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3"/>
      <c r="C14" s="21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3"/>
      <c r="C15" s="21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3"/>
      <c r="C16" s="21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3"/>
      <c r="C17" s="214"/>
      <c r="D17" s="90"/>
      <c r="E17" s="91"/>
      <c r="F17" s="92"/>
      <c r="G17" s="93"/>
      <c r="H17" s="94"/>
    </row>
    <row r="18" spans="1:13" s="51" customFormat="1" ht="23.1" customHeight="1">
      <c r="A18" s="209" t="s">
        <v>77</v>
      </c>
      <c r="B18" s="210"/>
      <c r="C18" s="210"/>
      <c r="D18" s="210"/>
      <c r="E18" s="210"/>
      <c r="F18" s="210"/>
      <c r="G18" s="54">
        <f>SUM(G6:G17)</f>
        <v>14000</v>
      </c>
      <c r="H18" s="55"/>
    </row>
    <row r="19" spans="1:13" s="51" customFormat="1" ht="23.1" customHeight="1">
      <c r="A19" s="209" t="s">
        <v>41</v>
      </c>
      <c r="B19" s="210"/>
      <c r="C19" s="210"/>
      <c r="D19" s="210"/>
      <c r="E19" s="210"/>
      <c r="F19" s="210"/>
      <c r="G19" s="54">
        <f>+G18*0.15</f>
        <v>2100</v>
      </c>
      <c r="H19" s="55"/>
    </row>
    <row r="20" spans="1:13" s="51" customFormat="1" ht="23.1" customHeight="1">
      <c r="A20" s="209" t="s">
        <v>87</v>
      </c>
      <c r="B20" s="210"/>
      <c r="C20" s="210"/>
      <c r="D20" s="210"/>
      <c r="E20" s="210"/>
      <c r="F20" s="210"/>
      <c r="G20" s="119">
        <v>0</v>
      </c>
      <c r="H20" s="120"/>
    </row>
    <row r="21" spans="1:13" s="51" customFormat="1" ht="24.95" customHeight="1" thickBot="1">
      <c r="A21" s="211" t="s">
        <v>78</v>
      </c>
      <c r="B21" s="212"/>
      <c r="C21" s="212"/>
      <c r="D21" s="212"/>
      <c r="E21" s="212"/>
      <c r="F21" s="212"/>
      <c r="G21" s="56">
        <f>SUM(G18:G20)</f>
        <v>16100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QUO-187472-N0J7L8-0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0" t="s">
        <v>80</v>
      </c>
      <c r="B25" s="200"/>
      <c r="C25" s="200"/>
      <c r="D25" s="200"/>
      <c r="E25" s="200"/>
      <c r="F25" s="200"/>
      <c r="G25" s="200"/>
      <c r="H25" s="20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2026-08-07T06:04:14Z</cp:lastPrinted>
  <dcterms:created xsi:type="dcterms:W3CDTF">2024-10-20T11:50:19Z</dcterms:created>
  <dcterms:modified xsi:type="dcterms:W3CDTF">2026-08-09T06:42:47Z</dcterms:modified>
</cp:coreProperties>
</file>