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94AA6159-3D63-4AF2-A952-60EA1DE4625B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MRS!$A$1:$I$38</definedName>
    <definedName name="_xlnm.Print_Area" localSheetId="1">'MRS LIST'!$A$1:$K$28</definedName>
    <definedName name="_xlnm.Print_Area" localSheetId="2">'PO 1st page'!$A$1:$N$63</definedName>
    <definedName name="_xlnm.Print_Area" localSheetId="3">'PO 2nd page'!$A$1:$H$35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4" l="1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J7" i="2"/>
  <c r="J8" i="2"/>
  <c r="J9" i="2"/>
  <c r="J10" i="2"/>
  <c r="J11" i="2"/>
  <c r="J12" i="2"/>
  <c r="J13" i="2"/>
  <c r="J14" i="2"/>
  <c r="J15" i="2"/>
  <c r="G15" i="4" s="1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7" i="2"/>
  <c r="I8" i="2"/>
  <c r="I9" i="2"/>
  <c r="I10" i="2"/>
  <c r="F10" i="4" s="1"/>
  <c r="I11" i="2"/>
  <c r="I12" i="2"/>
  <c r="F12" i="4" s="1"/>
  <c r="I13" i="2"/>
  <c r="F13" i="4" s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H7" i="2"/>
  <c r="E7" i="4" s="1"/>
  <c r="H8" i="2"/>
  <c r="H9" i="2"/>
  <c r="H10" i="2"/>
  <c r="H11" i="2"/>
  <c r="H12" i="2"/>
  <c r="H13" i="2"/>
  <c r="H14" i="2"/>
  <c r="E14" i="4" s="1"/>
  <c r="H15" i="2"/>
  <c r="E15" i="4" s="1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G7" i="2"/>
  <c r="G8" i="2"/>
  <c r="G9" i="2"/>
  <c r="G10" i="2"/>
  <c r="D10" i="4" s="1"/>
  <c r="G11" i="2"/>
  <c r="G12" i="2"/>
  <c r="G13" i="2"/>
  <c r="D13" i="4" s="1"/>
  <c r="G14" i="2"/>
  <c r="G15" i="2"/>
  <c r="D15" i="4" s="1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B7" i="2"/>
  <c r="B7" i="4" s="1"/>
  <c r="B8" i="2"/>
  <c r="B9" i="2"/>
  <c r="B10" i="2"/>
  <c r="B11" i="2"/>
  <c r="B11" i="4" s="1"/>
  <c r="B12" i="2"/>
  <c r="B13" i="2"/>
  <c r="B13" i="4" s="1"/>
  <c r="B14" i="2"/>
  <c r="B15" i="2"/>
  <c r="B15" i="4" s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A7" i="2"/>
  <c r="A8" i="2"/>
  <c r="A9" i="2"/>
  <c r="A10" i="2"/>
  <c r="A11" i="2"/>
  <c r="A12" i="2"/>
  <c r="A13" i="2"/>
  <c r="A14" i="2"/>
  <c r="A15" i="2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8" i="4" s="1"/>
  <c r="G22" i="1"/>
  <c r="G23" i="1"/>
  <c r="G24" i="1"/>
  <c r="G11" i="4" s="1"/>
  <c r="G25" i="1"/>
  <c r="G12" i="4" s="1"/>
  <c r="G26" i="1"/>
  <c r="G13" i="4" s="1"/>
  <c r="G27" i="1"/>
  <c r="G14" i="4" s="1"/>
  <c r="G2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8" i="1"/>
  <c r="A7" i="1"/>
  <c r="F14" i="4"/>
  <c r="D14" i="4"/>
  <c r="B14" i="4"/>
  <c r="E13" i="4"/>
  <c r="E12" i="4"/>
  <c r="D12" i="4"/>
  <c r="B12" i="4"/>
  <c r="F15" i="4"/>
  <c r="F11" i="4"/>
  <c r="E11" i="4"/>
  <c r="D11" i="4"/>
  <c r="E10" i="4"/>
  <c r="B10" i="4"/>
  <c r="F9" i="4"/>
  <c r="E9" i="4"/>
  <c r="D9" i="4"/>
  <c r="B9" i="4"/>
  <c r="F8" i="4"/>
  <c r="E8" i="4"/>
  <c r="D8" i="4"/>
  <c r="B8" i="4"/>
  <c r="K59" i="3"/>
  <c r="D7" i="4"/>
  <c r="G10" i="4" l="1"/>
  <c r="G9" i="4"/>
  <c r="G29" i="1"/>
  <c r="K10" i="3"/>
  <c r="A32" i="4" l="1"/>
  <c r="G7" i="4"/>
  <c r="F7" i="4"/>
  <c r="I6" i="2"/>
  <c r="F6" i="4" s="1"/>
  <c r="H6" i="2"/>
  <c r="E6" i="4" s="1"/>
  <c r="G6" i="2"/>
  <c r="D6" i="4" s="1"/>
  <c r="D6" i="2"/>
  <c r="B6" i="2"/>
  <c r="B6" i="4" s="1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6" i="1"/>
  <c r="A6" i="2" s="1"/>
  <c r="J6" i="2" l="1"/>
  <c r="G6" i="4" s="1"/>
  <c r="G29" i="4" s="1"/>
  <c r="F29" i="3" s="1"/>
  <c r="G30" i="4" l="1"/>
  <c r="G31" i="4" l="1"/>
  <c r="F31" i="3" s="1"/>
  <c r="F30" i="3"/>
</calcChain>
</file>

<file path=xl/sharedStrings.xml><?xml version="1.0" encoding="utf-8"?>
<sst xmlns="http://schemas.openxmlformats.org/spreadsheetml/2006/main" count="217" uniqueCount="151">
  <si>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</si>
  <si>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</si>
  <si>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</si>
  <si>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</si>
  <si>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</si>
  <si>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</si>
  <si>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</si>
  <si>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</si>
  <si>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</si>
  <si>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</si>
  <si>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</si>
  <si>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</si>
  <si>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</si>
  <si>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</si>
  <si>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</si>
  <si>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</si>
  <si>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</si>
  <si>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</si>
  <si>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</si>
  <si>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</si>
  <si>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</si>
  <si>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</si>
  <si>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</si>
  <si>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</si>
  <si>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</si>
  <si>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</si>
  <si>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</si>
  <si>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</si>
  <si>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</si>
  <si>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</si>
  <si>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</si>
  <si>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</si>
  <si>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</si>
  <si>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</si>
  <si>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</si>
  <si>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</si>
  <si>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</si>
  <si>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</si>
  <si>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</si>
  <si>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</si>
  <si>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</si>
  <si>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</si>
  <si>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</si>
  <si>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</si>
  <si>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</si>
  <si>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</si>
  <si>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</si>
  <si>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</si>
  <si>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</si>
  <si>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</si>
  <si>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</si>
  <si>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</si>
  <si>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</si>
  <si>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</si>
  <si>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</si>
  <si>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</si>
  <si>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</si>
  <si>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</si>
  <si>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</si>
  <si>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</si>
  <si>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</si>
  <si>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</si>
  <si>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</si>
  <si>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</si>
  <si>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</si>
  <si>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</si>
  <si>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</si>
  <si>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</si>
  <si>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</si>
  <si>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</si>
  <si>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</si>
  <si>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</si>
  <si>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</si>
  <si>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</si>
  <si>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</si>
  <si>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</si>
  <si>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</si>
  <si>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</si>
  <si>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</si>
  <si>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</si>
  <si>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</si>
  <si>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</si>
  <si>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</si>
  <si>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</si>
  <si>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</si>
  <si>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</si>
  <si>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</si>
  <si>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</si>
  <si>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</si>
  <si>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</si>
  <si>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</si>
  <si>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</si>
  <si>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</si>
  <si>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</si>
  <si>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</si>
  <si>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</si>
  <si>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</si>
  <si>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</si>
  <si>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</si>
  <si>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BWCT</t>
  </si>
  <si>
    <t>311461390400003</t>
  </si>
  <si>
    <t>+966 56 431 5378 / Email:bluearabiaways@gmail.com</t>
  </si>
  <si>
    <t>Floor No. 2 Office No. 11, Dammam Al Anud 32426 KSA</t>
  </si>
  <si>
    <t>Mobile : +966 56 431 5378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</si>
  <si>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</si>
  <si>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</si>
  <si>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</si>
  <si>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</si>
  <si>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Water Dispenser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</si>
  <si>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-MRS-0085</t>
    </r>
  </si>
  <si>
    <t>Water Tank</t>
  </si>
  <si>
    <t>10000 Ltr</t>
  </si>
  <si>
    <t>Water Pump</t>
  </si>
  <si>
    <t>Pressure Switch Automatic</t>
  </si>
  <si>
    <t>1"</t>
  </si>
  <si>
    <t>Water Filter Set 3 Way Wall</t>
  </si>
  <si>
    <t>3/4"</t>
  </si>
  <si>
    <t>Transportation</t>
  </si>
  <si>
    <t>Cpvc Union</t>
  </si>
  <si>
    <t>Cpvc Elbow</t>
  </si>
  <si>
    <t>Cpvc Male Adaptor</t>
  </si>
  <si>
    <t>Cpvc Ball Valve</t>
  </si>
  <si>
    <t>Lunch Box</t>
  </si>
  <si>
    <t>Desk  With Drawer</t>
  </si>
  <si>
    <t>Chair</t>
  </si>
  <si>
    <t>Router</t>
  </si>
  <si>
    <t>Tp Link 300 Mbps</t>
  </si>
  <si>
    <t>Xerox Printer</t>
  </si>
  <si>
    <t>Cleaning Sparay</t>
  </si>
  <si>
    <t>Desk With Drawer</t>
  </si>
  <si>
    <t>Portable Hard Disc</t>
  </si>
  <si>
    <t>90° -1"</t>
  </si>
  <si>
    <t>C7130</t>
  </si>
  <si>
    <t>PKT</t>
  </si>
  <si>
    <t>SET</t>
  </si>
  <si>
    <t>1Hp 220V</t>
  </si>
  <si>
    <t/>
  </si>
  <si>
    <t>1" Brass Sh 80</t>
  </si>
  <si>
    <t>Half Lorry (Trailer) For Water</t>
  </si>
  <si>
    <t>(50 Pcs Pkt)</t>
  </si>
  <si>
    <t>(140 Size)</t>
  </si>
  <si>
    <t>Tp Link Router(Ax150)</t>
  </si>
  <si>
    <t>Flamingo Leather Cleaning</t>
  </si>
  <si>
    <t>2 Tb (Toshiba)</t>
  </si>
  <si>
    <t>One time</t>
  </si>
  <si>
    <t>Office Materials</t>
  </si>
  <si>
    <t>QT-BWC-2025-570</t>
  </si>
  <si>
    <t>Vijay Kumar</t>
  </si>
  <si>
    <t>Sales Engineer</t>
  </si>
  <si>
    <t>BWCT(Blue Arabia Ways Co. for Trading)</t>
  </si>
  <si>
    <t>Branch of 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</si>
</sst>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 tint="-0.499984740745262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18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2" xfId="5" applyFont="1" applyFill="1" applyBorder="1"/>
    <xf numFmtId="0" fontId="17" fillId="3" borderId="22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68" fontId="6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18" xfId="6" applyFont="1" applyFill="1" applyBorder="1" applyAlignment="1">
      <alignment horizontal="center" vertical="center" wrapText="1"/>
    </xf>
    <xf numFmtId="43" fontId="11" fillId="0" borderId="18" xfId="6" quotePrefix="1" applyNumberFormat="1" applyFont="1" applyBorder="1" applyAlignment="1">
      <alignment vertical="center" wrapText="1"/>
    </xf>
    <xf numFmtId="0" fontId="6" fillId="0" borderId="32" xfId="6" applyFont="1" applyBorder="1"/>
    <xf numFmtId="170" fontId="8" fillId="0" borderId="39" xfId="6" applyNumberFormat="1" applyFont="1" applyBorder="1" applyAlignment="1">
      <alignment horizontal="center" vertical="center" wrapText="1"/>
    </xf>
    <xf numFmtId="0" fontId="6" fillId="0" borderId="40" xfId="6" applyFont="1" applyBorder="1"/>
    <xf numFmtId="0" fontId="8" fillId="0" borderId="0" xfId="6" applyFont="1" applyAlignment="1">
      <alignment vertical="center"/>
    </xf>
    <xf numFmtId="0" fontId="26" fillId="0" borderId="41" xfId="6" applyFont="1" applyBorder="1" applyAlignment="1">
      <alignment vertical="center"/>
    </xf>
    <xf numFmtId="0" fontId="26" fillId="0" borderId="41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3" xfId="6" quotePrefix="1" applyFont="1" applyBorder="1" applyAlignment="1">
      <alignment horizontal="center" vertical="center"/>
    </xf>
    <xf numFmtId="0" fontId="4" fillId="2" borderId="36" xfId="7" applyFont="1" applyFill="1" applyBorder="1" applyAlignment="1">
      <alignment horizontal="center" vertical="center" wrapText="1"/>
    </xf>
    <xf numFmtId="0" fontId="4" fillId="2" borderId="36" xfId="8" applyFont="1" applyFill="1" applyBorder="1" applyAlignment="1">
      <alignment horizontal="center" vertical="center"/>
    </xf>
    <xf numFmtId="43" fontId="4" fillId="0" borderId="36" xfId="9" quotePrefix="1" applyFont="1" applyFill="1" applyBorder="1" applyAlignment="1">
      <alignment vertical="center"/>
    </xf>
    <xf numFmtId="43" fontId="4" fillId="0" borderId="36" xfId="6" applyNumberFormat="1" applyFont="1" applyBorder="1" applyAlignment="1">
      <alignment vertical="center"/>
    </xf>
    <xf numFmtId="0" fontId="1" fillId="0" borderId="37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1" xfId="6" quotePrefix="1" applyFont="1" applyBorder="1" applyAlignment="1">
      <alignment horizontal="center" vertical="center"/>
    </xf>
    <xf numFmtId="0" fontId="1" fillId="0" borderId="32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18" xfId="0" applyFont="1" applyBorder="1" applyAlignment="1">
      <alignment horizontal="center" vertical="center"/>
    </xf>
    <xf numFmtId="172" fontId="42" fillId="0" borderId="18" xfId="10" applyNumberFormat="1" applyFont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2" applyFont="1" applyAlignment="1">
      <alignment vertical="center"/>
    </xf>
    <xf numFmtId="167" fontId="1" fillId="0" borderId="14" xfId="0" applyNumberFormat="1" applyFont="1" applyBorder="1" applyAlignment="1">
      <alignment horizontal="right" vertical="center" wrapText="1"/>
    </xf>
    <xf numFmtId="167" fontId="1" fillId="0" borderId="14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0" fontId="1" fillId="2" borderId="15" xfId="1" applyFill="1" applyBorder="1" applyAlignment="1">
      <alignment vertical="center"/>
    </xf>
    <xf numFmtId="0" fontId="1" fillId="2" borderId="15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168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0" fontId="17" fillId="3" borderId="0" xfId="5" applyNumberFormat="1" applyFont="1" applyFill="1"/>
    <xf numFmtId="0" fontId="54" fillId="0" borderId="44" xfId="0" applyFont="1" applyBorder="1" applyAlignment="1">
      <alignment horizontal="left" vertical="center" wrapText="1"/>
    </xf>
    <xf numFmtId="0" fontId="54" fillId="0" borderId="45" xfId="0" applyFont="1" applyBorder="1" applyAlignment="1">
      <alignment horizontal="left" vertical="center" wrapText="1"/>
    </xf>
    <xf numFmtId="0" fontId="54" fillId="0" borderId="44" xfId="0" applyFont="1" applyBorder="1" applyAlignment="1">
      <alignment horizontal="center" vertical="center" wrapText="1"/>
    </xf>
    <xf numFmtId="0" fontId="54" fillId="0" borderId="42" xfId="0" applyFont="1" applyBorder="1" applyAlignment="1">
      <alignment vertical="center" wrapText="1"/>
    </xf>
    <xf numFmtId="0" fontId="54" fillId="0" borderId="43" xfId="0" applyFont="1" applyBorder="1" applyAlignment="1">
      <alignment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54" fillId="0" borderId="42" xfId="0" applyFont="1" applyBorder="1" applyAlignment="1">
      <alignment horizontal="center" vertical="center" wrapText="1"/>
    </xf>
    <xf numFmtId="0" fontId="54" fillId="0" borderId="43" xfId="0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2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4" xfId="5" applyFont="1" applyFill="1" applyBorder="1" applyAlignment="1">
      <alignment horizontal="left" vertical="center" wrapText="1"/>
    </xf>
    <xf numFmtId="0" fontId="42" fillId="3" borderId="35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3" xfId="6" applyFont="1" applyBorder="1" applyAlignment="1">
      <alignment horizontal="right" vertical="center"/>
    </xf>
    <xf numFmtId="0" fontId="6" fillId="4" borderId="24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5" xfId="6" applyFont="1" applyFill="1" applyBorder="1" applyAlignment="1">
      <alignment horizontal="center" vertical="center" wrapText="1"/>
    </xf>
    <xf numFmtId="0" fontId="6" fillId="4" borderId="26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27" xfId="6" applyFont="1" applyFill="1" applyBorder="1" applyAlignment="1">
      <alignment horizontal="center" vertical="center" wrapText="1"/>
    </xf>
    <xf numFmtId="0" fontId="6" fillId="4" borderId="18" xfId="6" applyFont="1" applyFill="1" applyBorder="1" applyAlignment="1">
      <alignment horizontal="center" vertical="center" wrapText="1"/>
    </xf>
    <xf numFmtId="0" fontId="6" fillId="4" borderId="28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11" fillId="0" borderId="31" xfId="6" quotePrefix="1" applyFont="1" applyBorder="1" applyAlignment="1">
      <alignment horizontal="right" vertical="center"/>
    </xf>
    <xf numFmtId="0" fontId="11" fillId="0" borderId="18" xfId="6" quotePrefix="1" applyFont="1" applyBorder="1" applyAlignment="1">
      <alignment horizontal="right" vertical="center"/>
    </xf>
    <xf numFmtId="0" fontId="8" fillId="0" borderId="38" xfId="6" quotePrefix="1" applyFont="1" applyBorder="1" applyAlignment="1">
      <alignment horizontal="right" vertical="center"/>
    </xf>
    <xf numFmtId="0" fontId="8" fillId="0" borderId="39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1513968</xdr:colOff>
          <xdr:row>30</xdr:row>
          <xdr:rowOff>0</xdr:rowOff>
        </xdr:from>
        <xdr:to>
          <xdr:col>8</xdr:col>
          <xdr:colOff>1614733</xdr:colOff>
          <xdr:row>37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L$31:$S$37" spid="_x0000_s12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2" y="8763000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27</xdr:row>
      <xdr:rowOff>822627</xdr:rowOff>
    </xdr:from>
    <xdr:to>
      <xdr:col>15</xdr:col>
      <xdr:colOff>543942</xdr:colOff>
      <xdr:row>27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27</xdr:row>
      <xdr:rowOff>822627</xdr:rowOff>
    </xdr:from>
    <xdr:to>
      <xdr:col>15</xdr:col>
      <xdr:colOff>543942</xdr:colOff>
      <xdr:row>27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65"/>
  <sheetViews>
    <sheetView showGridLines="0" view="pageBreakPreview" zoomScale="95" zoomScaleNormal="95" zoomScaleSheetLayoutView="95" workbookViewId="0">
      <selection activeCell="D6" sqref="D6"/>
    </sheetView>
  </sheetViews>
  <sheetFormatPr defaultColWidth="9" defaultRowHeight="21" customHeight="1"/>
  <cols>
    <col min="1" max="1" width="3.7109375" style="2" customWidth="1"/>
    <col min="2" max="2" width="30.42578125" style="2" customWidth="1"/>
    <col min="3" max="3" width="31" style="2" customWidth="1"/>
    <col min="4" max="4" width="6.28515625" style="2" customWidth="1"/>
    <col min="5" max="5" width="8" style="2" customWidth="1"/>
    <col min="6" max="6" width="16.140625" style="2" customWidth="1"/>
    <col min="7" max="8" width="15.5703125" style="2" customWidth="1"/>
    <col min="9" max="9" width="25.5703125" style="2" customWidth="1"/>
    <col min="10" max="10" width="2.42578125" style="2" customWidth="1"/>
    <col min="11" max="11" width="9" style="2"/>
    <col min="12" max="14" width="13.5703125" style="2" customWidth="1"/>
    <col min="15" max="15" width="3.5703125" style="2" customWidth="1"/>
    <col min="16" max="16" width="7.5703125" style="2" customWidth="1"/>
    <col min="17" max="19" width="13.5703125" style="2" customWidth="1"/>
    <col min="20" max="16384" width="9" style="2"/>
  </cols>
  <sheetData>
    <row r="1" spans="1:16" ht="49.9" customHeight="1">
      <c r="A1" s="111" t="s">
        <v>107</v>
      </c>
      <c r="B1" s="102"/>
      <c r="C1" s="102"/>
      <c r="D1" s="1"/>
      <c r="G1" s="121" t="s">
        <v>91</v>
      </c>
      <c r="H1" s="122"/>
      <c r="I1" s="123"/>
    </row>
    <row r="2" spans="1:16" ht="20.100000000000001" customHeight="1">
      <c r="A2" s="3" t="s">
        <v>1</v>
      </c>
      <c r="B2" s="96"/>
      <c r="C2" s="3" t="s">
        <v>105</v>
      </c>
      <c r="D2" s="96"/>
      <c r="E2" s="96"/>
      <c r="F2" s="4"/>
      <c r="G2" s="124" t="s">
        <v>106</v>
      </c>
      <c r="H2" s="125"/>
      <c r="I2" s="126"/>
    </row>
    <row r="3" spans="1:16" ht="20.100000000000001" customHeight="1">
      <c r="A3" s="3" t="s">
        <v>109</v>
      </c>
      <c r="B3" s="96"/>
      <c r="C3" s="96"/>
      <c r="D3" s="127"/>
      <c r="E3" s="127"/>
      <c r="F3" s="127"/>
      <c r="G3" s="96"/>
      <c r="H3" s="96"/>
      <c r="I3" s="109">
        <v>45825</v>
      </c>
      <c r="J3" s="4"/>
    </row>
    <row r="4" spans="1:16" ht="15.95" customHeight="1">
      <c r="A4" s="128" t="s">
        <v>2</v>
      </c>
      <c r="B4" s="129" t="s">
        <v>3</v>
      </c>
      <c r="C4" s="130" t="s">
        <v>4</v>
      </c>
      <c r="D4" s="132" t="s">
        <v>5</v>
      </c>
      <c r="E4" s="134" t="s">
        <v>6</v>
      </c>
      <c r="F4" s="134" t="s">
        <v>95</v>
      </c>
      <c r="G4" s="128" t="s">
        <v>96</v>
      </c>
      <c r="H4" s="134" t="s">
        <v>0</v>
      </c>
      <c r="I4" s="129" t="s">
        <v>7</v>
      </c>
    </row>
    <row r="5" spans="1:16" ht="15.95" customHeight="1">
      <c r="A5" s="128"/>
      <c r="B5" s="129"/>
      <c r="C5" s="131"/>
      <c r="D5" s="133"/>
      <c r="E5" s="135"/>
      <c r="F5" s="135"/>
      <c r="G5" s="128"/>
      <c r="H5" s="135"/>
      <c r="I5" s="129"/>
    </row>
    <row r="6" spans="1:16" ht="22.5" customHeight="1">
      <c r="A6" s="5">
        <f t="shared" ref="A6:A28" si="0">ROW(A1)</f>
        <v>1</v>
      </c>
      <c r="B6" s="113" t="s">
        <v>110</v>
      </c>
      <c r="C6" s="115" t="s">
        <v>111</v>
      </c>
      <c r="D6" s="119" t="s">
        <v>98</v>
      </c>
      <c r="E6" s="118">
        <v>2</v>
      </c>
      <c r="F6" s="116">
        <v>4800</v>
      </c>
      <c r="G6" s="103">
        <f>E6*F6</f>
        <v>9600</v>
      </c>
      <c r="H6" s="104" t="s">
        <v>99</v>
      </c>
      <c r="I6" s="105" t="s">
        <v>144</v>
      </c>
      <c r="P6" s="101"/>
    </row>
    <row r="7" spans="1:16" ht="22.5" customHeight="1">
      <c r="A7" s="5">
        <f t="shared" si="0"/>
        <v>2</v>
      </c>
      <c r="B7" s="113" t="s">
        <v>112</v>
      </c>
      <c r="C7" s="115" t="s">
        <v>135</v>
      </c>
      <c r="D7" s="120" t="s">
        <v>98</v>
      </c>
      <c r="E7" s="118">
        <v>2</v>
      </c>
      <c r="F7" s="117">
        <v>360</v>
      </c>
      <c r="G7" s="103">
        <f t="shared" ref="G7:G19" si="1">E7*F7</f>
        <v>720</v>
      </c>
      <c r="H7" s="104"/>
      <c r="I7" s="105"/>
      <c r="P7" s="101"/>
    </row>
    <row r="8" spans="1:16" ht="22.5" customHeight="1">
      <c r="A8" s="5">
        <f t="shared" si="0"/>
        <v>3</v>
      </c>
      <c r="B8" s="114" t="s">
        <v>113</v>
      </c>
      <c r="C8" s="115" t="s">
        <v>136</v>
      </c>
      <c r="D8" s="120" t="s">
        <v>98</v>
      </c>
      <c r="E8" s="118">
        <v>2</v>
      </c>
      <c r="F8" s="117">
        <v>78.25</v>
      </c>
      <c r="G8" s="103">
        <f t="shared" si="1"/>
        <v>156.5</v>
      </c>
      <c r="H8" s="104"/>
      <c r="I8" s="105"/>
      <c r="P8" s="101"/>
    </row>
    <row r="9" spans="1:16" ht="22.5" customHeight="1">
      <c r="A9" s="5">
        <f t="shared" si="0"/>
        <v>4</v>
      </c>
      <c r="B9" s="114" t="s">
        <v>118</v>
      </c>
      <c r="C9" s="115" t="s">
        <v>114</v>
      </c>
      <c r="D9" s="120" t="s">
        <v>98</v>
      </c>
      <c r="E9" s="118">
        <v>4</v>
      </c>
      <c r="F9" s="117">
        <v>8.4</v>
      </c>
      <c r="G9" s="103">
        <f t="shared" si="1"/>
        <v>33.6</v>
      </c>
      <c r="H9" s="104"/>
      <c r="I9" s="105"/>
      <c r="P9" s="101"/>
    </row>
    <row r="10" spans="1:16" ht="22.5" customHeight="1">
      <c r="A10" s="5">
        <f t="shared" si="0"/>
        <v>5</v>
      </c>
      <c r="B10" s="114" t="s">
        <v>119</v>
      </c>
      <c r="C10" s="115" t="s">
        <v>131</v>
      </c>
      <c r="D10" s="120" t="s">
        <v>98</v>
      </c>
      <c r="E10" s="118">
        <v>2</v>
      </c>
      <c r="F10" s="117">
        <v>3.6</v>
      </c>
      <c r="G10" s="103">
        <f t="shared" si="1"/>
        <v>7.2</v>
      </c>
      <c r="H10" s="104"/>
      <c r="I10" s="105"/>
      <c r="P10" s="101"/>
    </row>
    <row r="11" spans="1:16" ht="22.5" customHeight="1">
      <c r="A11" s="5">
        <f t="shared" si="0"/>
        <v>6</v>
      </c>
      <c r="B11" s="114" t="s">
        <v>120</v>
      </c>
      <c r="C11" s="115" t="s">
        <v>137</v>
      </c>
      <c r="D11" s="120" t="s">
        <v>98</v>
      </c>
      <c r="E11" s="118">
        <v>4</v>
      </c>
      <c r="F11" s="117">
        <v>4.8</v>
      </c>
      <c r="G11" s="103">
        <f t="shared" si="1"/>
        <v>19.2</v>
      </c>
      <c r="H11" s="104"/>
      <c r="I11" s="105"/>
      <c r="P11" s="101"/>
    </row>
    <row r="12" spans="1:16" ht="22.5" customHeight="1">
      <c r="A12" s="5">
        <f t="shared" si="0"/>
        <v>7</v>
      </c>
      <c r="B12" s="114" t="s">
        <v>115</v>
      </c>
      <c r="C12" s="115" t="s">
        <v>136</v>
      </c>
      <c r="D12" s="120" t="s">
        <v>98</v>
      </c>
      <c r="E12" s="118">
        <v>1</v>
      </c>
      <c r="F12" s="117">
        <v>183.96</v>
      </c>
      <c r="G12" s="103">
        <f t="shared" si="1"/>
        <v>183.96</v>
      </c>
      <c r="H12" s="104"/>
      <c r="I12" s="105"/>
      <c r="P12" s="101"/>
    </row>
    <row r="13" spans="1:16" ht="22.5" customHeight="1">
      <c r="A13" s="5">
        <f t="shared" si="0"/>
        <v>8</v>
      </c>
      <c r="B13" s="114" t="s">
        <v>121</v>
      </c>
      <c r="C13" s="115" t="s">
        <v>116</v>
      </c>
      <c r="D13" s="120" t="s">
        <v>98</v>
      </c>
      <c r="E13" s="118">
        <v>2</v>
      </c>
      <c r="F13" s="117">
        <v>15.66</v>
      </c>
      <c r="G13" s="103">
        <f t="shared" si="1"/>
        <v>31.32</v>
      </c>
      <c r="H13" s="104"/>
      <c r="I13" s="105"/>
      <c r="P13" s="101"/>
    </row>
    <row r="14" spans="1:16" ht="22.5" customHeight="1">
      <c r="A14" s="5">
        <f t="shared" si="0"/>
        <v>9</v>
      </c>
      <c r="B14" s="114" t="s">
        <v>117</v>
      </c>
      <c r="C14" s="115" t="s">
        <v>138</v>
      </c>
      <c r="D14" s="120" t="s">
        <v>98</v>
      </c>
      <c r="E14" s="118">
        <v>1</v>
      </c>
      <c r="F14" s="117">
        <v>700</v>
      </c>
      <c r="G14" s="103">
        <f t="shared" si="1"/>
        <v>700</v>
      </c>
      <c r="H14" s="104"/>
      <c r="I14" s="105"/>
      <c r="P14" s="101"/>
    </row>
    <row r="15" spans="1:16" ht="22.5" customHeight="1">
      <c r="A15" s="5">
        <f t="shared" si="0"/>
        <v>10</v>
      </c>
      <c r="B15" s="113" t="s">
        <v>115</v>
      </c>
      <c r="C15" s="115" t="s">
        <v>136</v>
      </c>
      <c r="D15" s="120" t="s">
        <v>98</v>
      </c>
      <c r="E15" s="118">
        <v>1</v>
      </c>
      <c r="F15" s="117">
        <v>183.96</v>
      </c>
      <c r="G15" s="103">
        <f t="shared" si="1"/>
        <v>183.96</v>
      </c>
      <c r="H15" s="104"/>
      <c r="I15" s="105"/>
      <c r="P15" s="101"/>
    </row>
    <row r="16" spans="1:16" ht="22.5" customHeight="1">
      <c r="A16" s="5">
        <f t="shared" si="0"/>
        <v>11</v>
      </c>
      <c r="B16" s="114" t="s">
        <v>121</v>
      </c>
      <c r="C16" s="115" t="s">
        <v>116</v>
      </c>
      <c r="D16" s="120" t="s">
        <v>98</v>
      </c>
      <c r="E16" s="118">
        <v>2</v>
      </c>
      <c r="F16" s="117">
        <v>15.66</v>
      </c>
      <c r="G16" s="103">
        <f t="shared" si="1"/>
        <v>31.32</v>
      </c>
      <c r="H16" s="104"/>
      <c r="I16" s="105"/>
      <c r="P16" s="101"/>
    </row>
    <row r="17" spans="1:19" ht="22.5" customHeight="1">
      <c r="A17" s="5">
        <f t="shared" si="0"/>
        <v>12</v>
      </c>
      <c r="B17" s="114" t="s">
        <v>108</v>
      </c>
      <c r="C17" s="115" t="s">
        <v>136</v>
      </c>
      <c r="D17" s="120" t="s">
        <v>98</v>
      </c>
      <c r="E17" s="118">
        <v>2</v>
      </c>
      <c r="F17" s="117">
        <v>339</v>
      </c>
      <c r="G17" s="103">
        <f t="shared" si="1"/>
        <v>678</v>
      </c>
      <c r="H17" s="104"/>
      <c r="I17" s="105"/>
      <c r="P17" s="101"/>
    </row>
    <row r="18" spans="1:19" ht="22.5" customHeight="1">
      <c r="A18" s="5">
        <f t="shared" si="0"/>
        <v>13</v>
      </c>
      <c r="B18" s="114" t="s">
        <v>122</v>
      </c>
      <c r="C18" s="115" t="s">
        <v>139</v>
      </c>
      <c r="D18" s="120" t="s">
        <v>133</v>
      </c>
      <c r="E18" s="118">
        <v>1</v>
      </c>
      <c r="F18" s="117">
        <v>25</v>
      </c>
      <c r="G18" s="103">
        <f t="shared" si="1"/>
        <v>25</v>
      </c>
      <c r="H18" s="104"/>
      <c r="I18" s="105"/>
      <c r="P18" s="101"/>
    </row>
    <row r="19" spans="1:19" ht="22.5" customHeight="1">
      <c r="A19" s="5">
        <f t="shared" si="0"/>
        <v>14</v>
      </c>
      <c r="B19" s="114" t="s">
        <v>123</v>
      </c>
      <c r="C19" s="115" t="s">
        <v>140</v>
      </c>
      <c r="D19" s="120" t="s">
        <v>134</v>
      </c>
      <c r="E19" s="118">
        <v>6</v>
      </c>
      <c r="F19" s="117">
        <v>330</v>
      </c>
      <c r="G19" s="103">
        <f t="shared" si="1"/>
        <v>1980</v>
      </c>
      <c r="H19" s="104"/>
      <c r="I19" s="105"/>
      <c r="P19" s="101"/>
    </row>
    <row r="20" spans="1:19" ht="22.5" customHeight="1">
      <c r="A20" s="5">
        <f t="shared" si="0"/>
        <v>15</v>
      </c>
      <c r="B20" s="113" t="s">
        <v>124</v>
      </c>
      <c r="C20" s="115" t="s">
        <v>136</v>
      </c>
      <c r="D20" s="120" t="s">
        <v>134</v>
      </c>
      <c r="E20" s="118">
        <v>16</v>
      </c>
      <c r="F20" s="117">
        <v>158</v>
      </c>
      <c r="G20" s="103">
        <f t="shared" ref="G20:G28" si="2">E20*F20</f>
        <v>2528</v>
      </c>
      <c r="H20" s="104"/>
      <c r="I20" s="105"/>
      <c r="P20" s="101"/>
    </row>
    <row r="21" spans="1:19" ht="22.5" customHeight="1">
      <c r="A21" s="5">
        <f t="shared" si="0"/>
        <v>16</v>
      </c>
      <c r="B21" s="113" t="s">
        <v>125</v>
      </c>
      <c r="C21" s="115" t="s">
        <v>141</v>
      </c>
      <c r="D21" s="120" t="s">
        <v>98</v>
      </c>
      <c r="E21" s="118">
        <v>1</v>
      </c>
      <c r="F21" s="117">
        <v>156.25</v>
      </c>
      <c r="G21" s="103">
        <f t="shared" si="2"/>
        <v>156.25</v>
      </c>
      <c r="H21" s="104"/>
      <c r="I21" s="105"/>
      <c r="P21" s="101"/>
    </row>
    <row r="22" spans="1:19" ht="22.5" customHeight="1">
      <c r="A22" s="5">
        <f t="shared" si="0"/>
        <v>17</v>
      </c>
      <c r="B22" s="113" t="s">
        <v>126</v>
      </c>
      <c r="C22" s="115" t="s">
        <v>136</v>
      </c>
      <c r="D22" s="120" t="s">
        <v>98</v>
      </c>
      <c r="E22" s="118">
        <v>3</v>
      </c>
      <c r="F22" s="117">
        <v>38.049999999999997</v>
      </c>
      <c r="G22" s="103">
        <f t="shared" si="2"/>
        <v>114.14999999999999</v>
      </c>
      <c r="H22" s="104"/>
      <c r="I22" s="105"/>
      <c r="P22" s="101"/>
    </row>
    <row r="23" spans="1:19" ht="22.5" customHeight="1">
      <c r="A23" s="5">
        <f t="shared" si="0"/>
        <v>18</v>
      </c>
      <c r="B23" s="113" t="s">
        <v>127</v>
      </c>
      <c r="C23" s="115" t="s">
        <v>132</v>
      </c>
      <c r="D23" s="120" t="s">
        <v>134</v>
      </c>
      <c r="E23" s="118">
        <v>1</v>
      </c>
      <c r="F23" s="117">
        <v>16794</v>
      </c>
      <c r="G23" s="103">
        <f t="shared" si="2"/>
        <v>16794</v>
      </c>
      <c r="H23" s="104"/>
      <c r="I23" s="105"/>
      <c r="P23" s="101"/>
    </row>
    <row r="24" spans="1:19" ht="22.5" customHeight="1">
      <c r="A24" s="5">
        <f t="shared" si="0"/>
        <v>19</v>
      </c>
      <c r="B24" s="113" t="s">
        <v>128</v>
      </c>
      <c r="C24" s="115" t="s">
        <v>142</v>
      </c>
      <c r="D24" s="120" t="s">
        <v>98</v>
      </c>
      <c r="E24" s="118">
        <v>2</v>
      </c>
      <c r="F24" s="117">
        <v>48.9</v>
      </c>
      <c r="G24" s="103">
        <f t="shared" si="2"/>
        <v>97.8</v>
      </c>
      <c r="H24" s="104"/>
      <c r="I24" s="105"/>
      <c r="P24" s="101"/>
    </row>
    <row r="25" spans="1:19" ht="22.5" customHeight="1">
      <c r="A25" s="5">
        <f t="shared" si="0"/>
        <v>20</v>
      </c>
      <c r="B25" s="113" t="s">
        <v>129</v>
      </c>
      <c r="C25" s="115" t="s">
        <v>140</v>
      </c>
      <c r="D25" s="120" t="s">
        <v>134</v>
      </c>
      <c r="E25" s="118">
        <v>3</v>
      </c>
      <c r="F25" s="117">
        <v>330</v>
      </c>
      <c r="G25" s="103">
        <f t="shared" si="2"/>
        <v>990</v>
      </c>
      <c r="H25" s="104"/>
      <c r="I25" s="105"/>
      <c r="P25" s="101"/>
    </row>
    <row r="26" spans="1:19" ht="22.5" customHeight="1">
      <c r="A26" s="5">
        <f t="shared" si="0"/>
        <v>21</v>
      </c>
      <c r="B26" s="114" t="s">
        <v>124</v>
      </c>
      <c r="C26" s="115" t="s">
        <v>136</v>
      </c>
      <c r="D26" s="120" t="s">
        <v>134</v>
      </c>
      <c r="E26" s="118">
        <v>3</v>
      </c>
      <c r="F26" s="117">
        <v>158</v>
      </c>
      <c r="G26" s="103">
        <f t="shared" si="2"/>
        <v>474</v>
      </c>
      <c r="H26" s="104"/>
      <c r="I26" s="105"/>
      <c r="P26" s="101"/>
    </row>
    <row r="27" spans="1:19" ht="22.5" customHeight="1">
      <c r="A27" s="5">
        <f t="shared" si="0"/>
        <v>22</v>
      </c>
      <c r="B27" s="114" t="s">
        <v>125</v>
      </c>
      <c r="C27" s="115" t="s">
        <v>141</v>
      </c>
      <c r="D27" s="120" t="s">
        <v>98</v>
      </c>
      <c r="E27" s="118">
        <v>1</v>
      </c>
      <c r="F27" s="117">
        <v>156.25</v>
      </c>
      <c r="G27" s="103">
        <f t="shared" si="2"/>
        <v>156.25</v>
      </c>
      <c r="H27" s="104"/>
      <c r="I27" s="105"/>
      <c r="P27" s="101"/>
    </row>
    <row r="28" spans="1:19" ht="22.5" customHeight="1">
      <c r="A28" s="5">
        <f t="shared" si="0"/>
        <v>23</v>
      </c>
      <c r="B28" s="113" t="s">
        <v>130</v>
      </c>
      <c r="C28" s="115" t="s">
        <v>143</v>
      </c>
      <c r="D28" s="120" t="s">
        <v>98</v>
      </c>
      <c r="E28" s="118">
        <v>1</v>
      </c>
      <c r="F28" s="117">
        <v>300</v>
      </c>
      <c r="G28" s="103">
        <f t="shared" si="2"/>
        <v>300</v>
      </c>
      <c r="H28" s="104"/>
      <c r="I28" s="105"/>
      <c r="P28" s="101"/>
    </row>
    <row r="29" spans="1:19" ht="22.5" customHeight="1">
      <c r="A29" s="136" t="s">
        <v>8</v>
      </c>
      <c r="B29" s="137"/>
      <c r="C29" s="106"/>
      <c r="D29" s="107"/>
      <c r="E29" s="107"/>
      <c r="F29" s="108" t="s">
        <v>9</v>
      </c>
      <c r="G29" s="103">
        <f>SUM(G6:G28)</f>
        <v>35960.51</v>
      </c>
      <c r="H29" s="103"/>
      <c r="I29" s="105"/>
    </row>
    <row r="30" spans="1:19" ht="20.100000000000001" customHeight="1">
      <c r="A30" s="6" t="s">
        <v>10</v>
      </c>
      <c r="B30" s="7"/>
      <c r="C30" s="7"/>
      <c r="D30" s="7"/>
      <c r="E30" s="7"/>
      <c r="F30" s="7"/>
      <c r="G30" s="7"/>
      <c r="H30" s="8"/>
      <c r="I30" s="9"/>
    </row>
    <row r="31" spans="1:19" ht="18" customHeight="1">
      <c r="A31" s="10"/>
      <c r="G31" s="1"/>
      <c r="H31" s="1"/>
      <c r="L31" s="11"/>
      <c r="M31" s="11"/>
      <c r="N31" s="11"/>
      <c r="P31" s="138" t="s">
        <v>11</v>
      </c>
      <c r="Q31" s="12" t="s">
        <v>12</v>
      </c>
      <c r="R31" s="13" t="s">
        <v>13</v>
      </c>
      <c r="S31" s="12" t="s">
        <v>14</v>
      </c>
    </row>
    <row r="32" spans="1:19" ht="50.1" customHeight="1">
      <c r="P32" s="139"/>
      <c r="Q32" s="14"/>
      <c r="R32" s="15"/>
      <c r="S32" s="14"/>
    </row>
    <row r="33" spans="12:19" ht="17.100000000000001" customHeight="1">
      <c r="L33" s="11"/>
      <c r="M33" s="11"/>
      <c r="N33" s="11"/>
      <c r="P33" s="140"/>
      <c r="Q33" s="15" t="s">
        <v>15</v>
      </c>
      <c r="R33" s="15" t="s">
        <v>15</v>
      </c>
      <c r="S33" s="16" t="s">
        <v>15</v>
      </c>
    </row>
    <row r="34" spans="12:19" ht="15" customHeight="1">
      <c r="L34" s="17" t="s">
        <v>16</v>
      </c>
      <c r="M34" s="141" t="s">
        <v>17</v>
      </c>
      <c r="N34" s="141" t="s">
        <v>18</v>
      </c>
    </row>
    <row r="35" spans="12:19" ht="18" customHeight="1">
      <c r="L35" s="18" t="s">
        <v>19</v>
      </c>
      <c r="M35" s="142"/>
      <c r="N35" s="142"/>
      <c r="P35" s="138" t="s">
        <v>20</v>
      </c>
      <c r="Q35" s="12" t="s">
        <v>12</v>
      </c>
      <c r="R35" s="12" t="s">
        <v>13</v>
      </c>
      <c r="S35" s="12" t="s">
        <v>14</v>
      </c>
    </row>
    <row r="36" spans="12:19" ht="50.1" customHeight="1">
      <c r="L36" s="14"/>
      <c r="M36" s="14"/>
      <c r="N36" s="14"/>
      <c r="P36" s="139"/>
      <c r="Q36" s="19"/>
      <c r="R36" s="19"/>
      <c r="S36" s="14"/>
    </row>
    <row r="37" spans="12:19" ht="17.100000000000001" customHeight="1">
      <c r="L37" s="16" t="s">
        <v>15</v>
      </c>
      <c r="M37" s="16" t="s">
        <v>15</v>
      </c>
      <c r="N37" s="16" t="s">
        <v>15</v>
      </c>
      <c r="P37" s="140"/>
      <c r="Q37" s="15" t="s">
        <v>15</v>
      </c>
      <c r="R37" s="15" t="s">
        <v>15</v>
      </c>
      <c r="S37" s="16" t="s">
        <v>15</v>
      </c>
    </row>
    <row r="38" spans="12:19" ht="9.9499999999999993" customHeight="1"/>
    <row r="39" spans="12:19" ht="19.899999999999999" customHeight="1"/>
    <row r="40" spans="12:19" ht="17.45" customHeight="1">
      <c r="L40" s="143"/>
      <c r="M40" s="143"/>
      <c r="N40" s="143"/>
    </row>
    <row r="41" spans="12:19" ht="19.899999999999999" customHeight="1">
      <c r="L41" s="143"/>
      <c r="M41" s="143"/>
      <c r="N41" s="143"/>
    </row>
    <row r="42" spans="12:19" ht="14.25">
      <c r="L42" s="11"/>
      <c r="M42" s="11"/>
      <c r="N42" s="11"/>
    </row>
    <row r="43" spans="12:19" ht="65.099999999999994" customHeight="1"/>
    <row r="44" spans="12:19" ht="14.25">
      <c r="L44" s="11"/>
      <c r="M44" s="11"/>
      <c r="N44" s="11"/>
    </row>
    <row r="45" spans="12:19" ht="19.899999999999999" customHeight="1"/>
    <row r="46" spans="12:19" ht="14.25"/>
    <row r="47" spans="12:19" ht="19.899999999999999" customHeight="1"/>
    <row r="48" spans="12:19" ht="14.25"/>
    <row r="49" spans="12:19" ht="19.899999999999999" customHeight="1"/>
    <row r="50" spans="12:19" ht="19.899999999999999" customHeight="1"/>
    <row r="51" spans="12:19" ht="64.900000000000006" customHeight="1"/>
    <row r="53" spans="12:19" ht="19.899999999999999" customHeight="1">
      <c r="Q53" s="141" t="s">
        <v>21</v>
      </c>
    </row>
    <row r="54" spans="12:19" ht="19.899999999999999" customHeight="1">
      <c r="Q54" s="142"/>
    </row>
    <row r="55" spans="12:19" ht="64.900000000000006" customHeight="1">
      <c r="Q55" s="14"/>
    </row>
    <row r="59" spans="12:19" ht="21" customHeight="1">
      <c r="L59" s="141" t="s">
        <v>21</v>
      </c>
      <c r="M59" s="141" t="s">
        <v>21</v>
      </c>
      <c r="N59" s="141" t="s">
        <v>21</v>
      </c>
      <c r="Q59" s="141" t="s">
        <v>22</v>
      </c>
      <c r="R59" s="141" t="s">
        <v>13</v>
      </c>
      <c r="S59" s="141" t="s">
        <v>21</v>
      </c>
    </row>
    <row r="60" spans="12:19" ht="21" customHeight="1">
      <c r="L60" s="142"/>
      <c r="M60" s="142"/>
      <c r="N60" s="142"/>
      <c r="Q60" s="140"/>
      <c r="R60" s="140"/>
      <c r="S60" s="142"/>
    </row>
    <row r="61" spans="12:19" ht="64.900000000000006" customHeight="1">
      <c r="L61" s="14"/>
      <c r="M61" s="14"/>
      <c r="N61" s="14"/>
      <c r="Q61" s="14"/>
      <c r="R61" s="15"/>
      <c r="S61" s="14"/>
    </row>
    <row r="62" spans="12:19" ht="7.15" customHeight="1"/>
    <row r="63" spans="12:19" ht="21" customHeight="1">
      <c r="L63" s="141" t="s">
        <v>21</v>
      </c>
      <c r="M63" s="141" t="s">
        <v>21</v>
      </c>
      <c r="N63" s="141" t="s">
        <v>21</v>
      </c>
      <c r="Q63" s="141" t="s">
        <v>13</v>
      </c>
      <c r="R63" s="141" t="s">
        <v>22</v>
      </c>
      <c r="S63" s="141" t="s">
        <v>21</v>
      </c>
    </row>
    <row r="64" spans="12:19" ht="21" customHeight="1">
      <c r="L64" s="142"/>
      <c r="M64" s="142"/>
      <c r="N64" s="142"/>
      <c r="Q64" s="140"/>
      <c r="R64" s="140"/>
      <c r="S64" s="142"/>
    </row>
    <row r="65" spans="12:19" ht="64.900000000000006" customHeight="1">
      <c r="L65" s="14"/>
      <c r="M65" s="14"/>
      <c r="N65" s="14"/>
      <c r="Q65" s="15"/>
      <c r="R65" s="14"/>
      <c r="S65" s="14"/>
    </row>
  </sheetData>
  <mergeCells count="33">
    <mergeCell ref="R59:R60"/>
    <mergeCell ref="S59:S60"/>
    <mergeCell ref="L63:L64"/>
    <mergeCell ref="M63:M64"/>
    <mergeCell ref="N63:N64"/>
    <mergeCell ref="Q63:Q64"/>
    <mergeCell ref="R63:R64"/>
    <mergeCell ref="S63:S64"/>
    <mergeCell ref="L40:L41"/>
    <mergeCell ref="M40:M41"/>
    <mergeCell ref="N40:N41"/>
    <mergeCell ref="Q53:Q54"/>
    <mergeCell ref="L59:L60"/>
    <mergeCell ref="M59:M60"/>
    <mergeCell ref="N59:N60"/>
    <mergeCell ref="Q59:Q60"/>
    <mergeCell ref="A29:B29"/>
    <mergeCell ref="P31:P33"/>
    <mergeCell ref="M34:M35"/>
    <mergeCell ref="N34:N35"/>
    <mergeCell ref="P35:P37"/>
    <mergeCell ref="G1:I1"/>
    <mergeCell ref="G2:I2"/>
    <mergeCell ref="D3:F3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8"/>
  <sheetViews>
    <sheetView showGridLines="0" view="pageBreakPreview" zoomScale="70" zoomScaleNormal="95" zoomScaleSheetLayoutView="70" workbookViewId="0">
      <pane ySplit="5" topLeftCell="A12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0" t="s">
        <v>97</v>
      </c>
      <c r="B1" s="95"/>
      <c r="C1" s="95"/>
      <c r="D1" s="95"/>
      <c r="E1" s="95"/>
      <c r="F1" s="95"/>
      <c r="G1" s="1"/>
      <c r="J1" s="121" t="str">
        <f>+MRS!G1</f>
        <v>DAESHIN PLANT</v>
      </c>
      <c r="K1" s="123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+MRS!C2</f>
        <v>Division (In charge Name) : ADMIN MANAGER (Dong Chang Kim)</v>
      </c>
      <c r="E2" s="96"/>
      <c r="F2" s="96"/>
      <c r="G2" s="20"/>
      <c r="H2" s="20"/>
      <c r="I2" s="20"/>
      <c r="J2" s="124" t="str">
        <f>+MRS!G2</f>
        <v>Subcontract name (SAC2-SC-IK-SMP-01)</v>
      </c>
      <c r="K2" s="126"/>
    </row>
    <row r="3" spans="1:18" ht="24.95" customHeight="1">
      <c r="A3" s="3" t="str">
        <f>+MRS!A3</f>
        <v xml:space="preserve">  MRS No : SAC2-DS-MRS-0085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+MRS!I3</f>
        <v>45825</v>
      </c>
    </row>
    <row r="4" spans="1:18" ht="15.95" customHeight="1">
      <c r="A4" s="149" t="s">
        <v>2</v>
      </c>
      <c r="B4" s="150" t="s">
        <v>23</v>
      </c>
      <c r="C4" s="150"/>
      <c r="D4" s="149" t="s">
        <v>4</v>
      </c>
      <c r="E4" s="149"/>
      <c r="F4" s="149"/>
      <c r="G4" s="150" t="s">
        <v>5</v>
      </c>
      <c r="H4" s="149" t="s">
        <v>92</v>
      </c>
      <c r="I4" s="149" t="s">
        <v>24</v>
      </c>
      <c r="J4" s="149" t="s">
        <v>25</v>
      </c>
      <c r="K4" s="150" t="s">
        <v>7</v>
      </c>
    </row>
    <row r="5" spans="1:18" ht="15.95" customHeight="1">
      <c r="A5" s="149"/>
      <c r="B5" s="150"/>
      <c r="C5" s="150"/>
      <c r="D5" s="149"/>
      <c r="E5" s="149"/>
      <c r="F5" s="149"/>
      <c r="G5" s="150"/>
      <c r="H5" s="149"/>
      <c r="I5" s="149"/>
      <c r="J5" s="149"/>
      <c r="K5" s="150"/>
    </row>
    <row r="6" spans="1:18" ht="105" customHeight="1">
      <c r="A6" s="21">
        <f>+MRS!A6</f>
        <v>1</v>
      </c>
      <c r="B6" s="144" t="str">
        <f>MRS!B6</f>
        <v>Water Tank</v>
      </c>
      <c r="C6" s="145"/>
      <c r="D6" s="146" t="str">
        <f>MRS!C6</f>
        <v>10000 Ltr</v>
      </c>
      <c r="E6" s="147"/>
      <c r="F6" s="148"/>
      <c r="G6" s="98" t="str">
        <f>MRS!D6</f>
        <v>EA</v>
      </c>
      <c r="H6" s="98">
        <f>MRS!E6</f>
        <v>2</v>
      </c>
      <c r="I6" s="99">
        <f>MRS!F6</f>
        <v>4800</v>
      </c>
      <c r="J6" s="99">
        <f>MRS!G6</f>
        <v>9600</v>
      </c>
      <c r="K6" s="100"/>
      <c r="O6" s="101"/>
      <c r="P6" s="101"/>
      <c r="R6" s="101"/>
    </row>
    <row r="7" spans="1:18" ht="105" customHeight="1">
      <c r="A7" s="21">
        <f>+MRS!A7</f>
        <v>2</v>
      </c>
      <c r="B7" s="144" t="str">
        <f>MRS!B7</f>
        <v>Water Pump</v>
      </c>
      <c r="C7" s="145"/>
      <c r="D7" s="146" t="str">
        <f>MRS!C7</f>
        <v>1Hp 220V</v>
      </c>
      <c r="E7" s="147"/>
      <c r="F7" s="148"/>
      <c r="G7" s="98" t="str">
        <f>MRS!D7</f>
        <v>EA</v>
      </c>
      <c r="H7" s="98">
        <f>MRS!E7</f>
        <v>2</v>
      </c>
      <c r="I7" s="99">
        <f>MRS!F7</f>
        <v>360</v>
      </c>
      <c r="J7" s="99">
        <f>MRS!G7</f>
        <v>720</v>
      </c>
      <c r="K7" s="100"/>
      <c r="O7" s="101"/>
      <c r="P7" s="101"/>
      <c r="R7" s="101"/>
    </row>
    <row r="8" spans="1:18" ht="105" customHeight="1">
      <c r="A8" s="21">
        <f>+MRS!A8</f>
        <v>3</v>
      </c>
      <c r="B8" s="144" t="str">
        <f>MRS!B8</f>
        <v>Pressure Switch Automatic</v>
      </c>
      <c r="C8" s="145"/>
      <c r="D8" s="146" t="str">
        <f>MRS!C8</f>
        <v/>
      </c>
      <c r="E8" s="147"/>
      <c r="F8" s="148"/>
      <c r="G8" s="98" t="str">
        <f>MRS!D8</f>
        <v>EA</v>
      </c>
      <c r="H8" s="98">
        <f>MRS!E8</f>
        <v>2</v>
      </c>
      <c r="I8" s="99">
        <f>MRS!F8</f>
        <v>78.25</v>
      </c>
      <c r="J8" s="99">
        <f>MRS!G8</f>
        <v>156.5</v>
      </c>
      <c r="K8" s="100"/>
      <c r="O8" s="101"/>
      <c r="P8" s="101"/>
      <c r="R8" s="101"/>
    </row>
    <row r="9" spans="1:18" ht="105" customHeight="1">
      <c r="A9" s="21">
        <f>+MRS!A9</f>
        <v>4</v>
      </c>
      <c r="B9" s="144" t="str">
        <f>MRS!B9</f>
        <v>Cpvc Union</v>
      </c>
      <c r="C9" s="145"/>
      <c r="D9" s="146" t="str">
        <f>MRS!C9</f>
        <v>1"</v>
      </c>
      <c r="E9" s="147"/>
      <c r="F9" s="148"/>
      <c r="G9" s="98" t="str">
        <f>MRS!D9</f>
        <v>EA</v>
      </c>
      <c r="H9" s="98">
        <f>MRS!E9</f>
        <v>4</v>
      </c>
      <c r="I9" s="99">
        <f>MRS!F9</f>
        <v>8.4</v>
      </c>
      <c r="J9" s="99">
        <f>MRS!G9</f>
        <v>33.6</v>
      </c>
      <c r="K9" s="100"/>
      <c r="O9" s="101"/>
      <c r="P9" s="101"/>
      <c r="R9" s="101"/>
    </row>
    <row r="10" spans="1:18" ht="105" customHeight="1">
      <c r="A10" s="21">
        <f>+MRS!A10</f>
        <v>5</v>
      </c>
      <c r="B10" s="144" t="str">
        <f>MRS!B10</f>
        <v>Cpvc Elbow</v>
      </c>
      <c r="C10" s="145"/>
      <c r="D10" s="146" t="str">
        <f>MRS!C10</f>
        <v>90° -1"</v>
      </c>
      <c r="E10" s="147"/>
      <c r="F10" s="148"/>
      <c r="G10" s="98" t="str">
        <f>MRS!D10</f>
        <v>EA</v>
      </c>
      <c r="H10" s="98">
        <f>MRS!E10</f>
        <v>2</v>
      </c>
      <c r="I10" s="99">
        <f>MRS!F10</f>
        <v>3.6</v>
      </c>
      <c r="J10" s="99">
        <f>MRS!G10</f>
        <v>7.2</v>
      </c>
      <c r="K10" s="100"/>
      <c r="O10" s="101"/>
      <c r="P10" s="101"/>
      <c r="R10" s="101"/>
    </row>
    <row r="11" spans="1:18" ht="105" customHeight="1">
      <c r="A11" s="21">
        <f>+MRS!A11</f>
        <v>6</v>
      </c>
      <c r="B11" s="144" t="str">
        <f>MRS!B11</f>
        <v>Cpvc Male Adaptor</v>
      </c>
      <c r="C11" s="145"/>
      <c r="D11" s="146" t="str">
        <f>MRS!C11</f>
        <v>1" Brass Sh 80</v>
      </c>
      <c r="E11" s="147"/>
      <c r="F11" s="148"/>
      <c r="G11" s="98" t="str">
        <f>MRS!D11</f>
        <v>EA</v>
      </c>
      <c r="H11" s="98">
        <f>MRS!E11</f>
        <v>4</v>
      </c>
      <c r="I11" s="99">
        <f>MRS!F11</f>
        <v>4.8</v>
      </c>
      <c r="J11" s="99">
        <f>MRS!G11</f>
        <v>19.2</v>
      </c>
      <c r="K11" s="100"/>
      <c r="O11" s="101"/>
      <c r="P11" s="101"/>
      <c r="R11" s="101"/>
    </row>
    <row r="12" spans="1:18" ht="105" customHeight="1">
      <c r="A12" s="21">
        <f>+MRS!A12</f>
        <v>7</v>
      </c>
      <c r="B12" s="144" t="str">
        <f>MRS!B12</f>
        <v>Water Filter Set 3 Way Wall</v>
      </c>
      <c r="C12" s="145"/>
      <c r="D12" s="146" t="str">
        <f>MRS!C12</f>
        <v/>
      </c>
      <c r="E12" s="147"/>
      <c r="F12" s="148"/>
      <c r="G12" s="98" t="str">
        <f>MRS!D12</f>
        <v>EA</v>
      </c>
      <c r="H12" s="98">
        <f>MRS!E12</f>
        <v>1</v>
      </c>
      <c r="I12" s="99">
        <f>MRS!F12</f>
        <v>183.96</v>
      </c>
      <c r="J12" s="99">
        <f>MRS!G12</f>
        <v>183.96</v>
      </c>
      <c r="K12" s="100"/>
      <c r="O12" s="101"/>
      <c r="P12" s="101"/>
      <c r="R12" s="101"/>
    </row>
    <row r="13" spans="1:18" ht="105" customHeight="1">
      <c r="A13" s="21">
        <f>+MRS!A13</f>
        <v>8</v>
      </c>
      <c r="B13" s="144" t="str">
        <f>MRS!B13</f>
        <v>Cpvc Ball Valve</v>
      </c>
      <c r="C13" s="145"/>
      <c r="D13" s="146" t="str">
        <f>MRS!C13</f>
        <v>3/4"</v>
      </c>
      <c r="E13" s="147"/>
      <c r="F13" s="148"/>
      <c r="G13" s="98" t="str">
        <f>MRS!D13</f>
        <v>EA</v>
      </c>
      <c r="H13" s="98">
        <f>MRS!E13</f>
        <v>2</v>
      </c>
      <c r="I13" s="99">
        <f>MRS!F13</f>
        <v>15.66</v>
      </c>
      <c r="J13" s="99">
        <f>MRS!G13</f>
        <v>31.32</v>
      </c>
      <c r="K13" s="100"/>
      <c r="O13" s="101"/>
      <c r="P13" s="101"/>
      <c r="R13" s="101"/>
    </row>
    <row r="14" spans="1:18" ht="105" customHeight="1">
      <c r="A14" s="21">
        <f>+MRS!A14</f>
        <v>9</v>
      </c>
      <c r="B14" s="144" t="str">
        <f>MRS!B14</f>
        <v>Transportation</v>
      </c>
      <c r="C14" s="145"/>
      <c r="D14" s="146" t="str">
        <f>MRS!C14</f>
        <v>Half Lorry (Trailer) For Water</v>
      </c>
      <c r="E14" s="147"/>
      <c r="F14" s="148"/>
      <c r="G14" s="98" t="str">
        <f>MRS!D14</f>
        <v>EA</v>
      </c>
      <c r="H14" s="98">
        <f>MRS!E14</f>
        <v>1</v>
      </c>
      <c r="I14" s="99">
        <f>MRS!F14</f>
        <v>700</v>
      </c>
      <c r="J14" s="99">
        <f>MRS!G14</f>
        <v>700</v>
      </c>
      <c r="K14" s="100"/>
      <c r="O14" s="101"/>
      <c r="P14" s="101"/>
      <c r="R14" s="101"/>
    </row>
    <row r="15" spans="1:18" ht="105" customHeight="1">
      <c r="A15" s="21">
        <f>+MRS!A15</f>
        <v>10</v>
      </c>
      <c r="B15" s="144" t="str">
        <f>MRS!B15</f>
        <v>Water Filter Set 3 Way Wall</v>
      </c>
      <c r="C15" s="145"/>
      <c r="D15" s="146" t="str">
        <f>MRS!C15</f>
        <v/>
      </c>
      <c r="E15" s="147"/>
      <c r="F15" s="148"/>
      <c r="G15" s="98" t="str">
        <f>MRS!D15</f>
        <v>EA</v>
      </c>
      <c r="H15" s="98">
        <f>MRS!E15</f>
        <v>1</v>
      </c>
      <c r="I15" s="99">
        <f>MRS!F15</f>
        <v>183.96</v>
      </c>
      <c r="J15" s="99">
        <f>MRS!G15</f>
        <v>183.96</v>
      </c>
      <c r="K15" s="100"/>
      <c r="O15" s="101"/>
      <c r="P15" s="101"/>
      <c r="R15" s="101"/>
    </row>
    <row r="16" spans="1:18" ht="105" customHeight="1">
      <c r="A16" s="21">
        <f>+MRS!A16</f>
        <v>11</v>
      </c>
      <c r="B16" s="144" t="str">
        <f>MRS!B16</f>
        <v>Cpvc Ball Valve</v>
      </c>
      <c r="C16" s="145"/>
      <c r="D16" s="146" t="str">
        <f>MRS!C16</f>
        <v>3/4"</v>
      </c>
      <c r="E16" s="147"/>
      <c r="F16" s="148"/>
      <c r="G16" s="98" t="str">
        <f>MRS!D16</f>
        <v>EA</v>
      </c>
      <c r="H16" s="98">
        <f>MRS!E16</f>
        <v>2</v>
      </c>
      <c r="I16" s="99">
        <f>MRS!F16</f>
        <v>15.66</v>
      </c>
      <c r="J16" s="99">
        <f>MRS!G16</f>
        <v>31.32</v>
      </c>
      <c r="K16" s="100"/>
      <c r="O16" s="101"/>
      <c r="P16" s="101"/>
      <c r="R16" s="101"/>
    </row>
    <row r="17" spans="1:18" ht="105" customHeight="1">
      <c r="A17" s="21">
        <f>+MRS!A17</f>
        <v>12</v>
      </c>
      <c r="B17" s="144" t="str">
        <f>MRS!B17</f>
        <v>Water Dispenser</v>
      </c>
      <c r="C17" s="145"/>
      <c r="D17" s="146" t="str">
        <f>MRS!C17</f>
        <v/>
      </c>
      <c r="E17" s="147"/>
      <c r="F17" s="148"/>
      <c r="G17" s="98" t="str">
        <f>MRS!D17</f>
        <v>EA</v>
      </c>
      <c r="H17" s="98">
        <f>MRS!E17</f>
        <v>2</v>
      </c>
      <c r="I17" s="99">
        <f>MRS!F17</f>
        <v>339</v>
      </c>
      <c r="J17" s="99">
        <f>MRS!G17</f>
        <v>678</v>
      </c>
      <c r="K17" s="100"/>
      <c r="O17" s="101"/>
      <c r="P17" s="101"/>
      <c r="R17" s="101"/>
    </row>
    <row r="18" spans="1:18" ht="105" customHeight="1">
      <c r="A18" s="21">
        <f>+MRS!A18</f>
        <v>13</v>
      </c>
      <c r="B18" s="144" t="str">
        <f>MRS!B18</f>
        <v>Lunch Box</v>
      </c>
      <c r="C18" s="145"/>
      <c r="D18" s="146" t="str">
        <f>MRS!C18</f>
        <v>(50 Pcs Pkt)</v>
      </c>
      <c r="E18" s="147"/>
      <c r="F18" s="148"/>
      <c r="G18" s="98" t="str">
        <f>MRS!D18</f>
        <v>PKT</v>
      </c>
      <c r="H18" s="98">
        <f>MRS!E18</f>
        <v>1</v>
      </c>
      <c r="I18" s="99">
        <f>MRS!F18</f>
        <v>25</v>
      </c>
      <c r="J18" s="99">
        <f>MRS!G18</f>
        <v>25</v>
      </c>
      <c r="K18" s="100"/>
      <c r="O18" s="101"/>
      <c r="P18" s="101"/>
      <c r="R18" s="101"/>
    </row>
    <row r="19" spans="1:18" ht="105" customHeight="1">
      <c r="A19" s="21">
        <f>+MRS!A19</f>
        <v>14</v>
      </c>
      <c r="B19" s="144" t="str">
        <f>MRS!B19</f>
        <v>Desk  With Drawer</v>
      </c>
      <c r="C19" s="145"/>
      <c r="D19" s="146" t="str">
        <f>MRS!C19</f>
        <v>(140 Size)</v>
      </c>
      <c r="E19" s="147"/>
      <c r="F19" s="148"/>
      <c r="G19" s="98" t="str">
        <f>MRS!D19</f>
        <v>SET</v>
      </c>
      <c r="H19" s="98">
        <f>MRS!E19</f>
        <v>6</v>
      </c>
      <c r="I19" s="99">
        <f>MRS!F19</f>
        <v>330</v>
      </c>
      <c r="J19" s="99">
        <f>MRS!G19</f>
        <v>1980</v>
      </c>
      <c r="K19" s="100"/>
      <c r="O19" s="101"/>
      <c r="P19" s="101"/>
      <c r="R19" s="101"/>
    </row>
    <row r="20" spans="1:18" ht="105" customHeight="1">
      <c r="A20" s="21">
        <f>+MRS!A20</f>
        <v>15</v>
      </c>
      <c r="B20" s="144" t="str">
        <f>MRS!B20</f>
        <v>Chair</v>
      </c>
      <c r="C20" s="145"/>
      <c r="D20" s="146" t="str">
        <f>MRS!C20</f>
        <v/>
      </c>
      <c r="E20" s="147"/>
      <c r="F20" s="148"/>
      <c r="G20" s="98" t="str">
        <f>MRS!D20</f>
        <v>SET</v>
      </c>
      <c r="H20" s="98">
        <f>MRS!E20</f>
        <v>16</v>
      </c>
      <c r="I20" s="99">
        <f>MRS!F20</f>
        <v>158</v>
      </c>
      <c r="J20" s="99">
        <f>MRS!G20</f>
        <v>2528</v>
      </c>
      <c r="K20" s="100"/>
      <c r="O20" s="101"/>
      <c r="P20" s="101"/>
      <c r="R20" s="101"/>
    </row>
    <row r="21" spans="1:18" ht="105" customHeight="1">
      <c r="A21" s="21">
        <f>+MRS!A21</f>
        <v>16</v>
      </c>
      <c r="B21" s="144" t="str">
        <f>MRS!B21</f>
        <v>Router</v>
      </c>
      <c r="C21" s="145"/>
      <c r="D21" s="146" t="str">
        <f>MRS!C21</f>
        <v>Tp Link Router(Ax150)</v>
      </c>
      <c r="E21" s="147"/>
      <c r="F21" s="148"/>
      <c r="G21" s="98" t="str">
        <f>MRS!D21</f>
        <v>EA</v>
      </c>
      <c r="H21" s="98">
        <f>MRS!E21</f>
        <v>1</v>
      </c>
      <c r="I21" s="99">
        <f>MRS!F21</f>
        <v>156.25</v>
      </c>
      <c r="J21" s="99">
        <f>MRS!G21</f>
        <v>156.25</v>
      </c>
      <c r="K21" s="100"/>
      <c r="O21" s="101"/>
      <c r="P21" s="101"/>
      <c r="R21" s="101"/>
    </row>
    <row r="22" spans="1:18" ht="105" customHeight="1">
      <c r="A22" s="21">
        <f>+MRS!A22</f>
        <v>17</v>
      </c>
      <c r="B22" s="144" t="str">
        <f>MRS!B22</f>
        <v>Tp Link 300 Mbps</v>
      </c>
      <c r="C22" s="145"/>
      <c r="D22" s="146" t="str">
        <f>MRS!C22</f>
        <v/>
      </c>
      <c r="E22" s="147"/>
      <c r="F22" s="148"/>
      <c r="G22" s="98" t="str">
        <f>MRS!D22</f>
        <v>EA</v>
      </c>
      <c r="H22" s="98">
        <f>MRS!E22</f>
        <v>3</v>
      </c>
      <c r="I22" s="99">
        <f>MRS!F22</f>
        <v>38.049999999999997</v>
      </c>
      <c r="J22" s="99">
        <f>MRS!G22</f>
        <v>114.14999999999999</v>
      </c>
      <c r="K22" s="100"/>
      <c r="O22" s="101"/>
      <c r="P22" s="101"/>
      <c r="R22" s="101"/>
    </row>
    <row r="23" spans="1:18" ht="105" customHeight="1">
      <c r="A23" s="21">
        <f>+MRS!A23</f>
        <v>18</v>
      </c>
      <c r="B23" s="144" t="str">
        <f>MRS!B23</f>
        <v>Xerox Printer</v>
      </c>
      <c r="C23" s="145"/>
      <c r="D23" s="146" t="str">
        <f>MRS!C23</f>
        <v>C7130</v>
      </c>
      <c r="E23" s="147"/>
      <c r="F23" s="148"/>
      <c r="G23" s="98" t="str">
        <f>MRS!D23</f>
        <v>SET</v>
      </c>
      <c r="H23" s="98">
        <f>MRS!E23</f>
        <v>1</v>
      </c>
      <c r="I23" s="99">
        <f>MRS!F23</f>
        <v>16794</v>
      </c>
      <c r="J23" s="99">
        <f>MRS!G23</f>
        <v>16794</v>
      </c>
      <c r="K23" s="100"/>
      <c r="O23" s="101"/>
      <c r="P23" s="101"/>
      <c r="R23" s="101"/>
    </row>
    <row r="24" spans="1:18" ht="105" customHeight="1">
      <c r="A24" s="21">
        <f>+MRS!A24</f>
        <v>19</v>
      </c>
      <c r="B24" s="144" t="str">
        <f>MRS!B24</f>
        <v>Cleaning Sparay</v>
      </c>
      <c r="C24" s="145"/>
      <c r="D24" s="146" t="str">
        <f>MRS!C24</f>
        <v>Flamingo Leather Cleaning</v>
      </c>
      <c r="E24" s="147"/>
      <c r="F24" s="148"/>
      <c r="G24" s="98" t="str">
        <f>MRS!D24</f>
        <v>EA</v>
      </c>
      <c r="H24" s="98">
        <f>MRS!E24</f>
        <v>2</v>
      </c>
      <c r="I24" s="99">
        <f>MRS!F24</f>
        <v>48.9</v>
      </c>
      <c r="J24" s="99">
        <f>MRS!G24</f>
        <v>97.8</v>
      </c>
      <c r="K24" s="100"/>
      <c r="O24" s="101"/>
      <c r="P24" s="101"/>
      <c r="R24" s="101"/>
    </row>
    <row r="25" spans="1:18" ht="105" customHeight="1">
      <c r="A25" s="21">
        <f>+MRS!A25</f>
        <v>20</v>
      </c>
      <c r="B25" s="144" t="str">
        <f>MRS!B25</f>
        <v>Desk With Drawer</v>
      </c>
      <c r="C25" s="145"/>
      <c r="D25" s="146" t="str">
        <f>MRS!C25</f>
        <v>(140 Size)</v>
      </c>
      <c r="E25" s="147"/>
      <c r="F25" s="148"/>
      <c r="G25" s="98" t="str">
        <f>MRS!D25</f>
        <v>SET</v>
      </c>
      <c r="H25" s="98">
        <f>MRS!E25</f>
        <v>3</v>
      </c>
      <c r="I25" s="99">
        <f>MRS!F25</f>
        <v>330</v>
      </c>
      <c r="J25" s="99">
        <f>MRS!G25</f>
        <v>990</v>
      </c>
      <c r="K25" s="100"/>
      <c r="O25" s="101"/>
      <c r="P25" s="101"/>
      <c r="R25" s="101"/>
    </row>
    <row r="26" spans="1:18" ht="105" customHeight="1">
      <c r="A26" s="21">
        <f>+MRS!A26</f>
        <v>21</v>
      </c>
      <c r="B26" s="144" t="str">
        <f>MRS!B26</f>
        <v>Chair</v>
      </c>
      <c r="C26" s="145"/>
      <c r="D26" s="146" t="str">
        <f>MRS!C26</f>
        <v/>
      </c>
      <c r="E26" s="147"/>
      <c r="F26" s="148"/>
      <c r="G26" s="98" t="str">
        <f>MRS!D26</f>
        <v>SET</v>
      </c>
      <c r="H26" s="98">
        <f>MRS!E26</f>
        <v>3</v>
      </c>
      <c r="I26" s="99">
        <f>MRS!F26</f>
        <v>158</v>
      </c>
      <c r="J26" s="99">
        <f>MRS!G26</f>
        <v>474</v>
      </c>
      <c r="K26" s="100"/>
      <c r="O26" s="101"/>
      <c r="P26" s="101"/>
      <c r="R26" s="101"/>
    </row>
    <row r="27" spans="1:18" ht="105" customHeight="1">
      <c r="A27" s="21">
        <f>+MRS!A27</f>
        <v>22</v>
      </c>
      <c r="B27" s="144" t="str">
        <f>MRS!B27</f>
        <v>Router</v>
      </c>
      <c r="C27" s="145"/>
      <c r="D27" s="146" t="str">
        <f>MRS!C27</f>
        <v>Tp Link Router(Ax150)</v>
      </c>
      <c r="E27" s="147"/>
      <c r="F27" s="148"/>
      <c r="G27" s="98" t="str">
        <f>MRS!D27</f>
        <v>EA</v>
      </c>
      <c r="H27" s="98">
        <f>MRS!E27</f>
        <v>1</v>
      </c>
      <c r="I27" s="99">
        <f>MRS!F27</f>
        <v>156.25</v>
      </c>
      <c r="J27" s="99">
        <f>MRS!G27</f>
        <v>156.25</v>
      </c>
      <c r="K27" s="100"/>
      <c r="O27" s="101"/>
      <c r="P27" s="101"/>
      <c r="R27" s="101"/>
    </row>
    <row r="28" spans="1:18" ht="105" customHeight="1">
      <c r="A28" s="21">
        <f>+MRS!A28</f>
        <v>23</v>
      </c>
      <c r="B28" s="144" t="str">
        <f>MRS!B28</f>
        <v>Portable Hard Disc</v>
      </c>
      <c r="C28" s="145"/>
      <c r="D28" s="146" t="str">
        <f>MRS!C28</f>
        <v>2 Tb (Toshiba)</v>
      </c>
      <c r="E28" s="147"/>
      <c r="F28" s="148"/>
      <c r="G28" s="98" t="str">
        <f>MRS!D28</f>
        <v>EA</v>
      </c>
      <c r="H28" s="98">
        <f>MRS!E28</f>
        <v>1</v>
      </c>
      <c r="I28" s="99">
        <f>MRS!F28</f>
        <v>300</v>
      </c>
      <c r="J28" s="99">
        <f>MRS!G28</f>
        <v>300</v>
      </c>
      <c r="K28" s="100"/>
      <c r="O28" s="101"/>
      <c r="P28" s="101"/>
      <c r="R28" s="101"/>
    </row>
  </sheetData>
  <mergeCells count="56">
    <mergeCell ref="B15:C15"/>
    <mergeCell ref="D15:F15"/>
    <mergeCell ref="B27:C27"/>
    <mergeCell ref="D27:F27"/>
    <mergeCell ref="B28:C28"/>
    <mergeCell ref="D28:F28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M2" sqref="M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149</v>
      </c>
      <c r="D9" s="39"/>
      <c r="E9" s="39"/>
    </row>
    <row r="10" spans="2:13" s="39" customFormat="1">
      <c r="B10" s="72"/>
      <c r="C10" s="39" t="s">
        <v>33</v>
      </c>
      <c r="D10" s="76">
        <v>2051242967</v>
      </c>
      <c r="J10" s="39" t="s">
        <v>34</v>
      </c>
      <c r="K10" s="152">
        <f>MRS!I3</f>
        <v>45825</v>
      </c>
      <c r="L10" s="153"/>
      <c r="M10" s="153"/>
    </row>
    <row r="11" spans="2:13" s="39" customFormat="1">
      <c r="B11" s="72"/>
      <c r="C11" s="75" t="s">
        <v>35</v>
      </c>
      <c r="D11" s="76" t="s">
        <v>100</v>
      </c>
      <c r="J11" s="39" t="s">
        <v>36</v>
      </c>
      <c r="K11" s="154" t="str">
        <f>SUBSTITUTE(SUBSTITUTE(+MRS!A3,"  MRS No : ",""),"-MRS","-PO")</f>
        <v>SAC2-DS-PO-0085</v>
      </c>
      <c r="L11" s="154"/>
      <c r="M11" s="154"/>
    </row>
    <row r="12" spans="2:13" s="39" customFormat="1">
      <c r="B12" s="72"/>
      <c r="C12" s="75" t="s">
        <v>37</v>
      </c>
      <c r="D12" s="39" t="s">
        <v>147</v>
      </c>
      <c r="J12" s="39" t="s">
        <v>38</v>
      </c>
    </row>
    <row r="13" spans="2:13" s="39" customFormat="1">
      <c r="B13" s="72"/>
      <c r="C13" s="77"/>
      <c r="D13" s="76" t="s">
        <v>101</v>
      </c>
      <c r="J13" s="39" t="s">
        <v>39</v>
      </c>
    </row>
    <row r="14" spans="2:13" s="39" customFormat="1">
      <c r="B14" s="72"/>
      <c r="C14" s="77" t="s">
        <v>102</v>
      </c>
      <c r="J14" s="39" t="s">
        <v>40</v>
      </c>
      <c r="K14" s="39" t="s">
        <v>146</v>
      </c>
    </row>
    <row r="15" spans="2:13" s="39" customFormat="1">
      <c r="B15" s="72"/>
      <c r="C15" s="77" t="s">
        <v>103</v>
      </c>
      <c r="J15" s="39" t="s">
        <v>41</v>
      </c>
      <c r="K15" s="78">
        <v>45818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55" t="s">
        <v>42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</row>
    <row r="19" spans="2:13" ht="12" customHeight="1"/>
    <row r="20" spans="2:13" s="31" customFormat="1" ht="12" customHeight="1">
      <c r="B20" s="156" t="s">
        <v>43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</row>
    <row r="21" spans="2:13" s="31" customFormat="1" ht="12" customHeight="1">
      <c r="B21" s="156" t="s">
        <v>44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</row>
    <row r="22" spans="2:13" s="31" customFormat="1" ht="12" customHeight="1">
      <c r="B22" s="156" t="s">
        <v>45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</row>
    <row r="23" spans="2:13" ht="6.95" customHeight="1"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</row>
    <row r="24" spans="2:13" ht="6.95" customHeight="1"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145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12">
        <f>'PO 2nd page'!G29</f>
        <v>35960.51</v>
      </c>
      <c r="G29" s="112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12">
        <f>'PO 2nd page'!G30</f>
        <v>5394.0765000000001</v>
      </c>
      <c r="G30" s="112"/>
    </row>
    <row r="31" spans="2:13" ht="15" customHeight="1">
      <c r="B31" s="32"/>
      <c r="C31" s="26" t="s">
        <v>52</v>
      </c>
      <c r="D31" s="35"/>
      <c r="E31" s="26" t="s">
        <v>50</v>
      </c>
      <c r="F31" s="112">
        <f>'PO 2nd page'!G31</f>
        <v>41354.586500000005</v>
      </c>
      <c r="G31" s="112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104</v>
      </c>
      <c r="P49" s="82"/>
    </row>
    <row r="50" spans="1:16" s="83" customFormat="1" ht="15" customHeight="1">
      <c r="B50" s="84" t="s">
        <v>66</v>
      </c>
      <c r="C50" s="81" t="s">
        <v>94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Vijay Kumar</v>
      </c>
    </row>
    <row r="60" spans="1:16" ht="18" customHeight="1">
      <c r="B60" s="26" t="s">
        <v>72</v>
      </c>
      <c r="J60" s="26" t="s">
        <v>73</v>
      </c>
      <c r="K60" s="22" t="s">
        <v>148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150</v>
      </c>
      <c r="J62" s="159" t="str">
        <f>C9</f>
        <v>BWCT(Blue Arabia Ways Co. for Trading)</v>
      </c>
      <c r="K62" s="159"/>
      <c r="L62" s="159"/>
      <c r="M62" s="159"/>
    </row>
    <row r="63" spans="1:16" ht="27.95" customHeight="1">
      <c r="A63" s="151" t="s">
        <v>76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SAC2-DS-PO-0085</v>
      </c>
      <c r="C2" s="162" t="s">
        <v>78</v>
      </c>
      <c r="D2" s="162"/>
      <c r="E2" s="162"/>
      <c r="F2" s="162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45825</v>
      </c>
      <c r="C3" s="51"/>
      <c r="D3" s="52"/>
      <c r="E3" s="163" t="s">
        <v>80</v>
      </c>
      <c r="F3" s="163"/>
      <c r="G3" s="163"/>
      <c r="H3" s="163"/>
      <c r="I3" s="53"/>
    </row>
    <row r="4" spans="1:13" s="55" customFormat="1" ht="28.5" customHeight="1" thickTop="1">
      <c r="A4" s="164" t="s">
        <v>81</v>
      </c>
      <c r="B4" s="166" t="s">
        <v>82</v>
      </c>
      <c r="C4" s="167"/>
      <c r="D4" s="170" t="s">
        <v>83</v>
      </c>
      <c r="E4" s="170" t="s">
        <v>84</v>
      </c>
      <c r="F4" s="172" t="str">
        <f>'PO 1st page'!C9</f>
        <v>BWCT(Blue Arabia Ways Co. for Trading)</v>
      </c>
      <c r="G4" s="173"/>
      <c r="H4" s="174" t="s">
        <v>85</v>
      </c>
      <c r="K4" s="56"/>
      <c r="L4" s="56"/>
      <c r="M4" s="56"/>
    </row>
    <row r="5" spans="1:13" s="55" customFormat="1" ht="21.95" customHeight="1">
      <c r="A5" s="165"/>
      <c r="B5" s="168"/>
      <c r="C5" s="169"/>
      <c r="D5" s="171"/>
      <c r="E5" s="171"/>
      <c r="F5" s="57" t="s">
        <v>86</v>
      </c>
      <c r="G5" s="57" t="s">
        <v>52</v>
      </c>
      <c r="H5" s="175"/>
      <c r="K5" s="56"/>
      <c r="L5" s="56"/>
      <c r="M5" s="56"/>
    </row>
    <row r="6" spans="1:13" s="55" customFormat="1" ht="32.1" customHeight="1">
      <c r="A6" s="85">
        <f t="shared" ref="A6:A28" si="0">ROW(A1)</f>
        <v>1</v>
      </c>
      <c r="B6" s="160" t="str">
        <f>+'MRS LIST'!B6</f>
        <v>Water Tank</v>
      </c>
      <c r="C6" s="161"/>
      <c r="D6" s="86" t="str">
        <f>+'MRS LIST'!G6</f>
        <v>EA</v>
      </c>
      <c r="E6" s="87">
        <f>+'MRS LIST'!H6</f>
        <v>2</v>
      </c>
      <c r="F6" s="88">
        <f>+'MRS LIST'!I6</f>
        <v>4800</v>
      </c>
      <c r="G6" s="89">
        <f>+'MRS LIST'!J6</f>
        <v>9600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60" t="str">
        <f>+'MRS LIST'!B7</f>
        <v>Water Pump</v>
      </c>
      <c r="C7" s="161"/>
      <c r="D7" s="86" t="str">
        <f>+'MRS LIST'!G7</f>
        <v>EA</v>
      </c>
      <c r="E7" s="87">
        <f>+'MRS LIST'!H7</f>
        <v>2</v>
      </c>
      <c r="F7" s="88">
        <f>+'MRS LIST'!I7</f>
        <v>360</v>
      </c>
      <c r="G7" s="89">
        <f>+'MRS LIST'!J7</f>
        <v>720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60" t="str">
        <f>+'MRS LIST'!B8</f>
        <v>Pressure Switch Automatic</v>
      </c>
      <c r="C8" s="161"/>
      <c r="D8" s="86" t="str">
        <f>+'MRS LIST'!G8</f>
        <v>EA</v>
      </c>
      <c r="E8" s="87">
        <f>+'MRS LIST'!H8</f>
        <v>2</v>
      </c>
      <c r="F8" s="88">
        <f>+'MRS LIST'!I8</f>
        <v>78.25</v>
      </c>
      <c r="G8" s="89">
        <f>+'MRS LIST'!J8</f>
        <v>156.5</v>
      </c>
      <c r="H8" s="94"/>
      <c r="K8" s="56"/>
      <c r="L8" s="56"/>
      <c r="M8" s="56"/>
    </row>
    <row r="9" spans="1:13" s="55" customFormat="1" ht="32.1" customHeight="1">
      <c r="A9" s="93">
        <f t="shared" si="0"/>
        <v>4</v>
      </c>
      <c r="B9" s="160" t="str">
        <f>+'MRS LIST'!B9</f>
        <v>Cpvc Union</v>
      </c>
      <c r="C9" s="161"/>
      <c r="D9" s="86" t="str">
        <f>+'MRS LIST'!G9</f>
        <v>EA</v>
      </c>
      <c r="E9" s="87">
        <f>+'MRS LIST'!H9</f>
        <v>4</v>
      </c>
      <c r="F9" s="88">
        <f>+'MRS LIST'!I9</f>
        <v>8.4</v>
      </c>
      <c r="G9" s="89">
        <f>+'MRS LIST'!J9</f>
        <v>33.6</v>
      </c>
      <c r="H9" s="94"/>
    </row>
    <row r="10" spans="1:13" s="55" customFormat="1" ht="32.1" customHeight="1">
      <c r="A10" s="93">
        <f t="shared" si="0"/>
        <v>5</v>
      </c>
      <c r="B10" s="160" t="str">
        <f>+'MRS LIST'!B10</f>
        <v>Cpvc Elbow</v>
      </c>
      <c r="C10" s="161"/>
      <c r="D10" s="86" t="str">
        <f>+'MRS LIST'!G10</f>
        <v>EA</v>
      </c>
      <c r="E10" s="87">
        <f>+'MRS LIST'!H10</f>
        <v>2</v>
      </c>
      <c r="F10" s="88">
        <f>+'MRS LIST'!I10</f>
        <v>3.6</v>
      </c>
      <c r="G10" s="89">
        <f>+'MRS LIST'!J10</f>
        <v>7.2</v>
      </c>
      <c r="H10" s="94"/>
    </row>
    <row r="11" spans="1:13" s="55" customFormat="1" ht="32.1" customHeight="1">
      <c r="A11" s="93">
        <f t="shared" si="0"/>
        <v>6</v>
      </c>
      <c r="B11" s="160" t="str">
        <f>+'MRS LIST'!B11</f>
        <v>Cpvc Male Adaptor</v>
      </c>
      <c r="C11" s="161"/>
      <c r="D11" s="86" t="str">
        <f>+'MRS LIST'!G11</f>
        <v>EA</v>
      </c>
      <c r="E11" s="87">
        <f>+'MRS LIST'!H11</f>
        <v>4</v>
      </c>
      <c r="F11" s="88">
        <f>+'MRS LIST'!I11</f>
        <v>4.8</v>
      </c>
      <c r="G11" s="89">
        <f>+'MRS LIST'!J11</f>
        <v>19.2</v>
      </c>
      <c r="H11" s="94"/>
    </row>
    <row r="12" spans="1:13" s="55" customFormat="1" ht="32.1" customHeight="1">
      <c r="A12" s="93">
        <f t="shared" si="0"/>
        <v>7</v>
      </c>
      <c r="B12" s="160" t="str">
        <f>+'MRS LIST'!B12</f>
        <v>Water Filter Set 3 Way Wall</v>
      </c>
      <c r="C12" s="161"/>
      <c r="D12" s="86" t="str">
        <f>+'MRS LIST'!G12</f>
        <v>EA</v>
      </c>
      <c r="E12" s="87">
        <f>+'MRS LIST'!H12</f>
        <v>1</v>
      </c>
      <c r="F12" s="88">
        <f>+'MRS LIST'!I12</f>
        <v>183.96</v>
      </c>
      <c r="G12" s="89">
        <f>+'MRS LIST'!J12</f>
        <v>183.96</v>
      </c>
      <c r="H12" s="94"/>
    </row>
    <row r="13" spans="1:13" s="55" customFormat="1" ht="32.1" customHeight="1">
      <c r="A13" s="93">
        <f t="shared" si="0"/>
        <v>8</v>
      </c>
      <c r="B13" s="160" t="str">
        <f>+'MRS LIST'!B13</f>
        <v>Cpvc Ball Valve</v>
      </c>
      <c r="C13" s="161"/>
      <c r="D13" s="86" t="str">
        <f>+'MRS LIST'!G13</f>
        <v>EA</v>
      </c>
      <c r="E13" s="87">
        <f>+'MRS LIST'!H13</f>
        <v>2</v>
      </c>
      <c r="F13" s="88">
        <f>+'MRS LIST'!I13</f>
        <v>15.66</v>
      </c>
      <c r="G13" s="89">
        <f>+'MRS LIST'!J13</f>
        <v>31.32</v>
      </c>
      <c r="H13" s="94"/>
    </row>
    <row r="14" spans="1:13" s="55" customFormat="1" ht="32.1" customHeight="1">
      <c r="A14" s="93">
        <f t="shared" si="0"/>
        <v>9</v>
      </c>
      <c r="B14" s="160" t="str">
        <f>+'MRS LIST'!B14</f>
        <v>Transportation</v>
      </c>
      <c r="C14" s="161"/>
      <c r="D14" s="86" t="str">
        <f>+'MRS LIST'!G14</f>
        <v>EA</v>
      </c>
      <c r="E14" s="87">
        <f>+'MRS LIST'!H14</f>
        <v>1</v>
      </c>
      <c r="F14" s="88">
        <f>+'MRS LIST'!I14</f>
        <v>700</v>
      </c>
      <c r="G14" s="89">
        <f>+'MRS LIST'!J14</f>
        <v>700</v>
      </c>
      <c r="H14" s="94"/>
    </row>
    <row r="15" spans="1:13" s="55" customFormat="1" ht="32.1" customHeight="1">
      <c r="A15" s="93">
        <f t="shared" si="0"/>
        <v>10</v>
      </c>
      <c r="B15" s="160" t="str">
        <f>+'MRS LIST'!B15</f>
        <v>Water Filter Set 3 Way Wall</v>
      </c>
      <c r="C15" s="161"/>
      <c r="D15" s="86" t="str">
        <f>+'MRS LIST'!G15</f>
        <v>EA</v>
      </c>
      <c r="E15" s="87">
        <f>+'MRS LIST'!H15</f>
        <v>1</v>
      </c>
      <c r="F15" s="88">
        <f>+'MRS LIST'!I15</f>
        <v>183.96</v>
      </c>
      <c r="G15" s="89">
        <f>+'MRS LIST'!J15</f>
        <v>183.96</v>
      </c>
      <c r="H15" s="94"/>
    </row>
    <row r="16" spans="1:13" s="55" customFormat="1" ht="32.1" customHeight="1">
      <c r="A16" s="93">
        <f t="shared" si="0"/>
        <v>11</v>
      </c>
      <c r="B16" s="160" t="str">
        <f>+'MRS LIST'!B16</f>
        <v>Cpvc Ball Valve</v>
      </c>
      <c r="C16" s="161"/>
      <c r="D16" s="86" t="str">
        <f>+'MRS LIST'!G16</f>
        <v>EA</v>
      </c>
      <c r="E16" s="87">
        <f>+'MRS LIST'!H16</f>
        <v>2</v>
      </c>
      <c r="F16" s="88">
        <f>+'MRS LIST'!I16</f>
        <v>15.66</v>
      </c>
      <c r="G16" s="89">
        <f>+'MRS LIST'!J16</f>
        <v>31.32</v>
      </c>
      <c r="H16" s="94"/>
    </row>
    <row r="17" spans="1:8" s="55" customFormat="1" ht="32.1" customHeight="1">
      <c r="A17" s="93">
        <f t="shared" si="0"/>
        <v>12</v>
      </c>
      <c r="B17" s="160" t="str">
        <f>+'MRS LIST'!B17</f>
        <v>Water Dispenser</v>
      </c>
      <c r="C17" s="161"/>
      <c r="D17" s="86" t="str">
        <f>+'MRS LIST'!G17</f>
        <v>EA</v>
      </c>
      <c r="E17" s="87">
        <f>+'MRS LIST'!H17</f>
        <v>2</v>
      </c>
      <c r="F17" s="88">
        <f>+'MRS LIST'!I17</f>
        <v>339</v>
      </c>
      <c r="G17" s="89">
        <f>+'MRS LIST'!J17</f>
        <v>678</v>
      </c>
      <c r="H17" s="94"/>
    </row>
    <row r="18" spans="1:8" s="55" customFormat="1" ht="32.1" customHeight="1">
      <c r="A18" s="93">
        <f t="shared" si="0"/>
        <v>13</v>
      </c>
      <c r="B18" s="160" t="str">
        <f>+'MRS LIST'!B18</f>
        <v>Lunch Box</v>
      </c>
      <c r="C18" s="161"/>
      <c r="D18" s="86" t="str">
        <f>+'MRS LIST'!G18</f>
        <v>PKT</v>
      </c>
      <c r="E18" s="87">
        <f>+'MRS LIST'!H18</f>
        <v>1</v>
      </c>
      <c r="F18" s="88">
        <f>+'MRS LIST'!I18</f>
        <v>25</v>
      </c>
      <c r="G18" s="89">
        <f>+'MRS LIST'!J18</f>
        <v>25</v>
      </c>
      <c r="H18" s="94"/>
    </row>
    <row r="19" spans="1:8" s="55" customFormat="1" ht="32.1" customHeight="1">
      <c r="A19" s="93">
        <f t="shared" si="0"/>
        <v>14</v>
      </c>
      <c r="B19" s="160" t="str">
        <f>+'MRS LIST'!B19</f>
        <v>Desk  With Drawer</v>
      </c>
      <c r="C19" s="161"/>
      <c r="D19" s="86" t="str">
        <f>+'MRS LIST'!G19</f>
        <v>SET</v>
      </c>
      <c r="E19" s="87">
        <f>+'MRS LIST'!H19</f>
        <v>6</v>
      </c>
      <c r="F19" s="88">
        <f>+'MRS LIST'!I19</f>
        <v>330</v>
      </c>
      <c r="G19" s="89">
        <f>+'MRS LIST'!J19</f>
        <v>1980</v>
      </c>
      <c r="H19" s="94"/>
    </row>
    <row r="20" spans="1:8" s="55" customFormat="1" ht="32.1" customHeight="1">
      <c r="A20" s="93">
        <f t="shared" si="0"/>
        <v>15</v>
      </c>
      <c r="B20" s="160" t="str">
        <f>+'MRS LIST'!B20</f>
        <v>Chair</v>
      </c>
      <c r="C20" s="161"/>
      <c r="D20" s="86" t="str">
        <f>+'MRS LIST'!G20</f>
        <v>SET</v>
      </c>
      <c r="E20" s="87">
        <f>+'MRS LIST'!H20</f>
        <v>16</v>
      </c>
      <c r="F20" s="88">
        <f>+'MRS LIST'!I20</f>
        <v>158</v>
      </c>
      <c r="G20" s="89">
        <f>+'MRS LIST'!J20</f>
        <v>2528</v>
      </c>
      <c r="H20" s="94"/>
    </row>
    <row r="21" spans="1:8" s="55" customFormat="1" ht="32.1" customHeight="1">
      <c r="A21" s="93">
        <f t="shared" si="0"/>
        <v>16</v>
      </c>
      <c r="B21" s="160" t="str">
        <f>+'MRS LIST'!B21</f>
        <v>Router</v>
      </c>
      <c r="C21" s="161"/>
      <c r="D21" s="86" t="str">
        <f>+'MRS LIST'!G21</f>
        <v>EA</v>
      </c>
      <c r="E21" s="87">
        <f>+'MRS LIST'!H21</f>
        <v>1</v>
      </c>
      <c r="F21" s="88">
        <f>+'MRS LIST'!I21</f>
        <v>156.25</v>
      </c>
      <c r="G21" s="89">
        <f>+'MRS LIST'!J21</f>
        <v>156.25</v>
      </c>
      <c r="H21" s="94"/>
    </row>
    <row r="22" spans="1:8" s="55" customFormat="1" ht="32.1" customHeight="1">
      <c r="A22" s="93">
        <f t="shared" si="0"/>
        <v>17</v>
      </c>
      <c r="B22" s="160" t="str">
        <f>+'MRS LIST'!B22</f>
        <v>Tp Link 300 Mbps</v>
      </c>
      <c r="C22" s="161"/>
      <c r="D22" s="86" t="str">
        <f>+'MRS LIST'!G22</f>
        <v>EA</v>
      </c>
      <c r="E22" s="87">
        <f>+'MRS LIST'!H22</f>
        <v>3</v>
      </c>
      <c r="F22" s="88">
        <f>+'MRS LIST'!I22</f>
        <v>38.049999999999997</v>
      </c>
      <c r="G22" s="89">
        <f>+'MRS LIST'!J22</f>
        <v>114.14999999999999</v>
      </c>
      <c r="H22" s="94"/>
    </row>
    <row r="23" spans="1:8" s="55" customFormat="1" ht="32.1" customHeight="1">
      <c r="A23" s="93">
        <f t="shared" si="0"/>
        <v>18</v>
      </c>
      <c r="B23" s="160" t="str">
        <f>+'MRS LIST'!B23</f>
        <v>Xerox Printer</v>
      </c>
      <c r="C23" s="161"/>
      <c r="D23" s="86" t="str">
        <f>+'MRS LIST'!G23</f>
        <v>SET</v>
      </c>
      <c r="E23" s="87">
        <f>+'MRS LIST'!H23</f>
        <v>1</v>
      </c>
      <c r="F23" s="88">
        <f>+'MRS LIST'!I23</f>
        <v>16794</v>
      </c>
      <c r="G23" s="89">
        <f>+'MRS LIST'!J23</f>
        <v>16794</v>
      </c>
      <c r="H23" s="94"/>
    </row>
    <row r="24" spans="1:8" s="55" customFormat="1" ht="32.1" customHeight="1">
      <c r="A24" s="93">
        <f t="shared" si="0"/>
        <v>19</v>
      </c>
      <c r="B24" s="160" t="str">
        <f>+'MRS LIST'!B24</f>
        <v>Cleaning Sparay</v>
      </c>
      <c r="C24" s="161"/>
      <c r="D24" s="86" t="str">
        <f>+'MRS LIST'!G24</f>
        <v>EA</v>
      </c>
      <c r="E24" s="87">
        <f>+'MRS LIST'!H24</f>
        <v>2</v>
      </c>
      <c r="F24" s="88">
        <f>+'MRS LIST'!I24</f>
        <v>48.9</v>
      </c>
      <c r="G24" s="89">
        <f>+'MRS LIST'!J24</f>
        <v>97.8</v>
      </c>
      <c r="H24" s="94"/>
    </row>
    <row r="25" spans="1:8" s="55" customFormat="1" ht="32.1" customHeight="1">
      <c r="A25" s="93">
        <f t="shared" si="0"/>
        <v>20</v>
      </c>
      <c r="B25" s="160" t="str">
        <f>+'MRS LIST'!B25</f>
        <v>Desk With Drawer</v>
      </c>
      <c r="C25" s="161"/>
      <c r="D25" s="86" t="str">
        <f>+'MRS LIST'!G25</f>
        <v>SET</v>
      </c>
      <c r="E25" s="87">
        <f>+'MRS LIST'!H25</f>
        <v>3</v>
      </c>
      <c r="F25" s="88">
        <f>+'MRS LIST'!I25</f>
        <v>330</v>
      </c>
      <c r="G25" s="89">
        <f>+'MRS LIST'!J25</f>
        <v>990</v>
      </c>
      <c r="H25" s="94"/>
    </row>
    <row r="26" spans="1:8" s="55" customFormat="1" ht="32.1" customHeight="1">
      <c r="A26" s="93">
        <f t="shared" si="0"/>
        <v>21</v>
      </c>
      <c r="B26" s="160" t="str">
        <f>+'MRS LIST'!B26</f>
        <v>Chair</v>
      </c>
      <c r="C26" s="161"/>
      <c r="D26" s="86" t="str">
        <f>+'MRS LIST'!G26</f>
        <v>SET</v>
      </c>
      <c r="E26" s="87">
        <f>+'MRS LIST'!H26</f>
        <v>3</v>
      </c>
      <c r="F26" s="88">
        <f>+'MRS LIST'!I26</f>
        <v>158</v>
      </c>
      <c r="G26" s="89">
        <f>+'MRS LIST'!J26</f>
        <v>474</v>
      </c>
      <c r="H26" s="94"/>
    </row>
    <row r="27" spans="1:8" s="55" customFormat="1" ht="32.1" customHeight="1">
      <c r="A27" s="93">
        <f t="shared" si="0"/>
        <v>22</v>
      </c>
      <c r="B27" s="160" t="str">
        <f>+'MRS LIST'!B27</f>
        <v>Router</v>
      </c>
      <c r="C27" s="161"/>
      <c r="D27" s="86" t="str">
        <f>+'MRS LIST'!G27</f>
        <v>EA</v>
      </c>
      <c r="E27" s="87">
        <f>+'MRS LIST'!H27</f>
        <v>1</v>
      </c>
      <c r="F27" s="88">
        <f>+'MRS LIST'!I27</f>
        <v>156.25</v>
      </c>
      <c r="G27" s="89">
        <f>+'MRS LIST'!J27</f>
        <v>156.25</v>
      </c>
      <c r="H27" s="94"/>
    </row>
    <row r="28" spans="1:8" s="55" customFormat="1" ht="32.1" customHeight="1">
      <c r="A28" s="93">
        <f t="shared" si="0"/>
        <v>23</v>
      </c>
      <c r="B28" s="160" t="str">
        <f>+'MRS LIST'!B28</f>
        <v>Portable Hard Disc</v>
      </c>
      <c r="C28" s="161"/>
      <c r="D28" s="86" t="str">
        <f>+'MRS LIST'!G28</f>
        <v>EA</v>
      </c>
      <c r="E28" s="87">
        <f>+'MRS LIST'!H28</f>
        <v>1</v>
      </c>
      <c r="F28" s="88">
        <f>+'MRS LIST'!I28</f>
        <v>300</v>
      </c>
      <c r="G28" s="89">
        <f>+'MRS LIST'!J28</f>
        <v>300</v>
      </c>
      <c r="H28" s="94"/>
    </row>
    <row r="29" spans="1:8" s="55" customFormat="1" ht="23.1" customHeight="1">
      <c r="A29" s="176" t="s">
        <v>87</v>
      </c>
      <c r="B29" s="177"/>
      <c r="C29" s="177"/>
      <c r="D29" s="177"/>
      <c r="E29" s="177"/>
      <c r="F29" s="177"/>
      <c r="G29" s="58">
        <f>SUM(G6:G28)</f>
        <v>35960.51</v>
      </c>
      <c r="H29" s="59"/>
    </row>
    <row r="30" spans="1:8" s="55" customFormat="1" ht="23.1" customHeight="1">
      <c r="A30" s="176" t="s">
        <v>51</v>
      </c>
      <c r="B30" s="177"/>
      <c r="C30" s="177"/>
      <c r="D30" s="177"/>
      <c r="E30" s="177"/>
      <c r="F30" s="177"/>
      <c r="G30" s="58">
        <f>+G29*0.15</f>
        <v>5394.0765000000001</v>
      </c>
      <c r="H30" s="59"/>
    </row>
    <row r="31" spans="1:8" s="55" customFormat="1" ht="24.95" customHeight="1" thickBot="1">
      <c r="A31" s="178" t="s">
        <v>88</v>
      </c>
      <c r="B31" s="179"/>
      <c r="C31" s="179"/>
      <c r="D31" s="179"/>
      <c r="E31" s="179"/>
      <c r="F31" s="179"/>
      <c r="G31" s="60">
        <f>G30+G29</f>
        <v>41354.586500000005</v>
      </c>
      <c r="H31" s="61"/>
    </row>
    <row r="32" spans="1:8" ht="15.75" thickTop="1">
      <c r="A32" s="62" t="str">
        <f>" 1) Above Price are as per your quotation with ref "&amp;'PO 1st page'!K14</f>
        <v xml:space="preserve"> 1) Above Price are as per your quotation with ref QT-BWC-2025-570</v>
      </c>
      <c r="B32" s="63"/>
      <c r="C32" s="63"/>
      <c r="D32" s="64"/>
      <c r="E32" s="64"/>
      <c r="F32" s="64"/>
      <c r="G32" s="64"/>
      <c r="H32" s="64"/>
    </row>
    <row r="33" spans="1:13" ht="15">
      <c r="A33" s="65" t="s">
        <v>89</v>
      </c>
      <c r="B33" s="66"/>
      <c r="C33" s="66"/>
      <c r="D33" s="67"/>
      <c r="E33" s="67"/>
      <c r="F33" s="67"/>
      <c r="G33" s="67"/>
      <c r="H33" s="67"/>
      <c r="I33" s="68"/>
    </row>
    <row r="34" spans="1:13" ht="15.75">
      <c r="A34" s="69"/>
    </row>
    <row r="35" spans="1:13">
      <c r="A35" s="151" t="s">
        <v>90</v>
      </c>
      <c r="B35" s="151"/>
      <c r="C35" s="151"/>
      <c r="D35" s="151"/>
      <c r="E35" s="151"/>
      <c r="F35" s="151"/>
      <c r="G35" s="151"/>
      <c r="H35" s="151"/>
      <c r="I35" s="70"/>
      <c r="J35" s="70"/>
      <c r="K35" s="70"/>
      <c r="L35" s="70"/>
      <c r="M35" s="70"/>
    </row>
    <row r="36" spans="1:13" ht="15.75">
      <c r="A36" s="69"/>
      <c r="C36" s="71"/>
    </row>
    <row r="37" spans="1:13" ht="15.75">
      <c r="A37" s="69"/>
      <c r="C37" s="71"/>
    </row>
    <row r="39" spans="1:13" ht="12" customHeight="1"/>
  </sheetData>
  <mergeCells count="35">
    <mergeCell ref="A29:F29"/>
    <mergeCell ref="A30:F30"/>
    <mergeCell ref="A31:F31"/>
    <mergeCell ref="A35:H35"/>
    <mergeCell ref="B12:C12"/>
    <mergeCell ref="B13:C13"/>
    <mergeCell ref="B14:C14"/>
    <mergeCell ref="B15:C15"/>
    <mergeCell ref="B27:C27"/>
    <mergeCell ref="B28:C28"/>
    <mergeCell ref="B16:C16"/>
    <mergeCell ref="B17:C17"/>
    <mergeCell ref="B18:C18"/>
    <mergeCell ref="B19:C19"/>
    <mergeCell ref="B20:C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6:C26"/>
    <mergeCell ref="B21:C21"/>
    <mergeCell ref="B22:C22"/>
    <mergeCell ref="B23:C23"/>
    <mergeCell ref="B24:C24"/>
    <mergeCell ref="B25:C2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2025-06-25T05:02:27Z</cp:lastPrinted>
  <dcterms:created xsi:type="dcterms:W3CDTF">2024-10-20T11:50:19Z</dcterms:created>
  <dcterms:modified xsi:type="dcterms:W3CDTF">2025-06-25T05:06:08Z</dcterms:modified>
</cp:coreProperties>
</file>