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77446BA-CB70-451C-926A-051D64EDA95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MRS!$A$1:$L$29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6" i="4"/>
  <c r="B19" i="4"/>
  <c r="B18" i="4"/>
  <c r="A18" i="4"/>
  <c r="A19" i="4"/>
  <c r="B17" i="4"/>
  <c r="A17" i="4"/>
  <c r="B16" i="4"/>
  <c r="A16" i="4"/>
  <c r="J18" i="1"/>
  <c r="J17" i="1"/>
  <c r="J16" i="1"/>
  <c r="B15" i="4"/>
  <c r="B14" i="4"/>
  <c r="A14" i="4"/>
  <c r="A15" i="4"/>
  <c r="B13" i="4"/>
  <c r="B12" i="4"/>
  <c r="B11" i="4"/>
  <c r="B10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9" i="1"/>
  <c r="J16" i="2" s="1"/>
  <c r="J15" i="1"/>
  <c r="J15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J20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<sst xmlns="http://schemas.openxmlformats.org/spreadsheetml/2006/main" count="207" uniqueCount="151">
  <si>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</si>
  <si>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</si>
  <si>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</si>
  <si>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</si>
  <si>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</si>
  <si>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</si>
  <si>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</si>
  <si>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</si>
  <si>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</si>
  <si>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</si>
  <si>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</si>
  <si>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</si>
  <si>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</si>
  <si>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</si>
  <si>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</si>
  <si>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</si>
  <si>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</si>
  <si>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</si>
  <si>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</si>
  <si>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</si>
  <si>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</si>
  <si>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</si>
  <si>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</si>
  <si>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</si>
  <si>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</si>
  <si>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</si>
  <si>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</si>
  <si>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</si>
  <si>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</si>
  <si>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</si>
  <si>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</si>
  <si>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</si>
  <si>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</si>
  <si>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</si>
  <si>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</si>
  <si>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</si>
  <si>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</si>
  <si>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</si>
  <si>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</si>
  <si>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</si>
  <si>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</si>
  <si>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</si>
  <si>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</si>
  <si>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</si>
  <si>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</si>
  <si>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</si>
  <si>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</si>
  <si>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</si>
  <si>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</si>
  <si>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</si>
  <si>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</si>
  <si>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</si>
  <si>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</si>
  <si>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</si>
  <si>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</si>
  <si>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</si>
  <si>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</si>
  <si>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</si>
  <si>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</si>
  <si>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</si>
  <si>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</si>
  <si>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</si>
  <si>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</si>
  <si>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</si>
  <si>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</si>
  <si>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</si>
  <si>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</si>
  <si>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</si>
  <si>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</si>
  <si>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</si>
  <si>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</si>
  <si>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</si>
  <si>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</si>
  <si>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</si>
  <si>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</si>
  <si>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</si>
  <si>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</si>
  <si>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</si>
  <si>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</si>
  <si>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</si>
  <si>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</si>
  <si>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</si>
  <si>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</si>
  <si>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</si>
  <si>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</si>
  <si>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</si>
  <si>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</si>
  <si>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</si>
  <si>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</si>
  <si>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</si>
  <si>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</si>
  <si>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</si>
  <si>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</si>
  <si>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</si>
  <si>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</si>
  <si>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</si>
  <si>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</si>
  <si>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</si>
  <si>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</si>
  <si>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</si>
  <si>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</si>
  <si>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</si>
  <si>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</si>
  <si>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</si>
  <si>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</si>
  <si>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</si>
  <si>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</si>
  <si>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</si>
  <si>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</si>
  <si>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</si>
  <si>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</si>
  <si>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</si>
  <si>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</si>
  <si>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</si>
  <si>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</si>
  <si>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A4 Paper</t>
  </si>
  <si>
    <t>Dell Desktop</t>
  </si>
  <si>
    <t>16 GB RAM / 512 SSD</t>
  </si>
  <si>
    <t>Dell Monitor</t>
  </si>
  <si>
    <t>24"</t>
  </si>
  <si>
    <t>Blanket, Bedsheet, Pillow</t>
  </si>
  <si>
    <t>Double A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</si>
  <si>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</si>
  <si>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</si>
  <si>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</si>
  <si>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</si>
  <si>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</si>
  <si>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</si>
  <si>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>SA7410000001400020580706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</si>
  <si>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</si>
  <si>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</si>
  <si>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</si>
  <si>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</si>
  <si>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</si>
  <si>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</si>
  <si>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</si>
  <si>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-MRS-0185</t>
    </r>
  </si>
  <si>
    <t>ROCO</t>
  </si>
  <si>
    <t>A3 Paper</t>
  </si>
  <si>
    <t>Water</t>
  </si>
  <si>
    <t>FRC Pant</t>
  </si>
  <si>
    <t>FRC Shirt</t>
  </si>
  <si>
    <t>XXXL</t>
  </si>
  <si>
    <t>FRC Coverall</t>
  </si>
  <si>
    <t>XXL</t>
  </si>
  <si>
    <t>XL</t>
  </si>
  <si>
    <t>L</t>
  </si>
  <si>
    <t>M</t>
  </si>
  <si>
    <t>RAM</t>
  </si>
  <si>
    <t>32GB DDR4</t>
  </si>
  <si>
    <t>MRA/SQ000129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</si>
</sst>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4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21</xdr:row>
          <xdr:rowOff>0</xdr:rowOff>
        </xdr:from>
        <xdr:to>
          <xdr:col>12</xdr:col>
          <xdr:colOff>502</xdr:colOff>
          <xdr:row>28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V$28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6"/>
  <sheetViews>
    <sheetView showGridLines="0" tabSelected="1" view="pageBreakPreview" zoomScale="95" zoomScaleNormal="95" zoomScaleSheetLayoutView="95" workbookViewId="0">
      <selection activeCell="H13" sqref="H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39" t="s">
        <v>88</v>
      </c>
      <c r="K1" s="140"/>
      <c r="L1" s="141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42" t="s">
        <v>98</v>
      </c>
      <c r="K2" s="143"/>
      <c r="L2" s="144"/>
    </row>
    <row r="3" spans="1:19" ht="20.100000000000001" customHeight="1">
      <c r="A3" s="3" t="s">
        <v>136</v>
      </c>
      <c r="B3" s="96"/>
      <c r="C3" s="96"/>
      <c r="D3" s="96"/>
      <c r="E3" s="145">
        <f>+L3</f>
        <v>46006</v>
      </c>
      <c r="F3" s="145"/>
      <c r="G3" s="145"/>
      <c r="H3" s="145"/>
      <c r="I3" s="145"/>
      <c r="J3" s="96"/>
      <c r="K3" s="96"/>
      <c r="L3" s="117">
        <v>46006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92</v>
      </c>
      <c r="J4" s="146" t="s">
        <v>93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18" customHeight="1">
      <c r="A6" s="5">
        <f t="shared" ref="A6:A10" si="0">ROW(A1)</f>
        <v>1</v>
      </c>
      <c r="B6" s="137" t="s">
        <v>116</v>
      </c>
      <c r="C6" s="138"/>
      <c r="D6" s="129" t="s">
        <v>117</v>
      </c>
      <c r="E6" s="130"/>
      <c r="F6" s="131"/>
      <c r="G6" s="106" t="s">
        <v>95</v>
      </c>
      <c r="H6" s="107">
        <v>9</v>
      </c>
      <c r="I6" s="108">
        <v>2390</v>
      </c>
      <c r="J6" s="108">
        <f>H6*I6</f>
        <v>21510</v>
      </c>
      <c r="K6" s="109" t="s">
        <v>112</v>
      </c>
      <c r="L6" s="121" t="s">
        <v>113</v>
      </c>
      <c r="S6" s="101"/>
    </row>
    <row r="7" spans="1:19" ht="18" customHeight="1">
      <c r="A7" s="5">
        <f t="shared" si="0"/>
        <v>2</v>
      </c>
      <c r="B7" s="137" t="s">
        <v>118</v>
      </c>
      <c r="C7" s="138"/>
      <c r="D7" s="129" t="s">
        <v>119</v>
      </c>
      <c r="E7" s="130"/>
      <c r="F7" s="131"/>
      <c r="G7" s="106" t="s">
        <v>95</v>
      </c>
      <c r="H7" s="107">
        <v>11</v>
      </c>
      <c r="I7" s="108">
        <v>392</v>
      </c>
      <c r="J7" s="108">
        <f t="shared" ref="J7:J19" si="1">H7*I7</f>
        <v>4312</v>
      </c>
      <c r="K7" s="109"/>
      <c r="L7" s="110"/>
      <c r="S7" s="101"/>
    </row>
    <row r="8" spans="1:19" ht="18" customHeight="1">
      <c r="A8" s="5">
        <f t="shared" si="0"/>
        <v>3</v>
      </c>
      <c r="B8" s="137" t="s">
        <v>115</v>
      </c>
      <c r="C8" s="138"/>
      <c r="D8" s="136" t="s">
        <v>121</v>
      </c>
      <c r="E8" s="136"/>
      <c r="F8" s="136"/>
      <c r="G8" s="106" t="s">
        <v>95</v>
      </c>
      <c r="H8" s="107">
        <v>50</v>
      </c>
      <c r="I8" s="108">
        <v>79</v>
      </c>
      <c r="J8" s="108">
        <f t="shared" si="1"/>
        <v>3950</v>
      </c>
      <c r="K8" s="109"/>
      <c r="L8" s="110"/>
      <c r="S8" s="101"/>
    </row>
    <row r="9" spans="1:19" ht="18" customHeight="1">
      <c r="A9" s="5">
        <f t="shared" si="0"/>
        <v>4</v>
      </c>
      <c r="B9" s="137" t="s">
        <v>138</v>
      </c>
      <c r="C9" s="138"/>
      <c r="D9" s="129" t="s">
        <v>137</v>
      </c>
      <c r="E9" s="130"/>
      <c r="F9" s="131"/>
      <c r="G9" s="106" t="s">
        <v>95</v>
      </c>
      <c r="H9" s="107">
        <v>20</v>
      </c>
      <c r="I9" s="108">
        <v>174</v>
      </c>
      <c r="J9" s="108">
        <f t="shared" si="1"/>
        <v>3480</v>
      </c>
      <c r="K9" s="109"/>
      <c r="L9" s="110"/>
      <c r="S9" s="101"/>
    </row>
    <row r="10" spans="1:19" ht="18" customHeight="1">
      <c r="A10" s="5">
        <f t="shared" si="0"/>
        <v>5</v>
      </c>
      <c r="B10" s="137" t="s">
        <v>139</v>
      </c>
      <c r="C10" s="138"/>
      <c r="D10" s="129"/>
      <c r="E10" s="130"/>
      <c r="F10" s="131"/>
      <c r="G10" s="106" t="s">
        <v>95</v>
      </c>
      <c r="H10" s="107">
        <v>50</v>
      </c>
      <c r="I10" s="111">
        <v>7.14</v>
      </c>
      <c r="J10" s="108">
        <f t="shared" si="1"/>
        <v>357</v>
      </c>
      <c r="K10" s="109"/>
      <c r="L10" s="106"/>
      <c r="S10" s="101"/>
    </row>
    <row r="11" spans="1:19" ht="18" customHeight="1">
      <c r="A11" s="5">
        <v>6</v>
      </c>
      <c r="B11" s="137" t="s">
        <v>120</v>
      </c>
      <c r="C11" s="138"/>
      <c r="D11" s="129"/>
      <c r="E11" s="130"/>
      <c r="F11" s="131"/>
      <c r="G11" s="106" t="s">
        <v>95</v>
      </c>
      <c r="H11" s="107">
        <v>75</v>
      </c>
      <c r="I11" s="108">
        <v>68</v>
      </c>
      <c r="J11" s="108">
        <f t="shared" si="1"/>
        <v>5100</v>
      </c>
      <c r="K11" s="109"/>
      <c r="L11" s="110"/>
      <c r="S11" s="101"/>
    </row>
    <row r="12" spans="1:19" ht="18" customHeight="1">
      <c r="A12" s="5">
        <v>7</v>
      </c>
      <c r="B12" s="128" t="s">
        <v>140</v>
      </c>
      <c r="C12" s="128"/>
      <c r="D12" s="136"/>
      <c r="E12" s="136"/>
      <c r="F12" s="136"/>
      <c r="G12" s="106" t="s">
        <v>95</v>
      </c>
      <c r="H12" s="107">
        <v>57</v>
      </c>
      <c r="I12" s="111">
        <v>102</v>
      </c>
      <c r="J12" s="108">
        <f t="shared" si="1"/>
        <v>5814</v>
      </c>
      <c r="K12" s="109"/>
      <c r="L12" s="106"/>
      <c r="S12" s="101"/>
    </row>
    <row r="13" spans="1:19" ht="18" customHeight="1">
      <c r="A13" s="5">
        <v>8</v>
      </c>
      <c r="B13" s="137" t="s">
        <v>141</v>
      </c>
      <c r="C13" s="138"/>
      <c r="D13" s="129"/>
      <c r="E13" s="130"/>
      <c r="F13" s="131"/>
      <c r="G13" s="106" t="s">
        <v>95</v>
      </c>
      <c r="H13" s="107">
        <v>57</v>
      </c>
      <c r="I13" s="108">
        <v>102</v>
      </c>
      <c r="J13" s="108">
        <f t="shared" si="1"/>
        <v>5814</v>
      </c>
      <c r="K13" s="109"/>
      <c r="L13" s="110"/>
      <c r="S13" s="101"/>
    </row>
    <row r="14" spans="1:19" ht="18" customHeight="1">
      <c r="A14" s="5">
        <v>9</v>
      </c>
      <c r="B14" s="137" t="s">
        <v>143</v>
      </c>
      <c r="C14" s="138"/>
      <c r="D14" s="129" t="s">
        <v>142</v>
      </c>
      <c r="E14" s="130"/>
      <c r="F14" s="131"/>
      <c r="G14" s="106" t="s">
        <v>95</v>
      </c>
      <c r="H14" s="107">
        <v>7</v>
      </c>
      <c r="I14" s="108">
        <v>168</v>
      </c>
      <c r="J14" s="108">
        <f t="shared" si="1"/>
        <v>1176</v>
      </c>
      <c r="K14" s="109"/>
      <c r="L14" s="110"/>
      <c r="S14" s="101"/>
    </row>
    <row r="15" spans="1:19" ht="18" customHeight="1">
      <c r="A15" s="5">
        <v>10</v>
      </c>
      <c r="B15" s="137" t="s">
        <v>143</v>
      </c>
      <c r="C15" s="138"/>
      <c r="D15" s="129" t="s">
        <v>144</v>
      </c>
      <c r="E15" s="130"/>
      <c r="F15" s="131"/>
      <c r="G15" s="106" t="s">
        <v>95</v>
      </c>
      <c r="H15" s="107">
        <v>63</v>
      </c>
      <c r="I15" s="108">
        <v>168</v>
      </c>
      <c r="J15" s="108">
        <f t="shared" si="1"/>
        <v>10584</v>
      </c>
      <c r="K15" s="109"/>
      <c r="L15" s="110"/>
      <c r="S15" s="101"/>
    </row>
    <row r="16" spans="1:19" ht="18" customHeight="1">
      <c r="A16" s="5">
        <v>11</v>
      </c>
      <c r="B16" s="137" t="s">
        <v>143</v>
      </c>
      <c r="C16" s="138"/>
      <c r="D16" s="129" t="s">
        <v>145</v>
      </c>
      <c r="E16" s="130"/>
      <c r="F16" s="131"/>
      <c r="G16" s="106" t="s">
        <v>95</v>
      </c>
      <c r="H16" s="107">
        <v>114</v>
      </c>
      <c r="I16" s="108">
        <v>168</v>
      </c>
      <c r="J16" s="108">
        <f t="shared" si="1"/>
        <v>19152</v>
      </c>
      <c r="K16" s="109"/>
      <c r="L16" s="110"/>
      <c r="S16" s="101"/>
    </row>
    <row r="17" spans="1:22" ht="18" customHeight="1">
      <c r="A17" s="5">
        <v>12</v>
      </c>
      <c r="B17" s="137" t="s">
        <v>143</v>
      </c>
      <c r="C17" s="138"/>
      <c r="D17" s="129" t="s">
        <v>146</v>
      </c>
      <c r="E17" s="130"/>
      <c r="F17" s="131"/>
      <c r="G17" s="106" t="s">
        <v>95</v>
      </c>
      <c r="H17" s="107">
        <v>95</v>
      </c>
      <c r="I17" s="108">
        <v>168</v>
      </c>
      <c r="J17" s="108">
        <f t="shared" si="1"/>
        <v>15960</v>
      </c>
      <c r="K17" s="109"/>
      <c r="L17" s="110"/>
      <c r="S17" s="101"/>
    </row>
    <row r="18" spans="1:22" ht="18" customHeight="1">
      <c r="A18" s="5">
        <v>13</v>
      </c>
      <c r="B18" s="137" t="s">
        <v>143</v>
      </c>
      <c r="C18" s="138"/>
      <c r="D18" s="129" t="s">
        <v>147</v>
      </c>
      <c r="E18" s="130"/>
      <c r="F18" s="131"/>
      <c r="G18" s="106" t="s">
        <v>95</v>
      </c>
      <c r="H18" s="107">
        <v>74</v>
      </c>
      <c r="I18" s="108">
        <v>168</v>
      </c>
      <c r="J18" s="108">
        <f t="shared" si="1"/>
        <v>12432</v>
      </c>
      <c r="K18" s="109"/>
      <c r="L18" s="110"/>
      <c r="S18" s="101"/>
    </row>
    <row r="19" spans="1:22" ht="18" customHeight="1">
      <c r="A19" s="5">
        <v>14</v>
      </c>
      <c r="B19" s="128" t="s">
        <v>148</v>
      </c>
      <c r="C19" s="128"/>
      <c r="D19" s="129" t="s">
        <v>149</v>
      </c>
      <c r="E19" s="130"/>
      <c r="F19" s="131"/>
      <c r="G19" s="106" t="s">
        <v>95</v>
      </c>
      <c r="H19" s="107">
        <v>1</v>
      </c>
      <c r="I19" s="108">
        <v>680</v>
      </c>
      <c r="J19" s="108">
        <f t="shared" si="1"/>
        <v>680</v>
      </c>
      <c r="K19" s="109"/>
      <c r="L19" s="110"/>
      <c r="S19" s="101"/>
    </row>
    <row r="20" spans="1:22" ht="22.5" customHeight="1">
      <c r="A20" s="132" t="s">
        <v>8</v>
      </c>
      <c r="B20" s="133"/>
      <c r="C20" s="112"/>
      <c r="D20" s="113"/>
      <c r="E20" s="113"/>
      <c r="F20" s="113"/>
      <c r="G20" s="114"/>
      <c r="H20" s="114"/>
      <c r="I20" s="115" t="s">
        <v>9</v>
      </c>
      <c r="J20" s="108">
        <f>SUM(J6:J19)</f>
        <v>110321</v>
      </c>
      <c r="K20" s="108"/>
      <c r="L20" s="116"/>
    </row>
    <row r="21" spans="1:22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2" ht="18" customHeight="1">
      <c r="A22" s="10"/>
      <c r="J22" s="1"/>
      <c r="K22" s="1"/>
      <c r="O22" s="11"/>
      <c r="P22" s="11"/>
      <c r="Q22" s="11"/>
      <c r="S22" s="134" t="s">
        <v>11</v>
      </c>
      <c r="T22" s="12" t="s">
        <v>12</v>
      </c>
      <c r="U22" s="13" t="s">
        <v>13</v>
      </c>
      <c r="V22" s="12" t="s">
        <v>14</v>
      </c>
    </row>
    <row r="23" spans="1:22" ht="50.1" customHeight="1">
      <c r="S23" s="135"/>
      <c r="T23" s="14"/>
      <c r="U23" s="15"/>
      <c r="V23" s="14"/>
    </row>
    <row r="24" spans="1:22" ht="17.100000000000001" customHeight="1">
      <c r="O24" s="11"/>
      <c r="P24" s="11"/>
      <c r="Q24" s="11"/>
      <c r="S24" s="125"/>
      <c r="T24" s="15" t="s">
        <v>15</v>
      </c>
      <c r="U24" s="15" t="s">
        <v>15</v>
      </c>
      <c r="V24" s="16" t="s">
        <v>15</v>
      </c>
    </row>
    <row r="25" spans="1:22" ht="15" customHeight="1">
      <c r="O25" s="17" t="s">
        <v>16</v>
      </c>
      <c r="P25" s="124" t="s">
        <v>17</v>
      </c>
      <c r="Q25" s="124" t="s">
        <v>18</v>
      </c>
    </row>
    <row r="26" spans="1:22" ht="18" customHeight="1">
      <c r="O26" s="18" t="s">
        <v>19</v>
      </c>
      <c r="P26" s="126"/>
      <c r="Q26" s="126"/>
      <c r="S26" s="134" t="s">
        <v>20</v>
      </c>
      <c r="T26" s="12" t="s">
        <v>12</v>
      </c>
      <c r="U26" s="12" t="s">
        <v>13</v>
      </c>
      <c r="V26" s="12" t="s">
        <v>14</v>
      </c>
    </row>
    <row r="27" spans="1:22" ht="49.5" customHeight="1">
      <c r="O27" s="14"/>
      <c r="P27" s="14"/>
      <c r="Q27" s="14"/>
      <c r="S27" s="135"/>
      <c r="T27" s="19"/>
      <c r="U27" s="19"/>
      <c r="V27" s="14"/>
    </row>
    <row r="28" spans="1:22" ht="17.100000000000001" customHeight="1">
      <c r="O28" s="16" t="s">
        <v>15</v>
      </c>
      <c r="P28" s="16" t="s">
        <v>15</v>
      </c>
      <c r="Q28" s="16" t="s">
        <v>15</v>
      </c>
      <c r="S28" s="125"/>
      <c r="T28" s="15" t="s">
        <v>15</v>
      </c>
      <c r="U28" s="15" t="s">
        <v>15</v>
      </c>
      <c r="V28" s="16" t="s">
        <v>15</v>
      </c>
    </row>
    <row r="29" spans="1:22" ht="9.9499999999999993" customHeight="1"/>
    <row r="30" spans="1:22" ht="19.899999999999999" customHeight="1"/>
    <row r="31" spans="1:22" ht="17.45" customHeight="1">
      <c r="O31" s="127"/>
      <c r="P31" s="127"/>
      <c r="Q31" s="127"/>
    </row>
    <row r="32" spans="1:22" ht="19.899999999999999" customHeight="1">
      <c r="O32" s="127"/>
      <c r="P32" s="127"/>
      <c r="Q32" s="127"/>
    </row>
    <row r="33" spans="15:20" ht="14.25">
      <c r="O33" s="11"/>
      <c r="P33" s="11"/>
      <c r="Q33" s="11"/>
    </row>
    <row r="34" spans="15:20" ht="65.099999999999994" customHeight="1"/>
    <row r="35" spans="15:20" ht="14.25">
      <c r="O35" s="11"/>
      <c r="P35" s="11"/>
      <c r="Q35" s="11"/>
    </row>
    <row r="36" spans="15:20" ht="19.899999999999999" customHeight="1"/>
    <row r="37" spans="15:20" ht="14.25"/>
    <row r="38" spans="15:20" ht="19.899999999999999" customHeight="1"/>
    <row r="39" spans="15:20" ht="14.25"/>
    <row r="40" spans="15:20" ht="19.899999999999999" customHeight="1"/>
    <row r="41" spans="15:20" ht="19.899999999999999" customHeight="1"/>
    <row r="42" spans="15:20" ht="64.900000000000006" customHeight="1"/>
    <row r="44" spans="15:20" ht="19.899999999999999" customHeight="1">
      <c r="T44" s="124" t="s">
        <v>21</v>
      </c>
    </row>
    <row r="45" spans="15:20" ht="19.899999999999999" customHeight="1">
      <c r="T45" s="126"/>
    </row>
    <row r="46" spans="15:20" ht="64.900000000000006" customHeight="1">
      <c r="T46" s="14"/>
    </row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22</v>
      </c>
      <c r="U50" s="124" t="s">
        <v>13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4"/>
      <c r="U52" s="15"/>
      <c r="V52" s="14"/>
    </row>
    <row r="53" spans="15:22" ht="7.15" customHeight="1"/>
    <row r="54" spans="15:22" ht="21" customHeight="1">
      <c r="O54" s="124" t="s">
        <v>21</v>
      </c>
      <c r="P54" s="124" t="s">
        <v>21</v>
      </c>
      <c r="Q54" s="124" t="s">
        <v>21</v>
      </c>
      <c r="T54" s="124" t="s">
        <v>13</v>
      </c>
      <c r="U54" s="124" t="s">
        <v>22</v>
      </c>
      <c r="V54" s="124" t="s">
        <v>21</v>
      </c>
    </row>
    <row r="55" spans="15:22" ht="21" customHeight="1">
      <c r="O55" s="126"/>
      <c r="P55" s="126"/>
      <c r="Q55" s="126"/>
      <c r="T55" s="125"/>
      <c r="U55" s="125"/>
      <c r="V55" s="126"/>
    </row>
    <row r="56" spans="15:22" ht="64.900000000000006" customHeight="1">
      <c r="O56" s="14"/>
      <c r="P56" s="14"/>
      <c r="Q56" s="14"/>
      <c r="T56" s="15"/>
      <c r="U56" s="14"/>
      <c r="V56" s="14"/>
    </row>
  </sheetData>
  <mergeCells count="61">
    <mergeCell ref="B16:C16"/>
    <mergeCell ref="D16:F16"/>
    <mergeCell ref="B17:C17"/>
    <mergeCell ref="D17:F17"/>
    <mergeCell ref="B18:C18"/>
    <mergeCell ref="D18:F1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B19:C19"/>
    <mergeCell ref="D19:F19"/>
    <mergeCell ref="A20:B20"/>
    <mergeCell ref="S22:S24"/>
    <mergeCell ref="P25:P26"/>
    <mergeCell ref="Q25:Q26"/>
    <mergeCell ref="S26:S28"/>
    <mergeCell ref="O31:O32"/>
    <mergeCell ref="P31:P32"/>
    <mergeCell ref="Q31:Q32"/>
    <mergeCell ref="T44:T45"/>
    <mergeCell ref="O50:O51"/>
    <mergeCell ref="P50:P51"/>
    <mergeCell ref="Q50:Q51"/>
    <mergeCell ref="T50:T51"/>
    <mergeCell ref="U50:U51"/>
    <mergeCell ref="V50:V51"/>
    <mergeCell ref="O54:O55"/>
    <mergeCell ref="P54:P55"/>
    <mergeCell ref="Q54:Q55"/>
    <mergeCell ref="T54:T55"/>
    <mergeCell ref="U54:U55"/>
    <mergeCell ref="V54:V5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G13" sqref="G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SAC2-DS-MRS-0185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46006</v>
      </c>
    </row>
    <row r="4" spans="1:18" ht="15.95" customHeight="1">
      <c r="A4" s="168" t="s">
        <v>2</v>
      </c>
      <c r="B4" s="169" t="s">
        <v>23</v>
      </c>
      <c r="C4" s="169"/>
      <c r="D4" s="168" t="s">
        <v>4</v>
      </c>
      <c r="E4" s="168"/>
      <c r="F4" s="168"/>
      <c r="G4" s="169" t="s">
        <v>5</v>
      </c>
      <c r="H4" s="168" t="s">
        <v>89</v>
      </c>
      <c r="I4" s="168" t="s">
        <v>24</v>
      </c>
      <c r="J4" s="168" t="s">
        <v>25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58" t="str">
        <f>MRS!B6</f>
        <v>Dell Desktop</v>
      </c>
      <c r="C6" s="159"/>
      <c r="D6" s="160" t="str">
        <f>MRS!D6</f>
        <v>16 GB RAM / 512 SSD</v>
      </c>
      <c r="E6" s="161"/>
      <c r="F6" s="162"/>
      <c r="G6" s="98" t="str">
        <f>MRS!G6</f>
        <v>EA</v>
      </c>
      <c r="H6" s="98">
        <f>MRS!H6</f>
        <v>9</v>
      </c>
      <c r="I6" s="99">
        <f>MRS!I6</f>
        <v>2390</v>
      </c>
      <c r="J6" s="99">
        <f>MRS!J6</f>
        <v>21510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58" t="str">
        <f>MRS!B7</f>
        <v>Dell Monitor</v>
      </c>
      <c r="C7" s="159"/>
      <c r="D7" s="160" t="str">
        <f>MRS!D7</f>
        <v>24"</v>
      </c>
      <c r="E7" s="161"/>
      <c r="F7" s="162"/>
      <c r="G7" s="98" t="str">
        <f>MRS!G7</f>
        <v>EA</v>
      </c>
      <c r="H7" s="98">
        <f>MRS!H7</f>
        <v>11</v>
      </c>
      <c r="I7" s="99">
        <f>MRS!I7</f>
        <v>392</v>
      </c>
      <c r="J7" s="99">
        <f>MRS!J7</f>
        <v>4312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58" t="str">
        <f>MRS!B8</f>
        <v>A4 Paper</v>
      </c>
      <c r="C8" s="159"/>
      <c r="D8" s="160" t="str">
        <f>MRS!D8</f>
        <v>Double A</v>
      </c>
      <c r="E8" s="161"/>
      <c r="F8" s="162"/>
      <c r="G8" s="98" t="str">
        <f>MRS!G8</f>
        <v>EA</v>
      </c>
      <c r="H8" s="98">
        <f>MRS!H8</f>
        <v>50</v>
      </c>
      <c r="I8" s="99">
        <f>MRS!I8</f>
        <v>79</v>
      </c>
      <c r="J8" s="99">
        <f>MRS!J8</f>
        <v>3950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58" t="str">
        <f>MRS!B9</f>
        <v>A3 Paper</v>
      </c>
      <c r="C9" s="159"/>
      <c r="D9" s="160" t="str">
        <f>MRS!D9</f>
        <v>ROCO</v>
      </c>
      <c r="E9" s="161"/>
      <c r="F9" s="162"/>
      <c r="G9" s="98" t="str">
        <f>MRS!G9</f>
        <v>EA</v>
      </c>
      <c r="H9" s="98">
        <f>MRS!H9</f>
        <v>20</v>
      </c>
      <c r="I9" s="99">
        <f>MRS!I9</f>
        <v>174</v>
      </c>
      <c r="J9" s="99">
        <f>MRS!J9</f>
        <v>3480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58" t="str">
        <f>MRS!B10</f>
        <v>Water</v>
      </c>
      <c r="C10" s="159"/>
      <c r="D10" s="160">
        <f>MRS!D10</f>
        <v>0</v>
      </c>
      <c r="E10" s="161"/>
      <c r="F10" s="162"/>
      <c r="G10" s="98" t="str">
        <f>MRS!G10</f>
        <v>EA</v>
      </c>
      <c r="H10" s="98">
        <f>MRS!H10</f>
        <v>50</v>
      </c>
      <c r="I10" s="99">
        <f>MRS!I10</f>
        <v>7.14</v>
      </c>
      <c r="J10" s="99">
        <f>MRS!J10</f>
        <v>357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58" t="str">
        <f>MRS!B11</f>
        <v>Blanket, Bedsheet, Pillow</v>
      </c>
      <c r="C11" s="159"/>
      <c r="D11" s="160">
        <f>MRS!D11</f>
        <v>0</v>
      </c>
      <c r="E11" s="161"/>
      <c r="F11" s="162"/>
      <c r="G11" s="98" t="str">
        <f>MRS!G11</f>
        <v>EA</v>
      </c>
      <c r="H11" s="98">
        <f>MRS!H11</f>
        <v>75</v>
      </c>
      <c r="I11" s="99">
        <f>MRS!I11</f>
        <v>68</v>
      </c>
      <c r="J11" s="99">
        <f>MRS!J11</f>
        <v>5100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58" t="str">
        <f>MRS!B12</f>
        <v>FRC Pant</v>
      </c>
      <c r="C12" s="159"/>
      <c r="D12" s="160">
        <f>MRS!D12</f>
        <v>0</v>
      </c>
      <c r="E12" s="161"/>
      <c r="F12" s="162"/>
      <c r="G12" s="98" t="str">
        <f>MRS!G12</f>
        <v>EA</v>
      </c>
      <c r="H12" s="98">
        <f>MRS!H12</f>
        <v>57</v>
      </c>
      <c r="I12" s="99">
        <f>MRS!I12</f>
        <v>102</v>
      </c>
      <c r="J12" s="99">
        <f>MRS!J12</f>
        <v>5814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58" t="str">
        <f>MRS!B13</f>
        <v>FRC Shirt</v>
      </c>
      <c r="C13" s="159"/>
      <c r="D13" s="160">
        <f>MRS!D13</f>
        <v>0</v>
      </c>
      <c r="E13" s="161"/>
      <c r="F13" s="162"/>
      <c r="G13" s="98" t="str">
        <f>MRS!G13</f>
        <v>EA</v>
      </c>
      <c r="H13" s="98">
        <f>MRS!H13</f>
        <v>57</v>
      </c>
      <c r="I13" s="99">
        <f>MRS!I13</f>
        <v>102</v>
      </c>
      <c r="J13" s="99">
        <f>MRS!J13</f>
        <v>5814</v>
      </c>
      <c r="K13" s="100"/>
      <c r="O13" s="101"/>
      <c r="P13" s="101"/>
      <c r="R13" s="101"/>
    </row>
    <row r="14" spans="1:18" ht="105" customHeight="1">
      <c r="A14" s="21">
        <f>+MRS!A15</f>
        <v>10</v>
      </c>
      <c r="B14" s="158" t="str">
        <f>MRS!B14</f>
        <v>FRC Coverall</v>
      </c>
      <c r="C14" s="159"/>
      <c r="D14" s="160" t="str">
        <f>MRS!D14</f>
        <v>XXXL</v>
      </c>
      <c r="E14" s="161"/>
      <c r="F14" s="162"/>
      <c r="G14" s="98" t="str">
        <f>MRS!G14</f>
        <v>EA</v>
      </c>
      <c r="H14" s="98">
        <f>MRS!H14</f>
        <v>7</v>
      </c>
      <c r="I14" s="99">
        <f>MRS!I14</f>
        <v>168</v>
      </c>
      <c r="J14" s="99">
        <f>MRS!J14</f>
        <v>1176</v>
      </c>
      <c r="K14" s="100"/>
      <c r="O14" s="101"/>
      <c r="P14" s="101"/>
      <c r="R14" s="101"/>
    </row>
    <row r="15" spans="1:18" ht="105" customHeight="1">
      <c r="A15" s="21">
        <f>+MRS!A19</f>
        <v>14</v>
      </c>
      <c r="B15" s="158" t="str">
        <f>MRS!B15</f>
        <v>FRC Coverall</v>
      </c>
      <c r="C15" s="159"/>
      <c r="D15" s="160" t="str">
        <f>MRS!D15</f>
        <v>XXL</v>
      </c>
      <c r="E15" s="161"/>
      <c r="F15" s="162"/>
      <c r="G15" s="98" t="str">
        <f>MRS!G15</f>
        <v>EA</v>
      </c>
      <c r="H15" s="98">
        <f>MRS!H15</f>
        <v>63</v>
      </c>
      <c r="I15" s="99">
        <f>MRS!I15</f>
        <v>168</v>
      </c>
      <c r="J15" s="99">
        <f>MRS!J15</f>
        <v>10584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58" t="str">
        <f>MRS!B19</f>
        <v>RAM</v>
      </c>
      <c r="C16" s="159"/>
      <c r="D16" s="160" t="str">
        <f>MRS!D19</f>
        <v>32GB DDR4</v>
      </c>
      <c r="E16" s="161"/>
      <c r="F16" s="162"/>
      <c r="G16" s="98" t="str">
        <f>MRS!G19</f>
        <v>EA</v>
      </c>
      <c r="H16" s="98">
        <f>MRS!H19</f>
        <v>1</v>
      </c>
      <c r="I16" s="99">
        <f>MRS!I19</f>
        <v>680</v>
      </c>
      <c r="J16" s="99">
        <f>MRS!J19</f>
        <v>680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1">
        <f>MRS!L3</f>
        <v>46006</v>
      </c>
      <c r="L10" s="172"/>
      <c r="M10" s="172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3" t="str">
        <f>SUBSTITUTE(SUBSTITUTE(+MRS!A3,"  MRS No : ",""),"-MRS","-PO")</f>
        <v>SAC2-DS-PO-0185</v>
      </c>
      <c r="L11" s="173"/>
      <c r="M11" s="173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150</v>
      </c>
    </row>
    <row r="15" spans="2:13" s="39" customFormat="1">
      <c r="B15" s="72"/>
      <c r="C15" s="77" t="s">
        <v>110</v>
      </c>
      <c r="J15" s="39" t="s">
        <v>38</v>
      </c>
      <c r="K15" s="78">
        <v>46005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4" t="s">
        <v>39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40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41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42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110321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16548.149999999998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126869.15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122</v>
      </c>
    </row>
    <row r="54" spans="2:16" ht="12" customHeight="1">
      <c r="B54" s="84" t="s">
        <v>63</v>
      </c>
      <c r="C54" s="122" t="s">
        <v>129</v>
      </c>
      <c r="F54" s="26" t="s">
        <v>126</v>
      </c>
    </row>
    <row r="55" spans="2:16" ht="12" customHeight="1">
      <c r="B55" s="84" t="s">
        <v>63</v>
      </c>
      <c r="C55" s="122" t="s">
        <v>130</v>
      </c>
      <c r="F55" s="123" t="s">
        <v>127</v>
      </c>
    </row>
    <row r="56" spans="2:16" ht="12" customHeight="1">
      <c r="B56" s="84" t="s">
        <v>63</v>
      </c>
      <c r="C56" s="122" t="s">
        <v>131</v>
      </c>
      <c r="F56" s="26" t="s">
        <v>128</v>
      </c>
    </row>
    <row r="57" spans="2:16" ht="12" customHeight="1">
      <c r="B57" s="84" t="s">
        <v>63</v>
      </c>
      <c r="C57" s="122" t="s">
        <v>132</v>
      </c>
      <c r="F57" s="26" t="s">
        <v>123</v>
      </c>
    </row>
    <row r="58" spans="2:16" ht="12" customHeight="1">
      <c r="B58" s="84" t="s">
        <v>63</v>
      </c>
      <c r="C58" s="122" t="s">
        <v>133</v>
      </c>
      <c r="F58" s="26" t="s">
        <v>124</v>
      </c>
    </row>
    <row r="59" spans="2:16" ht="12" customHeight="1">
      <c r="B59" s="84" t="s">
        <v>63</v>
      </c>
      <c r="C59" s="122" t="s">
        <v>134</v>
      </c>
      <c r="F59" s="26" t="s">
        <v>125</v>
      </c>
    </row>
    <row r="60" spans="2:16" ht="12" customHeight="1">
      <c r="B60" s="84"/>
      <c r="C60" s="122" t="s">
        <v>135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114</v>
      </c>
      <c r="J70" s="178" t="str">
        <f>C9</f>
        <v>MRA(MRA General Contracting Est.)</v>
      </c>
      <c r="K70" s="178"/>
      <c r="L70" s="178"/>
      <c r="M70" s="178"/>
    </row>
    <row r="71" spans="1:13" ht="27.95" customHeight="1">
      <c r="A71" s="170" t="s">
        <v>73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topLeftCell="A8" zoomScaleSheetLayoutView="100" zoomScalePageLayoutView="55" workbookViewId="0">
      <selection activeCell="B19" sqref="B19:C1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SAC2-DS-PO-0185</v>
      </c>
      <c r="C2" s="185" t="s">
        <v>75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46006</v>
      </c>
      <c r="C3" s="51"/>
      <c r="D3" s="52"/>
      <c r="E3" s="186" t="s">
        <v>77</v>
      </c>
      <c r="F3" s="186"/>
      <c r="G3" s="186"/>
      <c r="H3" s="186"/>
      <c r="I3" s="53"/>
    </row>
    <row r="4" spans="1:13" s="55" customFormat="1" ht="28.5" customHeight="1" thickTop="1">
      <c r="A4" s="187" t="s">
        <v>78</v>
      </c>
      <c r="B4" s="189" t="s">
        <v>79</v>
      </c>
      <c r="C4" s="190"/>
      <c r="D4" s="193" t="s">
        <v>80</v>
      </c>
      <c r="E4" s="193" t="s">
        <v>81</v>
      </c>
      <c r="F4" s="195" t="str">
        <f>'PO 1st page'!C9</f>
        <v>MRA(MRA General Contracting Est.)</v>
      </c>
      <c r="G4" s="196"/>
      <c r="H4" s="197" t="s">
        <v>82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83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83" t="str">
        <f>CONCATENATE(MRS!B6," ",MRS!D6)</f>
        <v>Dell Desktop 16 GB RAM / 512 SSD</v>
      </c>
      <c r="C6" s="184"/>
      <c r="D6" s="86" t="str">
        <f>MRS!G6</f>
        <v>EA</v>
      </c>
      <c r="E6" s="87">
        <f>MRS!H6</f>
        <v>9</v>
      </c>
      <c r="F6" s="88">
        <f>MRS!I6</f>
        <v>2390</v>
      </c>
      <c r="G6" s="89">
        <f>F6*E6</f>
        <v>21510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3" t="str">
        <f>CONCATENATE(MRS!B7," ",MRS!D7)</f>
        <v>Dell Monitor 24"</v>
      </c>
      <c r="C7" s="184"/>
      <c r="D7" s="86" t="str">
        <f>MRS!G7</f>
        <v>EA</v>
      </c>
      <c r="E7" s="87">
        <f>MRS!H7</f>
        <v>11</v>
      </c>
      <c r="F7" s="88">
        <f>MRS!I7</f>
        <v>392</v>
      </c>
      <c r="G7" s="89">
        <f t="shared" ref="G7:G19" si="1">F7*E7</f>
        <v>4312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3" t="str">
        <f>CONCATENATE(MRS!B8," ",MRS!D8)</f>
        <v>A4 Paper Double A</v>
      </c>
      <c r="C8" s="184"/>
      <c r="D8" s="86" t="str">
        <f>MRS!G8</f>
        <v>EA</v>
      </c>
      <c r="E8" s="87">
        <f>MRS!H8</f>
        <v>50</v>
      </c>
      <c r="F8" s="88">
        <f>MRS!I8</f>
        <v>79</v>
      </c>
      <c r="G8" s="89">
        <f t="shared" si="1"/>
        <v>3950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83" t="str">
        <f>CONCATENATE(MRS!B9," ",MRS!D9)</f>
        <v>A3 Paper ROCO</v>
      </c>
      <c r="C9" s="184"/>
      <c r="D9" s="86" t="str">
        <f>MRS!G9</f>
        <v>EA</v>
      </c>
      <c r="E9" s="87">
        <f>MRS!H9</f>
        <v>20</v>
      </c>
      <c r="F9" s="88">
        <f>MRS!I9</f>
        <v>174</v>
      </c>
      <c r="G9" s="89">
        <f t="shared" si="1"/>
        <v>3480</v>
      </c>
      <c r="H9" s="94"/>
    </row>
    <row r="10" spans="1:13" s="55" customFormat="1" ht="32.1" customHeight="1">
      <c r="A10" s="93">
        <f t="shared" si="0"/>
        <v>5</v>
      </c>
      <c r="B10" s="183" t="str">
        <f>CONCATENATE(MRS!B10," ",MRS!D10)</f>
        <v xml:space="preserve">Water </v>
      </c>
      <c r="C10" s="184"/>
      <c r="D10" s="86" t="str">
        <f>MRS!G10</f>
        <v>EA</v>
      </c>
      <c r="E10" s="87">
        <f>MRS!H10</f>
        <v>50</v>
      </c>
      <c r="F10" s="88">
        <f>MRS!I10</f>
        <v>7.14</v>
      </c>
      <c r="G10" s="89">
        <f t="shared" si="1"/>
        <v>357</v>
      </c>
      <c r="H10" s="94"/>
    </row>
    <row r="11" spans="1:13" s="55" customFormat="1" ht="32.1" customHeight="1">
      <c r="A11" s="93">
        <f t="shared" si="0"/>
        <v>6</v>
      </c>
      <c r="B11" s="183" t="str">
        <f>CONCATENATE(MRS!B11," ",MRS!D11)</f>
        <v xml:space="preserve">Blanket, Bedsheet, Pillow </v>
      </c>
      <c r="C11" s="184"/>
      <c r="D11" s="86" t="str">
        <f>MRS!G11</f>
        <v>EA</v>
      </c>
      <c r="E11" s="87">
        <f>MRS!H11</f>
        <v>75</v>
      </c>
      <c r="F11" s="88">
        <f>MRS!I11</f>
        <v>68</v>
      </c>
      <c r="G11" s="89">
        <f t="shared" si="1"/>
        <v>5100</v>
      </c>
      <c r="H11" s="94"/>
    </row>
    <row r="12" spans="1:13" s="55" customFormat="1" ht="32.1" customHeight="1">
      <c r="A12" s="93">
        <f t="shared" si="0"/>
        <v>7</v>
      </c>
      <c r="B12" s="183" t="str">
        <f>CONCATENATE(MRS!B12," ",MRS!D12)</f>
        <v xml:space="preserve">FRC Pant </v>
      </c>
      <c r="C12" s="184"/>
      <c r="D12" s="86" t="str">
        <f>MRS!G12</f>
        <v>EA</v>
      </c>
      <c r="E12" s="87">
        <f>MRS!H12</f>
        <v>57</v>
      </c>
      <c r="F12" s="88">
        <f>MRS!I12</f>
        <v>102</v>
      </c>
      <c r="G12" s="89">
        <f t="shared" si="1"/>
        <v>5814</v>
      </c>
      <c r="H12" s="94"/>
    </row>
    <row r="13" spans="1:13" s="55" customFormat="1" ht="32.1" customHeight="1">
      <c r="A13" s="93">
        <f t="shared" si="0"/>
        <v>8</v>
      </c>
      <c r="B13" s="183" t="str">
        <f>CONCATENATE(MRS!B13," ",MRS!D13)</f>
        <v xml:space="preserve">FRC Shirt </v>
      </c>
      <c r="C13" s="184"/>
      <c r="D13" s="86" t="str">
        <f>MRS!G13</f>
        <v>EA</v>
      </c>
      <c r="E13" s="87">
        <f>MRS!H13</f>
        <v>57</v>
      </c>
      <c r="F13" s="88">
        <f>MRS!I13</f>
        <v>102</v>
      </c>
      <c r="G13" s="89">
        <f t="shared" si="1"/>
        <v>5814</v>
      </c>
      <c r="H13" s="94"/>
    </row>
    <row r="14" spans="1:13" s="55" customFormat="1" ht="32.1" customHeight="1">
      <c r="A14" s="93">
        <f t="shared" si="0"/>
        <v>9</v>
      </c>
      <c r="B14" s="183" t="str">
        <f>CONCATENATE(MRS!B14," ",MRS!D14)</f>
        <v>FRC Coverall XXXL</v>
      </c>
      <c r="C14" s="184"/>
      <c r="D14" s="86" t="str">
        <f>MRS!G14</f>
        <v>EA</v>
      </c>
      <c r="E14" s="87">
        <f>MRS!H14</f>
        <v>7</v>
      </c>
      <c r="F14" s="88">
        <f>MRS!I14</f>
        <v>168</v>
      </c>
      <c r="G14" s="89">
        <f t="shared" si="1"/>
        <v>1176</v>
      </c>
      <c r="H14" s="94"/>
    </row>
    <row r="15" spans="1:13" s="55" customFormat="1" ht="32.1" customHeight="1">
      <c r="A15" s="93">
        <f t="shared" si="0"/>
        <v>10</v>
      </c>
      <c r="B15" s="183" t="str">
        <f>CONCATENATE(MRS!B15," ",MRS!D15)</f>
        <v>FRC Coverall XXL</v>
      </c>
      <c r="C15" s="184"/>
      <c r="D15" s="86" t="str">
        <f>MRS!G15</f>
        <v>EA</v>
      </c>
      <c r="E15" s="87">
        <f>MRS!H15</f>
        <v>63</v>
      </c>
      <c r="F15" s="88">
        <f>MRS!I15</f>
        <v>168</v>
      </c>
      <c r="G15" s="89">
        <f t="shared" si="1"/>
        <v>10584</v>
      </c>
      <c r="H15" s="94"/>
    </row>
    <row r="16" spans="1:13" s="55" customFormat="1" ht="32.1" customHeight="1">
      <c r="A16" s="93">
        <f t="shared" si="0"/>
        <v>11</v>
      </c>
      <c r="B16" s="183" t="str">
        <f>CONCATENATE(MRS!B16," ",MRS!D16)</f>
        <v>FRC Coverall XL</v>
      </c>
      <c r="C16" s="184"/>
      <c r="D16" s="86" t="str">
        <f>MRS!G16</f>
        <v>EA</v>
      </c>
      <c r="E16" s="87">
        <f>MRS!H16</f>
        <v>114</v>
      </c>
      <c r="F16" s="88">
        <f>MRS!I16</f>
        <v>168</v>
      </c>
      <c r="G16" s="89">
        <f t="shared" si="1"/>
        <v>19152</v>
      </c>
      <c r="H16" s="94"/>
    </row>
    <row r="17" spans="1:13" s="55" customFormat="1" ht="32.1" customHeight="1">
      <c r="A17" s="93">
        <f t="shared" si="0"/>
        <v>12</v>
      </c>
      <c r="B17" s="183" t="str">
        <f>CONCATENATE(MRS!B17," ",MRS!D17)</f>
        <v>FRC Coverall L</v>
      </c>
      <c r="C17" s="184"/>
      <c r="D17" s="86" t="str">
        <f>MRS!G17</f>
        <v>EA</v>
      </c>
      <c r="E17" s="87">
        <f>MRS!H17</f>
        <v>95</v>
      </c>
      <c r="F17" s="88">
        <f>MRS!I17</f>
        <v>168</v>
      </c>
      <c r="G17" s="89">
        <f t="shared" si="1"/>
        <v>15960</v>
      </c>
      <c r="H17" s="94"/>
    </row>
    <row r="18" spans="1:13" s="55" customFormat="1" ht="32.1" customHeight="1">
      <c r="A18" s="93">
        <f t="shared" si="0"/>
        <v>13</v>
      </c>
      <c r="B18" s="183" t="str">
        <f>CONCATENATE(MRS!B18," ",MRS!D18)</f>
        <v>FRC Coverall M</v>
      </c>
      <c r="C18" s="184"/>
      <c r="D18" s="86" t="str">
        <f>MRS!G18</f>
        <v>EA</v>
      </c>
      <c r="E18" s="87">
        <f>MRS!H18</f>
        <v>74</v>
      </c>
      <c r="F18" s="88">
        <f>MRS!I18</f>
        <v>168</v>
      </c>
      <c r="G18" s="89">
        <f t="shared" si="1"/>
        <v>12432</v>
      </c>
      <c r="H18" s="94"/>
    </row>
    <row r="19" spans="1:13" s="55" customFormat="1" ht="32.1" customHeight="1">
      <c r="A19" s="93">
        <f t="shared" si="0"/>
        <v>14</v>
      </c>
      <c r="B19" s="183" t="str">
        <f>CONCATENATE(MRS!B19," ",MRS!D19)</f>
        <v>RAM 32GB DDR4</v>
      </c>
      <c r="C19" s="184"/>
      <c r="D19" s="86" t="str">
        <f>MRS!G19</f>
        <v>EA</v>
      </c>
      <c r="E19" s="87">
        <f>MRS!H19</f>
        <v>1</v>
      </c>
      <c r="F19" s="88">
        <f>MRS!I19</f>
        <v>680</v>
      </c>
      <c r="G19" s="89">
        <f t="shared" si="1"/>
        <v>680</v>
      </c>
      <c r="H19" s="94"/>
    </row>
    <row r="20" spans="1:13" s="55" customFormat="1" ht="23.1" customHeight="1">
      <c r="A20" s="179" t="s">
        <v>84</v>
      </c>
      <c r="B20" s="180"/>
      <c r="C20" s="180"/>
      <c r="D20" s="180"/>
      <c r="E20" s="180"/>
      <c r="F20" s="180"/>
      <c r="G20" s="58">
        <f>SUM(G6:G19)</f>
        <v>110321</v>
      </c>
      <c r="H20" s="59"/>
    </row>
    <row r="21" spans="1:13" s="55" customFormat="1" ht="23.1" customHeight="1">
      <c r="A21" s="179" t="s">
        <v>48</v>
      </c>
      <c r="B21" s="180"/>
      <c r="C21" s="180"/>
      <c r="D21" s="180"/>
      <c r="E21" s="180"/>
      <c r="F21" s="180"/>
      <c r="G21" s="58">
        <f>+G20*0.15</f>
        <v>16548.149999999998</v>
      </c>
      <c r="H21" s="59"/>
    </row>
    <row r="22" spans="1:13" s="55" customFormat="1" ht="24.95" customHeight="1" thickBot="1">
      <c r="A22" s="181" t="s">
        <v>85</v>
      </c>
      <c r="B22" s="182"/>
      <c r="C22" s="182"/>
      <c r="D22" s="182"/>
      <c r="E22" s="182"/>
      <c r="F22" s="182"/>
      <c r="G22" s="60">
        <f>G21+G20</f>
        <v>126869.15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MRA/SQ000129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70" t="s">
        <v>87</v>
      </c>
      <c r="B26" s="170"/>
      <c r="C26" s="170"/>
      <c r="D26" s="170"/>
      <c r="E26" s="170"/>
      <c r="F26" s="170"/>
      <c r="G26" s="170"/>
      <c r="H26" s="170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2025-12-15T11:25:21Z</cp:lastPrinted>
  <dcterms:created xsi:type="dcterms:W3CDTF">2024-10-20T11:50:19Z</dcterms:created>
  <dcterms:modified xsi:type="dcterms:W3CDTF">2025-12-15T11:26:20Z</dcterms:modified>
</cp:coreProperties>
</file>