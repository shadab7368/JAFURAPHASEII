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1EE7744-DEB4-49A9-AA01-C439057EC521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7" i="3"/>
  <c r="C26" i="3"/>
  <c r="J10" i="2"/>
  <c r="H7" i="4"/>
  <c r="H6" i="4"/>
  <c r="D7" i="4"/>
  <c r="E7" i="4"/>
  <c r="F7" i="4"/>
  <c r="F6" i="4"/>
  <c r="E6" i="4"/>
  <c r="D6" i="4"/>
  <c r="B7" i="4"/>
  <c r="J7" i="1"/>
  <c r="G7" i="4" s="1"/>
  <c r="J9" i="2"/>
  <c r="J11" i="1"/>
  <c r="J11" i="2" s="1"/>
  <c r="J12" i="1"/>
  <c r="J13" i="1"/>
  <c r="J14" i="1"/>
  <c r="J15" i="1"/>
  <c r="B6" i="4"/>
  <c r="A7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16" i="1" l="1"/>
  <c r="F29" i="3" s="1"/>
  <c r="F30" i="3" s="1"/>
  <c r="F31" i="3" s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<sst xmlns="http://schemas.openxmlformats.org/spreadsheetml/2006/main" count="160" uniqueCount="136">
  <si>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</si>
  <si>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</si>
  <si>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</si>
  <si>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</si>
  <si>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</si>
  <si>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</si>
  <si>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</si>
  <si>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</si>
  <si>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</si>
  <si>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</si>
  <si>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</si>
  <si>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</si>
  <si>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</si>
  <si>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</si>
  <si>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</si>
  <si>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</si>
  <si>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</si>
  <si>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</si>
  <si>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</si>
  <si>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</si>
  <si>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</si>
  <si>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</si>
  <si>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</si>
  <si>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</si>
  <si>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</si>
  <si>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</si>
  <si>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</si>
  <si>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</si>
  <si>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</si>
  <si>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</si>
  <si>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</si>
  <si>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</si>
  <si>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</si>
  <si>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</si>
  <si>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</si>
  <si>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</si>
  <si>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</si>
  <si>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</si>
  <si>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</si>
  <si>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</si>
  <si>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</si>
  <si>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</si>
  <si>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</si>
  <si>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</si>
  <si>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</si>
  <si>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</si>
  <si>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</si>
  <si>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</si>
  <si>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</si>
  <si>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</si>
  <si>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</si>
  <si>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</si>
  <si>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</si>
  <si>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</si>
  <si>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</si>
  <si>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</si>
  <si>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</si>
  <si>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</si>
  <si>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</si>
  <si>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</si>
  <si>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</si>
  <si>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</si>
  <si>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</si>
  <si>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</si>
  <si>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</si>
  <si>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</si>
  <si>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</si>
  <si>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</si>
  <si>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</si>
  <si>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</si>
  <si>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</si>
  <si>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</si>
  <si>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</si>
  <si>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</si>
  <si>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</si>
  <si>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</si>
  <si>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</si>
  <si>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</si>
  <si>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</si>
  <si>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</si>
  <si>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</si>
  <si>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</si>
  <si>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</si>
  <si>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</si>
  <si>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</si>
  <si>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</si>
  <si>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</si>
  <si>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</si>
  <si>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</si>
  <si>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</si>
  <si>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</si>
  <si>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</si>
  <si>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</si>
  <si>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</si>
  <si>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</si>
  <si>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</si>
  <si>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</si>
  <si>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</si>
  <si>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</si>
  <si>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</si>
  <si>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</si>
  <si>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</si>
  <si>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</si>
  <si>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</si>
  <si>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</si>
  <si>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</si>
  <si>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</si>
  <si>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</si>
  <si>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</si>
  <si>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</si>
  <si>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</si>
  <si>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</si>
  <si>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</si>
  <si>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</si>
  <si>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</si>
  <si>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</si>
  <si>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SA47 1000 0001 4000 1054 7706</t>
  </si>
  <si>
    <t>"</t>
  </si>
  <si>
    <t>Aramco Third Party Inspection for A-Frame (Pipe Stand)</t>
  </si>
  <si>
    <t>Aramco Third Party Inspection for Pipe Stand</t>
  </si>
  <si>
    <t>SAMOO-DAESHIN-MT-49-2026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</si>
  <si>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-MRS-0385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</si>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</sst>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3" fillId="0" borderId="8" xfId="0" quotePrefix="1" applyFont="1" applyBorder="1" applyAlignment="1">
      <alignment horizontal="left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65" fontId="49" fillId="2" borderId="7" xfId="1" applyNumberFormat="1" applyFont="1" applyFill="1" applyBorder="1" applyAlignment="1">
      <alignment horizontal="left" vertical="center"/>
    </xf>
    <xf numFmtId="170" fontId="59" fillId="0" borderId="7" xfId="3" applyNumberFormat="1" applyFont="1" applyBorder="1" applyAlignment="1">
      <alignment horizontal="right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13" fillId="3" borderId="15" xfId="0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961524</xdr:colOff>
          <xdr:row>17</xdr:row>
          <xdr:rowOff>71688</xdr:rowOff>
        </xdr:from>
        <xdr:to>
          <xdr:col>11</xdr:col>
          <xdr:colOff>1637799</xdr:colOff>
          <xdr:row>23</xdr:row>
          <xdr:rowOff>309813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53603" y="5375609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topLeftCell="A10" zoomScale="95" zoomScaleNormal="95" zoomScaleSheetLayoutView="95" workbookViewId="0">
      <selection activeCell="O16" sqref="O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98" t="s">
        <v>122</v>
      </c>
      <c r="B1" s="199"/>
      <c r="C1" s="103"/>
      <c r="D1" s="103"/>
      <c r="E1" s="103"/>
      <c r="F1" s="103"/>
      <c r="G1" s="1"/>
      <c r="J1" s="136" t="s">
        <v>83</v>
      </c>
      <c r="K1" s="137"/>
      <c r="L1" s="138"/>
    </row>
    <row r="2" spans="1:18" ht="20.100000000000001" customHeight="1">
      <c r="A2" s="3" t="s">
        <v>1</v>
      </c>
      <c r="B2" s="94"/>
      <c r="C2" s="94"/>
      <c r="D2" s="3" t="s">
        <v>123</v>
      </c>
      <c r="E2" s="94"/>
      <c r="F2" s="94"/>
      <c r="G2" s="94"/>
      <c r="H2" s="94"/>
      <c r="I2" s="4"/>
      <c r="J2" s="151" t="s">
        <v>93</v>
      </c>
      <c r="K2" s="152"/>
      <c r="L2" s="153"/>
    </row>
    <row r="3" spans="1:18" ht="20.100000000000001" customHeight="1">
      <c r="A3" s="3" t="s">
        <v>121</v>
      </c>
      <c r="B3" s="94"/>
      <c r="C3" s="94"/>
      <c r="D3" s="94"/>
      <c r="E3" s="200">
        <f>+L3+3</f>
        <v>46238</v>
      </c>
      <c r="F3" s="200"/>
      <c r="G3" s="200"/>
      <c r="H3" s="200"/>
      <c r="I3" s="200"/>
      <c r="J3" s="94"/>
      <c r="K3" s="94"/>
      <c r="L3" s="201">
        <v>46235</v>
      </c>
      <c r="M3" s="4"/>
    </row>
    <row r="4" spans="1:18" ht="15.95" customHeight="1">
      <c r="A4" s="139" t="s">
        <v>2</v>
      </c>
      <c r="B4" s="140" t="s">
        <v>3</v>
      </c>
      <c r="C4" s="140"/>
      <c r="D4" s="141" t="s">
        <v>4</v>
      </c>
      <c r="E4" s="142"/>
      <c r="F4" s="143"/>
      <c r="G4" s="147" t="s">
        <v>5</v>
      </c>
      <c r="H4" s="149" t="s">
        <v>6</v>
      </c>
      <c r="I4" s="149" t="s">
        <v>87</v>
      </c>
      <c r="J4" s="139" t="s">
        <v>88</v>
      </c>
      <c r="K4" s="149" t="s">
        <v>0</v>
      </c>
      <c r="L4" s="140" t="s">
        <v>7</v>
      </c>
    </row>
    <row r="5" spans="1:18" ht="15.95" customHeight="1">
      <c r="A5" s="139"/>
      <c r="B5" s="140"/>
      <c r="C5" s="140"/>
      <c r="D5" s="144"/>
      <c r="E5" s="145"/>
      <c r="F5" s="146"/>
      <c r="G5" s="148"/>
      <c r="H5" s="150"/>
      <c r="I5" s="150"/>
      <c r="J5" s="139"/>
      <c r="K5" s="150"/>
      <c r="L5" s="140"/>
    </row>
    <row r="6" spans="1:18" ht="35.25" customHeight="1">
      <c r="A6" s="5">
        <f t="shared" ref="A6:A7" si="0">ROW(A1)</f>
        <v>1</v>
      </c>
      <c r="B6" s="126" t="s">
        <v>118</v>
      </c>
      <c r="C6" s="127"/>
      <c r="D6" s="128"/>
      <c r="E6" s="129"/>
      <c r="F6" s="130"/>
      <c r="G6" s="104" t="s">
        <v>101</v>
      </c>
      <c r="H6" s="105">
        <v>6</v>
      </c>
      <c r="I6" s="106">
        <v>335</v>
      </c>
      <c r="J6" s="106">
        <f>H6*I6</f>
        <v>2010</v>
      </c>
      <c r="K6" s="107" t="s">
        <v>95</v>
      </c>
      <c r="L6" s="108" t="s">
        <v>102</v>
      </c>
      <c r="R6" s="99"/>
    </row>
    <row r="7" spans="1:18" ht="35.25" customHeight="1">
      <c r="A7" s="5">
        <f t="shared" si="0"/>
        <v>2</v>
      </c>
      <c r="B7" s="126" t="s">
        <v>119</v>
      </c>
      <c r="C7" s="127"/>
      <c r="D7" s="135"/>
      <c r="E7" s="129"/>
      <c r="F7" s="130"/>
      <c r="G7" s="104" t="s">
        <v>101</v>
      </c>
      <c r="H7" s="105">
        <v>11</v>
      </c>
      <c r="I7" s="106">
        <v>335</v>
      </c>
      <c r="J7" s="106">
        <f t="shared" ref="J7:J15" si="1">H7*I7</f>
        <v>3685</v>
      </c>
      <c r="K7" s="107" t="s">
        <v>117</v>
      </c>
      <c r="L7" s="120" t="s">
        <v>117</v>
      </c>
      <c r="R7" s="99"/>
    </row>
    <row r="8" spans="1:18" ht="22.5" customHeight="1">
      <c r="A8" s="5"/>
      <c r="B8" s="126"/>
      <c r="C8" s="127"/>
      <c r="D8" s="128"/>
      <c r="E8" s="129"/>
      <c r="F8" s="130"/>
      <c r="G8" s="104"/>
      <c r="H8" s="105"/>
      <c r="I8" s="106"/>
      <c r="J8" s="106"/>
      <c r="K8" s="107"/>
      <c r="L8" s="120"/>
      <c r="R8" s="99"/>
    </row>
    <row r="9" spans="1:18" ht="22.5" customHeight="1">
      <c r="A9" s="5"/>
      <c r="B9" s="126"/>
      <c r="C9" s="127"/>
      <c r="D9" s="128"/>
      <c r="E9" s="129"/>
      <c r="F9" s="130"/>
      <c r="G9" s="104"/>
      <c r="H9" s="105"/>
      <c r="I9" s="106"/>
      <c r="J9" s="106"/>
      <c r="K9" s="107"/>
      <c r="L9" s="120"/>
      <c r="R9" s="99"/>
    </row>
    <row r="10" spans="1:18" ht="22.5" customHeight="1">
      <c r="A10" s="5"/>
      <c r="B10" s="126"/>
      <c r="C10" s="127"/>
      <c r="D10" s="134"/>
      <c r="E10" s="134"/>
      <c r="F10" s="134"/>
      <c r="G10" s="104"/>
      <c r="H10" s="105"/>
      <c r="I10" s="109"/>
      <c r="J10" s="106"/>
      <c r="K10" s="107"/>
      <c r="L10" s="120"/>
      <c r="R10" s="99"/>
    </row>
    <row r="11" spans="1:18" ht="22.5" customHeight="1">
      <c r="A11" s="5"/>
      <c r="B11" s="126"/>
      <c r="C11" s="127"/>
      <c r="D11" s="128"/>
      <c r="E11" s="129"/>
      <c r="F11" s="130"/>
      <c r="G11" s="104"/>
      <c r="H11" s="105"/>
      <c r="I11" s="106"/>
      <c r="J11" s="106">
        <f t="shared" si="1"/>
        <v>0</v>
      </c>
      <c r="K11" s="107"/>
      <c r="L11" s="108"/>
      <c r="R11" s="99"/>
    </row>
    <row r="12" spans="1:18" ht="22.5" customHeight="1">
      <c r="A12" s="5"/>
      <c r="B12" s="126"/>
      <c r="C12" s="127"/>
      <c r="D12" s="134"/>
      <c r="E12" s="134"/>
      <c r="F12" s="134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customHeight="1">
      <c r="A13" s="5"/>
      <c r="B13" s="126"/>
      <c r="C13" s="127"/>
      <c r="D13" s="128"/>
      <c r="E13" s="129"/>
      <c r="F13" s="130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customHeight="1">
      <c r="A14" s="5"/>
      <c r="B14" s="126"/>
      <c r="C14" s="127"/>
      <c r="D14" s="128"/>
      <c r="E14" s="129"/>
      <c r="F14" s="130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customHeight="1">
      <c r="A15" s="5"/>
      <c r="B15" s="126"/>
      <c r="C15" s="127"/>
      <c r="D15" s="128"/>
      <c r="E15" s="129"/>
      <c r="F15" s="130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131" t="s">
        <v>8</v>
      </c>
      <c r="B16" s="132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5695</v>
      </c>
      <c r="K16" s="106"/>
      <c r="L16" s="114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202"/>
      <c r="Z18" s="11"/>
    </row>
    <row r="19" spans="1:26" ht="50.1" customHeight="1">
      <c r="Y19" s="203"/>
    </row>
    <row r="20" spans="1:26" ht="15" customHeight="1">
      <c r="O20" s="204" t="s">
        <v>124</v>
      </c>
      <c r="P20" s="205"/>
      <c r="Q20" s="205"/>
      <c r="R20" s="206"/>
      <c r="S20" s="121"/>
      <c r="T20" s="204" t="s">
        <v>125</v>
      </c>
      <c r="U20" s="205"/>
      <c r="V20" s="205"/>
      <c r="W20" s="205"/>
      <c r="X20" s="205"/>
      <c r="Y20" s="206"/>
    </row>
    <row r="21" spans="1:26" ht="15" customHeight="1">
      <c r="O21" s="133" t="s">
        <v>126</v>
      </c>
      <c r="P21" s="122" t="s">
        <v>127</v>
      </c>
      <c r="Q21" s="133" t="s">
        <v>128</v>
      </c>
      <c r="R21" s="122" t="s">
        <v>129</v>
      </c>
      <c r="S21" s="121"/>
      <c r="T21" s="133" t="s">
        <v>130</v>
      </c>
      <c r="U21" s="122" t="s">
        <v>131</v>
      </c>
      <c r="V21" s="204" t="s">
        <v>132</v>
      </c>
      <c r="W21" s="205"/>
      <c r="X21" s="206"/>
      <c r="Y21" s="122" t="s">
        <v>133</v>
      </c>
    </row>
    <row r="22" spans="1:26" ht="18" customHeight="1">
      <c r="O22" s="124"/>
      <c r="P22" s="123"/>
      <c r="Q22" s="124"/>
      <c r="R22" s="123"/>
      <c r="S22" s="207"/>
      <c r="T22" s="124"/>
      <c r="U22" s="123"/>
      <c r="V22" s="13" t="s">
        <v>126</v>
      </c>
      <c r="W22" s="208" t="s">
        <v>134</v>
      </c>
      <c r="X22" s="209"/>
      <c r="Y22" s="123"/>
    </row>
    <row r="23" spans="1:26" ht="50.1" customHeight="1">
      <c r="O23" s="14"/>
      <c r="P23" s="14"/>
      <c r="Q23" s="14"/>
      <c r="R23" s="14"/>
      <c r="S23" s="121"/>
      <c r="T23" s="14"/>
      <c r="U23" s="14"/>
      <c r="V23" s="14"/>
      <c r="W23" s="204"/>
      <c r="X23" s="206"/>
      <c r="Y23" s="210"/>
    </row>
    <row r="24" spans="1:26" ht="36" customHeight="1">
      <c r="W24" s="211"/>
      <c r="X24" s="212" t="s">
        <v>135</v>
      </c>
      <c r="Y24" s="12" t="s">
        <v>133</v>
      </c>
    </row>
    <row r="25" spans="1:26" ht="50.1" customHeight="1">
      <c r="O25" s="213"/>
      <c r="P25" s="213"/>
      <c r="Q25" s="213"/>
      <c r="R25" s="213"/>
      <c r="S25" s="213"/>
      <c r="T25" s="213"/>
      <c r="U25" s="213"/>
      <c r="V25" s="213"/>
      <c r="W25" s="214"/>
      <c r="X25" s="215"/>
      <c r="Y25" s="216"/>
    </row>
    <row r="26" spans="1:26" ht="19.899999999999999" customHeight="1"/>
    <row r="27" spans="1:26" ht="17.45" customHeight="1">
      <c r="O27" s="125"/>
      <c r="P27" s="125"/>
    </row>
    <row r="28" spans="1:26" ht="19.899999999999999" customHeight="1">
      <c r="O28" s="125"/>
      <c r="P28" s="125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2" t="s">
        <v>12</v>
      </c>
      <c r="P46" s="122" t="s">
        <v>12</v>
      </c>
      <c r="S46" s="122" t="s">
        <v>11</v>
      </c>
    </row>
    <row r="47" spans="15:19" ht="21" customHeight="1">
      <c r="O47" s="123"/>
      <c r="P47" s="123"/>
      <c r="S47" s="124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2" t="s">
        <v>12</v>
      </c>
      <c r="P50" s="122" t="s">
        <v>12</v>
      </c>
      <c r="S50" s="122" t="s">
        <v>13</v>
      </c>
    </row>
    <row r="51" spans="15:19" ht="21" customHeight="1">
      <c r="O51" s="123"/>
      <c r="P51" s="123"/>
      <c r="S51" s="124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36" t="str">
        <f>+MRS!J1</f>
        <v>DAESHIN PLANT</v>
      </c>
      <c r="K1" s="138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51" t="str">
        <f>+MRS!J2</f>
        <v>Subcontract name (SAC2-SC-IK-SMP-01)</v>
      </c>
      <c r="K2" s="153"/>
    </row>
    <row r="3" spans="1:18" ht="24.95" customHeight="1">
      <c r="A3" s="3" t="str">
        <f>+MRS!A3</f>
        <v xml:space="preserve">  MRS No : SAC2-DS-MRS-0385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46235</v>
      </c>
    </row>
    <row r="4" spans="1:18" ht="15.95" customHeight="1">
      <c r="A4" s="164" t="s">
        <v>2</v>
      </c>
      <c r="B4" s="165" t="s">
        <v>14</v>
      </c>
      <c r="C4" s="165"/>
      <c r="D4" s="164" t="s">
        <v>4</v>
      </c>
      <c r="E4" s="164"/>
      <c r="F4" s="164"/>
      <c r="G4" s="165" t="s">
        <v>5</v>
      </c>
      <c r="H4" s="164" t="s">
        <v>84</v>
      </c>
      <c r="I4" s="164" t="s">
        <v>15</v>
      </c>
      <c r="J4" s="164" t="s">
        <v>16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17">
        <f>+MRS!A6</f>
        <v>1</v>
      </c>
      <c r="B6" s="159" t="str">
        <f>MRS!B6</f>
        <v>Aramco Third Party Inspection for A-Frame (Pipe Stand)</v>
      </c>
      <c r="C6" s="160"/>
      <c r="D6" s="161">
        <f>MRS!D6</f>
        <v>0</v>
      </c>
      <c r="E6" s="162"/>
      <c r="F6" s="163"/>
      <c r="G6" s="96" t="str">
        <f>MRS!G6</f>
        <v>EA</v>
      </c>
      <c r="H6" s="96">
        <f>MRS!H6</f>
        <v>6</v>
      </c>
      <c r="I6" s="97">
        <f>MRS!I6</f>
        <v>335</v>
      </c>
      <c r="J6" s="97">
        <f>MRS!J6</f>
        <v>2010</v>
      </c>
      <c r="K6" s="98"/>
      <c r="O6" s="99"/>
      <c r="P6" s="99"/>
      <c r="R6" s="99"/>
    </row>
    <row r="7" spans="1:18" ht="105" customHeight="1">
      <c r="A7" s="17">
        <f>+MRS!A7</f>
        <v>2</v>
      </c>
      <c r="B7" s="159" t="str">
        <f>MRS!B7</f>
        <v>Aramco Third Party Inspection for Pipe Stand</v>
      </c>
      <c r="C7" s="160"/>
      <c r="D7" s="161">
        <f>MRS!D7</f>
        <v>0</v>
      </c>
      <c r="E7" s="162"/>
      <c r="F7" s="163"/>
      <c r="G7" s="96" t="str">
        <f>MRS!G7</f>
        <v>EA</v>
      </c>
      <c r="H7" s="96">
        <f>MRS!H7</f>
        <v>11</v>
      </c>
      <c r="I7" s="97">
        <f>MRS!I7</f>
        <v>335</v>
      </c>
      <c r="J7" s="97">
        <f>MRS!J7</f>
        <v>3685</v>
      </c>
      <c r="K7" s="98"/>
      <c r="O7" s="99"/>
      <c r="P7" s="99"/>
      <c r="R7" s="99"/>
    </row>
    <row r="8" spans="1:18" ht="105" customHeight="1">
      <c r="A8" s="17">
        <f>+MRS!A8</f>
        <v>0</v>
      </c>
      <c r="B8" s="159">
        <f>MRS!B8</f>
        <v>0</v>
      </c>
      <c r="C8" s="160"/>
      <c r="D8" s="161">
        <f>MRS!D8</f>
        <v>0</v>
      </c>
      <c r="E8" s="162"/>
      <c r="F8" s="163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7">
        <f>+MRS!A9</f>
        <v>0</v>
      </c>
      <c r="B9" s="159">
        <f>MRS!B9</f>
        <v>0</v>
      </c>
      <c r="C9" s="160"/>
      <c r="D9" s="161">
        <f>MRS!D9</f>
        <v>0</v>
      </c>
      <c r="E9" s="162"/>
      <c r="F9" s="163"/>
      <c r="G9" s="96">
        <f>MRS!G9</f>
        <v>0</v>
      </c>
      <c r="H9" s="96">
        <f>MRS!H9</f>
        <v>0</v>
      </c>
      <c r="I9" s="97">
        <f>MRS!I9</f>
        <v>0</v>
      </c>
      <c r="J9" s="97">
        <f>MRS!J9</f>
        <v>0</v>
      </c>
      <c r="K9" s="98"/>
      <c r="O9" s="99"/>
      <c r="P9" s="99"/>
      <c r="R9" s="99"/>
    </row>
    <row r="10" spans="1:18" ht="105" customHeight="1">
      <c r="A10" s="17">
        <f>+MRS!A10</f>
        <v>0</v>
      </c>
      <c r="B10" s="159">
        <f>MRS!B10</f>
        <v>0</v>
      </c>
      <c r="C10" s="160"/>
      <c r="D10" s="161">
        <f>MRS!D10</f>
        <v>0</v>
      </c>
      <c r="E10" s="162"/>
      <c r="F10" s="163"/>
      <c r="G10" s="96">
        <f>MRS!G10</f>
        <v>0</v>
      </c>
      <c r="H10" s="96">
        <f>MRS!H10</f>
        <v>0</v>
      </c>
      <c r="I10" s="97">
        <f>MRS!I10</f>
        <v>0</v>
      </c>
      <c r="J10" s="97">
        <f>MRS!J10</f>
        <v>0</v>
      </c>
      <c r="K10" s="98"/>
      <c r="O10" s="99"/>
      <c r="P10" s="99"/>
      <c r="R10" s="99"/>
    </row>
    <row r="11" spans="1:18" ht="105" customHeight="1">
      <c r="A11" s="17">
        <f>+MRS!A11</f>
        <v>0</v>
      </c>
      <c r="B11" s="159">
        <f>MRS!B11</f>
        <v>0</v>
      </c>
      <c r="C11" s="160"/>
      <c r="D11" s="161">
        <f>MRS!D11</f>
        <v>0</v>
      </c>
      <c r="E11" s="162"/>
      <c r="F11" s="163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0</v>
      </c>
      <c r="B12" s="154"/>
      <c r="C12" s="155"/>
      <c r="D12" s="156"/>
      <c r="E12" s="157"/>
      <c r="F12" s="158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0</v>
      </c>
      <c r="B13" s="154"/>
      <c r="C13" s="155"/>
      <c r="D13" s="156"/>
      <c r="E13" s="157"/>
      <c r="F13" s="158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0</v>
      </c>
      <c r="B14" s="154"/>
      <c r="C14" s="155"/>
      <c r="D14" s="156"/>
      <c r="E14" s="157"/>
      <c r="F14" s="158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+MRS!A15</f>
        <v>0</v>
      </c>
      <c r="B15" s="154"/>
      <c r="C15" s="155"/>
      <c r="D15" s="156"/>
      <c r="E15" s="157"/>
      <c r="F15" s="158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54"/>
      <c r="C16" s="155"/>
      <c r="D16" s="156"/>
      <c r="E16" s="157"/>
      <c r="F16" s="158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54"/>
      <c r="C17" s="155"/>
      <c r="D17" s="156"/>
      <c r="E17" s="157"/>
      <c r="F17" s="158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G68" sqref="G6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96</v>
      </c>
      <c r="D9" s="35"/>
      <c r="E9" s="35"/>
    </row>
    <row r="10" spans="2:13" s="35" customFormat="1">
      <c r="B10" s="68"/>
      <c r="C10" s="35" t="s">
        <v>24</v>
      </c>
      <c r="D10" s="72" t="s">
        <v>97</v>
      </c>
      <c r="J10" s="35" t="s">
        <v>25</v>
      </c>
      <c r="K10" s="167">
        <f>MRS!L3</f>
        <v>46235</v>
      </c>
      <c r="L10" s="168"/>
      <c r="M10" s="168"/>
    </row>
    <row r="11" spans="2:13" s="35" customFormat="1">
      <c r="B11" s="68"/>
      <c r="C11" s="71" t="s">
        <v>26</v>
      </c>
      <c r="D11" s="72" t="s">
        <v>98</v>
      </c>
      <c r="J11" s="35" t="s">
        <v>27</v>
      </c>
      <c r="K11" s="169" t="str">
        <f>SUBSTITUTE(SUBSTITUTE(+MRS!A3,"  MRS No : ",""),"-MRS","-PO")</f>
        <v>SAC2-DS-PO-0385</v>
      </c>
      <c r="L11" s="169"/>
      <c r="M11" s="169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99</v>
      </c>
      <c r="J13" s="35" t="s">
        <v>30</v>
      </c>
    </row>
    <row r="14" spans="2:13" s="35" customFormat="1">
      <c r="B14" s="68"/>
      <c r="C14" s="73" t="s">
        <v>100</v>
      </c>
      <c r="J14" s="35" t="s">
        <v>31</v>
      </c>
      <c r="K14" s="35" t="s">
        <v>120</v>
      </c>
    </row>
    <row r="15" spans="2:13" s="35" customFormat="1">
      <c r="B15" s="68"/>
      <c r="C15" s="73" t="s">
        <v>92</v>
      </c>
      <c r="J15" s="35" t="s">
        <v>32</v>
      </c>
      <c r="K15" s="74">
        <v>46233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70" t="s">
        <v>33</v>
      </c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</row>
    <row r="19" spans="2:13" ht="12" customHeight="1"/>
    <row r="20" spans="2:13" s="27" customFormat="1" ht="12" customHeight="1">
      <c r="B20" s="171" t="s">
        <v>34</v>
      </c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</row>
    <row r="21" spans="2:13" s="27" customFormat="1" ht="12" customHeight="1">
      <c r="B21" s="171" t="s">
        <v>35</v>
      </c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</row>
    <row r="22" spans="2:13" s="27" customFormat="1" ht="12" customHeight="1">
      <c r="B22" s="171" t="s">
        <v>36</v>
      </c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2:13" ht="6.95" customHeight="1"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2:13" ht="6.95" customHeight="1"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tr">
        <f>MRS!B6</f>
        <v>Aramco Third Party Inspection for A-Frame (Pipe Stand)</v>
      </c>
      <c r="M26" s="119" t="s">
        <v>38</v>
      </c>
    </row>
    <row r="27" spans="2:13" ht="11.1" customHeight="1">
      <c r="B27" s="28"/>
      <c r="C27" s="22" t="str">
        <f>MRS!B7</f>
        <v>Aramco Third Party Inspection for Pipe Stand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74">
        <f>MRS!J16</f>
        <v>5695</v>
      </c>
      <c r="G29" s="174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74">
        <f>F29*15%</f>
        <v>854.25</v>
      </c>
      <c r="G30" s="174"/>
    </row>
    <row r="31" spans="2:13" ht="12" customHeight="1">
      <c r="B31" s="28"/>
      <c r="C31" s="22" t="s">
        <v>43</v>
      </c>
      <c r="D31" s="31"/>
      <c r="E31" s="22" t="s">
        <v>41</v>
      </c>
      <c r="F31" s="174">
        <f>SUM(F29:G30)</f>
        <v>6549.25</v>
      </c>
      <c r="G31" s="17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103</v>
      </c>
    </row>
    <row r="54" spans="2:16" ht="12" customHeight="1">
      <c r="B54" s="79" t="s">
        <v>57</v>
      </c>
      <c r="C54" s="116" t="s">
        <v>104</v>
      </c>
      <c r="F54" s="22" t="s">
        <v>112</v>
      </c>
    </row>
    <row r="55" spans="2:16" ht="12" customHeight="1">
      <c r="B55" s="79" t="s">
        <v>57</v>
      </c>
      <c r="C55" s="116" t="s">
        <v>105</v>
      </c>
      <c r="F55" s="117" t="s">
        <v>113</v>
      </c>
    </row>
    <row r="56" spans="2:16" ht="12" customHeight="1">
      <c r="B56" s="79" t="s">
        <v>57</v>
      </c>
      <c r="C56" s="116" t="s">
        <v>106</v>
      </c>
      <c r="F56" s="22" t="s">
        <v>116</v>
      </c>
    </row>
    <row r="57" spans="2:16" ht="12" customHeight="1">
      <c r="B57" s="79" t="s">
        <v>57</v>
      </c>
      <c r="C57" s="116" t="s">
        <v>107</v>
      </c>
      <c r="F57" s="22" t="s">
        <v>114</v>
      </c>
    </row>
    <row r="58" spans="2:16" ht="12" customHeight="1">
      <c r="B58" s="79" t="s">
        <v>57</v>
      </c>
      <c r="C58" s="116" t="s">
        <v>108</v>
      </c>
      <c r="F58" s="22" t="s">
        <v>115</v>
      </c>
    </row>
    <row r="59" spans="2:16" ht="12" customHeight="1">
      <c r="B59" s="79" t="s">
        <v>57</v>
      </c>
      <c r="C59" s="116" t="s">
        <v>109</v>
      </c>
      <c r="F59" s="22" t="s">
        <v>110</v>
      </c>
    </row>
    <row r="60" spans="2:16" ht="12" customHeight="1">
      <c r="B60" s="79"/>
      <c r="C60" s="116" t="s">
        <v>111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75" t="str">
        <f>C9</f>
        <v>SAMOO(Samoo Al Bahr Contracting Est.)</v>
      </c>
      <c r="K71" s="175"/>
      <c r="L71" s="175"/>
      <c r="M71" s="175"/>
    </row>
    <row r="72" spans="1:13" ht="27.95" customHeight="1">
      <c r="A72" s="166" t="s">
        <v>68</v>
      </c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5" sqref="B15:C1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SAC2-DS-PO-0385</v>
      </c>
      <c r="C2" s="184" t="s">
        <v>70</v>
      </c>
      <c r="D2" s="184"/>
      <c r="E2" s="184"/>
      <c r="F2" s="184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46235</v>
      </c>
      <c r="C3" s="47"/>
      <c r="D3" s="48"/>
      <c r="E3" s="185" t="s">
        <v>72</v>
      </c>
      <c r="F3" s="185"/>
      <c r="G3" s="185"/>
      <c r="H3" s="185"/>
      <c r="I3" s="49"/>
    </row>
    <row r="4" spans="1:13" s="51" customFormat="1" ht="28.5" customHeight="1" thickTop="1">
      <c r="A4" s="186" t="s">
        <v>73</v>
      </c>
      <c r="B4" s="188" t="s">
        <v>74</v>
      </c>
      <c r="C4" s="189"/>
      <c r="D4" s="192" t="s">
        <v>75</v>
      </c>
      <c r="E4" s="192" t="s">
        <v>76</v>
      </c>
      <c r="F4" s="194" t="str">
        <f>'PO 1st page'!C9</f>
        <v>SAMOO(Samoo Al Bahr Contracting Est.)</v>
      </c>
      <c r="G4" s="195"/>
      <c r="H4" s="196" t="s">
        <v>77</v>
      </c>
      <c r="K4" s="52"/>
      <c r="L4" s="52"/>
      <c r="M4" s="52"/>
    </row>
    <row r="5" spans="1:13" s="51" customFormat="1" ht="21.95" customHeight="1">
      <c r="A5" s="187"/>
      <c r="B5" s="190"/>
      <c r="C5" s="191"/>
      <c r="D5" s="193"/>
      <c r="E5" s="193"/>
      <c r="F5" s="53" t="s">
        <v>78</v>
      </c>
      <c r="G5" s="53" t="s">
        <v>43</v>
      </c>
      <c r="H5" s="197"/>
      <c r="K5" s="52"/>
      <c r="L5" s="52"/>
      <c r="M5" s="52"/>
    </row>
    <row r="6" spans="1:13" s="51" customFormat="1" ht="32.1" customHeight="1">
      <c r="A6" s="80">
        <f t="shared" ref="A6:A7" si="0">ROW(A1)</f>
        <v>1</v>
      </c>
      <c r="B6" s="180" t="str">
        <f>CONCATENATE(MRS!B6," ",MRS!D6)</f>
        <v xml:space="preserve">Aramco Third Party Inspection for A-Frame (Pipe Stand) </v>
      </c>
      <c r="C6" s="181"/>
      <c r="D6" s="81" t="str">
        <f>MRS!G6</f>
        <v>EA</v>
      </c>
      <c r="E6" s="82">
        <f>MRS!H6</f>
        <v>6</v>
      </c>
      <c r="F6" s="83">
        <f>MRS!I6</f>
        <v>335</v>
      </c>
      <c r="G6" s="84">
        <f>MRS!J6</f>
        <v>2010</v>
      </c>
      <c r="H6" s="84" t="str">
        <f>MRS!L6</f>
        <v>One time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180" t="str">
        <f>CONCATENATE(MRS!B7," ",MRS!D7)</f>
        <v xml:space="preserve">Aramco Third Party Inspection for Pipe Stand </v>
      </c>
      <c r="C7" s="181"/>
      <c r="D7" s="81" t="str">
        <f>MRS!G7</f>
        <v>EA</v>
      </c>
      <c r="E7" s="82">
        <f>MRS!H7</f>
        <v>11</v>
      </c>
      <c r="F7" s="83">
        <f>MRS!I7</f>
        <v>335</v>
      </c>
      <c r="G7" s="84">
        <f>MRS!J7</f>
        <v>3685</v>
      </c>
      <c r="H7" s="84" t="str">
        <f>MRS!L7</f>
        <v>"</v>
      </c>
      <c r="K7" s="85"/>
      <c r="L7" s="86"/>
      <c r="M7" s="52"/>
    </row>
    <row r="8" spans="1:13" s="51" customFormat="1" ht="32.1" customHeight="1">
      <c r="A8" s="87"/>
      <c r="B8" s="180"/>
      <c r="C8" s="181"/>
      <c r="D8" s="81"/>
      <c r="E8" s="82"/>
      <c r="F8" s="83"/>
      <c r="G8" s="84"/>
      <c r="H8" s="84"/>
      <c r="K8" s="52"/>
      <c r="L8" s="52"/>
      <c r="M8" s="52"/>
    </row>
    <row r="9" spans="1:13" s="51" customFormat="1" ht="32.1" customHeight="1">
      <c r="A9" s="87"/>
      <c r="B9" s="180"/>
      <c r="C9" s="181"/>
      <c r="D9" s="81"/>
      <c r="E9" s="82"/>
      <c r="F9" s="83"/>
      <c r="G9" s="84"/>
      <c r="H9" s="84"/>
    </row>
    <row r="10" spans="1:13" s="51" customFormat="1" ht="32.1" customHeight="1">
      <c r="A10" s="87"/>
      <c r="B10" s="180"/>
      <c r="C10" s="181"/>
      <c r="D10" s="81"/>
      <c r="E10" s="82"/>
      <c r="F10" s="83"/>
      <c r="G10" s="84"/>
      <c r="H10" s="84"/>
    </row>
    <row r="11" spans="1:13" s="51" customFormat="1" ht="32.1" customHeight="1">
      <c r="A11" s="87"/>
      <c r="B11" s="180"/>
      <c r="C11" s="181"/>
      <c r="D11" s="81"/>
      <c r="E11" s="82"/>
      <c r="F11" s="83"/>
      <c r="G11" s="84"/>
      <c r="H11" s="84"/>
    </row>
    <row r="12" spans="1:13" s="51" customFormat="1" ht="32.1" customHeight="1">
      <c r="A12" s="87"/>
      <c r="B12" s="180"/>
      <c r="C12" s="181"/>
      <c r="D12" s="81"/>
      <c r="E12" s="82"/>
      <c r="F12" s="83"/>
      <c r="G12" s="84"/>
      <c r="H12" s="92"/>
    </row>
    <row r="13" spans="1:13" s="51" customFormat="1" ht="32.1" customHeight="1">
      <c r="A13" s="87"/>
      <c r="B13" s="180"/>
      <c r="C13" s="181"/>
      <c r="D13" s="81"/>
      <c r="E13" s="82"/>
      <c r="F13" s="83"/>
      <c r="G13" s="84"/>
      <c r="H13" s="92"/>
    </row>
    <row r="14" spans="1:13" s="51" customFormat="1" ht="32.1" customHeight="1">
      <c r="A14" s="87"/>
      <c r="B14" s="180"/>
      <c r="C14" s="181"/>
      <c r="D14" s="81"/>
      <c r="E14" s="82"/>
      <c r="F14" s="83"/>
      <c r="G14" s="84"/>
      <c r="H14" s="92"/>
    </row>
    <row r="15" spans="1:13" s="51" customFormat="1" ht="32.1" customHeight="1">
      <c r="A15" s="87"/>
      <c r="B15" s="180"/>
      <c r="C15" s="181"/>
      <c r="D15" s="81"/>
      <c r="E15" s="82"/>
      <c r="F15" s="83"/>
      <c r="G15" s="84"/>
      <c r="H15" s="92"/>
    </row>
    <row r="16" spans="1:13" s="51" customFormat="1" ht="32.1" customHeight="1">
      <c r="A16" s="87"/>
      <c r="B16" s="180"/>
      <c r="C16" s="181"/>
      <c r="D16" s="81"/>
      <c r="E16" s="82"/>
      <c r="F16" s="83"/>
      <c r="G16" s="84"/>
      <c r="H16" s="92"/>
    </row>
    <row r="17" spans="1:13" s="51" customFormat="1" ht="32.1" customHeight="1">
      <c r="A17" s="87"/>
      <c r="B17" s="182"/>
      <c r="C17" s="183"/>
      <c r="D17" s="88"/>
      <c r="E17" s="89"/>
      <c r="F17" s="90"/>
      <c r="G17" s="91"/>
      <c r="H17" s="92"/>
    </row>
    <row r="18" spans="1:13" s="51" customFormat="1" ht="23.1" customHeight="1">
      <c r="A18" s="176" t="s">
        <v>79</v>
      </c>
      <c r="B18" s="177"/>
      <c r="C18" s="177"/>
      <c r="D18" s="177"/>
      <c r="E18" s="177"/>
      <c r="F18" s="177"/>
      <c r="G18" s="54">
        <f>SUM(G6:G17)</f>
        <v>5695</v>
      </c>
      <c r="H18" s="55"/>
    </row>
    <row r="19" spans="1:13" s="51" customFormat="1" ht="23.1" customHeight="1">
      <c r="A19" s="176" t="s">
        <v>42</v>
      </c>
      <c r="B19" s="177"/>
      <c r="C19" s="177"/>
      <c r="D19" s="177"/>
      <c r="E19" s="177"/>
      <c r="F19" s="177"/>
      <c r="G19" s="54">
        <f>+G18*0.15</f>
        <v>854.25</v>
      </c>
      <c r="H19" s="55"/>
    </row>
    <row r="20" spans="1:13" s="51" customFormat="1" ht="24.95" customHeight="1" thickBot="1">
      <c r="A20" s="178" t="s">
        <v>80</v>
      </c>
      <c r="B20" s="179"/>
      <c r="C20" s="179"/>
      <c r="D20" s="179"/>
      <c r="E20" s="179"/>
      <c r="F20" s="179"/>
      <c r="G20" s="56">
        <f>G19+G18</f>
        <v>6549.25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SAMOO-DAESHIN-MT-49-2026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66" t="s">
        <v>82</v>
      </c>
      <c r="B24" s="166"/>
      <c r="C24" s="166"/>
      <c r="D24" s="166"/>
      <c r="E24" s="166"/>
      <c r="F24" s="166"/>
      <c r="G24" s="166"/>
      <c r="H24" s="166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2026-08-04T14:37:28Z</cp:lastPrinted>
  <dcterms:created xsi:type="dcterms:W3CDTF">2024-10-20T11:50:19Z</dcterms:created>
  <dcterms:modified xsi:type="dcterms:W3CDTF">2026-08-04T14:38:39Z</dcterms:modified>
</cp:coreProperties>
</file>