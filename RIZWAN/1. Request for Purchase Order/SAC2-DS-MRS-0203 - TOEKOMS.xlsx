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BB0A670-EA9C-4EB2-AE5D-ECAB27343DF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H7" i="4"/>
  <c r="J7" i="1"/>
  <c r="J7" i="2" s="1"/>
  <c r="G7" i="4" s="1"/>
  <c r="H6" i="4"/>
  <c r="J8" i="2"/>
  <c r="I8" i="2"/>
  <c r="H8" i="2"/>
  <c r="G8" i="2"/>
  <c r="I7" i="2"/>
  <c r="F7" i="4" s="1"/>
  <c r="H7" i="2"/>
  <c r="E7" i="4" s="1"/>
  <c r="G7" i="2"/>
  <c r="D7" i="4" s="1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<sst xmlns="http://schemas.openxmlformats.org/spreadsheetml/2006/main" count="177" uniqueCount="137">
  <si>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</si>
  <si>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</si>
  <si>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</si>
  <si>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</si>
  <si>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</si>
  <si>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</si>
  <si>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</si>
  <si>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</si>
  <si>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</si>
  <si>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</si>
  <si>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</si>
  <si>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</si>
  <si>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</si>
  <si>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</si>
  <si>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</si>
  <si>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</si>
  <si>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</si>
  <si>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</si>
  <si>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</si>
  <si>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</si>
  <si>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</si>
  <si>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</si>
  <si>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</si>
  <si>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</si>
  <si>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</si>
  <si>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</si>
  <si>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</si>
  <si>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</si>
  <si>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</si>
  <si>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</si>
  <si>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</si>
  <si>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</si>
  <si>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</si>
  <si>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</si>
  <si>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</si>
  <si>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</si>
  <si>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</si>
  <si>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</si>
  <si>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</si>
  <si>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</si>
  <si>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</si>
  <si>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</si>
  <si>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</si>
  <si>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</si>
  <si>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</si>
  <si>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</si>
  <si>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</si>
  <si>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</si>
  <si>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</si>
  <si>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</si>
  <si>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</si>
  <si>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</si>
  <si>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</si>
  <si>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</si>
  <si>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</si>
  <si>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</si>
  <si>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</si>
  <si>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</si>
  <si>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</si>
  <si>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</si>
  <si>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</si>
  <si>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</si>
  <si>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</si>
  <si>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</si>
  <si>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</si>
  <si>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</si>
  <si>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</si>
  <si>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</si>
  <si>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</si>
  <si>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</si>
  <si>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</si>
  <si>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</si>
  <si>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</si>
  <si>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</si>
  <si>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</si>
  <si>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</si>
  <si>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</si>
  <si>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</si>
  <si>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</si>
  <si>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</si>
  <si>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</si>
  <si>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</si>
  <si>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</si>
  <si>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</si>
  <si>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</si>
  <si>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</si>
  <si>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</si>
  <si>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</si>
  <si>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</si>
  <si>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</si>
  <si>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</si>
  <si>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</si>
  <si>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</si>
  <si>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</si>
  <si>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</si>
  <si>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</si>
  <si>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</si>
  <si>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</si>
  <si>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</si>
  <si>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</si>
  <si>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</si>
  <si>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</si>
  <si>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</si>
  <si>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</si>
  <si>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</si>
  <si>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</si>
  <si>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TCO</t>
  </si>
  <si>
    <t>TCO(Toekoms Contracting Company)</t>
  </si>
  <si>
    <t>Sales Manager</t>
  </si>
  <si>
    <t>2055104793</t>
  </si>
  <si>
    <t>Nazar Ahmed</t>
  </si>
  <si>
    <t>+966 54 3677555 / email:nazar@toekomsksa.com</t>
  </si>
  <si>
    <t>Al Dakhal Al Mahdud Subdivision, Al Jubail, KSA 35513</t>
  </si>
  <si>
    <t>Mobile : +966 54 3677555</t>
  </si>
  <si>
    <t>Forklift</t>
  </si>
  <si>
    <t>Forklift Mob &amp; De-Mob. Charge</t>
  </si>
  <si>
    <t>BRANCH OF HYUNDAI ENG. &amp; CONST. CO., LTD.</t>
  </si>
  <si>
    <t>Branch of Hyundai Engineering and Const. Co., Ltd. (HDEC)</t>
  </si>
  <si>
    <t>311236456300003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</si>
  <si>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-MRS-0203</t>
    </r>
  </si>
  <si>
    <t>Zoomlion 10 Ton with Aramco Certified Operator</t>
  </si>
  <si>
    <t>TKMS/EQTN-2026-1384</t>
  </si>
  <si>
    <t>Zoomlion 10 ton Forklift with Aramco Certified Operator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</si>
  <si>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</si>
  <si>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</si>
  <si>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</si>
  <si>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</si>
  <si>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</si>
  <si>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</si>
  <si>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</si>
  <si>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</si>
  <si>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</si>
  <si>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</si>
  <si>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</si>
  <si>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TOEKOMS CONTRACTING COMPANY</t>
  </si>
  <si>
    <t>14748859000103</t>
  </si>
  <si>
    <t>SA0610000014748859000103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</si>
</sst>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14" fillId="3" borderId="0" xfId="5" quotePrefix="1" applyFont="1" applyFill="1"/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25" t="s">
        <v>98</v>
      </c>
      <c r="K1" s="126"/>
      <c r="L1" s="127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28" t="s">
        <v>101</v>
      </c>
      <c r="K2" s="129"/>
      <c r="L2" s="130"/>
    </row>
    <row r="3" spans="1:19" ht="20.100000000000001" customHeight="1">
      <c r="A3" s="3" t="s">
        <v>119</v>
      </c>
      <c r="B3" s="102"/>
      <c r="C3" s="102"/>
      <c r="D3" s="102"/>
      <c r="E3" s="131">
        <f>+L3</f>
        <v>46032</v>
      </c>
      <c r="F3" s="131"/>
      <c r="G3" s="131"/>
      <c r="H3" s="131"/>
      <c r="I3" s="131"/>
      <c r="J3" s="102"/>
      <c r="K3" s="102"/>
      <c r="L3" s="123">
        <v>46032</v>
      </c>
      <c r="M3" s="4"/>
    </row>
    <row r="4" spans="1:19" ht="15.95" customHeight="1">
      <c r="A4" s="132" t="s">
        <v>1</v>
      </c>
      <c r="B4" s="133" t="s">
        <v>2</v>
      </c>
      <c r="C4" s="133"/>
      <c r="D4" s="134" t="s">
        <v>3</v>
      </c>
      <c r="E4" s="135"/>
      <c r="F4" s="136"/>
      <c r="G4" s="140" t="s">
        <v>4</v>
      </c>
      <c r="H4" s="142" t="s">
        <v>5</v>
      </c>
      <c r="I4" s="142" t="s">
        <v>94</v>
      </c>
      <c r="J4" s="132" t="s">
        <v>95</v>
      </c>
      <c r="K4" s="142" t="s">
        <v>0</v>
      </c>
      <c r="L4" s="133" t="s">
        <v>6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114</v>
      </c>
      <c r="C6" s="145"/>
      <c r="D6" s="146" t="s">
        <v>120</v>
      </c>
      <c r="E6" s="147"/>
      <c r="F6" s="148"/>
      <c r="G6" s="112" t="s">
        <v>89</v>
      </c>
      <c r="H6" s="113">
        <v>1</v>
      </c>
      <c r="I6" s="114">
        <v>17000</v>
      </c>
      <c r="J6" s="114">
        <f>H6*I6</f>
        <v>17000</v>
      </c>
      <c r="K6" s="115" t="s">
        <v>106</v>
      </c>
      <c r="L6" s="116" t="s">
        <v>96</v>
      </c>
      <c r="S6" s="107"/>
    </row>
    <row r="7" spans="1:19" ht="22.5" customHeight="1">
      <c r="A7" s="5">
        <f t="shared" si="0"/>
        <v>2</v>
      </c>
      <c r="B7" s="144" t="s">
        <v>115</v>
      </c>
      <c r="C7" s="145"/>
      <c r="D7" s="149" t="s">
        <v>103</v>
      </c>
      <c r="E7" s="147"/>
      <c r="F7" s="148"/>
      <c r="G7" s="112" t="s">
        <v>104</v>
      </c>
      <c r="H7" s="113">
        <v>1</v>
      </c>
      <c r="I7" s="114">
        <v>5000</v>
      </c>
      <c r="J7" s="114">
        <f>H7*I7</f>
        <v>5000</v>
      </c>
      <c r="K7" s="115"/>
      <c r="L7" s="116" t="s">
        <v>105</v>
      </c>
      <c r="S7" s="107"/>
    </row>
    <row r="8" spans="1:19" ht="22.5" customHeight="1">
      <c r="A8" s="5">
        <f t="shared" si="0"/>
        <v>3</v>
      </c>
      <c r="B8" s="144"/>
      <c r="C8" s="145"/>
      <c r="D8" s="149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7</v>
      </c>
      <c r="B16" s="153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22000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7" t="s">
        <v>16</v>
      </c>
      <c r="Q21" s="157" t="s">
        <v>17</v>
      </c>
    </row>
    <row r="22" spans="1:22" ht="18" customHeight="1">
      <c r="O22" s="18" t="s">
        <v>18</v>
      </c>
      <c r="P22" s="158"/>
      <c r="Q22" s="158"/>
      <c r="S22" s="154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20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20</v>
      </c>
      <c r="P46" s="157" t="s">
        <v>20</v>
      </c>
      <c r="Q46" s="157" t="s">
        <v>20</v>
      </c>
      <c r="T46" s="157" t="s">
        <v>21</v>
      </c>
      <c r="U46" s="157" t="s">
        <v>12</v>
      </c>
      <c r="V46" s="157" t="s">
        <v>20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20</v>
      </c>
      <c r="P50" s="157" t="s">
        <v>20</v>
      </c>
      <c r="Q50" s="157" t="s">
        <v>20</v>
      </c>
      <c r="T50" s="157" t="s">
        <v>12</v>
      </c>
      <c r="U50" s="157" t="s">
        <v>21</v>
      </c>
      <c r="V50" s="157" t="s">
        <v>20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0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2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SAC2-DS-MRS-0203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46032</v>
      </c>
    </row>
    <row r="4" spans="1:18" ht="15.95" customHeight="1">
      <c r="A4" s="164" t="s">
        <v>1</v>
      </c>
      <c r="B4" s="165" t="s">
        <v>22</v>
      </c>
      <c r="C4" s="165"/>
      <c r="D4" s="164" t="s">
        <v>3</v>
      </c>
      <c r="E4" s="164"/>
      <c r="F4" s="164"/>
      <c r="G4" s="165" t="s">
        <v>4</v>
      </c>
      <c r="H4" s="164" t="s">
        <v>90</v>
      </c>
      <c r="I4" s="164" t="s">
        <v>23</v>
      </c>
      <c r="J4" s="164" t="s">
        <v>24</v>
      </c>
      <c r="K4" s="165" t="s">
        <v>6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Forklift</v>
      </c>
      <c r="C6" s="167"/>
      <c r="D6" s="168" t="str">
        <f>MRS!D6</f>
        <v>Zoomlion 10 Ton with Aramco Certified Operator</v>
      </c>
      <c r="E6" s="169"/>
      <c r="F6" s="170"/>
      <c r="G6" s="104" t="str">
        <f>MRS!G6</f>
        <v>Month</v>
      </c>
      <c r="H6" s="104">
        <f>MRS!H6</f>
        <v>1</v>
      </c>
      <c r="I6" s="105">
        <f>MRS!I6</f>
        <v>17000</v>
      </c>
      <c r="J6" s="105">
        <f>MRS!J6</f>
        <v>17000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6" t="str">
        <f>MRS!B7</f>
        <v>Forklift Mob &amp; De-Mob. Charge</v>
      </c>
      <c r="C7" s="167"/>
      <c r="D7" s="168" t="str">
        <f>MRS!D7</f>
        <v>Mob. &amp; De-Mob. / per unit - lump sum</v>
      </c>
      <c r="E7" s="169"/>
      <c r="F7" s="170"/>
      <c r="G7" s="104" t="str">
        <f>MRS!G7</f>
        <v>L / S</v>
      </c>
      <c r="H7" s="104">
        <f>MRS!H7</f>
        <v>1</v>
      </c>
      <c r="I7" s="105">
        <f>MRS!I7</f>
        <v>5000</v>
      </c>
      <c r="J7" s="105">
        <f>MRS!J7</f>
        <v>5000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H26" sqref="H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107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77">
        <f>MRS!L3</f>
        <v>46032</v>
      </c>
      <c r="L10" s="178"/>
      <c r="M10" s="178"/>
    </row>
    <row r="11" spans="2:13" s="39" customFormat="1">
      <c r="B11" s="72"/>
      <c r="C11" s="75" t="s">
        <v>33</v>
      </c>
      <c r="D11" s="76" t="s">
        <v>118</v>
      </c>
      <c r="J11" s="39" t="s">
        <v>34</v>
      </c>
      <c r="K11" s="179" t="str">
        <f>SUBSTITUTE(SUBSTITUTE(+MRS!A3,"  MRS No : ",""),"-MRS","-PO")</f>
        <v>SAC2-DS-PO-0203</v>
      </c>
      <c r="L11" s="179"/>
      <c r="M11" s="179"/>
    </row>
    <row r="12" spans="2:13" s="39" customFormat="1">
      <c r="B12" s="72"/>
      <c r="C12" s="75" t="s">
        <v>35</v>
      </c>
      <c r="D12" s="39" t="s">
        <v>110</v>
      </c>
      <c r="J12" s="39" t="s">
        <v>36</v>
      </c>
    </row>
    <row r="13" spans="2:13" s="39" customFormat="1">
      <c r="B13" s="72"/>
      <c r="C13" s="77"/>
      <c r="D13" s="76" t="s">
        <v>111</v>
      </c>
      <c r="J13" s="39" t="s">
        <v>37</v>
      </c>
    </row>
    <row r="14" spans="2:13" s="39" customFormat="1">
      <c r="B14" s="72"/>
      <c r="C14" s="77" t="s">
        <v>112</v>
      </c>
      <c r="J14" s="39" t="s">
        <v>38</v>
      </c>
      <c r="K14" s="39" t="s">
        <v>121</v>
      </c>
    </row>
    <row r="15" spans="2:13" s="39" customFormat="1">
      <c r="B15" s="72"/>
      <c r="C15" s="77" t="s">
        <v>113</v>
      </c>
      <c r="J15" s="39" t="s">
        <v>39</v>
      </c>
      <c r="K15" s="78">
        <v>46032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207" t="s">
        <v>122</v>
      </c>
      <c r="H26" s="210"/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4" t="s">
        <v>96</v>
      </c>
      <c r="G29" s="184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4"/>
      <c r="G30" s="184"/>
    </row>
    <row r="31" spans="2:13" ht="12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102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123</v>
      </c>
    </row>
    <row r="54" spans="2:16" ht="12" customHeight="1">
      <c r="B54" s="84" t="s">
        <v>64</v>
      </c>
      <c r="C54" s="208" t="s">
        <v>124</v>
      </c>
      <c r="F54" s="26" t="s">
        <v>134</v>
      </c>
      <c r="P54" s="26" t="str">
        <f>UPPER(F54)</f>
        <v>TOEKOMS CONTRACTING COMPANY</v>
      </c>
    </row>
    <row r="55" spans="2:16" ht="12" customHeight="1">
      <c r="B55" s="84" t="s">
        <v>64</v>
      </c>
      <c r="C55" s="208" t="s">
        <v>125</v>
      </c>
      <c r="F55" s="209" t="s">
        <v>135</v>
      </c>
    </row>
    <row r="56" spans="2:16" ht="12" customHeight="1">
      <c r="B56" s="84" t="s">
        <v>64</v>
      </c>
      <c r="C56" s="208" t="s">
        <v>126</v>
      </c>
      <c r="F56" s="209" t="s">
        <v>136</v>
      </c>
    </row>
    <row r="57" spans="2:16" ht="12" customHeight="1">
      <c r="B57" s="84" t="s">
        <v>64</v>
      </c>
      <c r="C57" s="208" t="s">
        <v>127</v>
      </c>
      <c r="F57" s="26" t="s">
        <v>128</v>
      </c>
    </row>
    <row r="58" spans="2:16" ht="12" customHeight="1">
      <c r="B58" s="84" t="s">
        <v>64</v>
      </c>
      <c r="C58" s="208" t="s">
        <v>129</v>
      </c>
      <c r="F58" s="26" t="s">
        <v>130</v>
      </c>
    </row>
    <row r="59" spans="2:16" ht="12" customHeight="1">
      <c r="B59" s="84" t="s">
        <v>64</v>
      </c>
      <c r="C59" s="208" t="s">
        <v>131</v>
      </c>
      <c r="F59" s="26" t="s">
        <v>132</v>
      </c>
    </row>
    <row r="60" spans="2:16" ht="12" customHeight="1">
      <c r="B60" s="84"/>
      <c r="C60" s="208" t="s">
        <v>133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5" customHeight="1">
      <c r="B67" s="26" t="s">
        <v>68</v>
      </c>
      <c r="J67" s="26" t="s">
        <v>69</v>
      </c>
      <c r="K67" s="22" t="str">
        <f>UPPER(D12)</f>
        <v>NAZAR AHMED</v>
      </c>
    </row>
    <row r="68" spans="1:13" ht="15" customHeight="1">
      <c r="B68" s="26" t="s">
        <v>70</v>
      </c>
      <c r="J68" s="26" t="s">
        <v>71</v>
      </c>
      <c r="K68" s="22" t="s">
        <v>108</v>
      </c>
    </row>
    <row r="69" spans="1:13" ht="14.25" customHeight="1">
      <c r="B69" s="26" t="s">
        <v>72</v>
      </c>
      <c r="J69" s="26" t="s">
        <v>73</v>
      </c>
    </row>
    <row r="70" spans="1:13" s="28" customFormat="1" ht="15" customHeight="1">
      <c r="B70" s="25" t="s">
        <v>117</v>
      </c>
      <c r="J70" s="25" t="str">
        <f>C9</f>
        <v>TCO(Toekoms Contracting Company)</v>
      </c>
    </row>
    <row r="71" spans="1:13" ht="27.95" customHeight="1">
      <c r="A71" s="176" t="s">
        <v>74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SAC2-DS-PO-0203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46032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TCO(Toekoms Contracting Company)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CONCATENATE(MRS!B6," ",MRS!D6)</f>
        <v>Forklift Zoomlion 10 Ton with Aramco Certified Operator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17000</v>
      </c>
      <c r="G6" s="89">
        <f>+'MRS LIST'!J6</f>
        <v>17000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Forklift Mob &amp; De-Mob. Charge</v>
      </c>
      <c r="C7" s="202"/>
      <c r="D7" s="86" t="str">
        <f>+'MRS LIST'!G7</f>
        <v>L / S</v>
      </c>
      <c r="E7" s="87">
        <f>+'MRS LIST'!H7</f>
        <v>1</v>
      </c>
      <c r="F7" s="88">
        <f>+'MRS LIST'!I7</f>
        <v>5000</v>
      </c>
      <c r="G7" s="89">
        <f>+'MRS LIST'!J7</f>
        <v>5000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1"/>
      <c r="C8" s="20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22000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3300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25300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TKMS/EQTN-2026-1384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2026-01-10T11:31:19Z</cp:lastPrinted>
  <dcterms:created xsi:type="dcterms:W3CDTF">2024-10-20T11:50:19Z</dcterms:created>
  <dcterms:modified xsi:type="dcterms:W3CDTF">2026-01-10T11:33:29Z</dcterms:modified>
</cp:coreProperties>
</file>