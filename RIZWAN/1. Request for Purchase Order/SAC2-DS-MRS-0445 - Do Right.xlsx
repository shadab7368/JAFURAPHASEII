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BB8122A-5582-4342-AEAD-02D23DD4776E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26" i="3"/>
  <c r="B15" i="4"/>
  <c r="B14" i="4"/>
  <c r="B13" i="4"/>
  <c r="B12" i="4"/>
  <c r="B11" i="4"/>
  <c r="B10" i="4"/>
  <c r="B9" i="4"/>
  <c r="B8" i="4"/>
  <c r="B7" i="4"/>
  <c r="A15" i="1" l="1"/>
  <c r="A14" i="1"/>
  <c r="A13" i="1"/>
  <c r="A12" i="1"/>
  <c r="A11" i="1"/>
  <c r="A10" i="1"/>
  <c r="E3" i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J6" i="1" l="1"/>
  <c r="K10" i="3"/>
  <c r="G6" i="4" l="1"/>
  <c r="G16" i="4" s="1"/>
  <c r="F29" i="3" s="1"/>
  <c r="J18" i="1"/>
  <c r="A19" i="4"/>
  <c r="I6" i="2"/>
  <c r="H6" i="2"/>
  <c r="G6" i="2"/>
  <c r="D6" i="2"/>
  <c r="B6" i="2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7" i="1"/>
  <c r="A15" i="2" s="1"/>
  <c r="A16" i="1"/>
  <c r="A14" i="2" s="1"/>
  <c r="A13" i="2"/>
  <c r="A12" i="2"/>
  <c r="A11" i="2"/>
  <c r="A10" i="2"/>
  <c r="A9" i="1"/>
  <c r="A9" i="2" s="1"/>
  <c r="A8" i="1"/>
  <c r="A8" i="2" s="1"/>
  <c r="A7" i="1"/>
  <c r="A7" i="2" s="1"/>
  <c r="A6" i="1"/>
  <c r="A6" i="2" s="1"/>
  <c r="J6" i="2" l="1"/>
  <c r="G17" i="4" l="1"/>
  <c r="G18" i="4" l="1"/>
  <c r="F31" i="3" s="1"/>
  <c r="F30" i="3"/>
</calcChain>
</file>

<file path=xl/sharedStrings.xml><?xml version="1.0" encoding="utf-8"?>
<sst xmlns="http://schemas.openxmlformats.org/spreadsheetml/2006/main" count="169" uniqueCount="135">
  <si>
    <t>Vendor Name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</si>
  <si>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</si>
  <si>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</si>
  <si>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</si>
  <si>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</si>
  <si>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</si>
  <si>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</si>
  <si>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</si>
  <si>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</si>
  <si>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</si>
  <si>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</si>
  <si>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</si>
  <si>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</si>
  <si>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</si>
  <si>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</si>
  <si>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</si>
  <si>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</si>
  <si>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</si>
  <si>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</si>
  <si>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</si>
  <si>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</si>
  <si>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</si>
  <si>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</si>
  <si>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</si>
  <si>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</si>
  <si>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</si>
  <si>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</si>
  <si>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</si>
  <si>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</si>
  <si>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</si>
  <si>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</si>
  <si>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</si>
  <si>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</si>
  <si>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</si>
  <si>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</si>
  <si>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</si>
  <si>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</si>
  <si>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</si>
  <si>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</si>
  <si>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</si>
  <si>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</si>
  <si>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</si>
  <si>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</si>
  <si>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</si>
  <si>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</si>
  <si>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</si>
  <si>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</si>
  <si>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</si>
  <si>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</si>
  <si>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</si>
  <si>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</si>
  <si>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</si>
  <si>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</si>
  <si>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</si>
  <si>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</si>
  <si>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</si>
  <si>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</si>
  <si>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</si>
  <si>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</si>
  <si>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</si>
  <si>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</si>
  <si>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</si>
  <si>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</si>
  <si>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</si>
  <si>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</si>
  <si>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</si>
  <si>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</si>
  <si>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</si>
  <si>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</si>
  <si>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</si>
  <si>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</si>
  <si>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</si>
  <si>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</si>
  <si>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</si>
  <si>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</si>
  <si>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</si>
  <si>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</si>
  <si>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</si>
  <si>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</si>
  <si>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</si>
  <si>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4" type="noConversion"/>
  </si>
  <si>
    <t>Unit Price (SAR)
(Exclude VAT)</t>
    <phoneticPr fontId="7" type="noConversion"/>
  </si>
  <si>
    <t>Total Price (SAR)
(Exclude VAT)</t>
    <phoneticPr fontId="7" type="noConversion"/>
  </si>
  <si>
    <t>DAESHIN PLANT</t>
    <phoneticPr fontId="8" type="noConversion"/>
  </si>
  <si>
    <t xml:space="preserve">  PJT :  SACE2           </t>
    <phoneticPr fontId="8" type="noConversion"/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</si>
  <si>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</si>
  <si>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</si>
  <si>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</si>
  <si>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</si>
  <si>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</si>
  <si>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</si>
  <si>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</si>
  <si>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</si>
  <si>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</si>
  <si>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</si>
  <si>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</si>
  <si>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</si>
  <si>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</si>
  <si>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8" type="noConversion"/>
  </si>
  <si>
    <t xml:space="preserve"> VAT No. : </t>
    <phoneticPr fontId="8" type="noConversion"/>
  </si>
  <si>
    <t xml:space="preserve"> In Charge :</t>
    <phoneticPr fontId="8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</si>
  <si>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</si>
  <si>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</si>
  <si>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</si>
  <si>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</si>
  <si>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</si>
  <si>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</si>
  <si>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</si>
  <si>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</si>
  <si>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</si>
  <si>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</si>
  <si>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</si>
  <si>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</si>
  <si>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</si>
  <si>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</si>
  <si>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DRCE</t>
  </si>
  <si>
    <t>DRCE(Do Right Contracting Est)</t>
  </si>
  <si>
    <t>311663261800003</t>
  </si>
  <si>
    <t>Salman Farish</t>
  </si>
  <si>
    <t>+966 545977794 /  Email:info@doright.sa</t>
  </si>
  <si>
    <t>Mobile : +966 545977794</t>
  </si>
  <si>
    <t>4381 Janubiyyah , KSA</t>
  </si>
  <si>
    <t>1000789169940</t>
  </si>
  <si>
    <t>SA13 2000 0001 0007 8916 9940</t>
  </si>
  <si>
    <t>RIYAD BANK</t>
  </si>
  <si>
    <t>RIBLSARI</t>
  </si>
  <si>
    <t>Business Developer</t>
  </si>
  <si>
    <t>DORIGHT CONTRACTING</t>
  </si>
  <si>
    <t>One Time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</si>
  <si>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</si>
  <si>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-MRS-0445</t>
    </r>
  </si>
  <si>
    <t>Konica Minolta Copier</t>
  </si>
  <si>
    <t>Bizhub C361 with installation &amp; trolley</t>
  </si>
  <si>
    <t>Nos</t>
  </si>
  <si>
    <t>SAL-QTN-2026-00195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</si>
</sst>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31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42" fillId="3" borderId="0" xfId="5" quotePrefix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3" fillId="2" borderId="0" xfId="1" applyFill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6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168" fontId="3" fillId="0" borderId="16" xfId="0" quotePrefix="1" applyNumberFormat="1" applyFont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50" fillId="2" borderId="1" xfId="1" applyFont="1" applyFill="1" applyBorder="1" applyAlignment="1">
      <alignment horizontal="center" vertical="center"/>
    </xf>
    <xf numFmtId="0" fontId="50" fillId="2" borderId="2" xfId="1" applyFont="1" applyFill="1" applyBorder="1" applyAlignment="1">
      <alignment horizontal="center" vertical="center"/>
    </xf>
    <xf numFmtId="0" fontId="50" fillId="2" borderId="3" xfId="1" applyFont="1" applyFill="1" applyBorder="1" applyAlignment="1">
      <alignment horizontal="center" vertical="center"/>
    </xf>
    <xf numFmtId="0" fontId="51" fillId="2" borderId="4" xfId="1" applyFont="1" applyFill="1" applyBorder="1" applyAlignment="1">
      <alignment horizontal="center" vertical="center"/>
    </xf>
    <xf numFmtId="0" fontId="51" fillId="2" borderId="5" xfId="1" applyFont="1" applyFill="1" applyBorder="1" applyAlignment="1">
      <alignment horizontal="center" vertical="center"/>
    </xf>
    <xf numFmtId="0" fontId="51" fillId="2" borderId="6" xfId="1" applyFont="1" applyFill="1" applyBorder="1" applyAlignment="1">
      <alignment horizontal="center" vertical="center"/>
    </xf>
    <xf numFmtId="165" fontId="52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</cellXfs>
  <cellStyles count="31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2 2" xfId="28" xr:uid="{01578C3F-8F9E-42AD-A855-D81F0293BF0D}"/>
    <cellStyle name="쉼표 [0] 2 2 3" xfId="12" xr:uid="{9961464D-49CC-42FF-A79A-4236B21516A7}"/>
    <cellStyle name="쉼표 [0] 2 2 3 2" xfId="24" xr:uid="{D4D3392D-04F6-4083-BAEC-09B500E1C039}"/>
    <cellStyle name="쉼표 [0] 2 2 4" xfId="20" xr:uid="{0F1B4328-CAA3-47CA-A5A9-251113EF7B03}"/>
    <cellStyle name="쉼표 2" xfId="9" xr:uid="{F2A3A689-A30F-4FCA-9C51-F28F11796A46}"/>
    <cellStyle name="쉼표 2 2" xfId="18" xr:uid="{3B61A4FC-7502-4F0B-BBCD-9289E590F517}"/>
    <cellStyle name="쉼표 2 2 2" xfId="30" xr:uid="{A627ABC6-E455-4821-BB8F-DD7DA2F8BB75}"/>
    <cellStyle name="쉼표 2 3" xfId="14" xr:uid="{AD8851D0-F386-454F-9F4F-643E5BD4A6A6}"/>
    <cellStyle name="쉼표 2 3 2" xfId="26" xr:uid="{4142D74C-2291-4CAA-A3C3-9D57C0F95378}"/>
    <cellStyle name="쉼표 2 4" xfId="22" xr:uid="{BD9E04F6-3D7B-431B-8107-1C113D68F200}"/>
    <cellStyle name="표준 2 2" xfId="2" xr:uid="{12B761D3-4229-4E14-8168-D5975293A996}"/>
    <cellStyle name="표준 2 2 2" xfId="15" xr:uid="{F337407C-0FD2-46A6-95DF-C1E2DED6E687}"/>
    <cellStyle name="표준 2 2 2 2" xfId="27" xr:uid="{2E7253E1-7555-49F0-8C5D-CDDC14655E4E}"/>
    <cellStyle name="표준 2 2 3" xfId="11" xr:uid="{3AC3C823-B896-40EF-A224-30F2537C37BB}"/>
    <cellStyle name="표준 2 2 3 2" xfId="23" xr:uid="{14F2F017-6A11-4A8D-B344-72CF1A04601E}"/>
    <cellStyle name="표준 2 2 4" xfId="19" xr:uid="{DD3A8A31-41B6-4D2C-95C3-F0EC7D2D1131}"/>
    <cellStyle name="표준 2 3 2 2" xfId="5" xr:uid="{BD51BFCC-3D36-446B-BE80-7856DF8371E9}"/>
    <cellStyle name="표준 2 3 2 2 2" xfId="17" xr:uid="{B9B2D054-D5A8-450E-A1C1-80807A9BB7D4}"/>
    <cellStyle name="표준 2 3 2 2 2 2" xfId="29" xr:uid="{38CDDD11-AC1C-4F5F-8F0F-E0B6002A3F0E}"/>
    <cellStyle name="표준 2 3 2 2 3" xfId="13" xr:uid="{0947CE48-AB5D-4908-90F6-CDE2EB84A247}"/>
    <cellStyle name="표준 2 3 2 2 3 2" xfId="25" xr:uid="{3CDF9D11-62EB-40AE-81CC-8E0CF4656070}"/>
    <cellStyle name="표준 2 3 2 2 4" xfId="21" xr:uid="{A539C216-0DDC-46A6-BCC9-1355237D59B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18</xdr:row>
          <xdr:rowOff>239630</xdr:rowOff>
        </xdr:from>
        <xdr:to>
          <xdr:col>11</xdr:col>
          <xdr:colOff>1612231</xdr:colOff>
          <xdr:row>25</xdr:row>
          <xdr:rowOff>421221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124CF74F-9719-52F5-0BD8-4E4BFEB9CB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2:$Y$28" spid="_x0000_s12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44579" y="4972051"/>
              <a:ext cx="8269705" cy="25377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4"/>
  <sheetViews>
    <sheetView showGridLines="0" tabSelected="1" view="pageBreakPreview" topLeftCell="A6" zoomScale="95" zoomScaleNormal="95" zoomScaleSheetLayoutView="95" workbookViewId="0">
      <selection activeCell="P15" sqref="P1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11" t="s">
        <v>101</v>
      </c>
      <c r="B1" s="112"/>
      <c r="C1" s="97"/>
      <c r="D1" s="97"/>
      <c r="E1" s="97"/>
      <c r="F1" s="97"/>
      <c r="G1" s="1"/>
      <c r="J1" s="158" t="s">
        <v>83</v>
      </c>
      <c r="K1" s="159"/>
      <c r="L1" s="160"/>
    </row>
    <row r="2" spans="1:19" ht="20.100000000000001" customHeight="1">
      <c r="A2" s="3" t="s">
        <v>84</v>
      </c>
      <c r="B2" s="88"/>
      <c r="C2" s="88"/>
      <c r="D2" s="3" t="s">
        <v>102</v>
      </c>
      <c r="E2" s="88"/>
      <c r="F2" s="88"/>
      <c r="G2" s="88"/>
      <c r="H2" s="88"/>
      <c r="I2" s="4"/>
      <c r="J2" s="161" t="s">
        <v>85</v>
      </c>
      <c r="K2" s="162"/>
      <c r="L2" s="163"/>
    </row>
    <row r="3" spans="1:19" ht="20.100000000000001" customHeight="1">
      <c r="A3" s="3" t="s">
        <v>130</v>
      </c>
      <c r="B3" s="88"/>
      <c r="C3" s="88"/>
      <c r="D3" s="88"/>
      <c r="E3" s="164">
        <f>+L3+3</f>
        <v>46270</v>
      </c>
      <c r="F3" s="164"/>
      <c r="G3" s="164"/>
      <c r="H3" s="164"/>
      <c r="I3" s="164"/>
      <c r="J3" s="88"/>
      <c r="K3" s="88"/>
      <c r="L3" s="113">
        <v>46267</v>
      </c>
      <c r="M3" s="4"/>
    </row>
    <row r="4" spans="1:19" ht="15.95" customHeight="1">
      <c r="A4" s="165" t="s">
        <v>1</v>
      </c>
      <c r="B4" s="166" t="s">
        <v>2</v>
      </c>
      <c r="C4" s="166"/>
      <c r="D4" s="167" t="s">
        <v>3</v>
      </c>
      <c r="E4" s="168"/>
      <c r="F4" s="169"/>
      <c r="G4" s="173" t="s">
        <v>4</v>
      </c>
      <c r="H4" s="175" t="s">
        <v>5</v>
      </c>
      <c r="I4" s="175" t="s">
        <v>81</v>
      </c>
      <c r="J4" s="165" t="s">
        <v>82</v>
      </c>
      <c r="K4" s="175" t="s">
        <v>0</v>
      </c>
      <c r="L4" s="166" t="s">
        <v>6</v>
      </c>
    </row>
    <row r="5" spans="1:19" ht="15.95" customHeight="1">
      <c r="A5" s="165"/>
      <c r="B5" s="166"/>
      <c r="C5" s="166"/>
      <c r="D5" s="170"/>
      <c r="E5" s="171"/>
      <c r="F5" s="172"/>
      <c r="G5" s="174"/>
      <c r="H5" s="176"/>
      <c r="I5" s="176"/>
      <c r="J5" s="165"/>
      <c r="K5" s="176"/>
      <c r="L5" s="166"/>
    </row>
    <row r="6" spans="1:19" ht="22.5" customHeight="1">
      <c r="A6" s="5">
        <f t="shared" ref="A6:A15" si="0">ROW(A1)</f>
        <v>1</v>
      </c>
      <c r="B6" s="156" t="s">
        <v>131</v>
      </c>
      <c r="C6" s="157"/>
      <c r="D6" s="146" t="s">
        <v>132</v>
      </c>
      <c r="E6" s="147"/>
      <c r="F6" s="148"/>
      <c r="G6" s="98" t="s">
        <v>133</v>
      </c>
      <c r="H6" s="99">
        <v>2</v>
      </c>
      <c r="I6" s="100">
        <v>18500</v>
      </c>
      <c r="J6" s="100">
        <f>H6*I6</f>
        <v>37000</v>
      </c>
      <c r="K6" s="101" t="s">
        <v>115</v>
      </c>
      <c r="L6" s="123" t="s">
        <v>128</v>
      </c>
      <c r="S6" s="93"/>
    </row>
    <row r="7" spans="1:19" ht="22.5" customHeight="1">
      <c r="A7" s="5">
        <f t="shared" si="0"/>
        <v>2</v>
      </c>
      <c r="B7" s="156"/>
      <c r="C7" s="157"/>
      <c r="D7" s="146"/>
      <c r="E7" s="147"/>
      <c r="F7" s="148"/>
      <c r="G7" s="98"/>
      <c r="H7" s="99"/>
      <c r="I7" s="100"/>
      <c r="J7" s="100"/>
      <c r="K7" s="124"/>
      <c r="L7" s="123"/>
      <c r="S7" s="93"/>
    </row>
    <row r="8" spans="1:19" ht="22.5" customHeight="1">
      <c r="A8" s="5">
        <f t="shared" si="0"/>
        <v>3</v>
      </c>
      <c r="B8" s="156"/>
      <c r="C8" s="157"/>
      <c r="D8" s="146"/>
      <c r="E8" s="147"/>
      <c r="F8" s="148"/>
      <c r="G8" s="98"/>
      <c r="H8" s="99"/>
      <c r="I8" s="100"/>
      <c r="J8" s="100"/>
      <c r="K8" s="124"/>
      <c r="L8" s="123"/>
      <c r="S8" s="93"/>
    </row>
    <row r="9" spans="1:19" ht="22.5" customHeight="1">
      <c r="A9" s="5">
        <f t="shared" si="0"/>
        <v>4</v>
      </c>
      <c r="B9" s="156"/>
      <c r="C9" s="157"/>
      <c r="D9" s="146"/>
      <c r="E9" s="147"/>
      <c r="F9" s="148"/>
      <c r="G9" s="98"/>
      <c r="H9" s="99"/>
      <c r="I9" s="100"/>
      <c r="J9" s="100"/>
      <c r="K9" s="124"/>
      <c r="L9" s="123"/>
      <c r="S9" s="93"/>
    </row>
    <row r="10" spans="1:19" ht="22.5" customHeight="1">
      <c r="A10" s="5">
        <f t="shared" si="0"/>
        <v>5</v>
      </c>
      <c r="B10" s="156"/>
      <c r="C10" s="157"/>
      <c r="D10" s="146"/>
      <c r="E10" s="147"/>
      <c r="F10" s="148"/>
      <c r="G10" s="98"/>
      <c r="H10" s="99"/>
      <c r="I10" s="100"/>
      <c r="J10" s="100"/>
      <c r="K10" s="124"/>
      <c r="L10" s="123"/>
      <c r="S10" s="93"/>
    </row>
    <row r="11" spans="1:19" ht="22.5" customHeight="1">
      <c r="A11" s="5">
        <f t="shared" si="0"/>
        <v>6</v>
      </c>
      <c r="B11" s="156"/>
      <c r="C11" s="157"/>
      <c r="D11" s="146"/>
      <c r="E11" s="147"/>
      <c r="F11" s="148"/>
      <c r="G11" s="98"/>
      <c r="H11" s="99"/>
      <c r="I11" s="100"/>
      <c r="J11" s="100"/>
      <c r="K11" s="124"/>
      <c r="L11" s="123"/>
      <c r="S11" s="93"/>
    </row>
    <row r="12" spans="1:19" ht="22.5" customHeight="1">
      <c r="A12" s="5">
        <f t="shared" si="0"/>
        <v>7</v>
      </c>
      <c r="B12" s="156"/>
      <c r="C12" s="157"/>
      <c r="D12" s="146"/>
      <c r="E12" s="147"/>
      <c r="F12" s="148"/>
      <c r="G12" s="98"/>
      <c r="H12" s="99"/>
      <c r="I12" s="100"/>
      <c r="J12" s="100"/>
      <c r="K12" s="124"/>
      <c r="L12" s="123"/>
      <c r="S12" s="93"/>
    </row>
    <row r="13" spans="1:19" ht="22.5" customHeight="1">
      <c r="A13" s="5">
        <f t="shared" si="0"/>
        <v>8</v>
      </c>
      <c r="B13" s="156"/>
      <c r="C13" s="157"/>
      <c r="D13" s="146"/>
      <c r="E13" s="147"/>
      <c r="F13" s="148"/>
      <c r="G13" s="98"/>
      <c r="H13" s="99"/>
      <c r="I13" s="100"/>
      <c r="J13" s="100"/>
      <c r="K13" s="124"/>
      <c r="L13" s="123"/>
      <c r="S13" s="93"/>
    </row>
    <row r="14" spans="1:19" ht="22.5" customHeight="1">
      <c r="A14" s="5">
        <f t="shared" si="0"/>
        <v>9</v>
      </c>
      <c r="B14" s="156"/>
      <c r="C14" s="157"/>
      <c r="D14" s="146"/>
      <c r="E14" s="147"/>
      <c r="F14" s="148"/>
      <c r="G14" s="98"/>
      <c r="H14" s="99"/>
      <c r="I14" s="100"/>
      <c r="J14" s="100"/>
      <c r="K14" s="124"/>
      <c r="L14" s="123"/>
      <c r="S14" s="93"/>
    </row>
    <row r="15" spans="1:19" ht="22.5" customHeight="1">
      <c r="A15" s="5">
        <f t="shared" si="0"/>
        <v>10</v>
      </c>
      <c r="B15" s="156"/>
      <c r="C15" s="157"/>
      <c r="D15" s="146"/>
      <c r="E15" s="147"/>
      <c r="F15" s="148"/>
      <c r="G15" s="98"/>
      <c r="H15" s="99"/>
      <c r="I15" s="100"/>
      <c r="J15" s="100"/>
      <c r="K15" s="124"/>
      <c r="L15" s="123"/>
      <c r="S15" s="93"/>
    </row>
    <row r="16" spans="1:19" ht="22.5" hidden="1" customHeight="1">
      <c r="A16" s="5">
        <f>ROW(A9)</f>
        <v>9</v>
      </c>
      <c r="B16" s="156"/>
      <c r="C16" s="157"/>
      <c r="D16" s="146"/>
      <c r="E16" s="147"/>
      <c r="F16" s="148"/>
      <c r="G16" s="98"/>
      <c r="H16" s="99"/>
      <c r="I16" s="100"/>
      <c r="J16" s="100"/>
      <c r="K16" s="124" t="s">
        <v>129</v>
      </c>
      <c r="L16" s="123" t="s">
        <v>129</v>
      </c>
      <c r="S16" s="93"/>
    </row>
    <row r="17" spans="1:26" ht="22.5" hidden="1" customHeight="1">
      <c r="A17" s="5" t="e">
        <f>ROW(#REF!)</f>
        <v>#REF!</v>
      </c>
      <c r="B17" s="156"/>
      <c r="C17" s="157"/>
      <c r="D17" s="146"/>
      <c r="E17" s="147"/>
      <c r="F17" s="148"/>
      <c r="G17" s="98"/>
      <c r="H17" s="99"/>
      <c r="I17" s="100"/>
      <c r="J17" s="100"/>
      <c r="K17" s="124" t="s">
        <v>129</v>
      </c>
      <c r="L17" s="123" t="s">
        <v>129</v>
      </c>
      <c r="S17" s="93"/>
    </row>
    <row r="18" spans="1:26" ht="22.5" customHeight="1">
      <c r="A18" s="153" t="s">
        <v>7</v>
      </c>
      <c r="B18" s="154"/>
      <c r="C18" s="102"/>
      <c r="D18" s="103"/>
      <c r="E18" s="103"/>
      <c r="F18" s="103"/>
      <c r="G18" s="104"/>
      <c r="H18" s="104"/>
      <c r="I18" s="105" t="s">
        <v>8</v>
      </c>
      <c r="J18" s="100">
        <f>SUM(J6:J15)</f>
        <v>37000</v>
      </c>
      <c r="K18" s="124" t="s">
        <v>129</v>
      </c>
      <c r="L18" s="123" t="s">
        <v>129</v>
      </c>
    </row>
    <row r="19" spans="1:26" ht="20.100000000000001" customHeight="1">
      <c r="A19" s="6" t="s">
        <v>9</v>
      </c>
      <c r="B19" s="7"/>
      <c r="C19" s="7"/>
      <c r="D19" s="7"/>
      <c r="E19" s="7"/>
      <c r="F19" s="7"/>
      <c r="G19" s="7"/>
      <c r="H19" s="7"/>
      <c r="I19" s="7"/>
      <c r="J19" s="7"/>
      <c r="K19" s="8"/>
      <c r="L19" s="9"/>
    </row>
    <row r="20" spans="1:26" ht="18" customHeight="1">
      <c r="A20" s="114"/>
      <c r="J20" s="1"/>
      <c r="K20" s="1"/>
      <c r="O20" s="10"/>
      <c r="P20" s="10"/>
      <c r="Q20" s="10"/>
      <c r="R20" s="10"/>
      <c r="S20" s="10"/>
      <c r="T20" s="10"/>
      <c r="U20" s="10"/>
      <c r="V20" s="10"/>
      <c r="W20" s="10"/>
      <c r="Y20" s="181"/>
      <c r="Z20" s="10"/>
    </row>
    <row r="21" spans="1:26" ht="50.1" customHeight="1">
      <c r="Y21" s="182"/>
    </row>
    <row r="22" spans="1:26" ht="15" customHeight="1">
      <c r="O22" s="177" t="s">
        <v>103</v>
      </c>
      <c r="P22" s="183"/>
      <c r="Q22" s="183"/>
      <c r="R22" s="178"/>
      <c r="S22" s="116"/>
      <c r="T22" s="177" t="s">
        <v>104</v>
      </c>
      <c r="U22" s="183"/>
      <c r="V22" s="183"/>
      <c r="W22" s="183"/>
      <c r="X22" s="183"/>
      <c r="Y22" s="178"/>
    </row>
    <row r="23" spans="1:26" ht="15" customHeight="1">
      <c r="O23" s="155" t="s">
        <v>105</v>
      </c>
      <c r="P23" s="149" t="s">
        <v>106</v>
      </c>
      <c r="Q23" s="155" t="s">
        <v>107</v>
      </c>
      <c r="R23" s="149" t="s">
        <v>108</v>
      </c>
      <c r="S23" s="116"/>
      <c r="T23" s="155" t="s">
        <v>109</v>
      </c>
      <c r="U23" s="149" t="s">
        <v>110</v>
      </c>
      <c r="V23" s="177" t="s">
        <v>111</v>
      </c>
      <c r="W23" s="183"/>
      <c r="X23" s="178"/>
      <c r="Y23" s="149" t="s">
        <v>112</v>
      </c>
    </row>
    <row r="24" spans="1:26" ht="18" customHeight="1">
      <c r="O24" s="150"/>
      <c r="P24" s="151"/>
      <c r="Q24" s="150"/>
      <c r="R24" s="151"/>
      <c r="S24" s="117"/>
      <c r="T24" s="150"/>
      <c r="U24" s="151"/>
      <c r="V24" s="115" t="s">
        <v>105</v>
      </c>
      <c r="W24" s="184" t="s">
        <v>113</v>
      </c>
      <c r="X24" s="185"/>
      <c r="Y24" s="151"/>
    </row>
    <row r="25" spans="1:26" ht="50.1" customHeight="1">
      <c r="O25" s="11"/>
      <c r="P25" s="11"/>
      <c r="Q25" s="11"/>
      <c r="R25" s="11"/>
      <c r="S25" s="116"/>
      <c r="T25" s="11"/>
      <c r="U25" s="11"/>
      <c r="V25" s="11"/>
      <c r="W25" s="177"/>
      <c r="X25" s="178"/>
      <c r="Y25" s="118"/>
    </row>
    <row r="26" spans="1:26" ht="36" customHeight="1">
      <c r="W26" s="119"/>
      <c r="X26" s="179" t="s">
        <v>114</v>
      </c>
      <c r="Y26" s="110" t="s">
        <v>112</v>
      </c>
    </row>
    <row r="27" spans="1:26" ht="50.1" customHeight="1">
      <c r="O27" s="120"/>
      <c r="P27" s="120"/>
      <c r="Q27" s="120"/>
      <c r="R27" s="120"/>
      <c r="S27" s="120"/>
      <c r="T27" s="120"/>
      <c r="U27" s="120"/>
      <c r="V27" s="120"/>
      <c r="W27" s="121"/>
      <c r="X27" s="180"/>
      <c r="Y27" s="122"/>
    </row>
    <row r="28" spans="1:26" ht="19.899999999999999" customHeight="1"/>
    <row r="29" spans="1:26" ht="17.45" customHeight="1">
      <c r="O29" s="152"/>
      <c r="P29" s="152"/>
      <c r="Q29" s="152"/>
    </row>
    <row r="30" spans="1:26" ht="19.899999999999999" customHeight="1">
      <c r="O30" s="152"/>
      <c r="P30" s="152"/>
      <c r="Q30" s="152"/>
    </row>
    <row r="31" spans="1:26" ht="14.25">
      <c r="O31" s="10"/>
      <c r="P31" s="10"/>
      <c r="Q31" s="10"/>
    </row>
    <row r="32" spans="1:26" ht="65.099999999999994" customHeight="1"/>
    <row r="33" spans="15:22" ht="14.25">
      <c r="O33" s="10"/>
      <c r="P33" s="10"/>
      <c r="Q33" s="10"/>
    </row>
    <row r="34" spans="15:22" ht="19.899999999999999" customHeight="1"/>
    <row r="35" spans="15:22" ht="14.25"/>
    <row r="36" spans="15:22" ht="19.899999999999999" customHeight="1"/>
    <row r="37" spans="15:22" ht="14.25"/>
    <row r="38" spans="15:22" ht="19.899999999999999" customHeight="1"/>
    <row r="39" spans="15:22" ht="19.899999999999999" customHeight="1"/>
    <row r="40" spans="15:22" ht="64.900000000000006" customHeight="1"/>
    <row r="42" spans="15:22" ht="19.899999999999999" customHeight="1">
      <c r="T42" s="149" t="s">
        <v>11</v>
      </c>
    </row>
    <row r="43" spans="15:22" ht="19.899999999999999" customHeight="1">
      <c r="T43" s="151"/>
    </row>
    <row r="44" spans="15:22" ht="64.900000000000006" customHeight="1">
      <c r="T44" s="11"/>
    </row>
    <row r="48" spans="15:22" ht="21" customHeight="1">
      <c r="O48" s="149" t="s">
        <v>11</v>
      </c>
      <c r="P48" s="149" t="s">
        <v>11</v>
      </c>
      <c r="Q48" s="149" t="s">
        <v>11</v>
      </c>
      <c r="T48" s="149" t="s">
        <v>12</v>
      </c>
      <c r="U48" s="149" t="s">
        <v>10</v>
      </c>
      <c r="V48" s="149" t="s">
        <v>11</v>
      </c>
    </row>
    <row r="49" spans="15:22" ht="21" customHeight="1">
      <c r="O49" s="151"/>
      <c r="P49" s="151"/>
      <c r="Q49" s="151"/>
      <c r="T49" s="150"/>
      <c r="U49" s="150"/>
      <c r="V49" s="151"/>
    </row>
    <row r="50" spans="15:22" ht="64.900000000000006" customHeight="1">
      <c r="O50" s="11"/>
      <c r="P50" s="11"/>
      <c r="Q50" s="11"/>
      <c r="T50" s="11"/>
      <c r="U50" s="12"/>
      <c r="V50" s="11"/>
    </row>
    <row r="51" spans="15:22" ht="7.15" customHeight="1"/>
    <row r="52" spans="15:22" ht="21" customHeight="1">
      <c r="O52" s="149" t="s">
        <v>11</v>
      </c>
      <c r="P52" s="149" t="s">
        <v>11</v>
      </c>
      <c r="Q52" s="149" t="s">
        <v>11</v>
      </c>
      <c r="T52" s="149" t="s">
        <v>10</v>
      </c>
      <c r="U52" s="149" t="s">
        <v>12</v>
      </c>
      <c r="V52" s="149" t="s">
        <v>11</v>
      </c>
    </row>
    <row r="53" spans="15:22" ht="21" customHeight="1">
      <c r="O53" s="151"/>
      <c r="P53" s="151"/>
      <c r="Q53" s="151"/>
      <c r="T53" s="150"/>
      <c r="U53" s="150"/>
      <c r="V53" s="151"/>
    </row>
    <row r="54" spans="15:22" ht="64.900000000000006" customHeight="1">
      <c r="O54" s="11"/>
      <c r="P54" s="11"/>
      <c r="Q54" s="11"/>
      <c r="T54" s="12"/>
      <c r="U54" s="11"/>
      <c r="V54" s="11"/>
    </row>
  </sheetData>
  <mergeCells count="67">
    <mergeCell ref="W25:X25"/>
    <mergeCell ref="X26:X27"/>
    <mergeCell ref="Y20:Y21"/>
    <mergeCell ref="O22:R22"/>
    <mergeCell ref="T22:Y22"/>
    <mergeCell ref="O23:O24"/>
    <mergeCell ref="R23:R24"/>
    <mergeCell ref="T23:T24"/>
    <mergeCell ref="U23:U24"/>
    <mergeCell ref="V23:X23"/>
    <mergeCell ref="Y23:Y24"/>
    <mergeCell ref="W24:X24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15:C15"/>
    <mergeCell ref="D15:F15"/>
    <mergeCell ref="B17:C17"/>
    <mergeCell ref="B6:C6"/>
    <mergeCell ref="D6:F6"/>
    <mergeCell ref="B8:C8"/>
    <mergeCell ref="D8:F8"/>
    <mergeCell ref="B7:C7"/>
    <mergeCell ref="D7:F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T48:T49"/>
    <mergeCell ref="A18:B18"/>
    <mergeCell ref="P23:P24"/>
    <mergeCell ref="Q23:Q24"/>
    <mergeCell ref="B16:C16"/>
    <mergeCell ref="D16:F16"/>
    <mergeCell ref="D17:F17"/>
    <mergeCell ref="U48:U49"/>
    <mergeCell ref="V48:V49"/>
    <mergeCell ref="O52:O53"/>
    <mergeCell ref="P52:P53"/>
    <mergeCell ref="Q52:Q53"/>
    <mergeCell ref="T52:T53"/>
    <mergeCell ref="U52:U53"/>
    <mergeCell ref="V52:V53"/>
    <mergeCell ref="O29:O30"/>
    <mergeCell ref="P29:P30"/>
    <mergeCell ref="Q29:Q30"/>
    <mergeCell ref="T42:T43"/>
    <mergeCell ref="O48:O49"/>
    <mergeCell ref="P48:P49"/>
    <mergeCell ref="Q48:Q49"/>
  </mergeCells>
  <phoneticPr fontId="4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86" t="s">
        <v>80</v>
      </c>
      <c r="B1" s="87"/>
      <c r="C1" s="87"/>
      <c r="D1" s="87"/>
      <c r="E1" s="87"/>
      <c r="F1" s="87"/>
      <c r="G1" s="1"/>
      <c r="J1" s="196" t="str">
        <f>+MRS!J1</f>
        <v>DAESHIN PLANT</v>
      </c>
      <c r="K1" s="197"/>
    </row>
    <row r="2" spans="1:18" ht="24.95" customHeight="1">
      <c r="A2" s="3" t="str">
        <f>+MRS!A2</f>
        <v xml:space="preserve">  PJT :  SACE2           </v>
      </c>
      <c r="B2" s="88"/>
      <c r="C2" s="88"/>
      <c r="D2" s="3" t="str">
        <f>+MRS!D2</f>
        <v>Division (In charge Name) : ADMIN MANAGER (Dong Chang Kim)</v>
      </c>
      <c r="E2" s="88"/>
      <c r="F2" s="88"/>
      <c r="G2" s="13"/>
      <c r="H2" s="13"/>
      <c r="I2" s="13"/>
      <c r="J2" s="198" t="str">
        <f>+MRS!J2</f>
        <v>Subcontract name (SAC2-SC-IK-SMP-01)</v>
      </c>
      <c r="K2" s="199"/>
    </row>
    <row r="3" spans="1:18" ht="24.95" customHeight="1">
      <c r="A3" s="3" t="str">
        <f>+MRS!A3</f>
        <v xml:space="preserve">  MRS No : SAC2-DS-MRS-0445</v>
      </c>
      <c r="B3" s="88"/>
      <c r="C3" s="88"/>
      <c r="D3" s="88"/>
      <c r="E3" s="88"/>
      <c r="F3" s="88"/>
      <c r="G3" s="88"/>
      <c r="H3" s="88"/>
      <c r="I3" s="88"/>
      <c r="J3" s="88"/>
      <c r="K3" s="89">
        <f>+MRS!L3</f>
        <v>46267</v>
      </c>
    </row>
    <row r="4" spans="1:18" ht="15.95" customHeight="1">
      <c r="A4" s="200" t="s">
        <v>1</v>
      </c>
      <c r="B4" s="201" t="s">
        <v>13</v>
      </c>
      <c r="C4" s="201"/>
      <c r="D4" s="200" t="s">
        <v>3</v>
      </c>
      <c r="E4" s="200"/>
      <c r="F4" s="200"/>
      <c r="G4" s="201" t="s">
        <v>4</v>
      </c>
      <c r="H4" s="200" t="s">
        <v>77</v>
      </c>
      <c r="I4" s="200" t="s">
        <v>14</v>
      </c>
      <c r="J4" s="200" t="s">
        <v>15</v>
      </c>
      <c r="K4" s="201" t="s">
        <v>6</v>
      </c>
    </row>
    <row r="5" spans="1:18" ht="15.95" customHeight="1">
      <c r="A5" s="200"/>
      <c r="B5" s="201"/>
      <c r="C5" s="201"/>
      <c r="D5" s="200"/>
      <c r="E5" s="200"/>
      <c r="F5" s="200"/>
      <c r="G5" s="201"/>
      <c r="H5" s="200"/>
      <c r="I5" s="200"/>
      <c r="J5" s="200"/>
      <c r="K5" s="201"/>
    </row>
    <row r="6" spans="1:18" ht="105" customHeight="1">
      <c r="A6" s="14">
        <f>+MRS!A6</f>
        <v>1</v>
      </c>
      <c r="B6" s="191" t="str">
        <f>MRS!B6</f>
        <v>Konica Minolta Copier</v>
      </c>
      <c r="C6" s="192"/>
      <c r="D6" s="193" t="str">
        <f>MRS!D6</f>
        <v>Bizhub C361 with installation &amp; trolley</v>
      </c>
      <c r="E6" s="194"/>
      <c r="F6" s="195"/>
      <c r="G6" s="90" t="str">
        <f>MRS!G6</f>
        <v>Nos</v>
      </c>
      <c r="H6" s="90">
        <f>MRS!H6</f>
        <v>2</v>
      </c>
      <c r="I6" s="91">
        <f>MRS!I6</f>
        <v>18500</v>
      </c>
      <c r="J6" s="91">
        <f>MRS!J6</f>
        <v>37000</v>
      </c>
      <c r="K6" s="92"/>
      <c r="O6" s="93"/>
      <c r="P6" s="93"/>
      <c r="R6" s="93"/>
    </row>
    <row r="7" spans="1:18" ht="105" customHeight="1">
      <c r="A7" s="14">
        <f>+MRS!A7</f>
        <v>2</v>
      </c>
      <c r="B7" s="191">
        <f>MRS!B7</f>
        <v>0</v>
      </c>
      <c r="C7" s="192"/>
      <c r="D7" s="193">
        <f>MRS!D7</f>
        <v>0</v>
      </c>
      <c r="E7" s="194"/>
      <c r="F7" s="195"/>
      <c r="G7" s="90">
        <f>MRS!G7</f>
        <v>0</v>
      </c>
      <c r="H7" s="90">
        <f>MRS!H7</f>
        <v>0</v>
      </c>
      <c r="I7" s="91">
        <f>MRS!I7</f>
        <v>0</v>
      </c>
      <c r="J7" s="91">
        <f>MRS!J7</f>
        <v>0</v>
      </c>
      <c r="K7" s="92"/>
      <c r="O7" s="93"/>
      <c r="P7" s="93"/>
      <c r="R7" s="93"/>
    </row>
    <row r="8" spans="1:18" ht="105" customHeight="1">
      <c r="A8" s="14">
        <f>+MRS!A8</f>
        <v>3</v>
      </c>
      <c r="B8" s="191">
        <f>MRS!B8</f>
        <v>0</v>
      </c>
      <c r="C8" s="192"/>
      <c r="D8" s="193">
        <f>MRS!D8</f>
        <v>0</v>
      </c>
      <c r="E8" s="194"/>
      <c r="F8" s="195"/>
      <c r="G8" s="90">
        <f>MRS!G8</f>
        <v>0</v>
      </c>
      <c r="H8" s="90">
        <f>MRS!H8</f>
        <v>0</v>
      </c>
      <c r="I8" s="91">
        <f>MRS!I8</f>
        <v>0</v>
      </c>
      <c r="J8" s="91">
        <f>MRS!J8</f>
        <v>0</v>
      </c>
      <c r="K8" s="92"/>
      <c r="O8" s="93"/>
      <c r="P8" s="93"/>
      <c r="R8" s="93"/>
    </row>
    <row r="9" spans="1:18" ht="105" customHeight="1">
      <c r="A9" s="14">
        <f>+MRS!A9</f>
        <v>4</v>
      </c>
      <c r="B9" s="186"/>
      <c r="C9" s="187"/>
      <c r="D9" s="188"/>
      <c r="E9" s="189"/>
      <c r="F9" s="190"/>
      <c r="G9" s="94"/>
      <c r="H9" s="95"/>
      <c r="I9" s="96"/>
      <c r="J9" s="96"/>
      <c r="K9" s="92"/>
      <c r="O9" s="93"/>
      <c r="P9" s="93"/>
      <c r="R9" s="93"/>
    </row>
    <row r="10" spans="1:18" ht="105" customHeight="1">
      <c r="A10" s="14" t="e">
        <f>+MRS!#REF!</f>
        <v>#REF!</v>
      </c>
      <c r="B10" s="186"/>
      <c r="C10" s="187"/>
      <c r="D10" s="188"/>
      <c r="E10" s="189"/>
      <c r="F10" s="190"/>
      <c r="G10" s="94"/>
      <c r="H10" s="95"/>
      <c r="I10" s="96"/>
      <c r="J10" s="96"/>
      <c r="K10" s="92"/>
      <c r="O10" s="93"/>
      <c r="P10" s="93"/>
      <c r="R10" s="93"/>
    </row>
    <row r="11" spans="1:18" ht="105" customHeight="1">
      <c r="A11" s="14" t="e">
        <f>+MRS!#REF!</f>
        <v>#REF!</v>
      </c>
      <c r="B11" s="186"/>
      <c r="C11" s="187"/>
      <c r="D11" s="188"/>
      <c r="E11" s="189"/>
      <c r="F11" s="190"/>
      <c r="G11" s="94"/>
      <c r="H11" s="95"/>
      <c r="I11" s="96"/>
      <c r="J11" s="96"/>
      <c r="K11" s="92"/>
      <c r="O11" s="93"/>
      <c r="P11" s="93"/>
      <c r="R11" s="93"/>
    </row>
    <row r="12" spans="1:18" ht="105" customHeight="1">
      <c r="A12" s="14" t="e">
        <f>+MRS!#REF!</f>
        <v>#REF!</v>
      </c>
      <c r="B12" s="186"/>
      <c r="C12" s="187"/>
      <c r="D12" s="188"/>
      <c r="E12" s="189"/>
      <c r="F12" s="190"/>
      <c r="G12" s="94"/>
      <c r="H12" s="95"/>
      <c r="I12" s="96"/>
      <c r="J12" s="96"/>
      <c r="K12" s="92"/>
      <c r="O12" s="93"/>
      <c r="P12" s="93"/>
      <c r="R12" s="93"/>
    </row>
    <row r="13" spans="1:18" ht="105" customHeight="1">
      <c r="A13" s="14" t="e">
        <f>+MRS!#REF!</f>
        <v>#REF!</v>
      </c>
      <c r="B13" s="186"/>
      <c r="C13" s="187"/>
      <c r="D13" s="188"/>
      <c r="E13" s="189"/>
      <c r="F13" s="190"/>
      <c r="G13" s="94"/>
      <c r="H13" s="95"/>
      <c r="I13" s="96"/>
      <c r="J13" s="96"/>
      <c r="K13" s="92"/>
      <c r="O13" s="93"/>
      <c r="P13" s="93"/>
      <c r="R13" s="93"/>
    </row>
    <row r="14" spans="1:18" ht="105" customHeight="1">
      <c r="A14" s="14">
        <f>+MRS!A16</f>
        <v>9</v>
      </c>
      <c r="B14" s="186"/>
      <c r="C14" s="187"/>
      <c r="D14" s="188"/>
      <c r="E14" s="189"/>
      <c r="F14" s="190"/>
      <c r="G14" s="94"/>
      <c r="H14" s="95"/>
      <c r="I14" s="96"/>
      <c r="J14" s="96"/>
      <c r="K14" s="92"/>
      <c r="O14" s="93"/>
      <c r="P14" s="93"/>
      <c r="R14" s="93"/>
    </row>
    <row r="15" spans="1:18" ht="105" customHeight="1">
      <c r="A15" s="14" t="e">
        <f>+MRS!A17</f>
        <v>#REF!</v>
      </c>
      <c r="B15" s="186"/>
      <c r="C15" s="187"/>
      <c r="D15" s="188"/>
      <c r="E15" s="189"/>
      <c r="F15" s="190"/>
      <c r="G15" s="94"/>
      <c r="H15" s="95"/>
      <c r="I15" s="96"/>
      <c r="J15" s="96"/>
      <c r="K15" s="92"/>
      <c r="O15" s="93"/>
      <c r="P15" s="93"/>
      <c r="R15" s="93"/>
    </row>
    <row r="16" spans="1:18" ht="105" customHeight="1">
      <c r="A16" s="14" t="e">
        <f>+MRS!#REF!</f>
        <v>#REF!</v>
      </c>
      <c r="B16" s="186"/>
      <c r="C16" s="187"/>
      <c r="D16" s="188"/>
      <c r="E16" s="189"/>
      <c r="F16" s="190"/>
      <c r="G16" s="94"/>
      <c r="H16" s="95"/>
      <c r="I16" s="96"/>
      <c r="J16" s="96"/>
      <c r="K16" s="92"/>
      <c r="O16" s="93"/>
      <c r="P16" s="93"/>
      <c r="R16" s="93"/>
    </row>
    <row r="17" spans="1:18" ht="105" customHeight="1">
      <c r="A17" s="14" t="e">
        <f>+MRS!#REF!</f>
        <v>#REF!</v>
      </c>
      <c r="B17" s="186"/>
      <c r="C17" s="187"/>
      <c r="D17" s="188"/>
      <c r="E17" s="189"/>
      <c r="F17" s="190"/>
      <c r="G17" s="94"/>
      <c r="H17" s="95"/>
      <c r="I17" s="96"/>
      <c r="J17" s="96"/>
      <c r="K17" s="92"/>
      <c r="O17" s="93"/>
      <c r="P17" s="93"/>
      <c r="R17" s="9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P17" sqref="P17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10" width="9.140625" style="19"/>
    <col min="11" max="11" width="9.4257812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88</v>
      </c>
    </row>
    <row r="3" spans="2:13" s="15" customFormat="1">
      <c r="M3" s="17" t="s">
        <v>16</v>
      </c>
    </row>
    <row r="4" spans="2:13" s="15" customFormat="1">
      <c r="M4" s="17" t="s">
        <v>17</v>
      </c>
    </row>
    <row r="5" spans="2:13" s="15" customFormat="1">
      <c r="B5" s="18" t="s">
        <v>18</v>
      </c>
      <c r="M5" s="17" t="s">
        <v>19</v>
      </c>
    </row>
    <row r="6" spans="2:13" s="15" customFormat="1">
      <c r="M6" s="17" t="s">
        <v>20</v>
      </c>
    </row>
    <row r="7" spans="2:13">
      <c r="M7" s="20"/>
    </row>
    <row r="8" spans="2:13">
      <c r="M8" s="20"/>
    </row>
    <row r="9" spans="2:13" s="67" customFormat="1" ht="13.5">
      <c r="B9" s="65" t="s">
        <v>21</v>
      </c>
      <c r="C9" s="66" t="s">
        <v>116</v>
      </c>
      <c r="D9" s="32"/>
      <c r="E9" s="32"/>
    </row>
    <row r="10" spans="2:13" s="32" customFormat="1">
      <c r="B10" s="65"/>
      <c r="C10" s="32" t="s">
        <v>98</v>
      </c>
      <c r="D10" s="69">
        <v>2051251124</v>
      </c>
      <c r="J10" s="32" t="s">
        <v>22</v>
      </c>
      <c r="K10" s="202">
        <f>MRS!L3</f>
        <v>46267</v>
      </c>
      <c r="L10" s="203"/>
      <c r="M10" s="203"/>
    </row>
    <row r="11" spans="2:13" s="32" customFormat="1">
      <c r="B11" s="65"/>
      <c r="C11" s="68" t="s">
        <v>99</v>
      </c>
      <c r="D11" s="69" t="s">
        <v>117</v>
      </c>
      <c r="J11" s="32" t="s">
        <v>23</v>
      </c>
      <c r="K11" s="204" t="str">
        <f>SUBSTITUTE(SUBSTITUTE(+MRS!A3,"  MRS No : ",""),"-MRS","-PO")</f>
        <v>SAC2-DS-PO-0445</v>
      </c>
      <c r="L11" s="204"/>
      <c r="M11" s="204"/>
    </row>
    <row r="12" spans="2:13" s="32" customFormat="1">
      <c r="B12" s="65"/>
      <c r="C12" s="68" t="s">
        <v>100</v>
      </c>
      <c r="D12" s="32" t="s">
        <v>118</v>
      </c>
      <c r="J12" s="32" t="s">
        <v>24</v>
      </c>
    </row>
    <row r="13" spans="2:13" s="32" customFormat="1">
      <c r="B13" s="65"/>
      <c r="C13" s="70"/>
      <c r="D13" s="69" t="s">
        <v>119</v>
      </c>
      <c r="J13" s="32" t="s">
        <v>25</v>
      </c>
    </row>
    <row r="14" spans="2:13" s="32" customFormat="1">
      <c r="B14" s="65"/>
      <c r="C14" s="70" t="s">
        <v>121</v>
      </c>
      <c r="J14" s="32" t="s">
        <v>26</v>
      </c>
      <c r="K14" s="32" t="s">
        <v>134</v>
      </c>
    </row>
    <row r="15" spans="2:13" s="32" customFormat="1">
      <c r="B15" s="65"/>
      <c r="C15" s="70" t="s">
        <v>120</v>
      </c>
      <c r="J15" s="32" t="s">
        <v>27</v>
      </c>
      <c r="K15" s="71">
        <v>46266</v>
      </c>
    </row>
    <row r="16" spans="2:13" s="32" customFormat="1">
      <c r="C16" s="70"/>
      <c r="K16" s="71"/>
    </row>
    <row r="17" spans="2:13" ht="12" customHeight="1">
      <c r="C17" s="22"/>
      <c r="K17" s="23"/>
    </row>
    <row r="18" spans="2:13" ht="20.25">
      <c r="B18" s="205" t="s">
        <v>28</v>
      </c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</row>
    <row r="19" spans="2:13" ht="12" customHeight="1"/>
    <row r="20" spans="2:13" s="24" customFormat="1" ht="12" customHeight="1">
      <c r="B20" s="206" t="s">
        <v>29</v>
      </c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</row>
    <row r="21" spans="2:13" s="24" customFormat="1" ht="12" customHeight="1">
      <c r="B21" s="206" t="s">
        <v>30</v>
      </c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</row>
    <row r="22" spans="2:13" s="24" customFormat="1" ht="12" customHeight="1">
      <c r="B22" s="206" t="s">
        <v>31</v>
      </c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</row>
    <row r="23" spans="2:13" ht="6.95" customHeight="1">
      <c r="B23" s="207"/>
      <c r="C23" s="207"/>
      <c r="D23" s="207"/>
      <c r="E23" s="207"/>
      <c r="F23" s="207"/>
      <c r="G23" s="207"/>
      <c r="H23" s="207"/>
      <c r="I23" s="207"/>
      <c r="J23" s="207"/>
      <c r="K23" s="207"/>
      <c r="L23" s="207"/>
      <c r="M23" s="207"/>
    </row>
    <row r="24" spans="2:13" ht="6.95" customHeight="1"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</row>
    <row r="25" spans="2:13" s="25" customFormat="1" ht="15" customHeight="1">
      <c r="B25" s="25">
        <v>1</v>
      </c>
      <c r="C25" s="25" t="s">
        <v>32</v>
      </c>
    </row>
    <row r="26" spans="2:13" s="32" customFormat="1" ht="12" customHeight="1">
      <c r="B26" s="66"/>
      <c r="C26" s="106" t="str">
        <f>MRS!B6</f>
        <v>Konica Minolta Copier</v>
      </c>
      <c r="M26" s="72" t="s">
        <v>33</v>
      </c>
    </row>
    <row r="27" spans="2:13" ht="11.1" customHeight="1">
      <c r="B27" s="25"/>
      <c r="C27" s="108" t="str">
        <f>MRS!D6</f>
        <v>Bizhub C361 with installation &amp; trolley</v>
      </c>
    </row>
    <row r="28" spans="2:13" ht="15" customHeight="1">
      <c r="B28" s="25">
        <v>2</v>
      </c>
      <c r="C28" s="25" t="s">
        <v>34</v>
      </c>
    </row>
    <row r="29" spans="2:13" ht="12" customHeight="1">
      <c r="B29" s="25"/>
      <c r="C29" s="19" t="s">
        <v>35</v>
      </c>
      <c r="E29" s="19" t="s">
        <v>36</v>
      </c>
      <c r="F29" s="209">
        <f>'PO 2nd page'!G16</f>
        <v>37000</v>
      </c>
      <c r="G29" s="209"/>
      <c r="H29" s="26"/>
      <c r="M29" s="27"/>
    </row>
    <row r="30" spans="2:13" ht="12" customHeight="1">
      <c r="B30" s="25"/>
      <c r="C30" s="19" t="s">
        <v>37</v>
      </c>
      <c r="E30" s="19" t="s">
        <v>36</v>
      </c>
      <c r="F30" s="209">
        <f>'PO 2nd page'!G17</f>
        <v>5550</v>
      </c>
      <c r="G30" s="209"/>
    </row>
    <row r="31" spans="2:13" ht="12" customHeight="1">
      <c r="B31" s="25"/>
      <c r="C31" s="19" t="s">
        <v>38</v>
      </c>
      <c r="D31" s="28"/>
      <c r="E31" s="19" t="s">
        <v>36</v>
      </c>
      <c r="F31" s="209">
        <f>'PO 2nd page'!G18</f>
        <v>42550</v>
      </c>
      <c r="G31" s="209"/>
      <c r="H31" s="26"/>
    </row>
    <row r="32" spans="2:13" ht="11.1" customHeight="1">
      <c r="B32" s="25"/>
    </row>
    <row r="33" spans="2:13" ht="15" customHeight="1">
      <c r="B33" s="25">
        <v>3</v>
      </c>
      <c r="C33" s="25" t="s">
        <v>39</v>
      </c>
    </row>
    <row r="34" spans="2:13" ht="12" customHeight="1">
      <c r="B34" s="25"/>
      <c r="C34" s="15" t="s">
        <v>40</v>
      </c>
    </row>
    <row r="35" spans="2:13" ht="12" customHeight="1">
      <c r="B35" s="25"/>
      <c r="C35" s="15" t="s">
        <v>41</v>
      </c>
    </row>
    <row r="36" spans="2:13" ht="12" customHeight="1">
      <c r="B36" s="25"/>
      <c r="C36" s="15" t="s">
        <v>42</v>
      </c>
    </row>
    <row r="37" spans="2:13" ht="11.1" customHeight="1">
      <c r="B37" s="25"/>
    </row>
    <row r="38" spans="2:13" ht="15" customHeight="1">
      <c r="B38" s="25">
        <v>4</v>
      </c>
      <c r="C38" s="25" t="s">
        <v>43</v>
      </c>
    </row>
    <row r="39" spans="2:13" ht="12" customHeight="1">
      <c r="B39" s="25"/>
      <c r="C39" s="19" t="s">
        <v>44</v>
      </c>
    </row>
    <row r="40" spans="2:13" ht="11.1" customHeight="1">
      <c r="B40" s="25"/>
    </row>
    <row r="41" spans="2:13" ht="15" customHeight="1">
      <c r="B41" s="25">
        <v>5</v>
      </c>
      <c r="C41" s="25" t="s">
        <v>45</v>
      </c>
    </row>
    <row r="42" spans="2:13" ht="12" customHeight="1">
      <c r="B42" s="25"/>
      <c r="C42" s="29" t="s">
        <v>46</v>
      </c>
      <c r="D42" s="30"/>
      <c r="E42" s="31"/>
      <c r="F42" s="31"/>
      <c r="G42" s="31"/>
      <c r="H42" s="31"/>
      <c r="I42" s="31"/>
      <c r="J42" s="31"/>
      <c r="K42" s="31"/>
      <c r="L42" s="31"/>
      <c r="M42" s="31"/>
    </row>
    <row r="43" spans="2:13" ht="12" customHeight="1">
      <c r="B43" s="25"/>
      <c r="C43" s="29" t="s">
        <v>47</v>
      </c>
      <c r="D43" s="30"/>
      <c r="E43" s="31"/>
      <c r="F43" s="31"/>
      <c r="G43" s="31"/>
      <c r="H43" s="31"/>
      <c r="I43" s="31"/>
      <c r="J43" s="31"/>
      <c r="K43" s="31"/>
      <c r="L43" s="31"/>
      <c r="M43" s="31"/>
    </row>
    <row r="44" spans="2:13" ht="12" customHeight="1">
      <c r="B44" s="25"/>
      <c r="C44" s="29" t="s">
        <v>48</v>
      </c>
      <c r="D44" s="30"/>
      <c r="E44" s="31"/>
      <c r="F44" s="31"/>
      <c r="G44" s="31"/>
      <c r="H44" s="31"/>
      <c r="I44" s="31"/>
      <c r="J44" s="31"/>
      <c r="K44" s="31"/>
      <c r="L44" s="31"/>
      <c r="M44" s="31"/>
    </row>
    <row r="45" spans="2:13" ht="12" customHeight="1">
      <c r="B45" s="25"/>
      <c r="C45" s="29" t="s">
        <v>49</v>
      </c>
      <c r="D45" s="30"/>
      <c r="E45" s="31"/>
      <c r="F45" s="31"/>
      <c r="G45" s="31"/>
      <c r="H45" s="31"/>
      <c r="I45" s="31"/>
      <c r="J45" s="31"/>
      <c r="K45" s="31"/>
      <c r="L45" s="31"/>
      <c r="M45" s="31"/>
    </row>
    <row r="46" spans="2:13" ht="12" customHeight="1">
      <c r="B46" s="25"/>
      <c r="C46" s="32" t="s">
        <v>50</v>
      </c>
      <c r="D46" s="33"/>
      <c r="E46" s="34"/>
      <c r="F46" s="34"/>
      <c r="G46" s="34"/>
      <c r="H46" s="34"/>
      <c r="I46" s="34"/>
      <c r="J46" s="34"/>
      <c r="K46" s="34"/>
      <c r="L46" s="34"/>
      <c r="M46" s="34"/>
    </row>
    <row r="47" spans="2:13" ht="11.1" customHeight="1">
      <c r="B47" s="25"/>
    </row>
    <row r="48" spans="2:13" ht="15" customHeight="1">
      <c r="B48" s="25">
        <v>6</v>
      </c>
      <c r="C48" s="25" t="s">
        <v>51</v>
      </c>
    </row>
    <row r="49" spans="2:16" s="32" customFormat="1" ht="12" customHeight="1">
      <c r="B49" s="73" t="s">
        <v>52</v>
      </c>
      <c r="C49" s="74" t="s">
        <v>86</v>
      </c>
      <c r="P49" s="75"/>
    </row>
    <row r="50" spans="2:16" s="76" customFormat="1" ht="12" customHeight="1">
      <c r="B50" s="77" t="s">
        <v>52</v>
      </c>
      <c r="C50" s="74" t="s">
        <v>79</v>
      </c>
    </row>
    <row r="51" spans="2:16" s="76" customFormat="1" ht="12" customHeight="1">
      <c r="B51" s="77" t="s">
        <v>52</v>
      </c>
      <c r="C51" s="74" t="s">
        <v>78</v>
      </c>
    </row>
    <row r="52" spans="2:16" s="76" customFormat="1" ht="6" customHeight="1">
      <c r="B52" s="77"/>
      <c r="C52" s="74"/>
    </row>
    <row r="53" spans="2:16" ht="15" customHeight="1">
      <c r="B53" s="35">
        <v>7</v>
      </c>
      <c r="C53" s="25" t="s">
        <v>89</v>
      </c>
    </row>
    <row r="54" spans="2:16" ht="12" customHeight="1">
      <c r="B54" s="77" t="s">
        <v>52</v>
      </c>
      <c r="C54" s="107" t="s">
        <v>90</v>
      </c>
      <c r="F54" s="19" t="s">
        <v>127</v>
      </c>
      <c r="P54" s="19" t="str">
        <f>UPPER(F54)</f>
        <v>DORIGHT CONTRACTING</v>
      </c>
    </row>
    <row r="55" spans="2:16" ht="12" customHeight="1">
      <c r="B55" s="77" t="s">
        <v>52</v>
      </c>
      <c r="C55" s="107" t="s">
        <v>91</v>
      </c>
      <c r="F55" s="108" t="s">
        <v>122</v>
      </c>
    </row>
    <row r="56" spans="2:16" ht="12" customHeight="1">
      <c r="B56" s="77" t="s">
        <v>52</v>
      </c>
      <c r="C56" s="107" t="s">
        <v>92</v>
      </c>
      <c r="F56" s="108" t="s">
        <v>123</v>
      </c>
    </row>
    <row r="57" spans="2:16" ht="12" customHeight="1">
      <c r="B57" s="77" t="s">
        <v>52</v>
      </c>
      <c r="C57" s="107" t="s">
        <v>93</v>
      </c>
      <c r="F57" s="19" t="s">
        <v>124</v>
      </c>
    </row>
    <row r="58" spans="2:16" ht="12" customHeight="1">
      <c r="B58" s="77" t="s">
        <v>52</v>
      </c>
      <c r="C58" s="107" t="s">
        <v>94</v>
      </c>
      <c r="F58" s="19" t="s">
        <v>125</v>
      </c>
    </row>
    <row r="59" spans="2:16" ht="12" customHeight="1">
      <c r="B59" s="77" t="s">
        <v>52</v>
      </c>
      <c r="C59" s="107" t="s">
        <v>95</v>
      </c>
      <c r="F59" s="19" t="s">
        <v>96</v>
      </c>
    </row>
    <row r="60" spans="2:16" ht="12" customHeight="1">
      <c r="B60" s="77"/>
      <c r="C60" s="107" t="s">
        <v>97</v>
      </c>
    </row>
    <row r="61" spans="2:16" ht="3" customHeight="1">
      <c r="B61" s="36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2:16" ht="3" customHeight="1">
      <c r="B62" s="25"/>
    </row>
    <row r="63" spans="2:16" ht="7.5" customHeight="1">
      <c r="B63" s="35"/>
    </row>
    <row r="64" spans="2:16">
      <c r="B64" s="25" t="s">
        <v>53</v>
      </c>
      <c r="J64" s="25" t="s">
        <v>54</v>
      </c>
    </row>
    <row r="65" spans="1:13" ht="42.75" customHeight="1"/>
    <row r="66" spans="1:13" ht="18" customHeight="1">
      <c r="B66" s="19" t="s">
        <v>55</v>
      </c>
      <c r="J66" s="19" t="s">
        <v>55</v>
      </c>
    </row>
    <row r="67" spans="1:13" ht="18" customHeight="1">
      <c r="B67" s="19" t="s">
        <v>56</v>
      </c>
      <c r="J67" s="19" t="s">
        <v>57</v>
      </c>
      <c r="K67" s="15" t="str">
        <f>UPPER(D12)</f>
        <v>SALMAN FARISH</v>
      </c>
    </row>
    <row r="68" spans="1:13" ht="18" customHeight="1">
      <c r="B68" s="19" t="s">
        <v>58</v>
      </c>
      <c r="J68" s="19" t="s">
        <v>59</v>
      </c>
      <c r="K68" s="15" t="s">
        <v>126</v>
      </c>
    </row>
    <row r="69" spans="1:13" ht="15" customHeight="1">
      <c r="B69" s="19" t="s">
        <v>60</v>
      </c>
      <c r="J69" s="19" t="s">
        <v>61</v>
      </c>
    </row>
    <row r="70" spans="1:13" s="21" customFormat="1" ht="15" customHeight="1">
      <c r="B70" s="18" t="s">
        <v>87</v>
      </c>
      <c r="J70" s="109" t="str">
        <f>C9</f>
        <v>DRCE(Do Right Contracting Est)</v>
      </c>
    </row>
    <row r="71" spans="1:13" ht="27.95" customHeight="1">
      <c r="A71" s="129" t="s">
        <v>62</v>
      </c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zoomScaleSheetLayoutView="100" zoomScalePageLayoutView="55" workbookViewId="0">
      <selection activeCell="M13" sqref="M13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63</v>
      </c>
      <c r="B2" s="40" t="str">
        <f>+'PO 1st page'!K11</f>
        <v>SAC2-DS-PO-0445</v>
      </c>
      <c r="C2" s="132" t="s">
        <v>64</v>
      </c>
      <c r="D2" s="132"/>
      <c r="E2" s="132"/>
      <c r="F2" s="132"/>
      <c r="G2" s="41"/>
      <c r="H2" s="41"/>
    </row>
    <row r="3" spans="1:13" s="47" customFormat="1" ht="28.5" customHeight="1" thickBot="1">
      <c r="A3" s="42" t="s">
        <v>65</v>
      </c>
      <c r="B3" s="43">
        <f>+'PO 1st page'!K10</f>
        <v>46267</v>
      </c>
      <c r="C3" s="44"/>
      <c r="D3" s="45"/>
      <c r="E3" s="133" t="s">
        <v>66</v>
      </c>
      <c r="F3" s="133"/>
      <c r="G3" s="133"/>
      <c r="H3" s="133"/>
      <c r="I3" s="46"/>
    </row>
    <row r="4" spans="1:13" s="48" customFormat="1" ht="28.5" customHeight="1" thickTop="1">
      <c r="A4" s="134" t="s">
        <v>67</v>
      </c>
      <c r="B4" s="136" t="s">
        <v>68</v>
      </c>
      <c r="C4" s="137"/>
      <c r="D4" s="140" t="s">
        <v>69</v>
      </c>
      <c r="E4" s="140" t="s">
        <v>70</v>
      </c>
      <c r="F4" s="142" t="str">
        <f>'PO 1st page'!C9</f>
        <v>DRCE(Do Right Contracting Est)</v>
      </c>
      <c r="G4" s="143"/>
      <c r="H4" s="144" t="s">
        <v>71</v>
      </c>
      <c r="K4" s="49"/>
      <c r="L4" s="49"/>
      <c r="M4" s="49"/>
    </row>
    <row r="5" spans="1:13" s="48" customFormat="1" ht="21.95" customHeight="1">
      <c r="A5" s="135"/>
      <c r="B5" s="138"/>
      <c r="C5" s="139"/>
      <c r="D5" s="141"/>
      <c r="E5" s="141"/>
      <c r="F5" s="50" t="s">
        <v>72</v>
      </c>
      <c r="G5" s="50" t="s">
        <v>38</v>
      </c>
      <c r="H5" s="145"/>
      <c r="K5" s="49"/>
      <c r="L5" s="49"/>
      <c r="M5" s="49"/>
    </row>
    <row r="6" spans="1:13" s="48" customFormat="1" ht="42" customHeight="1">
      <c r="A6" s="78">
        <f t="shared" ref="A6:A15" si="0">ROW(A1)</f>
        <v>1</v>
      </c>
      <c r="B6" s="130" t="str">
        <f>CONCATENATE(MRS!B6," ",MRS!D6)</f>
        <v>Konica Minolta Copier Bizhub C361 with installation &amp; trolley</v>
      </c>
      <c r="C6" s="131"/>
      <c r="D6" s="79" t="str">
        <f>MRS!G6</f>
        <v>Nos</v>
      </c>
      <c r="E6" s="79">
        <f>MRS!H6</f>
        <v>2</v>
      </c>
      <c r="F6" s="80">
        <f>MRS!I6</f>
        <v>18500</v>
      </c>
      <c r="G6" s="81">
        <f>MRS!J6</f>
        <v>37000</v>
      </c>
      <c r="H6" s="82" t="str">
        <f>MRS!L6</f>
        <v>One Time</v>
      </c>
      <c r="K6" s="83"/>
      <c r="L6" s="84"/>
      <c r="M6" s="49"/>
    </row>
    <row r="7" spans="1:13" s="48" customFormat="1" ht="24.75" customHeight="1">
      <c r="A7" s="78">
        <f t="shared" si="0"/>
        <v>2</v>
      </c>
      <c r="B7" s="130" t="str">
        <f>CONCATENATE(MRS!B7," ",MRS!D7)</f>
        <v xml:space="preserve"> </v>
      </c>
      <c r="C7" s="131"/>
      <c r="D7" s="79"/>
      <c r="E7" s="79"/>
      <c r="F7" s="80"/>
      <c r="G7" s="81"/>
      <c r="H7" s="82"/>
      <c r="K7" s="83"/>
      <c r="L7" s="84"/>
      <c r="M7" s="49"/>
    </row>
    <row r="8" spans="1:13" s="48" customFormat="1" ht="24.75" customHeight="1">
      <c r="A8" s="85">
        <f t="shared" si="0"/>
        <v>3</v>
      </c>
      <c r="B8" s="130" t="str">
        <f>CONCATENATE(MRS!B8," ",MRS!D8)</f>
        <v xml:space="preserve"> </v>
      </c>
      <c r="C8" s="131"/>
      <c r="D8" s="79"/>
      <c r="E8" s="79"/>
      <c r="F8" s="80"/>
      <c r="G8" s="81"/>
      <c r="H8" s="82"/>
      <c r="K8" s="49"/>
      <c r="L8" s="49"/>
      <c r="M8" s="49"/>
    </row>
    <row r="9" spans="1:13" s="48" customFormat="1" ht="24.75" customHeight="1">
      <c r="A9" s="85">
        <f t="shared" si="0"/>
        <v>4</v>
      </c>
      <c r="B9" s="130" t="str">
        <f>CONCATENATE(MRS!B9," ",MRS!D9)</f>
        <v xml:space="preserve"> </v>
      </c>
      <c r="C9" s="131"/>
      <c r="D9" s="79"/>
      <c r="E9" s="79"/>
      <c r="F9" s="80"/>
      <c r="G9" s="81"/>
      <c r="H9" s="82"/>
    </row>
    <row r="10" spans="1:13" s="48" customFormat="1" ht="24.75" customHeight="1">
      <c r="A10" s="85">
        <f t="shared" si="0"/>
        <v>5</v>
      </c>
      <c r="B10" s="130" t="str">
        <f>CONCATENATE(MRS!B10," ",MRS!D10)</f>
        <v xml:space="preserve"> </v>
      </c>
      <c r="C10" s="131"/>
      <c r="D10" s="79"/>
      <c r="E10" s="79"/>
      <c r="F10" s="80"/>
      <c r="G10" s="81"/>
      <c r="H10" s="82"/>
    </row>
    <row r="11" spans="1:13" s="48" customFormat="1" ht="24.75" customHeight="1">
      <c r="A11" s="85">
        <f t="shared" si="0"/>
        <v>6</v>
      </c>
      <c r="B11" s="130" t="str">
        <f>CONCATENATE(MRS!B11," ",MRS!D11)</f>
        <v xml:space="preserve"> </v>
      </c>
      <c r="C11" s="131"/>
      <c r="D11" s="79"/>
      <c r="E11" s="79"/>
      <c r="F11" s="80"/>
      <c r="G11" s="81"/>
      <c r="H11" s="82"/>
    </row>
    <row r="12" spans="1:13" s="48" customFormat="1" ht="24.75" customHeight="1">
      <c r="A12" s="85">
        <f t="shared" si="0"/>
        <v>7</v>
      </c>
      <c r="B12" s="130" t="str">
        <f>CONCATENATE(MRS!B12," ",MRS!D12)</f>
        <v xml:space="preserve"> </v>
      </c>
      <c r="C12" s="131"/>
      <c r="D12" s="79"/>
      <c r="E12" s="79"/>
      <c r="F12" s="80"/>
      <c r="G12" s="81"/>
      <c r="H12" s="82"/>
    </row>
    <row r="13" spans="1:13" s="48" customFormat="1" ht="24.75" customHeight="1">
      <c r="A13" s="85">
        <f t="shared" si="0"/>
        <v>8</v>
      </c>
      <c r="B13" s="130" t="str">
        <f>CONCATENATE(MRS!B13," ",MRS!D13)</f>
        <v xml:space="preserve"> </v>
      </c>
      <c r="C13" s="131"/>
      <c r="D13" s="79"/>
      <c r="E13" s="79"/>
      <c r="F13" s="80"/>
      <c r="G13" s="81"/>
      <c r="H13" s="82"/>
    </row>
    <row r="14" spans="1:13" s="48" customFormat="1" ht="24.75" customHeight="1">
      <c r="A14" s="85">
        <f t="shared" si="0"/>
        <v>9</v>
      </c>
      <c r="B14" s="130" t="str">
        <f>CONCATENATE(MRS!B14," ",MRS!D14)</f>
        <v xml:space="preserve"> </v>
      </c>
      <c r="C14" s="131"/>
      <c r="D14" s="79"/>
      <c r="E14" s="79"/>
      <c r="F14" s="80"/>
      <c r="G14" s="81"/>
      <c r="H14" s="82"/>
    </row>
    <row r="15" spans="1:13" s="48" customFormat="1" ht="24.75" customHeight="1">
      <c r="A15" s="85">
        <f t="shared" si="0"/>
        <v>10</v>
      </c>
      <c r="B15" s="130" t="str">
        <f>CONCATENATE(MRS!B15," ",MRS!D15)</f>
        <v xml:space="preserve"> </v>
      </c>
      <c r="C15" s="131"/>
      <c r="D15" s="79"/>
      <c r="E15" s="79"/>
      <c r="F15" s="80"/>
      <c r="G15" s="81"/>
      <c r="H15" s="82"/>
    </row>
    <row r="16" spans="1:13" s="48" customFormat="1" ht="23.1" customHeight="1">
      <c r="A16" s="125" t="s">
        <v>73</v>
      </c>
      <c r="B16" s="126"/>
      <c r="C16" s="126"/>
      <c r="D16" s="126"/>
      <c r="E16" s="126"/>
      <c r="F16" s="126"/>
      <c r="G16" s="51">
        <f>SUM(G6:G15)</f>
        <v>37000</v>
      </c>
      <c r="H16" s="52"/>
    </row>
    <row r="17" spans="1:13" s="48" customFormat="1" ht="23.1" customHeight="1">
      <c r="A17" s="125" t="s">
        <v>37</v>
      </c>
      <c r="B17" s="126"/>
      <c r="C17" s="126"/>
      <c r="D17" s="126"/>
      <c r="E17" s="126"/>
      <c r="F17" s="126"/>
      <c r="G17" s="51">
        <f>+G16*0.15</f>
        <v>5550</v>
      </c>
      <c r="H17" s="52"/>
    </row>
    <row r="18" spans="1:13" s="48" customFormat="1" ht="24.95" customHeight="1" thickBot="1">
      <c r="A18" s="127" t="s">
        <v>74</v>
      </c>
      <c r="B18" s="128"/>
      <c r="C18" s="128"/>
      <c r="D18" s="128"/>
      <c r="E18" s="128"/>
      <c r="F18" s="128"/>
      <c r="G18" s="53">
        <f>G17+G16</f>
        <v>42550</v>
      </c>
      <c r="H18" s="54"/>
    </row>
    <row r="19" spans="1:13" ht="15.75" thickTop="1">
      <c r="A19" s="55" t="str">
        <f>" 1) Above Price are as per your quotation with ref "&amp;'PO 1st page'!K14</f>
        <v xml:space="preserve"> 1) Above Price are as per your quotation with ref SAL-QTN-2026-00195</v>
      </c>
      <c r="B19" s="56"/>
      <c r="C19" s="56"/>
      <c r="D19" s="57"/>
      <c r="E19" s="57"/>
      <c r="F19" s="57"/>
      <c r="G19" s="57"/>
      <c r="H19" s="57"/>
    </row>
    <row r="20" spans="1:13" ht="15">
      <c r="A20" s="58" t="s">
        <v>75</v>
      </c>
      <c r="B20" s="59"/>
      <c r="C20" s="59"/>
      <c r="D20" s="60"/>
      <c r="E20" s="60"/>
      <c r="F20" s="60"/>
      <c r="G20" s="60"/>
      <c r="H20" s="60"/>
      <c r="I20" s="61"/>
    </row>
    <row r="21" spans="1:13" ht="15.75">
      <c r="A21" s="62"/>
    </row>
    <row r="22" spans="1:13">
      <c r="A22" s="129" t="s">
        <v>76</v>
      </c>
      <c r="B22" s="129"/>
      <c r="C22" s="129"/>
      <c r="D22" s="129"/>
      <c r="E22" s="129"/>
      <c r="F22" s="129"/>
      <c r="G22" s="129"/>
      <c r="H22" s="129"/>
      <c r="I22" s="63"/>
      <c r="J22" s="63"/>
      <c r="K22" s="63"/>
      <c r="L22" s="63"/>
      <c r="M22" s="63"/>
    </row>
    <row r="23" spans="1:13" ht="15.75">
      <c r="A23" s="62"/>
      <c r="C23" s="64"/>
    </row>
    <row r="24" spans="1:13" ht="15.75">
      <c r="A24" s="62"/>
      <c r="C24" s="64"/>
    </row>
    <row r="26" spans="1:13" ht="12" customHeight="1"/>
  </sheetData>
  <mergeCells count="22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6:F16"/>
    <mergeCell ref="A17:F17"/>
    <mergeCell ref="A18:F18"/>
    <mergeCell ref="A22:H22"/>
    <mergeCell ref="B12:C12"/>
    <mergeCell ref="B13:C13"/>
    <mergeCell ref="B14:C14"/>
    <mergeCell ref="B15:C1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2026-09-02T03:43:26Z</cp:lastPrinted>
  <dcterms:created xsi:type="dcterms:W3CDTF">2024-10-20T11:50:19Z</dcterms:created>
  <dcterms:modified xsi:type="dcterms:W3CDTF">2026-09-02T09:23:03Z</dcterms:modified>
</cp:coreProperties>
</file>