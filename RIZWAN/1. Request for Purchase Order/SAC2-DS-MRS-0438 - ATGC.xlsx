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3539D5E-129B-4E01-84A5-D901BEF07AE3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MRS!$A$1:$L$42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page'!$A$1:$H$40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4" l="1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F33" i="4"/>
  <c r="G33" i="4" s="1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G28" i="4" s="1"/>
  <c r="D28" i="4"/>
  <c r="F27" i="4"/>
  <c r="E27" i="4"/>
  <c r="D27" i="4"/>
  <c r="F26" i="4"/>
  <c r="E26" i="4"/>
  <c r="D26" i="4"/>
  <c r="F25" i="4"/>
  <c r="E25" i="4"/>
  <c r="D25" i="4"/>
  <c r="F24" i="4"/>
  <c r="E24" i="4"/>
  <c r="G24" i="4" s="1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G18" i="4" s="1"/>
  <c r="E18" i="4"/>
  <c r="D18" i="4"/>
  <c r="F17" i="4"/>
  <c r="E17" i="4"/>
  <c r="D17" i="4"/>
  <c r="F16" i="4"/>
  <c r="E16" i="4"/>
  <c r="D16" i="4"/>
  <c r="F15" i="4"/>
  <c r="E15" i="4"/>
  <c r="D15" i="4"/>
  <c r="F14" i="4"/>
  <c r="G14" i="4" s="1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G26" i="4"/>
  <c r="G22" i="4"/>
  <c r="G20" i="4"/>
  <c r="G16" i="4"/>
  <c r="G12" i="4"/>
  <c r="G10" i="4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B6" i="4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3" i="1"/>
  <c r="A12" i="1"/>
  <c r="A11" i="1"/>
  <c r="A10" i="1"/>
  <c r="A9" i="1"/>
  <c r="A8" i="1"/>
  <c r="A7" i="1"/>
  <c r="A6" i="1"/>
  <c r="E3" i="1"/>
  <c r="F6" i="4"/>
  <c r="E6" i="4"/>
  <c r="D6" i="4"/>
  <c r="A15" i="1"/>
  <c r="A14" i="1"/>
  <c r="G13" i="4" l="1"/>
  <c r="G19" i="4"/>
  <c r="G25" i="4"/>
  <c r="G11" i="4"/>
  <c r="G17" i="4"/>
  <c r="G23" i="4"/>
  <c r="G29" i="4"/>
  <c r="G15" i="4"/>
  <c r="G21" i="4"/>
  <c r="G27" i="4"/>
  <c r="G30" i="4"/>
  <c r="G8" i="4"/>
  <c r="G7" i="4"/>
  <c r="G34" i="4" s="1"/>
  <c r="G31" i="4"/>
  <c r="G32" i="4"/>
  <c r="G9" i="4"/>
  <c r="I30" i="2"/>
  <c r="H30" i="2"/>
  <c r="G30" i="2"/>
  <c r="F30" i="2"/>
  <c r="C30" i="2"/>
  <c r="I29" i="2"/>
  <c r="H29" i="2"/>
  <c r="G29" i="2"/>
  <c r="F29" i="2"/>
  <c r="C29" i="2"/>
  <c r="I28" i="2"/>
  <c r="H28" i="2"/>
  <c r="G28" i="2"/>
  <c r="F28" i="2"/>
  <c r="C28" i="2"/>
  <c r="I27" i="2"/>
  <c r="H27" i="2"/>
  <c r="G27" i="2"/>
  <c r="F27" i="2"/>
  <c r="C27" i="2"/>
  <c r="I26" i="2"/>
  <c r="H26" i="2"/>
  <c r="G26" i="2"/>
  <c r="F26" i="2"/>
  <c r="C26" i="2"/>
  <c r="I25" i="2"/>
  <c r="H25" i="2"/>
  <c r="G25" i="2"/>
  <c r="F25" i="2"/>
  <c r="C25" i="2"/>
  <c r="I24" i="2"/>
  <c r="H24" i="2"/>
  <c r="G24" i="2"/>
  <c r="F24" i="2"/>
  <c r="C24" i="2"/>
  <c r="I23" i="2"/>
  <c r="H23" i="2"/>
  <c r="G23" i="2"/>
  <c r="F23" i="2"/>
  <c r="C23" i="2"/>
  <c r="I22" i="2"/>
  <c r="H22" i="2"/>
  <c r="G22" i="2"/>
  <c r="F22" i="2"/>
  <c r="C22" i="2"/>
  <c r="A22" i="2" l="1"/>
  <c r="A23" i="2"/>
  <c r="A24" i="2"/>
  <c r="A25" i="2"/>
  <c r="A26" i="2"/>
  <c r="A27" i="2"/>
  <c r="A28" i="2"/>
  <c r="A29" i="2"/>
  <c r="A30" i="2"/>
  <c r="J23" i="2"/>
  <c r="J24" i="2"/>
  <c r="J25" i="2"/>
  <c r="J26" i="2"/>
  <c r="J27" i="2"/>
  <c r="J28" i="2"/>
  <c r="J29" i="2"/>
  <c r="J30" i="2"/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13" i="2"/>
  <c r="H14" i="2"/>
  <c r="H15" i="2"/>
  <c r="H16" i="2"/>
  <c r="H17" i="2"/>
  <c r="H18" i="2"/>
  <c r="H19" i="2"/>
  <c r="H20" i="2"/>
  <c r="H21" i="2"/>
  <c r="G14" i="2"/>
  <c r="G15" i="2"/>
  <c r="G16" i="2"/>
  <c r="G17" i="2"/>
  <c r="G18" i="2"/>
  <c r="G19" i="2"/>
  <c r="G20" i="2"/>
  <c r="G21" i="2"/>
  <c r="D21" i="2"/>
  <c r="D19" i="2"/>
  <c r="D20" i="2"/>
  <c r="D18" i="2"/>
  <c r="D17" i="2"/>
  <c r="D16" i="2"/>
  <c r="B16" i="2"/>
  <c r="B17" i="2"/>
  <c r="B18" i="2"/>
  <c r="B19" i="2"/>
  <c r="B20" i="2"/>
  <c r="B21" i="2"/>
  <c r="P54" i="3"/>
  <c r="G6" i="4" l="1"/>
  <c r="J22" i="2"/>
  <c r="J21" i="2"/>
  <c r="J20" i="2"/>
  <c r="J19" i="2"/>
  <c r="J18" i="2"/>
  <c r="J17" i="2"/>
  <c r="J16" i="2"/>
  <c r="A16" i="2"/>
  <c r="A17" i="2"/>
  <c r="A18" i="2"/>
  <c r="A19" i="2"/>
  <c r="A20" i="2"/>
  <c r="A21" i="2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9" i="2"/>
  <c r="A10" i="2"/>
  <c r="A11" i="2"/>
  <c r="A12" i="2"/>
  <c r="A13" i="2"/>
  <c r="A14" i="2"/>
  <c r="A15" i="2"/>
  <c r="J12" i="2"/>
  <c r="J13" i="2"/>
  <c r="J14" i="2"/>
  <c r="J15" i="2"/>
  <c r="J10" i="2" l="1"/>
  <c r="J9" i="2"/>
  <c r="J8" i="2"/>
  <c r="J7" i="2"/>
  <c r="J11" i="2" l="1"/>
  <c r="K67" i="3"/>
  <c r="K10" i="3" l="1"/>
  <c r="A37" i="4" l="1"/>
  <c r="I6" i="2"/>
  <c r="H6" i="2"/>
  <c r="G6" i="2"/>
  <c r="D6" i="2"/>
  <c r="B6" i="2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2"/>
  <c r="J6" i="2" l="1"/>
  <c r="G35" i="4" l="1"/>
  <c r="F30" i="3" s="1"/>
  <c r="F29" i="3"/>
  <c r="G36" i="4" l="1"/>
  <c r="F31" i="3" s="1"/>
</calcChain>
</file>

<file path=xl/sharedStrings.xml><?xml version="1.0" encoding="utf-8"?>
<sst xmlns="http://schemas.openxmlformats.org/spreadsheetml/2006/main" count="299" uniqueCount="186">
  <si>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</si>
  <si>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</si>
  <si>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</si>
  <si>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</si>
  <si>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</si>
  <si>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</si>
  <si>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</si>
  <si>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</si>
  <si>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</si>
  <si>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</si>
  <si>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</si>
  <si>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</si>
  <si>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</si>
  <si>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</si>
  <si>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</si>
  <si>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</si>
  <si>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</si>
  <si>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</si>
  <si>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</si>
  <si>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</si>
  <si>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</si>
  <si>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</si>
  <si>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</si>
  <si>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</si>
  <si>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</si>
  <si>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</si>
  <si>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</si>
  <si>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</si>
  <si>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</si>
  <si>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</si>
  <si>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</si>
  <si>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</si>
  <si>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</si>
  <si>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</si>
  <si>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</si>
  <si>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</si>
  <si>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</si>
  <si>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</si>
  <si>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</si>
  <si>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</si>
  <si>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</si>
  <si>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</si>
  <si>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</si>
  <si>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</si>
  <si>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</si>
  <si>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</si>
  <si>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</si>
  <si>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</si>
  <si>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</si>
  <si>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</si>
  <si>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</si>
  <si>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</si>
  <si>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</si>
  <si>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</si>
  <si>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</si>
  <si>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</si>
  <si>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</si>
  <si>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</si>
  <si>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</si>
  <si>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</si>
  <si>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</si>
  <si>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</si>
  <si>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</si>
  <si>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</si>
  <si>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</si>
  <si>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</si>
  <si>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</si>
  <si>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</si>
  <si>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</si>
  <si>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</si>
  <si>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</si>
  <si>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</si>
  <si>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</si>
  <si>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</si>
  <si>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</si>
  <si>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</si>
  <si>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</si>
  <si>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</si>
  <si>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</si>
  <si>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</si>
  <si>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</si>
  <si>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</si>
  <si>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</si>
  <si>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</si>
  <si>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</si>
  <si>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</si>
  <si>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</si>
  <si>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</si>
  <si>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</si>
  <si>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</si>
  <si>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</si>
  <si>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</si>
  <si>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</si>
  <si>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</si>
  <si>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</si>
  <si>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</si>
  <si>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</si>
  <si>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</si>
  <si>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</si>
  <si>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</si>
  <si>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</si>
  <si>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</si>
  <si>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</si>
  <si>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</si>
  <si>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</si>
  <si>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</si>
  <si>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</si>
  <si>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</si>
  <si>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</si>
  <si>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</si>
  <si>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</si>
  <si>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</si>
  <si>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</si>
  <si>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</si>
  <si>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</si>
  <si>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</si>
  <si>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</si>
  <si>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</si>
  <si>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</si>
  <si>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</si>
  <si>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</si>
  <si>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</si>
  <si>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</si>
  <si>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</si>
  <si>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</si>
  <si>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</si>
  <si>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</si>
  <si>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</si>
  <si>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</si>
  <si>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</si>
  <si>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A4 Box File</t>
  </si>
  <si>
    <t>A3 Paper - Atlas</t>
  </si>
  <si>
    <t>A4 Paper - Omnia</t>
  </si>
  <si>
    <t>Permanent Marker - 2 Sides</t>
  </si>
  <si>
    <t>White Board Marker</t>
  </si>
  <si>
    <t>Paper Punch - 2 Holes</t>
  </si>
  <si>
    <t>Stapler Pins</t>
  </si>
  <si>
    <t>Bread</t>
  </si>
  <si>
    <t>Safety Shoes</t>
  </si>
  <si>
    <t>Safety Glasses</t>
  </si>
  <si>
    <t>Sign Here Stickers</t>
  </si>
  <si>
    <t>Wired Mouse</t>
  </si>
  <si>
    <t>Dp To Hdmi Cable</t>
  </si>
  <si>
    <t>Hp Toner 106 A</t>
  </si>
  <si>
    <t>A3 Lamination Pouch</t>
  </si>
  <si>
    <t>A4 Lamination Pouch</t>
  </si>
  <si>
    <t>Sticky Notes</t>
  </si>
  <si>
    <t>Toilet Tissue</t>
  </si>
  <si>
    <t>Soap</t>
  </si>
  <si>
    <t>Shampoo</t>
  </si>
  <si>
    <t>Toothbrush</t>
  </si>
  <si>
    <t>Tooth Paste</t>
  </si>
  <si>
    <t>Red Tea - Rabea Classic</t>
  </si>
  <si>
    <t>Coffee - Nescafe Classic</t>
  </si>
  <si>
    <t>Sugar</t>
  </si>
  <si>
    <t>Water - 1.5 Ltrs</t>
  </si>
  <si>
    <t>Hand Gloves</t>
  </si>
  <si>
    <t>26/65M</t>
  </si>
  <si>
    <t>24*1</t>
  </si>
  <si>
    <t>2Inch 30*1</t>
  </si>
  <si>
    <t>5 Reams / Box</t>
  </si>
  <si>
    <t>80 Gsm 5 Reams/ Box</t>
  </si>
  <si>
    <t>Deli</t>
  </si>
  <si>
    <t>Blue/ Black/ Red</t>
  </si>
  <si>
    <t/>
  </si>
  <si>
    <t>Dark</t>
  </si>
  <si>
    <t>Clear</t>
  </si>
  <si>
    <t>Black</t>
  </si>
  <si>
    <t>5Pkts/ Box</t>
  </si>
  <si>
    <t>10Pkts/ Box</t>
  </si>
  <si>
    <t>Fantastic, Size 76.2*76.2 Mm</t>
  </si>
  <si>
    <t>Mouchoir - 1*12 Rolls/ Pkt</t>
  </si>
  <si>
    <t>Dove</t>
  </si>
  <si>
    <t>Head And Sholders</t>
  </si>
  <si>
    <t>Sensodyne</t>
  </si>
  <si>
    <t>100 Bags/ Pkt</t>
  </si>
  <si>
    <t>190 Grms</t>
  </si>
  <si>
    <t>1 Kg/ Pkt</t>
  </si>
  <si>
    <t>6 Bottles/ Pkt</t>
  </si>
  <si>
    <t>70Pcs*1*10Pkt</t>
  </si>
  <si>
    <t>BOX</t>
  </si>
  <si>
    <t>PKT</t>
  </si>
  <si>
    <t>"</t>
  </si>
  <si>
    <t>Office Consumables</t>
  </si>
  <si>
    <t>QUO-MAT-26081602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</si>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</sst>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2" fillId="0" borderId="12" xfId="0" quotePrefix="1" applyFont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882317</xdr:colOff>
          <xdr:row>35</xdr:row>
          <xdr:rowOff>73694</xdr:rowOff>
        </xdr:from>
        <xdr:to>
          <xdr:col>11</xdr:col>
          <xdr:colOff>1527511</xdr:colOff>
          <xdr:row>41</xdr:row>
          <xdr:rowOff>311819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8:$Y$43" spid="_x0000_s13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4396" y="9358062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0"/>
  <sheetViews>
    <sheetView showGridLines="0" tabSelected="1" view="pageBreakPreview" topLeftCell="A25" zoomScale="95" zoomScaleNormal="95" zoomScaleSheetLayoutView="95" workbookViewId="0">
      <selection activeCell="I46" sqref="I4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128</v>
      </c>
      <c r="B1" s="122"/>
      <c r="C1" s="92"/>
      <c r="D1" s="92"/>
      <c r="E1" s="92"/>
      <c r="F1" s="92"/>
      <c r="G1" s="1"/>
      <c r="J1" s="127" t="s">
        <v>81</v>
      </c>
      <c r="K1" s="128"/>
      <c r="L1" s="129"/>
    </row>
    <row r="2" spans="1:19" ht="20.100000000000001" customHeight="1">
      <c r="A2" s="3" t="s">
        <v>1</v>
      </c>
      <c r="B2" s="86"/>
      <c r="C2" s="86"/>
      <c r="D2" s="3" t="s">
        <v>129</v>
      </c>
      <c r="E2" s="86"/>
      <c r="F2" s="86"/>
      <c r="G2" s="86"/>
      <c r="H2" s="86"/>
      <c r="I2" s="4"/>
      <c r="J2" s="130" t="s">
        <v>92</v>
      </c>
      <c r="K2" s="131"/>
      <c r="L2" s="132"/>
    </row>
    <row r="3" spans="1:19" ht="20.100000000000001" customHeight="1">
      <c r="A3" s="3" t="s">
        <v>185</v>
      </c>
      <c r="B3" s="86"/>
      <c r="C3" s="86"/>
      <c r="D3" s="86"/>
      <c r="E3" s="133">
        <f>+L3+3</f>
        <v>46262</v>
      </c>
      <c r="F3" s="133"/>
      <c r="G3" s="133"/>
      <c r="H3" s="133"/>
      <c r="I3" s="133"/>
      <c r="J3" s="86"/>
      <c r="K3" s="86"/>
      <c r="L3" s="123">
        <v>46259</v>
      </c>
      <c r="M3" s="4"/>
    </row>
    <row r="4" spans="1:19" ht="21.75" customHeight="1">
      <c r="A4" s="125" t="s">
        <v>2</v>
      </c>
      <c r="B4" s="126" t="s">
        <v>3</v>
      </c>
      <c r="C4" s="126"/>
      <c r="D4" s="125" t="s">
        <v>4</v>
      </c>
      <c r="E4" s="125"/>
      <c r="F4" s="125"/>
      <c r="G4" s="126" t="s">
        <v>5</v>
      </c>
      <c r="H4" s="125" t="s">
        <v>6</v>
      </c>
      <c r="I4" s="125" t="s">
        <v>85</v>
      </c>
      <c r="J4" s="125" t="s">
        <v>86</v>
      </c>
      <c r="K4" s="125" t="s">
        <v>0</v>
      </c>
      <c r="L4" s="126" t="s">
        <v>7</v>
      </c>
    </row>
    <row r="5" spans="1:19" ht="21.75" customHeight="1">
      <c r="A5" s="125"/>
      <c r="B5" s="126"/>
      <c r="C5" s="126"/>
      <c r="D5" s="125"/>
      <c r="E5" s="125"/>
      <c r="F5" s="125"/>
      <c r="G5" s="126"/>
      <c r="H5" s="125"/>
      <c r="I5" s="125"/>
      <c r="J5" s="125"/>
      <c r="K5" s="125"/>
      <c r="L5" s="126"/>
    </row>
    <row r="6" spans="1:19" ht="19.5" customHeight="1">
      <c r="A6" s="96">
        <f t="shared" ref="A6:A33" si="0">ROW(A1)</f>
        <v>1</v>
      </c>
      <c r="B6" s="111" t="s">
        <v>130</v>
      </c>
      <c r="C6" s="112"/>
      <c r="D6" s="114" t="s">
        <v>159</v>
      </c>
      <c r="E6" s="114"/>
      <c r="F6" s="112"/>
      <c r="G6" s="97" t="s">
        <v>180</v>
      </c>
      <c r="H6" s="98">
        <v>15</v>
      </c>
      <c r="I6" s="99">
        <v>154</v>
      </c>
      <c r="J6" s="99">
        <f>+I6*H6</f>
        <v>2310</v>
      </c>
      <c r="K6" s="100" t="s">
        <v>89</v>
      </c>
      <c r="L6" s="124" t="s">
        <v>94</v>
      </c>
      <c r="S6" s="91"/>
    </row>
    <row r="7" spans="1:19" ht="19.5" customHeight="1">
      <c r="A7" s="96">
        <f t="shared" si="0"/>
        <v>2</v>
      </c>
      <c r="B7" s="111" t="s">
        <v>131</v>
      </c>
      <c r="C7" s="112"/>
      <c r="D7" s="114" t="s">
        <v>160</v>
      </c>
      <c r="E7" s="114"/>
      <c r="F7" s="112"/>
      <c r="G7" s="97" t="s">
        <v>180</v>
      </c>
      <c r="H7" s="98">
        <v>60</v>
      </c>
      <c r="I7" s="99">
        <v>160</v>
      </c>
      <c r="J7" s="99">
        <f t="shared" ref="J7:J33" si="1">+I7*H7</f>
        <v>9600</v>
      </c>
      <c r="K7" s="100" t="s">
        <v>182</v>
      </c>
      <c r="L7" s="124" t="s">
        <v>182</v>
      </c>
      <c r="S7" s="91"/>
    </row>
    <row r="8" spans="1:19" ht="19.5" customHeight="1">
      <c r="A8" s="96">
        <f t="shared" si="0"/>
        <v>3</v>
      </c>
      <c r="B8" s="111" t="s">
        <v>132</v>
      </c>
      <c r="C8" s="112"/>
      <c r="D8" s="114" t="s">
        <v>161</v>
      </c>
      <c r="E8" s="114"/>
      <c r="F8" s="112"/>
      <c r="G8" s="97" t="s">
        <v>180</v>
      </c>
      <c r="H8" s="98">
        <v>160</v>
      </c>
      <c r="I8" s="99">
        <v>62</v>
      </c>
      <c r="J8" s="99">
        <f t="shared" si="1"/>
        <v>9920</v>
      </c>
      <c r="K8" s="100" t="s">
        <v>182</v>
      </c>
      <c r="L8" s="124" t="s">
        <v>182</v>
      </c>
      <c r="S8" s="91"/>
    </row>
    <row r="9" spans="1:19" ht="19.5" customHeight="1">
      <c r="A9" s="96">
        <f t="shared" si="0"/>
        <v>4</v>
      </c>
      <c r="B9" s="111" t="s">
        <v>133</v>
      </c>
      <c r="C9" s="112"/>
      <c r="D9" s="114" t="s">
        <v>162</v>
      </c>
      <c r="E9" s="114"/>
      <c r="F9" s="112"/>
      <c r="G9" s="97" t="s">
        <v>181</v>
      </c>
      <c r="H9" s="98">
        <v>30</v>
      </c>
      <c r="I9" s="99">
        <v>17</v>
      </c>
      <c r="J9" s="99">
        <f t="shared" si="1"/>
        <v>510</v>
      </c>
      <c r="K9" s="100" t="s">
        <v>182</v>
      </c>
      <c r="L9" s="124" t="s">
        <v>182</v>
      </c>
      <c r="S9" s="91"/>
    </row>
    <row r="10" spans="1:19" ht="19.5" customHeight="1">
      <c r="A10" s="96">
        <f t="shared" si="0"/>
        <v>5</v>
      </c>
      <c r="B10" s="111" t="s">
        <v>134</v>
      </c>
      <c r="C10" s="112"/>
      <c r="D10" s="114" t="s">
        <v>163</v>
      </c>
      <c r="E10" s="114"/>
      <c r="F10" s="112"/>
      <c r="G10" s="97" t="s">
        <v>181</v>
      </c>
      <c r="H10" s="98">
        <v>30</v>
      </c>
      <c r="I10" s="99">
        <v>12</v>
      </c>
      <c r="J10" s="99">
        <f t="shared" si="1"/>
        <v>360</v>
      </c>
      <c r="K10" s="100" t="s">
        <v>182</v>
      </c>
      <c r="L10" s="124" t="s">
        <v>182</v>
      </c>
      <c r="S10" s="91"/>
    </row>
    <row r="11" spans="1:19" ht="19.5" customHeight="1">
      <c r="A11" s="96">
        <f t="shared" si="0"/>
        <v>6</v>
      </c>
      <c r="B11" s="111" t="s">
        <v>135</v>
      </c>
      <c r="C11" s="112"/>
      <c r="D11" s="114" t="s">
        <v>164</v>
      </c>
      <c r="E11" s="114"/>
      <c r="F11" s="112"/>
      <c r="G11" s="97" t="s">
        <v>88</v>
      </c>
      <c r="H11" s="98">
        <v>10</v>
      </c>
      <c r="I11" s="99">
        <v>24</v>
      </c>
      <c r="J11" s="99">
        <f t="shared" si="1"/>
        <v>240</v>
      </c>
      <c r="K11" s="100" t="s">
        <v>182</v>
      </c>
      <c r="L11" s="124" t="s">
        <v>182</v>
      </c>
      <c r="S11" s="91"/>
    </row>
    <row r="12" spans="1:19" ht="19.5" customHeight="1">
      <c r="A12" s="96">
        <f t="shared" si="0"/>
        <v>7</v>
      </c>
      <c r="B12" s="111" t="s">
        <v>136</v>
      </c>
      <c r="C12" s="112"/>
      <c r="D12" s="114" t="s">
        <v>157</v>
      </c>
      <c r="E12" s="114"/>
      <c r="F12" s="112"/>
      <c r="G12" s="97" t="s">
        <v>180</v>
      </c>
      <c r="H12" s="98">
        <v>3</v>
      </c>
      <c r="I12" s="99">
        <v>30</v>
      </c>
      <c r="J12" s="99">
        <f t="shared" si="1"/>
        <v>90</v>
      </c>
      <c r="K12" s="100" t="s">
        <v>182</v>
      </c>
      <c r="L12" s="124" t="s">
        <v>182</v>
      </c>
      <c r="S12" s="91"/>
    </row>
    <row r="13" spans="1:19" ht="19.5" customHeight="1">
      <c r="A13" s="96">
        <f t="shared" si="0"/>
        <v>8</v>
      </c>
      <c r="B13" s="111" t="s">
        <v>137</v>
      </c>
      <c r="C13" s="112"/>
      <c r="D13" s="114" t="s">
        <v>164</v>
      </c>
      <c r="E13" s="114"/>
      <c r="F13" s="112"/>
      <c r="G13" s="97" t="s">
        <v>88</v>
      </c>
      <c r="H13" s="98">
        <v>3000</v>
      </c>
      <c r="I13" s="99">
        <v>1.25</v>
      </c>
      <c r="J13" s="99">
        <f t="shared" si="1"/>
        <v>3750</v>
      </c>
      <c r="K13" s="100" t="s">
        <v>182</v>
      </c>
      <c r="L13" s="124" t="s">
        <v>182</v>
      </c>
      <c r="S13" s="91"/>
    </row>
    <row r="14" spans="1:19" ht="19.5" customHeight="1">
      <c r="A14" s="96">
        <f t="shared" si="0"/>
        <v>9</v>
      </c>
      <c r="B14" s="111" t="s">
        <v>138</v>
      </c>
      <c r="C14" s="112"/>
      <c r="D14" s="114" t="s">
        <v>164</v>
      </c>
      <c r="E14" s="114"/>
      <c r="F14" s="112"/>
      <c r="G14" s="97" t="s">
        <v>88</v>
      </c>
      <c r="H14" s="98">
        <v>500</v>
      </c>
      <c r="I14" s="99">
        <v>63.5</v>
      </c>
      <c r="J14" s="99">
        <f t="shared" si="1"/>
        <v>31750</v>
      </c>
      <c r="K14" s="100" t="s">
        <v>182</v>
      </c>
      <c r="L14" s="124" t="s">
        <v>182</v>
      </c>
      <c r="S14" s="91"/>
    </row>
    <row r="15" spans="1:19" ht="19.5" customHeight="1">
      <c r="A15" s="96">
        <f t="shared" si="0"/>
        <v>10</v>
      </c>
      <c r="B15" s="111" t="s">
        <v>139</v>
      </c>
      <c r="C15" s="112"/>
      <c r="D15" s="114" t="s">
        <v>165</v>
      </c>
      <c r="E15" s="114"/>
      <c r="F15" s="112"/>
      <c r="G15" s="97" t="s">
        <v>88</v>
      </c>
      <c r="H15" s="98">
        <v>500</v>
      </c>
      <c r="I15" s="99">
        <v>3</v>
      </c>
      <c r="J15" s="99">
        <f t="shared" si="1"/>
        <v>1500</v>
      </c>
      <c r="K15" s="100" t="s">
        <v>182</v>
      </c>
      <c r="L15" s="124" t="s">
        <v>182</v>
      </c>
      <c r="S15" s="91"/>
    </row>
    <row r="16" spans="1:19" ht="19.5" customHeight="1">
      <c r="A16" s="96">
        <f t="shared" si="0"/>
        <v>11</v>
      </c>
      <c r="B16" s="111" t="s">
        <v>139</v>
      </c>
      <c r="C16" s="112"/>
      <c r="D16" s="114" t="s">
        <v>166</v>
      </c>
      <c r="E16" s="114"/>
      <c r="F16" s="112"/>
      <c r="G16" s="97" t="s">
        <v>88</v>
      </c>
      <c r="H16" s="98">
        <v>500</v>
      </c>
      <c r="I16" s="99">
        <v>3</v>
      </c>
      <c r="J16" s="99">
        <f t="shared" si="1"/>
        <v>1500</v>
      </c>
      <c r="K16" s="100" t="s">
        <v>182</v>
      </c>
      <c r="L16" s="124" t="s">
        <v>182</v>
      </c>
      <c r="S16" s="91"/>
    </row>
    <row r="17" spans="1:19" ht="19.5" customHeight="1">
      <c r="A17" s="96">
        <f t="shared" si="0"/>
        <v>12</v>
      </c>
      <c r="B17" s="111" t="s">
        <v>140</v>
      </c>
      <c r="C17" s="112"/>
      <c r="D17" s="114" t="s">
        <v>158</v>
      </c>
      <c r="E17" s="114"/>
      <c r="F17" s="112"/>
      <c r="G17" s="97" t="s">
        <v>180</v>
      </c>
      <c r="H17" s="98">
        <v>20</v>
      </c>
      <c r="I17" s="99">
        <v>100</v>
      </c>
      <c r="J17" s="99">
        <f t="shared" si="1"/>
        <v>2000</v>
      </c>
      <c r="K17" s="100" t="s">
        <v>182</v>
      </c>
      <c r="L17" s="124" t="s">
        <v>182</v>
      </c>
      <c r="S17" s="91"/>
    </row>
    <row r="18" spans="1:19" ht="19.5" customHeight="1">
      <c r="A18" s="96">
        <f t="shared" si="0"/>
        <v>13</v>
      </c>
      <c r="B18" s="111" t="s">
        <v>141</v>
      </c>
      <c r="C18" s="112"/>
      <c r="D18" s="114" t="s">
        <v>164</v>
      </c>
      <c r="E18" s="114"/>
      <c r="F18" s="112"/>
      <c r="G18" s="97" t="s">
        <v>88</v>
      </c>
      <c r="H18" s="98">
        <v>20</v>
      </c>
      <c r="I18" s="99">
        <v>22</v>
      </c>
      <c r="J18" s="99">
        <f t="shared" si="1"/>
        <v>440</v>
      </c>
      <c r="K18" s="100" t="s">
        <v>182</v>
      </c>
      <c r="L18" s="124" t="s">
        <v>182</v>
      </c>
      <c r="S18" s="91"/>
    </row>
    <row r="19" spans="1:19" ht="19.5" customHeight="1">
      <c r="A19" s="96">
        <f t="shared" si="0"/>
        <v>14</v>
      </c>
      <c r="B19" s="111" t="s">
        <v>142</v>
      </c>
      <c r="C19" s="112"/>
      <c r="D19" s="114" t="s">
        <v>164</v>
      </c>
      <c r="E19" s="114"/>
      <c r="F19" s="112"/>
      <c r="G19" s="97" t="s">
        <v>88</v>
      </c>
      <c r="H19" s="98">
        <v>10</v>
      </c>
      <c r="I19" s="99">
        <v>38</v>
      </c>
      <c r="J19" s="99">
        <f t="shared" si="1"/>
        <v>380</v>
      </c>
      <c r="K19" s="100" t="s">
        <v>182</v>
      </c>
      <c r="L19" s="124" t="s">
        <v>182</v>
      </c>
      <c r="S19" s="91"/>
    </row>
    <row r="20" spans="1:19" ht="19.5" customHeight="1">
      <c r="A20" s="96">
        <f t="shared" si="0"/>
        <v>15</v>
      </c>
      <c r="B20" s="111" t="s">
        <v>143</v>
      </c>
      <c r="C20" s="112"/>
      <c r="D20" s="114" t="s">
        <v>167</v>
      </c>
      <c r="E20" s="114"/>
      <c r="F20" s="112"/>
      <c r="G20" s="97" t="s">
        <v>88</v>
      </c>
      <c r="H20" s="98">
        <v>6</v>
      </c>
      <c r="I20" s="99">
        <v>237</v>
      </c>
      <c r="J20" s="99">
        <f t="shared" si="1"/>
        <v>1422</v>
      </c>
      <c r="K20" s="100" t="s">
        <v>182</v>
      </c>
      <c r="L20" s="124" t="s">
        <v>182</v>
      </c>
      <c r="S20" s="91"/>
    </row>
    <row r="21" spans="1:19" ht="19.5" customHeight="1">
      <c r="A21" s="96">
        <f t="shared" si="0"/>
        <v>16</v>
      </c>
      <c r="B21" s="111" t="s">
        <v>144</v>
      </c>
      <c r="C21" s="112"/>
      <c r="D21" s="114" t="s">
        <v>168</v>
      </c>
      <c r="E21" s="114"/>
      <c r="F21" s="112"/>
      <c r="G21" s="97" t="s">
        <v>180</v>
      </c>
      <c r="H21" s="98">
        <v>5</v>
      </c>
      <c r="I21" s="99">
        <v>275</v>
      </c>
      <c r="J21" s="99">
        <f t="shared" si="1"/>
        <v>1375</v>
      </c>
      <c r="K21" s="100" t="s">
        <v>182</v>
      </c>
      <c r="L21" s="124" t="s">
        <v>182</v>
      </c>
      <c r="S21" s="91"/>
    </row>
    <row r="22" spans="1:19" ht="19.5" customHeight="1">
      <c r="A22" s="96">
        <f t="shared" si="0"/>
        <v>17</v>
      </c>
      <c r="B22" s="111" t="s">
        <v>145</v>
      </c>
      <c r="C22" s="112"/>
      <c r="D22" s="114" t="s">
        <v>169</v>
      </c>
      <c r="E22" s="114"/>
      <c r="F22" s="112"/>
      <c r="G22" s="97" t="s">
        <v>180</v>
      </c>
      <c r="H22" s="98">
        <v>5</v>
      </c>
      <c r="I22" s="99">
        <v>288</v>
      </c>
      <c r="J22" s="99">
        <f t="shared" si="1"/>
        <v>1440</v>
      </c>
      <c r="K22" s="100" t="s">
        <v>182</v>
      </c>
      <c r="L22" s="124" t="s">
        <v>182</v>
      </c>
      <c r="S22" s="91"/>
    </row>
    <row r="23" spans="1:19" ht="19.5" customHeight="1">
      <c r="A23" s="96">
        <f t="shared" si="0"/>
        <v>18</v>
      </c>
      <c r="B23" s="111" t="s">
        <v>146</v>
      </c>
      <c r="C23" s="112"/>
      <c r="D23" s="114" t="s">
        <v>170</v>
      </c>
      <c r="E23" s="114"/>
      <c r="F23" s="112"/>
      <c r="G23" s="97" t="s">
        <v>181</v>
      </c>
      <c r="H23" s="98">
        <v>30</v>
      </c>
      <c r="I23" s="99">
        <v>12</v>
      </c>
      <c r="J23" s="99">
        <f t="shared" si="1"/>
        <v>360</v>
      </c>
      <c r="K23" s="100" t="s">
        <v>182</v>
      </c>
      <c r="L23" s="124" t="s">
        <v>182</v>
      </c>
      <c r="S23" s="91"/>
    </row>
    <row r="24" spans="1:19" ht="19.5" customHeight="1">
      <c r="A24" s="96">
        <f t="shared" si="0"/>
        <v>19</v>
      </c>
      <c r="B24" s="111" t="s">
        <v>147</v>
      </c>
      <c r="C24" s="112"/>
      <c r="D24" s="114" t="s">
        <v>171</v>
      </c>
      <c r="E24" s="114"/>
      <c r="F24" s="112"/>
      <c r="G24" s="97" t="s">
        <v>181</v>
      </c>
      <c r="H24" s="98">
        <v>100</v>
      </c>
      <c r="I24" s="99">
        <v>15.25</v>
      </c>
      <c r="J24" s="99">
        <f t="shared" si="1"/>
        <v>1525</v>
      </c>
      <c r="K24" s="100" t="s">
        <v>182</v>
      </c>
      <c r="L24" s="124" t="s">
        <v>182</v>
      </c>
      <c r="S24" s="91"/>
    </row>
    <row r="25" spans="1:19" ht="19.5" customHeight="1">
      <c r="A25" s="96">
        <f t="shared" si="0"/>
        <v>20</v>
      </c>
      <c r="B25" s="111" t="s">
        <v>148</v>
      </c>
      <c r="C25" s="112"/>
      <c r="D25" s="114" t="s">
        <v>172</v>
      </c>
      <c r="E25" s="114"/>
      <c r="F25" s="112"/>
      <c r="G25" s="97" t="s">
        <v>88</v>
      </c>
      <c r="H25" s="98">
        <v>20</v>
      </c>
      <c r="I25" s="99">
        <v>6</v>
      </c>
      <c r="J25" s="99">
        <f t="shared" si="1"/>
        <v>120</v>
      </c>
      <c r="K25" s="100" t="s">
        <v>182</v>
      </c>
      <c r="L25" s="124" t="s">
        <v>182</v>
      </c>
      <c r="S25" s="91"/>
    </row>
    <row r="26" spans="1:19" ht="19.5" customHeight="1">
      <c r="A26" s="96">
        <f t="shared" si="0"/>
        <v>21</v>
      </c>
      <c r="B26" s="111" t="s">
        <v>149</v>
      </c>
      <c r="C26" s="112"/>
      <c r="D26" s="114" t="s">
        <v>173</v>
      </c>
      <c r="E26" s="114"/>
      <c r="F26" s="112"/>
      <c r="G26" s="97" t="s">
        <v>88</v>
      </c>
      <c r="H26" s="98">
        <v>20</v>
      </c>
      <c r="I26" s="99">
        <v>13</v>
      </c>
      <c r="J26" s="99">
        <f t="shared" si="1"/>
        <v>260</v>
      </c>
      <c r="K26" s="100" t="s">
        <v>182</v>
      </c>
      <c r="L26" s="124" t="s">
        <v>182</v>
      </c>
      <c r="S26" s="91"/>
    </row>
    <row r="27" spans="1:19" ht="19.5" customHeight="1">
      <c r="A27" s="96">
        <f t="shared" si="0"/>
        <v>22</v>
      </c>
      <c r="B27" s="111" t="s">
        <v>150</v>
      </c>
      <c r="C27" s="112"/>
      <c r="D27" s="114" t="s">
        <v>174</v>
      </c>
      <c r="E27" s="114"/>
      <c r="F27" s="112"/>
      <c r="G27" s="97" t="s">
        <v>88</v>
      </c>
      <c r="H27" s="98">
        <v>20</v>
      </c>
      <c r="I27" s="99">
        <v>7</v>
      </c>
      <c r="J27" s="99">
        <f t="shared" si="1"/>
        <v>140</v>
      </c>
      <c r="K27" s="100" t="s">
        <v>182</v>
      </c>
      <c r="L27" s="124" t="s">
        <v>182</v>
      </c>
      <c r="S27" s="91"/>
    </row>
    <row r="28" spans="1:19" ht="19.5" customHeight="1">
      <c r="A28" s="96">
        <f t="shared" si="0"/>
        <v>23</v>
      </c>
      <c r="B28" s="111" t="s">
        <v>151</v>
      </c>
      <c r="C28" s="112"/>
      <c r="D28" s="114" t="s">
        <v>174</v>
      </c>
      <c r="E28" s="114"/>
      <c r="F28" s="112"/>
      <c r="G28" s="97" t="s">
        <v>88</v>
      </c>
      <c r="H28" s="98">
        <v>20</v>
      </c>
      <c r="I28" s="99">
        <v>30</v>
      </c>
      <c r="J28" s="99">
        <f t="shared" si="1"/>
        <v>600</v>
      </c>
      <c r="K28" s="100" t="s">
        <v>182</v>
      </c>
      <c r="L28" s="124" t="s">
        <v>182</v>
      </c>
      <c r="S28" s="91"/>
    </row>
    <row r="29" spans="1:19" ht="19.5" customHeight="1">
      <c r="A29" s="96">
        <f t="shared" si="0"/>
        <v>24</v>
      </c>
      <c r="B29" s="111" t="s">
        <v>152</v>
      </c>
      <c r="C29" s="112"/>
      <c r="D29" s="114" t="s">
        <v>175</v>
      </c>
      <c r="E29" s="114"/>
      <c r="F29" s="112"/>
      <c r="G29" s="97" t="s">
        <v>181</v>
      </c>
      <c r="H29" s="98">
        <v>48</v>
      </c>
      <c r="I29" s="99">
        <v>10.41</v>
      </c>
      <c r="J29" s="99">
        <f t="shared" si="1"/>
        <v>499.68</v>
      </c>
      <c r="K29" s="100" t="s">
        <v>182</v>
      </c>
      <c r="L29" s="124" t="s">
        <v>182</v>
      </c>
      <c r="S29" s="91"/>
    </row>
    <row r="30" spans="1:19" ht="19.5" customHeight="1">
      <c r="A30" s="96">
        <f t="shared" si="0"/>
        <v>25</v>
      </c>
      <c r="B30" s="111" t="s">
        <v>153</v>
      </c>
      <c r="C30" s="112"/>
      <c r="D30" s="114" t="s">
        <v>176</v>
      </c>
      <c r="E30" s="114"/>
      <c r="F30" s="112"/>
      <c r="G30" s="97" t="s">
        <v>88</v>
      </c>
      <c r="H30" s="98">
        <v>48</v>
      </c>
      <c r="I30" s="99">
        <v>24</v>
      </c>
      <c r="J30" s="99">
        <f t="shared" si="1"/>
        <v>1152</v>
      </c>
      <c r="K30" s="100" t="s">
        <v>182</v>
      </c>
      <c r="L30" s="124" t="s">
        <v>182</v>
      </c>
      <c r="S30" s="91"/>
    </row>
    <row r="31" spans="1:19" ht="19.5" customHeight="1">
      <c r="A31" s="96">
        <f t="shared" si="0"/>
        <v>26</v>
      </c>
      <c r="B31" s="111" t="s">
        <v>154</v>
      </c>
      <c r="C31" s="112"/>
      <c r="D31" s="114" t="s">
        <v>177</v>
      </c>
      <c r="E31" s="114"/>
      <c r="F31" s="112"/>
      <c r="G31" s="97" t="s">
        <v>180</v>
      </c>
      <c r="H31" s="98">
        <v>2</v>
      </c>
      <c r="I31" s="99">
        <v>70</v>
      </c>
      <c r="J31" s="99">
        <f t="shared" si="1"/>
        <v>140</v>
      </c>
      <c r="K31" s="100" t="s">
        <v>182</v>
      </c>
      <c r="L31" s="124" t="s">
        <v>182</v>
      </c>
      <c r="S31" s="91"/>
    </row>
    <row r="32" spans="1:19" ht="19.5" customHeight="1">
      <c r="A32" s="96">
        <f t="shared" si="0"/>
        <v>27</v>
      </c>
      <c r="B32" s="111" t="s">
        <v>155</v>
      </c>
      <c r="C32" s="112"/>
      <c r="D32" s="114" t="s">
        <v>178</v>
      </c>
      <c r="E32" s="114"/>
      <c r="F32" s="112"/>
      <c r="G32" s="97" t="s">
        <v>181</v>
      </c>
      <c r="H32" s="98">
        <v>500</v>
      </c>
      <c r="I32" s="99">
        <v>6.5</v>
      </c>
      <c r="J32" s="99">
        <f t="shared" si="1"/>
        <v>3250</v>
      </c>
      <c r="K32" s="100" t="s">
        <v>182</v>
      </c>
      <c r="L32" s="124" t="s">
        <v>182</v>
      </c>
      <c r="S32" s="91"/>
    </row>
    <row r="33" spans="1:26" ht="19.5" customHeight="1">
      <c r="A33" s="96">
        <f t="shared" si="0"/>
        <v>28</v>
      </c>
      <c r="B33" s="111" t="s">
        <v>156</v>
      </c>
      <c r="C33" s="112"/>
      <c r="D33" s="114" t="s">
        <v>179</v>
      </c>
      <c r="E33" s="114"/>
      <c r="F33" s="112"/>
      <c r="G33" s="97" t="s">
        <v>181</v>
      </c>
      <c r="H33" s="98">
        <v>10</v>
      </c>
      <c r="I33" s="99">
        <v>10</v>
      </c>
      <c r="J33" s="99">
        <f t="shared" si="1"/>
        <v>100</v>
      </c>
      <c r="K33" s="100" t="s">
        <v>182</v>
      </c>
      <c r="L33" s="124" t="s">
        <v>182</v>
      </c>
      <c r="S33" s="91"/>
    </row>
    <row r="34" spans="1:26" ht="19.5" customHeight="1">
      <c r="A34" s="137" t="s">
        <v>8</v>
      </c>
      <c r="B34" s="138"/>
      <c r="C34" s="103"/>
      <c r="D34" s="104"/>
      <c r="E34" s="104"/>
      <c r="F34" s="104"/>
      <c r="G34" s="105"/>
      <c r="H34" s="106"/>
      <c r="I34" s="102" t="s">
        <v>9</v>
      </c>
      <c r="J34" s="99">
        <f>SUM(J6:J33)</f>
        <v>76733.679999999993</v>
      </c>
      <c r="K34" s="99"/>
      <c r="L34" s="101"/>
    </row>
    <row r="35" spans="1:26" ht="25.5" customHeight="1">
      <c r="A35" s="95" t="s">
        <v>10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</row>
    <row r="36" spans="1:26" ht="18" customHeight="1">
      <c r="A36" s="7"/>
      <c r="J36" s="1"/>
      <c r="K36" s="1"/>
      <c r="O36" s="8"/>
      <c r="P36" s="8"/>
      <c r="Q36" s="8"/>
      <c r="R36" s="8"/>
      <c r="S36" s="8"/>
      <c r="T36" s="8"/>
      <c r="U36" s="8"/>
      <c r="V36" s="8"/>
      <c r="W36" s="8"/>
      <c r="Y36" s="145"/>
      <c r="Z36" s="8"/>
    </row>
    <row r="37" spans="1:26" ht="50.1" customHeight="1">
      <c r="Y37" s="146"/>
    </row>
    <row r="38" spans="1:26" ht="15" customHeight="1">
      <c r="O38" s="141" t="s">
        <v>116</v>
      </c>
      <c r="P38" s="147"/>
      <c r="Q38" s="147"/>
      <c r="R38" s="142"/>
      <c r="S38" s="113"/>
      <c r="T38" s="141" t="s">
        <v>117</v>
      </c>
      <c r="U38" s="147"/>
      <c r="V38" s="147"/>
      <c r="W38" s="147"/>
      <c r="X38" s="147"/>
      <c r="Y38" s="142"/>
    </row>
    <row r="39" spans="1:26" ht="15" customHeight="1">
      <c r="O39" s="140" t="s">
        <v>118</v>
      </c>
      <c r="P39" s="134" t="s">
        <v>119</v>
      </c>
      <c r="Q39" s="140" t="s">
        <v>120</v>
      </c>
      <c r="R39" s="134" t="s">
        <v>121</v>
      </c>
      <c r="S39" s="113"/>
      <c r="T39" s="140" t="s">
        <v>122</v>
      </c>
      <c r="U39" s="134" t="s">
        <v>123</v>
      </c>
      <c r="V39" s="141" t="s">
        <v>124</v>
      </c>
      <c r="W39" s="147"/>
      <c r="X39" s="142"/>
      <c r="Y39" s="134" t="s">
        <v>125</v>
      </c>
    </row>
    <row r="40" spans="1:26" ht="18" customHeight="1">
      <c r="O40" s="136"/>
      <c r="P40" s="135"/>
      <c r="Q40" s="136"/>
      <c r="R40" s="135"/>
      <c r="S40" s="115"/>
      <c r="T40" s="136"/>
      <c r="U40" s="135"/>
      <c r="V40" s="10" t="s">
        <v>118</v>
      </c>
      <c r="W40" s="148" t="s">
        <v>126</v>
      </c>
      <c r="X40" s="149"/>
      <c r="Y40" s="135"/>
    </row>
    <row r="41" spans="1:26" ht="50.1" customHeight="1">
      <c r="O41" s="11"/>
      <c r="P41" s="11"/>
      <c r="Q41" s="11"/>
      <c r="R41" s="11"/>
      <c r="S41" s="113"/>
      <c r="T41" s="11"/>
      <c r="U41" s="11"/>
      <c r="V41" s="11"/>
      <c r="W41" s="141"/>
      <c r="X41" s="142"/>
      <c r="Y41" s="116"/>
    </row>
    <row r="42" spans="1:26" ht="36" customHeight="1">
      <c r="W42" s="117"/>
      <c r="X42" s="143" t="s">
        <v>127</v>
      </c>
      <c r="Y42" s="9" t="s">
        <v>125</v>
      </c>
    </row>
    <row r="43" spans="1:26" ht="50.1" customHeight="1">
      <c r="O43" s="118"/>
      <c r="P43" s="118"/>
      <c r="Q43" s="118"/>
      <c r="R43" s="118"/>
      <c r="S43" s="118"/>
      <c r="T43" s="118"/>
      <c r="U43" s="118"/>
      <c r="V43" s="118"/>
      <c r="W43" s="119"/>
      <c r="X43" s="144"/>
      <c r="Y43" s="120"/>
    </row>
    <row r="44" spans="1:26" ht="19.899999999999999" customHeight="1"/>
    <row r="45" spans="1:26" ht="17.45" customHeight="1">
      <c r="O45" s="139"/>
      <c r="P45" s="139"/>
      <c r="Q45" s="139"/>
    </row>
    <row r="46" spans="1:26" ht="19.899999999999999" customHeight="1">
      <c r="O46" s="139"/>
      <c r="P46" s="139"/>
      <c r="Q46" s="139"/>
    </row>
    <row r="47" spans="1:26" ht="14.25">
      <c r="O47" s="8"/>
      <c r="P47" s="8"/>
      <c r="Q47" s="8"/>
    </row>
    <row r="48" spans="1:26" ht="65.099999999999994" customHeight="1"/>
    <row r="49" spans="15:22" ht="14.25">
      <c r="O49" s="8"/>
      <c r="P49" s="8"/>
      <c r="Q49" s="8"/>
    </row>
    <row r="50" spans="15:22" ht="19.899999999999999" customHeight="1"/>
    <row r="51" spans="15:22" ht="14.25"/>
    <row r="52" spans="15:22" ht="19.899999999999999" customHeight="1"/>
    <row r="53" spans="15:22" ht="14.25"/>
    <row r="54" spans="15:22" ht="19.899999999999999" customHeight="1"/>
    <row r="55" spans="15:22" ht="19.899999999999999" customHeight="1"/>
    <row r="56" spans="15:22" ht="64.900000000000006" customHeight="1"/>
    <row r="58" spans="15:22" ht="19.899999999999999" customHeight="1">
      <c r="T58" s="134" t="s">
        <v>12</v>
      </c>
    </row>
    <row r="59" spans="15:22" ht="19.899999999999999" customHeight="1">
      <c r="T59" s="135"/>
    </row>
    <row r="60" spans="15:22" ht="64.900000000000006" customHeight="1">
      <c r="T60" s="11"/>
    </row>
    <row r="64" spans="15:22" ht="21" customHeight="1">
      <c r="O64" s="134" t="s">
        <v>12</v>
      </c>
      <c r="P64" s="134" t="s">
        <v>12</v>
      </c>
      <c r="Q64" s="134" t="s">
        <v>12</v>
      </c>
      <c r="T64" s="134" t="s">
        <v>13</v>
      </c>
      <c r="U64" s="134" t="s">
        <v>11</v>
      </c>
      <c r="V64" s="134" t="s">
        <v>12</v>
      </c>
    </row>
    <row r="65" spans="15:22" ht="21" customHeight="1">
      <c r="O65" s="135"/>
      <c r="P65" s="135"/>
      <c r="Q65" s="135"/>
      <c r="T65" s="136"/>
      <c r="U65" s="136"/>
      <c r="V65" s="135"/>
    </row>
    <row r="66" spans="15:22" ht="64.900000000000006" customHeight="1">
      <c r="O66" s="11"/>
      <c r="P66" s="11"/>
      <c r="Q66" s="11"/>
      <c r="T66" s="11"/>
      <c r="U66" s="12"/>
      <c r="V66" s="11"/>
    </row>
    <row r="67" spans="15:22" ht="7.15" customHeight="1"/>
    <row r="68" spans="15:22" ht="21" customHeight="1">
      <c r="O68" s="134" t="s">
        <v>12</v>
      </c>
      <c r="P68" s="134" t="s">
        <v>12</v>
      </c>
      <c r="Q68" s="134" t="s">
        <v>12</v>
      </c>
      <c r="T68" s="134" t="s">
        <v>11</v>
      </c>
      <c r="U68" s="134" t="s">
        <v>13</v>
      </c>
      <c r="V68" s="134" t="s">
        <v>12</v>
      </c>
    </row>
    <row r="69" spans="15:22" ht="21" customHeight="1">
      <c r="O69" s="135"/>
      <c r="P69" s="135"/>
      <c r="Q69" s="135"/>
      <c r="T69" s="136"/>
      <c r="U69" s="136"/>
      <c r="V69" s="135"/>
    </row>
    <row r="70" spans="15:22" ht="64.900000000000006" customHeight="1">
      <c r="O70" s="11"/>
      <c r="P70" s="11"/>
      <c r="Q70" s="11"/>
      <c r="T70" s="12"/>
      <c r="U70" s="11"/>
      <c r="V70" s="11"/>
    </row>
  </sheetData>
  <mergeCells count="43">
    <mergeCell ref="W41:X41"/>
    <mergeCell ref="X42:X43"/>
    <mergeCell ref="Y36:Y37"/>
    <mergeCell ref="O38:R38"/>
    <mergeCell ref="T38:Y38"/>
    <mergeCell ref="O39:O40"/>
    <mergeCell ref="R39:R40"/>
    <mergeCell ref="T39:T40"/>
    <mergeCell ref="U39:U40"/>
    <mergeCell ref="V39:X39"/>
    <mergeCell ref="Y39:Y40"/>
    <mergeCell ref="W40:X40"/>
    <mergeCell ref="A34:B34"/>
    <mergeCell ref="P45:P46"/>
    <mergeCell ref="Q45:Q46"/>
    <mergeCell ref="O45:O46"/>
    <mergeCell ref="U64:U65"/>
    <mergeCell ref="T58:T59"/>
    <mergeCell ref="P39:P40"/>
    <mergeCell ref="Q39:Q40"/>
    <mergeCell ref="V64:V65"/>
    <mergeCell ref="O68:O69"/>
    <mergeCell ref="P68:P69"/>
    <mergeCell ref="Q68:Q69"/>
    <mergeCell ref="T68:T69"/>
    <mergeCell ref="U68:U69"/>
    <mergeCell ref="V68:V69"/>
    <mergeCell ref="O64:O65"/>
    <mergeCell ref="P64:P65"/>
    <mergeCell ref="Q64:Q65"/>
    <mergeCell ref="T64:T65"/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1" activePane="bottomLeft" state="frozen"/>
      <selection activeCell="D30" sqref="D30"/>
      <selection pane="bottomLeft" activeCell="I34" sqref="I3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SAC2-DS-MRS-0438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46259</v>
      </c>
    </row>
    <row r="4" spans="1:18" ht="15.95" customHeight="1">
      <c r="A4" s="155" t="s">
        <v>2</v>
      </c>
      <c r="B4" s="156" t="s">
        <v>14</v>
      </c>
      <c r="C4" s="156"/>
      <c r="D4" s="155" t="s">
        <v>4</v>
      </c>
      <c r="E4" s="155"/>
      <c r="F4" s="155"/>
      <c r="G4" s="156" t="s">
        <v>5</v>
      </c>
      <c r="H4" s="155" t="s">
        <v>82</v>
      </c>
      <c r="I4" s="155" t="s">
        <v>15</v>
      </c>
      <c r="J4" s="155" t="s">
        <v>16</v>
      </c>
      <c r="K4" s="156" t="s">
        <v>7</v>
      </c>
    </row>
    <row r="5" spans="1:18" ht="15.95" customHeight="1">
      <c r="A5" s="155"/>
      <c r="B5" s="156"/>
      <c r="C5" s="156"/>
      <c r="D5" s="155"/>
      <c r="E5" s="155"/>
      <c r="F5" s="155"/>
      <c r="G5" s="156"/>
      <c r="H5" s="155"/>
      <c r="I5" s="155"/>
      <c r="J5" s="155"/>
      <c r="K5" s="156"/>
    </row>
    <row r="6" spans="1:18" ht="74.25" customHeight="1">
      <c r="A6" s="14">
        <f>+MRS!A6</f>
        <v>1</v>
      </c>
      <c r="B6" s="150" t="str">
        <f>MRS!B6</f>
        <v>A4 Box File</v>
      </c>
      <c r="C6" s="151"/>
      <c r="D6" s="152" t="str">
        <f>MRS!D6</f>
        <v>2Inch 30*1</v>
      </c>
      <c r="E6" s="153"/>
      <c r="F6" s="154"/>
      <c r="G6" s="88" t="str">
        <f>MRS!G6</f>
        <v>BOX</v>
      </c>
      <c r="H6" s="88">
        <f>MRS!H6</f>
        <v>15</v>
      </c>
      <c r="I6" s="89">
        <f>MRS!I6</f>
        <v>154</v>
      </c>
      <c r="J6" s="89">
        <f>MRS!J6</f>
        <v>2310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0" t="str">
        <f>MRS!B7</f>
        <v>A3 Paper - Atlas</v>
      </c>
      <c r="C7" s="151"/>
      <c r="D7" s="152" t="str">
        <f>MRS!D7</f>
        <v>5 Reams / Box</v>
      </c>
      <c r="E7" s="153"/>
      <c r="F7" s="154"/>
      <c r="G7" s="88" t="str">
        <f>MRS!G7</f>
        <v>BOX</v>
      </c>
      <c r="H7" s="88">
        <f>MRS!H7</f>
        <v>60</v>
      </c>
      <c r="I7" s="89">
        <f>MRS!I7</f>
        <v>160</v>
      </c>
      <c r="J7" s="89">
        <f>MRS!J7</f>
        <v>9600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0" t="str">
        <f>MRS!B8</f>
        <v>A4 Paper - Omnia</v>
      </c>
      <c r="C8" s="151"/>
      <c r="D8" s="152" t="str">
        <f>MRS!D8</f>
        <v>80 Gsm 5 Reams/ Box</v>
      </c>
      <c r="E8" s="153"/>
      <c r="F8" s="154"/>
      <c r="G8" s="88" t="str">
        <f>MRS!G8</f>
        <v>BOX</v>
      </c>
      <c r="H8" s="88">
        <f>MRS!H8</f>
        <v>160</v>
      </c>
      <c r="I8" s="89">
        <f>MRS!I8</f>
        <v>62</v>
      </c>
      <c r="J8" s="89">
        <f>MRS!J8</f>
        <v>9920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0" t="str">
        <f>MRS!B9</f>
        <v>Permanent Marker - 2 Sides</v>
      </c>
      <c r="C9" s="151"/>
      <c r="D9" s="152" t="str">
        <f>MRS!D9</f>
        <v>Deli</v>
      </c>
      <c r="E9" s="153"/>
      <c r="F9" s="154"/>
      <c r="G9" s="88" t="str">
        <f>MRS!G9</f>
        <v>PKT</v>
      </c>
      <c r="H9" s="88">
        <f>MRS!H9</f>
        <v>30</v>
      </c>
      <c r="I9" s="89">
        <f>MRS!I9</f>
        <v>17</v>
      </c>
      <c r="J9" s="89">
        <f>MRS!J9</f>
        <v>510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0" t="str">
        <f>MRS!B10</f>
        <v>White Board Marker</v>
      </c>
      <c r="C10" s="151"/>
      <c r="D10" s="152" t="str">
        <f>MRS!D10</f>
        <v>Blue/ Black/ Red</v>
      </c>
      <c r="E10" s="153"/>
      <c r="F10" s="154"/>
      <c r="G10" s="88" t="str">
        <f>MRS!G10</f>
        <v>PKT</v>
      </c>
      <c r="H10" s="88">
        <f>MRS!H10</f>
        <v>30</v>
      </c>
      <c r="I10" s="89">
        <f>MRS!I10</f>
        <v>12</v>
      </c>
      <c r="J10" s="89">
        <f>MRS!J10</f>
        <v>360</v>
      </c>
      <c r="K10" s="90"/>
      <c r="O10" s="91"/>
      <c r="P10" s="91"/>
      <c r="R10" s="91"/>
    </row>
    <row r="11" spans="1:18" ht="74.25" customHeight="1">
      <c r="A11" s="14">
        <f>+MRS!A11</f>
        <v>6</v>
      </c>
      <c r="B11" s="150" t="str">
        <f>MRS!B11</f>
        <v>Paper Punch - 2 Holes</v>
      </c>
      <c r="C11" s="151"/>
      <c r="D11" s="152" t="str">
        <f>MRS!D11</f>
        <v/>
      </c>
      <c r="E11" s="153"/>
      <c r="F11" s="154"/>
      <c r="G11" s="88" t="str">
        <f>MRS!G11</f>
        <v>EA</v>
      </c>
      <c r="H11" s="88">
        <f>MRS!H11</f>
        <v>10</v>
      </c>
      <c r="I11" s="89">
        <f>MRS!I11</f>
        <v>24</v>
      </c>
      <c r="J11" s="89">
        <f>MRS!J11</f>
        <v>240</v>
      </c>
      <c r="K11" s="90"/>
      <c r="O11" s="91"/>
      <c r="P11" s="91"/>
      <c r="R11" s="91"/>
    </row>
    <row r="12" spans="1:18" ht="74.25" customHeight="1">
      <c r="A12" s="14">
        <f>+MRS!A12</f>
        <v>7</v>
      </c>
      <c r="B12" s="150" t="str">
        <f>MRS!B12</f>
        <v>Stapler Pins</v>
      </c>
      <c r="C12" s="151"/>
      <c r="D12" s="152" t="str">
        <f>MRS!D12</f>
        <v>26/65M</v>
      </c>
      <c r="E12" s="153"/>
      <c r="F12" s="154"/>
      <c r="G12" s="88" t="str">
        <f>MRS!G12</f>
        <v>BOX</v>
      </c>
      <c r="H12" s="88">
        <f>MRS!H12</f>
        <v>3</v>
      </c>
      <c r="I12" s="89">
        <f>MRS!I12</f>
        <v>30</v>
      </c>
      <c r="J12" s="89">
        <f>MRS!J12</f>
        <v>90</v>
      </c>
      <c r="K12" s="90"/>
      <c r="O12" s="91"/>
      <c r="P12" s="91"/>
      <c r="R12" s="91"/>
    </row>
    <row r="13" spans="1:18" ht="74.25" customHeight="1">
      <c r="A13" s="14">
        <f>+MRS!A13</f>
        <v>8</v>
      </c>
      <c r="B13" s="150" t="str">
        <f>MRS!B13</f>
        <v>Bread</v>
      </c>
      <c r="C13" s="151"/>
      <c r="D13" s="152" t="str">
        <f>MRS!D13</f>
        <v/>
      </c>
      <c r="E13" s="153"/>
      <c r="F13" s="154"/>
      <c r="G13" s="88" t="str">
        <f>MRS!G13</f>
        <v>EA</v>
      </c>
      <c r="H13" s="88">
        <f>MRS!H13</f>
        <v>3000</v>
      </c>
      <c r="I13" s="89">
        <f>MRS!I13</f>
        <v>1.25</v>
      </c>
      <c r="J13" s="89">
        <f>MRS!J13</f>
        <v>3750</v>
      </c>
      <c r="K13" s="90"/>
      <c r="O13" s="91"/>
      <c r="P13" s="91"/>
      <c r="R13" s="91"/>
    </row>
    <row r="14" spans="1:18" ht="74.25" customHeight="1">
      <c r="A14" s="14">
        <f>+MRS!A14</f>
        <v>9</v>
      </c>
      <c r="B14" s="150" t="str">
        <f>MRS!B14</f>
        <v>Safety Shoes</v>
      </c>
      <c r="C14" s="151"/>
      <c r="D14" s="152" t="str">
        <f>MRS!D14</f>
        <v/>
      </c>
      <c r="E14" s="153"/>
      <c r="F14" s="154"/>
      <c r="G14" s="88" t="str">
        <f>MRS!G14</f>
        <v>EA</v>
      </c>
      <c r="H14" s="88">
        <f>MRS!H14</f>
        <v>500</v>
      </c>
      <c r="I14" s="89">
        <f>MRS!I14</f>
        <v>63.5</v>
      </c>
      <c r="J14" s="89">
        <f>MRS!J14</f>
        <v>31750</v>
      </c>
      <c r="K14" s="90"/>
      <c r="O14" s="91"/>
      <c r="P14" s="91"/>
      <c r="R14" s="91"/>
    </row>
    <row r="15" spans="1:18" ht="74.25" customHeight="1">
      <c r="A15" s="14">
        <f>+MRS!A15</f>
        <v>10</v>
      </c>
      <c r="B15" s="150" t="str">
        <f>MRS!B15</f>
        <v>Safety Glasses</v>
      </c>
      <c r="C15" s="151"/>
      <c r="D15" s="152" t="str">
        <f>MRS!D15</f>
        <v>Dark</v>
      </c>
      <c r="E15" s="153"/>
      <c r="F15" s="154"/>
      <c r="G15" s="88" t="str">
        <f>MRS!G15</f>
        <v>EA</v>
      </c>
      <c r="H15" s="88">
        <f>MRS!H15</f>
        <v>500</v>
      </c>
      <c r="I15" s="89">
        <f>MRS!I15</f>
        <v>3</v>
      </c>
      <c r="J15" s="89">
        <f>MRS!J15</f>
        <v>1500</v>
      </c>
      <c r="K15" s="90"/>
      <c r="O15" s="91"/>
      <c r="P15" s="91"/>
      <c r="R15" s="91"/>
    </row>
    <row r="16" spans="1:18" ht="74.25" customHeight="1">
      <c r="A16" s="14" t="e">
        <f>+MRS!#REF!</f>
        <v>#REF!</v>
      </c>
      <c r="B16" s="150" t="e">
        <f>MRS!#REF!</f>
        <v>#REF!</v>
      </c>
      <c r="C16" s="151"/>
      <c r="D16" s="152" t="e">
        <f>MRS!#REF!</f>
        <v>#REF!</v>
      </c>
      <c r="E16" s="153"/>
      <c r="F16" s="154"/>
      <c r="G16" s="88" t="e">
        <f>MRS!#REF!</f>
        <v>#REF!</v>
      </c>
      <c r="H16" s="88" t="e">
        <f>MRS!#REF!</f>
        <v>#REF!</v>
      </c>
      <c r="I16" s="89" t="e">
        <f>MRS!#REF!</f>
        <v>#REF!</v>
      </c>
      <c r="J16" s="89" t="e">
        <f>MRS!#REF!</f>
        <v>#REF!</v>
      </c>
      <c r="K16" s="90"/>
      <c r="O16" s="91"/>
      <c r="P16" s="91"/>
      <c r="R16" s="91"/>
    </row>
    <row r="17" spans="1:18" ht="74.25" customHeight="1">
      <c r="A17" s="14" t="e">
        <f>+MRS!#REF!</f>
        <v>#REF!</v>
      </c>
      <c r="B17" s="150" t="e">
        <f>MRS!#REF!</f>
        <v>#REF!</v>
      </c>
      <c r="C17" s="151"/>
      <c r="D17" s="152" t="e">
        <f>MRS!#REF!</f>
        <v>#REF!</v>
      </c>
      <c r="E17" s="153"/>
      <c r="F17" s="154"/>
      <c r="G17" s="88" t="e">
        <f>MRS!#REF!</f>
        <v>#REF!</v>
      </c>
      <c r="H17" s="88" t="e">
        <f>MRS!#REF!</f>
        <v>#REF!</v>
      </c>
      <c r="I17" s="89" t="e">
        <f>MRS!#REF!</f>
        <v>#REF!</v>
      </c>
      <c r="J17" s="89" t="e">
        <f>MRS!#REF!</f>
        <v>#REF!</v>
      </c>
      <c r="K17" s="90"/>
      <c r="O17" s="91"/>
      <c r="P17" s="91"/>
      <c r="R17" s="91"/>
    </row>
    <row r="18" spans="1:18" ht="74.25" customHeight="1">
      <c r="A18" s="14" t="e">
        <f>+MRS!#REF!</f>
        <v>#REF!</v>
      </c>
      <c r="B18" s="150" t="e">
        <f>MRS!#REF!</f>
        <v>#REF!</v>
      </c>
      <c r="C18" s="151"/>
      <c r="D18" s="152" t="e">
        <f>MRS!#REF!</f>
        <v>#REF!</v>
      </c>
      <c r="E18" s="153"/>
      <c r="F18" s="154"/>
      <c r="G18" s="88" t="e">
        <f>MRS!#REF!</f>
        <v>#REF!</v>
      </c>
      <c r="H18" s="88" t="e">
        <f>MRS!#REF!</f>
        <v>#REF!</v>
      </c>
      <c r="I18" s="89" t="e">
        <f>MRS!#REF!</f>
        <v>#REF!</v>
      </c>
      <c r="J18" s="89" t="e">
        <f>MRS!#REF!</f>
        <v>#REF!</v>
      </c>
      <c r="K18" s="90"/>
      <c r="O18" s="91"/>
      <c r="P18" s="91"/>
      <c r="R18" s="91"/>
    </row>
    <row r="19" spans="1:18" ht="74.25" customHeight="1">
      <c r="A19" s="14" t="e">
        <f>+MRS!#REF!</f>
        <v>#REF!</v>
      </c>
      <c r="B19" s="150" t="e">
        <f>MRS!#REF!</f>
        <v>#REF!</v>
      </c>
      <c r="C19" s="151"/>
      <c r="D19" s="152" t="e">
        <f>MRS!#REF!</f>
        <v>#REF!</v>
      </c>
      <c r="E19" s="153"/>
      <c r="F19" s="154"/>
      <c r="G19" s="88" t="e">
        <f>MRS!#REF!</f>
        <v>#REF!</v>
      </c>
      <c r="H19" s="88" t="e">
        <f>MRS!#REF!</f>
        <v>#REF!</v>
      </c>
      <c r="I19" s="89" t="e">
        <f>MRS!#REF!</f>
        <v>#REF!</v>
      </c>
      <c r="J19" s="89" t="e">
        <f>MRS!#REF!</f>
        <v>#REF!</v>
      </c>
      <c r="K19" s="90"/>
      <c r="O19" s="91"/>
      <c r="P19" s="91"/>
      <c r="R19" s="91"/>
    </row>
    <row r="20" spans="1:18" ht="74.25" customHeight="1">
      <c r="A20" s="14" t="e">
        <f>+MRS!#REF!</f>
        <v>#REF!</v>
      </c>
      <c r="B20" s="150" t="e">
        <f>MRS!#REF!</f>
        <v>#REF!</v>
      </c>
      <c r="C20" s="151"/>
      <c r="D20" s="152" t="e">
        <f>MRS!#REF!</f>
        <v>#REF!</v>
      </c>
      <c r="E20" s="153"/>
      <c r="F20" s="154"/>
      <c r="G20" s="88" t="e">
        <f>MRS!#REF!</f>
        <v>#REF!</v>
      </c>
      <c r="H20" s="88" t="e">
        <f>MRS!#REF!</f>
        <v>#REF!</v>
      </c>
      <c r="I20" s="89" t="e">
        <f>MRS!#REF!</f>
        <v>#REF!</v>
      </c>
      <c r="J20" s="89" t="e">
        <f>MRS!#REF!</f>
        <v>#REF!</v>
      </c>
      <c r="K20" s="90"/>
      <c r="O20" s="91"/>
      <c r="P20" s="91"/>
      <c r="R20" s="91"/>
    </row>
    <row r="21" spans="1:18" ht="74.25" customHeight="1">
      <c r="A21" s="14" t="e">
        <f>+MRS!#REF!</f>
        <v>#REF!</v>
      </c>
      <c r="B21" s="150" t="e">
        <f>MRS!#REF!</f>
        <v>#REF!</v>
      </c>
      <c r="C21" s="151"/>
      <c r="D21" s="152" t="e">
        <f>MRS!#REF!</f>
        <v>#REF!</v>
      </c>
      <c r="E21" s="153"/>
      <c r="F21" s="154"/>
      <c r="G21" s="88" t="e">
        <f>MRS!#REF!</f>
        <v>#REF!</v>
      </c>
      <c r="H21" s="88" t="e">
        <f>MRS!#REF!</f>
        <v>#REF!</v>
      </c>
      <c r="I21" s="89" t="e">
        <f>MRS!#REF!</f>
        <v>#REF!</v>
      </c>
      <c r="J21" s="89" t="e">
        <f>MRS!#REF!</f>
        <v>#REF!</v>
      </c>
      <c r="K21" s="90"/>
      <c r="O21" s="91"/>
      <c r="P21" s="91"/>
      <c r="R21" s="91"/>
    </row>
    <row r="22" spans="1:18" ht="74.25" customHeight="1">
      <c r="A22" s="150" t="e">
        <f>MRS!#REF!</f>
        <v>#REF!</v>
      </c>
      <c r="B22" s="151"/>
      <c r="C22" s="152" t="e">
        <f>MRS!#REF!</f>
        <v>#REF!</v>
      </c>
      <c r="D22" s="153"/>
      <c r="E22" s="154"/>
      <c r="F22" s="88" t="e">
        <f>MRS!#REF!</f>
        <v>#REF!</v>
      </c>
      <c r="G22" s="88" t="e">
        <f>MRS!#REF!</f>
        <v>#REF!</v>
      </c>
      <c r="H22" s="89" t="e">
        <f>MRS!#REF!</f>
        <v>#REF!</v>
      </c>
      <c r="I22" s="89" t="e">
        <f>MRS!#REF!</f>
        <v>#REF!</v>
      </c>
      <c r="J22" s="89" t="e">
        <f>MRS!#REF!</f>
        <v>#REF!</v>
      </c>
      <c r="K22" s="90"/>
      <c r="O22" s="91"/>
      <c r="P22" s="91"/>
      <c r="R22" s="91"/>
    </row>
    <row r="23" spans="1:18" ht="74.25" customHeight="1">
      <c r="A23" s="150" t="e">
        <f>MRS!#REF!</f>
        <v>#REF!</v>
      </c>
      <c r="B23" s="151"/>
      <c r="C23" s="152" t="e">
        <f>MRS!#REF!</f>
        <v>#REF!</v>
      </c>
      <c r="D23" s="153"/>
      <c r="E23" s="154"/>
      <c r="F23" s="88" t="e">
        <f>MRS!#REF!</f>
        <v>#REF!</v>
      </c>
      <c r="G23" s="88" t="e">
        <f>MRS!#REF!</f>
        <v>#REF!</v>
      </c>
      <c r="H23" s="89" t="e">
        <f>MRS!#REF!</f>
        <v>#REF!</v>
      </c>
      <c r="I23" s="89" t="e">
        <f>MRS!#REF!</f>
        <v>#REF!</v>
      </c>
      <c r="J23" s="89" t="e">
        <f>MRS!#REF!</f>
        <v>#REF!</v>
      </c>
      <c r="K23" s="90"/>
      <c r="O23" s="91"/>
      <c r="P23" s="91"/>
      <c r="R23" s="91"/>
    </row>
    <row r="24" spans="1:18" ht="74.25" customHeight="1">
      <c r="A24" s="150" t="e">
        <f>MRS!#REF!</f>
        <v>#REF!</v>
      </c>
      <c r="B24" s="151"/>
      <c r="C24" s="152" t="e">
        <f>MRS!#REF!</f>
        <v>#REF!</v>
      </c>
      <c r="D24" s="153"/>
      <c r="E24" s="154"/>
      <c r="F24" s="88" t="e">
        <f>MRS!#REF!</f>
        <v>#REF!</v>
      </c>
      <c r="G24" s="88" t="e">
        <f>MRS!#REF!</f>
        <v>#REF!</v>
      </c>
      <c r="H24" s="89" t="e">
        <f>MRS!#REF!</f>
        <v>#REF!</v>
      </c>
      <c r="I24" s="89" t="e">
        <f>MRS!#REF!</f>
        <v>#REF!</v>
      </c>
      <c r="J24" s="89" t="e">
        <f>MRS!#REF!</f>
        <v>#REF!</v>
      </c>
      <c r="K24" s="90"/>
      <c r="O24" s="91"/>
      <c r="P24" s="91"/>
      <c r="R24" s="91"/>
    </row>
    <row r="25" spans="1:18" ht="74.25" customHeight="1">
      <c r="A25" s="150" t="e">
        <f>MRS!#REF!</f>
        <v>#REF!</v>
      </c>
      <c r="B25" s="151"/>
      <c r="C25" s="152" t="e">
        <f>MRS!#REF!</f>
        <v>#REF!</v>
      </c>
      <c r="D25" s="153"/>
      <c r="E25" s="154"/>
      <c r="F25" s="88" t="e">
        <f>MRS!#REF!</f>
        <v>#REF!</v>
      </c>
      <c r="G25" s="88" t="e">
        <f>MRS!#REF!</f>
        <v>#REF!</v>
      </c>
      <c r="H25" s="89" t="e">
        <f>MRS!#REF!</f>
        <v>#REF!</v>
      </c>
      <c r="I25" s="89" t="e">
        <f>MRS!#REF!</f>
        <v>#REF!</v>
      </c>
      <c r="J25" s="89" t="e">
        <f>MRS!#REF!</f>
        <v>#REF!</v>
      </c>
      <c r="K25" s="90"/>
      <c r="O25" s="91"/>
      <c r="P25" s="91"/>
      <c r="R25" s="91"/>
    </row>
    <row r="26" spans="1:18" ht="74.25" customHeight="1">
      <c r="A26" s="150" t="e">
        <f>MRS!#REF!</f>
        <v>#REF!</v>
      </c>
      <c r="B26" s="151"/>
      <c r="C26" s="152" t="e">
        <f>MRS!#REF!</f>
        <v>#REF!</v>
      </c>
      <c r="D26" s="153"/>
      <c r="E26" s="154"/>
      <c r="F26" s="88" t="e">
        <f>MRS!#REF!</f>
        <v>#REF!</v>
      </c>
      <c r="G26" s="88" t="e">
        <f>MRS!#REF!</f>
        <v>#REF!</v>
      </c>
      <c r="H26" s="89" t="e">
        <f>MRS!#REF!</f>
        <v>#REF!</v>
      </c>
      <c r="I26" s="89" t="e">
        <f>MRS!#REF!</f>
        <v>#REF!</v>
      </c>
      <c r="J26" s="89" t="e">
        <f>MRS!#REF!</f>
        <v>#REF!</v>
      </c>
      <c r="K26" s="90"/>
      <c r="O26" s="91"/>
      <c r="P26" s="91"/>
      <c r="R26" s="91"/>
    </row>
    <row r="27" spans="1:18" ht="74.25" customHeight="1">
      <c r="A27" s="150" t="e">
        <f>MRS!#REF!</f>
        <v>#REF!</v>
      </c>
      <c r="B27" s="151"/>
      <c r="C27" s="152" t="e">
        <f>MRS!#REF!</f>
        <v>#REF!</v>
      </c>
      <c r="D27" s="153"/>
      <c r="E27" s="154"/>
      <c r="F27" s="88" t="e">
        <f>MRS!#REF!</f>
        <v>#REF!</v>
      </c>
      <c r="G27" s="88" t="e">
        <f>MRS!#REF!</f>
        <v>#REF!</v>
      </c>
      <c r="H27" s="89" t="e">
        <f>MRS!#REF!</f>
        <v>#REF!</v>
      </c>
      <c r="I27" s="89" t="e">
        <f>MRS!#REF!</f>
        <v>#REF!</v>
      </c>
      <c r="J27" s="89" t="e">
        <f>MRS!#REF!</f>
        <v>#REF!</v>
      </c>
      <c r="K27" s="90"/>
      <c r="O27" s="91"/>
      <c r="P27" s="91"/>
      <c r="R27" s="91"/>
    </row>
    <row r="28" spans="1:18" ht="74.25" customHeight="1">
      <c r="A28" s="150" t="e">
        <f>MRS!#REF!</f>
        <v>#REF!</v>
      </c>
      <c r="B28" s="151"/>
      <c r="C28" s="152" t="e">
        <f>MRS!#REF!</f>
        <v>#REF!</v>
      </c>
      <c r="D28" s="153"/>
      <c r="E28" s="154"/>
      <c r="F28" s="88" t="e">
        <f>MRS!#REF!</f>
        <v>#REF!</v>
      </c>
      <c r="G28" s="88" t="e">
        <f>MRS!#REF!</f>
        <v>#REF!</v>
      </c>
      <c r="H28" s="89" t="e">
        <f>MRS!#REF!</f>
        <v>#REF!</v>
      </c>
      <c r="I28" s="89" t="e">
        <f>MRS!#REF!</f>
        <v>#REF!</v>
      </c>
      <c r="J28" s="89" t="e">
        <f>MRS!#REF!</f>
        <v>#REF!</v>
      </c>
      <c r="K28" s="90"/>
      <c r="O28" s="91"/>
      <c r="P28" s="91"/>
      <c r="R28" s="91"/>
    </row>
    <row r="29" spans="1:18" ht="74.25" customHeight="1">
      <c r="A29" s="150" t="e">
        <f>MRS!#REF!</f>
        <v>#REF!</v>
      </c>
      <c r="B29" s="151"/>
      <c r="C29" s="152" t="e">
        <f>MRS!#REF!</f>
        <v>#REF!</v>
      </c>
      <c r="D29" s="153"/>
      <c r="E29" s="154"/>
      <c r="F29" s="88" t="e">
        <f>MRS!#REF!</f>
        <v>#REF!</v>
      </c>
      <c r="G29" s="88" t="e">
        <f>MRS!#REF!</f>
        <v>#REF!</v>
      </c>
      <c r="H29" s="89" t="e">
        <f>MRS!#REF!</f>
        <v>#REF!</v>
      </c>
      <c r="I29" s="89" t="e">
        <f>MRS!#REF!</f>
        <v>#REF!</v>
      </c>
      <c r="J29" s="89" t="e">
        <f>MRS!#REF!</f>
        <v>#REF!</v>
      </c>
      <c r="K29" s="90"/>
      <c r="O29" s="91"/>
      <c r="P29" s="91"/>
      <c r="R29" s="91"/>
    </row>
    <row r="30" spans="1:18" ht="74.25" customHeight="1">
      <c r="A30" s="150" t="e">
        <f>MRS!#REF!</f>
        <v>#REF!</v>
      </c>
      <c r="B30" s="151"/>
      <c r="C30" s="152" t="e">
        <f>MRS!#REF!</f>
        <v>#REF!</v>
      </c>
      <c r="D30" s="153"/>
      <c r="E30" s="154"/>
      <c r="F30" s="88" t="e">
        <f>MRS!#REF!</f>
        <v>#REF!</v>
      </c>
      <c r="G30" s="88" t="e">
        <f>MRS!#REF!</f>
        <v>#REF!</v>
      </c>
      <c r="H30" s="89" t="e">
        <f>MRS!#REF!</f>
        <v>#REF!</v>
      </c>
      <c r="I30" s="89" t="e">
        <f>MRS!#REF!</f>
        <v>#REF!</v>
      </c>
      <c r="J30" s="89" t="e">
        <f>MRS!#REF!</f>
        <v>#REF!</v>
      </c>
      <c r="K30" s="90"/>
      <c r="O30" s="91"/>
      <c r="P30" s="91"/>
      <c r="R30" s="91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A25:B25"/>
    <mergeCell ref="C25:E25"/>
    <mergeCell ref="A26:B26"/>
    <mergeCell ref="C26:E26"/>
    <mergeCell ref="A22:B22"/>
    <mergeCell ref="C22:E22"/>
    <mergeCell ref="A23:B23"/>
    <mergeCell ref="C23:E23"/>
    <mergeCell ref="A24:B24"/>
    <mergeCell ref="C24:E24"/>
    <mergeCell ref="A30:B30"/>
    <mergeCell ref="C30:E30"/>
    <mergeCell ref="A27:B27"/>
    <mergeCell ref="C27:E27"/>
    <mergeCell ref="A28:B28"/>
    <mergeCell ref="C28:E28"/>
    <mergeCell ref="A29:B29"/>
    <mergeCell ref="C29:E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K34" sqref="K34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58">
        <f>MRS!L3</f>
        <v>46259</v>
      </c>
      <c r="L10" s="159"/>
      <c r="M10" s="159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60" t="str">
        <f>SUBSTITUTE(SUBSTITUTE(+MRS!A3,"  MRS No : ",""),"-MRS","-PO")</f>
        <v>SAC2-DS-PO-0438</v>
      </c>
      <c r="L11" s="160"/>
      <c r="M11" s="160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184</v>
      </c>
    </row>
    <row r="15" spans="2:13" s="31" customFormat="1">
      <c r="B15" s="64"/>
      <c r="C15" s="69" t="s">
        <v>97</v>
      </c>
      <c r="J15" s="31" t="s">
        <v>31</v>
      </c>
      <c r="K15" s="70">
        <v>46257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61" t="s">
        <v>32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</row>
    <row r="19" spans="2:13" ht="12" customHeight="1"/>
    <row r="20" spans="2:13" s="24" customFormat="1" ht="12" customHeight="1">
      <c r="B20" s="162" t="s">
        <v>33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</row>
    <row r="21" spans="2:13" s="24" customFormat="1" ht="12" customHeight="1">
      <c r="B21" s="162" t="s">
        <v>34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</row>
    <row r="22" spans="2:13" s="24" customFormat="1" ht="12" customHeight="1">
      <c r="B22" s="162" t="s">
        <v>35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spans="2:13" ht="6.95" customHeight="1"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</row>
    <row r="24" spans="2:13" ht="6.95" customHeight="1"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">
        <v>183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page'!G34</f>
        <v>76733.679999999993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page'!G35</f>
        <v>11510.051999999998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page'!G36</f>
        <v>88243.731999999989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112</v>
      </c>
      <c r="P54" s="19" t="str">
        <f>UPPER(F54)</f>
        <v>ALRMOOZ TECHNICAL FOR GENERAL CONTRACTING EST.</v>
      </c>
    </row>
    <row r="55" spans="2:16" ht="12" customHeight="1">
      <c r="B55" s="76" t="s">
        <v>56</v>
      </c>
      <c r="C55" s="107" t="s">
        <v>104</v>
      </c>
      <c r="F55" s="108" t="s">
        <v>114</v>
      </c>
    </row>
    <row r="56" spans="2:16" ht="12" customHeight="1">
      <c r="B56" s="76" t="s">
        <v>56</v>
      </c>
      <c r="C56" s="107" t="s">
        <v>105</v>
      </c>
      <c r="F56" s="108" t="s">
        <v>115</v>
      </c>
    </row>
    <row r="57" spans="2:16" ht="12" customHeight="1">
      <c r="B57" s="76" t="s">
        <v>56</v>
      </c>
      <c r="C57" s="107" t="s">
        <v>106</v>
      </c>
      <c r="F57" s="19" t="s">
        <v>113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65" t="str">
        <f>C9</f>
        <v>ATGC(Alrmooz Technical for General Contracting Est.)</v>
      </c>
      <c r="K70" s="165"/>
      <c r="L70" s="165"/>
      <c r="M70" s="165"/>
    </row>
    <row r="71" spans="1:13" ht="27.95" customHeight="1">
      <c r="A71" s="157" t="s">
        <v>66</v>
      </c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4"/>
  <sheetViews>
    <sheetView showGridLines="0" view="pageBreakPreview" zoomScaleSheetLayoutView="100" zoomScalePageLayoutView="55" workbookViewId="0">
      <selection activeCell="M17" sqref="M17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0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SAC2-DS-PO-0438</v>
      </c>
      <c r="C2" s="168" t="s">
        <v>68</v>
      </c>
      <c r="D2" s="168"/>
      <c r="E2" s="168"/>
      <c r="F2" s="168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46259</v>
      </c>
      <c r="C3" s="43"/>
      <c r="D3" s="44"/>
      <c r="E3" s="169" t="s">
        <v>70</v>
      </c>
      <c r="F3" s="169"/>
      <c r="G3" s="169"/>
      <c r="H3" s="169"/>
      <c r="I3" s="45"/>
    </row>
    <row r="4" spans="1:13" s="47" customFormat="1" ht="28.5" customHeight="1" thickTop="1">
      <c r="A4" s="170" t="s">
        <v>71</v>
      </c>
      <c r="B4" s="172" t="s">
        <v>72</v>
      </c>
      <c r="C4" s="173"/>
      <c r="D4" s="176" t="s">
        <v>73</v>
      </c>
      <c r="E4" s="176" t="s">
        <v>74</v>
      </c>
      <c r="F4" s="178" t="str">
        <f>'PO 1st page'!C9</f>
        <v>ATGC(Alrmooz Technical for General Contracting Est.)</v>
      </c>
      <c r="G4" s="179"/>
      <c r="H4" s="180" t="s">
        <v>75</v>
      </c>
      <c r="K4" s="48"/>
      <c r="L4" s="48"/>
      <c r="M4" s="48"/>
    </row>
    <row r="5" spans="1:13" s="47" customFormat="1" ht="21.95" customHeight="1">
      <c r="A5" s="171"/>
      <c r="B5" s="174"/>
      <c r="C5" s="175"/>
      <c r="D5" s="177"/>
      <c r="E5" s="177"/>
      <c r="F5" s="49" t="s">
        <v>76</v>
      </c>
      <c r="G5" s="49" t="s">
        <v>42</v>
      </c>
      <c r="H5" s="181"/>
      <c r="K5" s="48"/>
      <c r="L5" s="48"/>
      <c r="M5" s="48"/>
    </row>
    <row r="6" spans="1:13" s="47" customFormat="1" ht="18.75" customHeight="1">
      <c r="A6" s="77">
        <f t="shared" ref="A6:A33" si="0">ROW(A1)</f>
        <v>1</v>
      </c>
      <c r="B6" s="166" t="str">
        <f>MRS!B6&amp;" "&amp;MRS!D6</f>
        <v>A4 Box File 2Inch 30*1</v>
      </c>
      <c r="C6" s="167"/>
      <c r="D6" s="78" t="str">
        <f>MRS!G6</f>
        <v>BOX</v>
      </c>
      <c r="E6" s="79">
        <f>MRS!H6</f>
        <v>15</v>
      </c>
      <c r="F6" s="80">
        <f>MRS!I6</f>
        <v>154</v>
      </c>
      <c r="G6" s="81">
        <f>F6*E6</f>
        <v>2310</v>
      </c>
      <c r="H6" s="82" t="str">
        <f>MRS!L6</f>
        <v>One time</v>
      </c>
      <c r="K6" s="83"/>
      <c r="L6" s="84"/>
      <c r="M6" s="48"/>
    </row>
    <row r="7" spans="1:13" s="47" customFormat="1" ht="18.75" customHeight="1">
      <c r="A7" s="77">
        <f t="shared" si="0"/>
        <v>2</v>
      </c>
      <c r="B7" s="166" t="str">
        <f>MRS!B7&amp;" "&amp;MRS!D7</f>
        <v>A3 Paper - Atlas 5 Reams / Box</v>
      </c>
      <c r="C7" s="167"/>
      <c r="D7" s="78" t="str">
        <f>MRS!G7</f>
        <v>BOX</v>
      </c>
      <c r="E7" s="79">
        <f>MRS!H7</f>
        <v>60</v>
      </c>
      <c r="F7" s="80">
        <f>MRS!I7</f>
        <v>160</v>
      </c>
      <c r="G7" s="81">
        <f t="shared" ref="G7:G33" si="1">F7*E7</f>
        <v>9600</v>
      </c>
      <c r="H7" s="82" t="str">
        <f>MRS!L7</f>
        <v>"</v>
      </c>
      <c r="K7" s="83"/>
      <c r="L7" s="84"/>
      <c r="M7" s="48"/>
    </row>
    <row r="8" spans="1:13" s="47" customFormat="1" ht="18.75" customHeight="1">
      <c r="A8" s="77">
        <f t="shared" si="0"/>
        <v>3</v>
      </c>
      <c r="B8" s="166" t="str">
        <f>MRS!B8&amp;" "&amp;MRS!D8</f>
        <v>A4 Paper - Omnia 80 Gsm 5 Reams/ Box</v>
      </c>
      <c r="C8" s="167"/>
      <c r="D8" s="78" t="str">
        <f>MRS!G8</f>
        <v>BOX</v>
      </c>
      <c r="E8" s="79">
        <f>MRS!H8</f>
        <v>160</v>
      </c>
      <c r="F8" s="80">
        <f>MRS!I8</f>
        <v>62</v>
      </c>
      <c r="G8" s="81">
        <f t="shared" si="1"/>
        <v>9920</v>
      </c>
      <c r="H8" s="82" t="str">
        <f>MRS!L8</f>
        <v>"</v>
      </c>
      <c r="K8" s="48"/>
      <c r="L8" s="48"/>
      <c r="M8" s="48"/>
    </row>
    <row r="9" spans="1:13" s="47" customFormat="1" ht="18.75" customHeight="1">
      <c r="A9" s="77">
        <f t="shared" si="0"/>
        <v>4</v>
      </c>
      <c r="B9" s="166" t="str">
        <f>MRS!B9&amp;" "&amp;MRS!D9</f>
        <v>Permanent Marker - 2 Sides Deli</v>
      </c>
      <c r="C9" s="167"/>
      <c r="D9" s="78" t="str">
        <f>MRS!G9</f>
        <v>PKT</v>
      </c>
      <c r="E9" s="79">
        <f>MRS!H9</f>
        <v>30</v>
      </c>
      <c r="F9" s="80">
        <f>MRS!I9</f>
        <v>17</v>
      </c>
      <c r="G9" s="81">
        <f t="shared" si="1"/>
        <v>510</v>
      </c>
      <c r="H9" s="82" t="str">
        <f>MRS!L9</f>
        <v>"</v>
      </c>
    </row>
    <row r="10" spans="1:13" s="47" customFormat="1" ht="18.75" customHeight="1">
      <c r="A10" s="77">
        <f t="shared" si="0"/>
        <v>5</v>
      </c>
      <c r="B10" s="166" t="str">
        <f>MRS!B10&amp;" "&amp;MRS!D10</f>
        <v>White Board Marker Blue/ Black/ Red</v>
      </c>
      <c r="C10" s="167"/>
      <c r="D10" s="78" t="str">
        <f>MRS!G10</f>
        <v>PKT</v>
      </c>
      <c r="E10" s="79">
        <f>MRS!H10</f>
        <v>30</v>
      </c>
      <c r="F10" s="80">
        <f>MRS!I10</f>
        <v>12</v>
      </c>
      <c r="G10" s="81">
        <f t="shared" ref="G10:G29" si="2">F10*E10</f>
        <v>360</v>
      </c>
      <c r="H10" s="82" t="str">
        <f>MRS!L10</f>
        <v>"</v>
      </c>
    </row>
    <row r="11" spans="1:13" s="47" customFormat="1" ht="18.75" customHeight="1">
      <c r="A11" s="77">
        <f t="shared" si="0"/>
        <v>6</v>
      </c>
      <c r="B11" s="166" t="str">
        <f>MRS!B11&amp;" "&amp;MRS!D11</f>
        <v xml:space="preserve">Paper Punch - 2 Holes </v>
      </c>
      <c r="C11" s="167"/>
      <c r="D11" s="78" t="str">
        <f>MRS!G11</f>
        <v>EA</v>
      </c>
      <c r="E11" s="79">
        <f>MRS!H11</f>
        <v>10</v>
      </c>
      <c r="F11" s="80">
        <f>MRS!I11</f>
        <v>24</v>
      </c>
      <c r="G11" s="81">
        <f t="shared" si="2"/>
        <v>240</v>
      </c>
      <c r="H11" s="82" t="str">
        <f>MRS!L11</f>
        <v>"</v>
      </c>
    </row>
    <row r="12" spans="1:13" s="47" customFormat="1" ht="18.75" customHeight="1">
      <c r="A12" s="77">
        <f t="shared" si="0"/>
        <v>7</v>
      </c>
      <c r="B12" s="166" t="str">
        <f>MRS!B12&amp;" "&amp;MRS!D12</f>
        <v>Stapler Pins 26/65M</v>
      </c>
      <c r="C12" s="167"/>
      <c r="D12" s="78" t="str">
        <f>MRS!G12</f>
        <v>BOX</v>
      </c>
      <c r="E12" s="79">
        <f>MRS!H12</f>
        <v>3</v>
      </c>
      <c r="F12" s="80">
        <f>MRS!I12</f>
        <v>30</v>
      </c>
      <c r="G12" s="81">
        <f t="shared" si="2"/>
        <v>90</v>
      </c>
      <c r="H12" s="82" t="str">
        <f>MRS!L12</f>
        <v>"</v>
      </c>
    </row>
    <row r="13" spans="1:13" s="47" customFormat="1" ht="18.75" customHeight="1">
      <c r="A13" s="77">
        <f t="shared" si="0"/>
        <v>8</v>
      </c>
      <c r="B13" s="166" t="str">
        <f>MRS!B13&amp;" "&amp;MRS!D13</f>
        <v xml:space="preserve">Bread </v>
      </c>
      <c r="C13" s="167"/>
      <c r="D13" s="78" t="str">
        <f>MRS!G13</f>
        <v>EA</v>
      </c>
      <c r="E13" s="79">
        <f>MRS!H13</f>
        <v>3000</v>
      </c>
      <c r="F13" s="80">
        <f>MRS!I13</f>
        <v>1.25</v>
      </c>
      <c r="G13" s="81">
        <f t="shared" si="2"/>
        <v>3750</v>
      </c>
      <c r="H13" s="82" t="str">
        <f>MRS!L13</f>
        <v>"</v>
      </c>
    </row>
    <row r="14" spans="1:13" s="47" customFormat="1" ht="18.75" customHeight="1">
      <c r="A14" s="77">
        <f t="shared" si="0"/>
        <v>9</v>
      </c>
      <c r="B14" s="166" t="str">
        <f>MRS!B14&amp;" "&amp;MRS!D14</f>
        <v xml:space="preserve">Safety Shoes </v>
      </c>
      <c r="C14" s="167"/>
      <c r="D14" s="78" t="str">
        <f>MRS!G14</f>
        <v>EA</v>
      </c>
      <c r="E14" s="79">
        <f>MRS!H14</f>
        <v>500</v>
      </c>
      <c r="F14" s="80">
        <f>MRS!I14</f>
        <v>63.5</v>
      </c>
      <c r="G14" s="81">
        <f t="shared" si="2"/>
        <v>31750</v>
      </c>
      <c r="H14" s="82" t="str">
        <f>MRS!L14</f>
        <v>"</v>
      </c>
    </row>
    <row r="15" spans="1:13" s="47" customFormat="1" ht="18.75" customHeight="1">
      <c r="A15" s="77">
        <f t="shared" si="0"/>
        <v>10</v>
      </c>
      <c r="B15" s="166" t="str">
        <f>MRS!B15&amp;" "&amp;MRS!D15</f>
        <v>Safety Glasses Dark</v>
      </c>
      <c r="C15" s="167"/>
      <c r="D15" s="78" t="str">
        <f>MRS!G15</f>
        <v>EA</v>
      </c>
      <c r="E15" s="79">
        <f>MRS!H15</f>
        <v>500</v>
      </c>
      <c r="F15" s="80">
        <f>MRS!I15</f>
        <v>3</v>
      </c>
      <c r="G15" s="81">
        <f t="shared" si="2"/>
        <v>1500</v>
      </c>
      <c r="H15" s="82" t="str">
        <f>MRS!L15</f>
        <v>"</v>
      </c>
    </row>
    <row r="16" spans="1:13" s="47" customFormat="1" ht="18.75" customHeight="1">
      <c r="A16" s="77">
        <f t="shared" si="0"/>
        <v>11</v>
      </c>
      <c r="B16" s="166" t="str">
        <f>MRS!B16&amp;" "&amp;MRS!D16</f>
        <v>Safety Glasses Clear</v>
      </c>
      <c r="C16" s="167"/>
      <c r="D16" s="78" t="str">
        <f>MRS!G16</f>
        <v>EA</v>
      </c>
      <c r="E16" s="79">
        <f>MRS!H16</f>
        <v>500</v>
      </c>
      <c r="F16" s="80">
        <f>MRS!I16</f>
        <v>3</v>
      </c>
      <c r="G16" s="81">
        <f t="shared" si="2"/>
        <v>1500</v>
      </c>
      <c r="H16" s="82" t="str">
        <f>MRS!L16</f>
        <v>"</v>
      </c>
    </row>
    <row r="17" spans="1:8" s="47" customFormat="1" ht="18.75" customHeight="1">
      <c r="A17" s="77">
        <f t="shared" si="0"/>
        <v>12</v>
      </c>
      <c r="B17" s="166" t="str">
        <f>MRS!B17&amp;" "&amp;MRS!D17</f>
        <v>Sign Here Stickers 24*1</v>
      </c>
      <c r="C17" s="167"/>
      <c r="D17" s="78" t="str">
        <f>MRS!G17</f>
        <v>BOX</v>
      </c>
      <c r="E17" s="79">
        <f>MRS!H17</f>
        <v>20</v>
      </c>
      <c r="F17" s="80">
        <f>MRS!I17</f>
        <v>100</v>
      </c>
      <c r="G17" s="81">
        <f t="shared" si="2"/>
        <v>2000</v>
      </c>
      <c r="H17" s="82" t="str">
        <f>MRS!L17</f>
        <v>"</v>
      </c>
    </row>
    <row r="18" spans="1:8" s="47" customFormat="1" ht="18.75" customHeight="1">
      <c r="A18" s="77">
        <f t="shared" si="0"/>
        <v>13</v>
      </c>
      <c r="B18" s="166" t="str">
        <f>MRS!B18&amp;" "&amp;MRS!D18</f>
        <v xml:space="preserve">Wired Mouse </v>
      </c>
      <c r="C18" s="167"/>
      <c r="D18" s="78" t="str">
        <f>MRS!G18</f>
        <v>EA</v>
      </c>
      <c r="E18" s="79">
        <f>MRS!H18</f>
        <v>20</v>
      </c>
      <c r="F18" s="80">
        <f>MRS!I18</f>
        <v>22</v>
      </c>
      <c r="G18" s="81">
        <f t="shared" si="2"/>
        <v>440</v>
      </c>
      <c r="H18" s="82" t="str">
        <f>MRS!L18</f>
        <v>"</v>
      </c>
    </row>
    <row r="19" spans="1:8" s="47" customFormat="1" ht="18.75" customHeight="1">
      <c r="A19" s="77">
        <f t="shared" si="0"/>
        <v>14</v>
      </c>
      <c r="B19" s="166" t="str">
        <f>MRS!B19&amp;" "&amp;MRS!D19</f>
        <v xml:space="preserve">Dp To Hdmi Cable </v>
      </c>
      <c r="C19" s="167"/>
      <c r="D19" s="78" t="str">
        <f>MRS!G19</f>
        <v>EA</v>
      </c>
      <c r="E19" s="79">
        <f>MRS!H19</f>
        <v>10</v>
      </c>
      <c r="F19" s="80">
        <f>MRS!I19</f>
        <v>38</v>
      </c>
      <c r="G19" s="81">
        <f t="shared" si="2"/>
        <v>380</v>
      </c>
      <c r="H19" s="82" t="str">
        <f>MRS!L19</f>
        <v>"</v>
      </c>
    </row>
    <row r="20" spans="1:8" s="47" customFormat="1" ht="18.75" customHeight="1">
      <c r="A20" s="77">
        <f t="shared" si="0"/>
        <v>15</v>
      </c>
      <c r="B20" s="166" t="str">
        <f>MRS!B20&amp;" "&amp;MRS!D20</f>
        <v>Hp Toner 106 A Black</v>
      </c>
      <c r="C20" s="167"/>
      <c r="D20" s="78" t="str">
        <f>MRS!G20</f>
        <v>EA</v>
      </c>
      <c r="E20" s="79">
        <f>MRS!H20</f>
        <v>6</v>
      </c>
      <c r="F20" s="80">
        <f>MRS!I20</f>
        <v>237</v>
      </c>
      <c r="G20" s="81">
        <f t="shared" si="2"/>
        <v>1422</v>
      </c>
      <c r="H20" s="82" t="str">
        <f>MRS!L20</f>
        <v>"</v>
      </c>
    </row>
    <row r="21" spans="1:8" s="47" customFormat="1" ht="18.75" customHeight="1">
      <c r="A21" s="77">
        <f t="shared" si="0"/>
        <v>16</v>
      </c>
      <c r="B21" s="166" t="str">
        <f>MRS!B21&amp;" "&amp;MRS!D21</f>
        <v>A3 Lamination Pouch 5Pkts/ Box</v>
      </c>
      <c r="C21" s="167"/>
      <c r="D21" s="78" t="str">
        <f>MRS!G21</f>
        <v>BOX</v>
      </c>
      <c r="E21" s="79">
        <f>MRS!H21</f>
        <v>5</v>
      </c>
      <c r="F21" s="80">
        <f>MRS!I21</f>
        <v>275</v>
      </c>
      <c r="G21" s="81">
        <f t="shared" si="2"/>
        <v>1375</v>
      </c>
      <c r="H21" s="82" t="str">
        <f>MRS!L21</f>
        <v>"</v>
      </c>
    </row>
    <row r="22" spans="1:8" s="47" customFormat="1" ht="18.75" customHeight="1">
      <c r="A22" s="77">
        <f t="shared" si="0"/>
        <v>17</v>
      </c>
      <c r="B22" s="166" t="str">
        <f>MRS!B22&amp;" "&amp;MRS!D22</f>
        <v>A4 Lamination Pouch 10Pkts/ Box</v>
      </c>
      <c r="C22" s="167"/>
      <c r="D22" s="78" t="str">
        <f>MRS!G22</f>
        <v>BOX</v>
      </c>
      <c r="E22" s="79">
        <f>MRS!H22</f>
        <v>5</v>
      </c>
      <c r="F22" s="80">
        <f>MRS!I22</f>
        <v>288</v>
      </c>
      <c r="G22" s="81">
        <f t="shared" si="2"/>
        <v>1440</v>
      </c>
      <c r="H22" s="82" t="str">
        <f>MRS!L22</f>
        <v>"</v>
      </c>
    </row>
    <row r="23" spans="1:8" s="47" customFormat="1" ht="18.75" customHeight="1">
      <c r="A23" s="77">
        <f t="shared" si="0"/>
        <v>18</v>
      </c>
      <c r="B23" s="166" t="str">
        <f>MRS!B23&amp;" "&amp;MRS!D23</f>
        <v>Sticky Notes Fantastic, Size 76.2*76.2 Mm</v>
      </c>
      <c r="C23" s="167"/>
      <c r="D23" s="78" t="str">
        <f>MRS!G23</f>
        <v>PKT</v>
      </c>
      <c r="E23" s="79">
        <f>MRS!H23</f>
        <v>30</v>
      </c>
      <c r="F23" s="80">
        <f>MRS!I23</f>
        <v>12</v>
      </c>
      <c r="G23" s="81">
        <f t="shared" si="2"/>
        <v>360</v>
      </c>
      <c r="H23" s="82" t="str">
        <f>MRS!L23</f>
        <v>"</v>
      </c>
    </row>
    <row r="24" spans="1:8" s="47" customFormat="1" ht="18.75" customHeight="1">
      <c r="A24" s="77">
        <f t="shared" si="0"/>
        <v>19</v>
      </c>
      <c r="B24" s="166" t="str">
        <f>MRS!B24&amp;" "&amp;MRS!D24</f>
        <v>Toilet Tissue Mouchoir - 1*12 Rolls/ Pkt</v>
      </c>
      <c r="C24" s="167"/>
      <c r="D24" s="78" t="str">
        <f>MRS!G24</f>
        <v>PKT</v>
      </c>
      <c r="E24" s="79">
        <f>MRS!H24</f>
        <v>100</v>
      </c>
      <c r="F24" s="80">
        <f>MRS!I24</f>
        <v>15.25</v>
      </c>
      <c r="G24" s="81">
        <f t="shared" si="2"/>
        <v>1525</v>
      </c>
      <c r="H24" s="82" t="str">
        <f>MRS!L24</f>
        <v>"</v>
      </c>
    </row>
    <row r="25" spans="1:8" s="47" customFormat="1" ht="18.75" customHeight="1">
      <c r="A25" s="77">
        <f t="shared" si="0"/>
        <v>20</v>
      </c>
      <c r="B25" s="166" t="str">
        <f>MRS!B25&amp;" "&amp;MRS!D25</f>
        <v>Soap Dove</v>
      </c>
      <c r="C25" s="167"/>
      <c r="D25" s="78" t="str">
        <f>MRS!G25</f>
        <v>EA</v>
      </c>
      <c r="E25" s="79">
        <f>MRS!H25</f>
        <v>20</v>
      </c>
      <c r="F25" s="80">
        <f>MRS!I25</f>
        <v>6</v>
      </c>
      <c r="G25" s="81">
        <f t="shared" si="2"/>
        <v>120</v>
      </c>
      <c r="H25" s="82" t="str">
        <f>MRS!L25</f>
        <v>"</v>
      </c>
    </row>
    <row r="26" spans="1:8" s="47" customFormat="1" ht="18.75" customHeight="1">
      <c r="A26" s="77">
        <f t="shared" si="0"/>
        <v>21</v>
      </c>
      <c r="B26" s="166" t="str">
        <f>MRS!B26&amp;" "&amp;MRS!D26</f>
        <v>Shampoo Head And Sholders</v>
      </c>
      <c r="C26" s="167"/>
      <c r="D26" s="78" t="str">
        <f>MRS!G26</f>
        <v>EA</v>
      </c>
      <c r="E26" s="79">
        <f>MRS!H26</f>
        <v>20</v>
      </c>
      <c r="F26" s="80">
        <f>MRS!I26</f>
        <v>13</v>
      </c>
      <c r="G26" s="81">
        <f t="shared" si="2"/>
        <v>260</v>
      </c>
      <c r="H26" s="82" t="str">
        <f>MRS!L26</f>
        <v>"</v>
      </c>
    </row>
    <row r="27" spans="1:8" s="47" customFormat="1" ht="18.75" customHeight="1">
      <c r="A27" s="77">
        <f t="shared" si="0"/>
        <v>22</v>
      </c>
      <c r="B27" s="166" t="str">
        <f>MRS!B27&amp;" "&amp;MRS!D27</f>
        <v>Toothbrush Sensodyne</v>
      </c>
      <c r="C27" s="167"/>
      <c r="D27" s="78" t="str">
        <f>MRS!G27</f>
        <v>EA</v>
      </c>
      <c r="E27" s="79">
        <f>MRS!H27</f>
        <v>20</v>
      </c>
      <c r="F27" s="80">
        <f>MRS!I27</f>
        <v>7</v>
      </c>
      <c r="G27" s="81">
        <f t="shared" si="2"/>
        <v>140</v>
      </c>
      <c r="H27" s="82" t="str">
        <f>MRS!L27</f>
        <v>"</v>
      </c>
    </row>
    <row r="28" spans="1:8" s="47" customFormat="1" ht="18.75" customHeight="1">
      <c r="A28" s="77">
        <f t="shared" si="0"/>
        <v>23</v>
      </c>
      <c r="B28" s="166" t="str">
        <f>MRS!B28&amp;" "&amp;MRS!D28</f>
        <v>Tooth Paste Sensodyne</v>
      </c>
      <c r="C28" s="167"/>
      <c r="D28" s="78" t="str">
        <f>MRS!G28</f>
        <v>EA</v>
      </c>
      <c r="E28" s="79">
        <f>MRS!H28</f>
        <v>20</v>
      </c>
      <c r="F28" s="80">
        <f>MRS!I28</f>
        <v>30</v>
      </c>
      <c r="G28" s="81">
        <f t="shared" si="2"/>
        <v>600</v>
      </c>
      <c r="H28" s="82" t="str">
        <f>MRS!L28</f>
        <v>"</v>
      </c>
    </row>
    <row r="29" spans="1:8" s="47" customFormat="1" ht="18.75" customHeight="1">
      <c r="A29" s="77">
        <f t="shared" si="0"/>
        <v>24</v>
      </c>
      <c r="B29" s="166" t="str">
        <f>MRS!B29&amp;" "&amp;MRS!D29</f>
        <v>Red Tea - Rabea Classic 100 Bags/ Pkt</v>
      </c>
      <c r="C29" s="167"/>
      <c r="D29" s="78" t="str">
        <f>MRS!G29</f>
        <v>PKT</v>
      </c>
      <c r="E29" s="79">
        <f>MRS!H29</f>
        <v>48</v>
      </c>
      <c r="F29" s="80">
        <f>MRS!I29</f>
        <v>10.41</v>
      </c>
      <c r="G29" s="81">
        <f t="shared" si="2"/>
        <v>499.68</v>
      </c>
      <c r="H29" s="82" t="str">
        <f>MRS!L29</f>
        <v>"</v>
      </c>
    </row>
    <row r="30" spans="1:8" s="47" customFormat="1" ht="18.75" customHeight="1">
      <c r="A30" s="77">
        <f t="shared" si="0"/>
        <v>25</v>
      </c>
      <c r="B30" s="166" t="str">
        <f>MRS!B30&amp;" "&amp;MRS!D30</f>
        <v>Coffee - Nescafe Classic 190 Grms</v>
      </c>
      <c r="C30" s="167"/>
      <c r="D30" s="78" t="str">
        <f>MRS!G30</f>
        <v>EA</v>
      </c>
      <c r="E30" s="79">
        <f>MRS!H30</f>
        <v>48</v>
      </c>
      <c r="F30" s="80">
        <f>MRS!I30</f>
        <v>24</v>
      </c>
      <c r="G30" s="81">
        <f t="shared" si="1"/>
        <v>1152</v>
      </c>
      <c r="H30" s="82" t="str">
        <f>MRS!L30</f>
        <v>"</v>
      </c>
    </row>
    <row r="31" spans="1:8" s="47" customFormat="1" ht="18.75" customHeight="1">
      <c r="A31" s="77">
        <f t="shared" si="0"/>
        <v>26</v>
      </c>
      <c r="B31" s="166" t="str">
        <f>MRS!B31&amp;" "&amp;MRS!D31</f>
        <v>Sugar 1 Kg/ Pkt</v>
      </c>
      <c r="C31" s="167"/>
      <c r="D31" s="78" t="str">
        <f>MRS!G31</f>
        <v>BOX</v>
      </c>
      <c r="E31" s="79">
        <f>MRS!H31</f>
        <v>2</v>
      </c>
      <c r="F31" s="80">
        <f>MRS!I31</f>
        <v>70</v>
      </c>
      <c r="G31" s="81">
        <f t="shared" si="1"/>
        <v>140</v>
      </c>
      <c r="H31" s="82" t="str">
        <f>MRS!L31</f>
        <v>"</v>
      </c>
    </row>
    <row r="32" spans="1:8" s="47" customFormat="1" ht="18.75" customHeight="1">
      <c r="A32" s="77">
        <f t="shared" si="0"/>
        <v>27</v>
      </c>
      <c r="B32" s="166" t="str">
        <f>MRS!B32&amp;" "&amp;MRS!D32</f>
        <v>Water - 1.5 Ltrs 6 Bottles/ Pkt</v>
      </c>
      <c r="C32" s="167"/>
      <c r="D32" s="78" t="str">
        <f>MRS!G32</f>
        <v>PKT</v>
      </c>
      <c r="E32" s="79">
        <f>MRS!H32</f>
        <v>500</v>
      </c>
      <c r="F32" s="80">
        <f>MRS!I32</f>
        <v>6.5</v>
      </c>
      <c r="G32" s="81">
        <f t="shared" si="1"/>
        <v>3250</v>
      </c>
      <c r="H32" s="82" t="str">
        <f>MRS!L32</f>
        <v>"</v>
      </c>
    </row>
    <row r="33" spans="1:13" s="47" customFormat="1" ht="18.75" customHeight="1">
      <c r="A33" s="77">
        <f t="shared" si="0"/>
        <v>28</v>
      </c>
      <c r="B33" s="166" t="str">
        <f>MRS!B33&amp;" "&amp;MRS!D33</f>
        <v>Hand Gloves 70Pcs*1*10Pkt</v>
      </c>
      <c r="C33" s="167"/>
      <c r="D33" s="78" t="str">
        <f>MRS!G33</f>
        <v>PKT</v>
      </c>
      <c r="E33" s="79">
        <f>MRS!H33</f>
        <v>10</v>
      </c>
      <c r="F33" s="80">
        <f>MRS!I33</f>
        <v>10</v>
      </c>
      <c r="G33" s="81">
        <f t="shared" si="1"/>
        <v>100</v>
      </c>
      <c r="H33" s="82" t="str">
        <f>MRS!L33</f>
        <v>"</v>
      </c>
    </row>
    <row r="34" spans="1:13" s="47" customFormat="1" ht="23.1" customHeight="1">
      <c r="A34" s="182" t="s">
        <v>77</v>
      </c>
      <c r="B34" s="183"/>
      <c r="C34" s="183"/>
      <c r="D34" s="183"/>
      <c r="E34" s="183"/>
      <c r="F34" s="183"/>
      <c r="G34" s="50">
        <f>SUM(G6:G33)</f>
        <v>76733.679999999993</v>
      </c>
      <c r="H34" s="51"/>
    </row>
    <row r="35" spans="1:13" s="47" customFormat="1" ht="23.1" customHeight="1">
      <c r="A35" s="182" t="s">
        <v>41</v>
      </c>
      <c r="B35" s="183"/>
      <c r="C35" s="183"/>
      <c r="D35" s="183"/>
      <c r="E35" s="183"/>
      <c r="F35" s="183"/>
      <c r="G35" s="50">
        <f>+G34*0.15</f>
        <v>11510.051999999998</v>
      </c>
      <c r="H35" s="51"/>
    </row>
    <row r="36" spans="1:13" s="47" customFormat="1" ht="24.95" customHeight="1" thickBot="1">
      <c r="A36" s="184" t="s">
        <v>78</v>
      </c>
      <c r="B36" s="185"/>
      <c r="C36" s="185"/>
      <c r="D36" s="185"/>
      <c r="E36" s="185"/>
      <c r="F36" s="185"/>
      <c r="G36" s="52">
        <f>G35+G34</f>
        <v>88243.731999999989</v>
      </c>
      <c r="H36" s="53"/>
    </row>
    <row r="37" spans="1:13" ht="15.75" thickTop="1">
      <c r="A37" s="54" t="str">
        <f>" 1) Above Price are as per your quotation with ref "&amp;'PO 1st page'!K14</f>
        <v xml:space="preserve"> 1) Above Price are as per your quotation with ref QUO-MAT-26081602</v>
      </c>
      <c r="B37" s="55"/>
      <c r="C37" s="55"/>
      <c r="D37" s="56"/>
      <c r="E37" s="56"/>
      <c r="F37" s="56"/>
      <c r="G37" s="56"/>
      <c r="H37" s="56"/>
    </row>
    <row r="38" spans="1:13" ht="15">
      <c r="A38" s="57" t="s">
        <v>79</v>
      </c>
      <c r="B38" s="58"/>
      <c r="C38" s="58"/>
      <c r="D38" s="59"/>
      <c r="E38" s="59"/>
      <c r="F38" s="59"/>
      <c r="G38" s="59"/>
      <c r="H38" s="59"/>
      <c r="I38" s="60"/>
    </row>
    <row r="39" spans="1:13" ht="15.75">
      <c r="A39" s="61"/>
    </row>
    <row r="40" spans="1:13">
      <c r="A40" s="157" t="s">
        <v>80</v>
      </c>
      <c r="B40" s="157"/>
      <c r="C40" s="157"/>
      <c r="D40" s="157"/>
      <c r="E40" s="157"/>
      <c r="F40" s="157"/>
      <c r="G40" s="157"/>
      <c r="H40" s="157"/>
      <c r="I40" s="62"/>
      <c r="J40" s="62"/>
      <c r="K40" s="62"/>
      <c r="L40" s="62"/>
      <c r="M40" s="62"/>
    </row>
    <row r="41" spans="1:13" ht="15.75">
      <c r="A41" s="61"/>
      <c r="C41" s="63"/>
    </row>
    <row r="42" spans="1:13" ht="15.75">
      <c r="A42" s="61"/>
      <c r="C42" s="63"/>
    </row>
    <row r="44" spans="1:13" ht="12" customHeight="1"/>
  </sheetData>
  <mergeCells count="40">
    <mergeCell ref="B26:C26"/>
    <mergeCell ref="B27:C27"/>
    <mergeCell ref="B28:C28"/>
    <mergeCell ref="B29:C29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A34:F34"/>
    <mergeCell ref="A35:F35"/>
    <mergeCell ref="A36:F36"/>
    <mergeCell ref="A40:H40"/>
    <mergeCell ref="B33:C33"/>
    <mergeCell ref="B31:C31"/>
    <mergeCell ref="B32:C32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30:C30"/>
    <mergeCell ref="B10:C10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2026-08-26T04:48:31Z</cp:lastPrinted>
  <dcterms:created xsi:type="dcterms:W3CDTF">2024-10-20T11:50:19Z</dcterms:created>
  <dcterms:modified xsi:type="dcterms:W3CDTF">2026-08-30T16:18:49Z</dcterms:modified>
</cp:coreProperties>
</file>