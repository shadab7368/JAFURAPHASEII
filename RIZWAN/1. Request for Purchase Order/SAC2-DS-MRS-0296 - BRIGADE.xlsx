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4417916-C5E7-4D0A-9AC7-2904F18D8EE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P54" i="3"/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<sst xmlns="http://schemas.openxmlformats.org/spreadsheetml/2006/main" count="174" uniqueCount="133">
  <si>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</si>
  <si>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</si>
  <si>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</si>
  <si>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</si>
  <si>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</si>
  <si>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</si>
  <si>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</si>
  <si>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</si>
  <si>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</si>
  <si>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</si>
  <si>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</si>
  <si>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</si>
  <si>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</si>
  <si>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</si>
  <si>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</si>
  <si>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</si>
  <si>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</si>
  <si>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</si>
  <si>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</si>
  <si>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</si>
  <si>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</si>
  <si>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</si>
  <si>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</si>
  <si>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</si>
  <si>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</si>
  <si>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</si>
  <si>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</si>
  <si>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</si>
  <si>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</si>
  <si>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</si>
  <si>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</si>
  <si>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</si>
  <si>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</si>
  <si>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</si>
  <si>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</si>
  <si>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</si>
  <si>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</si>
  <si>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</si>
  <si>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</si>
  <si>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</si>
  <si>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</si>
  <si>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</si>
  <si>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</si>
  <si>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</si>
  <si>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</si>
  <si>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</si>
  <si>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</si>
  <si>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</si>
  <si>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</si>
  <si>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</si>
  <si>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</si>
  <si>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</si>
  <si>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</si>
  <si>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</si>
  <si>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</si>
  <si>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</si>
  <si>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</si>
  <si>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</si>
  <si>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</si>
  <si>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</si>
  <si>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</si>
  <si>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</si>
  <si>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</si>
  <si>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</si>
  <si>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</si>
  <si>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</si>
  <si>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</si>
  <si>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</si>
  <si>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</si>
  <si>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</si>
  <si>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</si>
  <si>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</si>
  <si>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</si>
  <si>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</si>
  <si>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</si>
  <si>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</si>
  <si>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</si>
  <si>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</si>
  <si>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</si>
  <si>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</si>
  <si>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</si>
  <si>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</si>
  <si>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</si>
  <si>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</si>
  <si>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</si>
  <si>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</si>
  <si>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</si>
  <si>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</si>
  <si>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</si>
  <si>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</si>
  <si>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</si>
  <si>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</si>
  <si>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</si>
  <si>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</si>
  <si>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</si>
  <si>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</si>
  <si>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</si>
  <si>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</si>
  <si>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</si>
  <si>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</si>
  <si>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</si>
  <si>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</si>
  <si>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</si>
  <si>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</si>
  <si>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Monthly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</si>
  <si>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</si>
  <si>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</si>
  <si>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</si>
  <si>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</si>
  <si>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</si>
  <si>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</si>
  <si>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</si>
  <si>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</si>
  <si>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</si>
  <si>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EA</t>
  </si>
  <si>
    <t>Bus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</si>
  <si>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-MRS-0296</t>
    </r>
  </si>
  <si>
    <t>With Driver 64-Seater (2025-26 Model)</t>
  </si>
  <si>
    <t>BIL</t>
  </si>
  <si>
    <t>BIL-EQTN2026-0543</t>
  </si>
  <si>
    <t>BIL (Brigade Iconic Limited LLC)</t>
  </si>
  <si>
    <t>2055144446</t>
  </si>
  <si>
    <t>Mohammed Nawaz</t>
  </si>
  <si>
    <t>Mobile No. +966 50 155 8747 / email: sales@brigadeksa.com</t>
  </si>
  <si>
    <t>P.O. Box 6578, Al Mirqab, Al-Jubail-35514, KSA</t>
  </si>
  <si>
    <t>Mobile: +966 55 756 7933</t>
  </si>
  <si>
    <t>BRIGADE ICONIC LIMITED LLC</t>
  </si>
  <si>
    <t>Marketing Head</t>
  </si>
  <si>
    <t>312216908900003</t>
  </si>
  <si>
    <t>649000010006089631453</t>
  </si>
  <si>
    <t>SA63 8000 0649 6080 1963 1453</t>
  </si>
  <si>
    <t>AL RAJHI BANK</t>
  </si>
  <si>
    <t>RJHISARI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</si>
</sst>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3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2" t="s">
        <v>90</v>
      </c>
      <c r="K1" s="143"/>
      <c r="L1" s="144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5" t="s">
        <v>97</v>
      </c>
      <c r="K2" s="146"/>
      <c r="L2" s="147"/>
    </row>
    <row r="3" spans="1:19" ht="20.100000000000001" customHeight="1">
      <c r="A3" s="3" t="s">
        <v>116</v>
      </c>
      <c r="B3" s="100"/>
      <c r="C3" s="100"/>
      <c r="D3" s="100"/>
      <c r="E3" s="148">
        <f>+L3</f>
        <v>46144</v>
      </c>
      <c r="F3" s="148"/>
      <c r="G3" s="148"/>
      <c r="H3" s="148"/>
      <c r="I3" s="148"/>
      <c r="J3" s="100"/>
      <c r="K3" s="100"/>
      <c r="L3" s="121">
        <v>46144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94</v>
      </c>
      <c r="J4" s="149" t="s">
        <v>95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5" si="0">ROW(A1)</f>
        <v>1</v>
      </c>
      <c r="B6" s="131" t="s">
        <v>115</v>
      </c>
      <c r="C6" s="132"/>
      <c r="D6" s="133" t="s">
        <v>117</v>
      </c>
      <c r="E6" s="134"/>
      <c r="F6" s="135"/>
      <c r="G6" s="110" t="s">
        <v>114</v>
      </c>
      <c r="H6" s="111">
        <v>1</v>
      </c>
      <c r="I6" s="112">
        <v>11500</v>
      </c>
      <c r="J6" s="112">
        <f>I6*H6</f>
        <v>11500</v>
      </c>
      <c r="K6" s="113" t="s">
        <v>118</v>
      </c>
      <c r="L6" s="114" t="s">
        <v>104</v>
      </c>
      <c r="S6" s="105"/>
    </row>
    <row r="7" spans="1:19" ht="22.5" customHeight="1">
      <c r="A7" s="5">
        <f t="shared" si="0"/>
        <v>2</v>
      </c>
      <c r="B7" s="131"/>
      <c r="C7" s="132"/>
      <c r="D7" s="133"/>
      <c r="E7" s="134"/>
      <c r="F7" s="135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7" t="s">
        <v>17</v>
      </c>
      <c r="Q21" s="127" t="s">
        <v>18</v>
      </c>
    </row>
    <row r="22" spans="1:22" ht="18" customHeight="1">
      <c r="O22" s="18" t="s">
        <v>19</v>
      </c>
      <c r="P22" s="129"/>
      <c r="Q22" s="129"/>
      <c r="S22" s="13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21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21</v>
      </c>
      <c r="P46" s="127" t="s">
        <v>21</v>
      </c>
      <c r="Q46" s="127" t="s">
        <v>21</v>
      </c>
      <c r="T46" s="127" t="s">
        <v>22</v>
      </c>
      <c r="U46" s="127" t="s">
        <v>13</v>
      </c>
      <c r="V46" s="127" t="s">
        <v>21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21</v>
      </c>
      <c r="P50" s="127" t="s">
        <v>21</v>
      </c>
      <c r="Q50" s="127" t="s">
        <v>21</v>
      </c>
      <c r="T50" s="127" t="s">
        <v>13</v>
      </c>
      <c r="U50" s="127" t="s">
        <v>22</v>
      </c>
      <c r="V50" s="127" t="s">
        <v>21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SAC2-DS-MRS-0296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46144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91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Bus</v>
      </c>
      <c r="C6" s="167"/>
      <c r="D6" s="168" t="str">
        <f>MRS!D6</f>
        <v>With Driver 64-Seater (2025-26 Model)</v>
      </c>
      <c r="E6" s="169"/>
      <c r="F6" s="170"/>
      <c r="G6" s="102" t="str">
        <f>MRS!G6</f>
        <v>EA</v>
      </c>
      <c r="H6" s="102">
        <f>MRS!H6</f>
        <v>1</v>
      </c>
      <c r="I6" s="103">
        <f>MRS!I6</f>
        <v>11500</v>
      </c>
      <c r="J6" s="103">
        <f>MRS!J6</f>
        <v>11500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D16" sqref="D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120</v>
      </c>
      <c r="D9" s="38"/>
      <c r="E9" s="38"/>
    </row>
    <row r="10" spans="2:13" s="38" customFormat="1">
      <c r="B10" s="71"/>
      <c r="C10" s="38" t="s">
        <v>32</v>
      </c>
      <c r="D10" s="75" t="s">
        <v>121</v>
      </c>
      <c r="J10" s="38" t="s">
        <v>33</v>
      </c>
      <c r="K10" s="174">
        <f>MRS!L3</f>
        <v>46144</v>
      </c>
      <c r="L10" s="175"/>
      <c r="M10" s="175"/>
    </row>
    <row r="11" spans="2:13" s="38" customFormat="1">
      <c r="B11" s="71"/>
      <c r="C11" s="74" t="s">
        <v>34</v>
      </c>
      <c r="D11" s="75" t="s">
        <v>128</v>
      </c>
      <c r="J11" s="38" t="s">
        <v>35</v>
      </c>
      <c r="K11" s="176" t="str">
        <f>SUBSTITUTE(SUBSTITUTE(+MRS!A3,"  MRS No : ",""),"-MRS","-PO")</f>
        <v>SAC2-DS-PO-0296</v>
      </c>
      <c r="L11" s="176"/>
      <c r="M11" s="176"/>
    </row>
    <row r="12" spans="2:13" s="38" customFormat="1">
      <c r="B12" s="71"/>
      <c r="C12" s="74" t="s">
        <v>36</v>
      </c>
      <c r="D12" s="38" t="s">
        <v>122</v>
      </c>
      <c r="J12" s="38" t="s">
        <v>37</v>
      </c>
    </row>
    <row r="13" spans="2:13" s="38" customFormat="1">
      <c r="B13" s="71"/>
      <c r="C13" s="76"/>
      <c r="D13" s="75" t="s">
        <v>123</v>
      </c>
      <c r="J13" s="38" t="s">
        <v>38</v>
      </c>
    </row>
    <row r="14" spans="2:13" s="38" customFormat="1">
      <c r="B14" s="71"/>
      <c r="C14" s="76" t="s">
        <v>124</v>
      </c>
      <c r="J14" s="38" t="s">
        <v>39</v>
      </c>
      <c r="K14" s="38" t="s">
        <v>119</v>
      </c>
    </row>
    <row r="15" spans="2:13" s="38" customFormat="1">
      <c r="B15" s="71"/>
      <c r="C15" s="76" t="s">
        <v>125</v>
      </c>
      <c r="J15" s="38" t="s">
        <v>40</v>
      </c>
      <c r="K15" s="77">
        <v>46117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45</v>
      </c>
    </row>
    <row r="26" spans="2:13" s="38" customFormat="1" ht="12" customHeight="1">
      <c r="B26" s="72"/>
      <c r="C26" s="75" t="str">
        <f>_xlfn.CONCAT(MRS!B6," ",MRS!D6)</f>
        <v>Bus With Driver 64-Seater (2025-26 Model)</v>
      </c>
      <c r="M26" s="78" t="s">
        <v>46</v>
      </c>
    </row>
    <row r="27" spans="2:13" ht="11.1" customHeight="1">
      <c r="B27" s="32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24" t="s">
        <v>104</v>
      </c>
      <c r="G29" s="124"/>
      <c r="H29" s="124"/>
      <c r="M29" s="33"/>
    </row>
    <row r="30" spans="2:13" ht="12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2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8" customFormat="1" ht="12" customHeight="1">
      <c r="B49" s="79" t="s">
        <v>65</v>
      </c>
      <c r="C49" s="80" t="s">
        <v>100</v>
      </c>
      <c r="P49" s="81"/>
    </row>
    <row r="50" spans="2:16" s="82" customFormat="1" ht="12" customHeight="1">
      <c r="B50" s="83" t="s">
        <v>65</v>
      </c>
      <c r="C50" s="80" t="s">
        <v>93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105</v>
      </c>
    </row>
    <row r="54" spans="2:16" ht="12" customHeight="1">
      <c r="B54" s="83" t="s">
        <v>65</v>
      </c>
      <c r="C54" s="125" t="s">
        <v>106</v>
      </c>
      <c r="F54" s="126" t="s">
        <v>126</v>
      </c>
      <c r="P54" s="26" t="str">
        <f>UPPER(F54)</f>
        <v>BRIGADE ICONIC LIMITED LLC</v>
      </c>
    </row>
    <row r="55" spans="2:16" ht="12" customHeight="1">
      <c r="B55" s="83" t="s">
        <v>65</v>
      </c>
      <c r="C55" s="125" t="s">
        <v>107</v>
      </c>
      <c r="F55" s="126" t="s">
        <v>129</v>
      </c>
    </row>
    <row r="56" spans="2:16" ht="12" customHeight="1">
      <c r="B56" s="83" t="s">
        <v>65</v>
      </c>
      <c r="C56" s="125" t="s">
        <v>108</v>
      </c>
      <c r="F56" s="126" t="s">
        <v>130</v>
      </c>
    </row>
    <row r="57" spans="2:16" ht="12" customHeight="1">
      <c r="B57" s="83" t="s">
        <v>65</v>
      </c>
      <c r="C57" s="125" t="s">
        <v>109</v>
      </c>
      <c r="F57" s="26" t="s">
        <v>131</v>
      </c>
    </row>
    <row r="58" spans="2:16" ht="12" customHeight="1">
      <c r="B58" s="83" t="s">
        <v>65</v>
      </c>
      <c r="C58" s="125" t="s">
        <v>110</v>
      </c>
      <c r="F58" s="26" t="s">
        <v>132</v>
      </c>
    </row>
    <row r="59" spans="2:16" ht="12" customHeight="1">
      <c r="B59" s="83" t="s">
        <v>65</v>
      </c>
      <c r="C59" s="125" t="s">
        <v>111</v>
      </c>
      <c r="F59" s="26" t="s">
        <v>112</v>
      </c>
    </row>
    <row r="60" spans="2:16" ht="12" customHeight="1">
      <c r="B60" s="83"/>
      <c r="C60" s="125" t="s">
        <v>113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Nawaz</v>
      </c>
    </row>
    <row r="68" spans="1:13" ht="18" customHeight="1">
      <c r="B68" s="26" t="s">
        <v>71</v>
      </c>
      <c r="J68" s="26" t="s">
        <v>72</v>
      </c>
      <c r="K68" s="22" t="s">
        <v>127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102</v>
      </c>
      <c r="J70" s="181" t="str">
        <f>C9</f>
        <v>BIL (Brigade Iconic Limited LLC)</v>
      </c>
      <c r="K70" s="181"/>
      <c r="L70" s="181"/>
      <c r="M70" s="181"/>
    </row>
    <row r="71" spans="1:13" ht="27.95" customHeight="1">
      <c r="A71" s="173" t="s">
        <v>75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SAC2-DS-PO-0296</v>
      </c>
      <c r="C2" s="190" t="s">
        <v>77</v>
      </c>
      <c r="D2" s="190"/>
      <c r="E2" s="190"/>
      <c r="F2" s="190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46144</v>
      </c>
      <c r="C3" s="50"/>
      <c r="D3" s="51"/>
      <c r="E3" s="191" t="s">
        <v>79</v>
      </c>
      <c r="F3" s="191"/>
      <c r="G3" s="191"/>
      <c r="H3" s="191"/>
      <c r="I3" s="52"/>
    </row>
    <row r="4" spans="1:13" s="54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BIL (Brigade Iconic Limited LLC)</v>
      </c>
      <c r="G4" s="201"/>
      <c r="H4" s="202" t="s">
        <v>84</v>
      </c>
      <c r="K4" s="55"/>
      <c r="L4" s="55"/>
      <c r="M4" s="55"/>
    </row>
    <row r="5" spans="1:13" s="54" customFormat="1" ht="21.95" customHeight="1">
      <c r="A5" s="193"/>
      <c r="B5" s="196"/>
      <c r="C5" s="197"/>
      <c r="D5" s="199"/>
      <c r="E5" s="199"/>
      <c r="F5" s="56" t="s">
        <v>85</v>
      </c>
      <c r="G5" s="56" t="s">
        <v>51</v>
      </c>
      <c r="H5" s="203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8" t="str">
        <f>CONCATENATE(MRS!B6," ",MRS!D6)</f>
        <v>Bus With Driver 64-Seater (2025-26 Model)</v>
      </c>
      <c r="C6" s="189"/>
      <c r="D6" s="85" t="str">
        <f>+'MRS LIST'!G6</f>
        <v>EA</v>
      </c>
      <c r="E6" s="86">
        <f>+'MRS LIST'!H6</f>
        <v>1</v>
      </c>
      <c r="F6" s="87">
        <f>+'MRS LIST'!I6</f>
        <v>11500</v>
      </c>
      <c r="G6" s="88">
        <f>+'MRS LIST'!J6</f>
        <v>11500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8"/>
      <c r="C7" s="189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8"/>
      <c r="C8" s="189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8"/>
      <c r="C9" s="189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8"/>
      <c r="C10" s="189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8"/>
      <c r="C11" s="189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6"/>
      <c r="C12" s="187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6"/>
      <c r="C13" s="187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6"/>
      <c r="C14" s="187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6"/>
      <c r="C15" s="187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6"/>
      <c r="C16" s="187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6"/>
      <c r="C17" s="187"/>
      <c r="D17" s="93"/>
      <c r="E17" s="94"/>
      <c r="F17" s="95"/>
      <c r="G17" s="96"/>
      <c r="H17" s="97"/>
    </row>
    <row r="18" spans="1:13" s="54" customFormat="1" ht="23.1" customHeight="1">
      <c r="A18" s="182" t="s">
        <v>86</v>
      </c>
      <c r="B18" s="183"/>
      <c r="C18" s="183"/>
      <c r="D18" s="183"/>
      <c r="E18" s="183"/>
      <c r="F18" s="183"/>
      <c r="G18" s="57">
        <f>SUM(G6:G17)</f>
        <v>11500</v>
      </c>
      <c r="H18" s="58"/>
    </row>
    <row r="19" spans="1:13" s="54" customFormat="1" ht="23.1" customHeight="1">
      <c r="A19" s="182" t="s">
        <v>50</v>
      </c>
      <c r="B19" s="183"/>
      <c r="C19" s="183"/>
      <c r="D19" s="183"/>
      <c r="E19" s="183"/>
      <c r="F19" s="183"/>
      <c r="G19" s="57">
        <f>+G18*0.15</f>
        <v>1725</v>
      </c>
      <c r="H19" s="58"/>
    </row>
    <row r="20" spans="1:13" s="54" customFormat="1" ht="24.95" customHeight="1" thickBot="1">
      <c r="A20" s="184" t="s">
        <v>87</v>
      </c>
      <c r="B20" s="185"/>
      <c r="C20" s="185"/>
      <c r="D20" s="185"/>
      <c r="E20" s="185"/>
      <c r="F20" s="185"/>
      <c r="G20" s="59">
        <f>G19+G18</f>
        <v>13225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BIL-EQTN2026-0543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2026-05-02T08:30:57Z</cp:lastPrinted>
  <dcterms:created xsi:type="dcterms:W3CDTF">2024-10-20T11:50:19Z</dcterms:created>
  <dcterms:modified xsi:type="dcterms:W3CDTF">2026-05-02T08:31:00Z</dcterms:modified>
</cp:coreProperties>
</file>