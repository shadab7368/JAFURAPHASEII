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C2BDEF9F-9EEB-495E-B070-84B405C9BBD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3" l="1"/>
  <c r="B6" i="4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<sst xmlns="http://schemas.openxmlformats.org/spreadsheetml/2006/main" count="152" uniqueCount="118">
  <si>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</si>
  <si>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</si>
  <si>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</si>
  <si>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</si>
  <si>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</si>
  <si>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</si>
  <si>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</si>
  <si>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</si>
  <si>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</si>
  <si>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</si>
  <si>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</si>
  <si>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</si>
  <si>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</si>
  <si>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</si>
  <si>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</si>
  <si>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</si>
  <si>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</si>
  <si>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</si>
  <si>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</si>
  <si>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</si>
  <si>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</si>
  <si>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</si>
  <si>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</si>
  <si>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</si>
  <si>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</si>
  <si>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</si>
  <si>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</si>
  <si>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</si>
  <si>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</si>
  <si>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</si>
  <si>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</si>
  <si>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</si>
  <si>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</si>
  <si>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</si>
  <si>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</si>
  <si>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</si>
  <si>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</si>
  <si>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</si>
  <si>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</si>
  <si>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</si>
  <si>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</si>
  <si>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</si>
  <si>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</si>
  <si>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</si>
  <si>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</si>
  <si>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</si>
  <si>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</si>
  <si>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</si>
  <si>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</si>
  <si>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</si>
  <si>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</si>
  <si>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</si>
  <si>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</si>
  <si>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</si>
  <si>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</si>
  <si>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</si>
  <si>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</si>
  <si>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</si>
  <si>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</si>
  <si>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</si>
  <si>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</si>
  <si>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</si>
  <si>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</si>
  <si>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</si>
  <si>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</si>
  <si>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</si>
  <si>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</si>
  <si>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</si>
  <si>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</si>
  <si>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</si>
  <si>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</si>
  <si>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</si>
  <si>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</si>
  <si>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</si>
  <si>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</si>
  <si>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</si>
  <si>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</si>
  <si>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</si>
  <si>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</si>
  <si>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</si>
  <si>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</si>
  <si>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</si>
  <si>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</si>
  <si>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</si>
  <si>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</si>
  <si>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</si>
  <si>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</si>
  <si>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</si>
  <si>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</si>
  <si>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</si>
  <si>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</si>
  <si>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</si>
  <si>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</si>
  <si>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</si>
  <si>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</si>
  <si>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</si>
  <si>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</si>
  <si>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</si>
  <si>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Hourly Based</t>
  </si>
  <si>
    <t>Division (In charge Name) : ADMIN MANAGER (Dong Chang Kim)</t>
  </si>
  <si>
    <t>Hour</t>
  </si>
  <si>
    <t>Hyundai Engineering and Const. Co., Ltd. (HDEC)</t>
  </si>
  <si>
    <t>HYUNDAI ENG. &amp; CONST. CO., LTD.</t>
  </si>
  <si>
    <t>Subcontract name (SAC2-SC-IK-SMP-01)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</si>
  <si>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-MRS-0078</t>
    </r>
  </si>
  <si>
    <t>Piping QC Inspector</t>
  </si>
  <si>
    <t>AAC</t>
  </si>
  <si>
    <t>Aramco Approved &amp; CBT Passed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</si>
  <si>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</si>
  <si>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</si>
  <si>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</si>
  <si>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</si>
  <si>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</si>
  <si>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</si>
  <si>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AAC-2819/25(REV.01)</t>
  </si>
  <si>
    <t>Piping QC Inspector Aramco Approved &amp; CBT Passed</t>
  </si>
  <si>
    <t>AAC(Ali Mohammed Hassan Al-Alwan Cont. Est.)</t>
  </si>
  <si>
    <t>■ Purchase Requisition of Material / Manpower / Equipment Rental /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</si>
</sst>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50" fillId="2" borderId="0" xfId="1" applyFont="1" applyFill="1" applyAlignment="1">
      <alignment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/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203" t="s">
        <v>117</v>
      </c>
      <c r="B1" s="110"/>
      <c r="C1" s="110"/>
      <c r="D1" s="110"/>
      <c r="E1" s="110"/>
      <c r="F1" s="110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43" t="s">
        <v>103</v>
      </c>
      <c r="K2" s="144"/>
      <c r="L2" s="145"/>
    </row>
    <row r="3" spans="1:19" ht="20.100000000000001" customHeight="1">
      <c r="A3" s="3" t="s">
        <v>104</v>
      </c>
      <c r="B3" s="101"/>
      <c r="C3" s="101"/>
      <c r="D3" s="101"/>
      <c r="E3" s="146">
        <f>+L3</f>
        <v>45805</v>
      </c>
      <c r="F3" s="146"/>
      <c r="G3" s="146"/>
      <c r="H3" s="146"/>
      <c r="I3" s="146"/>
      <c r="J3" s="101"/>
      <c r="K3" s="101"/>
      <c r="L3" s="122">
        <v>45805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95</v>
      </c>
      <c r="J4" s="147" t="s">
        <v>96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105</v>
      </c>
      <c r="C6" s="129"/>
      <c r="D6" s="130" t="s">
        <v>107</v>
      </c>
      <c r="E6" s="131"/>
      <c r="F6" s="132"/>
      <c r="G6" s="111" t="s">
        <v>100</v>
      </c>
      <c r="H6" s="112">
        <v>1</v>
      </c>
      <c r="I6" s="113">
        <v>88</v>
      </c>
      <c r="J6" s="113">
        <f>H6*I6</f>
        <v>88</v>
      </c>
      <c r="K6" s="114" t="s">
        <v>106</v>
      </c>
      <c r="L6" s="115" t="s">
        <v>98</v>
      </c>
      <c r="S6" s="106"/>
    </row>
    <row r="7" spans="1:19" ht="22.5" customHeight="1">
      <c r="A7" s="5">
        <f t="shared" si="0"/>
        <v>2</v>
      </c>
      <c r="B7" s="128"/>
      <c r="C7" s="129"/>
      <c r="D7" s="139"/>
      <c r="E7" s="131"/>
      <c r="F7" s="13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88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SAC2-DS-MRS-0078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45805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91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Piping QC Inspector</v>
      </c>
      <c r="C6" s="165"/>
      <c r="D6" s="166" t="str">
        <f>MRS!D6</f>
        <v>Aramco Approved &amp; CBT Passed</v>
      </c>
      <c r="E6" s="167"/>
      <c r="F6" s="168"/>
      <c r="G6" s="103" t="str">
        <f>MRS!G6</f>
        <v>Hour</v>
      </c>
      <c r="H6" s="103">
        <f>MRS!H6</f>
        <v>1</v>
      </c>
      <c r="I6" s="104">
        <f>MRS!I6</f>
        <v>88</v>
      </c>
      <c r="J6" s="104">
        <f>MRS!J6</f>
        <v>88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9" sqref="C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116</v>
      </c>
      <c r="D9" s="39"/>
      <c r="E9" s="39"/>
    </row>
    <row r="10" spans="2:13" s="39" customFormat="1">
      <c r="B10" s="72"/>
      <c r="C10" s="39" t="s">
        <v>32</v>
      </c>
      <c r="D10" s="76" t="s">
        <v>108</v>
      </c>
      <c r="J10" s="39" t="s">
        <v>33</v>
      </c>
      <c r="K10" s="172">
        <f>MRS!L3</f>
        <v>45805</v>
      </c>
      <c r="L10" s="173"/>
      <c r="M10" s="173"/>
    </row>
    <row r="11" spans="2:13" s="39" customFormat="1">
      <c r="B11" s="72"/>
      <c r="C11" s="75" t="s">
        <v>34</v>
      </c>
      <c r="D11" s="76" t="s">
        <v>109</v>
      </c>
      <c r="J11" s="39" t="s">
        <v>35</v>
      </c>
      <c r="K11" s="174" t="str">
        <f>SUBSTITUTE(SUBSTITUTE(+MRS!A3,"  MRS No : ",""),"-MRS","-PO")</f>
        <v>SAC2-DS-PO-0078</v>
      </c>
      <c r="L11" s="174"/>
      <c r="M11" s="174"/>
    </row>
    <row r="12" spans="2:13" s="39" customFormat="1">
      <c r="B12" s="72"/>
      <c r="C12" s="75" t="s">
        <v>36</v>
      </c>
      <c r="D12" s="39" t="s">
        <v>110</v>
      </c>
      <c r="J12" s="39" t="s">
        <v>37</v>
      </c>
    </row>
    <row r="13" spans="2:13" s="39" customFormat="1">
      <c r="B13" s="72"/>
      <c r="C13" s="77"/>
      <c r="D13" s="76" t="s">
        <v>111</v>
      </c>
      <c r="J13" s="39" t="s">
        <v>38</v>
      </c>
    </row>
    <row r="14" spans="2:13" s="39" customFormat="1">
      <c r="B14" s="72"/>
      <c r="C14" s="77" t="s">
        <v>112</v>
      </c>
      <c r="J14" s="39" t="s">
        <v>39</v>
      </c>
      <c r="K14" s="39" t="s">
        <v>114</v>
      </c>
    </row>
    <row r="15" spans="2:13" s="39" customFormat="1">
      <c r="B15" s="72"/>
      <c r="C15" s="77" t="s">
        <v>113</v>
      </c>
      <c r="J15" s="39" t="s">
        <v>40</v>
      </c>
      <c r="K15" s="78">
        <v>45789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115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79" t="s">
        <v>98</v>
      </c>
      <c r="G29" s="179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79"/>
      <c r="G30" s="179"/>
    </row>
    <row r="31" spans="2:13" ht="15" customHeight="1">
      <c r="B31" s="32"/>
      <c r="C31" s="26" t="s">
        <v>51</v>
      </c>
      <c r="D31" s="35"/>
      <c r="E31" s="26" t="s">
        <v>49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Mohammed Thouseef</v>
      </c>
    </row>
    <row r="60" spans="1:16" ht="18" customHeight="1">
      <c r="B60" s="26" t="s">
        <v>71</v>
      </c>
      <c r="J60" s="26" t="s">
        <v>72</v>
      </c>
      <c r="K60" s="22"/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101</v>
      </c>
      <c r="J62" s="180" t="str">
        <f>C9</f>
        <v>AAC(Ali Mohammed Hassan Al-Alwan Cont. Est.)</v>
      </c>
      <c r="K62" s="180"/>
      <c r="L62" s="180"/>
      <c r="M62" s="180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SAC2-DS-PO-0078</v>
      </c>
      <c r="C2" s="189" t="s">
        <v>77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45805</v>
      </c>
      <c r="C3" s="51"/>
      <c r="D3" s="52"/>
      <c r="E3" s="190" t="s">
        <v>79</v>
      </c>
      <c r="F3" s="190"/>
      <c r="G3" s="190"/>
      <c r="H3" s="190"/>
      <c r="I3" s="53"/>
    </row>
    <row r="4" spans="1:13" s="55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AAC(Ali Mohammed Hassan Al-Alwan Cont. Est.)</v>
      </c>
      <c r="G4" s="200"/>
      <c r="H4" s="201" t="s">
        <v>84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85</v>
      </c>
      <c r="G5" s="57" t="s">
        <v>51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7" t="str">
        <f>'PO 1st page'!C26</f>
        <v>Piping QC Inspector Aramco Approved &amp; CBT Passed</v>
      </c>
      <c r="C6" s="188"/>
      <c r="D6" s="86" t="str">
        <f>+'MRS LIST'!G6</f>
        <v>Hour</v>
      </c>
      <c r="E6" s="87">
        <f>+'MRS LIST'!H6</f>
        <v>1</v>
      </c>
      <c r="F6" s="88">
        <f>+'MRS LIST'!I6</f>
        <v>88</v>
      </c>
      <c r="G6" s="89">
        <f>+'MRS LIST'!J6</f>
        <v>88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7"/>
      <c r="C7" s="188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/>
      <c r="C8" s="188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7"/>
      <c r="C10" s="188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86</v>
      </c>
      <c r="B18" s="182"/>
      <c r="C18" s="182"/>
      <c r="D18" s="182"/>
      <c r="E18" s="182"/>
      <c r="F18" s="182"/>
      <c r="G18" s="58">
        <f>SUM(G6:G17)</f>
        <v>88</v>
      </c>
      <c r="H18" s="59"/>
    </row>
    <row r="19" spans="1:13" s="55" customFormat="1" ht="23.1" customHeight="1">
      <c r="A19" s="181" t="s">
        <v>50</v>
      </c>
      <c r="B19" s="182"/>
      <c r="C19" s="182"/>
      <c r="D19" s="182"/>
      <c r="E19" s="182"/>
      <c r="F19" s="182"/>
      <c r="G19" s="58">
        <f>+G18*0.15</f>
        <v>13.2</v>
      </c>
      <c r="H19" s="59"/>
    </row>
    <row r="20" spans="1:13" s="55" customFormat="1" ht="24.95" customHeight="1" thickBot="1">
      <c r="A20" s="183" t="s">
        <v>87</v>
      </c>
      <c r="B20" s="184"/>
      <c r="C20" s="184"/>
      <c r="D20" s="184"/>
      <c r="E20" s="184"/>
      <c r="F20" s="184"/>
      <c r="G20" s="60">
        <f>G19+G18</f>
        <v>101.2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AAC-2819/25(REV.01)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2025-05-28T13:04:25Z</cp:lastPrinted>
  <dcterms:created xsi:type="dcterms:W3CDTF">2024-10-20T11:50:19Z</dcterms:created>
  <dcterms:modified xsi:type="dcterms:W3CDTF">2025-05-28T13:04:34Z</dcterms:modified>
</cp:coreProperties>
</file>