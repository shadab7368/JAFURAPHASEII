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562A78B7-5586-4777-8152-11F77B366F0C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MRS!$A$1:$I$25</definedName>
    <definedName name="_xlnm.Print_Area" localSheetId="1">'MRS LIST'!$A$1:$K$16</definedName>
    <definedName name="_xlnm.Print_Area" localSheetId="2">'PO 1st page'!$A$1:$N$63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2" l="1"/>
  <c r="I13" i="2"/>
  <c r="H13" i="2"/>
  <c r="G13" i="2"/>
  <c r="D13" i="2"/>
  <c r="B13" i="2"/>
  <c r="A12" i="2"/>
  <c r="A13" i="2"/>
  <c r="A14" i="2"/>
  <c r="I7" i="2"/>
  <c r="I8" i="2"/>
  <c r="F8" i="4" s="1"/>
  <c r="I9" i="2"/>
  <c r="F9" i="4" s="1"/>
  <c r="I10" i="2"/>
  <c r="F10" i="4" s="1"/>
  <c r="I11" i="2"/>
  <c r="F11" i="4" s="1"/>
  <c r="I12" i="2"/>
  <c r="F12" i="4" s="1"/>
  <c r="I14" i="2"/>
  <c r="I15" i="2"/>
  <c r="I16" i="2"/>
  <c r="H7" i="2"/>
  <c r="E7" i="4" s="1"/>
  <c r="H8" i="2"/>
  <c r="E8" i="4" s="1"/>
  <c r="H9" i="2"/>
  <c r="H10" i="2"/>
  <c r="E10" i="4" s="1"/>
  <c r="H11" i="2"/>
  <c r="E11" i="4" s="1"/>
  <c r="H12" i="2"/>
  <c r="E12" i="4" s="1"/>
  <c r="H14" i="2"/>
  <c r="H15" i="2"/>
  <c r="H16" i="2"/>
  <c r="G7" i="2"/>
  <c r="D7" i="4" s="1"/>
  <c r="G8" i="2"/>
  <c r="D8" i="4" s="1"/>
  <c r="G9" i="2"/>
  <c r="D9" i="4" s="1"/>
  <c r="G10" i="2"/>
  <c r="D10" i="4" s="1"/>
  <c r="G11" i="2"/>
  <c r="D11" i="4" s="1"/>
  <c r="G12" i="2"/>
  <c r="D12" i="4" s="1"/>
  <c r="G14" i="2"/>
  <c r="G15" i="2"/>
  <c r="G16" i="2"/>
  <c r="D7" i="2"/>
  <c r="D8" i="2"/>
  <c r="D9" i="2"/>
  <c r="D10" i="2"/>
  <c r="D11" i="2"/>
  <c r="D12" i="2"/>
  <c r="D14" i="2"/>
  <c r="D15" i="2"/>
  <c r="D16" i="2"/>
  <c r="B7" i="2"/>
  <c r="B7" i="4" s="1"/>
  <c r="B8" i="2"/>
  <c r="B8" i="4" s="1"/>
  <c r="B9" i="2"/>
  <c r="B9" i="4" s="1"/>
  <c r="B10" i="2"/>
  <c r="B10" i="4" s="1"/>
  <c r="B11" i="2"/>
  <c r="B11" i="4" s="1"/>
  <c r="B12" i="2"/>
  <c r="B12" i="4" s="1"/>
  <c r="B14" i="2"/>
  <c r="B15" i="2"/>
  <c r="B16" i="2"/>
  <c r="A7" i="2"/>
  <c r="A9" i="2"/>
  <c r="A10" i="2"/>
  <c r="G6" i="1"/>
  <c r="G7" i="1"/>
  <c r="J7" i="2" s="1"/>
  <c r="G8" i="1"/>
  <c r="J8" i="2" s="1"/>
  <c r="G8" i="4" s="1"/>
  <c r="G9" i="1"/>
  <c r="J9" i="2" s="1"/>
  <c r="G10" i="1"/>
  <c r="J10" i="2" s="1"/>
  <c r="G11" i="1"/>
  <c r="J11" i="2" s="1"/>
  <c r="G12" i="1"/>
  <c r="J12" i="2" s="1"/>
  <c r="G13" i="1"/>
  <c r="G14" i="1"/>
  <c r="G15" i="1"/>
  <c r="J16" i="2" s="1"/>
  <c r="A9" i="1"/>
  <c r="A10" i="1"/>
  <c r="A11" i="1"/>
  <c r="A11" i="2" s="1"/>
  <c r="A12" i="1"/>
  <c r="A15" i="2"/>
  <c r="A16" i="2"/>
  <c r="A8" i="1"/>
  <c r="A8" i="2" s="1"/>
  <c r="A7" i="1"/>
  <c r="E9" i="4"/>
  <c r="K59" i="3"/>
  <c r="G12" i="4" l="1"/>
  <c r="J15" i="2"/>
  <c r="G11" i="4"/>
  <c r="J14" i="2"/>
  <c r="G10" i="4"/>
  <c r="G9" i="4"/>
  <c r="G16" i="1"/>
  <c r="K10" i="3"/>
  <c r="A23" i="4" l="1"/>
  <c r="G7" i="4"/>
  <c r="F7" i="4"/>
  <c r="I6" i="2"/>
  <c r="F6" i="4" s="1"/>
  <c r="H6" i="2"/>
  <c r="E6" i="4" s="1"/>
  <c r="G6" i="2"/>
  <c r="D6" i="4" s="1"/>
  <c r="D6" i="2"/>
  <c r="B6" i="2"/>
  <c r="B6" i="4" s="1"/>
  <c r="A12" i="4"/>
  <c r="A11" i="4"/>
  <c r="A10" i="4"/>
  <c r="A9" i="4"/>
  <c r="A8" i="4"/>
  <c r="A7" i="4"/>
  <c r="A6" i="4"/>
  <c r="F4" i="4"/>
  <c r="B3" i="4"/>
  <c r="J62" i="3"/>
  <c r="K11" i="3"/>
  <c r="B2" i="4" s="1"/>
  <c r="K3" i="2"/>
  <c r="A3" i="2"/>
  <c r="J2" i="2"/>
  <c r="D2" i="2"/>
  <c r="A2" i="2"/>
  <c r="J1" i="2"/>
  <c r="A6" i="1"/>
  <c r="A6" i="2" s="1"/>
  <c r="J6" i="2" l="1"/>
  <c r="G6" i="4" s="1"/>
  <c r="G20" i="4" s="1"/>
  <c r="F29" i="3" s="1"/>
  <c r="G21" i="4" l="1"/>
  <c r="G22" i="4" l="1"/>
  <c r="F31" i="3" s="1"/>
  <c r="F30" i="3"/>
</calcChain>
</file>

<file path=xl/sharedStrings.xml><?xml version="1.0" encoding="utf-8"?>
<sst xmlns="http://schemas.openxmlformats.org/spreadsheetml/2006/main" count="169" uniqueCount="126">
  <si>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</si>
  <si>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</si>
  <si>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</si>
  <si>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</si>
  <si>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</si>
  <si>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</si>
  <si>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</si>
  <si>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</si>
  <si>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</si>
  <si>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</si>
  <si>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</si>
  <si>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</si>
  <si>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</si>
  <si>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</si>
  <si>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</si>
  <si>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</si>
  <si>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</si>
  <si>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</si>
  <si>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</si>
  <si>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</si>
  <si>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</si>
  <si>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</si>
  <si>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</si>
  <si>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</si>
  <si>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</si>
  <si>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</si>
  <si>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</si>
  <si>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</si>
  <si>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</si>
  <si>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</si>
  <si>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</si>
  <si>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</si>
  <si>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</si>
  <si>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</si>
  <si>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</si>
  <si>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</si>
  <si>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</si>
  <si>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</si>
  <si>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</si>
  <si>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</si>
  <si>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</si>
  <si>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</si>
  <si>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</si>
  <si>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</si>
  <si>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</si>
  <si>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</si>
  <si>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</si>
  <si>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</si>
  <si>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</si>
  <si>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</si>
  <si>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</si>
  <si>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</si>
  <si>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</si>
  <si>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</si>
  <si>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</si>
  <si>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</si>
  <si>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</si>
  <si>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</si>
  <si>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</si>
  <si>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</si>
  <si>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</si>
  <si>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</si>
  <si>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</si>
  <si>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</si>
  <si>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</si>
  <si>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</si>
  <si>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</si>
  <si>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</si>
  <si>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</si>
  <si>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</si>
  <si>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</si>
  <si>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</si>
  <si>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</si>
  <si>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</si>
  <si>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</si>
  <si>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</si>
  <si>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</si>
  <si>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</si>
  <si>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</si>
  <si>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</si>
  <si>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</si>
  <si>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</si>
  <si>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</si>
  <si>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</si>
  <si>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</si>
  <si>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</si>
  <si>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</si>
  <si>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</si>
  <si>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</si>
  <si>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</si>
  <si>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</si>
  <si>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</si>
  <si>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</si>
  <si>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</si>
  <si>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</si>
  <si>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</si>
  <si>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</si>
  <si>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</si>
  <si>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</si>
  <si>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BWCT</t>
  </si>
  <si>
    <t>311461390400003</t>
  </si>
  <si>
    <t>+966 56 431 5378 / Email:bluearabiaways@gmail.com</t>
  </si>
  <si>
    <t>Floor No. 2 Office No. 11, Dammam Al Anud 32426 KSA</t>
  </si>
  <si>
    <t>Mobile : +966 56 431 5378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</si>
  <si>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</si>
  <si>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</si>
  <si>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</si>
  <si>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</si>
  <si>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Xerox Printer</t>
  </si>
  <si>
    <t>One time</t>
  </si>
  <si>
    <t>Office Materials</t>
  </si>
  <si>
    <t>Vijay Kumar</t>
  </si>
  <si>
    <t>Sales Engineer</t>
  </si>
  <si>
    <t>BWCT(Blue Arabia Ways Co. for Trading)</t>
  </si>
  <si>
    <t>Branch of 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</si>
  <si>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-MRS-0095</t>
    </r>
  </si>
  <si>
    <t>B7135 - Black &amp; White</t>
  </si>
  <si>
    <t>Freezer</t>
  </si>
  <si>
    <t>Haier</t>
  </si>
  <si>
    <t>Xerox Toner</t>
  </si>
  <si>
    <t>B7135 - Black</t>
  </si>
  <si>
    <t>B7130 - Black</t>
  </si>
  <si>
    <t>C7130 - Cyan</t>
  </si>
  <si>
    <t>C7130 - Magenta</t>
  </si>
  <si>
    <t>C7130 - Yellow</t>
  </si>
  <si>
    <t>QT-BWC-2025-607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</si>
</sst>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/>
      <top style="thin">
        <color theme="0" tint="-0.499984740745262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/>
  </cellStyleXfs>
  <cellXfs count="18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18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2" xfId="5" applyFont="1" applyFill="1" applyBorder="1"/>
    <xf numFmtId="0" fontId="17" fillId="3" borderId="22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68" fontId="6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18" xfId="6" applyFont="1" applyFill="1" applyBorder="1" applyAlignment="1">
      <alignment horizontal="center" vertical="center" wrapText="1"/>
    </xf>
    <xf numFmtId="43" fontId="11" fillId="0" borderId="18" xfId="6" quotePrefix="1" applyNumberFormat="1" applyFont="1" applyBorder="1" applyAlignment="1">
      <alignment vertical="center" wrapText="1"/>
    </xf>
    <xf numFmtId="0" fontId="6" fillId="0" borderId="32" xfId="6" applyFont="1" applyBorder="1"/>
    <xf numFmtId="170" fontId="8" fillId="0" borderId="39" xfId="6" applyNumberFormat="1" applyFont="1" applyBorder="1" applyAlignment="1">
      <alignment horizontal="center" vertical="center" wrapText="1"/>
    </xf>
    <xf numFmtId="0" fontId="6" fillId="0" borderId="40" xfId="6" applyFont="1" applyBorder="1"/>
    <xf numFmtId="0" fontId="8" fillId="0" borderId="0" xfId="6" applyFont="1" applyAlignment="1">
      <alignment vertical="center"/>
    </xf>
    <xf numFmtId="0" fontId="26" fillId="0" borderId="41" xfId="6" applyFont="1" applyBorder="1" applyAlignment="1">
      <alignment vertical="center"/>
    </xf>
    <xf numFmtId="0" fontId="26" fillId="0" borderId="41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3" xfId="6" quotePrefix="1" applyFont="1" applyBorder="1" applyAlignment="1">
      <alignment horizontal="center" vertical="center"/>
    </xf>
    <xf numFmtId="0" fontId="4" fillId="2" borderId="36" xfId="7" applyFont="1" applyFill="1" applyBorder="1" applyAlignment="1">
      <alignment horizontal="center" vertical="center" wrapText="1"/>
    </xf>
    <xf numFmtId="0" fontId="4" fillId="2" borderId="36" xfId="8" applyFont="1" applyFill="1" applyBorder="1" applyAlignment="1">
      <alignment horizontal="center" vertical="center"/>
    </xf>
    <xf numFmtId="43" fontId="4" fillId="0" borderId="36" xfId="9" quotePrefix="1" applyFont="1" applyFill="1" applyBorder="1" applyAlignment="1">
      <alignment vertical="center"/>
    </xf>
    <xf numFmtId="43" fontId="4" fillId="0" borderId="36" xfId="6" applyNumberFormat="1" applyFont="1" applyBorder="1" applyAlignment="1">
      <alignment vertical="center"/>
    </xf>
    <xf numFmtId="0" fontId="1" fillId="0" borderId="37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1" xfId="6" quotePrefix="1" applyFont="1" applyBorder="1" applyAlignment="1">
      <alignment horizontal="center" vertical="center"/>
    </xf>
    <xf numFmtId="0" fontId="1" fillId="0" borderId="32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18" xfId="0" applyFont="1" applyBorder="1" applyAlignment="1">
      <alignment horizontal="center" vertical="center"/>
    </xf>
    <xf numFmtId="172" fontId="42" fillId="0" borderId="18" xfId="10" applyNumberFormat="1" applyFont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8" fillId="0" borderId="0" xfId="2" applyFont="1" applyAlignment="1">
      <alignment vertical="center"/>
    </xf>
    <xf numFmtId="167" fontId="1" fillId="0" borderId="14" xfId="0" applyNumberFormat="1" applyFont="1" applyBorder="1" applyAlignment="1">
      <alignment horizontal="right" vertical="center" wrapText="1"/>
    </xf>
    <xf numFmtId="167" fontId="1" fillId="0" borderId="14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0" fontId="1" fillId="2" borderId="15" xfId="1" applyFill="1" applyBorder="1" applyAlignment="1">
      <alignment vertical="center"/>
    </xf>
    <xf numFmtId="0" fontId="1" fillId="2" borderId="15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168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0" fontId="17" fillId="3" borderId="0" xfId="5" applyNumberFormat="1" applyFont="1" applyFill="1"/>
    <xf numFmtId="0" fontId="54" fillId="0" borderId="42" xfId="0" applyFont="1" applyBorder="1" applyAlignment="1">
      <alignment horizontal="left" vertical="center" wrapText="1"/>
    </xf>
    <xf numFmtId="0" fontId="54" fillId="0" borderId="43" xfId="0" applyFont="1" applyBorder="1" applyAlignment="1">
      <alignment horizontal="left" vertical="center" wrapText="1"/>
    </xf>
    <xf numFmtId="0" fontId="54" fillId="0" borderId="42" xfId="0" applyFont="1" applyBorder="1" applyAlignment="1">
      <alignment horizontal="center" vertical="center" wrapText="1"/>
    </xf>
    <xf numFmtId="0" fontId="54" fillId="0" borderId="44" xfId="0" applyFont="1" applyBorder="1" applyAlignment="1">
      <alignment horizontal="center" vertical="center" wrapText="1"/>
    </xf>
    <xf numFmtId="0" fontId="54" fillId="0" borderId="43" xfId="0" applyFont="1" applyBorder="1" applyAlignment="1">
      <alignment horizontal="center" vertical="center" wrapText="1"/>
    </xf>
    <xf numFmtId="43" fontId="54" fillId="0" borderId="45" xfId="11" applyFont="1" applyBorder="1" applyAlignment="1">
      <alignment vertical="center" wrapText="1"/>
    </xf>
    <xf numFmtId="43" fontId="54" fillId="0" borderId="46" xfId="11" applyFont="1" applyBorder="1" applyAlignment="1">
      <alignment vertical="center" wrapText="1"/>
    </xf>
    <xf numFmtId="0" fontId="1" fillId="2" borderId="7" xfId="1" applyFill="1" applyBorder="1" applyAlignment="1">
      <alignment vertical="center" wrapText="1"/>
    </xf>
    <xf numFmtId="0" fontId="1" fillId="0" borderId="18" xfId="0" quotePrefix="1" applyFont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2" fillId="0" borderId="19" xfId="0" applyFont="1" applyBorder="1" applyAlignment="1">
      <alignment horizontal="left" vertical="center" wrapText="1"/>
    </xf>
    <xf numFmtId="0" fontId="42" fillId="0" borderId="20" xfId="0" applyFont="1" applyBorder="1" applyAlignment="1">
      <alignment horizontal="left" vertical="center" wrapText="1"/>
    </xf>
    <xf numFmtId="0" fontId="42" fillId="3" borderId="19" xfId="0" applyFont="1" applyFill="1" applyBorder="1" applyAlignment="1">
      <alignment horizontal="center" vertical="center" wrapText="1"/>
    </xf>
    <xf numFmtId="0" fontId="42" fillId="3" borderId="21" xfId="0" applyFont="1" applyFill="1" applyBorder="1" applyAlignment="1">
      <alignment horizontal="center" vertical="center" wrapText="1"/>
    </xf>
    <xf numFmtId="0" fontId="42" fillId="3" borderId="20" xfId="0" applyFont="1" applyFill="1" applyBorder="1" applyAlignment="1">
      <alignment horizontal="center" vertical="center" wrapText="1"/>
    </xf>
    <xf numFmtId="0" fontId="14" fillId="2" borderId="18" xfId="1" applyFont="1" applyFill="1" applyBorder="1" applyAlignment="1">
      <alignment horizontal="center" vertical="center" wrapText="1"/>
    </xf>
    <xf numFmtId="0" fontId="14" fillId="2" borderId="18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2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4" xfId="5" applyFont="1" applyFill="1" applyBorder="1" applyAlignment="1">
      <alignment horizontal="left" vertical="center" wrapText="1"/>
    </xf>
    <xf numFmtId="0" fontId="42" fillId="3" borderId="35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3" xfId="6" applyFont="1" applyBorder="1" applyAlignment="1">
      <alignment horizontal="right" vertical="center"/>
    </xf>
    <xf numFmtId="0" fontId="6" fillId="4" borderId="24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5" xfId="6" applyFont="1" applyFill="1" applyBorder="1" applyAlignment="1">
      <alignment horizontal="center" vertical="center" wrapText="1"/>
    </xf>
    <xf numFmtId="0" fontId="6" fillId="4" borderId="26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27" xfId="6" applyFont="1" applyFill="1" applyBorder="1" applyAlignment="1">
      <alignment horizontal="center" vertical="center" wrapText="1"/>
    </xf>
    <xf numFmtId="0" fontId="6" fillId="4" borderId="18" xfId="6" applyFont="1" applyFill="1" applyBorder="1" applyAlignment="1">
      <alignment horizontal="center" vertical="center" wrapText="1"/>
    </xf>
    <xf numFmtId="0" fontId="6" fillId="4" borderId="28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11" fillId="0" borderId="31" xfId="6" quotePrefix="1" applyFont="1" applyBorder="1" applyAlignment="1">
      <alignment horizontal="right" vertical="center"/>
    </xf>
    <xf numFmtId="0" fontId="11" fillId="0" borderId="18" xfId="6" quotePrefix="1" applyFont="1" applyBorder="1" applyAlignment="1">
      <alignment horizontal="right" vertical="center"/>
    </xf>
    <xf numFmtId="0" fontId="8" fillId="0" borderId="38" xfId="6" quotePrefix="1" applyFont="1" applyBorder="1" applyAlignment="1">
      <alignment horizontal="right" vertical="center"/>
    </xf>
    <xf numFmtId="0" fontId="8" fillId="0" borderId="39" xfId="6" quotePrefix="1" applyFont="1" applyBorder="1" applyAlignment="1">
      <alignment horizontal="right" vertical="center"/>
    </xf>
  </cellXfs>
  <cellStyles count="12">
    <cellStyle name="Comma" xfId="11" builtinId="3"/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170444</xdr:colOff>
          <xdr:row>17</xdr:row>
          <xdr:rowOff>0</xdr:rowOff>
        </xdr:from>
        <xdr:to>
          <xdr:col>9</xdr:col>
          <xdr:colOff>493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L$18:$S$24" spid="_x0000_s12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537155" y="4983079"/>
              <a:ext cx="36199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15</xdr:row>
      <xdr:rowOff>822627</xdr:rowOff>
    </xdr:from>
    <xdr:to>
      <xdr:col>15</xdr:col>
      <xdr:colOff>543942</xdr:colOff>
      <xdr:row>15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15</xdr:row>
      <xdr:rowOff>822627</xdr:rowOff>
    </xdr:from>
    <xdr:to>
      <xdr:col>15</xdr:col>
      <xdr:colOff>543942</xdr:colOff>
      <xdr:row>15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M8" sqref="M8"/>
    </sheetView>
  </sheetViews>
  <sheetFormatPr defaultColWidth="9" defaultRowHeight="21" customHeight="1"/>
  <cols>
    <col min="1" max="1" width="3.7109375" style="2" customWidth="1"/>
    <col min="2" max="2" width="30.42578125" style="2" customWidth="1"/>
    <col min="3" max="3" width="31" style="2" customWidth="1"/>
    <col min="4" max="4" width="6.28515625" style="2" customWidth="1"/>
    <col min="5" max="5" width="8" style="2" customWidth="1"/>
    <col min="6" max="6" width="16.140625" style="2" customWidth="1"/>
    <col min="7" max="8" width="15.5703125" style="2" customWidth="1"/>
    <col min="9" max="9" width="25.5703125" style="2" customWidth="1"/>
    <col min="10" max="10" width="2.42578125" style="2" customWidth="1"/>
    <col min="11" max="11" width="9" style="2"/>
    <col min="12" max="13" width="13.5703125" style="2" customWidth="1"/>
    <col min="14" max="14" width="13.5703125" style="2" hidden="1" customWidth="1"/>
    <col min="15" max="15" width="3.5703125" style="2" customWidth="1"/>
    <col min="16" max="16" width="7.5703125" style="2" customWidth="1"/>
    <col min="17" max="17" width="13.5703125" style="2" hidden="1" customWidth="1"/>
    <col min="18" max="18" width="13.5703125" style="2" customWidth="1"/>
    <col min="19" max="19" width="13.5703125" style="2" hidden="1" customWidth="1"/>
    <col min="20" max="16384" width="9" style="2"/>
  </cols>
  <sheetData>
    <row r="1" spans="1:16" ht="49.9" customHeight="1">
      <c r="A1" s="111" t="s">
        <v>107</v>
      </c>
      <c r="B1" s="102"/>
      <c r="C1" s="102"/>
      <c r="D1" s="1"/>
      <c r="G1" s="122" t="s">
        <v>91</v>
      </c>
      <c r="H1" s="123"/>
      <c r="I1" s="124"/>
    </row>
    <row r="2" spans="1:16" ht="20.100000000000001" customHeight="1">
      <c r="A2" s="3" t="s">
        <v>1</v>
      </c>
      <c r="B2" s="96"/>
      <c r="C2" s="3" t="s">
        <v>105</v>
      </c>
      <c r="D2" s="96"/>
      <c r="E2" s="96"/>
      <c r="F2" s="4"/>
      <c r="G2" s="125" t="s">
        <v>106</v>
      </c>
      <c r="H2" s="126"/>
      <c r="I2" s="127"/>
    </row>
    <row r="3" spans="1:16" ht="20.100000000000001" customHeight="1">
      <c r="A3" s="3" t="s">
        <v>115</v>
      </c>
      <c r="B3" s="96"/>
      <c r="C3" s="96"/>
      <c r="D3" s="128"/>
      <c r="E3" s="128"/>
      <c r="F3" s="128"/>
      <c r="G3" s="96"/>
      <c r="H3" s="96"/>
      <c r="I3" s="109">
        <v>45853</v>
      </c>
      <c r="J3" s="4"/>
    </row>
    <row r="4" spans="1:16" ht="15.95" customHeight="1">
      <c r="A4" s="129" t="s">
        <v>2</v>
      </c>
      <c r="B4" s="130" t="s">
        <v>3</v>
      </c>
      <c r="C4" s="131" t="s">
        <v>4</v>
      </c>
      <c r="D4" s="133" t="s">
        <v>5</v>
      </c>
      <c r="E4" s="135" t="s">
        <v>6</v>
      </c>
      <c r="F4" s="135" t="s">
        <v>95</v>
      </c>
      <c r="G4" s="129" t="s">
        <v>96</v>
      </c>
      <c r="H4" s="135" t="s">
        <v>0</v>
      </c>
      <c r="I4" s="130" t="s">
        <v>7</v>
      </c>
    </row>
    <row r="5" spans="1:16" ht="15.95" customHeight="1">
      <c r="A5" s="129"/>
      <c r="B5" s="130"/>
      <c r="C5" s="132"/>
      <c r="D5" s="134"/>
      <c r="E5" s="136"/>
      <c r="F5" s="137"/>
      <c r="G5" s="129"/>
      <c r="H5" s="137"/>
      <c r="I5" s="130"/>
    </row>
    <row r="6" spans="1:16" ht="22.5" customHeight="1">
      <c r="A6" s="5">
        <f t="shared" ref="A6:A12" si="0">ROW(A1)</f>
        <v>1</v>
      </c>
      <c r="B6" s="113" t="s">
        <v>108</v>
      </c>
      <c r="C6" s="115" t="s">
        <v>116</v>
      </c>
      <c r="D6" s="116" t="s">
        <v>98</v>
      </c>
      <c r="E6" s="121">
        <v>1</v>
      </c>
      <c r="F6" s="118">
        <v>14748</v>
      </c>
      <c r="G6" s="103">
        <f>E6*F6</f>
        <v>14748</v>
      </c>
      <c r="H6" s="104" t="s">
        <v>99</v>
      </c>
      <c r="I6" s="105" t="s">
        <v>109</v>
      </c>
      <c r="P6" s="101"/>
    </row>
    <row r="7" spans="1:16" ht="22.5" customHeight="1">
      <c r="A7" s="5">
        <f t="shared" si="0"/>
        <v>2</v>
      </c>
      <c r="B7" s="113" t="s">
        <v>117</v>
      </c>
      <c r="C7" s="115" t="s">
        <v>118</v>
      </c>
      <c r="D7" s="117" t="s">
        <v>98</v>
      </c>
      <c r="E7" s="121">
        <v>12</v>
      </c>
      <c r="F7" s="119">
        <v>2804.4</v>
      </c>
      <c r="G7" s="103">
        <f t="shared" ref="G7:G12" si="1">E7*F7</f>
        <v>33652.800000000003</v>
      </c>
      <c r="H7" s="104"/>
      <c r="I7" s="105"/>
      <c r="P7" s="101"/>
    </row>
    <row r="8" spans="1:16" ht="22.5" customHeight="1">
      <c r="A8" s="5">
        <f t="shared" si="0"/>
        <v>3</v>
      </c>
      <c r="B8" s="114" t="s">
        <v>119</v>
      </c>
      <c r="C8" s="115" t="s">
        <v>120</v>
      </c>
      <c r="D8" s="117" t="s">
        <v>98</v>
      </c>
      <c r="E8" s="121">
        <v>4</v>
      </c>
      <c r="F8" s="119">
        <v>493.75</v>
      </c>
      <c r="G8" s="103">
        <f t="shared" si="1"/>
        <v>1975</v>
      </c>
      <c r="H8" s="104"/>
      <c r="I8" s="105"/>
      <c r="P8" s="101"/>
    </row>
    <row r="9" spans="1:16" ht="22.5" customHeight="1">
      <c r="A9" s="5">
        <f t="shared" si="0"/>
        <v>4</v>
      </c>
      <c r="B9" s="114" t="s">
        <v>119</v>
      </c>
      <c r="C9" s="115" t="s">
        <v>121</v>
      </c>
      <c r="D9" s="117" t="s">
        <v>98</v>
      </c>
      <c r="E9" s="121">
        <v>4</v>
      </c>
      <c r="F9" s="119">
        <v>562.5</v>
      </c>
      <c r="G9" s="103">
        <f t="shared" si="1"/>
        <v>2250</v>
      </c>
      <c r="H9" s="104"/>
      <c r="I9" s="105"/>
      <c r="P9" s="101"/>
    </row>
    <row r="10" spans="1:16" ht="22.5" customHeight="1">
      <c r="A10" s="5">
        <f t="shared" si="0"/>
        <v>5</v>
      </c>
      <c r="B10" s="114" t="s">
        <v>119</v>
      </c>
      <c r="C10" s="115" t="s">
        <v>122</v>
      </c>
      <c r="D10" s="117" t="s">
        <v>98</v>
      </c>
      <c r="E10" s="121">
        <v>4</v>
      </c>
      <c r="F10" s="119">
        <v>562.5</v>
      </c>
      <c r="G10" s="103">
        <f t="shared" si="1"/>
        <v>2250</v>
      </c>
      <c r="H10" s="104"/>
      <c r="I10" s="105"/>
      <c r="P10" s="101"/>
    </row>
    <row r="11" spans="1:16" ht="22.5" customHeight="1">
      <c r="A11" s="5">
        <f t="shared" si="0"/>
        <v>6</v>
      </c>
      <c r="B11" s="114" t="s">
        <v>119</v>
      </c>
      <c r="C11" s="115" t="s">
        <v>123</v>
      </c>
      <c r="D11" s="117" t="s">
        <v>98</v>
      </c>
      <c r="E11" s="121">
        <v>4</v>
      </c>
      <c r="F11" s="119">
        <v>562.5</v>
      </c>
      <c r="G11" s="103">
        <f t="shared" si="1"/>
        <v>2250</v>
      </c>
      <c r="H11" s="104"/>
      <c r="I11" s="105"/>
      <c r="P11" s="101"/>
    </row>
    <row r="12" spans="1:16" ht="22.5" customHeight="1">
      <c r="A12" s="5">
        <f t="shared" si="0"/>
        <v>7</v>
      </c>
      <c r="B12" s="114" t="s">
        <v>119</v>
      </c>
      <c r="C12" s="115" t="s">
        <v>124</v>
      </c>
      <c r="D12" s="117" t="s">
        <v>98</v>
      </c>
      <c r="E12" s="121">
        <v>4</v>
      </c>
      <c r="F12" s="119">
        <v>562.5</v>
      </c>
      <c r="G12" s="103">
        <f t="shared" si="1"/>
        <v>2250</v>
      </c>
      <c r="H12" s="104"/>
      <c r="I12" s="105"/>
      <c r="P12" s="101"/>
    </row>
    <row r="13" spans="1:16" ht="22.5" customHeight="1">
      <c r="A13" s="5"/>
      <c r="B13" s="114"/>
      <c r="C13" s="115"/>
      <c r="D13" s="117"/>
      <c r="E13" s="121"/>
      <c r="F13" s="119"/>
      <c r="G13" s="103">
        <f t="shared" ref="G13:G15" si="2">E13*F13</f>
        <v>0</v>
      </c>
      <c r="H13" s="104"/>
      <c r="I13" s="105"/>
      <c r="P13" s="101"/>
    </row>
    <row r="14" spans="1:16" ht="22.5" customHeight="1">
      <c r="A14" s="5"/>
      <c r="B14" s="114"/>
      <c r="C14" s="115"/>
      <c r="D14" s="117"/>
      <c r="E14" s="121"/>
      <c r="F14" s="119"/>
      <c r="G14" s="103">
        <f t="shared" si="2"/>
        <v>0</v>
      </c>
      <c r="H14" s="104"/>
      <c r="I14" s="105"/>
      <c r="P14" s="101"/>
    </row>
    <row r="15" spans="1:16" ht="22.5" customHeight="1">
      <c r="A15" s="5"/>
      <c r="B15" s="113"/>
      <c r="C15" s="115"/>
      <c r="D15" s="117"/>
      <c r="E15" s="121"/>
      <c r="F15" s="119"/>
      <c r="G15" s="103">
        <f t="shared" si="2"/>
        <v>0</v>
      </c>
      <c r="H15" s="104"/>
      <c r="I15" s="105"/>
      <c r="P15" s="101"/>
    </row>
    <row r="16" spans="1:16" ht="22.5" customHeight="1">
      <c r="A16" s="138" t="s">
        <v>8</v>
      </c>
      <c r="B16" s="139"/>
      <c r="C16" s="106"/>
      <c r="D16" s="107"/>
      <c r="E16" s="120"/>
      <c r="F16" s="108" t="s">
        <v>9</v>
      </c>
      <c r="G16" s="103">
        <f>SUM(G6:G15)</f>
        <v>59375.8</v>
      </c>
      <c r="H16" s="103"/>
      <c r="I16" s="105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8"/>
      <c r="I17" s="9"/>
    </row>
    <row r="18" spans="1:19" ht="18" customHeight="1">
      <c r="A18" s="10"/>
      <c r="G18" s="1"/>
      <c r="H18" s="1"/>
      <c r="L18" s="11"/>
      <c r="M18" s="11"/>
      <c r="N18" s="11"/>
      <c r="P18" s="140" t="s">
        <v>11</v>
      </c>
      <c r="Q18" s="12" t="s">
        <v>12</v>
      </c>
      <c r="R18" s="13" t="s">
        <v>13</v>
      </c>
      <c r="S18" s="12" t="s">
        <v>14</v>
      </c>
    </row>
    <row r="19" spans="1:19" ht="50.1" customHeight="1">
      <c r="P19" s="141"/>
      <c r="Q19" s="14"/>
      <c r="R19" s="15"/>
      <c r="S19" s="14"/>
    </row>
    <row r="20" spans="1:19" ht="17.100000000000001" customHeight="1">
      <c r="L20" s="11"/>
      <c r="M20" s="11"/>
      <c r="N20" s="11"/>
      <c r="P20" s="142"/>
      <c r="Q20" s="15" t="s">
        <v>15</v>
      </c>
      <c r="R20" s="15" t="s">
        <v>15</v>
      </c>
      <c r="S20" s="16" t="s">
        <v>15</v>
      </c>
    </row>
    <row r="21" spans="1:19" ht="15" customHeight="1">
      <c r="L21" s="17" t="s">
        <v>16</v>
      </c>
      <c r="M21" s="143" t="s">
        <v>17</v>
      </c>
      <c r="N21" s="143" t="s">
        <v>18</v>
      </c>
    </row>
    <row r="22" spans="1:19" ht="18" customHeight="1">
      <c r="L22" s="18" t="s">
        <v>19</v>
      </c>
      <c r="M22" s="144"/>
      <c r="N22" s="144"/>
      <c r="P22" s="140" t="s">
        <v>20</v>
      </c>
      <c r="Q22" s="12" t="s">
        <v>12</v>
      </c>
      <c r="R22" s="12" t="s">
        <v>13</v>
      </c>
      <c r="S22" s="12" t="s">
        <v>14</v>
      </c>
    </row>
    <row r="23" spans="1:19" ht="50.1" customHeight="1">
      <c r="L23" s="14"/>
      <c r="M23" s="14"/>
      <c r="N23" s="14"/>
      <c r="P23" s="141"/>
      <c r="Q23" s="19"/>
      <c r="R23" s="19"/>
      <c r="S23" s="14"/>
    </row>
    <row r="24" spans="1:19" ht="17.100000000000001" customHeight="1">
      <c r="L24" s="16" t="s">
        <v>15</v>
      </c>
      <c r="M24" s="16" t="s">
        <v>15</v>
      </c>
      <c r="N24" s="16" t="s">
        <v>15</v>
      </c>
      <c r="P24" s="142"/>
      <c r="Q24" s="15" t="s">
        <v>15</v>
      </c>
      <c r="R24" s="15" t="s">
        <v>15</v>
      </c>
      <c r="S24" s="16" t="s">
        <v>15</v>
      </c>
    </row>
    <row r="25" spans="1:19" ht="9.9499999999999993" customHeight="1"/>
    <row r="26" spans="1:19" ht="19.899999999999999" customHeight="1"/>
    <row r="27" spans="1:19" ht="17.45" customHeight="1">
      <c r="L27" s="145"/>
      <c r="M27" s="145"/>
      <c r="N27" s="145"/>
    </row>
    <row r="28" spans="1:19" ht="19.899999999999999" customHeight="1">
      <c r="L28" s="145"/>
      <c r="M28" s="145"/>
      <c r="N28" s="145"/>
    </row>
    <row r="29" spans="1:19" ht="14.25">
      <c r="L29" s="11"/>
      <c r="M29" s="11"/>
      <c r="N29" s="11"/>
    </row>
    <row r="30" spans="1:19" ht="65.099999999999994" customHeight="1"/>
    <row r="31" spans="1:19" ht="14.25">
      <c r="L31" s="11"/>
      <c r="M31" s="11"/>
      <c r="N31" s="11"/>
    </row>
    <row r="32" spans="1:19" ht="19.899999999999999" customHeight="1"/>
    <row r="33" spans="12:19" ht="14.25"/>
    <row r="34" spans="12:19" ht="19.899999999999999" customHeight="1"/>
    <row r="35" spans="12:19" ht="14.25"/>
    <row r="36" spans="12:19" ht="19.899999999999999" customHeight="1"/>
    <row r="37" spans="12:19" ht="19.899999999999999" customHeight="1"/>
    <row r="38" spans="12:19" ht="64.900000000000006" customHeight="1"/>
    <row r="40" spans="12:19" ht="19.899999999999999" customHeight="1">
      <c r="Q40" s="143" t="s">
        <v>21</v>
      </c>
    </row>
    <row r="41" spans="12:19" ht="19.899999999999999" customHeight="1">
      <c r="Q41" s="144"/>
    </row>
    <row r="42" spans="12:19" ht="64.900000000000006" customHeight="1">
      <c r="Q42" s="14"/>
    </row>
    <row r="46" spans="12:19" ht="21" customHeight="1">
      <c r="L46" s="143" t="s">
        <v>21</v>
      </c>
      <c r="M46" s="143" t="s">
        <v>21</v>
      </c>
      <c r="N46" s="143" t="s">
        <v>21</v>
      </c>
      <c r="Q46" s="143" t="s">
        <v>22</v>
      </c>
      <c r="R46" s="143" t="s">
        <v>13</v>
      </c>
      <c r="S46" s="143" t="s">
        <v>21</v>
      </c>
    </row>
    <row r="47" spans="12:19" ht="21" customHeight="1">
      <c r="L47" s="144"/>
      <c r="M47" s="144"/>
      <c r="N47" s="144"/>
      <c r="Q47" s="142"/>
      <c r="R47" s="142"/>
      <c r="S47" s="144"/>
    </row>
    <row r="48" spans="12:19" ht="64.900000000000006" customHeight="1">
      <c r="L48" s="14"/>
      <c r="M48" s="14"/>
      <c r="N48" s="14"/>
      <c r="Q48" s="14"/>
      <c r="R48" s="15"/>
      <c r="S48" s="14"/>
    </row>
    <row r="49" spans="12:19" ht="7.15" customHeight="1"/>
    <row r="50" spans="12:19" ht="21" customHeight="1">
      <c r="L50" s="143" t="s">
        <v>21</v>
      </c>
      <c r="M50" s="143" t="s">
        <v>21</v>
      </c>
      <c r="N50" s="143" t="s">
        <v>21</v>
      </c>
      <c r="Q50" s="143" t="s">
        <v>13</v>
      </c>
      <c r="R50" s="143" t="s">
        <v>22</v>
      </c>
      <c r="S50" s="143" t="s">
        <v>21</v>
      </c>
    </row>
    <row r="51" spans="12:19" ht="21" customHeight="1">
      <c r="L51" s="144"/>
      <c r="M51" s="144"/>
      <c r="N51" s="144"/>
      <c r="Q51" s="142"/>
      <c r="R51" s="142"/>
      <c r="S51" s="144"/>
    </row>
    <row r="52" spans="12:19" ht="64.900000000000006" customHeight="1">
      <c r="L52" s="14"/>
      <c r="M52" s="14"/>
      <c r="N52" s="14"/>
      <c r="Q52" s="15"/>
      <c r="R52" s="14"/>
      <c r="S52" s="14"/>
    </row>
  </sheetData>
  <mergeCells count="33">
    <mergeCell ref="R46:R47"/>
    <mergeCell ref="S46:S47"/>
    <mergeCell ref="L50:L51"/>
    <mergeCell ref="M50:M51"/>
    <mergeCell ref="N50:N51"/>
    <mergeCell ref="Q50:Q51"/>
    <mergeCell ref="R50:R51"/>
    <mergeCell ref="S50:S51"/>
    <mergeCell ref="L27:L28"/>
    <mergeCell ref="M27:M28"/>
    <mergeCell ref="N27:N28"/>
    <mergeCell ref="Q40:Q41"/>
    <mergeCell ref="L46:L47"/>
    <mergeCell ref="M46:M47"/>
    <mergeCell ref="N46:N47"/>
    <mergeCell ref="Q46:Q47"/>
    <mergeCell ref="A16:B16"/>
    <mergeCell ref="P18:P20"/>
    <mergeCell ref="M21:M22"/>
    <mergeCell ref="N21:N22"/>
    <mergeCell ref="P22:P24"/>
    <mergeCell ref="G1:I1"/>
    <mergeCell ref="G2:I2"/>
    <mergeCell ref="D3:F3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6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0" t="s">
        <v>97</v>
      </c>
      <c r="B1" s="95"/>
      <c r="C1" s="95"/>
      <c r="D1" s="95"/>
      <c r="E1" s="95"/>
      <c r="F1" s="95"/>
      <c r="G1" s="1"/>
      <c r="J1" s="122" t="str">
        <f>+MRS!G1</f>
        <v>DAESHIN PLANT</v>
      </c>
      <c r="K1" s="124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+MRS!C2</f>
        <v>Division (In charge Name) : ADMIN MANAGER (Dong Chang Kim)</v>
      </c>
      <c r="E2" s="96"/>
      <c r="F2" s="96"/>
      <c r="G2" s="20"/>
      <c r="H2" s="20"/>
      <c r="I2" s="20"/>
      <c r="J2" s="125" t="str">
        <f>+MRS!G2</f>
        <v>Subcontract name (SAC2-SC-IK-SMP-01)</v>
      </c>
      <c r="K2" s="127"/>
    </row>
    <row r="3" spans="1:18" ht="24.95" customHeight="1">
      <c r="A3" s="3" t="str">
        <f>+MRS!A3</f>
        <v xml:space="preserve">  MRS No : SAC2-DS-MRS-0095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+MRS!I3</f>
        <v>45853</v>
      </c>
    </row>
    <row r="4" spans="1:18" ht="15.95" customHeight="1">
      <c r="A4" s="151" t="s">
        <v>2</v>
      </c>
      <c r="B4" s="152" t="s">
        <v>23</v>
      </c>
      <c r="C4" s="152"/>
      <c r="D4" s="151" t="s">
        <v>4</v>
      </c>
      <c r="E4" s="151"/>
      <c r="F4" s="151"/>
      <c r="G4" s="152" t="s">
        <v>5</v>
      </c>
      <c r="H4" s="151" t="s">
        <v>92</v>
      </c>
      <c r="I4" s="151" t="s">
        <v>24</v>
      </c>
      <c r="J4" s="151" t="s">
        <v>25</v>
      </c>
      <c r="K4" s="152" t="s">
        <v>7</v>
      </c>
    </row>
    <row r="5" spans="1:18" ht="15.95" customHeight="1">
      <c r="A5" s="151"/>
      <c r="B5" s="152"/>
      <c r="C5" s="152"/>
      <c r="D5" s="151"/>
      <c r="E5" s="151"/>
      <c r="F5" s="151"/>
      <c r="G5" s="152"/>
      <c r="H5" s="151"/>
      <c r="I5" s="151"/>
      <c r="J5" s="151"/>
      <c r="K5" s="152"/>
    </row>
    <row r="6" spans="1:18" ht="105" customHeight="1">
      <c r="A6" s="21">
        <f>+MRS!A6</f>
        <v>1</v>
      </c>
      <c r="B6" s="146" t="str">
        <f>MRS!B6</f>
        <v>Xerox Printer</v>
      </c>
      <c r="C6" s="147"/>
      <c r="D6" s="148" t="str">
        <f>MRS!C6</f>
        <v>B7135 - Black &amp; White</v>
      </c>
      <c r="E6" s="149"/>
      <c r="F6" s="150"/>
      <c r="G6" s="98" t="str">
        <f>MRS!D6</f>
        <v>EA</v>
      </c>
      <c r="H6" s="98">
        <f>MRS!E6</f>
        <v>1</v>
      </c>
      <c r="I6" s="99">
        <f>MRS!F6</f>
        <v>14748</v>
      </c>
      <c r="J6" s="99">
        <f>MRS!G6</f>
        <v>14748</v>
      </c>
      <c r="K6" s="100"/>
      <c r="O6" s="101"/>
      <c r="P6" s="101"/>
      <c r="R6" s="101"/>
    </row>
    <row r="7" spans="1:18" ht="105" customHeight="1">
      <c r="A7" s="21">
        <f>+MRS!A7</f>
        <v>2</v>
      </c>
      <c r="B7" s="146" t="str">
        <f>MRS!B7</f>
        <v>Freezer</v>
      </c>
      <c r="C7" s="147"/>
      <c r="D7" s="148" t="str">
        <f>MRS!C7</f>
        <v>Haier</v>
      </c>
      <c r="E7" s="149"/>
      <c r="F7" s="150"/>
      <c r="G7" s="98" t="str">
        <f>MRS!D7</f>
        <v>EA</v>
      </c>
      <c r="H7" s="98">
        <f>MRS!E7</f>
        <v>12</v>
      </c>
      <c r="I7" s="99">
        <f>MRS!F7</f>
        <v>2804.4</v>
      </c>
      <c r="J7" s="99">
        <f>MRS!G7</f>
        <v>33652.800000000003</v>
      </c>
      <c r="K7" s="100"/>
      <c r="O7" s="101"/>
      <c r="P7" s="101"/>
      <c r="R7" s="101"/>
    </row>
    <row r="8" spans="1:18" ht="105" customHeight="1">
      <c r="A8" s="21">
        <f>+MRS!A8</f>
        <v>3</v>
      </c>
      <c r="B8" s="146" t="str">
        <f>MRS!B8</f>
        <v>Xerox Toner</v>
      </c>
      <c r="C8" s="147"/>
      <c r="D8" s="148" t="str">
        <f>MRS!C8</f>
        <v>B7135 - Black</v>
      </c>
      <c r="E8" s="149"/>
      <c r="F8" s="150"/>
      <c r="G8" s="98" t="str">
        <f>MRS!D8</f>
        <v>EA</v>
      </c>
      <c r="H8" s="98">
        <f>MRS!E8</f>
        <v>4</v>
      </c>
      <c r="I8" s="99">
        <f>MRS!F8</f>
        <v>493.75</v>
      </c>
      <c r="J8" s="99">
        <f>MRS!G8</f>
        <v>1975</v>
      </c>
      <c r="K8" s="100"/>
      <c r="O8" s="101"/>
      <c r="P8" s="101"/>
      <c r="R8" s="101"/>
    </row>
    <row r="9" spans="1:18" ht="105" customHeight="1">
      <c r="A9" s="21">
        <f>+MRS!A9</f>
        <v>4</v>
      </c>
      <c r="B9" s="146" t="str">
        <f>MRS!B9</f>
        <v>Xerox Toner</v>
      </c>
      <c r="C9" s="147"/>
      <c r="D9" s="148" t="str">
        <f>MRS!C9</f>
        <v>B7130 - Black</v>
      </c>
      <c r="E9" s="149"/>
      <c r="F9" s="150"/>
      <c r="G9" s="98" t="str">
        <f>MRS!D9</f>
        <v>EA</v>
      </c>
      <c r="H9" s="98">
        <f>MRS!E9</f>
        <v>4</v>
      </c>
      <c r="I9" s="99">
        <f>MRS!F9</f>
        <v>562.5</v>
      </c>
      <c r="J9" s="99">
        <f>MRS!G9</f>
        <v>2250</v>
      </c>
      <c r="K9" s="100"/>
      <c r="O9" s="101"/>
      <c r="P9" s="101"/>
      <c r="R9" s="101"/>
    </row>
    <row r="10" spans="1:18" ht="105" customHeight="1">
      <c r="A10" s="21">
        <f>+MRS!A10</f>
        <v>5</v>
      </c>
      <c r="B10" s="146" t="str">
        <f>MRS!B10</f>
        <v>Xerox Toner</v>
      </c>
      <c r="C10" s="147"/>
      <c r="D10" s="148" t="str">
        <f>MRS!C10</f>
        <v>C7130 - Cyan</v>
      </c>
      <c r="E10" s="149"/>
      <c r="F10" s="150"/>
      <c r="G10" s="98" t="str">
        <f>MRS!D10</f>
        <v>EA</v>
      </c>
      <c r="H10" s="98">
        <f>MRS!E10</f>
        <v>4</v>
      </c>
      <c r="I10" s="99">
        <f>MRS!F10</f>
        <v>562.5</v>
      </c>
      <c r="J10" s="99">
        <f>MRS!G10</f>
        <v>2250</v>
      </c>
      <c r="K10" s="100"/>
      <c r="O10" s="101"/>
      <c r="P10" s="101"/>
      <c r="R10" s="101"/>
    </row>
    <row r="11" spans="1:18" ht="105" customHeight="1">
      <c r="A11" s="21">
        <f>+MRS!A11</f>
        <v>6</v>
      </c>
      <c r="B11" s="146" t="str">
        <f>MRS!B11</f>
        <v>Xerox Toner</v>
      </c>
      <c r="C11" s="147"/>
      <c r="D11" s="148" t="str">
        <f>MRS!C11</f>
        <v>C7130 - Magenta</v>
      </c>
      <c r="E11" s="149"/>
      <c r="F11" s="150"/>
      <c r="G11" s="98" t="str">
        <f>MRS!D11</f>
        <v>EA</v>
      </c>
      <c r="H11" s="98">
        <f>MRS!E11</f>
        <v>4</v>
      </c>
      <c r="I11" s="99">
        <f>MRS!F11</f>
        <v>562.5</v>
      </c>
      <c r="J11" s="99">
        <f>MRS!G11</f>
        <v>2250</v>
      </c>
      <c r="K11" s="100"/>
      <c r="O11" s="101"/>
      <c r="P11" s="101"/>
      <c r="R11" s="101"/>
    </row>
    <row r="12" spans="1:18" ht="105" customHeight="1">
      <c r="A12" s="21">
        <f>+MRS!A12</f>
        <v>7</v>
      </c>
      <c r="B12" s="146" t="str">
        <f>MRS!B12</f>
        <v>Xerox Toner</v>
      </c>
      <c r="C12" s="147"/>
      <c r="D12" s="148" t="str">
        <f>MRS!C12</f>
        <v>C7130 - Yellow</v>
      </c>
      <c r="E12" s="149"/>
      <c r="F12" s="150"/>
      <c r="G12" s="98" t="str">
        <f>MRS!D12</f>
        <v>EA</v>
      </c>
      <c r="H12" s="98">
        <f>MRS!E12</f>
        <v>4</v>
      </c>
      <c r="I12" s="99">
        <f>MRS!F12</f>
        <v>562.5</v>
      </c>
      <c r="J12" s="99">
        <f>MRS!G12</f>
        <v>2250</v>
      </c>
      <c r="K12" s="100"/>
      <c r="O12" s="101"/>
      <c r="P12" s="101"/>
      <c r="R12" s="101"/>
    </row>
    <row r="13" spans="1:18" ht="105" customHeight="1">
      <c r="A13" s="21">
        <f>+MRS!A13</f>
        <v>0</v>
      </c>
      <c r="B13" s="146">
        <f>MRS!B13</f>
        <v>0</v>
      </c>
      <c r="C13" s="147"/>
      <c r="D13" s="148">
        <f>MRS!C13</f>
        <v>0</v>
      </c>
      <c r="E13" s="149"/>
      <c r="F13" s="150"/>
      <c r="G13" s="98">
        <f>MRS!D13</f>
        <v>0</v>
      </c>
      <c r="H13" s="98">
        <f>MRS!E13</f>
        <v>0</v>
      </c>
      <c r="I13" s="99">
        <f>MRS!F13</f>
        <v>0</v>
      </c>
      <c r="J13" s="99">
        <f>MRS!G13</f>
        <v>0</v>
      </c>
      <c r="K13" s="100"/>
      <c r="O13" s="101"/>
      <c r="P13" s="101"/>
      <c r="R13" s="101"/>
    </row>
    <row r="14" spans="1:18" ht="105" customHeight="1">
      <c r="A14" s="21">
        <f>+MRS!A14</f>
        <v>0</v>
      </c>
      <c r="B14" s="146">
        <f>MRS!B13</f>
        <v>0</v>
      </c>
      <c r="C14" s="147"/>
      <c r="D14" s="148">
        <f>MRS!C13</f>
        <v>0</v>
      </c>
      <c r="E14" s="149"/>
      <c r="F14" s="150"/>
      <c r="G14" s="98">
        <f>MRS!D13</f>
        <v>0</v>
      </c>
      <c r="H14" s="98">
        <f>MRS!E13</f>
        <v>0</v>
      </c>
      <c r="I14" s="99">
        <f>MRS!F13</f>
        <v>0</v>
      </c>
      <c r="J14" s="99">
        <f>MRS!G13</f>
        <v>0</v>
      </c>
      <c r="K14" s="100"/>
      <c r="O14" s="101"/>
      <c r="P14" s="101"/>
      <c r="R14" s="101"/>
    </row>
    <row r="15" spans="1:18" ht="105" customHeight="1">
      <c r="A15" s="21">
        <f>+MRS!A14</f>
        <v>0</v>
      </c>
      <c r="B15" s="146">
        <f>MRS!B14</f>
        <v>0</v>
      </c>
      <c r="C15" s="147"/>
      <c r="D15" s="148">
        <f>MRS!C14</f>
        <v>0</v>
      </c>
      <c r="E15" s="149"/>
      <c r="F15" s="150"/>
      <c r="G15" s="98">
        <f>MRS!D14</f>
        <v>0</v>
      </c>
      <c r="H15" s="98">
        <f>MRS!E14</f>
        <v>0</v>
      </c>
      <c r="I15" s="99">
        <f>MRS!F14</f>
        <v>0</v>
      </c>
      <c r="J15" s="99">
        <f>MRS!G14</f>
        <v>0</v>
      </c>
      <c r="K15" s="100"/>
      <c r="O15" s="101"/>
      <c r="P15" s="101"/>
      <c r="R15" s="101"/>
    </row>
    <row r="16" spans="1:18" ht="105" customHeight="1">
      <c r="A16" s="21">
        <f>+MRS!A15</f>
        <v>0</v>
      </c>
      <c r="B16" s="146">
        <f>MRS!B15</f>
        <v>0</v>
      </c>
      <c r="C16" s="147"/>
      <c r="D16" s="148">
        <f>MRS!C15</f>
        <v>0</v>
      </c>
      <c r="E16" s="149"/>
      <c r="F16" s="150"/>
      <c r="G16" s="98">
        <f>MRS!D15</f>
        <v>0</v>
      </c>
      <c r="H16" s="98">
        <f>MRS!E15</f>
        <v>0</v>
      </c>
      <c r="I16" s="99">
        <f>MRS!F15</f>
        <v>0</v>
      </c>
      <c r="J16" s="99">
        <f>MRS!G15</f>
        <v>0</v>
      </c>
      <c r="K16" s="100"/>
      <c r="O16" s="101"/>
      <c r="P16" s="101"/>
      <c r="R16" s="101"/>
    </row>
  </sheetData>
  <mergeCells count="32">
    <mergeCell ref="B12:C12"/>
    <mergeCell ref="D12:F12"/>
    <mergeCell ref="B15:C15"/>
    <mergeCell ref="D15:F15"/>
    <mergeCell ref="B16:C16"/>
    <mergeCell ref="D16:F16"/>
    <mergeCell ref="D9:F9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3:C13"/>
    <mergeCell ref="D13:F13"/>
    <mergeCell ref="B14:C14"/>
    <mergeCell ref="D14:F14"/>
    <mergeCell ref="J1:K1"/>
    <mergeCell ref="J2:K2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topLeftCell="A28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113</v>
      </c>
      <c r="D9" s="39"/>
      <c r="E9" s="39"/>
    </row>
    <row r="10" spans="2:13" s="39" customFormat="1">
      <c r="B10" s="72"/>
      <c r="C10" s="39" t="s">
        <v>33</v>
      </c>
      <c r="D10" s="76">
        <v>2051242967</v>
      </c>
      <c r="J10" s="39" t="s">
        <v>34</v>
      </c>
      <c r="K10" s="154">
        <f>MRS!I3</f>
        <v>45853</v>
      </c>
      <c r="L10" s="155"/>
      <c r="M10" s="155"/>
    </row>
    <row r="11" spans="2:13" s="39" customFormat="1">
      <c r="B11" s="72"/>
      <c r="C11" s="75" t="s">
        <v>35</v>
      </c>
      <c r="D11" s="76" t="s">
        <v>100</v>
      </c>
      <c r="J11" s="39" t="s">
        <v>36</v>
      </c>
      <c r="K11" s="156" t="str">
        <f>SUBSTITUTE(SUBSTITUTE(+MRS!A3,"  MRS No : ",""),"-MRS","-PO")</f>
        <v>SAC2-DS-PO-0095</v>
      </c>
      <c r="L11" s="156"/>
      <c r="M11" s="156"/>
    </row>
    <row r="12" spans="2:13" s="39" customFormat="1">
      <c r="B12" s="72"/>
      <c r="C12" s="75" t="s">
        <v>37</v>
      </c>
      <c r="D12" s="39" t="s">
        <v>111</v>
      </c>
      <c r="J12" s="39" t="s">
        <v>38</v>
      </c>
    </row>
    <row r="13" spans="2:13" s="39" customFormat="1">
      <c r="B13" s="72"/>
      <c r="C13" s="77"/>
      <c r="D13" s="76" t="s">
        <v>101</v>
      </c>
      <c r="J13" s="39" t="s">
        <v>39</v>
      </c>
    </row>
    <row r="14" spans="2:13" s="39" customFormat="1">
      <c r="B14" s="72"/>
      <c r="C14" s="77" t="s">
        <v>102</v>
      </c>
      <c r="J14" s="39" t="s">
        <v>40</v>
      </c>
      <c r="K14" s="39" t="s">
        <v>125</v>
      </c>
    </row>
    <row r="15" spans="2:13" s="39" customFormat="1">
      <c r="B15" s="72"/>
      <c r="C15" s="77" t="s">
        <v>103</v>
      </c>
      <c r="J15" s="39" t="s">
        <v>41</v>
      </c>
      <c r="K15" s="78">
        <v>45850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57" t="s">
        <v>42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</row>
    <row r="19" spans="2:13" ht="12" customHeight="1"/>
    <row r="20" spans="2:13" s="31" customFormat="1" ht="12" customHeight="1">
      <c r="B20" s="158" t="s">
        <v>43</v>
      </c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</row>
    <row r="21" spans="2:13" s="31" customFormat="1" ht="12" customHeight="1">
      <c r="B21" s="158" t="s">
        <v>44</v>
      </c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</row>
    <row r="22" spans="2:13" s="31" customFormat="1" ht="12" customHeight="1">
      <c r="B22" s="158" t="s">
        <v>45</v>
      </c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</row>
    <row r="23" spans="2:13" ht="6.95" customHeight="1"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</row>
    <row r="24" spans="2:13" ht="6.95" customHeight="1"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110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12">
        <f>'PO 2nd page'!G20</f>
        <v>59375.8</v>
      </c>
      <c r="G29" s="112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12">
        <f>'PO 2nd page'!G21</f>
        <v>8906.3700000000008</v>
      </c>
      <c r="G30" s="112"/>
    </row>
    <row r="31" spans="2:13" ht="15" customHeight="1">
      <c r="B31" s="32"/>
      <c r="C31" s="26" t="s">
        <v>52</v>
      </c>
      <c r="D31" s="35"/>
      <c r="E31" s="26" t="s">
        <v>50</v>
      </c>
      <c r="F31" s="112">
        <f>'PO 2nd page'!G22</f>
        <v>68282.17</v>
      </c>
      <c r="G31" s="112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104</v>
      </c>
      <c r="P49" s="82"/>
    </row>
    <row r="50" spans="1:16" s="83" customFormat="1" ht="15" customHeight="1">
      <c r="B50" s="84" t="s">
        <v>66</v>
      </c>
      <c r="C50" s="81" t="s">
        <v>94</v>
      </c>
    </row>
    <row r="51" spans="1:16" s="83" customFormat="1" ht="15" customHeight="1">
      <c r="B51" s="84" t="s">
        <v>66</v>
      </c>
      <c r="C51" s="81" t="s">
        <v>93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Vijay Kumar</v>
      </c>
    </row>
    <row r="60" spans="1:16" ht="18" customHeight="1">
      <c r="B60" s="26" t="s">
        <v>72</v>
      </c>
      <c r="J60" s="26" t="s">
        <v>73</v>
      </c>
      <c r="K60" s="22" t="s">
        <v>112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114</v>
      </c>
      <c r="J62" s="161" t="str">
        <f>C9</f>
        <v>BWCT(Blue Arabia Ways Co. for Trading)</v>
      </c>
      <c r="K62" s="161"/>
      <c r="L62" s="161"/>
      <c r="M62" s="161"/>
    </row>
    <row r="63" spans="1:16" ht="27.95" customHeight="1">
      <c r="A63" s="153" t="s">
        <v>76</v>
      </c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H10" sqref="H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77</v>
      </c>
      <c r="B2" s="47" t="str">
        <f>+'PO 1st page'!K11</f>
        <v>SAC2-DS-PO-0095</v>
      </c>
      <c r="C2" s="164" t="s">
        <v>78</v>
      </c>
      <c r="D2" s="164"/>
      <c r="E2" s="164"/>
      <c r="F2" s="164"/>
      <c r="G2" s="48"/>
      <c r="H2" s="48"/>
    </row>
    <row r="3" spans="1:13" s="54" customFormat="1" ht="28.5" customHeight="1" thickBot="1">
      <c r="A3" s="49" t="s">
        <v>79</v>
      </c>
      <c r="B3" s="50">
        <f>+'PO 1st page'!K10</f>
        <v>45853</v>
      </c>
      <c r="C3" s="51"/>
      <c r="D3" s="52"/>
      <c r="E3" s="165" t="s">
        <v>80</v>
      </c>
      <c r="F3" s="165"/>
      <c r="G3" s="165"/>
      <c r="H3" s="165"/>
      <c r="I3" s="53"/>
    </row>
    <row r="4" spans="1:13" s="55" customFormat="1" ht="28.5" customHeight="1" thickTop="1">
      <c r="A4" s="166" t="s">
        <v>81</v>
      </c>
      <c r="B4" s="168" t="s">
        <v>82</v>
      </c>
      <c r="C4" s="169"/>
      <c r="D4" s="172" t="s">
        <v>83</v>
      </c>
      <c r="E4" s="172" t="s">
        <v>84</v>
      </c>
      <c r="F4" s="174" t="str">
        <f>'PO 1st page'!C9</f>
        <v>BWCT(Blue Arabia Ways Co. for Trading)</v>
      </c>
      <c r="G4" s="175"/>
      <c r="H4" s="176" t="s">
        <v>85</v>
      </c>
      <c r="K4" s="56"/>
      <c r="L4" s="56"/>
      <c r="M4" s="56"/>
    </row>
    <row r="5" spans="1:13" s="55" customFormat="1" ht="21.95" customHeight="1">
      <c r="A5" s="167"/>
      <c r="B5" s="170"/>
      <c r="C5" s="171"/>
      <c r="D5" s="173"/>
      <c r="E5" s="173"/>
      <c r="F5" s="57" t="s">
        <v>86</v>
      </c>
      <c r="G5" s="57" t="s">
        <v>52</v>
      </c>
      <c r="H5" s="177"/>
      <c r="K5" s="56"/>
      <c r="L5" s="56"/>
      <c r="M5" s="56"/>
    </row>
    <row r="6" spans="1:13" s="55" customFormat="1" ht="32.1" customHeight="1">
      <c r="A6" s="85">
        <f t="shared" ref="A6:A12" si="0">ROW(A1)</f>
        <v>1</v>
      </c>
      <c r="B6" s="162" t="str">
        <f>+'MRS LIST'!B6</f>
        <v>Xerox Printer</v>
      </c>
      <c r="C6" s="163"/>
      <c r="D6" s="86" t="str">
        <f>+'MRS LIST'!G6</f>
        <v>EA</v>
      </c>
      <c r="E6" s="87">
        <f>+'MRS LIST'!H6</f>
        <v>1</v>
      </c>
      <c r="F6" s="88">
        <f>+'MRS LIST'!I6</f>
        <v>14748</v>
      </c>
      <c r="G6" s="89">
        <f>+'MRS LIST'!J6</f>
        <v>14748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62" t="str">
        <f>+'MRS LIST'!B7</f>
        <v>Freezer</v>
      </c>
      <c r="C7" s="163"/>
      <c r="D7" s="86" t="str">
        <f>+'MRS LIST'!G7</f>
        <v>EA</v>
      </c>
      <c r="E7" s="87">
        <f>+'MRS LIST'!H7</f>
        <v>12</v>
      </c>
      <c r="F7" s="88">
        <f>+'MRS LIST'!I7</f>
        <v>2804.4</v>
      </c>
      <c r="G7" s="89">
        <f>+'MRS LIST'!J7</f>
        <v>33652.800000000003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62" t="str">
        <f>+'MRS LIST'!B8</f>
        <v>Xerox Toner</v>
      </c>
      <c r="C8" s="163"/>
      <c r="D8" s="86" t="str">
        <f>+'MRS LIST'!G8</f>
        <v>EA</v>
      </c>
      <c r="E8" s="87">
        <f>+'MRS LIST'!H8</f>
        <v>4</v>
      </c>
      <c r="F8" s="88">
        <f>+'MRS LIST'!I8</f>
        <v>493.75</v>
      </c>
      <c r="G8" s="89">
        <f>+'MRS LIST'!J8</f>
        <v>1975</v>
      </c>
      <c r="H8" s="94"/>
      <c r="K8" s="56"/>
      <c r="L8" s="56"/>
      <c r="M8" s="56"/>
    </row>
    <row r="9" spans="1:13" s="55" customFormat="1" ht="32.1" customHeight="1">
      <c r="A9" s="93">
        <f t="shared" si="0"/>
        <v>4</v>
      </c>
      <c r="B9" s="162" t="str">
        <f>+'MRS LIST'!B9</f>
        <v>Xerox Toner</v>
      </c>
      <c r="C9" s="163"/>
      <c r="D9" s="86" t="str">
        <f>+'MRS LIST'!G9</f>
        <v>EA</v>
      </c>
      <c r="E9" s="87">
        <f>+'MRS LIST'!H9</f>
        <v>4</v>
      </c>
      <c r="F9" s="88">
        <f>+'MRS LIST'!I9</f>
        <v>562.5</v>
      </c>
      <c r="G9" s="89">
        <f>+'MRS LIST'!J9</f>
        <v>2250</v>
      </c>
      <c r="H9" s="94"/>
    </row>
    <row r="10" spans="1:13" s="55" customFormat="1" ht="32.1" customHeight="1">
      <c r="A10" s="93">
        <f t="shared" si="0"/>
        <v>5</v>
      </c>
      <c r="B10" s="162" t="str">
        <f>+'MRS LIST'!B10</f>
        <v>Xerox Toner</v>
      </c>
      <c r="C10" s="163"/>
      <c r="D10" s="86" t="str">
        <f>+'MRS LIST'!G10</f>
        <v>EA</v>
      </c>
      <c r="E10" s="87">
        <f>+'MRS LIST'!H10</f>
        <v>4</v>
      </c>
      <c r="F10" s="88">
        <f>+'MRS LIST'!I10</f>
        <v>562.5</v>
      </c>
      <c r="G10" s="89">
        <f>+'MRS LIST'!J10</f>
        <v>2250</v>
      </c>
      <c r="H10" s="94"/>
    </row>
    <row r="11" spans="1:13" s="55" customFormat="1" ht="32.1" customHeight="1">
      <c r="A11" s="93">
        <f t="shared" si="0"/>
        <v>6</v>
      </c>
      <c r="B11" s="162" t="str">
        <f>+'MRS LIST'!B11</f>
        <v>Xerox Toner</v>
      </c>
      <c r="C11" s="163"/>
      <c r="D11" s="86" t="str">
        <f>+'MRS LIST'!G11</f>
        <v>EA</v>
      </c>
      <c r="E11" s="87">
        <f>+'MRS LIST'!H11</f>
        <v>4</v>
      </c>
      <c r="F11" s="88">
        <f>+'MRS LIST'!I11</f>
        <v>562.5</v>
      </c>
      <c r="G11" s="89">
        <f>+'MRS LIST'!J11</f>
        <v>2250</v>
      </c>
      <c r="H11" s="94"/>
    </row>
    <row r="12" spans="1:13" s="55" customFormat="1" ht="32.1" customHeight="1">
      <c r="A12" s="93">
        <f t="shared" si="0"/>
        <v>7</v>
      </c>
      <c r="B12" s="162" t="str">
        <f>+'MRS LIST'!B12</f>
        <v>Xerox Toner</v>
      </c>
      <c r="C12" s="163"/>
      <c r="D12" s="86" t="str">
        <f>+'MRS LIST'!G12</f>
        <v>EA</v>
      </c>
      <c r="E12" s="87">
        <f>+'MRS LIST'!H12</f>
        <v>4</v>
      </c>
      <c r="F12" s="88">
        <f>+'MRS LIST'!I12</f>
        <v>562.5</v>
      </c>
      <c r="G12" s="89">
        <f>+'MRS LIST'!J12</f>
        <v>2250</v>
      </c>
      <c r="H12" s="94"/>
    </row>
    <row r="13" spans="1:13" s="55" customFormat="1" ht="32.1" customHeight="1">
      <c r="A13" s="93"/>
      <c r="B13" s="162"/>
      <c r="C13" s="163"/>
      <c r="D13" s="86"/>
      <c r="E13" s="87"/>
      <c r="F13" s="88"/>
      <c r="G13" s="89"/>
      <c r="H13" s="94"/>
    </row>
    <row r="14" spans="1:13" s="55" customFormat="1" ht="32.1" customHeight="1">
      <c r="A14" s="93"/>
      <c r="B14" s="162"/>
      <c r="C14" s="163"/>
      <c r="D14" s="86"/>
      <c r="E14" s="87"/>
      <c r="F14" s="88"/>
      <c r="G14" s="89"/>
      <c r="H14" s="94"/>
    </row>
    <row r="15" spans="1:13" s="55" customFormat="1" ht="32.1" customHeight="1">
      <c r="A15" s="93"/>
      <c r="B15" s="162"/>
      <c r="C15" s="163"/>
      <c r="D15" s="86"/>
      <c r="E15" s="87"/>
      <c r="F15" s="88"/>
      <c r="G15" s="89"/>
      <c r="H15" s="94"/>
    </row>
    <row r="16" spans="1:13" s="55" customFormat="1" ht="32.1" customHeight="1">
      <c r="A16" s="93"/>
      <c r="B16" s="162"/>
      <c r="C16" s="163"/>
      <c r="D16" s="86"/>
      <c r="E16" s="87"/>
      <c r="F16" s="88"/>
      <c r="G16" s="89"/>
      <c r="H16" s="94"/>
    </row>
    <row r="17" spans="1:13" s="55" customFormat="1" ht="32.1" customHeight="1">
      <c r="A17" s="93"/>
      <c r="B17" s="162"/>
      <c r="C17" s="163"/>
      <c r="D17" s="86"/>
      <c r="E17" s="87"/>
      <c r="F17" s="88"/>
      <c r="G17" s="89"/>
      <c r="H17" s="94"/>
    </row>
    <row r="18" spans="1:13" s="55" customFormat="1" ht="32.1" customHeight="1">
      <c r="A18" s="93"/>
      <c r="B18" s="162"/>
      <c r="C18" s="163"/>
      <c r="D18" s="86"/>
      <c r="E18" s="87"/>
      <c r="F18" s="88"/>
      <c r="G18" s="89"/>
      <c r="H18" s="94"/>
    </row>
    <row r="19" spans="1:13" s="55" customFormat="1" ht="32.1" customHeight="1">
      <c r="A19" s="93"/>
      <c r="B19" s="162"/>
      <c r="C19" s="163"/>
      <c r="D19" s="86"/>
      <c r="E19" s="87"/>
      <c r="F19" s="88"/>
      <c r="G19" s="89"/>
      <c r="H19" s="94"/>
    </row>
    <row r="20" spans="1:13" s="55" customFormat="1" ht="23.1" customHeight="1">
      <c r="A20" s="178" t="s">
        <v>87</v>
      </c>
      <c r="B20" s="179"/>
      <c r="C20" s="179"/>
      <c r="D20" s="179"/>
      <c r="E20" s="179"/>
      <c r="F20" s="179"/>
      <c r="G20" s="58">
        <f>SUM(G6:G19)</f>
        <v>59375.8</v>
      </c>
      <c r="H20" s="59"/>
    </row>
    <row r="21" spans="1:13" s="55" customFormat="1" ht="23.1" customHeight="1">
      <c r="A21" s="178" t="s">
        <v>51</v>
      </c>
      <c r="B21" s="179"/>
      <c r="C21" s="179"/>
      <c r="D21" s="179"/>
      <c r="E21" s="179"/>
      <c r="F21" s="179"/>
      <c r="G21" s="58">
        <f>+G20*0.15</f>
        <v>8906.3700000000008</v>
      </c>
      <c r="H21" s="59"/>
    </row>
    <row r="22" spans="1:13" s="55" customFormat="1" ht="24.95" customHeight="1" thickBot="1">
      <c r="A22" s="180" t="s">
        <v>88</v>
      </c>
      <c r="B22" s="181"/>
      <c r="C22" s="181"/>
      <c r="D22" s="181"/>
      <c r="E22" s="181"/>
      <c r="F22" s="181"/>
      <c r="G22" s="60">
        <f>G21+G20</f>
        <v>68282.17</v>
      </c>
      <c r="H22" s="61"/>
    </row>
    <row r="23" spans="1:13" ht="15.75" thickTop="1">
      <c r="A23" s="62" t="str">
        <f>" 1) Above Price are as per your quotation with ref "&amp;'PO 1st page'!K14</f>
        <v xml:space="preserve"> 1) Above Price are as per your quotation with ref QT-BWC-2025-607</v>
      </c>
      <c r="B23" s="63"/>
      <c r="C23" s="63"/>
      <c r="D23" s="64"/>
      <c r="E23" s="64"/>
      <c r="F23" s="64"/>
      <c r="G23" s="64"/>
      <c r="H23" s="64"/>
    </row>
    <row r="24" spans="1:13" ht="15">
      <c r="A24" s="65" t="s">
        <v>89</v>
      </c>
      <c r="B24" s="66"/>
      <c r="C24" s="66"/>
      <c r="D24" s="67"/>
      <c r="E24" s="67"/>
      <c r="F24" s="67"/>
      <c r="G24" s="67"/>
      <c r="H24" s="67"/>
      <c r="I24" s="68"/>
    </row>
    <row r="25" spans="1:13" ht="15.75">
      <c r="A25" s="69"/>
    </row>
    <row r="26" spans="1:13">
      <c r="A26" s="153" t="s">
        <v>90</v>
      </c>
      <c r="B26" s="153"/>
      <c r="C26" s="153"/>
      <c r="D26" s="153"/>
      <c r="E26" s="153"/>
      <c r="F26" s="153"/>
      <c r="G26" s="153"/>
      <c r="H26" s="153"/>
      <c r="I26" s="70"/>
      <c r="J26" s="70"/>
      <c r="K26" s="70"/>
      <c r="L26" s="70"/>
      <c r="M26" s="70"/>
    </row>
    <row r="27" spans="1:13" ht="15.75">
      <c r="A27" s="69"/>
      <c r="C27" s="71"/>
    </row>
    <row r="28" spans="1:13" ht="15.75">
      <c r="A28" s="69"/>
      <c r="C28" s="71"/>
    </row>
    <row r="30" spans="1:13" ht="12" customHeight="1"/>
  </sheetData>
  <mergeCells count="26">
    <mergeCell ref="A20:F20"/>
    <mergeCell ref="A21:F21"/>
    <mergeCell ref="A22:F22"/>
    <mergeCell ref="A26:H26"/>
    <mergeCell ref="B12:C12"/>
    <mergeCell ref="B18:C18"/>
    <mergeCell ref="B19:C19"/>
    <mergeCell ref="B13:C13"/>
    <mergeCell ref="B17:C17"/>
    <mergeCell ref="A4:A5"/>
    <mergeCell ref="B4:C5"/>
    <mergeCell ref="D4:D5"/>
    <mergeCell ref="E4:E5"/>
    <mergeCell ref="F4:G4"/>
    <mergeCell ref="B14:C14"/>
    <mergeCell ref="B15:C15"/>
    <mergeCell ref="B16:C16"/>
    <mergeCell ref="B11:C11"/>
    <mergeCell ref="C2:F2"/>
    <mergeCell ref="E3:H3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2025-07-16T13:08:46Z</cp:lastPrinted>
  <dcterms:created xsi:type="dcterms:W3CDTF">2024-10-20T11:50:19Z</dcterms:created>
  <dcterms:modified xsi:type="dcterms:W3CDTF">2025-07-16T13:08:57Z</dcterms:modified>
</cp:coreProperties>
</file>