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equest foe Purchase Order\"/>
    </mc:Choice>
  </mc:AlternateContent>
  <xr:revisionPtr revIDLastSave="0" documentId="13_ncr:1_{07AA2AF1-B12E-46BA-B0B9-B7BB2A6A99BE}" xr6:coauthVersionLast="47" xr6:coauthVersionMax="47" xr10:uidLastSave="{00000000-0000-0000-0000-000000000000}"/>
  <bookViews>
    <workbookView xWindow="-12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MRS!$A$1:$L$52</definedName>
    <definedName name="_xlnm.Print_Area" localSheetId="1">'MRS LIST'!$A$1:$K$16</definedName>
    <definedName name="_xlnm.Print_Area" localSheetId="2">'PO 1st page'!$A$1:$N$63</definedName>
    <definedName name="_xlnm.Print_Area" localSheetId="3">'PO 2nd page'!$A$1:$H$49</definedName>
    <definedName name="_xlnm.Print_Titles" localSheetId="0">MRS!$4:$5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2" i="1" l="1"/>
  <c r="J41" i="1"/>
  <c r="J41" i="2" s="1"/>
  <c r="G41" i="4" s="1"/>
  <c r="J40" i="1"/>
  <c r="J39" i="1"/>
  <c r="J39" i="2" s="1"/>
  <c r="G39" i="4" s="1"/>
  <c r="J38" i="1"/>
  <c r="J37" i="1"/>
  <c r="J36" i="1"/>
  <c r="J35" i="1"/>
  <c r="J35" i="2" s="1"/>
  <c r="G35" i="4" s="1"/>
  <c r="J34" i="1"/>
  <c r="J33" i="1"/>
  <c r="J32" i="1"/>
  <c r="J32" i="2" s="1"/>
  <c r="G32" i="4" s="1"/>
  <c r="J31" i="1"/>
  <c r="J31" i="2" s="1"/>
  <c r="G31" i="4" s="1"/>
  <c r="J30" i="1"/>
  <c r="J29" i="1"/>
  <c r="J26" i="1"/>
  <c r="J25" i="1"/>
  <c r="J25" i="2" s="1"/>
  <c r="G25" i="4" s="1"/>
  <c r="J24" i="1"/>
  <c r="J24" i="2" s="1"/>
  <c r="G24" i="4" s="1"/>
  <c r="J23" i="1"/>
  <c r="J22" i="1"/>
  <c r="J22" i="2" s="1"/>
  <c r="G22" i="4" s="1"/>
  <c r="J21" i="1"/>
  <c r="J21" i="2" s="1"/>
  <c r="G21" i="4" s="1"/>
  <c r="J20" i="1"/>
  <c r="J19" i="1"/>
  <c r="J18" i="1"/>
  <c r="J17" i="1"/>
  <c r="J16" i="1"/>
  <c r="J15" i="1"/>
  <c r="J15" i="2" s="1"/>
  <c r="G15" i="4" s="1"/>
  <c r="J14" i="1"/>
  <c r="J13" i="1"/>
  <c r="J12" i="1"/>
  <c r="J11" i="1"/>
  <c r="J11" i="2" s="1"/>
  <c r="J10" i="1"/>
  <c r="J10" i="2" s="1"/>
  <c r="J9" i="1"/>
  <c r="J9" i="2" s="1"/>
  <c r="G9" i="4" s="1"/>
  <c r="J8" i="1"/>
  <c r="J7" i="1"/>
  <c r="J6" i="1"/>
  <c r="J6" i="2" s="1"/>
  <c r="G6" i="4" s="1"/>
  <c r="J18" i="2"/>
  <c r="G18" i="4" s="1"/>
  <c r="I18" i="2"/>
  <c r="F18" i="4" s="1"/>
  <c r="H18" i="2"/>
  <c r="G18" i="2"/>
  <c r="D18" i="4" s="1"/>
  <c r="D18" i="2"/>
  <c r="B18" i="2"/>
  <c r="A18" i="2"/>
  <c r="F42" i="4"/>
  <c r="D42" i="4"/>
  <c r="B42" i="4"/>
  <c r="A42" i="4"/>
  <c r="F41" i="4"/>
  <c r="D41" i="4"/>
  <c r="B41" i="4"/>
  <c r="A41" i="4"/>
  <c r="F40" i="4"/>
  <c r="D40" i="4"/>
  <c r="B40" i="4"/>
  <c r="A40" i="4"/>
  <c r="F39" i="4"/>
  <c r="D39" i="4"/>
  <c r="B39" i="4"/>
  <c r="A39" i="4"/>
  <c r="I42" i="2"/>
  <c r="H42" i="2"/>
  <c r="G42" i="2"/>
  <c r="D42" i="2"/>
  <c r="B42" i="2"/>
  <c r="A42" i="2"/>
  <c r="I41" i="2"/>
  <c r="H41" i="2"/>
  <c r="G41" i="2"/>
  <c r="D41" i="2"/>
  <c r="B41" i="2"/>
  <c r="A41" i="2"/>
  <c r="I40" i="2"/>
  <c r="H40" i="2"/>
  <c r="G40" i="2"/>
  <c r="D40" i="2"/>
  <c r="B40" i="2"/>
  <c r="A40" i="2"/>
  <c r="I39" i="2"/>
  <c r="H39" i="2"/>
  <c r="G39" i="2"/>
  <c r="D39" i="2"/>
  <c r="B39" i="2"/>
  <c r="A39" i="2"/>
  <c r="I38" i="2"/>
  <c r="H38" i="2"/>
  <c r="G38" i="2"/>
  <c r="D38" i="4" s="1"/>
  <c r="D38" i="2"/>
  <c r="B38" i="2"/>
  <c r="A38" i="2"/>
  <c r="J37" i="2"/>
  <c r="G37" i="4" s="1"/>
  <c r="I37" i="2"/>
  <c r="H37" i="2"/>
  <c r="G37" i="2"/>
  <c r="D37" i="2"/>
  <c r="B37" i="2"/>
  <c r="A37" i="2"/>
  <c r="J36" i="2"/>
  <c r="I36" i="2"/>
  <c r="H36" i="2"/>
  <c r="G36" i="2"/>
  <c r="D36" i="4" s="1"/>
  <c r="D36" i="2"/>
  <c r="B36" i="2"/>
  <c r="B36" i="4" s="1"/>
  <c r="A36" i="2"/>
  <c r="I35" i="2"/>
  <c r="F35" i="4" s="1"/>
  <c r="H35" i="2"/>
  <c r="G35" i="2"/>
  <c r="D35" i="4" s="1"/>
  <c r="D35" i="2"/>
  <c r="B35" i="2"/>
  <c r="B35" i="4" s="1"/>
  <c r="A35" i="2"/>
  <c r="J34" i="2"/>
  <c r="G34" i="4" s="1"/>
  <c r="I34" i="2"/>
  <c r="H34" i="2"/>
  <c r="G34" i="2"/>
  <c r="D34" i="4" s="1"/>
  <c r="D34" i="2"/>
  <c r="B34" i="2"/>
  <c r="A34" i="2"/>
  <c r="I33" i="2"/>
  <c r="F33" i="4" s="1"/>
  <c r="H33" i="2"/>
  <c r="G33" i="2"/>
  <c r="D33" i="4" s="1"/>
  <c r="D33" i="2"/>
  <c r="B33" i="2"/>
  <c r="A33" i="2"/>
  <c r="I32" i="2"/>
  <c r="F32" i="4" s="1"/>
  <c r="H32" i="2"/>
  <c r="G32" i="2"/>
  <c r="D32" i="2"/>
  <c r="B32" i="2"/>
  <c r="A32" i="2"/>
  <c r="I31" i="2"/>
  <c r="F31" i="4" s="1"/>
  <c r="H31" i="2"/>
  <c r="G31" i="2"/>
  <c r="D31" i="2"/>
  <c r="B31" i="2"/>
  <c r="A31" i="2"/>
  <c r="I30" i="2"/>
  <c r="F30" i="4" s="1"/>
  <c r="H30" i="2"/>
  <c r="G30" i="2"/>
  <c r="D30" i="4" s="1"/>
  <c r="D30" i="2"/>
  <c r="B30" i="2"/>
  <c r="B30" i="4" s="1"/>
  <c r="A30" i="2"/>
  <c r="J29" i="2"/>
  <c r="G29" i="4" s="1"/>
  <c r="I29" i="2"/>
  <c r="F29" i="4" s="1"/>
  <c r="H29" i="2"/>
  <c r="G29" i="2"/>
  <c r="D29" i="4" s="1"/>
  <c r="D29" i="2"/>
  <c r="B29" i="2"/>
  <c r="B29" i="4" s="1"/>
  <c r="A29" i="2"/>
  <c r="J28" i="2"/>
  <c r="I28" i="2"/>
  <c r="F28" i="4" s="1"/>
  <c r="H28" i="2"/>
  <c r="G28" i="2"/>
  <c r="D28" i="2"/>
  <c r="B28" i="2"/>
  <c r="B28" i="4" s="1"/>
  <c r="A28" i="2"/>
  <c r="J27" i="2"/>
  <c r="I27" i="2"/>
  <c r="H27" i="2"/>
  <c r="G27" i="2"/>
  <c r="D27" i="2"/>
  <c r="B27" i="2"/>
  <c r="A27" i="2"/>
  <c r="J26" i="2"/>
  <c r="G26" i="4" s="1"/>
  <c r="I26" i="2"/>
  <c r="F26" i="4" s="1"/>
  <c r="H26" i="2"/>
  <c r="G26" i="2"/>
  <c r="D26" i="2"/>
  <c r="B26" i="2"/>
  <c r="A26" i="2"/>
  <c r="I25" i="2"/>
  <c r="H25" i="2"/>
  <c r="G25" i="2"/>
  <c r="D25" i="4" s="1"/>
  <c r="D25" i="2"/>
  <c r="B25" i="2"/>
  <c r="B25" i="4" s="1"/>
  <c r="A25" i="2"/>
  <c r="I24" i="2"/>
  <c r="F24" i="4" s="1"/>
  <c r="H24" i="2"/>
  <c r="G24" i="2"/>
  <c r="D24" i="4" s="1"/>
  <c r="D24" i="2"/>
  <c r="B24" i="2"/>
  <c r="A24" i="2"/>
  <c r="J23" i="2"/>
  <c r="G23" i="4" s="1"/>
  <c r="I23" i="2"/>
  <c r="F23" i="4" s="1"/>
  <c r="H23" i="2"/>
  <c r="G23" i="2"/>
  <c r="D23" i="4" s="1"/>
  <c r="D23" i="2"/>
  <c r="B23" i="2"/>
  <c r="B23" i="4" s="1"/>
  <c r="A23" i="2"/>
  <c r="I22" i="2"/>
  <c r="F22" i="4" s="1"/>
  <c r="H22" i="2"/>
  <c r="G22" i="2"/>
  <c r="D22" i="4" s="1"/>
  <c r="D22" i="2"/>
  <c r="B22" i="2"/>
  <c r="B22" i="4" s="1"/>
  <c r="A22" i="2"/>
  <c r="I21" i="2"/>
  <c r="F21" i="4" s="1"/>
  <c r="H21" i="2"/>
  <c r="G21" i="2"/>
  <c r="D21" i="2"/>
  <c r="B21" i="2"/>
  <c r="A21" i="2"/>
  <c r="I20" i="2"/>
  <c r="F20" i="4" s="1"/>
  <c r="H20" i="2"/>
  <c r="G20" i="2"/>
  <c r="D20" i="4" s="1"/>
  <c r="D20" i="2"/>
  <c r="B20" i="2"/>
  <c r="A20" i="2"/>
  <c r="I19" i="2"/>
  <c r="F19" i="4" s="1"/>
  <c r="H19" i="2"/>
  <c r="G19" i="2"/>
  <c r="D19" i="2"/>
  <c r="B19" i="2"/>
  <c r="A19" i="2"/>
  <c r="J17" i="2"/>
  <c r="G17" i="4" s="1"/>
  <c r="I17" i="2"/>
  <c r="F17" i="4" s="1"/>
  <c r="H17" i="2"/>
  <c r="G17" i="2"/>
  <c r="D17" i="2"/>
  <c r="B17" i="2"/>
  <c r="B17" i="4" s="1"/>
  <c r="A17" i="2"/>
  <c r="J16" i="2"/>
  <c r="G16" i="4" s="1"/>
  <c r="I16" i="2"/>
  <c r="F16" i="4" s="1"/>
  <c r="H16" i="2"/>
  <c r="G16" i="2"/>
  <c r="D16" i="4" s="1"/>
  <c r="D16" i="2"/>
  <c r="B16" i="2"/>
  <c r="A16" i="2"/>
  <c r="I15" i="2"/>
  <c r="H15" i="2"/>
  <c r="G15" i="2"/>
  <c r="D15" i="4" s="1"/>
  <c r="D15" i="2"/>
  <c r="B15" i="2"/>
  <c r="B15" i="4" s="1"/>
  <c r="A15" i="2"/>
  <c r="I14" i="2"/>
  <c r="F14" i="4" s="1"/>
  <c r="H14" i="2"/>
  <c r="G14" i="2"/>
  <c r="D14" i="2"/>
  <c r="B14" i="2"/>
  <c r="A14" i="2"/>
  <c r="I13" i="2"/>
  <c r="F13" i="4" s="1"/>
  <c r="H13" i="2"/>
  <c r="G13" i="2"/>
  <c r="D13" i="4" s="1"/>
  <c r="D13" i="2"/>
  <c r="B13" i="2"/>
  <c r="B13" i="4" s="1"/>
  <c r="A13" i="2"/>
  <c r="J12" i="2"/>
  <c r="I12" i="2"/>
  <c r="H12" i="2"/>
  <c r="G12" i="2"/>
  <c r="D12" i="4" s="1"/>
  <c r="D12" i="2"/>
  <c r="B12" i="2"/>
  <c r="A12" i="2"/>
  <c r="I11" i="2"/>
  <c r="F11" i="4" s="1"/>
  <c r="H11" i="2"/>
  <c r="G11" i="2"/>
  <c r="D11" i="4" s="1"/>
  <c r="D11" i="2"/>
  <c r="B11" i="2"/>
  <c r="B11" i="4" s="1"/>
  <c r="A11" i="2"/>
  <c r="I10" i="2"/>
  <c r="F10" i="4" s="1"/>
  <c r="H10" i="2"/>
  <c r="G10" i="2"/>
  <c r="D10" i="4" s="1"/>
  <c r="D10" i="2"/>
  <c r="B10" i="2"/>
  <c r="A10" i="2"/>
  <c r="F38" i="4"/>
  <c r="B38" i="4"/>
  <c r="A38" i="4"/>
  <c r="F37" i="4"/>
  <c r="D37" i="4"/>
  <c r="B37" i="4"/>
  <c r="A37" i="4"/>
  <c r="G36" i="4"/>
  <c r="F36" i="4"/>
  <c r="A36" i="4"/>
  <c r="A35" i="4"/>
  <c r="F34" i="4"/>
  <c r="B34" i="4"/>
  <c r="A34" i="4"/>
  <c r="B33" i="4"/>
  <c r="A33" i="4"/>
  <c r="D32" i="4"/>
  <c r="B32" i="4"/>
  <c r="A32" i="4"/>
  <c r="D31" i="4"/>
  <c r="B31" i="4"/>
  <c r="A31" i="4"/>
  <c r="A30" i="4"/>
  <c r="A29" i="4"/>
  <c r="G28" i="4"/>
  <c r="G27" i="4"/>
  <c r="B27" i="4"/>
  <c r="A27" i="4"/>
  <c r="D26" i="4"/>
  <c r="B26" i="4"/>
  <c r="A26" i="4"/>
  <c r="F25" i="4"/>
  <c r="A25" i="4"/>
  <c r="B24" i="4"/>
  <c r="A24" i="4"/>
  <c r="A23" i="4"/>
  <c r="A22" i="4"/>
  <c r="D21" i="4"/>
  <c r="B21" i="4"/>
  <c r="A21" i="4"/>
  <c r="B20" i="4"/>
  <c r="A20" i="4"/>
  <c r="D19" i="4"/>
  <c r="B19" i="4"/>
  <c r="A19" i="4"/>
  <c r="A18" i="4"/>
  <c r="D17" i="4"/>
  <c r="A17" i="4"/>
  <c r="B16" i="4"/>
  <c r="A16" i="4"/>
  <c r="F15" i="4"/>
  <c r="A15" i="4"/>
  <c r="A14" i="4"/>
  <c r="A13" i="4"/>
  <c r="A12" i="4"/>
  <c r="A11" i="4"/>
  <c r="A10" i="4"/>
  <c r="A9" i="4"/>
  <c r="A8" i="4"/>
  <c r="A7" i="4"/>
  <c r="A6" i="4"/>
  <c r="B18" i="4"/>
  <c r="J42" i="2"/>
  <c r="G42" i="4" s="1"/>
  <c r="J40" i="2"/>
  <c r="G40" i="4" s="1"/>
  <c r="J38" i="2"/>
  <c r="G38" i="4" s="1"/>
  <c r="J33" i="2"/>
  <c r="G33" i="4" s="1"/>
  <c r="J30" i="2"/>
  <c r="G30" i="4" s="1"/>
  <c r="J20" i="2"/>
  <c r="G20" i="4" s="1"/>
  <c r="J19" i="2"/>
  <c r="G19" i="4" s="1"/>
  <c r="D14" i="4"/>
  <c r="B14" i="4"/>
  <c r="F12" i="4"/>
  <c r="B12" i="4"/>
  <c r="B10" i="4"/>
  <c r="I9" i="2"/>
  <c r="F9" i="4" s="1"/>
  <c r="H9" i="2"/>
  <c r="G9" i="2"/>
  <c r="D9" i="4" s="1"/>
  <c r="D9" i="2"/>
  <c r="B9" i="2"/>
  <c r="B9" i="4" s="1"/>
  <c r="I8" i="2"/>
  <c r="F8" i="4" s="1"/>
  <c r="H8" i="2"/>
  <c r="G8" i="2"/>
  <c r="D8" i="4" s="1"/>
  <c r="D8" i="2"/>
  <c r="B8" i="2"/>
  <c r="B8" i="4" s="1"/>
  <c r="I7" i="2"/>
  <c r="F7" i="4" s="1"/>
  <c r="H7" i="2"/>
  <c r="G7" i="2"/>
  <c r="D7" i="4" s="1"/>
  <c r="D7" i="2"/>
  <c r="B7" i="2"/>
  <c r="B7" i="4" s="1"/>
  <c r="I6" i="2"/>
  <c r="F6" i="4" s="1"/>
  <c r="H6" i="2"/>
  <c r="G6" i="2"/>
  <c r="D6" i="4" s="1"/>
  <c r="D6" i="2"/>
  <c r="B6" i="2"/>
  <c r="B6" i="4" s="1"/>
  <c r="J14" i="2"/>
  <c r="J13" i="2"/>
  <c r="J8" i="2"/>
  <c r="G8" i="4" s="1"/>
  <c r="J7" i="2"/>
  <c r="G7" i="4" s="1"/>
  <c r="G12" i="4" l="1"/>
  <c r="G13" i="4"/>
  <c r="G11" i="4"/>
  <c r="G14" i="4"/>
  <c r="G10" i="4"/>
  <c r="J43" i="1"/>
  <c r="E3" i="1" l="1"/>
  <c r="K10" i="3" l="1"/>
  <c r="A46" i="4" l="1"/>
  <c r="F4" i="4"/>
  <c r="B3" i="4"/>
  <c r="J62" i="3"/>
  <c r="K59" i="3"/>
  <c r="K11" i="3"/>
  <c r="B2" i="4" s="1"/>
  <c r="K3" i="2"/>
  <c r="A3" i="2"/>
  <c r="J2" i="2"/>
  <c r="D2" i="2"/>
  <c r="A2" i="2"/>
  <c r="J1" i="2"/>
  <c r="A9" i="2"/>
  <c r="A8" i="2"/>
  <c r="A7" i="2"/>
  <c r="A6" i="2"/>
  <c r="G43" i="4" l="1"/>
  <c r="G44" i="4" l="1"/>
  <c r="G45" i="4" s="1"/>
</calcChain>
</file>

<file path=xl/sharedStrings.xml><?xml version="1.0" encoding="utf-8"?>
<sst xmlns="http://schemas.openxmlformats.org/spreadsheetml/2006/main" count="230" uniqueCount="171">
  <si>
    <t>Vendor Name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</si>
  <si>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</si>
  <si>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</si>
  <si>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</si>
  <si>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</si>
  <si>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</si>
  <si>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</si>
  <si>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</si>
  <si>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</si>
  <si>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</si>
  <si>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</si>
  <si>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</si>
  <si>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</si>
  <si>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</si>
  <si>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</si>
  <si>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</si>
  <si>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</si>
  <si>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</si>
  <si>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</si>
  <si>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</si>
  <si>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</si>
  <si>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</si>
  <si>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</si>
  <si>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</si>
  <si>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</si>
  <si>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</si>
  <si>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</si>
  <si>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</si>
  <si>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</si>
  <si>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</si>
  <si>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</si>
  <si>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</si>
  <si>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</si>
  <si>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</si>
  <si>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</si>
  <si>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</si>
  <si>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</si>
  <si>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</si>
  <si>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</si>
  <si>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</si>
  <si>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</si>
  <si>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</si>
  <si>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</si>
  <si>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</si>
  <si>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</si>
  <si>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</si>
  <si>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</si>
  <si>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</si>
  <si>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</si>
  <si>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</si>
  <si>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</si>
  <si>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</si>
  <si>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</si>
  <si>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</si>
  <si>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</si>
  <si>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</si>
  <si>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</si>
  <si>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</si>
  <si>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</si>
  <si>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</si>
  <si>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</si>
  <si>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</si>
  <si>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</si>
  <si>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</si>
  <si>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</si>
  <si>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</si>
  <si>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</si>
  <si>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</si>
  <si>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</si>
  <si>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</si>
  <si>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</si>
  <si>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</si>
  <si>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</si>
  <si>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</si>
  <si>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</si>
  <si>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</si>
  <si>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</si>
  <si>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</si>
  <si>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</si>
  <si>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</si>
  <si>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</si>
  <si>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</si>
  <si>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</si>
  <si>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</si>
  <si>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</si>
  <si>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</si>
  <si>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</si>
  <si>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</si>
  <si>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</si>
  <si>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</si>
  <si>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</si>
  <si>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</si>
  <si>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3" type="noConversion"/>
  </si>
  <si>
    <t>Unit Price (SAR)
(Exclude VAT)</t>
    <phoneticPr fontId="6" type="noConversion"/>
  </si>
  <si>
    <t>Total Price (SAR)
(Exclude VAT)</t>
    <phoneticPr fontId="6" type="noConversion"/>
  </si>
  <si>
    <t>Monthly Based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</si>
  <si>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</si>
  <si>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DAESHIN PLANT</t>
    <phoneticPr fontId="7" type="noConversion"/>
  </si>
  <si>
    <t xml:space="preserve">  PJT :  SACE2           </t>
    <phoneticPr fontId="7" type="noConversion"/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</si>
  <si>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</si>
  <si>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</si>
  <si>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</si>
  <si>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t>HYUNDAI ENG. &amp; CONST. CO., LTD.</t>
  </si>
  <si>
    <t>Hyundai Engineering and Const. Co., Ltd. (HDEC)</t>
  </si>
  <si>
    <t>GEH</t>
  </si>
  <si>
    <r>
      <rPr>
        <sz val="10"/>
        <rFont val="Arial"/>
        <family val="2"/>
      </rPr>
      <t>EA</t>
    </r>
  </si>
  <si>
    <t>1010415504</t>
  </si>
  <si>
    <t>311201535600003</t>
  </si>
  <si>
    <t>King Saud Road, Bldg 2819, Riyadh, KSA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</si>
  <si>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-MRS-0064</t>
    </r>
  </si>
  <si>
    <r>
      <rPr>
        <sz val="11"/>
        <color rgb="FF000000"/>
        <rFont val="Times New Roman"/>
        <family val="2"/>
      </rPr>
      <t>Overtime More than 10 hours</t>
    </r>
  </si>
  <si>
    <r>
      <rPr>
        <sz val="11"/>
        <color rgb="FF000000"/>
        <rFont val="Times New Roman"/>
        <family val="2"/>
      </rPr>
      <t>Welder Card (include revalidation)</t>
    </r>
  </si>
  <si>
    <r>
      <rPr>
        <sz val="11"/>
        <color rgb="FF000000"/>
        <rFont val="Times New Roman"/>
        <family val="2"/>
      </rPr>
      <t>Tensile Testing</t>
    </r>
  </si>
  <si>
    <r>
      <rPr>
        <sz val="11"/>
        <color rgb="FF000000"/>
        <rFont val="Times New Roman"/>
        <family val="2"/>
      </rPr>
      <t>Bend Testing</t>
    </r>
  </si>
  <si>
    <r>
      <rPr>
        <sz val="11"/>
        <color rgb="FF000000"/>
        <rFont val="Times New Roman"/>
        <family val="2"/>
      </rPr>
      <t>Fillet BreakTest</t>
    </r>
  </si>
  <si>
    <r>
      <rPr>
        <sz val="11"/>
        <color rgb="FF000000"/>
        <rFont val="Times New Roman"/>
        <family val="2"/>
      </rPr>
      <t>Nick break test</t>
    </r>
  </si>
  <si>
    <r>
      <rPr>
        <sz val="11"/>
        <color rgb="FF000000"/>
        <rFont val="Times New Roman"/>
        <family val="2"/>
      </rPr>
      <t>Macro Test with Photograph</t>
    </r>
  </si>
  <si>
    <r>
      <rPr>
        <sz val="11"/>
        <color rgb="FF000000"/>
        <rFont val="Times New Roman"/>
        <family val="2"/>
      </rPr>
      <t>Section Test for Brazing</t>
    </r>
  </si>
  <si>
    <r>
      <rPr>
        <sz val="11"/>
        <color rgb="FF000000"/>
        <rFont val="Times New Roman"/>
        <family val="2"/>
      </rPr>
      <t>impact Testing (3 specimens per set)</t>
    </r>
  </si>
  <si>
    <r>
      <rPr>
        <sz val="11"/>
        <color rgb="FF000000"/>
        <rFont val="Times New Roman"/>
        <family val="2"/>
      </rPr>
      <t>Vickers Hardness Testing</t>
    </r>
  </si>
  <si>
    <r>
      <rPr>
        <sz val="11"/>
        <color rgb="FF000000"/>
        <rFont val="Times New Roman"/>
        <family val="2"/>
      </rPr>
      <t>Chemical Composition with 8 Elements by OES</t>
    </r>
  </si>
  <si>
    <r>
      <rPr>
        <sz val="11"/>
        <color rgb="FF000000"/>
        <rFont val="Times New Roman"/>
        <family val="2"/>
      </rPr>
      <t>Ferrite content and ferrite scope</t>
    </r>
  </si>
  <si>
    <t>1.0</t>
  </si>
  <si>
    <t>2.0</t>
  </si>
  <si>
    <t>Welders Qualification Testing (PQR)</t>
  </si>
  <si>
    <t>2.10</t>
  </si>
  <si>
    <t>3.0</t>
  </si>
  <si>
    <t>4.0</t>
  </si>
  <si>
    <t>NDE for manifold (GEH LAB)</t>
  </si>
  <si>
    <t>5.0</t>
  </si>
  <si>
    <t>10 hrs</t>
  </si>
  <si>
    <t>Test</t>
  </si>
  <si>
    <t>Joint</t>
  </si>
  <si>
    <r>
      <rPr>
        <sz val="10"/>
        <color rgb="FF000000"/>
        <rFont val="Arial"/>
        <family val="2"/>
      </rPr>
      <t>Prods, cable wrap and demagnetization techniques are avaitable for specialized applications.</t>
    </r>
  </si>
  <si>
    <r>
      <rPr>
        <sz val="10"/>
        <color rgb="FF000000"/>
        <rFont val="Arial"/>
        <family val="2"/>
      </rPr>
      <t>Minimum callout charge</t>
    </r>
  </si>
  <si>
    <r>
      <rPr>
        <sz val="10"/>
        <color rgb="FF000000"/>
        <rFont val="Arial"/>
        <family val="2"/>
      </rPr>
      <t>Over Time exceeds than 10 Hrs. and standby</t>
    </r>
  </si>
  <si>
    <r>
      <rPr>
        <sz val="10"/>
        <color rgb="FF000000"/>
        <rFont val="Arial"/>
        <family val="2"/>
      </rPr>
      <t>Consumables</t>
    </r>
  </si>
  <si>
    <r>
      <rPr>
        <sz val="10"/>
        <color rgb="FF000000"/>
        <rFont val="Arial"/>
        <family val="2"/>
      </rPr>
      <t xml:space="preserve">OverTime exceeds than </t>
    </r>
    <r>
      <rPr>
        <b/>
        <sz val="10"/>
        <color rgb="FF000000"/>
        <rFont val="Arial"/>
        <family val="2"/>
      </rPr>
      <t xml:space="preserve">10 </t>
    </r>
    <r>
      <rPr>
        <sz val="10"/>
        <color rgb="FF000000"/>
        <rFont val="Arial"/>
        <family val="2"/>
      </rPr>
      <t>Hrs. and standby</t>
    </r>
  </si>
  <si>
    <r>
      <rPr>
        <sz val="10"/>
        <color rgb="FF000000"/>
        <rFont val="Arial"/>
        <family val="2"/>
      </rPr>
      <t>Hardness Bar (optional)</t>
    </r>
  </si>
  <si>
    <r>
      <rPr>
        <sz val="10"/>
        <color rgb="FF000000"/>
        <rFont val="Arial"/>
        <family val="2"/>
      </rPr>
      <t xml:space="preserve">Overtime more than </t>
    </r>
    <r>
      <rPr>
        <b/>
        <sz val="10"/>
        <color rgb="FF000000"/>
        <rFont val="Arial"/>
        <family val="2"/>
      </rPr>
      <t xml:space="preserve">10 </t>
    </r>
    <r>
      <rPr>
        <sz val="10"/>
        <color rgb="FF000000"/>
        <rFont val="Arial"/>
        <family val="2"/>
      </rPr>
      <t>hours</t>
    </r>
  </si>
  <si>
    <r>
      <rPr>
        <sz val="10"/>
        <color rgb="FF000000"/>
        <rFont val="Arial"/>
        <family val="2"/>
      </rPr>
      <t xml:space="preserve">Positive Material Identification </t>
    </r>
    <r>
      <rPr>
        <b/>
        <sz val="10"/>
        <color rgb="FF000000"/>
        <rFont val="Arial"/>
        <family val="2"/>
      </rPr>
      <t xml:space="preserve">(XRF)
</t>
    </r>
    <r>
      <rPr>
        <sz val="10"/>
        <color rgb="FF000000"/>
        <rFont val="Arial"/>
        <family val="2"/>
      </rPr>
      <t>Minimum calloutcharge</t>
    </r>
  </si>
  <si>
    <r>
      <rPr>
        <sz val="10"/>
        <color rgb="FF000000"/>
        <rFont val="Arial"/>
        <family val="2"/>
      </rPr>
      <t xml:space="preserve">OverTime exceed than </t>
    </r>
    <r>
      <rPr>
        <b/>
        <sz val="10"/>
        <color rgb="FF000000"/>
        <rFont val="Arial"/>
        <family val="2"/>
      </rPr>
      <t xml:space="preserve">10 </t>
    </r>
    <r>
      <rPr>
        <sz val="10"/>
        <color rgb="FF000000"/>
        <rFont val="Arial"/>
        <family val="2"/>
      </rPr>
      <t>Hrs. and standby</t>
    </r>
  </si>
  <si>
    <r>
      <rPr>
        <sz val="10"/>
        <color rgb="FF000000"/>
        <rFont val="Arial"/>
        <family val="2"/>
      </rPr>
      <t xml:space="preserve">Over Time exceeds than </t>
    </r>
    <r>
      <rPr>
        <b/>
        <sz val="10"/>
        <color rgb="FF000000"/>
        <rFont val="Arial"/>
        <family val="2"/>
      </rPr>
      <t xml:space="preserve">10 </t>
    </r>
    <r>
      <rPr>
        <sz val="10"/>
        <color rgb="FF000000"/>
        <rFont val="Arial"/>
        <family val="2"/>
      </rPr>
      <t>Hrs. and standby</t>
    </r>
  </si>
  <si>
    <r>
      <rPr>
        <sz val="10"/>
        <color rgb="FF000000"/>
        <rFont val="Arial"/>
        <family val="2"/>
      </rPr>
      <t xml:space="preserve">OverTime exceeding </t>
    </r>
    <r>
      <rPr>
        <b/>
        <sz val="10"/>
        <color rgb="FF000000"/>
        <rFont val="Arial"/>
        <family val="2"/>
      </rPr>
      <t xml:space="preserve">10 </t>
    </r>
    <r>
      <rPr>
        <sz val="10"/>
        <color rgb="FF000000"/>
        <rFont val="Arial"/>
        <family val="2"/>
      </rPr>
      <t>Hrs. or stand by</t>
    </r>
  </si>
  <si>
    <t>6.0</t>
  </si>
  <si>
    <t>7.0</t>
  </si>
  <si>
    <t>10 Hrs</t>
  </si>
  <si>
    <t>Can</t>
  </si>
  <si>
    <t>Hr</t>
  </si>
  <si>
    <t>8.0</t>
  </si>
  <si>
    <t>9.0</t>
  </si>
  <si>
    <t>10.0</t>
  </si>
  <si>
    <r>
      <rPr>
        <b/>
        <sz val="10"/>
        <color rgb="FF000000"/>
        <rFont val="Arial"/>
        <family val="2"/>
      </rPr>
      <t>Borescope</t>
    </r>
    <r>
      <rPr>
        <sz val="10"/>
        <color rgb="FF000000"/>
        <rFont val="Arial"/>
        <family val="2"/>
      </rPr>
      <t xml:space="preserve">
Borescope technician with Equipment with minimum charge</t>
    </r>
  </si>
  <si>
    <r>
      <rPr>
        <b/>
        <sz val="10"/>
        <color rgb="FF000000"/>
        <rFont val="Arial"/>
        <family val="2"/>
      </rPr>
      <t>Positive Material Identification (Carbon detection)</t>
    </r>
    <r>
      <rPr>
        <sz val="10"/>
        <color rgb="FF000000"/>
        <rFont val="Arial"/>
        <family val="2"/>
      </rPr>
      <t xml:space="preserve">
Minimum callout charge</t>
    </r>
  </si>
  <si>
    <r>
      <rPr>
        <b/>
        <sz val="11"/>
        <color rgb="FF000000"/>
        <rFont val="Times New Roman"/>
        <family val="1"/>
      </rPr>
      <t xml:space="preserve">Welder Qualification Testing (WQT) Services </t>
    </r>
    <r>
      <rPr>
        <sz val="11"/>
        <color rgb="FF000000"/>
        <rFont val="Times New Roman"/>
        <family val="2"/>
      </rPr>
      <t xml:space="preserve">
Mob, Demobilization Welding inspector charge for one day</t>
    </r>
  </si>
  <si>
    <t>RT Test coupon up to 12mm thickness</t>
  </si>
  <si>
    <t>RT Test coupon more than 12 mm thickness</t>
  </si>
  <si>
    <t>Brinell HardnessTesting</t>
  </si>
  <si>
    <r>
      <rPr>
        <sz val="11"/>
        <color rgb="FF000000"/>
        <rFont val="Times New Roman"/>
        <family val="2"/>
      </rPr>
      <t>PT-Manifold -</t>
    </r>
    <r>
      <rPr>
        <sz val="6"/>
        <color rgb="FF000000"/>
        <rFont val="Times New Roman"/>
        <family val="2"/>
      </rPr>
      <t xml:space="preserve"> </t>
    </r>
    <r>
      <rPr>
        <i/>
        <sz val="6"/>
        <color rgb="FF000000"/>
        <rFont val="Times New Roman"/>
        <family val="2"/>
      </rPr>
      <t xml:space="preserve">3A - </t>
    </r>
    <r>
      <rPr>
        <sz val="6"/>
        <color rgb="FF000000"/>
        <rFont val="Times New Roman"/>
        <family val="2"/>
      </rPr>
      <t xml:space="preserve">1 1/2  a </t>
    </r>
    <r>
      <rPr>
        <sz val="11"/>
        <color rgb="FF000000"/>
        <rFont val="Times New Roman"/>
        <family val="2"/>
      </rPr>
      <t>Minimum required to offer 10 joints</t>
    </r>
  </si>
  <si>
    <r>
      <rPr>
        <sz val="11"/>
        <color rgb="FF000000"/>
        <rFont val="Times New Roman"/>
        <family val="2"/>
      </rPr>
      <t xml:space="preserve">RT-Manifold - </t>
    </r>
    <r>
      <rPr>
        <i/>
        <sz val="11"/>
        <color rgb="FF000000"/>
        <rFont val="Times New Roman"/>
        <family val="2"/>
      </rPr>
      <t>% -</t>
    </r>
    <r>
      <rPr>
        <sz val="11"/>
        <color rgb="FF000000"/>
        <rFont val="Times New Roman"/>
        <family val="2"/>
      </rPr>
      <t xml:space="preserve"> 1 </t>
    </r>
    <r>
      <rPr>
        <sz val="6"/>
        <color rgb="FF000000"/>
        <rFont val="Times New Roman"/>
        <family val="2"/>
      </rPr>
      <t xml:space="preserve">1/2 </t>
    </r>
    <r>
      <rPr>
        <i/>
        <sz val="6"/>
        <color rgb="FF000000"/>
        <rFont val="Times New Roman"/>
        <family val="2"/>
      </rPr>
      <t xml:space="preserve">- </t>
    </r>
    <r>
      <rPr>
        <sz val="11"/>
        <color rgb="FF000000"/>
        <rFont val="Times New Roman"/>
        <family val="2"/>
      </rPr>
      <t>Minimum required to offer 10 joints</t>
    </r>
  </si>
  <si>
    <r>
      <rPr>
        <b/>
        <sz val="10"/>
        <rFont val="Arial"/>
        <family val="2"/>
      </rPr>
      <t xml:space="preserve">LIQUID PENETRANT TESTING (PT) or MAGNETIC PARTICLE TESTING (MT) </t>
    </r>
    <r>
      <rPr>
        <sz val="10"/>
        <rFont val="Arial"/>
        <family val="2"/>
      </rPr>
      <t xml:space="preserve">
Liquid Penetrate Testing by ASNT— (ASNT CP‘189) Level II qualified technician‘ using Solvent removable or Water washable Penetrate and non-aqueous developer. Both visible and fluorescent(Ultraviolet lamp) methods available. Magnetic Particle Testing using dry/wet/continuous/residualmethods.
Using electromagnetic Yoke (AC/DC/HWDC) or permanent Yoke and dry powder or white contrastpaint/ Black ink. Use of B/C strips, ASTM field indicators etc.</t>
    </r>
  </si>
  <si>
    <r>
      <rPr>
        <b/>
        <sz val="10"/>
        <color rgb="FF000000"/>
        <rFont val="Arial"/>
        <family val="2"/>
      </rPr>
      <t xml:space="preserve">HARDNESS TESTING 
</t>
    </r>
    <r>
      <rPr>
        <sz val="10"/>
        <color rgb="FF000000"/>
        <rFont val="Arial"/>
        <family val="2"/>
      </rPr>
      <t>Minimum callout charge</t>
    </r>
  </si>
  <si>
    <r>
      <rPr>
        <b/>
        <sz val="10"/>
        <color rgb="FF000000"/>
        <rFont val="Arial"/>
        <family val="2"/>
      </rPr>
      <t>ULTRASONIC TESTING (UTSW)</t>
    </r>
    <r>
      <rPr>
        <sz val="11"/>
        <color theme="1"/>
        <rFont val="Calibri"/>
        <family val="3"/>
        <charset val="129"/>
        <scheme val="minor"/>
      </rPr>
      <t xml:space="preserve"> 
One-man Ultrasonic Testing Crew with equipment 08 hrs /day.
 A - Scan flaw detector with a necessary set of approved  
calibration, probes, Couplant and other accessories. 
UT—ASNT (ASNT CP~189) —Level ll qualified technician.</t>
    </r>
  </si>
  <si>
    <t>Manthly Based</t>
  </si>
  <si>
    <t>Riyas Khan U</t>
  </si>
  <si>
    <t>Operations Manager</t>
  </si>
  <si>
    <t>GEH(Gulf Engineering House )</t>
  </si>
  <si>
    <t>+966 56 538862304  / email:riyas@daralkhalij.com</t>
  </si>
  <si>
    <t>Landline : +096 - 8210415 / Mobile : +966 53 8862304</t>
  </si>
  <si>
    <t>NDT/QN/1425/2025</t>
  </si>
  <si>
    <t>Welder Qualification Testing (WQT)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</si>
</sst>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[$-409]d\-mmm\-yyyy;@"/>
    <numFmt numFmtId="170" formatCode="[$-409]d/mmm/yy;@"/>
    <numFmt numFmtId="171" formatCode="_([$SAR]\ * #,##0.00_);_([$SAR]\ * \(#,##0.00\);_([$SAR]\ * &quot;-&quot;??_);_(@_)"/>
    <numFmt numFmtId="172" formatCode="dd/mmm/yyyy"/>
    <numFmt numFmtId="173" formatCode="_-* #,##0.00_-;\-* #,##0.00_-;_-* &quot;-&quot;_-;_-@_-"/>
  </numFmts>
  <fonts count="6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9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Times New Roman"/>
      <family val="2"/>
    </font>
    <font>
      <i/>
      <sz val="6"/>
      <color rgb="FF000000"/>
      <name val="Times New Roman"/>
      <family val="2"/>
    </font>
    <font>
      <sz val="6"/>
      <color rgb="FF000000"/>
      <name val="Times New Roman"/>
      <family val="2"/>
    </font>
    <font>
      <i/>
      <sz val="11"/>
      <color rgb="FF000000"/>
      <name val="Times New Roman"/>
      <family val="2"/>
    </font>
    <font>
      <b/>
      <sz val="11"/>
      <color rgb="FF000000"/>
      <name val="Times New Roman"/>
      <family val="1"/>
    </font>
    <font>
      <b/>
      <sz val="10"/>
      <color rgb="FF000000"/>
      <name val="Arial"/>
      <family val="2"/>
    </font>
    <font>
      <sz val="11"/>
      <color theme="1"/>
      <name val="Calibri"/>
      <family val="2"/>
      <charset val="129"/>
      <scheme val="minor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0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43" fontId="40" fillId="0" borderId="0" applyFont="0" applyFill="0" applyBorder="0" applyAlignment="0" applyProtection="0"/>
  </cellStyleXfs>
  <cellXfs count="222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0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69" fontId="7" fillId="0" borderId="0" xfId="6" quotePrefix="1" applyNumberFormat="1" applyFont="1" applyAlignment="1">
      <alignment horizontal="left" vertical="top"/>
    </xf>
    <xf numFmtId="172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1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0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2" fillId="0" borderId="36" xfId="6" quotePrefix="1" applyFont="1" applyBorder="1" applyAlignment="1">
      <alignment horizontal="center" vertical="center" wrapText="1"/>
    </xf>
    <xf numFmtId="0" fontId="44" fillId="2" borderId="0" xfId="1" applyFont="1" applyFill="1" applyAlignment="1">
      <alignment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3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69" fontId="9" fillId="0" borderId="7" xfId="3" applyNumberFormat="1" applyFont="1" applyBorder="1" applyAlignment="1">
      <alignment horizontal="right"/>
    </xf>
    <xf numFmtId="0" fontId="48" fillId="2" borderId="0" xfId="1" applyFont="1" applyFill="1" applyAlignment="1">
      <alignment vertical="center"/>
    </xf>
    <xf numFmtId="0" fontId="2" fillId="0" borderId="17" xfId="0" applyFont="1" applyBorder="1" applyAlignment="1">
      <alignment horizontal="left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/>
    </xf>
    <xf numFmtId="0" fontId="2" fillId="2" borderId="8" xfId="4" quotePrefix="1" applyNumberFormat="1" applyFont="1" applyFill="1" applyBorder="1" applyAlignment="1">
      <alignment horizontal="center" vertical="center" wrapText="1"/>
    </xf>
    <xf numFmtId="168" fontId="2" fillId="0" borderId="9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43" fontId="56" fillId="0" borderId="8" xfId="19" applyFont="1" applyBorder="1" applyAlignment="1">
      <alignment horizontal="center" vertical="center" shrinkToFit="1"/>
    </xf>
    <xf numFmtId="168" fontId="2" fillId="0" borderId="8" xfId="0" applyNumberFormat="1" applyFont="1" applyBorder="1" applyAlignment="1">
      <alignment horizontal="right" vertical="center" wrapText="1"/>
    </xf>
    <xf numFmtId="168" fontId="2" fillId="0" borderId="8" xfId="0" applyNumberFormat="1" applyFont="1" applyBorder="1" applyAlignment="1">
      <alignment horizontal="center" vertical="center" wrapText="1"/>
    </xf>
    <xf numFmtId="0" fontId="0" fillId="0" borderId="8" xfId="0" applyBorder="1">
      <alignment vertical="center"/>
    </xf>
    <xf numFmtId="0" fontId="2" fillId="0" borderId="8" xfId="0" applyFont="1" applyBorder="1">
      <alignment vertical="center"/>
    </xf>
    <xf numFmtId="0" fontId="2" fillId="3" borderId="8" xfId="0" applyFont="1" applyFill="1" applyBorder="1" applyAlignment="1">
      <alignment horizontal="center" vertical="center"/>
    </xf>
    <xf numFmtId="43" fontId="2" fillId="0" borderId="8" xfId="19" applyFont="1" applyBorder="1" applyAlignment="1">
      <alignment horizontal="right" vertical="center" wrapText="1"/>
    </xf>
    <xf numFmtId="0" fontId="0" fillId="0" borderId="16" xfId="0" applyBorder="1">
      <alignment vertical="center"/>
    </xf>
    <xf numFmtId="0" fontId="2" fillId="0" borderId="18" xfId="0" applyFont="1" applyBorder="1">
      <alignment vertical="center"/>
    </xf>
    <xf numFmtId="0" fontId="2" fillId="0" borderId="18" xfId="0" applyFont="1" applyBorder="1" applyAlignment="1">
      <alignment horizontal="center" vertical="center" wrapText="1"/>
    </xf>
    <xf numFmtId="0" fontId="61" fillId="0" borderId="16" xfId="0" applyFont="1" applyBorder="1">
      <alignment vertical="center"/>
    </xf>
    <xf numFmtId="0" fontId="2" fillId="0" borderId="18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2" borderId="18" xfId="1" applyFill="1" applyBorder="1" applyAlignment="1">
      <alignment horizontal="center" vertical="center" wrapText="1"/>
    </xf>
    <xf numFmtId="0" fontId="56" fillId="0" borderId="18" xfId="0" applyFont="1" applyBorder="1">
      <alignment vertical="center"/>
    </xf>
    <xf numFmtId="0" fontId="56" fillId="0" borderId="17" xfId="0" applyFont="1" applyBorder="1">
      <alignment vertical="center"/>
    </xf>
    <xf numFmtId="0" fontId="57" fillId="0" borderId="16" xfId="0" applyFont="1" applyBorder="1">
      <alignment vertical="center"/>
    </xf>
    <xf numFmtId="0" fontId="57" fillId="0" borderId="8" xfId="0" applyFont="1" applyBorder="1">
      <alignment vertical="center"/>
    </xf>
    <xf numFmtId="0" fontId="2" fillId="2" borderId="40" xfId="7" applyFont="1" applyFill="1" applyBorder="1" applyAlignment="1">
      <alignment horizontal="center" vertical="center" wrapText="1"/>
    </xf>
    <xf numFmtId="0" fontId="2" fillId="2" borderId="40" xfId="8" applyFill="1" applyBorder="1" applyAlignment="1">
      <alignment horizontal="center" vertical="center"/>
    </xf>
    <xf numFmtId="43" fontId="2" fillId="0" borderId="40" xfId="9" quotePrefix="1" applyFont="1" applyFill="1" applyBorder="1" applyAlignment="1">
      <alignment vertical="center"/>
    </xf>
    <xf numFmtId="43" fontId="2" fillId="0" borderId="40" xfId="6" applyNumberFormat="1" applyFont="1" applyBorder="1" applyAlignment="1">
      <alignment vertical="center"/>
    </xf>
    <xf numFmtId="0" fontId="64" fillId="0" borderId="16" xfId="0" applyFont="1" applyBorder="1" applyAlignment="1">
      <alignment horizontal="left" vertical="center" wrapText="1"/>
    </xf>
    <xf numFmtId="0" fontId="57" fillId="0" borderId="18" xfId="0" applyFont="1" applyBorder="1" applyAlignment="1">
      <alignment horizontal="left" vertical="center" wrapText="1"/>
    </xf>
    <xf numFmtId="0" fontId="57" fillId="0" borderId="1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56" fillId="0" borderId="16" xfId="0" applyFont="1" applyBorder="1" applyAlignment="1">
      <alignment horizontal="left" vertical="center" wrapText="1"/>
    </xf>
    <xf numFmtId="0" fontId="56" fillId="0" borderId="18" xfId="0" applyFont="1" applyBorder="1" applyAlignment="1">
      <alignment horizontal="left" vertical="center"/>
    </xf>
    <xf numFmtId="0" fontId="63" fillId="0" borderId="16" xfId="0" applyFont="1" applyBorder="1" applyAlignment="1">
      <alignment horizontal="left" vertical="center" wrapText="1"/>
    </xf>
    <xf numFmtId="0" fontId="63" fillId="0" borderId="18" xfId="0" applyFont="1" applyBorder="1" applyAlignment="1">
      <alignment horizontal="left" vertical="center" wrapText="1"/>
    </xf>
    <xf numFmtId="0" fontId="63" fillId="0" borderId="17" xfId="0" applyFont="1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52" fillId="2" borderId="1" xfId="1" applyFont="1" applyFill="1" applyBorder="1" applyAlignment="1">
      <alignment horizontal="center" vertical="center"/>
    </xf>
    <xf numFmtId="0" fontId="52" fillId="2" borderId="2" xfId="1" applyFont="1" applyFill="1" applyBorder="1" applyAlignment="1">
      <alignment horizontal="center" vertical="center"/>
    </xf>
    <xf numFmtId="0" fontId="52" fillId="2" borderId="3" xfId="1" applyFont="1" applyFill="1" applyBorder="1" applyAlignment="1">
      <alignment horizontal="center" vertical="center"/>
    </xf>
    <xf numFmtId="0" fontId="53" fillId="2" borderId="4" xfId="1" applyFont="1" applyFill="1" applyBorder="1" applyAlignment="1">
      <alignment horizontal="center" vertical="center"/>
    </xf>
    <xf numFmtId="0" fontId="53" fillId="2" borderId="5" xfId="1" applyFont="1" applyFill="1" applyBorder="1" applyAlignment="1">
      <alignment horizontal="center" vertical="center"/>
    </xf>
    <xf numFmtId="0" fontId="53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171" fontId="18" fillId="3" borderId="0" xfId="5" applyNumberFormat="1" applyFont="1" applyFill="1" applyAlignment="1">
      <alignment horizontal="center"/>
    </xf>
    <xf numFmtId="0" fontId="55" fillId="3" borderId="0" xfId="5" applyFont="1" applyFill="1" applyAlignment="1">
      <alignment horizontal="left" vertical="top" wrapText="1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69" fontId="33" fillId="3" borderId="0" xfId="5" quotePrefix="1" applyNumberFormat="1" applyFont="1" applyFill="1" applyAlignment="1">
      <alignment horizontal="left" vertical="center"/>
    </xf>
    <xf numFmtId="169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" fillId="3" borderId="23" xfId="5" applyFont="1" applyFill="1" applyBorder="1" applyAlignment="1">
      <alignment horizontal="left" vertical="center" wrapText="1"/>
    </xf>
    <xf numFmtId="0" fontId="2" fillId="3" borderId="25" xfId="5" applyFont="1" applyFill="1" applyBorder="1" applyAlignment="1">
      <alignment horizontal="left" vertical="center" wrapText="1"/>
    </xf>
    <xf numFmtId="0" fontId="2" fillId="3" borderId="24" xfId="5" applyFont="1" applyFill="1" applyBorder="1" applyAlignment="1">
      <alignment horizontal="left" vertical="center" wrapText="1"/>
    </xf>
    <xf numFmtId="0" fontId="2" fillId="3" borderId="38" xfId="5" applyFont="1" applyFill="1" applyBorder="1" applyAlignment="1">
      <alignment horizontal="left" vertical="center" wrapText="1"/>
    </xf>
    <xf numFmtId="0" fontId="2" fillId="3" borderId="39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28" fillId="3" borderId="0" xfId="5" applyFont="1" applyFill="1" applyAlignment="1">
      <alignment horizontal="center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</cellXfs>
  <cellStyles count="20">
    <cellStyle name="Comma" xfId="19" builtinId="3"/>
    <cellStyle name="Comma [0]" xfId="10" builtinId="6"/>
    <cellStyle name="Normal" xfId="0" builtinId="0"/>
    <cellStyle name="쉼표 [0] 2 2" xfId="4" xr:uid="{95D71F5C-65D6-4E85-84FE-774413508E1E}"/>
    <cellStyle name="쉼표 [0] 2 2 2" xfId="16" xr:uid="{D691371C-1C9A-42CD-AD9B-E938750C3D7D}"/>
    <cellStyle name="쉼표 [0] 2 2 3" xfId="12" xr:uid="{9961464D-49CC-42FF-A79A-4236B21516A7}"/>
    <cellStyle name="쉼표 2" xfId="9" xr:uid="{F2A3A689-A30F-4FCA-9C51-F28F11796A46}"/>
    <cellStyle name="쉼표 2 2" xfId="18" xr:uid="{3B61A4FC-7502-4F0B-BBCD-9289E590F517}"/>
    <cellStyle name="쉼표 2 3" xfId="14" xr:uid="{AD8851D0-F386-454F-9F4F-643E5BD4A6A6}"/>
    <cellStyle name="표준 2 2" xfId="2" xr:uid="{12B761D3-4229-4E14-8168-D5975293A996}"/>
    <cellStyle name="표준 2 2 2" xfId="15" xr:uid="{F337407C-0FD2-46A6-95DF-C1E2DED6E687}"/>
    <cellStyle name="표준 2 2 3" xfId="11" xr:uid="{3AC3C823-B896-40EF-A224-30F2537C37BB}"/>
    <cellStyle name="표준 2 3 2 2" xfId="5" xr:uid="{BD51BFCC-3D36-446B-BE80-7856DF8371E9}"/>
    <cellStyle name="표준 2 3 2 2 2" xfId="17" xr:uid="{B9B2D054-D5A8-450E-A1C1-80807A9BB7D4}"/>
    <cellStyle name="표준 2 3 2 2 3" xfId="13" xr:uid="{0947CE48-AB5D-4908-90F6-CDE2EB84A247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360949</xdr:colOff>
          <xdr:row>44</xdr:row>
          <xdr:rowOff>70185</xdr:rowOff>
        </xdr:from>
        <xdr:to>
          <xdr:col>11</xdr:col>
          <xdr:colOff>1524503</xdr:colOff>
          <xdr:row>51</xdr:row>
          <xdr:rowOff>70186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45:$V$51" spid="_x0000_s119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789949" y="5053264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15</xdr:row>
      <xdr:rowOff>822627</xdr:rowOff>
    </xdr:from>
    <xdr:to>
      <xdr:col>15</xdr:col>
      <xdr:colOff>543942</xdr:colOff>
      <xdr:row>16</xdr:row>
      <xdr:rowOff>225880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15</xdr:row>
      <xdr:rowOff>822627</xdr:rowOff>
    </xdr:from>
    <xdr:to>
      <xdr:col>15</xdr:col>
      <xdr:colOff>543942</xdr:colOff>
      <xdr:row>16</xdr:row>
      <xdr:rowOff>225880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6</xdr:row>
      <xdr:rowOff>1246390</xdr:rowOff>
    </xdr:from>
    <xdr:to>
      <xdr:col>28</xdr:col>
      <xdr:colOff>1</xdr:colOff>
      <xdr:row>8</xdr:row>
      <xdr:rowOff>393388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7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8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131166</xdr:colOff>
      <xdr:row>6</xdr:row>
      <xdr:rowOff>95250</xdr:rowOff>
    </xdr:from>
    <xdr:to>
      <xdr:col>13</xdr:col>
      <xdr:colOff>55240</xdr:colOff>
      <xdr:row>7</xdr:row>
      <xdr:rowOff>11179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743" y="1069731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79"/>
  <sheetViews>
    <sheetView showGridLines="0" tabSelected="1" topLeftCell="A30" zoomScale="95" zoomScaleNormal="95" zoomScaleSheetLayoutView="95" workbookViewId="0">
      <selection activeCell="P37" sqref="P37"/>
    </sheetView>
  </sheetViews>
  <sheetFormatPr defaultColWidth="9" defaultRowHeight="21" customHeight="1"/>
  <cols>
    <col min="1" max="1" width="6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8.425781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09" t="s">
        <v>96</v>
      </c>
      <c r="B1" s="98"/>
      <c r="C1" s="98"/>
      <c r="D1" s="98"/>
      <c r="E1" s="98"/>
      <c r="F1" s="98"/>
      <c r="G1" s="1"/>
      <c r="J1" s="151" t="s">
        <v>97</v>
      </c>
      <c r="K1" s="152"/>
      <c r="L1" s="153"/>
    </row>
    <row r="2" spans="1:19" ht="20.100000000000001" customHeight="1">
      <c r="A2" s="3" t="s">
        <v>98</v>
      </c>
      <c r="B2" s="92"/>
      <c r="C2" s="92"/>
      <c r="D2" s="3" t="s">
        <v>99</v>
      </c>
      <c r="E2" s="92"/>
      <c r="F2" s="92"/>
      <c r="G2" s="92"/>
      <c r="H2" s="92"/>
      <c r="I2" s="4"/>
      <c r="J2" s="154" t="s">
        <v>100</v>
      </c>
      <c r="K2" s="155"/>
      <c r="L2" s="156"/>
    </row>
    <row r="3" spans="1:19" ht="20.100000000000001" customHeight="1">
      <c r="A3" s="3" t="s">
        <v>109</v>
      </c>
      <c r="B3" s="92"/>
      <c r="C3" s="92"/>
      <c r="D3" s="92"/>
      <c r="E3" s="157">
        <f>+L3</f>
        <v>45780</v>
      </c>
      <c r="F3" s="157"/>
      <c r="G3" s="157"/>
      <c r="H3" s="157"/>
      <c r="I3" s="157"/>
      <c r="J3" s="92"/>
      <c r="K3" s="92"/>
      <c r="L3" s="108">
        <v>45780</v>
      </c>
      <c r="M3" s="4"/>
    </row>
    <row r="4" spans="1:19" ht="15.95" customHeight="1">
      <c r="A4" s="158" t="s">
        <v>1</v>
      </c>
      <c r="B4" s="159" t="s">
        <v>2</v>
      </c>
      <c r="C4" s="159"/>
      <c r="D4" s="160" t="s">
        <v>3</v>
      </c>
      <c r="E4" s="161"/>
      <c r="F4" s="162"/>
      <c r="G4" s="166" t="s">
        <v>4</v>
      </c>
      <c r="H4" s="168" t="s">
        <v>5</v>
      </c>
      <c r="I4" s="168" t="s">
        <v>93</v>
      </c>
      <c r="J4" s="158" t="s">
        <v>94</v>
      </c>
      <c r="K4" s="168" t="s">
        <v>0</v>
      </c>
      <c r="L4" s="159" t="s">
        <v>6</v>
      </c>
    </row>
    <row r="5" spans="1:19" ht="15.95" customHeight="1">
      <c r="A5" s="158"/>
      <c r="B5" s="159"/>
      <c r="C5" s="159"/>
      <c r="D5" s="163"/>
      <c r="E5" s="164"/>
      <c r="F5" s="165"/>
      <c r="G5" s="167"/>
      <c r="H5" s="169"/>
      <c r="I5" s="169"/>
      <c r="J5" s="158"/>
      <c r="K5" s="169"/>
      <c r="L5" s="159"/>
    </row>
    <row r="6" spans="1:19" ht="36" customHeight="1">
      <c r="A6" s="115" t="s">
        <v>122</v>
      </c>
      <c r="B6" s="140" t="s">
        <v>154</v>
      </c>
      <c r="C6" s="141"/>
      <c r="D6" s="141"/>
      <c r="E6" s="141"/>
      <c r="F6" s="142"/>
      <c r="G6" s="117" t="s">
        <v>130</v>
      </c>
      <c r="H6" s="100"/>
      <c r="I6" s="118">
        <v>1000</v>
      </c>
      <c r="J6" s="119">
        <f>I6</f>
        <v>1000</v>
      </c>
      <c r="K6" s="116" t="s">
        <v>104</v>
      </c>
      <c r="L6" s="102" t="s">
        <v>95</v>
      </c>
      <c r="S6" s="97"/>
    </row>
    <row r="7" spans="1:19" ht="25.5" customHeight="1">
      <c r="A7" s="5">
        <v>1.1000000000000001</v>
      </c>
      <c r="B7" s="125" t="s">
        <v>110</v>
      </c>
      <c r="C7" s="126"/>
      <c r="D7" s="127"/>
      <c r="E7" s="111"/>
      <c r="F7" s="112"/>
      <c r="G7" s="117">
        <v>1</v>
      </c>
      <c r="H7" s="100"/>
      <c r="I7" s="118">
        <v>100</v>
      </c>
      <c r="J7" s="119">
        <f>I7</f>
        <v>100</v>
      </c>
      <c r="K7" s="120"/>
      <c r="L7" s="102"/>
      <c r="S7" s="97"/>
    </row>
    <row r="8" spans="1:19" ht="25.5" customHeight="1">
      <c r="A8" s="5">
        <v>1.2</v>
      </c>
      <c r="B8" s="134" t="s">
        <v>155</v>
      </c>
      <c r="C8" s="126"/>
      <c r="D8" s="127"/>
      <c r="E8" s="111"/>
      <c r="F8" s="112"/>
      <c r="G8" s="117" t="s">
        <v>105</v>
      </c>
      <c r="H8" s="100"/>
      <c r="I8" s="118">
        <v>150</v>
      </c>
      <c r="J8" s="119">
        <f t="shared" ref="J8:J26" si="0">I8</f>
        <v>150</v>
      </c>
      <c r="K8" s="120"/>
      <c r="L8" s="102"/>
      <c r="S8" s="97"/>
    </row>
    <row r="9" spans="1:19" ht="25.5" customHeight="1">
      <c r="A9" s="5">
        <v>1.3</v>
      </c>
      <c r="B9" s="134" t="s">
        <v>156</v>
      </c>
      <c r="C9" s="126"/>
      <c r="D9" s="127"/>
      <c r="E9" s="111"/>
      <c r="F9" s="112"/>
      <c r="G9" s="117" t="s">
        <v>105</v>
      </c>
      <c r="H9" s="100"/>
      <c r="I9" s="118">
        <v>200</v>
      </c>
      <c r="J9" s="119">
        <f t="shared" si="0"/>
        <v>200</v>
      </c>
      <c r="K9" s="120"/>
      <c r="L9" s="99"/>
      <c r="S9" s="97"/>
    </row>
    <row r="10" spans="1:19" ht="25.5" customHeight="1">
      <c r="A10" s="5">
        <v>1.4</v>
      </c>
      <c r="B10" s="125" t="s">
        <v>111</v>
      </c>
      <c r="C10" s="126"/>
      <c r="D10" s="127"/>
      <c r="E10" s="111"/>
      <c r="F10" s="112"/>
      <c r="G10" s="117" t="s">
        <v>105</v>
      </c>
      <c r="H10" s="100"/>
      <c r="I10" s="118">
        <v>200</v>
      </c>
      <c r="J10" s="119">
        <f t="shared" si="0"/>
        <v>200</v>
      </c>
      <c r="K10" s="120"/>
      <c r="L10" s="102"/>
      <c r="S10" s="97"/>
    </row>
    <row r="11" spans="1:19" ht="25.5" customHeight="1">
      <c r="A11" s="115" t="s">
        <v>123</v>
      </c>
      <c r="B11" s="128" t="s">
        <v>124</v>
      </c>
      <c r="C11" s="126"/>
      <c r="D11" s="127"/>
      <c r="E11" s="111"/>
      <c r="F11" s="112"/>
      <c r="G11" s="117" t="s">
        <v>130</v>
      </c>
      <c r="H11" s="100"/>
      <c r="I11" s="118">
        <v>1200</v>
      </c>
      <c r="J11" s="119">
        <f t="shared" si="0"/>
        <v>1200</v>
      </c>
      <c r="K11" s="120"/>
      <c r="L11" s="99"/>
      <c r="S11" s="97"/>
    </row>
    <row r="12" spans="1:19" ht="25.5" customHeight="1">
      <c r="A12" s="5">
        <v>2.1</v>
      </c>
      <c r="B12" s="125" t="s">
        <v>110</v>
      </c>
      <c r="C12" s="126"/>
      <c r="D12" s="127"/>
      <c r="E12" s="111"/>
      <c r="F12" s="110"/>
      <c r="G12" s="117">
        <v>1</v>
      </c>
      <c r="H12" s="100"/>
      <c r="I12" s="118">
        <v>120</v>
      </c>
      <c r="J12" s="119">
        <f t="shared" si="0"/>
        <v>120</v>
      </c>
      <c r="K12" s="120"/>
      <c r="L12" s="99"/>
      <c r="S12" s="97"/>
    </row>
    <row r="13" spans="1:19" ht="25.5" customHeight="1">
      <c r="A13" s="5">
        <v>2.2000000000000002</v>
      </c>
      <c r="B13" s="125" t="s">
        <v>112</v>
      </c>
      <c r="C13" s="126"/>
      <c r="D13" s="127"/>
      <c r="E13" s="111"/>
      <c r="F13" s="112"/>
      <c r="G13" s="117" t="s">
        <v>131</v>
      </c>
      <c r="H13" s="100"/>
      <c r="I13" s="118">
        <v>500</v>
      </c>
      <c r="J13" s="119">
        <f t="shared" si="0"/>
        <v>500</v>
      </c>
      <c r="K13" s="120"/>
      <c r="L13" s="99"/>
      <c r="S13" s="97"/>
    </row>
    <row r="14" spans="1:19" ht="25.5" customHeight="1">
      <c r="A14" s="5">
        <v>2.2999999999999998</v>
      </c>
      <c r="B14" s="125" t="s">
        <v>113</v>
      </c>
      <c r="C14" s="126"/>
      <c r="D14" s="127"/>
      <c r="E14" s="111"/>
      <c r="F14" s="112"/>
      <c r="G14" s="117" t="s">
        <v>131</v>
      </c>
      <c r="H14" s="100"/>
      <c r="I14" s="118">
        <v>320</v>
      </c>
      <c r="J14" s="119">
        <f t="shared" si="0"/>
        <v>320</v>
      </c>
      <c r="K14" s="120"/>
      <c r="L14" s="99"/>
      <c r="S14" s="97"/>
    </row>
    <row r="15" spans="1:19" ht="25.5" customHeight="1">
      <c r="A15" s="5">
        <v>2.4</v>
      </c>
      <c r="B15" s="125" t="s">
        <v>114</v>
      </c>
      <c r="C15" s="126"/>
      <c r="D15" s="127"/>
      <c r="E15" s="111"/>
      <c r="F15" s="112"/>
      <c r="G15" s="117" t="s">
        <v>131</v>
      </c>
      <c r="H15" s="100"/>
      <c r="I15" s="118">
        <v>320</v>
      </c>
      <c r="J15" s="119">
        <f t="shared" si="0"/>
        <v>320</v>
      </c>
      <c r="K15" s="120"/>
      <c r="L15" s="99"/>
      <c r="S15" s="97"/>
    </row>
    <row r="16" spans="1:19" ht="25.5" customHeight="1">
      <c r="A16" s="5">
        <v>2.5</v>
      </c>
      <c r="B16" s="125" t="s">
        <v>115</v>
      </c>
      <c r="C16" s="126"/>
      <c r="D16" s="127"/>
      <c r="E16" s="111"/>
      <c r="F16" s="112"/>
      <c r="G16" s="117" t="s">
        <v>131</v>
      </c>
      <c r="H16" s="100"/>
      <c r="I16" s="118">
        <v>320</v>
      </c>
      <c r="J16" s="119">
        <f t="shared" si="0"/>
        <v>320</v>
      </c>
      <c r="K16" s="120"/>
      <c r="L16" s="99"/>
      <c r="S16" s="97"/>
    </row>
    <row r="17" spans="1:19" ht="25.5" customHeight="1">
      <c r="A17" s="5">
        <v>2.6</v>
      </c>
      <c r="B17" s="125" t="s">
        <v>116</v>
      </c>
      <c r="C17" s="126"/>
      <c r="D17" s="127"/>
      <c r="E17" s="111"/>
      <c r="F17" s="112"/>
      <c r="G17" s="117" t="s">
        <v>131</v>
      </c>
      <c r="H17" s="100"/>
      <c r="I17" s="118">
        <v>360</v>
      </c>
      <c r="J17" s="119">
        <f t="shared" si="0"/>
        <v>360</v>
      </c>
      <c r="K17" s="120"/>
      <c r="L17" s="99"/>
      <c r="S17" s="97"/>
    </row>
    <row r="18" spans="1:19" ht="25.5" customHeight="1">
      <c r="A18" s="5">
        <v>2.7</v>
      </c>
      <c r="B18" s="125" t="s">
        <v>117</v>
      </c>
      <c r="C18" s="126"/>
      <c r="D18" s="127"/>
      <c r="E18" s="111"/>
      <c r="F18" s="112"/>
      <c r="G18" s="117" t="s">
        <v>131</v>
      </c>
      <c r="H18" s="100"/>
      <c r="I18" s="118">
        <v>360</v>
      </c>
      <c r="J18" s="119">
        <f t="shared" si="0"/>
        <v>360</v>
      </c>
      <c r="K18" s="120"/>
      <c r="L18" s="99"/>
      <c r="S18" s="97"/>
    </row>
    <row r="19" spans="1:19" ht="25.5" customHeight="1">
      <c r="A19" s="5">
        <v>2.8</v>
      </c>
      <c r="B19" s="125" t="s">
        <v>118</v>
      </c>
      <c r="C19" s="126"/>
      <c r="D19" s="127"/>
      <c r="E19" s="111"/>
      <c r="F19" s="112"/>
      <c r="G19" s="117" t="s">
        <v>131</v>
      </c>
      <c r="H19" s="100"/>
      <c r="I19" s="118">
        <v>1100</v>
      </c>
      <c r="J19" s="119">
        <f t="shared" si="0"/>
        <v>1100</v>
      </c>
      <c r="K19" s="120"/>
      <c r="L19" s="99"/>
      <c r="S19" s="97"/>
    </row>
    <row r="20" spans="1:19" ht="25.5" customHeight="1">
      <c r="A20" s="115">
        <v>2.9</v>
      </c>
      <c r="B20" s="125" t="s">
        <v>119</v>
      </c>
      <c r="C20" s="126"/>
      <c r="D20" s="127"/>
      <c r="E20" s="111"/>
      <c r="F20" s="112"/>
      <c r="G20" s="117" t="s">
        <v>131</v>
      </c>
      <c r="H20" s="100"/>
      <c r="I20" s="118">
        <v>500</v>
      </c>
      <c r="J20" s="119">
        <f t="shared" si="0"/>
        <v>500</v>
      </c>
      <c r="K20" s="120"/>
      <c r="L20" s="99"/>
      <c r="S20" s="97"/>
    </row>
    <row r="21" spans="1:19" ht="25.5" customHeight="1">
      <c r="A21" s="115" t="s">
        <v>125</v>
      </c>
      <c r="B21" s="134" t="s">
        <v>157</v>
      </c>
      <c r="C21" s="126"/>
      <c r="D21" s="127"/>
      <c r="E21" s="111"/>
      <c r="F21" s="112"/>
      <c r="G21" s="117" t="s">
        <v>131</v>
      </c>
      <c r="H21" s="100"/>
      <c r="I21" s="118">
        <v>250</v>
      </c>
      <c r="J21" s="119">
        <f t="shared" si="0"/>
        <v>250</v>
      </c>
      <c r="K21" s="120"/>
      <c r="L21" s="99"/>
      <c r="S21" s="97"/>
    </row>
    <row r="22" spans="1:19" ht="25.5" customHeight="1">
      <c r="A22" s="5">
        <v>2.11</v>
      </c>
      <c r="B22" s="125" t="s">
        <v>120</v>
      </c>
      <c r="C22" s="126"/>
      <c r="D22" s="127"/>
      <c r="E22" s="111"/>
      <c r="F22" s="112"/>
      <c r="G22" s="117" t="s">
        <v>131</v>
      </c>
      <c r="H22" s="100"/>
      <c r="I22" s="118">
        <v>950</v>
      </c>
      <c r="J22" s="119">
        <f t="shared" si="0"/>
        <v>950</v>
      </c>
      <c r="K22" s="120"/>
      <c r="L22" s="99"/>
      <c r="S22" s="97"/>
    </row>
    <row r="23" spans="1:19" ht="25.5" customHeight="1">
      <c r="A23" s="5">
        <v>2.12</v>
      </c>
      <c r="B23" s="125" t="s">
        <v>121</v>
      </c>
      <c r="C23" s="126"/>
      <c r="D23" s="127"/>
      <c r="E23" s="111"/>
      <c r="F23" s="112"/>
      <c r="G23" s="117" t="s">
        <v>131</v>
      </c>
      <c r="H23" s="100"/>
      <c r="I23" s="118">
        <v>1100</v>
      </c>
      <c r="J23" s="119">
        <f t="shared" si="0"/>
        <v>1100</v>
      </c>
      <c r="K23" s="120"/>
      <c r="L23" s="99"/>
      <c r="S23" s="97"/>
    </row>
    <row r="24" spans="1:19" ht="25.5" customHeight="1">
      <c r="A24" s="5"/>
      <c r="B24" s="128" t="s">
        <v>128</v>
      </c>
      <c r="C24" s="114"/>
      <c r="D24" s="111"/>
      <c r="E24" s="111"/>
      <c r="F24" s="112"/>
      <c r="G24" s="99"/>
      <c r="H24" s="100"/>
      <c r="I24" s="124"/>
      <c r="J24" s="119">
        <f t="shared" si="0"/>
        <v>0</v>
      </c>
      <c r="K24" s="120"/>
      <c r="L24" s="99"/>
      <c r="S24" s="97"/>
    </row>
    <row r="25" spans="1:19" ht="25.5" customHeight="1">
      <c r="A25" s="115" t="s">
        <v>126</v>
      </c>
      <c r="B25" s="134" t="s">
        <v>158</v>
      </c>
      <c r="C25" s="126"/>
      <c r="D25" s="111"/>
      <c r="E25" s="111"/>
      <c r="F25" s="112"/>
      <c r="G25" s="99" t="s">
        <v>132</v>
      </c>
      <c r="H25" s="100"/>
      <c r="I25" s="118">
        <v>50</v>
      </c>
      <c r="J25" s="119">
        <f t="shared" si="0"/>
        <v>50</v>
      </c>
      <c r="K25" s="120"/>
      <c r="L25" s="99"/>
      <c r="S25" s="97"/>
    </row>
    <row r="26" spans="1:19" ht="25.5" customHeight="1">
      <c r="A26" s="115" t="s">
        <v>127</v>
      </c>
      <c r="B26" s="135" t="s">
        <v>159</v>
      </c>
      <c r="C26" s="122"/>
      <c r="D26" s="123"/>
      <c r="E26" s="123"/>
      <c r="F26" s="123"/>
      <c r="G26" s="99" t="s">
        <v>132</v>
      </c>
      <c r="H26" s="100"/>
      <c r="I26" s="118">
        <v>120</v>
      </c>
      <c r="J26" s="119">
        <f t="shared" si="0"/>
        <v>120</v>
      </c>
      <c r="K26" s="120"/>
      <c r="L26" s="99"/>
      <c r="S26" s="97"/>
    </row>
    <row r="27" spans="1:19" ht="101.25" customHeight="1">
      <c r="A27" s="115" t="s">
        <v>129</v>
      </c>
      <c r="B27" s="143" t="s">
        <v>160</v>
      </c>
      <c r="C27" s="143"/>
      <c r="D27" s="143"/>
      <c r="E27" s="143"/>
      <c r="F27" s="143"/>
      <c r="G27" s="143"/>
      <c r="H27" s="143"/>
      <c r="I27" s="143"/>
      <c r="J27" s="119"/>
      <c r="K27" s="120"/>
      <c r="L27" s="99"/>
      <c r="S27" s="97"/>
    </row>
    <row r="28" spans="1:19" ht="23.25" customHeight="1">
      <c r="A28" s="115"/>
      <c r="B28" s="121" t="s">
        <v>133</v>
      </c>
      <c r="C28" s="113"/>
      <c r="D28" s="113"/>
      <c r="E28" s="113"/>
      <c r="F28" s="113"/>
      <c r="G28" s="113"/>
      <c r="H28" s="113"/>
      <c r="I28" s="113"/>
      <c r="J28" s="119"/>
      <c r="K28" s="120"/>
      <c r="L28" s="99"/>
      <c r="S28" s="97"/>
    </row>
    <row r="29" spans="1:19" ht="23.25" customHeight="1">
      <c r="A29" s="115">
        <v>5.0999999999999996</v>
      </c>
      <c r="B29" s="125" t="s">
        <v>134</v>
      </c>
      <c r="C29" s="129"/>
      <c r="D29" s="129"/>
      <c r="E29" s="129"/>
      <c r="F29" s="130"/>
      <c r="G29" s="117" t="s">
        <v>146</v>
      </c>
      <c r="H29" s="100"/>
      <c r="I29" s="118">
        <v>900</v>
      </c>
      <c r="J29" s="119">
        <f t="shared" ref="J29:J42" si="1">I29</f>
        <v>900</v>
      </c>
      <c r="K29" s="120"/>
      <c r="L29" s="99"/>
      <c r="S29" s="97"/>
    </row>
    <row r="30" spans="1:19" ht="23.25" customHeight="1">
      <c r="A30" s="115">
        <v>5.2</v>
      </c>
      <c r="B30" s="125" t="s">
        <v>135</v>
      </c>
      <c r="C30" s="129"/>
      <c r="D30" s="129"/>
      <c r="E30" s="129"/>
      <c r="F30" s="130"/>
      <c r="G30" s="117" t="s">
        <v>148</v>
      </c>
      <c r="H30" s="100"/>
      <c r="I30" s="118">
        <v>90</v>
      </c>
      <c r="J30" s="119">
        <f t="shared" si="1"/>
        <v>90</v>
      </c>
      <c r="K30" s="120"/>
      <c r="L30" s="99"/>
      <c r="S30" s="97"/>
    </row>
    <row r="31" spans="1:19" ht="23.25" customHeight="1">
      <c r="A31" s="115">
        <v>5.3</v>
      </c>
      <c r="B31" s="125" t="s">
        <v>136</v>
      </c>
      <c r="C31" s="129"/>
      <c r="D31" s="129"/>
      <c r="E31" s="129"/>
      <c r="F31" s="130"/>
      <c r="G31" s="117" t="s">
        <v>147</v>
      </c>
      <c r="H31" s="100"/>
      <c r="I31" s="118">
        <v>41</v>
      </c>
      <c r="J31" s="119">
        <f t="shared" si="1"/>
        <v>41</v>
      </c>
      <c r="K31" s="120"/>
      <c r="L31" s="99"/>
      <c r="S31" s="97"/>
    </row>
    <row r="32" spans="1:19" ht="42.75" customHeight="1">
      <c r="A32" s="115" t="s">
        <v>144</v>
      </c>
      <c r="B32" s="144" t="s">
        <v>161</v>
      </c>
      <c r="C32" s="145"/>
      <c r="D32" s="132"/>
      <c r="E32" s="132"/>
      <c r="F32" s="133"/>
      <c r="G32" s="117" t="s">
        <v>146</v>
      </c>
      <c r="H32" s="100"/>
      <c r="I32" s="118">
        <v>1200</v>
      </c>
      <c r="J32" s="119">
        <f t="shared" si="1"/>
        <v>1200</v>
      </c>
      <c r="K32" s="120"/>
      <c r="L32" s="99"/>
      <c r="S32" s="97"/>
    </row>
    <row r="33" spans="1:22" ht="23.25" customHeight="1">
      <c r="A33" s="115">
        <v>6.1</v>
      </c>
      <c r="B33" s="125" t="s">
        <v>137</v>
      </c>
      <c r="C33" s="129"/>
      <c r="D33" s="129"/>
      <c r="E33" s="129"/>
      <c r="F33" s="130"/>
      <c r="G33" s="117" t="s">
        <v>148</v>
      </c>
      <c r="H33" s="100"/>
      <c r="I33" s="118">
        <v>120</v>
      </c>
      <c r="J33" s="119">
        <f t="shared" si="1"/>
        <v>120</v>
      </c>
      <c r="K33" s="120"/>
      <c r="L33" s="99"/>
      <c r="S33" s="97"/>
    </row>
    <row r="34" spans="1:22" ht="23.25" customHeight="1">
      <c r="A34" s="115">
        <v>6.2</v>
      </c>
      <c r="B34" s="125" t="s">
        <v>138</v>
      </c>
      <c r="C34" s="129"/>
      <c r="D34" s="129"/>
      <c r="E34" s="129"/>
      <c r="F34" s="130"/>
      <c r="G34" s="117">
        <v>1</v>
      </c>
      <c r="H34" s="100"/>
      <c r="I34" s="118">
        <v>135</v>
      </c>
      <c r="J34" s="119">
        <f t="shared" si="1"/>
        <v>135</v>
      </c>
      <c r="K34" s="120"/>
      <c r="L34" s="99"/>
      <c r="S34" s="97"/>
    </row>
    <row r="35" spans="1:22" ht="78.75" customHeight="1">
      <c r="A35" s="115" t="s">
        <v>145</v>
      </c>
      <c r="B35" s="146" t="s">
        <v>162</v>
      </c>
      <c r="C35" s="147"/>
      <c r="D35" s="147"/>
      <c r="E35" s="147"/>
      <c r="F35" s="148"/>
      <c r="G35" s="117" t="s">
        <v>146</v>
      </c>
      <c r="H35" s="100"/>
      <c r="I35" s="118">
        <v>1200</v>
      </c>
      <c r="J35" s="119">
        <f t="shared" si="1"/>
        <v>1200</v>
      </c>
      <c r="K35" s="120"/>
      <c r="L35" s="99"/>
      <c r="S35" s="97"/>
    </row>
    <row r="36" spans="1:22" ht="23.25" customHeight="1">
      <c r="A36" s="115">
        <v>7.1</v>
      </c>
      <c r="B36" s="125" t="s">
        <v>139</v>
      </c>
      <c r="C36" s="129"/>
      <c r="D36" s="129"/>
      <c r="E36" s="129"/>
      <c r="F36" s="130"/>
      <c r="G36" s="117" t="s">
        <v>146</v>
      </c>
      <c r="H36" s="100"/>
      <c r="I36" s="118">
        <v>120</v>
      </c>
      <c r="J36" s="119">
        <f t="shared" si="1"/>
        <v>120</v>
      </c>
      <c r="K36" s="120"/>
      <c r="L36" s="99"/>
      <c r="S36" s="97"/>
    </row>
    <row r="37" spans="1:22" ht="23.25" customHeight="1">
      <c r="A37" s="115" t="s">
        <v>149</v>
      </c>
      <c r="B37" s="125" t="s">
        <v>140</v>
      </c>
      <c r="C37" s="129"/>
      <c r="D37" s="129"/>
      <c r="E37" s="129"/>
      <c r="F37" s="130"/>
      <c r="G37" s="117" t="s">
        <v>146</v>
      </c>
      <c r="H37" s="100"/>
      <c r="I37" s="118">
        <v>1200</v>
      </c>
      <c r="J37" s="119">
        <f t="shared" si="1"/>
        <v>1200</v>
      </c>
      <c r="K37" s="120"/>
      <c r="L37" s="99"/>
      <c r="S37" s="97"/>
    </row>
    <row r="38" spans="1:22" ht="23.25" customHeight="1">
      <c r="A38" s="115">
        <v>8.1</v>
      </c>
      <c r="B38" s="125" t="s">
        <v>141</v>
      </c>
      <c r="C38" s="129"/>
      <c r="D38" s="129"/>
      <c r="E38" s="129"/>
      <c r="F38" s="130"/>
      <c r="G38" s="117" t="s">
        <v>148</v>
      </c>
      <c r="H38" s="100"/>
      <c r="I38" s="118">
        <v>150</v>
      </c>
      <c r="J38" s="119">
        <f t="shared" si="1"/>
        <v>150</v>
      </c>
      <c r="K38" s="120"/>
      <c r="L38" s="99"/>
      <c r="S38" s="97"/>
    </row>
    <row r="39" spans="1:22" ht="34.5" customHeight="1">
      <c r="A39" s="115" t="s">
        <v>150</v>
      </c>
      <c r="B39" s="144" t="s">
        <v>153</v>
      </c>
      <c r="C39" s="149"/>
      <c r="D39" s="149"/>
      <c r="E39" s="149"/>
      <c r="F39" s="150"/>
      <c r="G39" s="117" t="s">
        <v>130</v>
      </c>
      <c r="H39" s="100"/>
      <c r="I39" s="118">
        <v>2100</v>
      </c>
      <c r="J39" s="119">
        <f t="shared" si="1"/>
        <v>2100</v>
      </c>
      <c r="K39" s="120"/>
      <c r="L39" s="99"/>
      <c r="S39" s="97"/>
    </row>
    <row r="40" spans="1:22" ht="23.25" customHeight="1">
      <c r="A40" s="115">
        <v>9.1</v>
      </c>
      <c r="B40" s="125" t="s">
        <v>142</v>
      </c>
      <c r="C40" s="129"/>
      <c r="D40" s="129"/>
      <c r="E40" s="129"/>
      <c r="F40" s="130"/>
      <c r="G40" s="117" t="s">
        <v>148</v>
      </c>
      <c r="H40" s="100"/>
      <c r="I40" s="118">
        <v>210</v>
      </c>
      <c r="J40" s="119">
        <f t="shared" si="1"/>
        <v>210</v>
      </c>
      <c r="K40" s="120"/>
      <c r="L40" s="99"/>
      <c r="S40" s="97"/>
    </row>
    <row r="41" spans="1:22" ht="36" customHeight="1">
      <c r="A41" s="115" t="s">
        <v>151</v>
      </c>
      <c r="B41" s="144" t="s">
        <v>152</v>
      </c>
      <c r="C41" s="149"/>
      <c r="D41" s="149"/>
      <c r="E41" s="149"/>
      <c r="F41" s="150"/>
      <c r="G41" s="117" t="s">
        <v>130</v>
      </c>
      <c r="H41" s="100"/>
      <c r="I41" s="118">
        <v>1400</v>
      </c>
      <c r="J41" s="119">
        <f t="shared" si="1"/>
        <v>1400</v>
      </c>
      <c r="K41" s="120"/>
      <c r="L41" s="99"/>
      <c r="S41" s="97"/>
    </row>
    <row r="42" spans="1:22" ht="23.25" customHeight="1">
      <c r="A42" s="115">
        <v>10.1</v>
      </c>
      <c r="B42" s="125" t="s">
        <v>143</v>
      </c>
      <c r="C42" s="129"/>
      <c r="D42" s="129"/>
      <c r="E42" s="129"/>
      <c r="F42" s="130"/>
      <c r="G42" s="117" t="s">
        <v>148</v>
      </c>
      <c r="H42" s="100"/>
      <c r="I42" s="118">
        <v>140</v>
      </c>
      <c r="J42" s="119">
        <f t="shared" si="1"/>
        <v>140</v>
      </c>
      <c r="K42" s="120"/>
      <c r="L42" s="99"/>
      <c r="S42" s="97"/>
    </row>
    <row r="43" spans="1:22" ht="25.5" customHeight="1">
      <c r="A43" s="170" t="s">
        <v>7</v>
      </c>
      <c r="B43" s="171"/>
      <c r="C43" s="103"/>
      <c r="D43" s="104"/>
      <c r="E43" s="104"/>
      <c r="F43" s="104"/>
      <c r="G43" s="131"/>
      <c r="H43" s="105"/>
      <c r="I43" s="106" t="s">
        <v>8</v>
      </c>
      <c r="J43" s="101">
        <f>SUM(J6:J42)</f>
        <v>18226</v>
      </c>
      <c r="K43" s="101"/>
      <c r="L43" s="107"/>
    </row>
    <row r="44" spans="1:22" ht="20.100000000000001" customHeight="1">
      <c r="A44" s="6" t="s">
        <v>9</v>
      </c>
      <c r="B44" s="7"/>
      <c r="C44" s="7"/>
      <c r="D44" s="7"/>
      <c r="E44" s="7"/>
      <c r="F44" s="7"/>
      <c r="G44" s="7"/>
      <c r="H44" s="7"/>
      <c r="I44" s="7"/>
      <c r="J44" s="7"/>
      <c r="K44" s="8"/>
      <c r="L44" s="9"/>
    </row>
    <row r="45" spans="1:22" ht="18" customHeight="1">
      <c r="A45" s="10"/>
      <c r="J45" s="1"/>
      <c r="K45" s="1"/>
      <c r="O45" s="11"/>
      <c r="P45" s="11"/>
      <c r="Q45" s="11"/>
      <c r="S45" s="172" t="s">
        <v>10</v>
      </c>
      <c r="T45" s="12" t="s">
        <v>11</v>
      </c>
      <c r="U45" s="13" t="s">
        <v>12</v>
      </c>
      <c r="V45" s="12" t="s">
        <v>13</v>
      </c>
    </row>
    <row r="46" spans="1:22" ht="50.1" customHeight="1">
      <c r="S46" s="173"/>
      <c r="T46" s="14"/>
      <c r="U46" s="15"/>
      <c r="V46" s="14"/>
    </row>
    <row r="47" spans="1:22" ht="17.100000000000001" customHeight="1">
      <c r="O47" s="11"/>
      <c r="P47" s="11"/>
      <c r="Q47" s="11"/>
      <c r="S47" s="174"/>
      <c r="T47" s="15" t="s">
        <v>14</v>
      </c>
      <c r="U47" s="15" t="s">
        <v>14</v>
      </c>
      <c r="V47" s="16" t="s">
        <v>14</v>
      </c>
    </row>
    <row r="48" spans="1:22" ht="15" customHeight="1">
      <c r="O48" s="17" t="s">
        <v>15</v>
      </c>
      <c r="P48" s="175" t="s">
        <v>16</v>
      </c>
      <c r="Q48" s="175" t="s">
        <v>17</v>
      </c>
    </row>
    <row r="49" spans="15:22" ht="18" customHeight="1">
      <c r="O49" s="18" t="s">
        <v>18</v>
      </c>
      <c r="P49" s="176"/>
      <c r="Q49" s="176"/>
      <c r="S49" s="172" t="s">
        <v>19</v>
      </c>
      <c r="T49" s="12" t="s">
        <v>11</v>
      </c>
      <c r="U49" s="12" t="s">
        <v>12</v>
      </c>
      <c r="V49" s="12" t="s">
        <v>13</v>
      </c>
    </row>
    <row r="50" spans="15:22" ht="50.1" customHeight="1">
      <c r="O50" s="14"/>
      <c r="P50" s="14"/>
      <c r="Q50" s="14"/>
      <c r="S50" s="173"/>
      <c r="T50" s="19"/>
      <c r="U50" s="19"/>
      <c r="V50" s="14"/>
    </row>
    <row r="51" spans="15:22" ht="17.100000000000001" customHeight="1">
      <c r="O51" s="16" t="s">
        <v>14</v>
      </c>
      <c r="P51" s="16" t="s">
        <v>14</v>
      </c>
      <c r="Q51" s="16" t="s">
        <v>14</v>
      </c>
      <c r="S51" s="174"/>
      <c r="T51" s="15" t="s">
        <v>14</v>
      </c>
      <c r="U51" s="15" t="s">
        <v>14</v>
      </c>
      <c r="V51" s="16" t="s">
        <v>14</v>
      </c>
    </row>
    <row r="52" spans="15:22" ht="9.9499999999999993" customHeight="1"/>
    <row r="53" spans="15:22" ht="19.899999999999999" customHeight="1"/>
    <row r="54" spans="15:22" ht="17.45" customHeight="1">
      <c r="O54" s="177"/>
      <c r="P54" s="177"/>
      <c r="Q54" s="177"/>
    </row>
    <row r="55" spans="15:22" ht="19.899999999999999" customHeight="1">
      <c r="O55" s="177"/>
      <c r="P55" s="177"/>
      <c r="Q55" s="177"/>
    </row>
    <row r="56" spans="15:22" ht="14.25">
      <c r="O56" s="11"/>
      <c r="P56" s="11"/>
      <c r="Q56" s="11"/>
    </row>
    <row r="57" spans="15:22" ht="65.099999999999994" customHeight="1"/>
    <row r="58" spans="15:22" ht="14.25">
      <c r="O58" s="11"/>
      <c r="P58" s="11"/>
      <c r="Q58" s="11"/>
    </row>
    <row r="59" spans="15:22" ht="19.899999999999999" customHeight="1"/>
    <row r="60" spans="15:22" ht="14.25"/>
    <row r="61" spans="15:22" ht="19.899999999999999" customHeight="1"/>
    <row r="62" spans="15:22" ht="14.25"/>
    <row r="63" spans="15:22" ht="19.899999999999999" customHeight="1"/>
    <row r="64" spans="15:22" ht="19.899999999999999" customHeight="1"/>
    <row r="65" spans="15:22" ht="64.900000000000006" customHeight="1"/>
    <row r="67" spans="15:22" ht="19.899999999999999" customHeight="1">
      <c r="T67" s="175" t="s">
        <v>20</v>
      </c>
    </row>
    <row r="68" spans="15:22" ht="19.899999999999999" customHeight="1">
      <c r="T68" s="176"/>
    </row>
    <row r="69" spans="15:22" ht="64.900000000000006" customHeight="1">
      <c r="T69" s="14"/>
    </row>
    <row r="73" spans="15:22" ht="21" customHeight="1">
      <c r="O73" s="175" t="s">
        <v>20</v>
      </c>
      <c r="P73" s="175" t="s">
        <v>20</v>
      </c>
      <c r="Q73" s="175" t="s">
        <v>20</v>
      </c>
      <c r="T73" s="175" t="s">
        <v>21</v>
      </c>
      <c r="U73" s="175" t="s">
        <v>12</v>
      </c>
      <c r="V73" s="175" t="s">
        <v>20</v>
      </c>
    </row>
    <row r="74" spans="15:22" ht="21" customHeight="1">
      <c r="O74" s="176"/>
      <c r="P74" s="176"/>
      <c r="Q74" s="176"/>
      <c r="T74" s="174"/>
      <c r="U74" s="174"/>
      <c r="V74" s="176"/>
    </row>
    <row r="75" spans="15:22" ht="64.900000000000006" customHeight="1">
      <c r="O75" s="14"/>
      <c r="P75" s="14"/>
      <c r="Q75" s="14"/>
      <c r="T75" s="14"/>
      <c r="U75" s="15"/>
      <c r="V75" s="14"/>
    </row>
    <row r="76" spans="15:22" ht="7.15" customHeight="1"/>
    <row r="77" spans="15:22" ht="21" customHeight="1">
      <c r="O77" s="175" t="s">
        <v>20</v>
      </c>
      <c r="P77" s="175" t="s">
        <v>20</v>
      </c>
      <c r="Q77" s="175" t="s">
        <v>20</v>
      </c>
      <c r="T77" s="175" t="s">
        <v>12</v>
      </c>
      <c r="U77" s="175" t="s">
        <v>21</v>
      </c>
      <c r="V77" s="175" t="s">
        <v>20</v>
      </c>
    </row>
    <row r="78" spans="15:22" ht="21" customHeight="1">
      <c r="O78" s="176"/>
      <c r="P78" s="176"/>
      <c r="Q78" s="176"/>
      <c r="T78" s="174"/>
      <c r="U78" s="174"/>
      <c r="V78" s="176"/>
    </row>
    <row r="79" spans="15:22" ht="64.900000000000006" customHeight="1">
      <c r="O79" s="14"/>
      <c r="P79" s="14"/>
      <c r="Q79" s="14"/>
      <c r="T79" s="15"/>
      <c r="U79" s="14"/>
      <c r="V79" s="14"/>
    </row>
  </sheetData>
  <mergeCells count="39">
    <mergeCell ref="U73:U74"/>
    <mergeCell ref="V73:V74"/>
    <mergeCell ref="O77:O78"/>
    <mergeCell ref="P77:P78"/>
    <mergeCell ref="Q77:Q78"/>
    <mergeCell ref="T77:T78"/>
    <mergeCell ref="U77:U78"/>
    <mergeCell ref="V77:V78"/>
    <mergeCell ref="O54:O55"/>
    <mergeCell ref="P54:P55"/>
    <mergeCell ref="Q54:Q55"/>
    <mergeCell ref="T67:T68"/>
    <mergeCell ref="O73:O74"/>
    <mergeCell ref="P73:P74"/>
    <mergeCell ref="Q73:Q74"/>
    <mergeCell ref="T73:T74"/>
    <mergeCell ref="A43:B43"/>
    <mergeCell ref="S45:S47"/>
    <mergeCell ref="P48:P49"/>
    <mergeCell ref="Q48:Q49"/>
    <mergeCell ref="S49:S51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F6"/>
    <mergeCell ref="B27:I27"/>
    <mergeCell ref="B32:C32"/>
    <mergeCell ref="B35:F35"/>
    <mergeCell ref="B41:F41"/>
    <mergeCell ref="B39:F39"/>
  </mergeCells>
  <phoneticPr fontId="3" type="noConversion"/>
  <printOptions horizontalCentered="1"/>
  <pageMargins left="0.39370078740157499" right="0.39370078740157499" top="0.39370078740157499" bottom="0.39370078740157499" header="0" footer="0"/>
  <pageSetup paperSize="9" scale="88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42"/>
  <sheetViews>
    <sheetView showGridLines="0" zoomScale="95" zoomScaleNormal="95" zoomScaleSheetLayoutView="70" workbookViewId="0">
      <pane ySplit="5" topLeftCell="A39" activePane="bottomLeft" state="frozen"/>
      <selection activeCell="D30" sqref="D30"/>
      <selection pane="bottomLeft" activeCell="D18" sqref="D18:F18"/>
    </sheetView>
  </sheetViews>
  <sheetFormatPr defaultColWidth="9" defaultRowHeight="21" customHeight="1"/>
  <cols>
    <col min="1" max="1" width="5.855468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0" t="s">
        <v>92</v>
      </c>
      <c r="B1" s="91"/>
      <c r="C1" s="91"/>
      <c r="D1" s="91"/>
      <c r="E1" s="91"/>
      <c r="F1" s="91"/>
      <c r="G1" s="1"/>
      <c r="J1" s="183" t="str">
        <f>+MRS!J1</f>
        <v>DAESHIN PLANT</v>
      </c>
      <c r="K1" s="184"/>
    </row>
    <row r="2" spans="1:18" ht="24.95" customHeight="1">
      <c r="A2" s="3" t="str">
        <f>+MRS!A2</f>
        <v xml:space="preserve">  PJT :  SACE2           </v>
      </c>
      <c r="B2" s="92"/>
      <c r="C2" s="92"/>
      <c r="D2" s="3" t="str">
        <f>+MRS!D2</f>
        <v>Division (In charge Name) : ADMIN MANAGER (Dong Chang Kim)</v>
      </c>
      <c r="E2" s="92"/>
      <c r="F2" s="92"/>
      <c r="G2" s="20"/>
      <c r="H2" s="20"/>
      <c r="I2" s="20"/>
      <c r="J2" s="185" t="str">
        <f>+MRS!J2</f>
        <v>Subcontract name (SAC2-SC-IK-SMP-01)</v>
      </c>
      <c r="K2" s="186"/>
    </row>
    <row r="3" spans="1:18" ht="24.95" customHeight="1">
      <c r="A3" s="3" t="str">
        <f>+MRS!A3</f>
        <v xml:space="preserve">  MRS No : SAC2-DS-MRS-0064</v>
      </c>
      <c r="B3" s="92"/>
      <c r="C3" s="92"/>
      <c r="D3" s="92"/>
      <c r="E3" s="92"/>
      <c r="F3" s="92"/>
      <c r="G3" s="92"/>
      <c r="H3" s="92"/>
      <c r="I3" s="92"/>
      <c r="J3" s="92"/>
      <c r="K3" s="93">
        <f>+MRS!L3</f>
        <v>45780</v>
      </c>
    </row>
    <row r="4" spans="1:18" ht="15.95" customHeight="1">
      <c r="A4" s="187" t="s">
        <v>1</v>
      </c>
      <c r="B4" s="188" t="s">
        <v>22</v>
      </c>
      <c r="C4" s="188"/>
      <c r="D4" s="187" t="s">
        <v>3</v>
      </c>
      <c r="E4" s="187"/>
      <c r="F4" s="187"/>
      <c r="G4" s="188" t="s">
        <v>4</v>
      </c>
      <c r="H4" s="187" t="s">
        <v>89</v>
      </c>
      <c r="I4" s="187" t="s">
        <v>23</v>
      </c>
      <c r="J4" s="187" t="s">
        <v>24</v>
      </c>
      <c r="K4" s="188" t="s">
        <v>6</v>
      </c>
    </row>
    <row r="5" spans="1:18" ht="15.95" customHeight="1">
      <c r="A5" s="187"/>
      <c r="B5" s="188"/>
      <c r="C5" s="188"/>
      <c r="D5" s="187"/>
      <c r="E5" s="187"/>
      <c r="F5" s="187"/>
      <c r="G5" s="188"/>
      <c r="H5" s="187"/>
      <c r="I5" s="187"/>
      <c r="J5" s="187"/>
      <c r="K5" s="188"/>
    </row>
    <row r="6" spans="1:18" ht="54" customHeight="1">
      <c r="A6" s="21" t="str">
        <f>+MRS!A6</f>
        <v>1.0</v>
      </c>
      <c r="B6" s="178" t="str">
        <f>MRS!B6</f>
        <v>Welder Qualification Testing (WQT) Services 
Mob, Demobilization Welding inspector charge for one day</v>
      </c>
      <c r="C6" s="179"/>
      <c r="D6" s="180">
        <f>MRS!D6</f>
        <v>0</v>
      </c>
      <c r="E6" s="181"/>
      <c r="F6" s="182"/>
      <c r="G6" s="94" t="str">
        <f>MRS!G6</f>
        <v>10 hrs</v>
      </c>
      <c r="H6" s="94">
        <f>MRS!H6</f>
        <v>0</v>
      </c>
      <c r="I6" s="95">
        <f>MRS!I6</f>
        <v>1000</v>
      </c>
      <c r="J6" s="95">
        <f>MRS!J6</f>
        <v>1000</v>
      </c>
      <c r="K6" s="96"/>
      <c r="O6" s="97"/>
      <c r="P6" s="97"/>
      <c r="R6" s="97"/>
    </row>
    <row r="7" spans="1:18" ht="54" customHeight="1">
      <c r="A7" s="21">
        <f>+MRS!A7</f>
        <v>1.1000000000000001</v>
      </c>
      <c r="B7" s="178" t="str">
        <f>MRS!B7</f>
        <v>Overtime More than 10 hours</v>
      </c>
      <c r="C7" s="179"/>
      <c r="D7" s="180">
        <f>MRS!D7</f>
        <v>0</v>
      </c>
      <c r="E7" s="181"/>
      <c r="F7" s="182"/>
      <c r="G7" s="94">
        <f>MRS!G7</f>
        <v>1</v>
      </c>
      <c r="H7" s="94">
        <f>MRS!H7</f>
        <v>0</v>
      </c>
      <c r="I7" s="95">
        <f>MRS!I7</f>
        <v>100</v>
      </c>
      <c r="J7" s="95">
        <f>MRS!J7</f>
        <v>100</v>
      </c>
      <c r="K7" s="96"/>
      <c r="O7" s="97"/>
      <c r="P7" s="97"/>
      <c r="R7" s="97"/>
    </row>
    <row r="8" spans="1:18" ht="54" customHeight="1">
      <c r="A8" s="21">
        <f>+MRS!A8</f>
        <v>1.2</v>
      </c>
      <c r="B8" s="178" t="str">
        <f>MRS!B8</f>
        <v>RT Test coupon up to 12mm thickness</v>
      </c>
      <c r="C8" s="179"/>
      <c r="D8" s="180">
        <f>MRS!D8</f>
        <v>0</v>
      </c>
      <c r="E8" s="181"/>
      <c r="F8" s="182"/>
      <c r="G8" s="94" t="str">
        <f>MRS!G8</f>
        <v>EA</v>
      </c>
      <c r="H8" s="94">
        <f>MRS!H8</f>
        <v>0</v>
      </c>
      <c r="I8" s="95">
        <f>MRS!I8</f>
        <v>150</v>
      </c>
      <c r="J8" s="95">
        <f>MRS!J8</f>
        <v>150</v>
      </c>
      <c r="K8" s="96"/>
      <c r="O8" s="97"/>
      <c r="P8" s="97"/>
      <c r="R8" s="97"/>
    </row>
    <row r="9" spans="1:18" ht="54" customHeight="1">
      <c r="A9" s="21">
        <f>+MRS!A9</f>
        <v>1.3</v>
      </c>
      <c r="B9" s="178" t="str">
        <f>MRS!B9</f>
        <v>RT Test coupon more than 12 mm thickness</v>
      </c>
      <c r="C9" s="179"/>
      <c r="D9" s="180">
        <f>MRS!D9</f>
        <v>0</v>
      </c>
      <c r="E9" s="181"/>
      <c r="F9" s="182"/>
      <c r="G9" s="94" t="str">
        <f>MRS!G9</f>
        <v>EA</v>
      </c>
      <c r="H9" s="94">
        <f>MRS!H9</f>
        <v>0</v>
      </c>
      <c r="I9" s="95">
        <f>MRS!I9</f>
        <v>200</v>
      </c>
      <c r="J9" s="95">
        <f>MRS!J9</f>
        <v>200</v>
      </c>
      <c r="K9" s="96"/>
      <c r="O9" s="97"/>
      <c r="P9" s="97"/>
      <c r="R9" s="97"/>
    </row>
    <row r="10" spans="1:18" ht="54" customHeight="1">
      <c r="A10" s="21">
        <f>+MRS!A10</f>
        <v>1.4</v>
      </c>
      <c r="B10" s="178" t="str">
        <f>MRS!B10</f>
        <v>Welder Card (include revalidation)</v>
      </c>
      <c r="C10" s="179"/>
      <c r="D10" s="180">
        <f>MRS!D10</f>
        <v>0</v>
      </c>
      <c r="E10" s="181"/>
      <c r="F10" s="182"/>
      <c r="G10" s="94" t="str">
        <f>MRS!G10</f>
        <v>EA</v>
      </c>
      <c r="H10" s="94">
        <f>MRS!H10</f>
        <v>0</v>
      </c>
      <c r="I10" s="95">
        <f>MRS!I10</f>
        <v>200</v>
      </c>
      <c r="J10" s="95">
        <f>MRS!J10</f>
        <v>200</v>
      </c>
      <c r="K10" s="96"/>
      <c r="O10" s="97"/>
      <c r="P10" s="97"/>
      <c r="R10" s="97"/>
    </row>
    <row r="11" spans="1:18" ht="54" customHeight="1">
      <c r="A11" s="21" t="str">
        <f>+MRS!A11</f>
        <v>2.0</v>
      </c>
      <c r="B11" s="178" t="str">
        <f>MRS!B11</f>
        <v>Welders Qualification Testing (PQR)</v>
      </c>
      <c r="C11" s="179"/>
      <c r="D11" s="180">
        <f>MRS!D11</f>
        <v>0</v>
      </c>
      <c r="E11" s="181"/>
      <c r="F11" s="182"/>
      <c r="G11" s="94" t="str">
        <f>MRS!G11</f>
        <v>10 hrs</v>
      </c>
      <c r="H11" s="94">
        <f>MRS!H11</f>
        <v>0</v>
      </c>
      <c r="I11" s="95">
        <f>MRS!I11</f>
        <v>1200</v>
      </c>
      <c r="J11" s="95">
        <f>MRS!J11</f>
        <v>1200</v>
      </c>
      <c r="K11" s="96"/>
      <c r="O11" s="97"/>
      <c r="P11" s="97"/>
      <c r="R11" s="97"/>
    </row>
    <row r="12" spans="1:18" ht="54" customHeight="1">
      <c r="A12" s="21">
        <f>+MRS!A12</f>
        <v>2.1</v>
      </c>
      <c r="B12" s="178" t="str">
        <f>MRS!B12</f>
        <v>Overtime More than 10 hours</v>
      </c>
      <c r="C12" s="179"/>
      <c r="D12" s="180">
        <f>MRS!D12</f>
        <v>0</v>
      </c>
      <c r="E12" s="181"/>
      <c r="F12" s="182"/>
      <c r="G12" s="94">
        <f>MRS!G12</f>
        <v>1</v>
      </c>
      <c r="H12" s="94">
        <f>MRS!H12</f>
        <v>0</v>
      </c>
      <c r="I12" s="95">
        <f>MRS!I12</f>
        <v>120</v>
      </c>
      <c r="J12" s="95">
        <f>MRS!J12</f>
        <v>120</v>
      </c>
      <c r="K12" s="96"/>
      <c r="O12" s="97"/>
      <c r="P12" s="97"/>
      <c r="R12" s="97"/>
    </row>
    <row r="13" spans="1:18" ht="54" customHeight="1">
      <c r="A13" s="21">
        <f>+MRS!A13</f>
        <v>2.2000000000000002</v>
      </c>
      <c r="B13" s="178" t="str">
        <f>MRS!B13</f>
        <v>Tensile Testing</v>
      </c>
      <c r="C13" s="179"/>
      <c r="D13" s="180">
        <f>MRS!D13</f>
        <v>0</v>
      </c>
      <c r="E13" s="181"/>
      <c r="F13" s="182"/>
      <c r="G13" s="94" t="str">
        <f>MRS!G13</f>
        <v>Test</v>
      </c>
      <c r="H13" s="94">
        <f>MRS!H13</f>
        <v>0</v>
      </c>
      <c r="I13" s="95">
        <f>MRS!I13</f>
        <v>500</v>
      </c>
      <c r="J13" s="95">
        <f>MRS!J13</f>
        <v>500</v>
      </c>
      <c r="K13" s="96"/>
      <c r="O13" s="97"/>
      <c r="P13" s="97"/>
      <c r="R13" s="97"/>
    </row>
    <row r="14" spans="1:18" ht="54" customHeight="1">
      <c r="A14" s="21">
        <f>+MRS!A14</f>
        <v>2.2999999999999998</v>
      </c>
      <c r="B14" s="178" t="str">
        <f>MRS!B14</f>
        <v>Bend Testing</v>
      </c>
      <c r="C14" s="179"/>
      <c r="D14" s="180">
        <f>MRS!D14</f>
        <v>0</v>
      </c>
      <c r="E14" s="181"/>
      <c r="F14" s="182"/>
      <c r="G14" s="94" t="str">
        <f>MRS!G14</f>
        <v>Test</v>
      </c>
      <c r="H14" s="94">
        <f>MRS!H14</f>
        <v>0</v>
      </c>
      <c r="I14" s="95">
        <f>MRS!I14</f>
        <v>320</v>
      </c>
      <c r="J14" s="95">
        <f>MRS!J14</f>
        <v>320</v>
      </c>
      <c r="K14" s="96"/>
      <c r="O14" s="97"/>
      <c r="P14" s="97"/>
      <c r="R14" s="97"/>
    </row>
    <row r="15" spans="1:18" ht="54" customHeight="1">
      <c r="A15" s="21">
        <f>+MRS!A15</f>
        <v>2.4</v>
      </c>
      <c r="B15" s="178" t="str">
        <f>MRS!B15</f>
        <v>Fillet BreakTest</v>
      </c>
      <c r="C15" s="179"/>
      <c r="D15" s="180">
        <f>MRS!D15</f>
        <v>0</v>
      </c>
      <c r="E15" s="181"/>
      <c r="F15" s="182"/>
      <c r="G15" s="94" t="str">
        <f>MRS!G15</f>
        <v>Test</v>
      </c>
      <c r="H15" s="94">
        <f>MRS!H15</f>
        <v>0</v>
      </c>
      <c r="I15" s="95">
        <f>MRS!I15</f>
        <v>320</v>
      </c>
      <c r="J15" s="95">
        <f>MRS!J15</f>
        <v>320</v>
      </c>
      <c r="K15" s="96"/>
      <c r="O15" s="97"/>
      <c r="P15" s="97"/>
      <c r="R15" s="97"/>
    </row>
    <row r="16" spans="1:18" ht="54" customHeight="1">
      <c r="A16" s="21">
        <f>+MRS!A16</f>
        <v>2.5</v>
      </c>
      <c r="B16" s="178" t="str">
        <f>MRS!B16</f>
        <v>Nick break test</v>
      </c>
      <c r="C16" s="179"/>
      <c r="D16" s="180">
        <f>MRS!D16</f>
        <v>0</v>
      </c>
      <c r="E16" s="181"/>
      <c r="F16" s="182"/>
      <c r="G16" s="94" t="str">
        <f>MRS!G16</f>
        <v>Test</v>
      </c>
      <c r="H16" s="94">
        <f>MRS!H16</f>
        <v>0</v>
      </c>
      <c r="I16" s="95">
        <f>MRS!I16</f>
        <v>320</v>
      </c>
      <c r="J16" s="95">
        <f>MRS!J16</f>
        <v>320</v>
      </c>
      <c r="K16" s="96"/>
      <c r="O16" s="97"/>
      <c r="P16" s="97"/>
      <c r="R16" s="97"/>
    </row>
    <row r="17" spans="1:18" ht="54" customHeight="1">
      <c r="A17" s="21">
        <f>+MRS!A17</f>
        <v>2.6</v>
      </c>
      <c r="B17" s="178" t="str">
        <f>MRS!B17</f>
        <v>Macro Test with Photograph</v>
      </c>
      <c r="C17" s="179"/>
      <c r="D17" s="180">
        <f>MRS!D17</f>
        <v>0</v>
      </c>
      <c r="E17" s="181"/>
      <c r="F17" s="182"/>
      <c r="G17" s="94" t="str">
        <f>MRS!G17</f>
        <v>Test</v>
      </c>
      <c r="H17" s="94">
        <f>MRS!H17</f>
        <v>0</v>
      </c>
      <c r="I17" s="95">
        <f>MRS!I17</f>
        <v>360</v>
      </c>
      <c r="J17" s="95">
        <f>MRS!J17</f>
        <v>360</v>
      </c>
      <c r="K17" s="96"/>
      <c r="O17" s="97"/>
      <c r="P17" s="97"/>
      <c r="R17" s="97"/>
    </row>
    <row r="18" spans="1:18" ht="54" customHeight="1">
      <c r="A18" s="21">
        <f>+MRS!A18</f>
        <v>2.7</v>
      </c>
      <c r="B18" s="178" t="str">
        <f>MRS!B18</f>
        <v>Section Test for Brazing</v>
      </c>
      <c r="C18" s="179"/>
      <c r="D18" s="180">
        <f>MRS!D18</f>
        <v>0</v>
      </c>
      <c r="E18" s="181"/>
      <c r="F18" s="182"/>
      <c r="G18" s="94" t="str">
        <f>MRS!G18</f>
        <v>Test</v>
      </c>
      <c r="H18" s="94">
        <f>MRS!H18</f>
        <v>0</v>
      </c>
      <c r="I18" s="95">
        <f>MRS!I18</f>
        <v>360</v>
      </c>
      <c r="J18" s="95">
        <f>MRS!J18</f>
        <v>360</v>
      </c>
      <c r="K18" s="96"/>
      <c r="O18" s="97"/>
      <c r="P18" s="97"/>
      <c r="R18" s="97"/>
    </row>
    <row r="19" spans="1:18" ht="54" customHeight="1">
      <c r="A19" s="21">
        <f>+MRS!A19</f>
        <v>2.8</v>
      </c>
      <c r="B19" s="178" t="str">
        <f>MRS!B19</f>
        <v>impact Testing (3 specimens per set)</v>
      </c>
      <c r="C19" s="179"/>
      <c r="D19" s="180">
        <f>MRS!D19</f>
        <v>0</v>
      </c>
      <c r="E19" s="181"/>
      <c r="F19" s="182"/>
      <c r="G19" s="94" t="str">
        <f>MRS!G19</f>
        <v>Test</v>
      </c>
      <c r="H19" s="94">
        <f>MRS!H19</f>
        <v>0</v>
      </c>
      <c r="I19" s="95">
        <f>MRS!I19</f>
        <v>1100</v>
      </c>
      <c r="J19" s="95">
        <f>MRS!J19</f>
        <v>1100</v>
      </c>
      <c r="K19" s="96"/>
      <c r="O19" s="97"/>
      <c r="P19" s="97"/>
      <c r="R19" s="97"/>
    </row>
    <row r="20" spans="1:18" ht="54" customHeight="1">
      <c r="A20" s="21">
        <f>+MRS!A20</f>
        <v>2.9</v>
      </c>
      <c r="B20" s="178" t="str">
        <f>MRS!B20</f>
        <v>Vickers Hardness Testing</v>
      </c>
      <c r="C20" s="179"/>
      <c r="D20" s="180">
        <f>MRS!D20</f>
        <v>0</v>
      </c>
      <c r="E20" s="181"/>
      <c r="F20" s="182"/>
      <c r="G20" s="94" t="str">
        <f>MRS!G20</f>
        <v>Test</v>
      </c>
      <c r="H20" s="94">
        <f>MRS!H20</f>
        <v>0</v>
      </c>
      <c r="I20" s="95">
        <f>MRS!I20</f>
        <v>500</v>
      </c>
      <c r="J20" s="95">
        <f>MRS!J20</f>
        <v>500</v>
      </c>
      <c r="K20" s="96"/>
      <c r="O20" s="97"/>
      <c r="P20" s="97"/>
      <c r="R20" s="97"/>
    </row>
    <row r="21" spans="1:18" ht="54" customHeight="1">
      <c r="A21" s="21" t="str">
        <f>+MRS!A21</f>
        <v>2.10</v>
      </c>
      <c r="B21" s="178" t="str">
        <f>MRS!B21</f>
        <v>Brinell HardnessTesting</v>
      </c>
      <c r="C21" s="179"/>
      <c r="D21" s="180">
        <f>MRS!D21</f>
        <v>0</v>
      </c>
      <c r="E21" s="181"/>
      <c r="F21" s="182"/>
      <c r="G21" s="94" t="str">
        <f>MRS!G21</f>
        <v>Test</v>
      </c>
      <c r="H21" s="94">
        <f>MRS!H21</f>
        <v>0</v>
      </c>
      <c r="I21" s="95">
        <f>MRS!I21</f>
        <v>250</v>
      </c>
      <c r="J21" s="95">
        <f>MRS!J21</f>
        <v>250</v>
      </c>
      <c r="K21" s="96"/>
      <c r="O21" s="97"/>
      <c r="P21" s="97"/>
      <c r="R21" s="97"/>
    </row>
    <row r="22" spans="1:18" ht="54" customHeight="1">
      <c r="A22" s="21">
        <f>+MRS!A22</f>
        <v>2.11</v>
      </c>
      <c r="B22" s="178" t="str">
        <f>MRS!B22</f>
        <v>Chemical Composition with 8 Elements by OES</v>
      </c>
      <c r="C22" s="179"/>
      <c r="D22" s="180">
        <f>MRS!D22</f>
        <v>0</v>
      </c>
      <c r="E22" s="181"/>
      <c r="F22" s="182"/>
      <c r="G22" s="94" t="str">
        <f>MRS!G22</f>
        <v>Test</v>
      </c>
      <c r="H22" s="94">
        <f>MRS!H22</f>
        <v>0</v>
      </c>
      <c r="I22" s="95">
        <f>MRS!I22</f>
        <v>950</v>
      </c>
      <c r="J22" s="95">
        <f>MRS!J22</f>
        <v>950</v>
      </c>
      <c r="K22" s="96"/>
      <c r="O22" s="97"/>
      <c r="P22" s="97"/>
      <c r="R22" s="97"/>
    </row>
    <row r="23" spans="1:18" ht="54" customHeight="1">
      <c r="A23" s="21">
        <f>+MRS!A23</f>
        <v>2.12</v>
      </c>
      <c r="B23" s="178" t="str">
        <f>MRS!B23</f>
        <v>Ferrite content and ferrite scope</v>
      </c>
      <c r="C23" s="179"/>
      <c r="D23" s="180">
        <f>MRS!D23</f>
        <v>0</v>
      </c>
      <c r="E23" s="181"/>
      <c r="F23" s="182"/>
      <c r="G23" s="94" t="str">
        <f>MRS!G23</f>
        <v>Test</v>
      </c>
      <c r="H23" s="94">
        <f>MRS!H23</f>
        <v>0</v>
      </c>
      <c r="I23" s="95">
        <f>MRS!I23</f>
        <v>1100</v>
      </c>
      <c r="J23" s="95">
        <f>MRS!J23</f>
        <v>1100</v>
      </c>
      <c r="K23" s="96"/>
      <c r="O23" s="97"/>
      <c r="P23" s="97"/>
      <c r="R23" s="97"/>
    </row>
    <row r="24" spans="1:18" ht="54" customHeight="1">
      <c r="A24" s="21">
        <f>+MRS!A24</f>
        <v>0</v>
      </c>
      <c r="B24" s="178" t="str">
        <f>MRS!B24</f>
        <v>NDE for manifold (GEH LAB)</v>
      </c>
      <c r="C24" s="179"/>
      <c r="D24" s="180">
        <f>MRS!D24</f>
        <v>0</v>
      </c>
      <c r="E24" s="181"/>
      <c r="F24" s="182"/>
      <c r="G24" s="94">
        <f>MRS!G24</f>
        <v>0</v>
      </c>
      <c r="H24" s="94">
        <f>MRS!H24</f>
        <v>0</v>
      </c>
      <c r="I24" s="95">
        <f>MRS!I24</f>
        <v>0</v>
      </c>
      <c r="J24" s="95">
        <f>MRS!J24</f>
        <v>0</v>
      </c>
      <c r="K24" s="96"/>
      <c r="O24" s="97"/>
      <c r="P24" s="97"/>
      <c r="R24" s="97"/>
    </row>
    <row r="25" spans="1:18" ht="54" customHeight="1">
      <c r="A25" s="21" t="str">
        <f>+MRS!A25</f>
        <v>3.0</v>
      </c>
      <c r="B25" s="178" t="str">
        <f>MRS!B25</f>
        <v>PT-Manifold - 3A - 1 1/2  a Minimum required to offer 10 joints</v>
      </c>
      <c r="C25" s="179"/>
      <c r="D25" s="180">
        <f>MRS!D25</f>
        <v>0</v>
      </c>
      <c r="E25" s="181"/>
      <c r="F25" s="182"/>
      <c r="G25" s="94" t="str">
        <f>MRS!G25</f>
        <v>Joint</v>
      </c>
      <c r="H25" s="94">
        <f>MRS!H25</f>
        <v>0</v>
      </c>
      <c r="I25" s="95">
        <f>MRS!I25</f>
        <v>50</v>
      </c>
      <c r="J25" s="95">
        <f>MRS!J25</f>
        <v>50</v>
      </c>
      <c r="K25" s="96"/>
      <c r="O25" s="97"/>
      <c r="P25" s="97"/>
      <c r="R25" s="97"/>
    </row>
    <row r="26" spans="1:18" ht="54" customHeight="1">
      <c r="A26" s="21" t="str">
        <f>+MRS!A26</f>
        <v>4.0</v>
      </c>
      <c r="B26" s="178" t="str">
        <f>MRS!B26</f>
        <v>RT-Manifold - % - 1 1/2 - Minimum required to offer 10 joints</v>
      </c>
      <c r="C26" s="179"/>
      <c r="D26" s="180">
        <f>MRS!D26</f>
        <v>0</v>
      </c>
      <c r="E26" s="181"/>
      <c r="F26" s="182"/>
      <c r="G26" s="94" t="str">
        <f>MRS!G26</f>
        <v>Joint</v>
      </c>
      <c r="H26" s="94">
        <f>MRS!H26</f>
        <v>0</v>
      </c>
      <c r="I26" s="95">
        <f>MRS!I26</f>
        <v>120</v>
      </c>
      <c r="J26" s="95">
        <f>MRS!J26</f>
        <v>120</v>
      </c>
      <c r="K26" s="96"/>
      <c r="O26" s="97"/>
      <c r="P26" s="97"/>
      <c r="R26" s="97"/>
    </row>
    <row r="27" spans="1:18" ht="54" customHeight="1">
      <c r="A27" s="21" t="str">
        <f>+MRS!A27</f>
        <v>5.0</v>
      </c>
      <c r="B27" s="178" t="str">
        <f>MRS!B27</f>
        <v>LIQUID PENETRANT TESTING (PT) or MAGNETIC PARTICLE TESTING (MT) 
Liquid Penetrate Testing by ASNT— (ASNT CP‘189) Level II qualified technician‘ using Solvent removable or Water washable Penetrate and non-aqueous developer. Both visible and fluorescent(Ultraviolet lamp) methods available. Magnetic Particle Testing using dry/wet/continuous/residualmethods.
Using electromagnetic Yoke (AC/DC/HWDC) or permanent Yoke and dry powder or white contrastpaint/ Black ink. Use of B/C strips, ASTM field indicators etc.</v>
      </c>
      <c r="C27" s="179"/>
      <c r="D27" s="180">
        <f>MRS!D27</f>
        <v>0</v>
      </c>
      <c r="E27" s="181"/>
      <c r="F27" s="182"/>
      <c r="G27" s="94">
        <f>MRS!G27</f>
        <v>0</v>
      </c>
      <c r="H27" s="94">
        <f>MRS!H27</f>
        <v>0</v>
      </c>
      <c r="I27" s="95">
        <f>MRS!I27</f>
        <v>0</v>
      </c>
      <c r="J27" s="95">
        <f>MRS!J27</f>
        <v>0</v>
      </c>
      <c r="K27" s="96"/>
      <c r="O27" s="97"/>
      <c r="P27" s="97"/>
      <c r="R27" s="97"/>
    </row>
    <row r="28" spans="1:18" ht="54" customHeight="1">
      <c r="A28" s="21">
        <f>+MRS!A28</f>
        <v>0</v>
      </c>
      <c r="B28" s="178" t="str">
        <f>MRS!B28</f>
        <v>Prods, cable wrap and demagnetization techniques are avaitable for specialized applications.</v>
      </c>
      <c r="C28" s="179"/>
      <c r="D28" s="180">
        <f>MRS!D28</f>
        <v>0</v>
      </c>
      <c r="E28" s="181"/>
      <c r="F28" s="182"/>
      <c r="G28" s="94">
        <f>MRS!G28</f>
        <v>0</v>
      </c>
      <c r="H28" s="94">
        <f>MRS!H28</f>
        <v>0</v>
      </c>
      <c r="I28" s="95">
        <f>MRS!I28</f>
        <v>0</v>
      </c>
      <c r="J28" s="95">
        <f>MRS!J28</f>
        <v>0</v>
      </c>
      <c r="K28" s="96"/>
      <c r="O28" s="97"/>
      <c r="P28" s="97"/>
      <c r="R28" s="97"/>
    </row>
    <row r="29" spans="1:18" ht="54" customHeight="1">
      <c r="A29" s="21">
        <f>+MRS!A29</f>
        <v>5.0999999999999996</v>
      </c>
      <c r="B29" s="178" t="str">
        <f>MRS!B29</f>
        <v>Minimum callout charge</v>
      </c>
      <c r="C29" s="179"/>
      <c r="D29" s="180">
        <f>MRS!D29</f>
        <v>0</v>
      </c>
      <c r="E29" s="181"/>
      <c r="F29" s="182"/>
      <c r="G29" s="94" t="str">
        <f>MRS!G29</f>
        <v>10 Hrs</v>
      </c>
      <c r="H29" s="94">
        <f>MRS!H29</f>
        <v>0</v>
      </c>
      <c r="I29" s="95">
        <f>MRS!I29</f>
        <v>900</v>
      </c>
      <c r="J29" s="95">
        <f>MRS!J29</f>
        <v>900</v>
      </c>
      <c r="K29" s="96"/>
      <c r="O29" s="97"/>
      <c r="P29" s="97"/>
      <c r="R29" s="97"/>
    </row>
    <row r="30" spans="1:18" ht="54" customHeight="1">
      <c r="A30" s="21">
        <f>+MRS!A30</f>
        <v>5.2</v>
      </c>
      <c r="B30" s="178" t="str">
        <f>MRS!B30</f>
        <v>Over Time exceeds than 10 Hrs. and standby</v>
      </c>
      <c r="C30" s="179"/>
      <c r="D30" s="180">
        <f>MRS!D30</f>
        <v>0</v>
      </c>
      <c r="E30" s="181"/>
      <c r="F30" s="182"/>
      <c r="G30" s="94" t="str">
        <f>MRS!G30</f>
        <v>Hr</v>
      </c>
      <c r="H30" s="94">
        <f>MRS!H30</f>
        <v>0</v>
      </c>
      <c r="I30" s="95">
        <f>MRS!I30</f>
        <v>90</v>
      </c>
      <c r="J30" s="95">
        <f>MRS!J30</f>
        <v>90</v>
      </c>
      <c r="K30" s="96"/>
      <c r="O30" s="97"/>
      <c r="P30" s="97"/>
      <c r="R30" s="97"/>
    </row>
    <row r="31" spans="1:18" ht="54" customHeight="1">
      <c r="A31" s="21">
        <f>+MRS!A31</f>
        <v>5.3</v>
      </c>
      <c r="B31" s="178" t="str">
        <f>MRS!B31</f>
        <v>Consumables</v>
      </c>
      <c r="C31" s="179"/>
      <c r="D31" s="180">
        <f>MRS!D31</f>
        <v>0</v>
      </c>
      <c r="E31" s="181"/>
      <c r="F31" s="182"/>
      <c r="G31" s="94" t="str">
        <f>MRS!G31</f>
        <v>Can</v>
      </c>
      <c r="H31" s="94">
        <f>MRS!H31</f>
        <v>0</v>
      </c>
      <c r="I31" s="95">
        <f>MRS!I31</f>
        <v>41</v>
      </c>
      <c r="J31" s="95">
        <f>MRS!J31</f>
        <v>41</v>
      </c>
      <c r="K31" s="96"/>
      <c r="O31" s="97"/>
      <c r="P31" s="97"/>
      <c r="R31" s="97"/>
    </row>
    <row r="32" spans="1:18" ht="54" customHeight="1">
      <c r="A32" s="21" t="str">
        <f>+MRS!A32</f>
        <v>6.0</v>
      </c>
      <c r="B32" s="178" t="str">
        <f>MRS!B32</f>
        <v>HARDNESS TESTING 
Minimum callout charge</v>
      </c>
      <c r="C32" s="179"/>
      <c r="D32" s="180">
        <f>MRS!D32</f>
        <v>0</v>
      </c>
      <c r="E32" s="181"/>
      <c r="F32" s="182"/>
      <c r="G32" s="94" t="str">
        <f>MRS!G32</f>
        <v>10 Hrs</v>
      </c>
      <c r="H32" s="94">
        <f>MRS!H32</f>
        <v>0</v>
      </c>
      <c r="I32" s="95">
        <f>MRS!I32</f>
        <v>1200</v>
      </c>
      <c r="J32" s="95">
        <f>MRS!J32</f>
        <v>1200</v>
      </c>
      <c r="K32" s="96"/>
      <c r="O32" s="97"/>
      <c r="P32" s="97"/>
      <c r="R32" s="97"/>
    </row>
    <row r="33" spans="1:18" ht="54" customHeight="1">
      <c r="A33" s="21">
        <f>+MRS!A33</f>
        <v>6.1</v>
      </c>
      <c r="B33" s="178" t="str">
        <f>MRS!B33</f>
        <v>OverTime exceeds than 10 Hrs. and standby</v>
      </c>
      <c r="C33" s="179"/>
      <c r="D33" s="180">
        <f>MRS!D33</f>
        <v>0</v>
      </c>
      <c r="E33" s="181"/>
      <c r="F33" s="182"/>
      <c r="G33" s="94" t="str">
        <f>MRS!G33</f>
        <v>Hr</v>
      </c>
      <c r="H33" s="94">
        <f>MRS!H33</f>
        <v>0</v>
      </c>
      <c r="I33" s="95">
        <f>MRS!I33</f>
        <v>120</v>
      </c>
      <c r="J33" s="95">
        <f>MRS!J33</f>
        <v>120</v>
      </c>
      <c r="K33" s="96"/>
      <c r="O33" s="97"/>
      <c r="P33" s="97"/>
      <c r="R33" s="97"/>
    </row>
    <row r="34" spans="1:18" ht="54" customHeight="1">
      <c r="A34" s="21">
        <f>+MRS!A34</f>
        <v>6.2</v>
      </c>
      <c r="B34" s="178" t="str">
        <f>MRS!B34</f>
        <v>Hardness Bar (optional)</v>
      </c>
      <c r="C34" s="179"/>
      <c r="D34" s="180">
        <f>MRS!D34</f>
        <v>0</v>
      </c>
      <c r="E34" s="181"/>
      <c r="F34" s="182"/>
      <c r="G34" s="94">
        <f>MRS!G34</f>
        <v>1</v>
      </c>
      <c r="H34" s="94">
        <f>MRS!H34</f>
        <v>0</v>
      </c>
      <c r="I34" s="95">
        <f>MRS!I34</f>
        <v>135</v>
      </c>
      <c r="J34" s="95">
        <f>MRS!J34</f>
        <v>135</v>
      </c>
      <c r="K34" s="96"/>
      <c r="O34" s="97"/>
      <c r="P34" s="97"/>
      <c r="R34" s="97"/>
    </row>
    <row r="35" spans="1:18" ht="54" customHeight="1">
      <c r="A35" s="21" t="str">
        <f>+MRS!A35</f>
        <v>7.0</v>
      </c>
      <c r="B35" s="178" t="str">
        <f>MRS!B35</f>
        <v>ULTRASONIC TESTING (UTSW) 
One-man Ultrasonic Testing Crew with equipment 08 hrs /day.
 A - Scan flaw detector with a necessary set of approved  
calibration, probes, Couplant and other accessories. 
UT—ASNT (ASNT CP~189) —Level ll qualified technician.</v>
      </c>
      <c r="C35" s="179"/>
      <c r="D35" s="180">
        <f>MRS!D35</f>
        <v>0</v>
      </c>
      <c r="E35" s="181"/>
      <c r="F35" s="182"/>
      <c r="G35" s="94" t="str">
        <f>MRS!G35</f>
        <v>10 Hrs</v>
      </c>
      <c r="H35" s="94">
        <f>MRS!H35</f>
        <v>0</v>
      </c>
      <c r="I35" s="95">
        <f>MRS!I35</f>
        <v>1200</v>
      </c>
      <c r="J35" s="95">
        <f>MRS!J35</f>
        <v>1200</v>
      </c>
      <c r="K35" s="96"/>
      <c r="O35" s="97"/>
      <c r="P35" s="97"/>
      <c r="R35" s="97"/>
    </row>
    <row r="36" spans="1:18" ht="54" customHeight="1">
      <c r="A36" s="21">
        <f>+MRS!A36</f>
        <v>7.1</v>
      </c>
      <c r="B36" s="178" t="str">
        <f>MRS!B36</f>
        <v>Overtime more than 10 hours</v>
      </c>
      <c r="C36" s="179"/>
      <c r="D36" s="180">
        <f>MRS!D36</f>
        <v>0</v>
      </c>
      <c r="E36" s="181"/>
      <c r="F36" s="182"/>
      <c r="G36" s="94" t="str">
        <f>MRS!G36</f>
        <v>10 Hrs</v>
      </c>
      <c r="H36" s="94">
        <f>MRS!H36</f>
        <v>0</v>
      </c>
      <c r="I36" s="95">
        <f>MRS!I36</f>
        <v>120</v>
      </c>
      <c r="J36" s="95">
        <f>MRS!J36</f>
        <v>120</v>
      </c>
      <c r="K36" s="96"/>
      <c r="O36" s="97"/>
      <c r="P36" s="97"/>
      <c r="R36" s="97"/>
    </row>
    <row r="37" spans="1:18" ht="54" customHeight="1">
      <c r="A37" s="21" t="str">
        <f>+MRS!A37</f>
        <v>8.0</v>
      </c>
      <c r="B37" s="178" t="str">
        <f>MRS!B37</f>
        <v>Positive Material Identification (XRF)
Minimum calloutcharge</v>
      </c>
      <c r="C37" s="179"/>
      <c r="D37" s="180">
        <f>MRS!D37</f>
        <v>0</v>
      </c>
      <c r="E37" s="181"/>
      <c r="F37" s="182"/>
      <c r="G37" s="94" t="str">
        <f>MRS!G37</f>
        <v>10 Hrs</v>
      </c>
      <c r="H37" s="94">
        <f>MRS!H37</f>
        <v>0</v>
      </c>
      <c r="I37" s="95">
        <f>MRS!I37</f>
        <v>1200</v>
      </c>
      <c r="J37" s="95">
        <f>MRS!J37</f>
        <v>1200</v>
      </c>
      <c r="K37" s="96"/>
      <c r="O37" s="97"/>
      <c r="P37" s="97"/>
      <c r="R37" s="97"/>
    </row>
    <row r="38" spans="1:18" ht="54" customHeight="1">
      <c r="A38" s="21">
        <f>+MRS!A38</f>
        <v>8.1</v>
      </c>
      <c r="B38" s="178" t="str">
        <f>MRS!B38</f>
        <v>OverTime exceed than 10 Hrs. and standby</v>
      </c>
      <c r="C38" s="179"/>
      <c r="D38" s="180">
        <f>MRS!D38</f>
        <v>0</v>
      </c>
      <c r="E38" s="181"/>
      <c r="F38" s="182"/>
      <c r="G38" s="94" t="str">
        <f>MRS!G38</f>
        <v>Hr</v>
      </c>
      <c r="H38" s="94">
        <f>MRS!H38</f>
        <v>0</v>
      </c>
      <c r="I38" s="95">
        <f>MRS!I38</f>
        <v>150</v>
      </c>
      <c r="J38" s="95">
        <f>MRS!J38</f>
        <v>150</v>
      </c>
      <c r="K38" s="96"/>
      <c r="O38" s="97"/>
      <c r="P38" s="97"/>
      <c r="R38" s="97"/>
    </row>
    <row r="39" spans="1:18" ht="54" customHeight="1">
      <c r="A39" s="21" t="str">
        <f>+MRS!A39</f>
        <v>9.0</v>
      </c>
      <c r="B39" s="178" t="str">
        <f>MRS!B39</f>
        <v>Positive Material Identification (Carbon detection)
Minimum callout charge</v>
      </c>
      <c r="C39" s="179"/>
      <c r="D39" s="180">
        <f>MRS!D39</f>
        <v>0</v>
      </c>
      <c r="E39" s="181"/>
      <c r="F39" s="182"/>
      <c r="G39" s="94" t="str">
        <f>MRS!G39</f>
        <v>10 hrs</v>
      </c>
      <c r="H39" s="94">
        <f>MRS!H39</f>
        <v>0</v>
      </c>
      <c r="I39" s="95">
        <f>MRS!I39</f>
        <v>2100</v>
      </c>
      <c r="J39" s="95">
        <f>MRS!J39</f>
        <v>2100</v>
      </c>
      <c r="K39" s="96"/>
      <c r="O39" s="97"/>
      <c r="P39" s="97"/>
      <c r="R39" s="97"/>
    </row>
    <row r="40" spans="1:18" ht="54" customHeight="1">
      <c r="A40" s="21">
        <f>+MRS!A40</f>
        <v>9.1</v>
      </c>
      <c r="B40" s="178" t="str">
        <f>MRS!B40</f>
        <v>Over Time exceeds than 10 Hrs. and standby</v>
      </c>
      <c r="C40" s="179"/>
      <c r="D40" s="180">
        <f>MRS!D40</f>
        <v>0</v>
      </c>
      <c r="E40" s="181"/>
      <c r="F40" s="182"/>
      <c r="G40" s="94" t="str">
        <f>MRS!G40</f>
        <v>Hr</v>
      </c>
      <c r="H40" s="94">
        <f>MRS!H40</f>
        <v>0</v>
      </c>
      <c r="I40" s="95">
        <f>MRS!I40</f>
        <v>210</v>
      </c>
      <c r="J40" s="95">
        <f>MRS!J40</f>
        <v>210</v>
      </c>
      <c r="K40" s="96"/>
      <c r="O40" s="97"/>
      <c r="P40" s="97"/>
      <c r="R40" s="97"/>
    </row>
    <row r="41" spans="1:18" ht="54" customHeight="1">
      <c r="A41" s="21" t="str">
        <f>+MRS!A41</f>
        <v>10.0</v>
      </c>
      <c r="B41" s="178" t="str">
        <f>MRS!B41</f>
        <v>Borescope
Borescope technician with Equipment with minimum charge</v>
      </c>
      <c r="C41" s="179"/>
      <c r="D41" s="180">
        <f>MRS!D41</f>
        <v>0</v>
      </c>
      <c r="E41" s="181"/>
      <c r="F41" s="182"/>
      <c r="G41" s="94" t="str">
        <f>MRS!G41</f>
        <v>10 hrs</v>
      </c>
      <c r="H41" s="94">
        <f>MRS!H41</f>
        <v>0</v>
      </c>
      <c r="I41" s="95">
        <f>MRS!I41</f>
        <v>1400</v>
      </c>
      <c r="J41" s="95">
        <f>MRS!J41</f>
        <v>1400</v>
      </c>
      <c r="K41" s="96"/>
      <c r="O41" s="97"/>
      <c r="P41" s="97"/>
      <c r="R41" s="97"/>
    </row>
    <row r="42" spans="1:18" ht="54" customHeight="1">
      <c r="A42" s="21">
        <f>+MRS!A42</f>
        <v>10.1</v>
      </c>
      <c r="B42" s="178" t="str">
        <f>MRS!B42</f>
        <v>OverTime exceeding 10 Hrs. or stand by</v>
      </c>
      <c r="C42" s="179"/>
      <c r="D42" s="180">
        <f>MRS!D42</f>
        <v>0</v>
      </c>
      <c r="E42" s="181"/>
      <c r="F42" s="182"/>
      <c r="G42" s="94" t="str">
        <f>MRS!G42</f>
        <v>Hr</v>
      </c>
      <c r="H42" s="94">
        <f>MRS!H42</f>
        <v>0</v>
      </c>
      <c r="I42" s="95">
        <f>MRS!I42</f>
        <v>140</v>
      </c>
      <c r="J42" s="95">
        <f>MRS!J42</f>
        <v>140</v>
      </c>
      <c r="K42" s="96"/>
      <c r="O42" s="97"/>
      <c r="P42" s="97"/>
      <c r="R42" s="97"/>
    </row>
  </sheetData>
  <mergeCells count="84">
    <mergeCell ref="B9:C9"/>
    <mergeCell ref="D9:F9"/>
    <mergeCell ref="B15:C15"/>
    <mergeCell ref="D15:F15"/>
    <mergeCell ref="B16:C16"/>
    <mergeCell ref="D16:F16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17:C17"/>
    <mergeCell ref="D17:F17"/>
    <mergeCell ref="B18:C18"/>
    <mergeCell ref="D18:F18"/>
    <mergeCell ref="B19:C19"/>
    <mergeCell ref="D19:F19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B25:C25"/>
    <mergeCell ref="D25:F25"/>
    <mergeCell ref="B26:C26"/>
    <mergeCell ref="D26:F26"/>
    <mergeCell ref="B27:C27"/>
    <mergeCell ref="D27:F27"/>
    <mergeCell ref="B28:C28"/>
    <mergeCell ref="D28:F28"/>
    <mergeCell ref="B29:C29"/>
    <mergeCell ref="D29:F29"/>
    <mergeCell ref="B30:C30"/>
    <mergeCell ref="D30:F30"/>
    <mergeCell ref="B31:C31"/>
    <mergeCell ref="D31:F31"/>
    <mergeCell ref="B32:C32"/>
    <mergeCell ref="D32:F32"/>
    <mergeCell ref="B33:C33"/>
    <mergeCell ref="D33:F33"/>
    <mergeCell ref="B34:C34"/>
    <mergeCell ref="D34:F34"/>
    <mergeCell ref="B35:C35"/>
    <mergeCell ref="D35:F35"/>
    <mergeCell ref="B36:C36"/>
    <mergeCell ref="D36:F36"/>
    <mergeCell ref="B37:C37"/>
    <mergeCell ref="D37:F37"/>
    <mergeCell ref="B41:C41"/>
    <mergeCell ref="D41:F41"/>
    <mergeCell ref="B42:C42"/>
    <mergeCell ref="D42:F42"/>
    <mergeCell ref="B38:C38"/>
    <mergeCell ref="D38:F38"/>
    <mergeCell ref="B39:C39"/>
    <mergeCell ref="D39:F39"/>
    <mergeCell ref="B40:C40"/>
    <mergeCell ref="D40:F4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59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topLeftCell="A30" zoomScale="130" zoomScaleSheetLayoutView="130" workbookViewId="0">
      <selection activeCell="T61" sqref="T61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102</v>
      </c>
    </row>
    <row r="3" spans="2:13" s="22" customFormat="1">
      <c r="M3" s="24" t="s">
        <v>25</v>
      </c>
    </row>
    <row r="4" spans="2:13" s="22" customFormat="1">
      <c r="M4" s="24" t="s">
        <v>26</v>
      </c>
    </row>
    <row r="5" spans="2:13" s="22" customFormat="1">
      <c r="B5" s="25" t="s">
        <v>27</v>
      </c>
      <c r="M5" s="24" t="s">
        <v>28</v>
      </c>
    </row>
    <row r="6" spans="2:13" s="22" customFormat="1">
      <c r="M6" s="24" t="s">
        <v>29</v>
      </c>
    </row>
    <row r="7" spans="2:13">
      <c r="M7" s="27"/>
    </row>
    <row r="8" spans="2:13">
      <c r="M8" s="27"/>
    </row>
    <row r="9" spans="2:13" s="74" customFormat="1" ht="13.5">
      <c r="B9" s="72" t="s">
        <v>30</v>
      </c>
      <c r="C9" s="73" t="s">
        <v>166</v>
      </c>
      <c r="D9" s="39"/>
      <c r="E9" s="39"/>
    </row>
    <row r="10" spans="2:13" s="39" customFormat="1">
      <c r="B10" s="72"/>
      <c r="C10" s="39" t="s">
        <v>31</v>
      </c>
      <c r="D10" s="76" t="s">
        <v>106</v>
      </c>
      <c r="J10" s="39" t="s">
        <v>32</v>
      </c>
      <c r="K10" s="194">
        <f>MRS!L3</f>
        <v>45780</v>
      </c>
      <c r="L10" s="195"/>
      <c r="M10" s="195"/>
    </row>
    <row r="11" spans="2:13" s="39" customFormat="1">
      <c r="B11" s="72"/>
      <c r="C11" s="75" t="s">
        <v>33</v>
      </c>
      <c r="D11" s="76" t="s">
        <v>107</v>
      </c>
      <c r="J11" s="39" t="s">
        <v>34</v>
      </c>
      <c r="K11" s="196" t="str">
        <f>SUBSTITUTE(SUBSTITUTE(+MRS!A3,"  MRS No : ",""),"-MRS","-PO")</f>
        <v>SAC2-DS-PO-0064</v>
      </c>
      <c r="L11" s="196"/>
      <c r="M11" s="196"/>
    </row>
    <row r="12" spans="2:13" s="39" customFormat="1">
      <c r="B12" s="72"/>
      <c r="C12" s="75" t="s">
        <v>35</v>
      </c>
      <c r="D12" s="39" t="s">
        <v>164</v>
      </c>
      <c r="J12" s="39" t="s">
        <v>36</v>
      </c>
    </row>
    <row r="13" spans="2:13" s="39" customFormat="1">
      <c r="B13" s="72"/>
      <c r="C13" s="77"/>
      <c r="D13" s="76" t="s">
        <v>167</v>
      </c>
      <c r="J13" s="39" t="s">
        <v>37</v>
      </c>
    </row>
    <row r="14" spans="2:13" s="39" customFormat="1">
      <c r="B14" s="72"/>
      <c r="C14" s="77" t="s">
        <v>108</v>
      </c>
      <c r="J14" s="39" t="s">
        <v>38</v>
      </c>
      <c r="K14" s="39" t="s">
        <v>169</v>
      </c>
    </row>
    <row r="15" spans="2:13" s="39" customFormat="1">
      <c r="B15" s="72"/>
      <c r="C15" s="77" t="s">
        <v>168</v>
      </c>
      <c r="J15" s="39" t="s">
        <v>39</v>
      </c>
      <c r="K15" s="78">
        <v>45763</v>
      </c>
    </row>
    <row r="16" spans="2:13" s="39" customFormat="1">
      <c r="C16" s="77"/>
      <c r="K16" s="78"/>
    </row>
    <row r="17" spans="2:13" ht="12" customHeight="1">
      <c r="C17" s="29"/>
      <c r="K17" s="30"/>
    </row>
    <row r="18" spans="2:13" ht="20.25">
      <c r="B18" s="197" t="s">
        <v>40</v>
      </c>
      <c r="C18" s="197"/>
      <c r="D18" s="197"/>
      <c r="E18" s="197"/>
      <c r="F18" s="197"/>
      <c r="G18" s="197"/>
      <c r="H18" s="197"/>
      <c r="I18" s="197"/>
      <c r="J18" s="197"/>
      <c r="K18" s="197"/>
      <c r="L18" s="197"/>
      <c r="M18" s="197"/>
    </row>
    <row r="19" spans="2:13" ht="12" customHeight="1"/>
    <row r="20" spans="2:13" s="31" customFormat="1" ht="12" customHeight="1">
      <c r="B20" s="191" t="s">
        <v>41</v>
      </c>
      <c r="C20" s="191"/>
      <c r="D20" s="191"/>
      <c r="E20" s="191"/>
      <c r="F20" s="191"/>
      <c r="G20" s="191"/>
      <c r="H20" s="191"/>
      <c r="I20" s="191"/>
      <c r="J20" s="191"/>
      <c r="K20" s="191"/>
      <c r="L20" s="191"/>
      <c r="M20" s="191"/>
    </row>
    <row r="21" spans="2:13" s="31" customFormat="1" ht="12" customHeight="1">
      <c r="B21" s="191" t="s">
        <v>42</v>
      </c>
      <c r="C21" s="191"/>
      <c r="D21" s="191"/>
      <c r="E21" s="191"/>
      <c r="F21" s="191"/>
      <c r="G21" s="191"/>
      <c r="H21" s="191"/>
      <c r="I21" s="191"/>
      <c r="J21" s="191"/>
      <c r="K21" s="191"/>
      <c r="L21" s="191"/>
      <c r="M21" s="191"/>
    </row>
    <row r="22" spans="2:13" s="31" customFormat="1" ht="12" customHeight="1">
      <c r="B22" s="191" t="s">
        <v>43</v>
      </c>
      <c r="C22" s="191"/>
      <c r="D22" s="191"/>
      <c r="E22" s="191"/>
      <c r="F22" s="191"/>
      <c r="G22" s="191"/>
      <c r="H22" s="191"/>
      <c r="I22" s="191"/>
      <c r="J22" s="191"/>
      <c r="K22" s="191"/>
      <c r="L22" s="191"/>
      <c r="M22" s="191"/>
    </row>
    <row r="23" spans="2:13" ht="6.95" customHeight="1">
      <c r="B23" s="192"/>
      <c r="C23" s="192"/>
      <c r="D23" s="192"/>
      <c r="E23" s="192"/>
      <c r="F23" s="192"/>
      <c r="G23" s="192"/>
      <c r="H23" s="192"/>
      <c r="I23" s="192"/>
      <c r="J23" s="192"/>
      <c r="K23" s="192"/>
      <c r="L23" s="192"/>
      <c r="M23" s="192"/>
    </row>
    <row r="24" spans="2:13" ht="6.95" customHeight="1">
      <c r="B24" s="193"/>
      <c r="C24" s="193"/>
      <c r="D24" s="193"/>
      <c r="E24" s="193"/>
      <c r="F24" s="193"/>
      <c r="G24" s="193"/>
      <c r="H24" s="193"/>
      <c r="I24" s="193"/>
      <c r="J24" s="193"/>
      <c r="K24" s="193"/>
      <c r="L24" s="193"/>
      <c r="M24" s="193"/>
    </row>
    <row r="25" spans="2:13" s="32" customFormat="1" ht="20.100000000000001" customHeight="1">
      <c r="B25" s="32">
        <v>1</v>
      </c>
      <c r="C25" s="32" t="s">
        <v>44</v>
      </c>
    </row>
    <row r="26" spans="2:13" s="39" customFormat="1" ht="15" customHeight="1">
      <c r="B26" s="73"/>
      <c r="C26" s="76" t="s">
        <v>170</v>
      </c>
      <c r="M26" s="79" t="s">
        <v>45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46</v>
      </c>
    </row>
    <row r="29" spans="2:13" ht="15" customHeight="1">
      <c r="B29" s="32"/>
      <c r="C29" s="26" t="s">
        <v>47</v>
      </c>
      <c r="E29" s="26" t="s">
        <v>48</v>
      </c>
      <c r="F29" s="189" t="s">
        <v>95</v>
      </c>
      <c r="G29" s="189"/>
      <c r="H29" s="33"/>
      <c r="M29" s="34"/>
    </row>
    <row r="30" spans="2:13" ht="15" customHeight="1">
      <c r="B30" s="32"/>
      <c r="C30" s="26" t="s">
        <v>49</v>
      </c>
      <c r="E30" s="26" t="s">
        <v>48</v>
      </c>
      <c r="F30" s="189"/>
      <c r="G30" s="189"/>
    </row>
    <row r="31" spans="2:13" ht="15" customHeight="1">
      <c r="B31" s="32"/>
      <c r="C31" s="26" t="s">
        <v>50</v>
      </c>
      <c r="D31" s="35"/>
      <c r="E31" s="26" t="s">
        <v>48</v>
      </c>
      <c r="F31" s="189"/>
      <c r="G31" s="189"/>
      <c r="H31" s="33"/>
    </row>
    <row r="32" spans="2:13" ht="5.25" customHeight="1">
      <c r="B32" s="32"/>
    </row>
    <row r="33" spans="2:13" ht="20.100000000000001" customHeight="1">
      <c r="B33" s="32">
        <v>3</v>
      </c>
      <c r="C33" s="32" t="s">
        <v>51</v>
      </c>
    </row>
    <row r="34" spans="2:13" ht="15" customHeight="1">
      <c r="B34" s="32"/>
      <c r="C34" s="22" t="s">
        <v>52</v>
      </c>
    </row>
    <row r="35" spans="2:13" ht="15" customHeight="1">
      <c r="B35" s="32"/>
      <c r="C35" s="22" t="s">
        <v>53</v>
      </c>
    </row>
    <row r="36" spans="2:13" ht="15" customHeight="1">
      <c r="B36" s="32"/>
      <c r="C36" s="22" t="s">
        <v>54</v>
      </c>
    </row>
    <row r="37" spans="2:13" ht="11.1" customHeight="1">
      <c r="B37" s="32"/>
    </row>
    <row r="38" spans="2:13" ht="20.100000000000001" customHeight="1">
      <c r="B38" s="32">
        <v>4</v>
      </c>
      <c r="C38" s="32" t="s">
        <v>55</v>
      </c>
    </row>
    <row r="39" spans="2:13" ht="15" customHeight="1">
      <c r="B39" s="32"/>
      <c r="C39" s="26" t="s">
        <v>56</v>
      </c>
    </row>
    <row r="40" spans="2:13" ht="11.1" customHeight="1">
      <c r="B40" s="32"/>
    </row>
    <row r="41" spans="2:13" ht="20.100000000000001" customHeight="1">
      <c r="B41" s="32">
        <v>5</v>
      </c>
      <c r="C41" s="32" t="s">
        <v>57</v>
      </c>
    </row>
    <row r="42" spans="2:13" ht="15" customHeight="1">
      <c r="B42" s="32"/>
      <c r="C42" s="36" t="s">
        <v>58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59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60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61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62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4.5" customHeight="1">
      <c r="B47" s="32"/>
    </row>
    <row r="48" spans="2:13" ht="20.100000000000001" customHeight="1">
      <c r="B48" s="32">
        <v>6</v>
      </c>
      <c r="C48" s="32" t="s">
        <v>63</v>
      </c>
    </row>
    <row r="49" spans="1:16" s="39" customFormat="1" ht="15" customHeight="1">
      <c r="B49" s="80" t="s">
        <v>64</v>
      </c>
      <c r="C49" s="81" t="s">
        <v>101</v>
      </c>
      <c r="P49" s="82"/>
    </row>
    <row r="50" spans="1:16" s="83" customFormat="1" ht="15" customHeight="1">
      <c r="B50" s="84" t="s">
        <v>64</v>
      </c>
      <c r="C50" s="81" t="s">
        <v>91</v>
      </c>
    </row>
    <row r="51" spans="1:16" s="83" customFormat="1" ht="15" customHeight="1">
      <c r="B51" s="84" t="s">
        <v>64</v>
      </c>
      <c r="C51" s="81" t="s">
        <v>90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65</v>
      </c>
      <c r="J56" s="32" t="s">
        <v>66</v>
      </c>
    </row>
    <row r="57" spans="1:16" ht="40.5" customHeight="1"/>
    <row r="58" spans="1:16" ht="18" customHeight="1">
      <c r="B58" s="26" t="s">
        <v>67</v>
      </c>
      <c r="J58" s="26" t="s">
        <v>67</v>
      </c>
    </row>
    <row r="59" spans="1:16" ht="18" customHeight="1">
      <c r="B59" s="26" t="s">
        <v>68</v>
      </c>
      <c r="J59" s="26" t="s">
        <v>69</v>
      </c>
      <c r="K59" s="22" t="str">
        <f>UPPER(D12)</f>
        <v>RIYAS KHAN U</v>
      </c>
    </row>
    <row r="60" spans="1:16" ht="18" customHeight="1">
      <c r="B60" s="26" t="s">
        <v>70</v>
      </c>
      <c r="J60" s="26" t="s">
        <v>71</v>
      </c>
      <c r="K60" s="22" t="s">
        <v>165</v>
      </c>
    </row>
    <row r="61" spans="1:16" ht="15" customHeight="1">
      <c r="B61" s="26" t="s">
        <v>72</v>
      </c>
      <c r="J61" s="26" t="s">
        <v>73</v>
      </c>
    </row>
    <row r="62" spans="1:16" s="28" customFormat="1" ht="15" customHeight="1">
      <c r="B62" s="25" t="s">
        <v>103</v>
      </c>
      <c r="J62" s="190" t="str">
        <f>C9</f>
        <v>GEH(Gulf Engineering House )</v>
      </c>
      <c r="K62" s="190"/>
      <c r="L62" s="190"/>
      <c r="M62" s="190"/>
      <c r="N62" s="190"/>
    </row>
    <row r="63" spans="1:16" ht="27.95" customHeight="1">
      <c r="A63" s="70" t="s">
        <v>74</v>
      </c>
      <c r="B63" s="70"/>
      <c r="C63" s="70"/>
      <c r="D63" s="70"/>
      <c r="E63" s="70"/>
      <c r="F63" s="70"/>
      <c r="G63" s="70"/>
      <c r="H63" s="70"/>
      <c r="I63" s="70"/>
      <c r="J63" s="190"/>
      <c r="K63" s="190"/>
      <c r="L63" s="190"/>
      <c r="M63" s="190"/>
      <c r="N63" s="190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2">
    <mergeCell ref="K10:M10"/>
    <mergeCell ref="K11:M11"/>
    <mergeCell ref="B18:M18"/>
    <mergeCell ref="B20:M20"/>
    <mergeCell ref="B21:M21"/>
    <mergeCell ref="F31:G31"/>
    <mergeCell ref="J62:N63"/>
    <mergeCell ref="B22:M22"/>
    <mergeCell ref="B23:M23"/>
    <mergeCell ref="B24:M24"/>
    <mergeCell ref="F29:G29"/>
    <mergeCell ref="F30:G30"/>
  </mergeCells>
  <phoneticPr fontId="6" type="noConversion"/>
  <printOptions horizontalCentered="1"/>
  <pageMargins left="0.39370078740157499" right="0.39370078740157499" top="0.39370078740157499" bottom="0.143700787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53"/>
  <sheetViews>
    <sheetView showGridLines="0" view="pageBreakPreview" topLeftCell="A36" zoomScaleSheetLayoutView="100" zoomScalePageLayoutView="55" workbookViewId="0">
      <selection activeCell="K45" sqref="K45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6.285156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SAC2-DS-PO-0064</v>
      </c>
      <c r="C2" s="203" t="s">
        <v>76</v>
      </c>
      <c r="D2" s="203"/>
      <c r="E2" s="203"/>
      <c r="F2" s="203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45780</v>
      </c>
      <c r="C3" s="51"/>
      <c r="D3" s="52"/>
      <c r="E3" s="204" t="s">
        <v>78</v>
      </c>
      <c r="F3" s="204"/>
      <c r="G3" s="204"/>
      <c r="H3" s="204"/>
      <c r="I3" s="53"/>
    </row>
    <row r="4" spans="1:13" s="55" customFormat="1" ht="28.5" customHeight="1" thickTop="1">
      <c r="A4" s="205" t="s">
        <v>79</v>
      </c>
      <c r="B4" s="207" t="s">
        <v>80</v>
      </c>
      <c r="C4" s="208"/>
      <c r="D4" s="211" t="s">
        <v>81</v>
      </c>
      <c r="E4" s="211" t="s">
        <v>82</v>
      </c>
      <c r="F4" s="213" t="str">
        <f>'PO 1st page'!C9</f>
        <v>GEH(Gulf Engineering House )</v>
      </c>
      <c r="G4" s="214"/>
      <c r="H4" s="215" t="s">
        <v>83</v>
      </c>
      <c r="K4" s="56"/>
      <c r="L4" s="56"/>
      <c r="M4" s="56"/>
    </row>
    <row r="5" spans="1:13" s="55" customFormat="1" ht="21.95" customHeight="1">
      <c r="A5" s="206"/>
      <c r="B5" s="209"/>
      <c r="C5" s="210"/>
      <c r="D5" s="212"/>
      <c r="E5" s="212"/>
      <c r="F5" s="57" t="s">
        <v>84</v>
      </c>
      <c r="G5" s="57" t="s">
        <v>50</v>
      </c>
      <c r="H5" s="216"/>
      <c r="K5" s="56"/>
      <c r="L5" s="56"/>
      <c r="M5" s="56"/>
    </row>
    <row r="6" spans="1:13" s="55" customFormat="1" ht="39" customHeight="1">
      <c r="A6" s="85" t="str">
        <f>MRS!A6</f>
        <v>1.0</v>
      </c>
      <c r="B6" s="201" t="str">
        <f>+'MRS LIST'!B6</f>
        <v>Welder Qualification Testing (WQT) Services 
Mob, Demobilization Welding inspector charge for one day</v>
      </c>
      <c r="C6" s="202"/>
      <c r="D6" s="136" t="str">
        <f>+'MRS LIST'!G6</f>
        <v>10 hrs</v>
      </c>
      <c r="E6" s="137"/>
      <c r="F6" s="138">
        <f>+'MRS LIST'!I6</f>
        <v>1000</v>
      </c>
      <c r="G6" s="139">
        <f>+'MRS LIST'!J6</f>
        <v>1000</v>
      </c>
      <c r="H6" s="86" t="s">
        <v>163</v>
      </c>
      <c r="K6" s="87"/>
      <c r="L6" s="88"/>
      <c r="M6" s="56"/>
    </row>
    <row r="7" spans="1:13" s="55" customFormat="1" ht="26.25" customHeight="1">
      <c r="A7" s="85">
        <f>MRS!A7</f>
        <v>1.1000000000000001</v>
      </c>
      <c r="B7" s="201" t="str">
        <f>+'MRS LIST'!B7</f>
        <v>Overtime More than 10 hours</v>
      </c>
      <c r="C7" s="202"/>
      <c r="D7" s="136">
        <f>+'MRS LIST'!G7</f>
        <v>1</v>
      </c>
      <c r="E7" s="137"/>
      <c r="F7" s="138">
        <f>+'MRS LIST'!I7</f>
        <v>100</v>
      </c>
      <c r="G7" s="139">
        <f>+'MRS LIST'!J7</f>
        <v>100</v>
      </c>
      <c r="H7" s="86"/>
      <c r="K7" s="56"/>
      <c r="L7" s="56"/>
      <c r="M7" s="56"/>
    </row>
    <row r="8" spans="1:13" s="55" customFormat="1" ht="26.25" customHeight="1">
      <c r="A8" s="85">
        <f>MRS!A8</f>
        <v>1.2</v>
      </c>
      <c r="B8" s="201" t="str">
        <f>+'MRS LIST'!B8</f>
        <v>RT Test coupon up to 12mm thickness</v>
      </c>
      <c r="C8" s="202"/>
      <c r="D8" s="136" t="str">
        <f>+'MRS LIST'!G8</f>
        <v>EA</v>
      </c>
      <c r="E8" s="137"/>
      <c r="F8" s="138">
        <f>+'MRS LIST'!I8</f>
        <v>150</v>
      </c>
      <c r="G8" s="139">
        <f>+'MRS LIST'!J8</f>
        <v>150</v>
      </c>
      <c r="H8" s="89"/>
    </row>
    <row r="9" spans="1:13" s="55" customFormat="1" ht="26.25" customHeight="1">
      <c r="A9" s="85">
        <f>MRS!A9</f>
        <v>1.3</v>
      </c>
      <c r="B9" s="201" t="str">
        <f>+'MRS LIST'!B9</f>
        <v>RT Test coupon more than 12 mm thickness</v>
      </c>
      <c r="C9" s="202"/>
      <c r="D9" s="136" t="str">
        <f>+'MRS LIST'!G9</f>
        <v>EA</v>
      </c>
      <c r="E9" s="137"/>
      <c r="F9" s="138">
        <f>+'MRS LIST'!I9</f>
        <v>200</v>
      </c>
      <c r="G9" s="139">
        <f>+'MRS LIST'!J9</f>
        <v>200</v>
      </c>
      <c r="H9" s="89"/>
    </row>
    <row r="10" spans="1:13" s="55" customFormat="1" ht="26.25" customHeight="1">
      <c r="A10" s="85">
        <f>MRS!A10</f>
        <v>1.4</v>
      </c>
      <c r="B10" s="201" t="str">
        <f>+'MRS LIST'!B10</f>
        <v>Welder Card (include revalidation)</v>
      </c>
      <c r="C10" s="202"/>
      <c r="D10" s="136" t="str">
        <f>+'MRS LIST'!G10</f>
        <v>EA</v>
      </c>
      <c r="E10" s="137"/>
      <c r="F10" s="138">
        <f>+'MRS LIST'!I10</f>
        <v>200</v>
      </c>
      <c r="G10" s="139">
        <f>+'MRS LIST'!J10</f>
        <v>200</v>
      </c>
      <c r="H10" s="89"/>
    </row>
    <row r="11" spans="1:13" s="55" customFormat="1" ht="26.25" customHeight="1">
      <c r="A11" s="85" t="str">
        <f>MRS!A11</f>
        <v>2.0</v>
      </c>
      <c r="B11" s="201" t="str">
        <f>+'MRS LIST'!B11</f>
        <v>Welders Qualification Testing (PQR)</v>
      </c>
      <c r="C11" s="202"/>
      <c r="D11" s="136" t="str">
        <f>+'MRS LIST'!G11</f>
        <v>10 hrs</v>
      </c>
      <c r="E11" s="137"/>
      <c r="F11" s="138">
        <f>+'MRS LIST'!I11</f>
        <v>1200</v>
      </c>
      <c r="G11" s="139">
        <f>+'MRS LIST'!J11</f>
        <v>1200</v>
      </c>
      <c r="H11" s="89"/>
    </row>
    <row r="12" spans="1:13" s="55" customFormat="1" ht="26.25" customHeight="1">
      <c r="A12" s="85">
        <f>MRS!A12</f>
        <v>2.1</v>
      </c>
      <c r="B12" s="201" t="str">
        <f>+'MRS LIST'!B12</f>
        <v>Overtime More than 10 hours</v>
      </c>
      <c r="C12" s="202"/>
      <c r="D12" s="136">
        <f>+'MRS LIST'!G12</f>
        <v>1</v>
      </c>
      <c r="E12" s="137"/>
      <c r="F12" s="138">
        <f>+'MRS LIST'!I12</f>
        <v>120</v>
      </c>
      <c r="G12" s="139">
        <f>+'MRS LIST'!J12</f>
        <v>120</v>
      </c>
      <c r="H12" s="89"/>
    </row>
    <row r="13" spans="1:13" s="55" customFormat="1" ht="26.25" customHeight="1">
      <c r="A13" s="85">
        <f>MRS!A13</f>
        <v>2.2000000000000002</v>
      </c>
      <c r="B13" s="201" t="str">
        <f>+'MRS LIST'!B13</f>
        <v>Tensile Testing</v>
      </c>
      <c r="C13" s="202"/>
      <c r="D13" s="136" t="str">
        <f>+'MRS LIST'!G13</f>
        <v>Test</v>
      </c>
      <c r="E13" s="137"/>
      <c r="F13" s="138">
        <f>+'MRS LIST'!I13</f>
        <v>500</v>
      </c>
      <c r="G13" s="139">
        <f>+'MRS LIST'!J13</f>
        <v>500</v>
      </c>
      <c r="H13" s="89"/>
    </row>
    <row r="14" spans="1:13" s="55" customFormat="1" ht="26.25" customHeight="1">
      <c r="A14" s="85">
        <f>MRS!A14</f>
        <v>2.2999999999999998</v>
      </c>
      <c r="B14" s="201" t="str">
        <f>+'MRS LIST'!B14</f>
        <v>Bend Testing</v>
      </c>
      <c r="C14" s="202"/>
      <c r="D14" s="136" t="str">
        <f>+'MRS LIST'!G14</f>
        <v>Test</v>
      </c>
      <c r="E14" s="137"/>
      <c r="F14" s="138">
        <f>+'MRS LIST'!I14</f>
        <v>320</v>
      </c>
      <c r="G14" s="139">
        <f>+'MRS LIST'!J14</f>
        <v>320</v>
      </c>
      <c r="H14" s="89"/>
    </row>
    <row r="15" spans="1:13" s="55" customFormat="1" ht="26.25" customHeight="1">
      <c r="A15" s="85">
        <f>MRS!A15</f>
        <v>2.4</v>
      </c>
      <c r="B15" s="201" t="str">
        <f>+'MRS LIST'!B15</f>
        <v>Fillet BreakTest</v>
      </c>
      <c r="C15" s="202"/>
      <c r="D15" s="136" t="str">
        <f>+'MRS LIST'!G15</f>
        <v>Test</v>
      </c>
      <c r="E15" s="137"/>
      <c r="F15" s="138">
        <f>+'MRS LIST'!I15</f>
        <v>320</v>
      </c>
      <c r="G15" s="139">
        <f>+'MRS LIST'!J15</f>
        <v>320</v>
      </c>
      <c r="H15" s="89"/>
    </row>
    <row r="16" spans="1:13" s="55" customFormat="1" ht="26.25" customHeight="1">
      <c r="A16" s="85">
        <f>MRS!A16</f>
        <v>2.5</v>
      </c>
      <c r="B16" s="201" t="str">
        <f>+'MRS LIST'!B16</f>
        <v>Nick break test</v>
      </c>
      <c r="C16" s="202"/>
      <c r="D16" s="136" t="str">
        <f>+'MRS LIST'!G16</f>
        <v>Test</v>
      </c>
      <c r="E16" s="137"/>
      <c r="F16" s="138">
        <f>+'MRS LIST'!I16</f>
        <v>320</v>
      </c>
      <c r="G16" s="139">
        <f>+'MRS LIST'!J16</f>
        <v>320</v>
      </c>
      <c r="H16" s="89"/>
    </row>
    <row r="17" spans="1:8" s="55" customFormat="1" ht="26.25" customHeight="1">
      <c r="A17" s="85">
        <f>MRS!A17</f>
        <v>2.6</v>
      </c>
      <c r="B17" s="201" t="str">
        <f>+'MRS LIST'!B17</f>
        <v>Macro Test with Photograph</v>
      </c>
      <c r="C17" s="202"/>
      <c r="D17" s="136" t="str">
        <f>+'MRS LIST'!G17</f>
        <v>Test</v>
      </c>
      <c r="E17" s="137"/>
      <c r="F17" s="138">
        <f>+'MRS LIST'!I17</f>
        <v>360</v>
      </c>
      <c r="G17" s="139">
        <f>+'MRS LIST'!J17</f>
        <v>360</v>
      </c>
      <c r="H17" s="89"/>
    </row>
    <row r="18" spans="1:8" s="55" customFormat="1" ht="26.25" customHeight="1">
      <c r="A18" s="85">
        <f>MRS!A18</f>
        <v>2.7</v>
      </c>
      <c r="B18" s="201" t="str">
        <f>+'MRS LIST'!B18</f>
        <v>Section Test for Brazing</v>
      </c>
      <c r="C18" s="202"/>
      <c r="D18" s="136" t="str">
        <f>+'MRS LIST'!G18</f>
        <v>Test</v>
      </c>
      <c r="E18" s="137"/>
      <c r="F18" s="138">
        <f>+'MRS LIST'!I18</f>
        <v>360</v>
      </c>
      <c r="G18" s="139">
        <f>+'MRS LIST'!J18</f>
        <v>360</v>
      </c>
      <c r="H18" s="89"/>
    </row>
    <row r="19" spans="1:8" s="55" customFormat="1" ht="26.25" customHeight="1">
      <c r="A19" s="85">
        <f>MRS!A19</f>
        <v>2.8</v>
      </c>
      <c r="B19" s="201" t="str">
        <f>+'MRS LIST'!B19</f>
        <v>impact Testing (3 specimens per set)</v>
      </c>
      <c r="C19" s="202"/>
      <c r="D19" s="136" t="str">
        <f>+'MRS LIST'!G19</f>
        <v>Test</v>
      </c>
      <c r="E19" s="137"/>
      <c r="F19" s="138">
        <f>+'MRS LIST'!I19</f>
        <v>1100</v>
      </c>
      <c r="G19" s="139">
        <f>+'MRS LIST'!J19</f>
        <v>1100</v>
      </c>
      <c r="H19" s="89"/>
    </row>
    <row r="20" spans="1:8" s="55" customFormat="1" ht="26.25" customHeight="1">
      <c r="A20" s="85">
        <f>MRS!A20</f>
        <v>2.9</v>
      </c>
      <c r="B20" s="201" t="str">
        <f>+'MRS LIST'!B20</f>
        <v>Vickers Hardness Testing</v>
      </c>
      <c r="C20" s="202"/>
      <c r="D20" s="136" t="str">
        <f>+'MRS LIST'!G20</f>
        <v>Test</v>
      </c>
      <c r="E20" s="137"/>
      <c r="F20" s="138">
        <f>+'MRS LIST'!I20</f>
        <v>500</v>
      </c>
      <c r="G20" s="139">
        <f>+'MRS LIST'!J20</f>
        <v>500</v>
      </c>
      <c r="H20" s="89"/>
    </row>
    <row r="21" spans="1:8" s="55" customFormat="1" ht="26.25" customHeight="1">
      <c r="A21" s="85" t="str">
        <f>MRS!A21</f>
        <v>2.10</v>
      </c>
      <c r="B21" s="201" t="str">
        <f>+'MRS LIST'!B21</f>
        <v>Brinell HardnessTesting</v>
      </c>
      <c r="C21" s="202"/>
      <c r="D21" s="136" t="str">
        <f>+'MRS LIST'!G21</f>
        <v>Test</v>
      </c>
      <c r="E21" s="137"/>
      <c r="F21" s="138">
        <f>+'MRS LIST'!I21</f>
        <v>250</v>
      </c>
      <c r="G21" s="139">
        <f>+'MRS LIST'!J21</f>
        <v>250</v>
      </c>
      <c r="H21" s="89"/>
    </row>
    <row r="22" spans="1:8" s="55" customFormat="1" ht="26.25" customHeight="1">
      <c r="A22" s="85">
        <f>MRS!A22</f>
        <v>2.11</v>
      </c>
      <c r="B22" s="201" t="str">
        <f>+'MRS LIST'!B22</f>
        <v>Chemical Composition with 8 Elements by OES</v>
      </c>
      <c r="C22" s="202"/>
      <c r="D22" s="136" t="str">
        <f>+'MRS LIST'!G22</f>
        <v>Test</v>
      </c>
      <c r="E22" s="137"/>
      <c r="F22" s="138">
        <f>+'MRS LIST'!I22</f>
        <v>950</v>
      </c>
      <c r="G22" s="139">
        <f>+'MRS LIST'!J22</f>
        <v>950</v>
      </c>
      <c r="H22" s="89"/>
    </row>
    <row r="23" spans="1:8" s="55" customFormat="1" ht="28.5" customHeight="1">
      <c r="A23" s="85">
        <f>MRS!A23</f>
        <v>2.12</v>
      </c>
      <c r="B23" s="201" t="str">
        <f>+'MRS LIST'!B23</f>
        <v>Ferrite content and ferrite scope</v>
      </c>
      <c r="C23" s="202"/>
      <c r="D23" s="136" t="str">
        <f>+'MRS LIST'!G23</f>
        <v>Test</v>
      </c>
      <c r="E23" s="137"/>
      <c r="F23" s="138">
        <f>+'MRS LIST'!I23</f>
        <v>1100</v>
      </c>
      <c r="G23" s="139">
        <f>+'MRS LIST'!J23</f>
        <v>1100</v>
      </c>
      <c r="H23" s="89"/>
    </row>
    <row r="24" spans="1:8" s="55" customFormat="1" ht="28.5" customHeight="1">
      <c r="A24" s="85">
        <f>MRS!A24</f>
        <v>0</v>
      </c>
      <c r="B24" s="201" t="str">
        <f>+'MRS LIST'!B24</f>
        <v>NDE for manifold (GEH LAB)</v>
      </c>
      <c r="C24" s="202"/>
      <c r="D24" s="136">
        <f>+'MRS LIST'!G24</f>
        <v>0</v>
      </c>
      <c r="E24" s="137"/>
      <c r="F24" s="138">
        <f>+'MRS LIST'!I24</f>
        <v>0</v>
      </c>
      <c r="G24" s="139">
        <f>+'MRS LIST'!J24</f>
        <v>0</v>
      </c>
      <c r="H24" s="89"/>
    </row>
    <row r="25" spans="1:8" s="55" customFormat="1" ht="28.5" customHeight="1">
      <c r="A25" s="85" t="str">
        <f>MRS!A25</f>
        <v>3.0</v>
      </c>
      <c r="B25" s="201" t="str">
        <f>+'MRS LIST'!B25</f>
        <v>PT-Manifold - 3A - 1 1/2  a Minimum required to offer 10 joints</v>
      </c>
      <c r="C25" s="202"/>
      <c r="D25" s="136" t="str">
        <f>+'MRS LIST'!G25</f>
        <v>Joint</v>
      </c>
      <c r="E25" s="137"/>
      <c r="F25" s="138">
        <f>+'MRS LIST'!I25</f>
        <v>50</v>
      </c>
      <c r="G25" s="139">
        <f>+'MRS LIST'!J25</f>
        <v>50</v>
      </c>
      <c r="H25" s="89"/>
    </row>
    <row r="26" spans="1:8" s="55" customFormat="1" ht="28.5" customHeight="1">
      <c r="A26" s="85" t="str">
        <f>MRS!A26</f>
        <v>4.0</v>
      </c>
      <c r="B26" s="201" t="str">
        <f>+'MRS LIST'!B26</f>
        <v>RT-Manifold - % - 1 1/2 - Minimum required to offer 10 joints</v>
      </c>
      <c r="C26" s="202"/>
      <c r="D26" s="136" t="str">
        <f>+'MRS LIST'!G26</f>
        <v>Joint</v>
      </c>
      <c r="E26" s="137"/>
      <c r="F26" s="138">
        <f>+'MRS LIST'!I26</f>
        <v>120</v>
      </c>
      <c r="G26" s="139">
        <f>+'MRS LIST'!J26</f>
        <v>120</v>
      </c>
      <c r="H26" s="89"/>
    </row>
    <row r="27" spans="1:8" s="55" customFormat="1" ht="87.75" customHeight="1">
      <c r="A27" s="85" t="str">
        <f>MRS!A27</f>
        <v>5.0</v>
      </c>
      <c r="B27" s="198" t="str">
        <f>+'MRS LIST'!B27</f>
        <v>LIQUID PENETRANT TESTING (PT) or MAGNETIC PARTICLE TESTING (MT) 
Liquid Penetrate Testing by ASNT— (ASNT CP‘189) Level II qualified technician‘ using Solvent removable or Water washable Penetrate and non-aqueous developer. Both visible and fluorescent(Ultraviolet lamp) methods available. Magnetic Particle Testing using dry/wet/continuous/residualmethods.
Using electromagnetic Yoke (AC/DC/HWDC) or permanent Yoke and dry powder or white contrastpaint/ Black ink. Use of B/C strips, ASTM field indicators etc.</v>
      </c>
      <c r="C27" s="199"/>
      <c r="D27" s="199"/>
      <c r="E27" s="199"/>
      <c r="F27" s="200"/>
      <c r="G27" s="139">
        <f>+'MRS LIST'!J27</f>
        <v>0</v>
      </c>
      <c r="H27" s="89"/>
    </row>
    <row r="28" spans="1:8" s="55" customFormat="1" ht="49.5" customHeight="1">
      <c r="A28" s="85"/>
      <c r="B28" s="201" t="str">
        <f>+'MRS LIST'!B28</f>
        <v>Prods, cable wrap and demagnetization techniques are avaitable for specialized applications.</v>
      </c>
      <c r="C28" s="202"/>
      <c r="D28" s="136"/>
      <c r="E28" s="137"/>
      <c r="F28" s="138">
        <f>+'MRS LIST'!I28</f>
        <v>0</v>
      </c>
      <c r="G28" s="139">
        <f>+'MRS LIST'!J28</f>
        <v>0</v>
      </c>
      <c r="H28" s="89"/>
    </row>
    <row r="29" spans="1:8" s="55" customFormat="1" ht="49.5" customHeight="1">
      <c r="A29" s="85">
        <f>MRS!A29</f>
        <v>5.0999999999999996</v>
      </c>
      <c r="B29" s="201" t="str">
        <f>+'MRS LIST'!B29</f>
        <v>Minimum callout charge</v>
      </c>
      <c r="C29" s="202"/>
      <c r="D29" s="136" t="str">
        <f>+'MRS LIST'!G29</f>
        <v>10 Hrs</v>
      </c>
      <c r="E29" s="137"/>
      <c r="F29" s="138">
        <f>+'MRS LIST'!I29</f>
        <v>900</v>
      </c>
      <c r="G29" s="139">
        <f>+'MRS LIST'!J29</f>
        <v>900</v>
      </c>
      <c r="H29" s="89"/>
    </row>
    <row r="30" spans="1:8" s="55" customFormat="1" ht="49.5" customHeight="1">
      <c r="A30" s="85">
        <f>MRS!A30</f>
        <v>5.2</v>
      </c>
      <c r="B30" s="201" t="str">
        <f>+'MRS LIST'!B30</f>
        <v>Over Time exceeds than 10 Hrs. and standby</v>
      </c>
      <c r="C30" s="202"/>
      <c r="D30" s="136" t="str">
        <f>+'MRS LIST'!G30</f>
        <v>Hr</v>
      </c>
      <c r="E30" s="137"/>
      <c r="F30" s="138">
        <f>+'MRS LIST'!I30</f>
        <v>90</v>
      </c>
      <c r="G30" s="139">
        <f>+'MRS LIST'!J30</f>
        <v>90</v>
      </c>
      <c r="H30" s="89"/>
    </row>
    <row r="31" spans="1:8" s="55" customFormat="1" ht="49.5" customHeight="1">
      <c r="A31" s="85">
        <f>MRS!A31</f>
        <v>5.3</v>
      </c>
      <c r="B31" s="201" t="str">
        <f>+'MRS LIST'!B31</f>
        <v>Consumables</v>
      </c>
      <c r="C31" s="202"/>
      <c r="D31" s="136" t="str">
        <f>+'MRS LIST'!G31</f>
        <v>Can</v>
      </c>
      <c r="E31" s="137"/>
      <c r="F31" s="138">
        <f>+'MRS LIST'!I31</f>
        <v>41</v>
      </c>
      <c r="G31" s="139">
        <f>+'MRS LIST'!J31</f>
        <v>41</v>
      </c>
      <c r="H31" s="89"/>
    </row>
    <row r="32" spans="1:8" s="55" customFormat="1" ht="49.5" customHeight="1">
      <c r="A32" s="85" t="str">
        <f>MRS!A32</f>
        <v>6.0</v>
      </c>
      <c r="B32" s="201" t="str">
        <f>+'MRS LIST'!B32</f>
        <v>HARDNESS TESTING 
Minimum callout charge</v>
      </c>
      <c r="C32" s="202"/>
      <c r="D32" s="136" t="str">
        <f>+'MRS LIST'!G32</f>
        <v>10 Hrs</v>
      </c>
      <c r="E32" s="137"/>
      <c r="F32" s="138">
        <f>+'MRS LIST'!I32</f>
        <v>1200</v>
      </c>
      <c r="G32" s="139">
        <f>+'MRS LIST'!J32</f>
        <v>1200</v>
      </c>
      <c r="H32" s="89"/>
    </row>
    <row r="33" spans="1:9" s="55" customFormat="1" ht="49.5" customHeight="1">
      <c r="A33" s="85">
        <f>MRS!A33</f>
        <v>6.1</v>
      </c>
      <c r="B33" s="201" t="str">
        <f>+'MRS LIST'!B33</f>
        <v>OverTime exceeds than 10 Hrs. and standby</v>
      </c>
      <c r="C33" s="202"/>
      <c r="D33" s="136" t="str">
        <f>+'MRS LIST'!G33</f>
        <v>Hr</v>
      </c>
      <c r="E33" s="137"/>
      <c r="F33" s="138">
        <f>+'MRS LIST'!I33</f>
        <v>120</v>
      </c>
      <c r="G33" s="139">
        <f>+'MRS LIST'!J33</f>
        <v>120</v>
      </c>
      <c r="H33" s="89"/>
    </row>
    <row r="34" spans="1:9" s="55" customFormat="1" ht="49.5" customHeight="1">
      <c r="A34" s="85">
        <f>MRS!A34</f>
        <v>6.2</v>
      </c>
      <c r="B34" s="201" t="str">
        <f>+'MRS LIST'!B34</f>
        <v>Hardness Bar (optional)</v>
      </c>
      <c r="C34" s="202"/>
      <c r="D34" s="136">
        <f>+'MRS LIST'!G34</f>
        <v>1</v>
      </c>
      <c r="E34" s="137"/>
      <c r="F34" s="138">
        <f>+'MRS LIST'!I34</f>
        <v>135</v>
      </c>
      <c r="G34" s="139">
        <f>+'MRS LIST'!J34</f>
        <v>135</v>
      </c>
      <c r="H34" s="89"/>
    </row>
    <row r="35" spans="1:9" s="55" customFormat="1" ht="81" customHeight="1">
      <c r="A35" s="85" t="str">
        <f>MRS!A35</f>
        <v>7.0</v>
      </c>
      <c r="B35" s="201" t="str">
        <f>+'MRS LIST'!B35</f>
        <v>ULTRASONIC TESTING (UTSW) 
One-man Ultrasonic Testing Crew with equipment 08 hrs /day.
 A - Scan flaw detector with a necessary set of approved  
calibration, probes, Couplant and other accessories. 
UT—ASNT (ASNT CP~189) —Level ll qualified technician.</v>
      </c>
      <c r="C35" s="202"/>
      <c r="D35" s="136" t="str">
        <f>+'MRS LIST'!G35</f>
        <v>10 Hrs</v>
      </c>
      <c r="E35" s="137"/>
      <c r="F35" s="138">
        <f>+'MRS LIST'!I35</f>
        <v>1200</v>
      </c>
      <c r="G35" s="139">
        <f>+'MRS LIST'!J35</f>
        <v>1200</v>
      </c>
      <c r="H35" s="89"/>
    </row>
    <row r="36" spans="1:9" s="55" customFormat="1" ht="49.5" customHeight="1">
      <c r="A36" s="85">
        <f>MRS!A36</f>
        <v>7.1</v>
      </c>
      <c r="B36" s="201" t="str">
        <f>+'MRS LIST'!B36</f>
        <v>Overtime more than 10 hours</v>
      </c>
      <c r="C36" s="202"/>
      <c r="D36" s="136" t="str">
        <f>+'MRS LIST'!G36</f>
        <v>10 Hrs</v>
      </c>
      <c r="E36" s="137"/>
      <c r="F36" s="138">
        <f>+'MRS LIST'!I36</f>
        <v>120</v>
      </c>
      <c r="G36" s="139">
        <f>+'MRS LIST'!J36</f>
        <v>120</v>
      </c>
      <c r="H36" s="89"/>
    </row>
    <row r="37" spans="1:9" s="55" customFormat="1" ht="49.5" customHeight="1">
      <c r="A37" s="85" t="str">
        <f>MRS!A37</f>
        <v>8.0</v>
      </c>
      <c r="B37" s="201" t="str">
        <f>+'MRS LIST'!B37</f>
        <v>Positive Material Identification (XRF)
Minimum calloutcharge</v>
      </c>
      <c r="C37" s="202"/>
      <c r="D37" s="136" t="str">
        <f>+'MRS LIST'!G37</f>
        <v>10 Hrs</v>
      </c>
      <c r="E37" s="137"/>
      <c r="F37" s="138">
        <f>+'MRS LIST'!I37</f>
        <v>1200</v>
      </c>
      <c r="G37" s="139">
        <f>+'MRS LIST'!J37</f>
        <v>1200</v>
      </c>
      <c r="H37" s="89"/>
    </row>
    <row r="38" spans="1:9" s="55" customFormat="1" ht="49.5" customHeight="1">
      <c r="A38" s="85">
        <f>MRS!A38</f>
        <v>8.1</v>
      </c>
      <c r="B38" s="201" t="str">
        <f>+'MRS LIST'!B38</f>
        <v>OverTime exceed than 10 Hrs. and standby</v>
      </c>
      <c r="C38" s="202"/>
      <c r="D38" s="136" t="str">
        <f>+'MRS LIST'!G38</f>
        <v>Hr</v>
      </c>
      <c r="E38" s="137"/>
      <c r="F38" s="138">
        <f>+'MRS LIST'!I38</f>
        <v>150</v>
      </c>
      <c r="G38" s="139">
        <f>+'MRS LIST'!J38</f>
        <v>150</v>
      </c>
      <c r="H38" s="89"/>
    </row>
    <row r="39" spans="1:9" s="55" customFormat="1" ht="49.5" customHeight="1">
      <c r="A39" s="85" t="str">
        <f>MRS!A39</f>
        <v>9.0</v>
      </c>
      <c r="B39" s="201" t="str">
        <f>+'MRS LIST'!B39</f>
        <v>Positive Material Identification (Carbon detection)
Minimum callout charge</v>
      </c>
      <c r="C39" s="202"/>
      <c r="D39" s="136" t="str">
        <f>+'MRS LIST'!G39</f>
        <v>10 hrs</v>
      </c>
      <c r="E39" s="137"/>
      <c r="F39" s="138">
        <f>+'MRS LIST'!I39</f>
        <v>2100</v>
      </c>
      <c r="G39" s="139">
        <f>+'MRS LIST'!J39</f>
        <v>2100</v>
      </c>
      <c r="H39" s="89"/>
    </row>
    <row r="40" spans="1:9" s="55" customFormat="1" ht="49.5" customHeight="1">
      <c r="A40" s="85">
        <f>MRS!A40</f>
        <v>9.1</v>
      </c>
      <c r="B40" s="201" t="str">
        <f>+'MRS LIST'!B40</f>
        <v>Over Time exceeds than 10 Hrs. and standby</v>
      </c>
      <c r="C40" s="202"/>
      <c r="D40" s="136" t="str">
        <f>+'MRS LIST'!G40</f>
        <v>Hr</v>
      </c>
      <c r="E40" s="137"/>
      <c r="F40" s="138">
        <f>+'MRS LIST'!I40</f>
        <v>210</v>
      </c>
      <c r="G40" s="139">
        <f>+'MRS LIST'!J40</f>
        <v>210</v>
      </c>
      <c r="H40" s="89"/>
    </row>
    <row r="41" spans="1:9" s="55" customFormat="1" ht="49.5" customHeight="1">
      <c r="A41" s="85" t="str">
        <f>MRS!A41</f>
        <v>10.0</v>
      </c>
      <c r="B41" s="201" t="str">
        <f>+'MRS LIST'!B41</f>
        <v>Borescope
Borescope technician with Equipment with minimum charge</v>
      </c>
      <c r="C41" s="202"/>
      <c r="D41" s="136" t="str">
        <f>+'MRS LIST'!G41</f>
        <v>10 hrs</v>
      </c>
      <c r="E41" s="137"/>
      <c r="F41" s="138">
        <f>+'MRS LIST'!I41</f>
        <v>1400</v>
      </c>
      <c r="G41" s="139">
        <f>+'MRS LIST'!J41</f>
        <v>1400</v>
      </c>
      <c r="H41" s="89"/>
    </row>
    <row r="42" spans="1:9" s="55" customFormat="1" ht="49.5" customHeight="1">
      <c r="A42" s="85">
        <f>MRS!A42</f>
        <v>10.1</v>
      </c>
      <c r="B42" s="201" t="str">
        <f>+'MRS LIST'!B42</f>
        <v>OverTime exceeding 10 Hrs. or stand by</v>
      </c>
      <c r="C42" s="202"/>
      <c r="D42" s="136" t="str">
        <f>+'MRS LIST'!G42</f>
        <v>Hr</v>
      </c>
      <c r="E42" s="137"/>
      <c r="F42" s="138">
        <f>+'MRS LIST'!I42</f>
        <v>140</v>
      </c>
      <c r="G42" s="139">
        <f>+'MRS LIST'!J42</f>
        <v>140</v>
      </c>
      <c r="H42" s="89"/>
    </row>
    <row r="43" spans="1:9" s="55" customFormat="1" ht="23.1" customHeight="1">
      <c r="A43" s="220" t="s">
        <v>85</v>
      </c>
      <c r="B43" s="221"/>
      <c r="C43" s="221"/>
      <c r="D43" s="221"/>
      <c r="E43" s="221"/>
      <c r="F43" s="221"/>
      <c r="G43" s="58">
        <f>SUM(G6:G42)</f>
        <v>18226</v>
      </c>
      <c r="H43" s="59"/>
    </row>
    <row r="44" spans="1:9" s="55" customFormat="1" ht="23.1" customHeight="1">
      <c r="A44" s="220" t="s">
        <v>49</v>
      </c>
      <c r="B44" s="221"/>
      <c r="C44" s="221"/>
      <c r="D44" s="221"/>
      <c r="E44" s="221"/>
      <c r="F44" s="221"/>
      <c r="G44" s="58">
        <f>+G43*0.15</f>
        <v>2733.9</v>
      </c>
      <c r="H44" s="59"/>
    </row>
    <row r="45" spans="1:9" s="55" customFormat="1" ht="24.95" customHeight="1" thickBot="1">
      <c r="A45" s="217" t="s">
        <v>86</v>
      </c>
      <c r="B45" s="218"/>
      <c r="C45" s="218"/>
      <c r="D45" s="218"/>
      <c r="E45" s="218"/>
      <c r="F45" s="218"/>
      <c r="G45" s="60">
        <f>G44+G43</f>
        <v>20959.900000000001</v>
      </c>
      <c r="H45" s="61"/>
    </row>
    <row r="46" spans="1:9" ht="15.75" thickTop="1">
      <c r="A46" s="62" t="str">
        <f>" 1) Above Price are as per your quotation with ref "&amp;'PO 1st page'!K14</f>
        <v xml:space="preserve"> 1) Above Price are as per your quotation with ref NDT/QN/1425/2025</v>
      </c>
      <c r="B46" s="63"/>
      <c r="C46" s="63"/>
      <c r="D46" s="64"/>
      <c r="E46" s="64"/>
      <c r="F46" s="64"/>
      <c r="G46" s="64"/>
      <c r="H46" s="64"/>
    </row>
    <row r="47" spans="1:9" ht="15">
      <c r="A47" s="65" t="s">
        <v>87</v>
      </c>
      <c r="B47" s="66"/>
      <c r="C47" s="66"/>
      <c r="D47" s="67"/>
      <c r="E47" s="67"/>
      <c r="F47" s="67"/>
      <c r="G47" s="67"/>
      <c r="H47" s="67"/>
      <c r="I47" s="68"/>
    </row>
    <row r="48" spans="1:9" ht="15.75">
      <c r="A48" s="69"/>
    </row>
    <row r="49" spans="1:13">
      <c r="A49" s="219" t="s">
        <v>88</v>
      </c>
      <c r="B49" s="219"/>
      <c r="C49" s="219"/>
      <c r="D49" s="219"/>
      <c r="E49" s="219"/>
      <c r="F49" s="219"/>
      <c r="G49" s="219"/>
      <c r="H49" s="219"/>
      <c r="I49" s="70"/>
      <c r="J49" s="70"/>
      <c r="K49" s="70"/>
      <c r="L49" s="70"/>
      <c r="M49" s="70"/>
    </row>
    <row r="50" spans="1:13" ht="15.75">
      <c r="A50" s="69"/>
      <c r="C50" s="71"/>
    </row>
    <row r="51" spans="1:13" ht="15.75">
      <c r="A51" s="69"/>
      <c r="C51" s="71"/>
    </row>
    <row r="53" spans="1:13" ht="12" customHeight="1"/>
  </sheetData>
  <mergeCells count="49">
    <mergeCell ref="A43:F43"/>
    <mergeCell ref="A44:F44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A45:F45"/>
    <mergeCell ref="A49:H49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6:C26"/>
    <mergeCell ref="B22:C22"/>
    <mergeCell ref="B23:C23"/>
    <mergeCell ref="B42:C42"/>
    <mergeCell ref="B10:C10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24:C24"/>
    <mergeCell ref="B25:C25"/>
    <mergeCell ref="B27:F27"/>
    <mergeCell ref="B38:C38"/>
    <mergeCell ref="B39:C39"/>
    <mergeCell ref="B40:C40"/>
    <mergeCell ref="B41:C4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2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2025-05-05T03:01:30Z</cp:lastPrinted>
  <dcterms:created xsi:type="dcterms:W3CDTF">2024-10-20T11:50:19Z</dcterms:created>
  <dcterms:modified xsi:type="dcterms:W3CDTF">2025-05-05T03:01:33Z</dcterms:modified>
</cp:coreProperties>
</file>