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A0E9D93-2585-4450-B24D-2587158A785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4" l="1"/>
  <c r="B16" i="4"/>
  <c r="B17" i="4"/>
  <c r="J16" i="1"/>
  <c r="A14" i="4"/>
  <c r="A15" i="4"/>
  <c r="A16" i="4"/>
  <c r="F6" i="4"/>
  <c r="E6" i="4"/>
  <c r="D6" i="4"/>
  <c r="B7" i="4"/>
  <c r="B8" i="4"/>
  <c r="B9" i="4"/>
  <c r="B10" i="4"/>
  <c r="B11" i="4"/>
  <c r="B12" i="4"/>
  <c r="B13" i="4"/>
  <c r="B14" i="4"/>
  <c r="B15" i="4"/>
  <c r="J7" i="1"/>
  <c r="J8" i="1"/>
  <c r="J9" i="1"/>
  <c r="J9" i="2" s="1"/>
  <c r="J10" i="1"/>
  <c r="J10" i="2" s="1"/>
  <c r="J11" i="1"/>
  <c r="J11" i="2" s="1"/>
  <c r="J12" i="1"/>
  <c r="J13" i="1"/>
  <c r="J14" i="1"/>
  <c r="J15" i="1"/>
  <c r="J17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8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<sst xmlns="http://schemas.openxmlformats.org/spreadsheetml/2006/main" count="157" uniqueCount="130">
  <si>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</si>
  <si>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</si>
  <si>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</si>
  <si>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</si>
  <si>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</si>
  <si>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</si>
  <si>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</si>
  <si>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</si>
  <si>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</si>
  <si>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</si>
  <si>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</si>
  <si>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</si>
  <si>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</si>
  <si>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</si>
  <si>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</si>
  <si>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</si>
  <si>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</si>
  <si>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</si>
  <si>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</si>
  <si>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</si>
  <si>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</si>
  <si>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</si>
  <si>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</si>
  <si>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</si>
  <si>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</si>
  <si>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</si>
  <si>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</si>
  <si>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</si>
  <si>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</si>
  <si>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</si>
  <si>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</si>
  <si>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</si>
  <si>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</si>
  <si>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</si>
  <si>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</si>
  <si>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</si>
  <si>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</si>
  <si>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</si>
  <si>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</si>
  <si>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</si>
  <si>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</si>
  <si>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</si>
  <si>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</si>
  <si>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</si>
  <si>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</si>
  <si>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</si>
  <si>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</si>
  <si>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</si>
  <si>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</si>
  <si>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</si>
  <si>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</si>
  <si>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</si>
  <si>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</si>
  <si>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</si>
  <si>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</si>
  <si>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</si>
  <si>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</si>
  <si>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</si>
  <si>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</si>
  <si>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</si>
  <si>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</si>
  <si>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</si>
  <si>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</si>
  <si>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</si>
  <si>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</si>
  <si>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</si>
  <si>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</si>
  <si>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</si>
  <si>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</si>
  <si>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</si>
  <si>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</si>
  <si>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</si>
  <si>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</si>
  <si>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</si>
  <si>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</si>
  <si>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</si>
  <si>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</si>
  <si>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</si>
  <si>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</si>
  <si>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</si>
  <si>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</si>
  <si>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</si>
  <si>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</si>
  <si>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</si>
  <si>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</si>
  <si>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</si>
  <si>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</si>
  <si>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</si>
  <si>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</si>
  <si>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</si>
  <si>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</si>
  <si>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</si>
  <si>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</si>
  <si>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</si>
  <si>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</si>
  <si>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</si>
  <si>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</si>
  <si>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</si>
  <si>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</si>
  <si>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</si>
  <si>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</si>
  <si>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</si>
  <si>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</si>
  <si>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</si>
  <si>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4700115756</t>
  </si>
  <si>
    <t>311196464200003</t>
  </si>
  <si>
    <t>+966 59 1252163 / Email:samooalbahr@gmail.com</t>
  </si>
  <si>
    <t>P.O. Box 7063, Yanbu 46429, KSA</t>
  </si>
  <si>
    <t>EA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</si>
  <si>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</si>
  <si>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</si>
  <si>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</si>
  <si>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</si>
  <si>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</si>
  <si>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</si>
  <si>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</si>
  <si>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</si>
  <si>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</si>
  <si>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</si>
  <si>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</si>
  <si>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</si>
  <si>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</si>
  <si>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Monthly</t>
  </si>
  <si>
    <t>SA47 1000 0001 4000 1054 7706</t>
  </si>
  <si>
    <t>SAMOO (Samoo Al Bahr Contracting Est.)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</si>
  <si>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-MRS-0307</t>
    </r>
  </si>
  <si>
    <t>Construction Safety Manual Training</t>
  </si>
  <si>
    <t>5 Days Training - Trainer Fees</t>
  </si>
  <si>
    <t>Construction Safety Manual-5 Days Training</t>
  </si>
  <si>
    <t>SAMOO-DAESHIN-MT-40-2026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</si>
</sst>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5" fillId="3" borderId="0" xfId="5" applyFont="1" applyFill="1" applyAlignment="1">
      <alignment horizontal="right" vertical="center" inden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19</xdr:row>
          <xdr:rowOff>0</xdr:rowOff>
        </xdr:from>
        <xdr:to>
          <xdr:col>12</xdr:col>
          <xdr:colOff>502</xdr:colOff>
          <xdr:row>26</xdr:row>
          <xdr:rowOff>90239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S$26" spid="_x0000_s12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4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3" width="22.1406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18" t="s">
        <v>99</v>
      </c>
      <c r="B1" s="104"/>
      <c r="C1" s="104"/>
      <c r="D1" s="104"/>
      <c r="E1" s="104"/>
      <c r="F1" s="104"/>
      <c r="G1" s="1"/>
      <c r="J1" s="137" t="s">
        <v>89</v>
      </c>
      <c r="K1" s="138"/>
      <c r="L1" s="139"/>
    </row>
    <row r="2" spans="1:18" ht="20.100000000000001" customHeight="1">
      <c r="A2" s="3" t="s">
        <v>1</v>
      </c>
      <c r="B2" s="95"/>
      <c r="C2" s="95"/>
      <c r="D2" s="3" t="s">
        <v>100</v>
      </c>
      <c r="E2" s="95"/>
      <c r="F2" s="95"/>
      <c r="G2" s="95"/>
      <c r="H2" s="95"/>
      <c r="I2" s="4"/>
      <c r="J2" s="153" t="s">
        <v>101</v>
      </c>
      <c r="K2" s="154"/>
      <c r="L2" s="155"/>
    </row>
    <row r="3" spans="1:18" ht="20.100000000000001" customHeight="1">
      <c r="A3" s="3" t="s">
        <v>125</v>
      </c>
      <c r="B3" s="95"/>
      <c r="C3" s="95"/>
      <c r="D3" s="95"/>
      <c r="E3" s="140">
        <f>+L3</f>
        <v>46153</v>
      </c>
      <c r="F3" s="140"/>
      <c r="G3" s="140"/>
      <c r="H3" s="140"/>
      <c r="I3" s="140"/>
      <c r="J3" s="95"/>
      <c r="K3" s="95"/>
      <c r="L3" s="116">
        <v>46153</v>
      </c>
      <c r="M3" s="4"/>
    </row>
    <row r="4" spans="1:18" ht="15.95" customHeight="1">
      <c r="A4" s="141" t="s">
        <v>2</v>
      </c>
      <c r="B4" s="142" t="s">
        <v>3</v>
      </c>
      <c r="C4" s="142"/>
      <c r="D4" s="143" t="s">
        <v>4</v>
      </c>
      <c r="E4" s="144"/>
      <c r="F4" s="145"/>
      <c r="G4" s="149" t="s">
        <v>5</v>
      </c>
      <c r="H4" s="151" t="s">
        <v>6</v>
      </c>
      <c r="I4" s="151" t="s">
        <v>93</v>
      </c>
      <c r="J4" s="141" t="s">
        <v>94</v>
      </c>
      <c r="K4" s="151" t="s">
        <v>0</v>
      </c>
      <c r="L4" s="142" t="s">
        <v>7</v>
      </c>
    </row>
    <row r="5" spans="1:18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18" ht="21" customHeight="1">
      <c r="A6" s="5">
        <f t="shared" ref="A6:A14" si="0">ROW(A1)</f>
        <v>1</v>
      </c>
      <c r="B6" s="122" t="s">
        <v>126</v>
      </c>
      <c r="C6" s="123"/>
      <c r="D6" s="124" t="s">
        <v>127</v>
      </c>
      <c r="E6" s="125"/>
      <c r="F6" s="126"/>
      <c r="G6" s="105" t="s">
        <v>108</v>
      </c>
      <c r="H6" s="106">
        <v>1</v>
      </c>
      <c r="I6" s="107">
        <v>2300</v>
      </c>
      <c r="J6" s="107">
        <f>H6*I6</f>
        <v>2300</v>
      </c>
      <c r="K6" s="108" t="s">
        <v>103</v>
      </c>
      <c r="L6" s="109" t="s">
        <v>122</v>
      </c>
      <c r="R6" s="100"/>
    </row>
    <row r="7" spans="1:18" ht="21" customHeight="1">
      <c r="A7" s="5"/>
      <c r="B7" s="122"/>
      <c r="C7" s="123"/>
      <c r="D7" s="136"/>
      <c r="E7" s="125"/>
      <c r="F7" s="126"/>
      <c r="G7" s="105"/>
      <c r="H7" s="106"/>
      <c r="I7" s="107"/>
      <c r="J7" s="107">
        <f t="shared" ref="J7:J17" si="1">H7*I7</f>
        <v>0</v>
      </c>
      <c r="K7" s="108"/>
      <c r="L7" s="109"/>
      <c r="R7" s="100"/>
    </row>
    <row r="8" spans="1:18" ht="21" customHeight="1">
      <c r="A8" s="5"/>
      <c r="B8" s="122"/>
      <c r="C8" s="123"/>
      <c r="D8" s="124"/>
      <c r="E8" s="125"/>
      <c r="F8" s="126"/>
      <c r="G8" s="105"/>
      <c r="H8" s="106"/>
      <c r="I8" s="107"/>
      <c r="J8" s="107">
        <f t="shared" si="1"/>
        <v>0</v>
      </c>
      <c r="K8" s="108"/>
      <c r="L8" s="109"/>
      <c r="R8" s="100"/>
    </row>
    <row r="9" spans="1:18" ht="21" customHeight="1">
      <c r="A9" s="5"/>
      <c r="B9" s="122"/>
      <c r="C9" s="123"/>
      <c r="D9" s="124"/>
      <c r="E9" s="125"/>
      <c r="F9" s="126"/>
      <c r="G9" s="105"/>
      <c r="H9" s="106"/>
      <c r="I9" s="107"/>
      <c r="J9" s="107">
        <f t="shared" si="1"/>
        <v>0</v>
      </c>
      <c r="K9" s="108"/>
      <c r="L9" s="109"/>
      <c r="R9" s="100"/>
    </row>
    <row r="10" spans="1:18" ht="21" customHeight="1">
      <c r="A10" s="5"/>
      <c r="B10" s="122"/>
      <c r="C10" s="123"/>
      <c r="D10" s="135"/>
      <c r="E10" s="135"/>
      <c r="F10" s="135"/>
      <c r="G10" s="105"/>
      <c r="H10" s="106"/>
      <c r="I10" s="110"/>
      <c r="J10" s="107">
        <f t="shared" si="1"/>
        <v>0</v>
      </c>
      <c r="K10" s="108"/>
      <c r="L10" s="105"/>
      <c r="R10" s="100"/>
    </row>
    <row r="11" spans="1:18" ht="21" customHeight="1">
      <c r="A11" s="5"/>
      <c r="B11" s="122"/>
      <c r="C11" s="123"/>
      <c r="D11" s="124"/>
      <c r="E11" s="125"/>
      <c r="F11" s="126"/>
      <c r="G11" s="105"/>
      <c r="H11" s="106"/>
      <c r="I11" s="107"/>
      <c r="J11" s="107">
        <f t="shared" si="1"/>
        <v>0</v>
      </c>
      <c r="K11" s="108"/>
      <c r="L11" s="109"/>
      <c r="R11" s="100"/>
    </row>
    <row r="12" spans="1:18" ht="21" customHeight="1">
      <c r="A12" s="5"/>
      <c r="B12" s="122"/>
      <c r="C12" s="123"/>
      <c r="D12" s="135"/>
      <c r="E12" s="135"/>
      <c r="F12" s="135"/>
      <c r="G12" s="105"/>
      <c r="H12" s="106"/>
      <c r="I12" s="110"/>
      <c r="J12" s="107">
        <f t="shared" si="1"/>
        <v>0</v>
      </c>
      <c r="K12" s="108"/>
      <c r="L12" s="105"/>
      <c r="R12" s="100"/>
    </row>
    <row r="13" spans="1:18" ht="21" customHeight="1">
      <c r="A13" s="5"/>
      <c r="B13" s="122"/>
      <c r="C13" s="123"/>
      <c r="D13" s="124"/>
      <c r="E13" s="125"/>
      <c r="F13" s="126"/>
      <c r="G13" s="105"/>
      <c r="H13" s="106"/>
      <c r="I13" s="107"/>
      <c r="J13" s="107">
        <f t="shared" si="1"/>
        <v>0</v>
      </c>
      <c r="K13" s="108"/>
      <c r="L13" s="109"/>
      <c r="R13" s="100"/>
    </row>
    <row r="14" spans="1:18" ht="21" customHeight="1">
      <c r="A14" s="5"/>
      <c r="B14" s="122"/>
      <c r="C14" s="123"/>
      <c r="D14" s="124"/>
      <c r="E14" s="125"/>
      <c r="F14" s="126"/>
      <c r="G14" s="105"/>
      <c r="H14" s="106"/>
      <c r="I14" s="107"/>
      <c r="J14" s="107">
        <f t="shared" si="1"/>
        <v>0</v>
      </c>
      <c r="K14" s="108"/>
      <c r="L14" s="109"/>
      <c r="R14" s="100"/>
    </row>
    <row r="15" spans="1:18" ht="21" customHeight="1">
      <c r="A15" s="5"/>
      <c r="B15" s="122"/>
      <c r="C15" s="123"/>
      <c r="D15" s="124"/>
      <c r="E15" s="125"/>
      <c r="F15" s="126"/>
      <c r="G15" s="105"/>
      <c r="H15" s="106"/>
      <c r="I15" s="107"/>
      <c r="J15" s="107">
        <f t="shared" si="1"/>
        <v>0</v>
      </c>
      <c r="K15" s="108"/>
      <c r="L15" s="109"/>
      <c r="R15" s="100"/>
    </row>
    <row r="16" spans="1:18" ht="21" customHeight="1">
      <c r="A16" s="5"/>
      <c r="B16" s="122"/>
      <c r="C16" s="123"/>
      <c r="D16" s="124"/>
      <c r="E16" s="125"/>
      <c r="F16" s="126"/>
      <c r="G16" s="105"/>
      <c r="H16" s="106"/>
      <c r="I16" s="107"/>
      <c r="J16" s="107">
        <f t="shared" si="1"/>
        <v>0</v>
      </c>
      <c r="K16" s="108"/>
      <c r="L16" s="109"/>
      <c r="R16" s="100"/>
    </row>
    <row r="17" spans="1:19" ht="21" customHeight="1">
      <c r="A17" s="5"/>
      <c r="B17" s="122"/>
      <c r="C17" s="123"/>
      <c r="D17" s="124"/>
      <c r="E17" s="125"/>
      <c r="F17" s="126"/>
      <c r="G17" s="105"/>
      <c r="H17" s="106"/>
      <c r="I17" s="107"/>
      <c r="J17" s="107">
        <f t="shared" si="1"/>
        <v>0</v>
      </c>
      <c r="K17" s="108"/>
      <c r="L17" s="109"/>
      <c r="R17" s="100"/>
    </row>
    <row r="18" spans="1:19" ht="22.5" customHeight="1">
      <c r="A18" s="131" t="s">
        <v>8</v>
      </c>
      <c r="B18" s="132"/>
      <c r="C18" s="111"/>
      <c r="D18" s="112"/>
      <c r="E18" s="112"/>
      <c r="F18" s="112"/>
      <c r="G18" s="113"/>
      <c r="H18" s="113"/>
      <c r="I18" s="114" t="s">
        <v>9</v>
      </c>
      <c r="J18" s="107">
        <f>SUM(J6:J17)</f>
        <v>2300</v>
      </c>
      <c r="K18" s="107"/>
      <c r="L18" s="115"/>
    </row>
    <row r="19" spans="1:19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19" ht="18" customHeight="1">
      <c r="A20" s="10"/>
      <c r="J20" s="1"/>
      <c r="K20" s="1"/>
      <c r="O20" s="11"/>
      <c r="P20" s="11"/>
      <c r="R20" s="133" t="s">
        <v>11</v>
      </c>
      <c r="S20" s="13" t="s">
        <v>12</v>
      </c>
    </row>
    <row r="21" spans="1:19" ht="42.75" customHeight="1">
      <c r="R21" s="134"/>
      <c r="S21" s="15"/>
    </row>
    <row r="22" spans="1:19" ht="17.100000000000001" customHeight="1">
      <c r="O22" s="11"/>
      <c r="P22" s="11"/>
      <c r="R22" s="129"/>
      <c r="S22" s="15" t="s">
        <v>13</v>
      </c>
    </row>
    <row r="23" spans="1:19" ht="15" customHeight="1">
      <c r="O23" s="17" t="s">
        <v>14</v>
      </c>
      <c r="P23" s="127" t="s">
        <v>15</v>
      </c>
    </row>
    <row r="24" spans="1:19" ht="18" customHeight="1">
      <c r="O24" s="18" t="s">
        <v>16</v>
      </c>
      <c r="P24" s="128"/>
      <c r="R24" s="133" t="s">
        <v>17</v>
      </c>
      <c r="S24" s="12" t="s">
        <v>12</v>
      </c>
    </row>
    <row r="25" spans="1:19" ht="50.1" customHeight="1">
      <c r="O25" s="14"/>
      <c r="P25" s="14"/>
      <c r="R25" s="134"/>
      <c r="S25" s="19"/>
    </row>
    <row r="26" spans="1:19" ht="17.100000000000001" customHeight="1">
      <c r="O26" s="16" t="s">
        <v>13</v>
      </c>
      <c r="P26" s="16" t="s">
        <v>13</v>
      </c>
      <c r="R26" s="129"/>
      <c r="S26" s="15" t="s">
        <v>13</v>
      </c>
    </row>
    <row r="27" spans="1:19" ht="9.9499999999999993" customHeight="1"/>
    <row r="28" spans="1:19" ht="19.899999999999999" customHeight="1"/>
    <row r="29" spans="1:19" ht="17.45" customHeight="1">
      <c r="O29" s="130"/>
      <c r="P29" s="130"/>
    </row>
    <row r="30" spans="1:19" ht="19.899999999999999" customHeight="1">
      <c r="O30" s="130"/>
      <c r="P30" s="130"/>
    </row>
    <row r="31" spans="1:19" ht="14.25">
      <c r="O31" s="11"/>
      <c r="P31" s="11"/>
    </row>
    <row r="32" spans="1:19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27" t="s">
        <v>18</v>
      </c>
      <c r="P48" s="127" t="s">
        <v>18</v>
      </c>
      <c r="S48" s="127" t="s">
        <v>12</v>
      </c>
    </row>
    <row r="49" spans="15:19" ht="21" customHeight="1">
      <c r="O49" s="128"/>
      <c r="P49" s="128"/>
      <c r="S49" s="129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27" t="s">
        <v>18</v>
      </c>
      <c r="P52" s="127" t="s">
        <v>18</v>
      </c>
      <c r="S52" s="127" t="s">
        <v>19</v>
      </c>
    </row>
    <row r="53" spans="15:19" ht="21" customHeight="1">
      <c r="O53" s="128"/>
      <c r="P53" s="128"/>
      <c r="S53" s="129"/>
    </row>
    <row r="54" spans="15:19" ht="64.900000000000006" customHeight="1">
      <c r="O54" s="14"/>
      <c r="P54" s="14"/>
      <c r="S54" s="14"/>
    </row>
  </sheetData>
  <mergeCells count="48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R20:R22"/>
    <mergeCell ref="P23:P24"/>
    <mergeCell ref="R24:R26"/>
    <mergeCell ref="B12:C12"/>
    <mergeCell ref="D12:F12"/>
    <mergeCell ref="B13:C13"/>
    <mergeCell ref="D13:F13"/>
    <mergeCell ref="B14:C14"/>
    <mergeCell ref="D14:F14"/>
    <mergeCell ref="P52:P53"/>
    <mergeCell ref="S52:S53"/>
    <mergeCell ref="O29:O30"/>
    <mergeCell ref="P29:P30"/>
    <mergeCell ref="O48:O49"/>
    <mergeCell ref="P48:P49"/>
    <mergeCell ref="S48:S49"/>
    <mergeCell ref="B16:C16"/>
    <mergeCell ref="D16:F16"/>
    <mergeCell ref="B15:C15"/>
    <mergeCell ref="D15:F15"/>
    <mergeCell ref="O52:O53"/>
    <mergeCell ref="B17:C17"/>
    <mergeCell ref="D17:F17"/>
    <mergeCell ref="A18:B18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95</v>
      </c>
      <c r="B1" s="94"/>
      <c r="C1" s="94"/>
      <c r="D1" s="94"/>
      <c r="E1" s="94"/>
      <c r="F1" s="94"/>
      <c r="G1" s="1"/>
      <c r="J1" s="137" t="str">
        <f>+MRS!J1</f>
        <v>DAESHIN PLANT</v>
      </c>
      <c r="K1" s="139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53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SAC2-DS-MRS-0307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46153</v>
      </c>
    </row>
    <row r="4" spans="1:18" ht="15.95" customHeight="1">
      <c r="A4" s="166" t="s">
        <v>2</v>
      </c>
      <c r="B4" s="167" t="s">
        <v>20</v>
      </c>
      <c r="C4" s="167"/>
      <c r="D4" s="166" t="s">
        <v>4</v>
      </c>
      <c r="E4" s="166"/>
      <c r="F4" s="166"/>
      <c r="G4" s="167" t="s">
        <v>5</v>
      </c>
      <c r="H4" s="166" t="s">
        <v>90</v>
      </c>
      <c r="I4" s="166" t="s">
        <v>21</v>
      </c>
      <c r="J4" s="166" t="s">
        <v>22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21">
        <f>+MRS!A6</f>
        <v>1</v>
      </c>
      <c r="B6" s="161" t="str">
        <f>MRS!B6</f>
        <v>Construction Safety Manual Training</v>
      </c>
      <c r="C6" s="162"/>
      <c r="D6" s="163" t="str">
        <f>MRS!D6</f>
        <v>5 Days Training - Trainer Fees</v>
      </c>
      <c r="E6" s="164"/>
      <c r="F6" s="165"/>
      <c r="G6" s="97" t="str">
        <f>MRS!G6</f>
        <v>EA</v>
      </c>
      <c r="H6" s="97">
        <f>MRS!H6</f>
        <v>1</v>
      </c>
      <c r="I6" s="98">
        <f>MRS!I6</f>
        <v>2300</v>
      </c>
      <c r="J6" s="98">
        <f>MRS!J6</f>
        <v>2300</v>
      </c>
      <c r="K6" s="99"/>
      <c r="O6" s="100"/>
      <c r="P6" s="100"/>
      <c r="R6" s="100"/>
    </row>
    <row r="7" spans="1:18" ht="105" customHeight="1">
      <c r="A7" s="21">
        <f>+MRS!A7</f>
        <v>0</v>
      </c>
      <c r="B7" s="161">
        <f>MRS!B7</f>
        <v>0</v>
      </c>
      <c r="C7" s="162"/>
      <c r="D7" s="163">
        <f>MRS!D7</f>
        <v>0</v>
      </c>
      <c r="E7" s="164"/>
      <c r="F7" s="165"/>
      <c r="G7" s="97">
        <f>MRS!G7</f>
        <v>0</v>
      </c>
      <c r="H7" s="97">
        <f>MRS!H7</f>
        <v>0</v>
      </c>
      <c r="I7" s="98">
        <f>MRS!I7</f>
        <v>0</v>
      </c>
      <c r="J7" s="98">
        <f>MRS!J7</f>
        <v>0</v>
      </c>
      <c r="K7" s="99"/>
      <c r="O7" s="100"/>
      <c r="P7" s="100"/>
      <c r="R7" s="100"/>
    </row>
    <row r="8" spans="1:18" ht="105" customHeight="1">
      <c r="A8" s="21">
        <f>+MRS!A8</f>
        <v>0</v>
      </c>
      <c r="B8" s="161">
        <f>MRS!B8</f>
        <v>0</v>
      </c>
      <c r="C8" s="162"/>
      <c r="D8" s="163">
        <f>MRS!D8</f>
        <v>0</v>
      </c>
      <c r="E8" s="164"/>
      <c r="F8" s="165"/>
      <c r="G8" s="97">
        <f>MRS!G8</f>
        <v>0</v>
      </c>
      <c r="H8" s="97">
        <f>MRS!H8</f>
        <v>0</v>
      </c>
      <c r="I8" s="98">
        <f>MRS!I8</f>
        <v>0</v>
      </c>
      <c r="J8" s="98">
        <f>MRS!J8</f>
        <v>0</v>
      </c>
      <c r="K8" s="99"/>
      <c r="O8" s="100"/>
      <c r="P8" s="100"/>
      <c r="R8" s="100"/>
    </row>
    <row r="9" spans="1:18" ht="105" customHeight="1">
      <c r="A9" s="21">
        <f>+MRS!A9</f>
        <v>0</v>
      </c>
      <c r="B9" s="161">
        <f>MRS!B9</f>
        <v>0</v>
      </c>
      <c r="C9" s="162"/>
      <c r="D9" s="163">
        <f>MRS!D9</f>
        <v>0</v>
      </c>
      <c r="E9" s="164"/>
      <c r="F9" s="165"/>
      <c r="G9" s="97">
        <f>MRS!G9</f>
        <v>0</v>
      </c>
      <c r="H9" s="97">
        <f>MRS!H9</f>
        <v>0</v>
      </c>
      <c r="I9" s="98">
        <f>MRS!I9</f>
        <v>0</v>
      </c>
      <c r="J9" s="98">
        <f>MRS!J9</f>
        <v>0</v>
      </c>
      <c r="K9" s="99"/>
      <c r="O9" s="100"/>
      <c r="P9" s="100"/>
      <c r="R9" s="100"/>
    </row>
    <row r="10" spans="1:18" ht="105" customHeight="1">
      <c r="A10" s="21">
        <f>+MRS!A10</f>
        <v>0</v>
      </c>
      <c r="B10" s="161">
        <f>MRS!B10</f>
        <v>0</v>
      </c>
      <c r="C10" s="162"/>
      <c r="D10" s="163">
        <f>MRS!D10</f>
        <v>0</v>
      </c>
      <c r="E10" s="164"/>
      <c r="F10" s="165"/>
      <c r="G10" s="97">
        <f>MRS!G10</f>
        <v>0</v>
      </c>
      <c r="H10" s="97">
        <f>MRS!H10</f>
        <v>0</v>
      </c>
      <c r="I10" s="98">
        <f>MRS!I10</f>
        <v>0</v>
      </c>
      <c r="J10" s="98">
        <f>MRS!J10</f>
        <v>0</v>
      </c>
      <c r="K10" s="99"/>
      <c r="O10" s="100"/>
      <c r="P10" s="100"/>
      <c r="R10" s="100"/>
    </row>
    <row r="11" spans="1:18" ht="105" customHeight="1">
      <c r="A11" s="21">
        <f>+MRS!A11</f>
        <v>0</v>
      </c>
      <c r="B11" s="161">
        <f>MRS!B11</f>
        <v>0</v>
      </c>
      <c r="C11" s="162"/>
      <c r="D11" s="163">
        <f>MRS!D11</f>
        <v>0</v>
      </c>
      <c r="E11" s="164"/>
      <c r="F11" s="165"/>
      <c r="G11" s="97">
        <f>MRS!G11</f>
        <v>0</v>
      </c>
      <c r="H11" s="97">
        <f>MRS!H11</f>
        <v>0</v>
      </c>
      <c r="I11" s="98">
        <f>MRS!I11</f>
        <v>0</v>
      </c>
      <c r="J11" s="98">
        <f>MRS!J11</f>
        <v>0</v>
      </c>
      <c r="K11" s="99"/>
      <c r="O11" s="100"/>
      <c r="P11" s="100"/>
      <c r="R11" s="100"/>
    </row>
    <row r="12" spans="1:18" ht="105" customHeight="1">
      <c r="A12" s="21">
        <f>+MRS!A12</f>
        <v>0</v>
      </c>
      <c r="B12" s="156"/>
      <c r="C12" s="157"/>
      <c r="D12" s="158"/>
      <c r="E12" s="159"/>
      <c r="F12" s="160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21">
        <f>+MRS!A13</f>
        <v>0</v>
      </c>
      <c r="B13" s="156"/>
      <c r="C13" s="157"/>
      <c r="D13" s="158"/>
      <c r="E13" s="159"/>
      <c r="F13" s="160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21">
        <f>+MRS!A14</f>
        <v>0</v>
      </c>
      <c r="B14" s="156"/>
      <c r="C14" s="157"/>
      <c r="D14" s="158"/>
      <c r="E14" s="159"/>
      <c r="F14" s="160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21">
        <f>+MRS!A17</f>
        <v>0</v>
      </c>
      <c r="B15" s="156"/>
      <c r="C15" s="157"/>
      <c r="D15" s="158"/>
      <c r="E15" s="159"/>
      <c r="F15" s="160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21" t="e">
        <f>+MRS!#REF!</f>
        <v>#REF!</v>
      </c>
      <c r="B16" s="156"/>
      <c r="C16" s="157"/>
      <c r="D16" s="158"/>
      <c r="E16" s="159"/>
      <c r="F16" s="160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21" t="e">
        <f>+MRS!#REF!</f>
        <v>#REF!</v>
      </c>
      <c r="B17" s="156"/>
      <c r="C17" s="157"/>
      <c r="D17" s="158"/>
      <c r="E17" s="159"/>
      <c r="F17" s="160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124</v>
      </c>
      <c r="D9" s="39"/>
      <c r="E9" s="39"/>
    </row>
    <row r="10" spans="2:13" s="39" customFormat="1">
      <c r="B10" s="72"/>
      <c r="C10" s="39" t="s">
        <v>30</v>
      </c>
      <c r="D10" s="76" t="s">
        <v>104</v>
      </c>
      <c r="J10" s="39" t="s">
        <v>31</v>
      </c>
      <c r="K10" s="169">
        <f>MRS!L3</f>
        <v>46153</v>
      </c>
      <c r="L10" s="170"/>
      <c r="M10" s="170"/>
    </row>
    <row r="11" spans="2:13" s="39" customFormat="1">
      <c r="B11" s="72"/>
      <c r="C11" s="75" t="s">
        <v>32</v>
      </c>
      <c r="D11" s="76" t="s">
        <v>105</v>
      </c>
      <c r="J11" s="39" t="s">
        <v>33</v>
      </c>
      <c r="K11" s="171" t="str">
        <f>SUBSTITUTE(SUBSTITUTE(+MRS!A3,"  MRS No : ",""),"-MRS","-PO")</f>
        <v>SAC2-DS-PO-0307</v>
      </c>
      <c r="L11" s="171"/>
      <c r="M11" s="171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106</v>
      </c>
      <c r="J13" s="39" t="s">
        <v>36</v>
      </c>
    </row>
    <row r="14" spans="2:13" s="39" customFormat="1">
      <c r="B14" s="72"/>
      <c r="C14" s="77" t="s">
        <v>107</v>
      </c>
      <c r="J14" s="39" t="s">
        <v>37</v>
      </c>
      <c r="K14" s="39" t="s">
        <v>129</v>
      </c>
    </row>
    <row r="15" spans="2:13" s="39" customFormat="1">
      <c r="B15" s="72"/>
      <c r="C15" s="77" t="s">
        <v>98</v>
      </c>
      <c r="J15" s="39" t="s">
        <v>38</v>
      </c>
      <c r="K15" s="78">
        <v>46146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2" t="s">
        <v>39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</row>
    <row r="19" spans="2:13" ht="12" customHeight="1"/>
    <row r="20" spans="2:13" s="31" customFormat="1" ht="12" customHeight="1">
      <c r="B20" s="173" t="s">
        <v>40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2:13" s="31" customFormat="1" ht="12" customHeight="1">
      <c r="B21" s="173" t="s">
        <v>41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2:13" s="31" customFormat="1" ht="12" customHeight="1">
      <c r="B22" s="173" t="s">
        <v>42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2:13" ht="6.95" customHeight="1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2:13" ht="6.95" customHeight="1"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1" t="s">
        <v>128</v>
      </c>
      <c r="M26" s="19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76" t="s">
        <v>122</v>
      </c>
      <c r="G29" s="176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76"/>
      <c r="G30" s="176"/>
    </row>
    <row r="31" spans="2:13" ht="12" customHeight="1">
      <c r="B31" s="32"/>
      <c r="C31" s="26" t="s">
        <v>49</v>
      </c>
      <c r="D31" s="35"/>
      <c r="E31" s="26" t="s">
        <v>47</v>
      </c>
      <c r="F31" s="176"/>
      <c r="G31" s="176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109</v>
      </c>
    </row>
    <row r="54" spans="2:16" ht="12" customHeight="1">
      <c r="B54" s="83" t="s">
        <v>63</v>
      </c>
      <c r="C54" s="119" t="s">
        <v>110</v>
      </c>
      <c r="F54" s="26" t="s">
        <v>118</v>
      </c>
    </row>
    <row r="55" spans="2:16" ht="12" customHeight="1">
      <c r="B55" s="83" t="s">
        <v>63</v>
      </c>
      <c r="C55" s="119" t="s">
        <v>111</v>
      </c>
      <c r="F55" s="120" t="s">
        <v>119</v>
      </c>
    </row>
    <row r="56" spans="2:16" ht="12" customHeight="1">
      <c r="B56" s="83" t="s">
        <v>63</v>
      </c>
      <c r="C56" s="119" t="s">
        <v>112</v>
      </c>
      <c r="F56" s="26" t="s">
        <v>123</v>
      </c>
    </row>
    <row r="57" spans="2:16" ht="12" customHeight="1">
      <c r="B57" s="83" t="s">
        <v>63</v>
      </c>
      <c r="C57" s="119" t="s">
        <v>113</v>
      </c>
      <c r="F57" s="26" t="s">
        <v>120</v>
      </c>
    </row>
    <row r="58" spans="2:16" ht="12" customHeight="1">
      <c r="B58" s="83" t="s">
        <v>63</v>
      </c>
      <c r="C58" s="119" t="s">
        <v>114</v>
      </c>
      <c r="F58" s="26" t="s">
        <v>121</v>
      </c>
    </row>
    <row r="59" spans="2:16" ht="12" customHeight="1">
      <c r="B59" s="83" t="s">
        <v>63</v>
      </c>
      <c r="C59" s="119" t="s">
        <v>115</v>
      </c>
      <c r="F59" s="26" t="s">
        <v>116</v>
      </c>
    </row>
    <row r="60" spans="2:16" ht="12" customHeight="1">
      <c r="B60" s="83"/>
      <c r="C60" s="119" t="s">
        <v>117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77" t="str">
        <f>C9</f>
        <v>SAMOO (Samoo Al Bahr Contracting Est.)</v>
      </c>
      <c r="K71" s="177"/>
      <c r="L71" s="177"/>
      <c r="M71" s="177"/>
    </row>
    <row r="72" spans="1:13" ht="27.95" customHeight="1">
      <c r="A72" s="168" t="s">
        <v>74</v>
      </c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SAC2-DS-PO-0307</v>
      </c>
      <c r="C2" s="184" t="s">
        <v>76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46153</v>
      </c>
      <c r="C3" s="51"/>
      <c r="D3" s="52"/>
      <c r="E3" s="185" t="s">
        <v>78</v>
      </c>
      <c r="F3" s="185"/>
      <c r="G3" s="185"/>
      <c r="H3" s="185"/>
      <c r="I3" s="53"/>
    </row>
    <row r="4" spans="1:13" s="55" customFormat="1" ht="28.5" customHeight="1" thickTop="1">
      <c r="A4" s="186" t="s">
        <v>79</v>
      </c>
      <c r="B4" s="188" t="s">
        <v>80</v>
      </c>
      <c r="C4" s="189"/>
      <c r="D4" s="192" t="s">
        <v>81</v>
      </c>
      <c r="E4" s="192" t="s">
        <v>82</v>
      </c>
      <c r="F4" s="194" t="str">
        <f>'PO 1st page'!C9</f>
        <v>SAMOO (Samoo Al Bahr Contracting Est.)</v>
      </c>
      <c r="G4" s="195"/>
      <c r="H4" s="196" t="s">
        <v>83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84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2" t="str">
        <f>CONCATENATE(MRS!B6," ",MRS!D6)</f>
        <v>Construction Safety Manual Training 5 Days Training - Trainer Fees</v>
      </c>
      <c r="C6" s="183"/>
      <c r="D6" s="85" t="str">
        <f>MRS!G6</f>
        <v>EA</v>
      </c>
      <c r="E6" s="86">
        <f>MRS!H6</f>
        <v>1</v>
      </c>
      <c r="F6" s="87">
        <f>MRS!I6</f>
        <v>2300</v>
      </c>
      <c r="G6" s="88">
        <f>MRS!J6</f>
        <v>2300</v>
      </c>
      <c r="H6" s="89" t="s">
        <v>122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2" t="str">
        <f>CONCATENATE(MRS!B7," ",MRS!D7)</f>
        <v xml:space="preserve"> </v>
      </c>
      <c r="C7" s="183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2" t="str">
        <f>CONCATENATE(MRS!B8," ",MRS!D8)</f>
        <v xml:space="preserve"> </v>
      </c>
      <c r="C8" s="183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2" t="str">
        <f>CONCATENATE(MRS!B9," ",MRS!D9)</f>
        <v xml:space="preserve"> </v>
      </c>
      <c r="C9" s="183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2" t="str">
        <f>CONCATENATE(MRS!B10," ",MRS!D10)</f>
        <v xml:space="preserve"> </v>
      </c>
      <c r="C10" s="183"/>
      <c r="D10" s="85"/>
      <c r="E10" s="86"/>
      <c r="F10" s="87"/>
      <c r="G10" s="88"/>
      <c r="H10" s="93"/>
    </row>
    <row r="11" spans="1:13" s="55" customFormat="1" ht="32.1" customHeight="1">
      <c r="A11" s="92">
        <f t="shared" si="0"/>
        <v>6</v>
      </c>
      <c r="B11" s="182" t="str">
        <f>CONCATENATE(MRS!B11," ",MRS!D11)</f>
        <v xml:space="preserve"> </v>
      </c>
      <c r="C11" s="183"/>
      <c r="D11" s="85"/>
      <c r="E11" s="86"/>
      <c r="F11" s="87"/>
      <c r="G11" s="88"/>
      <c r="H11" s="93"/>
    </row>
    <row r="12" spans="1:13" s="55" customFormat="1" ht="32.1" customHeight="1">
      <c r="A12" s="92">
        <f t="shared" si="0"/>
        <v>7</v>
      </c>
      <c r="B12" s="182" t="str">
        <f>CONCATENATE(MRS!B12," ",MRS!D12)</f>
        <v xml:space="preserve"> </v>
      </c>
      <c r="C12" s="183"/>
      <c r="D12" s="85"/>
      <c r="E12" s="86"/>
      <c r="F12" s="87"/>
      <c r="G12" s="88"/>
      <c r="H12" s="93"/>
    </row>
    <row r="13" spans="1:13" s="55" customFormat="1" ht="32.1" customHeight="1">
      <c r="A13" s="92">
        <f t="shared" si="0"/>
        <v>8</v>
      </c>
      <c r="B13" s="182" t="str">
        <f>CONCATENATE(MRS!B13," ",MRS!D13)</f>
        <v xml:space="preserve"> </v>
      </c>
      <c r="C13" s="183"/>
      <c r="D13" s="85"/>
      <c r="E13" s="86"/>
      <c r="F13" s="87"/>
      <c r="G13" s="88"/>
      <c r="H13" s="93"/>
    </row>
    <row r="14" spans="1:13" s="55" customFormat="1" ht="32.1" customHeight="1">
      <c r="A14" s="92">
        <f t="shared" si="0"/>
        <v>9</v>
      </c>
      <c r="B14" s="182" t="str">
        <f>CONCATENATE(MRS!B14," ",MRS!D14)</f>
        <v xml:space="preserve"> </v>
      </c>
      <c r="C14" s="183"/>
      <c r="D14" s="85"/>
      <c r="E14" s="86"/>
      <c r="F14" s="87"/>
      <c r="G14" s="88"/>
      <c r="H14" s="93"/>
    </row>
    <row r="15" spans="1:13" s="55" customFormat="1" ht="32.1" customHeight="1">
      <c r="A15" s="92">
        <f t="shared" si="0"/>
        <v>10</v>
      </c>
      <c r="B15" s="182" t="str">
        <f>CONCATENATE(MRS!B15," ",MRS!D15)</f>
        <v xml:space="preserve"> </v>
      </c>
      <c r="C15" s="183"/>
      <c r="D15" s="85"/>
      <c r="E15" s="86"/>
      <c r="F15" s="87"/>
      <c r="G15" s="88"/>
      <c r="H15" s="93"/>
    </row>
    <row r="16" spans="1:13" s="55" customFormat="1" ht="32.1" customHeight="1">
      <c r="A16" s="92">
        <f t="shared" si="0"/>
        <v>11</v>
      </c>
      <c r="B16" s="182" t="str">
        <f>CONCATENATE(MRS!B16," ",MRS!D16)</f>
        <v xml:space="preserve"> </v>
      </c>
      <c r="C16" s="183"/>
      <c r="D16" s="85"/>
      <c r="E16" s="86"/>
      <c r="F16" s="87"/>
      <c r="G16" s="88"/>
      <c r="H16" s="93"/>
    </row>
    <row r="17" spans="1:13" s="55" customFormat="1" ht="32.1" customHeight="1">
      <c r="A17" s="92">
        <f t="shared" si="0"/>
        <v>12</v>
      </c>
      <c r="B17" s="182" t="str">
        <f>CONCATENATE(MRS!B17," ",MRS!D17)</f>
        <v xml:space="preserve"> </v>
      </c>
      <c r="C17" s="183"/>
      <c r="D17" s="85"/>
      <c r="E17" s="86"/>
      <c r="F17" s="87"/>
      <c r="G17" s="88"/>
      <c r="H17" s="93"/>
    </row>
    <row r="18" spans="1:13" s="55" customFormat="1" ht="23.1" customHeight="1">
      <c r="A18" s="178" t="s">
        <v>85</v>
      </c>
      <c r="B18" s="179"/>
      <c r="C18" s="179"/>
      <c r="D18" s="179"/>
      <c r="E18" s="179"/>
      <c r="F18" s="179"/>
      <c r="G18" s="58">
        <f>SUM(G6:G17)</f>
        <v>2300</v>
      </c>
      <c r="H18" s="59"/>
    </row>
    <row r="19" spans="1:13" s="55" customFormat="1" ht="23.1" customHeight="1">
      <c r="A19" s="178" t="s">
        <v>48</v>
      </c>
      <c r="B19" s="179"/>
      <c r="C19" s="179"/>
      <c r="D19" s="179"/>
      <c r="E19" s="179"/>
      <c r="F19" s="179"/>
      <c r="G19" s="58">
        <f>+G18*0.15</f>
        <v>345</v>
      </c>
      <c r="H19" s="59"/>
    </row>
    <row r="20" spans="1:13" s="55" customFormat="1" ht="24.95" customHeight="1" thickBot="1">
      <c r="A20" s="180" t="s">
        <v>86</v>
      </c>
      <c r="B20" s="181"/>
      <c r="C20" s="181"/>
      <c r="D20" s="181"/>
      <c r="E20" s="181"/>
      <c r="F20" s="181"/>
      <c r="G20" s="60">
        <f>G19+G18</f>
        <v>2645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SAMOO-DAESHIN-MT-40-2026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68" t="s">
        <v>88</v>
      </c>
      <c r="B24" s="168"/>
      <c r="C24" s="168"/>
      <c r="D24" s="168"/>
      <c r="E24" s="168"/>
      <c r="F24" s="168"/>
      <c r="G24" s="168"/>
      <c r="H24" s="16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2026-05-11T10:19:26Z</cp:lastPrinted>
  <dcterms:created xsi:type="dcterms:W3CDTF">2024-10-20T11:50:19Z</dcterms:created>
  <dcterms:modified xsi:type="dcterms:W3CDTF">2026-05-11T10:19:28Z</dcterms:modified>
</cp:coreProperties>
</file>