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E5089C6-9D33-485A-96A0-516C1F760925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F10" i="4"/>
  <c r="F11" i="4"/>
  <c r="E8" i="4"/>
  <c r="D8" i="4"/>
  <c r="D9" i="4"/>
  <c r="D10" i="4"/>
  <c r="B11" i="4"/>
  <c r="B10" i="4"/>
  <c r="B9" i="4"/>
  <c r="B8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E11" i="4" s="1"/>
  <c r="G11" i="2"/>
  <c r="D11" i="4" s="1"/>
  <c r="I10" i="2"/>
  <c r="H10" i="2"/>
  <c r="E10" i="4" s="1"/>
  <c r="G10" i="2"/>
  <c r="I9" i="2"/>
  <c r="F9" i="4" s="1"/>
  <c r="H9" i="2"/>
  <c r="E9" i="4" s="1"/>
  <c r="G9" i="2"/>
  <c r="I8" i="2"/>
  <c r="F8" i="4" s="1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8" i="1"/>
  <c r="A9" i="1"/>
  <c r="A9" i="2" s="1"/>
  <c r="A10" i="1"/>
  <c r="A10" i="2" s="1"/>
  <c r="A11" i="1"/>
  <c r="A11" i="2" s="1"/>
  <c r="A12" i="2"/>
  <c r="A13" i="2"/>
  <c r="A14" i="2"/>
  <c r="J15" i="1"/>
  <c r="J15" i="2" s="1"/>
  <c r="J14" i="1"/>
  <c r="J14" i="2" s="1"/>
  <c r="J13" i="1"/>
  <c r="J13" i="2" s="1"/>
  <c r="J12" i="1"/>
  <c r="J12" i="2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J7" i="2" s="1"/>
  <c r="J6" i="1"/>
  <c r="J6" i="2" s="1"/>
  <c r="J16" i="1" l="1"/>
  <c r="K67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<sst xmlns="http://schemas.openxmlformats.org/spreadsheetml/2006/main" count="171" uniqueCount="136">
  <si>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</si>
  <si>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</si>
  <si>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</si>
  <si>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</si>
  <si>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</si>
  <si>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</si>
  <si>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</si>
  <si>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</si>
  <si>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</si>
  <si>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</si>
  <si>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</si>
  <si>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</si>
  <si>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</si>
  <si>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</si>
  <si>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</si>
  <si>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</si>
  <si>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</si>
  <si>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</si>
  <si>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</si>
  <si>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</si>
  <si>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</si>
  <si>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</si>
  <si>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</si>
  <si>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</si>
  <si>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</si>
  <si>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</si>
  <si>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</si>
  <si>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</si>
  <si>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</si>
  <si>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</si>
  <si>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</si>
  <si>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</si>
  <si>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</si>
  <si>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</si>
  <si>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</si>
  <si>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</si>
  <si>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</si>
  <si>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</si>
  <si>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</si>
  <si>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</si>
  <si>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</si>
  <si>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</si>
  <si>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</si>
  <si>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</si>
  <si>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</si>
  <si>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</si>
  <si>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</si>
  <si>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</si>
  <si>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</si>
  <si>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</si>
  <si>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</si>
  <si>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</si>
  <si>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</si>
  <si>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</si>
  <si>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</si>
  <si>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</si>
  <si>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</si>
  <si>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</si>
  <si>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</si>
  <si>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</si>
  <si>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</si>
  <si>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</si>
  <si>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</si>
  <si>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</si>
  <si>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</si>
  <si>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</si>
  <si>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</si>
  <si>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</si>
  <si>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</si>
  <si>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</si>
  <si>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</si>
  <si>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</si>
  <si>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</si>
  <si>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</si>
  <si>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</si>
  <si>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</si>
  <si>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</si>
  <si>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</si>
  <si>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</si>
  <si>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</si>
  <si>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</si>
  <si>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</si>
  <si>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</si>
  <si>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</si>
  <si>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</si>
  <si>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</si>
  <si>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</si>
  <si>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</si>
  <si>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</si>
  <si>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</si>
  <si>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</si>
  <si>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</si>
  <si>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</si>
  <si>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</si>
  <si>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</si>
  <si>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</si>
  <si>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</si>
  <si>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</si>
  <si>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</si>
  <si>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</si>
  <si>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</si>
  <si>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</si>
  <si>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</si>
  <si>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</si>
  <si>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</si>
  <si>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</si>
  <si>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</si>
  <si>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</si>
  <si>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</si>
  <si>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</si>
  <si>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</si>
  <si>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</si>
  <si>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</si>
  <si>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EA</t>
  </si>
  <si>
    <t xml:space="preserve">Mobile: </t>
  </si>
  <si>
    <t>CHAIN BLOCK</t>
  </si>
  <si>
    <t>WEB SLING BELT</t>
  </si>
  <si>
    <t>3TON X 3MTR</t>
  </si>
  <si>
    <t>2TON X 6MTR</t>
  </si>
  <si>
    <t>2" X 2MTR</t>
  </si>
  <si>
    <t>2" X 4MTR</t>
  </si>
  <si>
    <t>3" X 3MTR</t>
  </si>
  <si>
    <t>3" X 4MTR</t>
  </si>
  <si>
    <t>FALSQ_2026_00164</t>
  </si>
  <si>
    <t>Site Materials</t>
  </si>
  <si>
    <t>FAIC(Fortwall Arabia Industrial Co.)</t>
  </si>
  <si>
    <t>2051261324</t>
  </si>
  <si>
    <t>312693183700003</t>
  </si>
  <si>
    <t>Muhammed Imthiyas Nedumpokkil</t>
  </si>
  <si>
    <t xml:space="preserve">Email; </t>
  </si>
  <si>
    <t>Building No. 3500,Al Aqrabiyah Dist. Al Khobar 34446, KSA</t>
  </si>
  <si>
    <t>FORTWALL ARABIA INDUSTRIAL CO.</t>
  </si>
  <si>
    <t>SA7010000005200000594708</t>
  </si>
  <si>
    <t>05200000594708</t>
  </si>
  <si>
    <t>FAIC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</si>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</sst>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135</v>
      </c>
      <c r="B3" s="93"/>
      <c r="C3" s="93"/>
      <c r="D3" s="93"/>
      <c r="E3" s="132">
        <f>+L3</f>
        <v>46042</v>
      </c>
      <c r="F3" s="132"/>
      <c r="G3" s="132"/>
      <c r="H3" s="132"/>
      <c r="I3" s="132"/>
      <c r="J3" s="93"/>
      <c r="K3" s="93"/>
      <c r="L3" s="105">
        <v>46042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23.25" customHeight="1">
      <c r="A6" s="5">
        <f t="shared" ref="A6:A11" si="0">ROW(A1)</f>
        <v>1</v>
      </c>
      <c r="B6" s="121" t="s">
        <v>115</v>
      </c>
      <c r="C6" s="122"/>
      <c r="D6" s="123" t="s">
        <v>117</v>
      </c>
      <c r="E6" s="124"/>
      <c r="F6" s="125"/>
      <c r="G6" s="112" t="s">
        <v>113</v>
      </c>
      <c r="H6" s="112">
        <v>40</v>
      </c>
      <c r="I6" s="113">
        <v>380</v>
      </c>
      <c r="J6" s="100">
        <f>H6*I6</f>
        <v>15200</v>
      </c>
      <c r="K6" s="101" t="s">
        <v>134</v>
      </c>
      <c r="L6" s="102" t="s">
        <v>99</v>
      </c>
      <c r="R6" s="98"/>
    </row>
    <row r="7" spans="1:18" ht="23.25" customHeight="1">
      <c r="A7" s="5">
        <f t="shared" si="0"/>
        <v>2</v>
      </c>
      <c r="B7" s="121" t="s">
        <v>115</v>
      </c>
      <c r="C7" s="122"/>
      <c r="D7" s="123" t="s">
        <v>118</v>
      </c>
      <c r="E7" s="124"/>
      <c r="F7" s="125"/>
      <c r="G7" s="112" t="s">
        <v>113</v>
      </c>
      <c r="H7" s="112">
        <v>25</v>
      </c>
      <c r="I7" s="113">
        <v>400</v>
      </c>
      <c r="J7" s="100">
        <f t="shared" ref="J7:J15" si="1">H7*I7</f>
        <v>10000</v>
      </c>
      <c r="K7" s="101"/>
      <c r="L7" s="102"/>
      <c r="R7" s="98"/>
    </row>
    <row r="8" spans="1:18" ht="23.25" customHeight="1">
      <c r="A8" s="5">
        <f t="shared" si="0"/>
        <v>3</v>
      </c>
      <c r="B8" s="121" t="s">
        <v>116</v>
      </c>
      <c r="C8" s="122"/>
      <c r="D8" s="123" t="s">
        <v>119</v>
      </c>
      <c r="E8" s="124"/>
      <c r="F8" s="125"/>
      <c r="G8" s="112" t="s">
        <v>113</v>
      </c>
      <c r="H8" s="112">
        <v>80</v>
      </c>
      <c r="I8" s="113">
        <v>18</v>
      </c>
      <c r="J8" s="100">
        <f t="shared" si="1"/>
        <v>1440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116</v>
      </c>
      <c r="C9" s="122"/>
      <c r="D9" s="123" t="s">
        <v>120</v>
      </c>
      <c r="E9" s="124"/>
      <c r="F9" s="125"/>
      <c r="G9" s="112" t="s">
        <v>113</v>
      </c>
      <c r="H9" s="112">
        <v>80</v>
      </c>
      <c r="I9" s="113">
        <v>28</v>
      </c>
      <c r="J9" s="100">
        <f t="shared" si="1"/>
        <v>2240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116</v>
      </c>
      <c r="C10" s="122"/>
      <c r="D10" s="123" t="s">
        <v>121</v>
      </c>
      <c r="E10" s="124"/>
      <c r="F10" s="125"/>
      <c r="G10" s="112" t="s">
        <v>113</v>
      </c>
      <c r="H10" s="112">
        <v>20</v>
      </c>
      <c r="I10" s="113">
        <v>33</v>
      </c>
      <c r="J10" s="100">
        <f t="shared" si="1"/>
        <v>660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116</v>
      </c>
      <c r="C11" s="122"/>
      <c r="D11" s="123" t="s">
        <v>122</v>
      </c>
      <c r="E11" s="124"/>
      <c r="F11" s="125"/>
      <c r="G11" s="112" t="s">
        <v>113</v>
      </c>
      <c r="H11" s="112">
        <v>20</v>
      </c>
      <c r="I11" s="113">
        <v>42</v>
      </c>
      <c r="J11" s="100">
        <f t="shared" si="1"/>
        <v>840</v>
      </c>
      <c r="K11" s="101"/>
      <c r="L11" s="102"/>
      <c r="R11" s="98"/>
    </row>
    <row r="12" spans="1:18" ht="23.25" customHeight="1">
      <c r="A12" s="5"/>
      <c r="B12" s="121"/>
      <c r="C12" s="122"/>
      <c r="D12" s="123"/>
      <c r="E12" s="124"/>
      <c r="F12" s="125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/>
      <c r="B13" s="121"/>
      <c r="C13" s="122"/>
      <c r="D13" s="123"/>
      <c r="E13" s="124"/>
      <c r="F13" s="125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/>
      <c r="B14" s="121"/>
      <c r="C14" s="122"/>
      <c r="D14" s="123"/>
      <c r="E14" s="124"/>
      <c r="F14" s="125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/>
      <c r="B15" s="121"/>
      <c r="C15" s="122"/>
      <c r="D15" s="123"/>
      <c r="E15" s="124"/>
      <c r="F15" s="125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30380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7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SAC2-DS-MRS-0209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46042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CHAIN BLOCK</v>
      </c>
      <c r="C6" s="154"/>
      <c r="D6" s="155" t="str">
        <f>MRS!D6</f>
        <v>3TON X 3MTR</v>
      </c>
      <c r="E6" s="156"/>
      <c r="F6" s="157"/>
      <c r="G6" s="95" t="str">
        <f>MRS!G6</f>
        <v>EA</v>
      </c>
      <c r="H6" s="95">
        <f>MRS!H6</f>
        <v>40</v>
      </c>
      <c r="I6" s="96">
        <f>MRS!I6</f>
        <v>380</v>
      </c>
      <c r="J6" s="96">
        <f>MRS!J6</f>
        <v>15200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CHAIN BLOCK</v>
      </c>
      <c r="C7" s="154"/>
      <c r="D7" s="155" t="str">
        <f>MRS!D7</f>
        <v>2TON X 6MTR</v>
      </c>
      <c r="E7" s="156"/>
      <c r="F7" s="157"/>
      <c r="G7" s="95" t="str">
        <f>MRS!G7</f>
        <v>EA</v>
      </c>
      <c r="H7" s="95">
        <f>MRS!H7</f>
        <v>25</v>
      </c>
      <c r="I7" s="96">
        <f>MRS!I7</f>
        <v>400</v>
      </c>
      <c r="J7" s="96">
        <f>MRS!J7</f>
        <v>10000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WEB SLING BELT</v>
      </c>
      <c r="C8" s="154"/>
      <c r="D8" s="155" t="str">
        <f>MRS!D8</f>
        <v>2" X 2MTR</v>
      </c>
      <c r="E8" s="156"/>
      <c r="F8" s="157"/>
      <c r="G8" s="95" t="str">
        <f>MRS!G8</f>
        <v>EA</v>
      </c>
      <c r="H8" s="95">
        <f>MRS!H8</f>
        <v>80</v>
      </c>
      <c r="I8" s="96">
        <f>MRS!I8</f>
        <v>18</v>
      </c>
      <c r="J8" s="96">
        <f>MRS!J8</f>
        <v>1440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WEB SLING BELT</v>
      </c>
      <c r="C9" s="154"/>
      <c r="D9" s="155" t="str">
        <f>MRS!D9</f>
        <v>2" X 4MTR</v>
      </c>
      <c r="E9" s="156"/>
      <c r="F9" s="157"/>
      <c r="G9" s="95" t="str">
        <f>MRS!G9</f>
        <v>EA</v>
      </c>
      <c r="H9" s="95">
        <f>MRS!H9</f>
        <v>80</v>
      </c>
      <c r="I9" s="96">
        <f>MRS!I9</f>
        <v>28</v>
      </c>
      <c r="J9" s="96">
        <f>MRS!J9</f>
        <v>2240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WEB SLING BELT</v>
      </c>
      <c r="C10" s="154"/>
      <c r="D10" s="155" t="str">
        <f>MRS!D10</f>
        <v>3" X 3MTR</v>
      </c>
      <c r="E10" s="156"/>
      <c r="F10" s="157"/>
      <c r="G10" s="95" t="str">
        <f>MRS!G10</f>
        <v>EA</v>
      </c>
      <c r="H10" s="95">
        <f>MRS!H10</f>
        <v>20</v>
      </c>
      <c r="I10" s="96">
        <f>MRS!I10</f>
        <v>33</v>
      </c>
      <c r="J10" s="96">
        <f>MRS!J10</f>
        <v>660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WEB SLING BELT</v>
      </c>
      <c r="C11" s="154"/>
      <c r="D11" s="155" t="str">
        <f>MRS!D11</f>
        <v>3" X 4MTR</v>
      </c>
      <c r="E11" s="156"/>
      <c r="F11" s="157"/>
      <c r="G11" s="95" t="str">
        <f>MRS!G11</f>
        <v>EA</v>
      </c>
      <c r="H11" s="95">
        <f>MRS!H11</f>
        <v>20</v>
      </c>
      <c r="I11" s="96">
        <f>MRS!I11</f>
        <v>42</v>
      </c>
      <c r="J11" s="96">
        <f>MRS!J11</f>
        <v>840</v>
      </c>
      <c r="K11" s="97"/>
      <c r="O11" s="98"/>
      <c r="P11" s="98"/>
      <c r="R11" s="98"/>
    </row>
    <row r="12" spans="1:18" ht="105" customHeight="1">
      <c r="A12" s="21">
        <f>+MRS!A12</f>
        <v>0</v>
      </c>
      <c r="B12" s="153">
        <f>MRS!B12</f>
        <v>0</v>
      </c>
      <c r="C12" s="154"/>
      <c r="D12" s="155">
        <f>MRS!D12</f>
        <v>0</v>
      </c>
      <c r="E12" s="156"/>
      <c r="F12" s="15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0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0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F56" sqref="F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125</v>
      </c>
      <c r="D9" s="38"/>
      <c r="E9" s="38"/>
    </row>
    <row r="10" spans="2:13" s="38" customFormat="1">
      <c r="B10" s="69"/>
      <c r="C10" s="38" t="s">
        <v>29</v>
      </c>
      <c r="D10" s="73" t="s">
        <v>126</v>
      </c>
      <c r="J10" s="38" t="s">
        <v>30</v>
      </c>
      <c r="K10" s="161">
        <f>MRS!L3</f>
        <v>46042</v>
      </c>
      <c r="L10" s="162"/>
      <c r="M10" s="162"/>
    </row>
    <row r="11" spans="2:13" s="38" customFormat="1">
      <c r="B11" s="69"/>
      <c r="C11" s="72" t="s">
        <v>31</v>
      </c>
      <c r="D11" s="73" t="s">
        <v>127</v>
      </c>
      <c r="J11" s="38" t="s">
        <v>32</v>
      </c>
      <c r="K11" s="163" t="str">
        <f>SUBSTITUTE(SUBSTITUTE(+MRS!A3,"  MRS No : ",""),"-MRS","-PO")</f>
        <v>SAC2-DS-PO-0209</v>
      </c>
      <c r="L11" s="163"/>
      <c r="M11" s="163"/>
    </row>
    <row r="12" spans="2:13" s="38" customFormat="1">
      <c r="B12" s="69"/>
      <c r="C12" s="72" t="s">
        <v>33</v>
      </c>
      <c r="D12" s="38" t="s">
        <v>128</v>
      </c>
      <c r="J12" s="38" t="s">
        <v>34</v>
      </c>
    </row>
    <row r="13" spans="2:13" s="38" customFormat="1">
      <c r="B13" s="69"/>
      <c r="C13" s="74"/>
      <c r="D13" s="73" t="s">
        <v>129</v>
      </c>
      <c r="J13" s="38" t="s">
        <v>35</v>
      </c>
    </row>
    <row r="14" spans="2:13" s="38" customFormat="1">
      <c r="B14" s="69"/>
      <c r="C14" s="115" t="s">
        <v>130</v>
      </c>
      <c r="J14" s="38" t="s">
        <v>36</v>
      </c>
      <c r="K14" s="38" t="s">
        <v>123</v>
      </c>
    </row>
    <row r="15" spans="2:13" s="38" customFormat="1">
      <c r="B15" s="69"/>
      <c r="C15" s="72" t="s">
        <v>114</v>
      </c>
      <c r="J15" s="38" t="s">
        <v>37</v>
      </c>
      <c r="K15" s="75">
        <v>46033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30380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4557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34937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106</v>
      </c>
      <c r="F54" s="26" t="s">
        <v>131</v>
      </c>
      <c r="P54" s="26" t="str">
        <f>UPPER(F54)</f>
        <v>FORTWALL ARABIA INDUSTRIAL CO.</v>
      </c>
    </row>
    <row r="55" spans="2:16" ht="12" customHeight="1">
      <c r="B55" s="81" t="s">
        <v>62</v>
      </c>
      <c r="C55" s="117" t="s">
        <v>107</v>
      </c>
      <c r="F55" s="118" t="s">
        <v>133</v>
      </c>
    </row>
    <row r="56" spans="2:16" ht="12" customHeight="1">
      <c r="B56" s="81" t="s">
        <v>62</v>
      </c>
      <c r="C56" s="117" t="s">
        <v>108</v>
      </c>
      <c r="F56" s="26" t="s">
        <v>132</v>
      </c>
    </row>
    <row r="57" spans="2:16" ht="12" customHeight="1">
      <c r="B57" s="81" t="s">
        <v>62</v>
      </c>
      <c r="C57" s="117" t="s">
        <v>109</v>
      </c>
      <c r="F57" s="26" t="s">
        <v>103</v>
      </c>
    </row>
    <row r="58" spans="2:16" ht="12" customHeight="1">
      <c r="B58" s="81" t="s">
        <v>62</v>
      </c>
      <c r="C58" s="117" t="s">
        <v>110</v>
      </c>
      <c r="F58" s="26" t="s">
        <v>104</v>
      </c>
    </row>
    <row r="59" spans="2:16" ht="12" customHeight="1">
      <c r="B59" s="81" t="s">
        <v>62</v>
      </c>
      <c r="C59" s="117" t="s">
        <v>111</v>
      </c>
      <c r="F59" s="26" t="s">
        <v>105</v>
      </c>
    </row>
    <row r="60" spans="2:16" ht="12" customHeight="1">
      <c r="B60" s="81"/>
      <c r="C60" s="117" t="s">
        <v>112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Muhammed Imthiyas Nedumpokkil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8" t="str">
        <f>C9</f>
        <v>FAIC(Fortwall Arabia Industrial Co.)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tabSelected="1" view="pageBreakPreview" topLeftCell="A2" zoomScaleSheetLayoutView="100" zoomScalePageLayoutView="55" workbookViewId="0">
      <selection activeCell="A12" sqref="A12:G14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SAC2-DS-PO-0209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46042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FAIC(Fortwall Arabia Industrial Co.)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1" si="0">ROW(A1)</f>
        <v>1</v>
      </c>
      <c r="B6" s="169" t="str">
        <f>MRS!B6&amp;" "&amp;MRS!D6</f>
        <v>CHAIN BLOCK 3TON X 3MTR</v>
      </c>
      <c r="C6" s="170"/>
      <c r="D6" s="83" t="str">
        <f>MRS!G6</f>
        <v>EA</v>
      </c>
      <c r="E6" s="84">
        <f>MRS!H6</f>
        <v>40</v>
      </c>
      <c r="F6" s="85">
        <f>+'MRS LIST'!I6</f>
        <v>380</v>
      </c>
      <c r="G6" s="86">
        <f>+'MRS LIST'!J6</f>
        <v>15200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CHAIN BLOCK 2TON X 6MTR</v>
      </c>
      <c r="C7" s="170"/>
      <c r="D7" s="83" t="str">
        <f>+'MRS LIST'!G7</f>
        <v>EA</v>
      </c>
      <c r="E7" s="84">
        <f>+'MRS LIST'!H7</f>
        <v>25</v>
      </c>
      <c r="F7" s="85">
        <f>+'MRS LIST'!I7</f>
        <v>400</v>
      </c>
      <c r="G7" s="86">
        <f>+'MRS LIST'!J7</f>
        <v>10000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 t="str">
        <f>MRS!B8&amp;" "&amp;MRS!D8</f>
        <v>WEB SLING BELT 2" X 2MTR</v>
      </c>
      <c r="C8" s="170"/>
      <c r="D8" s="83" t="str">
        <f>+'MRS LIST'!G8</f>
        <v>EA</v>
      </c>
      <c r="E8" s="84">
        <f>+'MRS LIST'!H8</f>
        <v>80</v>
      </c>
      <c r="F8" s="85">
        <f>+'MRS LIST'!I8</f>
        <v>18</v>
      </c>
      <c r="G8" s="86">
        <f>+'MRS LIST'!J8</f>
        <v>1440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 t="str">
        <f>MRS!B9&amp;" "&amp;MRS!D9</f>
        <v>WEB SLING BELT 2" X 4MTR</v>
      </c>
      <c r="C9" s="170"/>
      <c r="D9" s="83" t="str">
        <f>+'MRS LIST'!G9</f>
        <v>EA</v>
      </c>
      <c r="E9" s="84">
        <f>+'MRS LIST'!H9</f>
        <v>80</v>
      </c>
      <c r="F9" s="85">
        <f>+'MRS LIST'!I9</f>
        <v>28</v>
      </c>
      <c r="G9" s="86">
        <f>+'MRS LIST'!J9</f>
        <v>2240</v>
      </c>
      <c r="H9" s="91"/>
    </row>
    <row r="10" spans="1:13" s="52" customFormat="1" ht="32.1" customHeight="1">
      <c r="A10" s="90">
        <f t="shared" si="0"/>
        <v>5</v>
      </c>
      <c r="B10" s="169" t="str">
        <f>MRS!B10&amp;" "&amp;MRS!D10</f>
        <v>WEB SLING BELT 3" X 3MTR</v>
      </c>
      <c r="C10" s="170"/>
      <c r="D10" s="83" t="str">
        <f>+'MRS LIST'!G10</f>
        <v>EA</v>
      </c>
      <c r="E10" s="84">
        <f>+'MRS LIST'!H10</f>
        <v>20</v>
      </c>
      <c r="F10" s="85">
        <f>+'MRS LIST'!I10</f>
        <v>33</v>
      </c>
      <c r="G10" s="86">
        <f>+'MRS LIST'!J10</f>
        <v>660</v>
      </c>
      <c r="H10" s="91"/>
    </row>
    <row r="11" spans="1:13" s="52" customFormat="1" ht="32.1" customHeight="1">
      <c r="A11" s="90">
        <f t="shared" si="0"/>
        <v>6</v>
      </c>
      <c r="B11" s="169" t="str">
        <f>MRS!B11&amp;" "&amp;MRS!D11</f>
        <v>WEB SLING BELT 3" X 4MTR</v>
      </c>
      <c r="C11" s="170"/>
      <c r="D11" s="83" t="str">
        <f>+'MRS LIST'!G11</f>
        <v>EA</v>
      </c>
      <c r="E11" s="84">
        <f>+'MRS LIST'!H11</f>
        <v>20</v>
      </c>
      <c r="F11" s="85">
        <f>+'MRS LIST'!I11</f>
        <v>42</v>
      </c>
      <c r="G11" s="86">
        <f>+'MRS LIST'!J11</f>
        <v>840</v>
      </c>
      <c r="H11" s="91"/>
    </row>
    <row r="12" spans="1:13" s="52" customFormat="1" ht="32.1" customHeight="1">
      <c r="A12" s="90"/>
      <c r="B12" s="169"/>
      <c r="C12" s="170"/>
      <c r="D12" s="83"/>
      <c r="E12" s="84"/>
      <c r="F12" s="85"/>
      <c r="G12" s="86"/>
      <c r="H12" s="91"/>
    </row>
    <row r="13" spans="1:13" s="52" customFormat="1" ht="32.1" customHeight="1">
      <c r="A13" s="90"/>
      <c r="B13" s="169"/>
      <c r="C13" s="170"/>
      <c r="D13" s="83"/>
      <c r="E13" s="84"/>
      <c r="F13" s="85"/>
      <c r="G13" s="86"/>
      <c r="H13" s="91"/>
    </row>
    <row r="14" spans="1:13" s="52" customFormat="1" ht="32.1" customHeight="1">
      <c r="A14" s="90"/>
      <c r="B14" s="169"/>
      <c r="C14" s="170"/>
      <c r="D14" s="83"/>
      <c r="E14" s="84"/>
      <c r="F14" s="85"/>
      <c r="G14" s="86"/>
      <c r="H14" s="91"/>
    </row>
    <row r="15" spans="1:13" s="52" customFormat="1" ht="32.1" customHeight="1">
      <c r="A15" s="90"/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30380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4557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34937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FALSQ_2026_00164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2026-01-20T08:32:53Z</cp:lastPrinted>
  <dcterms:created xsi:type="dcterms:W3CDTF">2024-10-20T11:50:19Z</dcterms:created>
  <dcterms:modified xsi:type="dcterms:W3CDTF">2026-01-20T08:33:52Z</dcterms:modified>
</cp:coreProperties>
</file>