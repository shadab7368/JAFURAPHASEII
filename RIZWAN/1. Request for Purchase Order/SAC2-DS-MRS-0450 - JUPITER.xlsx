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72BDCAB-CA2A-462D-8DF0-D2B5CC2CDB5A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14" i="4"/>
  <c r="B13" i="4"/>
  <c r="B12" i="4"/>
  <c r="B11" i="4"/>
  <c r="E3" i="1" l="1"/>
  <c r="H6" i="4" l="1"/>
  <c r="A8" i="1"/>
  <c r="A9" i="1"/>
  <c r="A10" i="1"/>
  <c r="A11" i="1"/>
  <c r="A12" i="1"/>
  <c r="A13" i="1"/>
  <c r="A14" i="1"/>
  <c r="A15" i="1"/>
  <c r="J11" i="2"/>
  <c r="J10" i="2"/>
  <c r="F6" i="4"/>
  <c r="E6" i="4"/>
  <c r="D6" i="4"/>
  <c r="A18" i="4"/>
  <c r="A19" i="4"/>
  <c r="A17" i="4"/>
  <c r="A16" i="4"/>
  <c r="A14" i="4"/>
  <c r="A15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G21" i="4" l="1"/>
  <c r="G22" i="4" l="1"/>
</calcChain>
</file>

<file path=xl/sharedStrings.xml><?xml version="1.0" encoding="utf-8"?>
<sst xmlns="http://schemas.openxmlformats.org/spreadsheetml/2006/main" count="164" uniqueCount="135">
  <si>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</si>
  <si>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</si>
  <si>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</si>
  <si>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</si>
  <si>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</si>
  <si>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</si>
  <si>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</si>
  <si>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</si>
  <si>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</si>
  <si>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</si>
  <si>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</si>
  <si>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</si>
  <si>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</si>
  <si>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</si>
  <si>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</si>
  <si>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</si>
  <si>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</si>
  <si>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</si>
  <si>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</si>
  <si>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</si>
  <si>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</si>
  <si>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</si>
  <si>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</si>
  <si>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</si>
  <si>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</si>
  <si>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</si>
  <si>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</si>
  <si>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</si>
  <si>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</si>
  <si>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</si>
  <si>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</si>
  <si>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</si>
  <si>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</si>
  <si>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</si>
  <si>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</si>
  <si>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</si>
  <si>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</si>
  <si>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</si>
  <si>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</si>
  <si>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</si>
  <si>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</si>
  <si>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</si>
  <si>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</si>
  <si>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</si>
  <si>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</si>
  <si>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</si>
  <si>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</si>
  <si>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</si>
  <si>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</si>
  <si>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</si>
  <si>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</si>
  <si>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</si>
  <si>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</si>
  <si>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</si>
  <si>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</si>
  <si>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</si>
  <si>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</si>
  <si>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</si>
  <si>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</si>
  <si>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</si>
  <si>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</si>
  <si>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</si>
  <si>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</si>
  <si>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</si>
  <si>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</si>
  <si>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</si>
  <si>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</si>
  <si>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</si>
  <si>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</si>
  <si>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</si>
  <si>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</si>
  <si>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</si>
  <si>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</si>
  <si>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</si>
  <si>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</si>
  <si>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</si>
  <si>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</si>
  <si>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</si>
  <si>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</si>
  <si>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</si>
  <si>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</si>
  <si>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</si>
  <si>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</si>
  <si>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</si>
  <si>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</si>
  <si>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</si>
  <si>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</si>
  <si>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</si>
  <si>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 xml:space="preserve"> CR No. :</t>
    <phoneticPr fontId="7" type="noConversion"/>
  </si>
  <si>
    <t xml:space="preserve"> VAT No. : </t>
    <phoneticPr fontId="7" type="noConversion"/>
  </si>
  <si>
    <t xml:space="preserve"> In Charge :</t>
    <phoneticPr fontId="7" type="noConversion"/>
  </si>
  <si>
    <t>Branch of Hyundai Engineering and Const. Co., Ltd. (HDEC)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</si>
  <si>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</si>
  <si>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</si>
  <si>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</si>
  <si>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</si>
  <si>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</si>
  <si>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</si>
  <si>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</si>
  <si>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</si>
  <si>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</si>
  <si>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Monthly based</t>
  </si>
  <si>
    <t>Monthly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</si>
  <si>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</si>
  <si>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</si>
  <si>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</si>
  <si>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</si>
  <si>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</si>
  <si>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</si>
  <si>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</si>
  <si>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</si>
  <si>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</si>
  <si>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</si>
  <si>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</si>
  <si>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</si>
  <si>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</si>
  <si>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</si>
  <si>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Hour</t>
  </si>
  <si>
    <t>7038684143</t>
  </si>
  <si>
    <t>312135519600003</t>
  </si>
  <si>
    <t>Jaseer Parampat</t>
  </si>
  <si>
    <t>+966 591252163 /  Email:info@jupitergcc.com</t>
  </si>
  <si>
    <t>Bldg No 6990 Al Bustan dist Zip code 35514 Jubail KSA</t>
  </si>
  <si>
    <t>Mobile : +966 591252163</t>
  </si>
  <si>
    <t>JUPITER CONTRACTING CO.</t>
  </si>
  <si>
    <t>SA56 8000 0561 6080 1023 0762</t>
  </si>
  <si>
    <t>ALRAJHI BANK</t>
  </si>
  <si>
    <t>RJHISARI</t>
  </si>
  <si>
    <t>Manager Operations</t>
  </si>
  <si>
    <t>JCC(Jupirter Contracting Company)</t>
  </si>
  <si>
    <t>56000010006080230762</t>
  </si>
  <si>
    <t>JCC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</si>
  <si>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-MRS-0450</t>
    </r>
  </si>
  <si>
    <t>Carpenter</t>
  </si>
  <si>
    <t>JPR-QTN-DPCC-JCC2634-02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</si>
</sst>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4" fillId="2" borderId="0" xfId="1" quotePrefix="1" applyFont="1" applyFill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17</xdr:row>
          <xdr:rowOff>9525</xdr:rowOff>
        </xdr:from>
        <xdr:to>
          <xdr:col>11</xdr:col>
          <xdr:colOff>1617245</xdr:colOff>
          <xdr:row>23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L9" sqref="L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115</v>
      </c>
      <c r="B1" s="126"/>
      <c r="C1" s="101"/>
      <c r="D1" s="101"/>
      <c r="E1" s="101"/>
      <c r="F1" s="101"/>
      <c r="G1" s="1"/>
      <c r="J1" s="151" t="s">
        <v>79</v>
      </c>
      <c r="K1" s="152"/>
      <c r="L1" s="153"/>
    </row>
    <row r="2" spans="1:19" ht="20.100000000000001" customHeight="1">
      <c r="A2" s="3" t="s">
        <v>1</v>
      </c>
      <c r="B2" s="92"/>
      <c r="C2" s="92"/>
      <c r="D2" s="3" t="s">
        <v>116</v>
      </c>
      <c r="E2" s="92"/>
      <c r="F2" s="92"/>
      <c r="G2" s="92"/>
      <c r="H2" s="92"/>
      <c r="I2" s="4"/>
      <c r="J2" s="154" t="s">
        <v>87</v>
      </c>
      <c r="K2" s="155"/>
      <c r="L2" s="156"/>
    </row>
    <row r="3" spans="1:19" ht="20.100000000000001" customHeight="1">
      <c r="A3" s="3" t="s">
        <v>132</v>
      </c>
      <c r="B3" s="92"/>
      <c r="C3" s="92"/>
      <c r="D3" s="92"/>
      <c r="E3" s="157">
        <f>+L3+3</f>
        <v>46270</v>
      </c>
      <c r="F3" s="157"/>
      <c r="G3" s="157"/>
      <c r="H3" s="157"/>
      <c r="I3" s="157"/>
      <c r="J3" s="92"/>
      <c r="K3" s="92"/>
      <c r="L3" s="127">
        <v>46267</v>
      </c>
      <c r="M3" s="4"/>
    </row>
    <row r="4" spans="1:19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83</v>
      </c>
      <c r="J4" s="158" t="s">
        <v>84</v>
      </c>
      <c r="K4" s="168" t="s">
        <v>0</v>
      </c>
      <c r="L4" s="159" t="s">
        <v>7</v>
      </c>
    </row>
    <row r="5" spans="1:19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9" ht="22.5" customHeight="1">
      <c r="A6" s="5">
        <f t="shared" ref="A6:A15" si="0">ROW(A1)</f>
        <v>1</v>
      </c>
      <c r="B6" s="145" t="s">
        <v>133</v>
      </c>
      <c r="C6" s="146"/>
      <c r="D6" s="147"/>
      <c r="E6" s="147"/>
      <c r="F6" s="147"/>
      <c r="G6" s="102" t="s">
        <v>117</v>
      </c>
      <c r="H6" s="103">
        <v>1</v>
      </c>
      <c r="I6" s="104">
        <v>15</v>
      </c>
      <c r="J6" s="104">
        <f>H6*I6</f>
        <v>15</v>
      </c>
      <c r="K6" s="105" t="s">
        <v>131</v>
      </c>
      <c r="L6" s="115" t="s">
        <v>101</v>
      </c>
      <c r="S6" s="97"/>
    </row>
    <row r="7" spans="1:19" ht="22.5" customHeight="1">
      <c r="A7" s="5">
        <f t="shared" si="0"/>
        <v>2</v>
      </c>
      <c r="B7" s="145"/>
      <c r="C7" s="146"/>
      <c r="D7" s="147"/>
      <c r="E7" s="147"/>
      <c r="F7" s="147"/>
      <c r="G7" s="102"/>
      <c r="H7" s="103"/>
      <c r="I7" s="104"/>
      <c r="J7" s="104"/>
      <c r="K7" s="105"/>
      <c r="L7" s="106"/>
      <c r="S7" s="97"/>
    </row>
    <row r="8" spans="1:19" ht="22.5" customHeight="1">
      <c r="A8" s="5">
        <f t="shared" si="0"/>
        <v>3</v>
      </c>
      <c r="B8" s="145"/>
      <c r="C8" s="146"/>
      <c r="D8" s="147"/>
      <c r="E8" s="147"/>
      <c r="F8" s="147"/>
      <c r="G8" s="102"/>
      <c r="H8" s="103"/>
      <c r="I8" s="104"/>
      <c r="J8" s="104"/>
      <c r="K8" s="105"/>
      <c r="L8" s="106"/>
      <c r="S8" s="97"/>
    </row>
    <row r="9" spans="1:19" ht="22.5" customHeight="1">
      <c r="A9" s="5">
        <f t="shared" si="0"/>
        <v>4</v>
      </c>
      <c r="B9" s="145"/>
      <c r="C9" s="146"/>
      <c r="D9" s="148"/>
      <c r="E9" s="149"/>
      <c r="F9" s="150"/>
      <c r="G9" s="102"/>
      <c r="H9" s="103"/>
      <c r="I9" s="104"/>
      <c r="J9" s="104"/>
      <c r="K9" s="105"/>
      <c r="L9" s="106"/>
      <c r="S9" s="97"/>
    </row>
    <row r="10" spans="1:19" ht="22.5" customHeight="1">
      <c r="A10" s="5">
        <f t="shared" si="0"/>
        <v>5</v>
      </c>
      <c r="B10" s="145"/>
      <c r="C10" s="146"/>
      <c r="D10" s="148"/>
      <c r="E10" s="149"/>
      <c r="F10" s="150"/>
      <c r="G10" s="102"/>
      <c r="H10" s="103"/>
      <c r="I10" s="104"/>
      <c r="J10" s="104"/>
      <c r="K10" s="105"/>
      <c r="L10" s="102"/>
      <c r="S10" s="97"/>
    </row>
    <row r="11" spans="1:19" ht="22.5" customHeight="1">
      <c r="A11" s="5">
        <f t="shared" si="0"/>
        <v>6</v>
      </c>
      <c r="B11" s="145"/>
      <c r="C11" s="146"/>
      <c r="D11" s="148"/>
      <c r="E11" s="149"/>
      <c r="F11" s="150"/>
      <c r="G11" s="102"/>
      <c r="H11" s="103"/>
      <c r="I11" s="104"/>
      <c r="J11" s="104"/>
      <c r="K11" s="105"/>
      <c r="L11" s="106"/>
      <c r="S11" s="97"/>
    </row>
    <row r="12" spans="1:19" ht="22.5" customHeight="1">
      <c r="A12" s="5">
        <f t="shared" si="0"/>
        <v>7</v>
      </c>
      <c r="B12" s="145"/>
      <c r="C12" s="146"/>
      <c r="D12" s="147"/>
      <c r="E12" s="147"/>
      <c r="F12" s="147"/>
      <c r="G12" s="102"/>
      <c r="H12" s="103"/>
      <c r="I12" s="107"/>
      <c r="J12" s="104">
        <f t="shared" ref="J12:J15" si="1">H12*I12</f>
        <v>0</v>
      </c>
      <c r="K12" s="105"/>
      <c r="L12" s="102"/>
      <c r="S12" s="97"/>
    </row>
    <row r="13" spans="1:19" ht="22.5" customHeight="1">
      <c r="A13" s="5">
        <f t="shared" si="0"/>
        <v>8</v>
      </c>
      <c r="B13" s="145"/>
      <c r="C13" s="146"/>
      <c r="D13" s="148"/>
      <c r="E13" s="149"/>
      <c r="F13" s="150"/>
      <c r="G13" s="102"/>
      <c r="H13" s="103"/>
      <c r="I13" s="104"/>
      <c r="J13" s="104">
        <f t="shared" si="1"/>
        <v>0</v>
      </c>
      <c r="K13" s="105"/>
      <c r="L13" s="106"/>
      <c r="O13" s="128"/>
      <c r="S13" s="97"/>
    </row>
    <row r="14" spans="1:19" ht="22.5" customHeight="1">
      <c r="A14" s="5">
        <f t="shared" si="0"/>
        <v>9</v>
      </c>
      <c r="B14" s="145"/>
      <c r="C14" s="146"/>
      <c r="D14" s="148"/>
      <c r="E14" s="149"/>
      <c r="F14" s="150"/>
      <c r="G14" s="102"/>
      <c r="H14" s="103"/>
      <c r="I14" s="104"/>
      <c r="J14" s="104">
        <f t="shared" si="1"/>
        <v>0</v>
      </c>
      <c r="K14" s="105"/>
      <c r="L14" s="106"/>
      <c r="S14" s="97"/>
    </row>
    <row r="15" spans="1:19" ht="22.5" customHeight="1">
      <c r="A15" s="5">
        <f t="shared" si="0"/>
        <v>10</v>
      </c>
      <c r="B15" s="145"/>
      <c r="C15" s="146"/>
      <c r="D15" s="148"/>
      <c r="E15" s="149"/>
      <c r="F15" s="150"/>
      <c r="G15" s="102"/>
      <c r="H15" s="103"/>
      <c r="I15" s="104"/>
      <c r="J15" s="104">
        <f t="shared" si="1"/>
        <v>0</v>
      </c>
      <c r="K15" s="105"/>
      <c r="L15" s="106"/>
      <c r="S15" s="97"/>
    </row>
    <row r="16" spans="1:19" ht="22.5" customHeight="1">
      <c r="A16" s="143" t="s">
        <v>8</v>
      </c>
      <c r="B16" s="144"/>
      <c r="C16" s="108"/>
      <c r="D16" s="109"/>
      <c r="E16" s="109"/>
      <c r="F16" s="109"/>
      <c r="G16" s="110"/>
      <c r="H16" s="110"/>
      <c r="I16" s="111" t="s">
        <v>9</v>
      </c>
      <c r="J16" s="104">
        <f>SUM(J6:J15)</f>
        <v>15</v>
      </c>
      <c r="K16" s="104"/>
      <c r="L16" s="112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3"/>
      <c r="Z18" s="11"/>
    </row>
    <row r="19" spans="1:26" ht="50.1" customHeight="1">
      <c r="Y19" s="134"/>
    </row>
    <row r="20" spans="1:26" ht="15" customHeight="1">
      <c r="O20" s="129" t="s">
        <v>103</v>
      </c>
      <c r="P20" s="135"/>
      <c r="Q20" s="135"/>
      <c r="R20" s="130"/>
      <c r="S20" s="118"/>
      <c r="T20" s="129" t="s">
        <v>104</v>
      </c>
      <c r="U20" s="135"/>
      <c r="V20" s="135"/>
      <c r="W20" s="135"/>
      <c r="X20" s="135"/>
      <c r="Y20" s="130"/>
    </row>
    <row r="21" spans="1:26" ht="15" customHeight="1">
      <c r="O21" s="136" t="s">
        <v>105</v>
      </c>
      <c r="P21" s="138" t="s">
        <v>106</v>
      </c>
      <c r="Q21" s="136" t="s">
        <v>107</v>
      </c>
      <c r="R21" s="138" t="s">
        <v>108</v>
      </c>
      <c r="S21" s="118"/>
      <c r="T21" s="136" t="s">
        <v>109</v>
      </c>
      <c r="U21" s="138" t="s">
        <v>110</v>
      </c>
      <c r="V21" s="129" t="s">
        <v>111</v>
      </c>
      <c r="W21" s="135"/>
      <c r="X21" s="130"/>
      <c r="Y21" s="138" t="s">
        <v>112</v>
      </c>
    </row>
    <row r="22" spans="1:26" ht="18" customHeight="1">
      <c r="O22" s="137"/>
      <c r="P22" s="139"/>
      <c r="Q22" s="137"/>
      <c r="R22" s="139"/>
      <c r="S22" s="119"/>
      <c r="T22" s="137"/>
      <c r="U22" s="139"/>
      <c r="V22" s="13" t="s">
        <v>105</v>
      </c>
      <c r="W22" s="140" t="s">
        <v>113</v>
      </c>
      <c r="X22" s="141"/>
      <c r="Y22" s="139"/>
    </row>
    <row r="23" spans="1:26" ht="50.1" customHeight="1">
      <c r="O23" s="14"/>
      <c r="P23" s="14"/>
      <c r="Q23" s="14"/>
      <c r="R23" s="14"/>
      <c r="S23" s="118"/>
      <c r="T23" s="14"/>
      <c r="U23" s="14"/>
      <c r="V23" s="14"/>
      <c r="W23" s="129"/>
      <c r="X23" s="130"/>
      <c r="Y23" s="120"/>
    </row>
    <row r="24" spans="1:26" ht="36" customHeight="1">
      <c r="W24" s="121"/>
      <c r="X24" s="131" t="s">
        <v>114</v>
      </c>
      <c r="Y24" s="12" t="s">
        <v>112</v>
      </c>
    </row>
    <row r="25" spans="1:26" ht="50.1" customHeight="1">
      <c r="O25" s="122"/>
      <c r="P25" s="122"/>
      <c r="Q25" s="122"/>
      <c r="R25" s="122"/>
      <c r="S25" s="122"/>
      <c r="T25" s="122"/>
      <c r="U25" s="122"/>
      <c r="V25" s="122"/>
      <c r="W25" s="123"/>
      <c r="X25" s="132"/>
      <c r="Y25" s="124"/>
    </row>
    <row r="26" spans="1:26" ht="19.899999999999999" customHeight="1"/>
    <row r="27" spans="1:26" ht="17.45" customHeight="1">
      <c r="O27" s="142"/>
      <c r="P27" s="142"/>
    </row>
    <row r="28" spans="1:26" ht="19.899999999999999" customHeight="1">
      <c r="O28" s="142"/>
      <c r="P28" s="14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8" t="s">
        <v>12</v>
      </c>
    </row>
    <row r="41" spans="15:22" ht="19.899999999999999" customHeight="1">
      <c r="T41" s="139"/>
    </row>
    <row r="42" spans="15:22" ht="64.900000000000006" customHeight="1">
      <c r="T42" s="14"/>
    </row>
    <row r="46" spans="15:22" ht="21" customHeight="1">
      <c r="O46" s="138" t="s">
        <v>12</v>
      </c>
      <c r="P46" s="138" t="s">
        <v>12</v>
      </c>
      <c r="Q46" s="138" t="s">
        <v>12</v>
      </c>
      <c r="T46" s="138" t="s">
        <v>13</v>
      </c>
      <c r="U46" s="138" t="s">
        <v>11</v>
      </c>
      <c r="V46" s="138" t="s">
        <v>12</v>
      </c>
    </row>
    <row r="47" spans="15:22" ht="21" customHeight="1">
      <c r="O47" s="139"/>
      <c r="P47" s="139"/>
      <c r="Q47" s="139"/>
      <c r="T47" s="137"/>
      <c r="U47" s="137"/>
      <c r="V47" s="13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8" t="s">
        <v>12</v>
      </c>
      <c r="P50" s="138" t="s">
        <v>12</v>
      </c>
      <c r="Q50" s="138" t="s">
        <v>12</v>
      </c>
      <c r="T50" s="138" t="s">
        <v>11</v>
      </c>
      <c r="U50" s="138" t="s">
        <v>13</v>
      </c>
      <c r="V50" s="138" t="s">
        <v>12</v>
      </c>
    </row>
    <row r="51" spans="15:22" ht="21" customHeight="1">
      <c r="O51" s="139"/>
      <c r="P51" s="139"/>
      <c r="Q51" s="139"/>
      <c r="T51" s="137"/>
      <c r="U51" s="137"/>
      <c r="V51" s="13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A16:B16"/>
    <mergeCell ref="P21:P22"/>
    <mergeCell ref="Q21:Q22"/>
    <mergeCell ref="B12:C12"/>
    <mergeCell ref="D12:F12"/>
    <mergeCell ref="B13:C13"/>
    <mergeCell ref="D13:F13"/>
    <mergeCell ref="B15:C15"/>
    <mergeCell ref="D15:F15"/>
    <mergeCell ref="B14:C14"/>
    <mergeCell ref="D14:F14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M12" sqref="M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SAC2-DS-MRS-0450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46267</v>
      </c>
    </row>
    <row r="4" spans="1:18" ht="15.95" customHeight="1">
      <c r="A4" s="180" t="s">
        <v>2</v>
      </c>
      <c r="B4" s="181" t="s">
        <v>14</v>
      </c>
      <c r="C4" s="181"/>
      <c r="D4" s="180" t="s">
        <v>4</v>
      </c>
      <c r="E4" s="180"/>
      <c r="F4" s="180"/>
      <c r="G4" s="181" t="s">
        <v>5</v>
      </c>
      <c r="H4" s="180" t="s">
        <v>80</v>
      </c>
      <c r="I4" s="180" t="s">
        <v>15</v>
      </c>
      <c r="J4" s="180" t="s">
        <v>16</v>
      </c>
      <c r="K4" s="181" t="s">
        <v>7</v>
      </c>
    </row>
    <row r="5" spans="1:18" ht="15.95" customHeight="1">
      <c r="A5" s="180"/>
      <c r="B5" s="181"/>
      <c r="C5" s="181"/>
      <c r="D5" s="180"/>
      <c r="E5" s="180"/>
      <c r="F5" s="180"/>
      <c r="G5" s="181"/>
      <c r="H5" s="180"/>
      <c r="I5" s="180"/>
      <c r="J5" s="180"/>
      <c r="K5" s="181"/>
    </row>
    <row r="6" spans="1:18" ht="105" customHeight="1">
      <c r="A6" s="17">
        <f>+MRS!A6</f>
        <v>1</v>
      </c>
      <c r="B6" s="170" t="str">
        <f>MRS!B6</f>
        <v>Carpenter</v>
      </c>
      <c r="C6" s="171"/>
      <c r="D6" s="172">
        <f>MRS!D6</f>
        <v>0</v>
      </c>
      <c r="E6" s="173"/>
      <c r="F6" s="174"/>
      <c r="G6" s="94" t="str">
        <f>MRS!G6</f>
        <v>Hour</v>
      </c>
      <c r="H6" s="94">
        <f>MRS!H6</f>
        <v>1</v>
      </c>
      <c r="I6" s="95">
        <f>MRS!I6</f>
        <v>15</v>
      </c>
      <c r="J6" s="95">
        <f>MRS!J6</f>
        <v>15</v>
      </c>
      <c r="K6" s="96"/>
      <c r="O6" s="97"/>
      <c r="P6" s="97"/>
      <c r="R6" s="97"/>
    </row>
    <row r="7" spans="1:18" ht="105" customHeight="1">
      <c r="A7" s="17">
        <f>+MRS!A7</f>
        <v>2</v>
      </c>
      <c r="B7" s="170">
        <f>MRS!B7</f>
        <v>0</v>
      </c>
      <c r="C7" s="171"/>
      <c r="D7" s="172">
        <f>MRS!D7</f>
        <v>0</v>
      </c>
      <c r="E7" s="173"/>
      <c r="F7" s="174"/>
      <c r="G7" s="94">
        <f>MRS!G7</f>
        <v>0</v>
      </c>
      <c r="H7" s="94">
        <f>MRS!H7</f>
        <v>0</v>
      </c>
      <c r="I7" s="95">
        <f>MRS!I7</f>
        <v>0</v>
      </c>
      <c r="J7" s="95">
        <f>MRS!J7</f>
        <v>0</v>
      </c>
      <c r="K7" s="96"/>
      <c r="O7" s="97"/>
      <c r="P7" s="97"/>
      <c r="R7" s="97"/>
    </row>
    <row r="8" spans="1:18" ht="105" customHeight="1">
      <c r="A8" s="17">
        <f>+MRS!A8</f>
        <v>3</v>
      </c>
      <c r="B8" s="170">
        <f>MRS!B8</f>
        <v>0</v>
      </c>
      <c r="C8" s="171"/>
      <c r="D8" s="172">
        <f>MRS!D8</f>
        <v>0</v>
      </c>
      <c r="E8" s="173"/>
      <c r="F8" s="174"/>
      <c r="G8" s="94">
        <f>MRS!G8</f>
        <v>0</v>
      </c>
      <c r="H8" s="94">
        <f>MRS!H8</f>
        <v>0</v>
      </c>
      <c r="I8" s="95">
        <f>MRS!I8</f>
        <v>0</v>
      </c>
      <c r="J8" s="95">
        <f>MRS!J8</f>
        <v>0</v>
      </c>
      <c r="K8" s="96"/>
      <c r="O8" s="97"/>
      <c r="P8" s="97"/>
      <c r="R8" s="97"/>
    </row>
    <row r="9" spans="1:18" ht="105" customHeight="1">
      <c r="A9" s="17">
        <f>+MRS!A9</f>
        <v>4</v>
      </c>
      <c r="B9" s="170">
        <f>MRS!B9</f>
        <v>0</v>
      </c>
      <c r="C9" s="171"/>
      <c r="D9" s="172">
        <f>MRS!D9</f>
        <v>0</v>
      </c>
      <c r="E9" s="173"/>
      <c r="F9" s="174"/>
      <c r="G9" s="94">
        <f>MRS!G9</f>
        <v>0</v>
      </c>
      <c r="H9" s="94">
        <f>MRS!H9</f>
        <v>0</v>
      </c>
      <c r="I9" s="95">
        <f>MRS!I9</f>
        <v>0</v>
      </c>
      <c r="J9" s="95">
        <f>MRS!J9</f>
        <v>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70">
        <f>MRS!B10</f>
        <v>0</v>
      </c>
      <c r="C10" s="171"/>
      <c r="D10" s="172">
        <f>MRS!D10</f>
        <v>0</v>
      </c>
      <c r="E10" s="173"/>
      <c r="F10" s="174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70">
        <f>MRS!B11</f>
        <v>0</v>
      </c>
      <c r="C11" s="171"/>
      <c r="D11" s="172">
        <f>MRS!D11</f>
        <v>0</v>
      </c>
      <c r="E11" s="173"/>
      <c r="F11" s="174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70">
        <f>MRS!B12</f>
        <v>0</v>
      </c>
      <c r="C12" s="171"/>
      <c r="D12" s="172">
        <f>MRS!D12</f>
        <v>0</v>
      </c>
      <c r="E12" s="173"/>
      <c r="F12" s="174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70">
        <f>MRS!B13</f>
        <v>0</v>
      </c>
      <c r="C13" s="171"/>
      <c r="D13" s="172">
        <f>MRS!D13</f>
        <v>0</v>
      </c>
      <c r="E13" s="173"/>
      <c r="F13" s="174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105" customHeight="1">
      <c r="A14" s="17">
        <f>+MRS!A15</f>
        <v>10</v>
      </c>
      <c r="B14" s="170">
        <f>MRS!B14</f>
        <v>0</v>
      </c>
      <c r="C14" s="171"/>
      <c r="D14" s="172">
        <f>MRS!D14</f>
        <v>0</v>
      </c>
      <c r="E14" s="173"/>
      <c r="F14" s="174"/>
      <c r="G14" s="94">
        <f>MRS!G14</f>
        <v>0</v>
      </c>
      <c r="H14" s="94">
        <f>MRS!H14</f>
        <v>0</v>
      </c>
      <c r="I14" s="95">
        <f>MRS!I14</f>
        <v>0</v>
      </c>
      <c r="J14" s="95">
        <f>MRS!J14</f>
        <v>0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70">
        <f>MRS!B15</f>
        <v>0</v>
      </c>
      <c r="C15" s="171"/>
      <c r="D15" s="172">
        <f>MRS!D15</f>
        <v>0</v>
      </c>
      <c r="E15" s="173"/>
      <c r="F15" s="174"/>
      <c r="G15" s="94">
        <f>MRS!G15</f>
        <v>0</v>
      </c>
      <c r="H15" s="94">
        <f>MRS!H15</f>
        <v>0</v>
      </c>
      <c r="I15" s="95">
        <f>MRS!I15</f>
        <v>0</v>
      </c>
      <c r="J15" s="95">
        <f>MRS!J15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70" t="e">
        <f>MRS!#REF!</f>
        <v>#REF!</v>
      </c>
      <c r="C16" s="171"/>
      <c r="D16" s="172" t="e">
        <f>MRS!#REF!</f>
        <v>#REF!</v>
      </c>
      <c r="E16" s="173"/>
      <c r="F16" s="174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75"/>
      <c r="C17" s="176"/>
      <c r="D17" s="177"/>
      <c r="E17" s="178"/>
      <c r="F17" s="179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R27" sqref="R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129</v>
      </c>
      <c r="D9" s="35"/>
      <c r="E9" s="35"/>
    </row>
    <row r="10" spans="2:13" s="35" customFormat="1">
      <c r="B10" s="68"/>
      <c r="C10" s="35" t="s">
        <v>88</v>
      </c>
      <c r="D10" s="72" t="s">
        <v>118</v>
      </c>
      <c r="J10" s="35" t="s">
        <v>24</v>
      </c>
      <c r="K10" s="183">
        <f>MRS!L3</f>
        <v>46267</v>
      </c>
      <c r="L10" s="184"/>
      <c r="M10" s="184"/>
    </row>
    <row r="11" spans="2:13" s="35" customFormat="1">
      <c r="B11" s="68"/>
      <c r="C11" s="71" t="s">
        <v>89</v>
      </c>
      <c r="D11" s="72" t="s">
        <v>119</v>
      </c>
      <c r="J11" s="35" t="s">
        <v>25</v>
      </c>
      <c r="K11" s="185" t="str">
        <f>SUBSTITUTE(SUBSTITUTE(+MRS!A3,"  MRS No : ",""),"-MRS","-PO")</f>
        <v>SAC2-DS-PO-0450</v>
      </c>
      <c r="L11" s="185"/>
      <c r="M11" s="185"/>
    </row>
    <row r="12" spans="2:13" s="35" customFormat="1">
      <c r="B12" s="68"/>
      <c r="C12" s="71" t="s">
        <v>90</v>
      </c>
      <c r="D12" s="35" t="s">
        <v>120</v>
      </c>
      <c r="J12" s="35" t="s">
        <v>26</v>
      </c>
    </row>
    <row r="13" spans="2:13" s="35" customFormat="1">
      <c r="B13" s="68"/>
      <c r="C13" s="73"/>
      <c r="D13" s="72" t="s">
        <v>121</v>
      </c>
      <c r="J13" s="35" t="s">
        <v>27</v>
      </c>
    </row>
    <row r="14" spans="2:13" s="35" customFormat="1">
      <c r="B14" s="68"/>
      <c r="C14" s="73" t="s">
        <v>122</v>
      </c>
      <c r="J14" s="35" t="s">
        <v>28</v>
      </c>
      <c r="K14" s="35" t="s">
        <v>134</v>
      </c>
    </row>
    <row r="15" spans="2:13" s="35" customFormat="1">
      <c r="B15" s="68"/>
      <c r="C15" s="73" t="s">
        <v>123</v>
      </c>
      <c r="J15" s="35" t="s">
        <v>29</v>
      </c>
      <c r="K15" s="74">
        <v>46256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6" t="s">
        <v>30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 ht="12" customHeight="1"/>
    <row r="20" spans="2:13" s="27" customFormat="1" ht="12" customHeight="1">
      <c r="B20" s="187" t="s">
        <v>31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</row>
    <row r="21" spans="2:13" s="27" customFormat="1" ht="12" customHeight="1">
      <c r="B21" s="187" t="s">
        <v>32</v>
      </c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</row>
    <row r="22" spans="2:13" s="27" customFormat="1" ht="12" customHeight="1">
      <c r="B22" s="187" t="s">
        <v>33</v>
      </c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</row>
    <row r="23" spans="2:13" ht="6.95" customHeight="1"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</row>
    <row r="24" spans="2:13" ht="6.95" customHeight="1"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tr">
        <f>MRS!B6</f>
        <v>Carpenter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 t="s">
        <v>102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/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/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92</v>
      </c>
    </row>
    <row r="54" spans="2:16" ht="12" customHeight="1">
      <c r="B54" s="80" t="s">
        <v>54</v>
      </c>
      <c r="C54" s="116" t="s">
        <v>94</v>
      </c>
      <c r="F54" s="22" t="s">
        <v>124</v>
      </c>
    </row>
    <row r="55" spans="2:16" ht="12" customHeight="1">
      <c r="B55" s="80" t="s">
        <v>54</v>
      </c>
      <c r="C55" s="116" t="s">
        <v>95</v>
      </c>
      <c r="F55" s="117" t="s">
        <v>130</v>
      </c>
    </row>
    <row r="56" spans="2:16" ht="12" customHeight="1">
      <c r="B56" s="80" t="s">
        <v>54</v>
      </c>
      <c r="C56" s="116" t="s">
        <v>96</v>
      </c>
      <c r="F56" s="22" t="s">
        <v>125</v>
      </c>
    </row>
    <row r="57" spans="2:16" ht="12" customHeight="1">
      <c r="B57" s="80" t="s">
        <v>54</v>
      </c>
      <c r="C57" s="116" t="s">
        <v>97</v>
      </c>
      <c r="F57" s="22" t="s">
        <v>126</v>
      </c>
    </row>
    <row r="58" spans="2:16" ht="12" customHeight="1">
      <c r="B58" s="80" t="s">
        <v>54</v>
      </c>
      <c r="C58" s="116" t="s">
        <v>98</v>
      </c>
      <c r="F58" s="22" t="s">
        <v>127</v>
      </c>
    </row>
    <row r="59" spans="2:16" ht="12" customHeight="1">
      <c r="B59" s="80" t="s">
        <v>54</v>
      </c>
      <c r="C59" s="116" t="s">
        <v>99</v>
      </c>
      <c r="F59" s="22" t="s">
        <v>93</v>
      </c>
    </row>
    <row r="60" spans="2:16" ht="12" customHeight="1">
      <c r="B60" s="80"/>
      <c r="C60" s="116" t="s">
        <v>100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Jaseer Parampat</v>
      </c>
    </row>
    <row r="68" spans="1:13" ht="18" customHeight="1">
      <c r="B68" s="22" t="s">
        <v>60</v>
      </c>
      <c r="J68" s="22" t="s">
        <v>61</v>
      </c>
      <c r="K68" s="18" t="s">
        <v>128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91</v>
      </c>
      <c r="J70" s="190" t="str">
        <f>C9</f>
        <v>JCC(Jupirter Contracting Company)</v>
      </c>
      <c r="K70" s="190"/>
      <c r="L70" s="190"/>
      <c r="M70" s="190"/>
    </row>
    <row r="71" spans="1:13" ht="27.95" customHeight="1">
      <c r="A71" s="182" t="s">
        <v>64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L15" sqref="L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SAC2-DS-PO-0450</v>
      </c>
      <c r="C2" s="197" t="s">
        <v>66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46267</v>
      </c>
      <c r="C3" s="47"/>
      <c r="D3" s="48"/>
      <c r="E3" s="198" t="s">
        <v>68</v>
      </c>
      <c r="F3" s="198"/>
      <c r="G3" s="198"/>
      <c r="H3" s="198"/>
      <c r="I3" s="49"/>
    </row>
    <row r="4" spans="1:13" s="51" customFormat="1" ht="28.5" customHeight="1" thickTop="1">
      <c r="A4" s="199" t="s">
        <v>69</v>
      </c>
      <c r="B4" s="201" t="s">
        <v>70</v>
      </c>
      <c r="C4" s="202"/>
      <c r="D4" s="205" t="s">
        <v>71</v>
      </c>
      <c r="E4" s="205" t="s">
        <v>72</v>
      </c>
      <c r="F4" s="207" t="str">
        <f>'PO 1st page'!C9</f>
        <v>JCC(Jupirter Contracting Company)</v>
      </c>
      <c r="G4" s="208"/>
      <c r="H4" s="209" t="s">
        <v>73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74</v>
      </c>
      <c r="G5" s="53" t="s">
        <v>40</v>
      </c>
      <c r="H5" s="210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95" t="str">
        <f>CONCATENATE(MRS!B6," ",MRS!D6)</f>
        <v xml:space="preserve">Carpenter </v>
      </c>
      <c r="C6" s="196"/>
      <c r="D6" s="82" t="str">
        <f>MRS!G6</f>
        <v>Hour</v>
      </c>
      <c r="E6" s="83">
        <f>MRS!H6</f>
        <v>1</v>
      </c>
      <c r="F6" s="84">
        <f>MRS!I6</f>
        <v>15</v>
      </c>
      <c r="G6" s="85">
        <f>F6*E6</f>
        <v>15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5"/>
      <c r="C7" s="196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5"/>
      <c r="C8" s="196"/>
      <c r="D8" s="82"/>
      <c r="E8" s="83"/>
      <c r="F8" s="84"/>
      <c r="G8" s="85"/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95"/>
      <c r="C9" s="196"/>
      <c r="D9" s="82"/>
      <c r="E9" s="83"/>
      <c r="F9" s="84"/>
      <c r="G9" s="85"/>
      <c r="H9" s="90"/>
    </row>
    <row r="10" spans="1:13" s="51" customFormat="1" ht="32.1" customHeight="1">
      <c r="A10" s="89">
        <f t="shared" si="0"/>
        <v>5</v>
      </c>
      <c r="B10" s="195"/>
      <c r="C10" s="196"/>
      <c r="D10" s="82"/>
      <c r="E10" s="83"/>
      <c r="F10" s="84"/>
      <c r="G10" s="85"/>
      <c r="H10" s="90"/>
    </row>
    <row r="11" spans="1:13" s="51" customFormat="1" ht="32.1" customHeight="1">
      <c r="A11" s="89">
        <f t="shared" si="0"/>
        <v>6</v>
      </c>
      <c r="B11" s="195" t="str">
        <f>CONCATENATE(MRS!B11," ",MRS!D11)</f>
        <v xml:space="preserve"> </v>
      </c>
      <c r="C11" s="196"/>
      <c r="D11" s="82"/>
      <c r="E11" s="83"/>
      <c r="F11" s="84"/>
      <c r="G11" s="85"/>
      <c r="H11" s="90"/>
    </row>
    <row r="12" spans="1:13" s="51" customFormat="1" ht="32.1" customHeight="1">
      <c r="A12" s="89">
        <f t="shared" si="0"/>
        <v>7</v>
      </c>
      <c r="B12" s="195" t="str">
        <f>CONCATENATE(MRS!B12," ",MRS!D12)</f>
        <v xml:space="preserve"> </v>
      </c>
      <c r="C12" s="196"/>
      <c r="D12" s="82"/>
      <c r="E12" s="83"/>
      <c r="F12" s="84"/>
      <c r="G12" s="85"/>
      <c r="H12" s="90"/>
    </row>
    <row r="13" spans="1:13" s="51" customFormat="1" ht="32.1" customHeight="1">
      <c r="A13" s="89">
        <f t="shared" si="0"/>
        <v>8</v>
      </c>
      <c r="B13" s="195" t="str">
        <f>CONCATENATE(MRS!B13," ",MRS!D13)</f>
        <v xml:space="preserve"> </v>
      </c>
      <c r="C13" s="196"/>
      <c r="D13" s="82"/>
      <c r="E13" s="83"/>
      <c r="F13" s="84"/>
      <c r="G13" s="85"/>
      <c r="H13" s="90"/>
    </row>
    <row r="14" spans="1:13" s="51" customFormat="1" ht="32.1" customHeight="1">
      <c r="A14" s="89">
        <f t="shared" si="0"/>
        <v>9</v>
      </c>
      <c r="B14" s="195" t="str">
        <f>CONCATENATE(MRS!B14," ",MRS!D14)</f>
        <v xml:space="preserve"> </v>
      </c>
      <c r="C14" s="196"/>
      <c r="D14" s="82"/>
      <c r="E14" s="83"/>
      <c r="F14" s="84"/>
      <c r="G14" s="85"/>
      <c r="H14" s="90"/>
    </row>
    <row r="15" spans="1:13" s="51" customFormat="1" ht="32.1" customHeight="1">
      <c r="A15" s="89">
        <f t="shared" si="0"/>
        <v>10</v>
      </c>
      <c r="B15" s="195"/>
      <c r="C15" s="196"/>
      <c r="D15" s="82"/>
      <c r="E15" s="83"/>
      <c r="F15" s="84"/>
      <c r="G15" s="85"/>
      <c r="H15" s="90"/>
    </row>
    <row r="16" spans="1:13" s="51" customFormat="1" ht="32.1" customHeight="1">
      <c r="A16" s="89">
        <f t="shared" si="0"/>
        <v>11</v>
      </c>
      <c r="B16" s="195"/>
      <c r="C16" s="196"/>
      <c r="D16" s="82"/>
      <c r="E16" s="83"/>
      <c r="F16" s="84"/>
      <c r="G16" s="85"/>
      <c r="H16" s="90"/>
    </row>
    <row r="17" spans="1:13" s="51" customFormat="1" ht="32.1" customHeight="1">
      <c r="A17" s="89">
        <f t="shared" si="0"/>
        <v>12</v>
      </c>
      <c r="B17" s="195"/>
      <c r="C17" s="196"/>
      <c r="D17" s="82"/>
      <c r="E17" s="83"/>
      <c r="F17" s="84"/>
      <c r="G17" s="85"/>
      <c r="H17" s="90"/>
    </row>
    <row r="18" spans="1:13" s="51" customFormat="1" ht="32.1" customHeight="1">
      <c r="A18" s="89">
        <f t="shared" si="0"/>
        <v>13</v>
      </c>
      <c r="B18" s="195"/>
      <c r="C18" s="196"/>
      <c r="D18" s="82"/>
      <c r="E18" s="83"/>
      <c r="F18" s="84"/>
      <c r="G18" s="85"/>
      <c r="H18" s="90"/>
    </row>
    <row r="19" spans="1:13" s="51" customFormat="1" ht="32.1" customHeight="1">
      <c r="A19" s="89">
        <f t="shared" si="0"/>
        <v>14</v>
      </c>
      <c r="B19" s="195"/>
      <c r="C19" s="196"/>
      <c r="D19" s="82"/>
      <c r="E19" s="83"/>
      <c r="F19" s="84"/>
      <c r="G19" s="85"/>
      <c r="H19" s="90"/>
    </row>
    <row r="20" spans="1:13" s="51" customFormat="1" ht="23.1" customHeight="1">
      <c r="A20" s="191" t="s">
        <v>75</v>
      </c>
      <c r="B20" s="192"/>
      <c r="C20" s="192"/>
      <c r="D20" s="192"/>
      <c r="E20" s="192"/>
      <c r="F20" s="192"/>
      <c r="G20" s="54">
        <f>SUM(G6:G19)</f>
        <v>15</v>
      </c>
      <c r="H20" s="55"/>
    </row>
    <row r="21" spans="1:13" s="51" customFormat="1" ht="23.1" customHeight="1">
      <c r="A21" s="191" t="s">
        <v>39</v>
      </c>
      <c r="B21" s="192"/>
      <c r="C21" s="192"/>
      <c r="D21" s="192"/>
      <c r="E21" s="192"/>
      <c r="F21" s="192"/>
      <c r="G21" s="54">
        <f>+G20*0.15</f>
        <v>2.25</v>
      </c>
      <c r="H21" s="55"/>
    </row>
    <row r="22" spans="1:13" s="51" customFormat="1" ht="24.95" customHeight="1" thickBot="1">
      <c r="A22" s="193" t="s">
        <v>76</v>
      </c>
      <c r="B22" s="194"/>
      <c r="C22" s="194"/>
      <c r="D22" s="194"/>
      <c r="E22" s="194"/>
      <c r="F22" s="194"/>
      <c r="G22" s="56">
        <f>G21+G20</f>
        <v>17.25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JPR-QTN-DPCC-JCC2634-02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82" t="s">
        <v>78</v>
      </c>
      <c r="B26" s="182"/>
      <c r="C26" s="182"/>
      <c r="D26" s="182"/>
      <c r="E26" s="182"/>
      <c r="F26" s="182"/>
      <c r="G26" s="182"/>
      <c r="H26" s="182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2026-09-05T07:11:26Z</cp:lastPrinted>
  <dcterms:created xsi:type="dcterms:W3CDTF">2024-10-20T11:50:19Z</dcterms:created>
  <dcterms:modified xsi:type="dcterms:W3CDTF">2026-09-05T07:14:09Z</dcterms:modified>
</cp:coreProperties>
</file>