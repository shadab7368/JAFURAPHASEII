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9472EF0-8CD5-44B1-BC75-37DAAB0FC83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K59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<sst xmlns="http://schemas.openxmlformats.org/spreadsheetml/2006/main" count="153" uniqueCount="119">
  <si>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</si>
  <si>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</si>
  <si>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</si>
  <si>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</si>
  <si>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</si>
  <si>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</si>
  <si>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</si>
  <si>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</si>
  <si>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</si>
  <si>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</si>
  <si>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</si>
  <si>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</si>
  <si>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</si>
  <si>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</si>
  <si>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</si>
  <si>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</si>
  <si>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</si>
  <si>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</si>
  <si>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</si>
  <si>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</si>
  <si>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</si>
  <si>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</si>
  <si>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</si>
  <si>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</si>
  <si>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</si>
  <si>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</si>
  <si>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</si>
  <si>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</si>
  <si>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</si>
  <si>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</si>
  <si>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</si>
  <si>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</si>
  <si>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</si>
  <si>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</si>
  <si>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</si>
  <si>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</si>
  <si>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</si>
  <si>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</si>
  <si>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</si>
  <si>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</si>
  <si>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</si>
  <si>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</si>
  <si>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</si>
  <si>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</si>
  <si>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</si>
  <si>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</si>
  <si>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</si>
  <si>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</si>
  <si>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</si>
  <si>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</si>
  <si>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</si>
  <si>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</si>
  <si>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</si>
  <si>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</si>
  <si>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</si>
  <si>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</si>
  <si>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</si>
  <si>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</si>
  <si>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</si>
  <si>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</si>
  <si>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</si>
  <si>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</si>
  <si>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</si>
  <si>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</si>
  <si>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</si>
  <si>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</si>
  <si>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</si>
  <si>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</si>
  <si>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</si>
  <si>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</si>
  <si>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</si>
  <si>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</si>
  <si>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</si>
  <si>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</si>
  <si>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</si>
  <si>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</si>
  <si>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</si>
  <si>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</si>
  <si>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</si>
  <si>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</si>
  <si>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</si>
  <si>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</si>
  <si>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</si>
  <si>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</si>
  <si>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</si>
  <si>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</si>
  <si>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</si>
  <si>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</si>
  <si>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</si>
  <si>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</si>
  <si>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</si>
  <si>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</si>
  <si>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</si>
  <si>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</si>
  <si>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</si>
  <si>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</si>
  <si>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</si>
  <si>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</si>
  <si>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</si>
  <si>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</si>
  <si>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</si>
  <si>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</si>
  <si>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</si>
  <si>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</si>
  <si>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</si>
  <si>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-MRS-0151</t>
    </r>
  </si>
  <si>
    <t>Welding QC Inspector</t>
  </si>
  <si>
    <t>Aramco Approved with CBT</t>
  </si>
  <si>
    <t>AJEST</t>
  </si>
  <si>
    <t>JRD-2025-2050</t>
  </si>
  <si>
    <t>Welding QC Inspector Aramco Approved with CBT</t>
  </si>
  <si>
    <t>AJEST(Ghanim Qassim Al Jarudi Est.)</t>
  </si>
  <si>
    <t>2055012514</t>
  </si>
  <si>
    <t>300394021800003</t>
  </si>
  <si>
    <t>Abdul Rauf</t>
  </si>
  <si>
    <t>+966 53 696 2434 / Email: rauf@jarudisa.com</t>
  </si>
  <si>
    <t>P.O. Box 1189, Jubail 31951, KSA</t>
  </si>
  <si>
    <t>Mobile : +966 53 696 2434</t>
  </si>
  <si>
    <t>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</si>
</sst>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42" t="s">
        <v>90</v>
      </c>
      <c r="K1" s="143"/>
      <c r="L1" s="144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45" t="s">
        <v>100</v>
      </c>
      <c r="K2" s="146"/>
      <c r="L2" s="147"/>
    </row>
    <row r="3" spans="1:19" ht="20.100000000000001" customHeight="1">
      <c r="A3" s="3" t="s">
        <v>105</v>
      </c>
      <c r="B3" s="101"/>
      <c r="C3" s="101"/>
      <c r="D3" s="101"/>
      <c r="E3" s="148">
        <f>+L3</f>
        <v>45956</v>
      </c>
      <c r="F3" s="148"/>
      <c r="G3" s="148"/>
      <c r="H3" s="148"/>
      <c r="I3" s="148"/>
      <c r="J3" s="101"/>
      <c r="K3" s="101"/>
      <c r="L3" s="122">
        <v>45956</v>
      </c>
      <c r="M3" s="4"/>
    </row>
    <row r="4" spans="1:19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95</v>
      </c>
      <c r="J4" s="149" t="s">
        <v>96</v>
      </c>
      <c r="K4" s="159" t="s">
        <v>0</v>
      </c>
      <c r="L4" s="150" t="s">
        <v>7</v>
      </c>
    </row>
    <row r="5" spans="1:19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9" ht="22.5" customHeight="1">
      <c r="A6" s="5">
        <f t="shared" ref="A6:A15" si="0">ROW(A1)</f>
        <v>1</v>
      </c>
      <c r="B6" s="130" t="s">
        <v>106</v>
      </c>
      <c r="C6" s="131"/>
      <c r="D6" s="132" t="s">
        <v>107</v>
      </c>
      <c r="E6" s="133"/>
      <c r="F6" s="134"/>
      <c r="G6" s="111" t="s">
        <v>99</v>
      </c>
      <c r="H6" s="112">
        <v>1</v>
      </c>
      <c r="I6" s="113">
        <v>93</v>
      </c>
      <c r="J6" s="113">
        <f>H6*I6</f>
        <v>93</v>
      </c>
      <c r="K6" s="114" t="s">
        <v>108</v>
      </c>
      <c r="L6" s="115" t="s">
        <v>102</v>
      </c>
      <c r="S6" s="106"/>
    </row>
    <row r="7" spans="1:19" ht="22.5" customHeight="1">
      <c r="A7" s="5">
        <f t="shared" si="0"/>
        <v>2</v>
      </c>
      <c r="B7" s="130"/>
      <c r="C7" s="131"/>
      <c r="D7" s="141"/>
      <c r="E7" s="133"/>
      <c r="F7" s="134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30"/>
      <c r="C8" s="131"/>
      <c r="D8" s="132"/>
      <c r="E8" s="133"/>
      <c r="F8" s="134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0"/>
      <c r="C9" s="131"/>
      <c r="D9" s="132"/>
      <c r="E9" s="133"/>
      <c r="F9" s="134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9"/>
      <c r="C10" s="139"/>
      <c r="D10" s="140"/>
      <c r="E10" s="140"/>
      <c r="F10" s="14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0"/>
      <c r="C11" s="131"/>
      <c r="D11" s="132"/>
      <c r="E11" s="133"/>
      <c r="F11" s="134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9"/>
      <c r="C12" s="139"/>
      <c r="D12" s="140"/>
      <c r="E12" s="140"/>
      <c r="F12" s="14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0"/>
      <c r="C13" s="131"/>
      <c r="D13" s="132"/>
      <c r="E13" s="133"/>
      <c r="F13" s="134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0"/>
      <c r="C14" s="131"/>
      <c r="D14" s="132"/>
      <c r="E14" s="133"/>
      <c r="F14" s="134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0"/>
      <c r="C15" s="131"/>
      <c r="D15" s="132"/>
      <c r="E15" s="133"/>
      <c r="F15" s="134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5" t="s">
        <v>8</v>
      </c>
      <c r="B16" s="136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93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7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8"/>
      <c r="T19" s="14"/>
      <c r="U19" s="15"/>
      <c r="V19" s="14"/>
    </row>
    <row r="20" spans="1:22" ht="17.100000000000001" customHeight="1">
      <c r="O20" s="11"/>
      <c r="P20" s="11"/>
      <c r="Q20" s="11"/>
      <c r="S20" s="12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6" t="s">
        <v>17</v>
      </c>
      <c r="Q21" s="126" t="s">
        <v>18</v>
      </c>
    </row>
    <row r="22" spans="1:22" ht="18" customHeight="1">
      <c r="O22" s="18" t="s">
        <v>19</v>
      </c>
      <c r="P22" s="128"/>
      <c r="Q22" s="128"/>
      <c r="S22" s="137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8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9"/>
      <c r="P27" s="129"/>
      <c r="Q27" s="129"/>
    </row>
    <row r="28" spans="1:22" ht="19.899999999999999" customHeight="1">
      <c r="O28" s="129"/>
      <c r="P28" s="129"/>
      <c r="Q28" s="12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6" t="s">
        <v>21</v>
      </c>
    </row>
    <row r="41" spans="15:22" ht="19.899999999999999" customHeight="1">
      <c r="T41" s="128"/>
    </row>
    <row r="42" spans="15:22" ht="64.900000000000006" customHeight="1">
      <c r="T42" s="14"/>
    </row>
    <row r="46" spans="15:22" ht="21" customHeight="1">
      <c r="O46" s="126" t="s">
        <v>21</v>
      </c>
      <c r="P46" s="126" t="s">
        <v>21</v>
      </c>
      <c r="Q46" s="126" t="s">
        <v>21</v>
      </c>
      <c r="T46" s="126" t="s">
        <v>22</v>
      </c>
      <c r="U46" s="126" t="s">
        <v>13</v>
      </c>
      <c r="V46" s="126" t="s">
        <v>21</v>
      </c>
    </row>
    <row r="47" spans="15:22" ht="21" customHeight="1">
      <c r="O47" s="128"/>
      <c r="P47" s="128"/>
      <c r="Q47" s="128"/>
      <c r="T47" s="127"/>
      <c r="U47" s="127"/>
      <c r="V47" s="12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6" t="s">
        <v>21</v>
      </c>
      <c r="P50" s="126" t="s">
        <v>21</v>
      </c>
      <c r="Q50" s="126" t="s">
        <v>21</v>
      </c>
      <c r="T50" s="126" t="s">
        <v>13</v>
      </c>
      <c r="U50" s="126" t="s">
        <v>22</v>
      </c>
      <c r="V50" s="126" t="s">
        <v>21</v>
      </c>
    </row>
    <row r="51" spans="15:22" ht="21" customHeight="1">
      <c r="O51" s="128"/>
      <c r="P51" s="128"/>
      <c r="Q51" s="128"/>
      <c r="T51" s="127"/>
      <c r="U51" s="127"/>
      <c r="V51" s="12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SAC2-DS-MRS-0151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45956</v>
      </c>
    </row>
    <row r="4" spans="1:18" ht="15.95" customHeight="1">
      <c r="A4" s="171" t="s">
        <v>2</v>
      </c>
      <c r="B4" s="172" t="s">
        <v>23</v>
      </c>
      <c r="C4" s="172"/>
      <c r="D4" s="171" t="s">
        <v>4</v>
      </c>
      <c r="E4" s="171"/>
      <c r="F4" s="171"/>
      <c r="G4" s="172" t="s">
        <v>5</v>
      </c>
      <c r="H4" s="171" t="s">
        <v>91</v>
      </c>
      <c r="I4" s="171" t="s">
        <v>24</v>
      </c>
      <c r="J4" s="171" t="s">
        <v>25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Welding QC Inspector</v>
      </c>
      <c r="C6" s="167"/>
      <c r="D6" s="168" t="str">
        <f>MRS!D6</f>
        <v>Aramco Approved with CBT</v>
      </c>
      <c r="E6" s="169"/>
      <c r="F6" s="170"/>
      <c r="G6" s="103" t="str">
        <f>MRS!G6</f>
        <v>Hour</v>
      </c>
      <c r="H6" s="103">
        <f>MRS!H6</f>
        <v>1</v>
      </c>
      <c r="I6" s="104">
        <f>MRS!I6</f>
        <v>93</v>
      </c>
      <c r="J6" s="104">
        <f>MRS!J6</f>
        <v>93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1"/>
      <c r="C12" s="162"/>
      <c r="D12" s="163"/>
      <c r="E12" s="164"/>
      <c r="F12" s="165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1"/>
      <c r="C13" s="162"/>
      <c r="D13" s="163"/>
      <c r="E13" s="164"/>
      <c r="F13" s="165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1"/>
      <c r="C14" s="162"/>
      <c r="D14" s="163"/>
      <c r="E14" s="164"/>
      <c r="F14" s="165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1"/>
      <c r="C15" s="162"/>
      <c r="D15" s="163"/>
      <c r="E15" s="164"/>
      <c r="F15" s="165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2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7" zoomScale="130" zoomScaleNormal="100" zoomScaleSheetLayoutView="130" workbookViewId="0">
      <selection activeCell="B6" sqref="B6:C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111</v>
      </c>
      <c r="D9" s="39"/>
      <c r="E9" s="39"/>
    </row>
    <row r="10" spans="2:13" s="39" customFormat="1">
      <c r="B10" s="72"/>
      <c r="C10" s="39" t="s">
        <v>32</v>
      </c>
      <c r="D10" s="76" t="s">
        <v>112</v>
      </c>
      <c r="J10" s="39" t="s">
        <v>33</v>
      </c>
      <c r="K10" s="174">
        <f>MRS!L3</f>
        <v>45956</v>
      </c>
      <c r="L10" s="175"/>
      <c r="M10" s="175"/>
    </row>
    <row r="11" spans="2:13" s="39" customFormat="1">
      <c r="B11" s="72"/>
      <c r="C11" s="75" t="s">
        <v>34</v>
      </c>
      <c r="D11" s="76" t="s">
        <v>113</v>
      </c>
      <c r="J11" s="39" t="s">
        <v>35</v>
      </c>
      <c r="K11" s="176" t="str">
        <f>SUBSTITUTE(SUBSTITUTE(+MRS!A3,"  MRS No : ",""),"-MRS","-PO")</f>
        <v>SAC2-DS-PO-0151</v>
      </c>
      <c r="L11" s="176"/>
      <c r="M11" s="176"/>
    </row>
    <row r="12" spans="2:13" s="39" customFormat="1">
      <c r="B12" s="72"/>
      <c r="C12" s="75" t="s">
        <v>36</v>
      </c>
      <c r="D12" s="39" t="s">
        <v>114</v>
      </c>
      <c r="J12" s="39" t="s">
        <v>37</v>
      </c>
    </row>
    <row r="13" spans="2:13" s="39" customFormat="1">
      <c r="B13" s="72"/>
      <c r="C13" s="77"/>
      <c r="D13" s="76" t="s">
        <v>115</v>
      </c>
      <c r="J13" s="39" t="s">
        <v>38</v>
      </c>
    </row>
    <row r="14" spans="2:13" s="39" customFormat="1">
      <c r="B14" s="72"/>
      <c r="C14" s="77" t="s">
        <v>116</v>
      </c>
      <c r="J14" s="39" t="s">
        <v>39</v>
      </c>
      <c r="K14" s="39" t="s">
        <v>109</v>
      </c>
    </row>
    <row r="15" spans="2:13" s="39" customFormat="1">
      <c r="B15" s="72"/>
      <c r="C15" s="77" t="s">
        <v>117</v>
      </c>
      <c r="J15" s="39" t="s">
        <v>40</v>
      </c>
      <c r="K15" s="78">
        <v>45948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41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42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43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44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110</v>
      </c>
      <c r="M26" s="79" t="s">
        <v>46</v>
      </c>
    </row>
    <row r="27" spans="2:13" ht="12" customHeight="1">
      <c r="B27" s="32"/>
      <c r="C27" s="125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1" t="s">
        <v>102</v>
      </c>
      <c r="G29" s="181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1"/>
      <c r="G30" s="181"/>
    </row>
    <row r="31" spans="2:13" ht="15" customHeight="1">
      <c r="B31" s="32"/>
      <c r="C31" s="26" t="s">
        <v>51</v>
      </c>
      <c r="D31" s="35"/>
      <c r="E31" s="26" t="s">
        <v>49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93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Abdul Rauf</v>
      </c>
    </row>
    <row r="60" spans="1:16" ht="18" customHeight="1">
      <c r="B60" s="26" t="s">
        <v>71</v>
      </c>
      <c r="J60" s="26" t="s">
        <v>72</v>
      </c>
      <c r="K60" s="22" t="s">
        <v>118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103</v>
      </c>
      <c r="J62" s="182" t="str">
        <f>C9</f>
        <v>AJEST(Ghanim Qassim Al Jarudi Est.)</v>
      </c>
      <c r="K62" s="182"/>
      <c r="L62" s="182"/>
      <c r="M62" s="182"/>
    </row>
    <row r="63" spans="1:16" ht="27.95" customHeight="1">
      <c r="A63" s="173" t="s">
        <v>75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SAC2-DS-PO-0151</v>
      </c>
      <c r="C2" s="191" t="s">
        <v>77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45956</v>
      </c>
      <c r="C3" s="51"/>
      <c r="D3" s="52"/>
      <c r="E3" s="192" t="s">
        <v>79</v>
      </c>
      <c r="F3" s="192"/>
      <c r="G3" s="192"/>
      <c r="H3" s="192"/>
      <c r="I3" s="53"/>
    </row>
    <row r="4" spans="1:13" s="55" customFormat="1" ht="28.5" customHeight="1" thickTop="1">
      <c r="A4" s="193" t="s">
        <v>80</v>
      </c>
      <c r="B4" s="195" t="s">
        <v>81</v>
      </c>
      <c r="C4" s="196"/>
      <c r="D4" s="199" t="s">
        <v>82</v>
      </c>
      <c r="E4" s="199" t="s">
        <v>83</v>
      </c>
      <c r="F4" s="201" t="str">
        <f>'PO 1st page'!C9</f>
        <v>AJEST(Ghanim Qassim Al Jarudi Est.)</v>
      </c>
      <c r="G4" s="202"/>
      <c r="H4" s="203" t="s">
        <v>84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85</v>
      </c>
      <c r="G5" s="57" t="s">
        <v>51</v>
      </c>
      <c r="H5" s="204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9" t="str">
        <f>CONCATENATE(MRS!B6," ",MRS!D6)</f>
        <v>Welding QC Inspector Aramco Approved with CBT</v>
      </c>
      <c r="C6" s="190"/>
      <c r="D6" s="86" t="str">
        <f>+'MRS LIST'!G6</f>
        <v>Hour</v>
      </c>
      <c r="E6" s="87">
        <f>+'MRS LIST'!H6</f>
        <v>1</v>
      </c>
      <c r="F6" s="88">
        <f>+'MRS LIST'!I6</f>
        <v>93</v>
      </c>
      <c r="G6" s="89">
        <f>+'MRS LIST'!J6</f>
        <v>93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9"/>
      <c r="C7" s="190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9"/>
      <c r="C8" s="190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9"/>
      <c r="C9" s="190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9"/>
      <c r="C10" s="190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9"/>
      <c r="C11" s="190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7"/>
      <c r="C12" s="188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7"/>
      <c r="C13" s="188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7"/>
      <c r="C14" s="188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7"/>
      <c r="C15" s="188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7"/>
      <c r="C16" s="188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7"/>
      <c r="C17" s="188"/>
      <c r="D17" s="94"/>
      <c r="E17" s="95"/>
      <c r="F17" s="96"/>
      <c r="G17" s="97"/>
      <c r="H17" s="98"/>
    </row>
    <row r="18" spans="1:13" s="55" customFormat="1" ht="23.1" customHeight="1">
      <c r="A18" s="183" t="s">
        <v>86</v>
      </c>
      <c r="B18" s="184"/>
      <c r="C18" s="184"/>
      <c r="D18" s="184"/>
      <c r="E18" s="184"/>
      <c r="F18" s="184"/>
      <c r="G18" s="58">
        <f>SUM(G6:G17)</f>
        <v>93</v>
      </c>
      <c r="H18" s="59"/>
    </row>
    <row r="19" spans="1:13" s="55" customFormat="1" ht="23.1" customHeight="1">
      <c r="A19" s="183" t="s">
        <v>50</v>
      </c>
      <c r="B19" s="184"/>
      <c r="C19" s="184"/>
      <c r="D19" s="184"/>
      <c r="E19" s="184"/>
      <c r="F19" s="184"/>
      <c r="G19" s="58">
        <f>+G18*0.15</f>
        <v>13.95</v>
      </c>
      <c r="H19" s="59"/>
    </row>
    <row r="20" spans="1:13" s="55" customFormat="1" ht="24.95" customHeight="1" thickBot="1">
      <c r="A20" s="185" t="s">
        <v>87</v>
      </c>
      <c r="B20" s="186"/>
      <c r="C20" s="186"/>
      <c r="D20" s="186"/>
      <c r="E20" s="186"/>
      <c r="F20" s="186"/>
      <c r="G20" s="60">
        <f>G19+G18</f>
        <v>106.95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JRD-2025-2050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89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5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2025-10-26T13:28:56Z</cp:lastPrinted>
  <dcterms:created xsi:type="dcterms:W3CDTF">2024-10-20T11:50:19Z</dcterms:created>
  <dcterms:modified xsi:type="dcterms:W3CDTF">2025-10-26T13:29:00Z</dcterms:modified>
</cp:coreProperties>
</file>