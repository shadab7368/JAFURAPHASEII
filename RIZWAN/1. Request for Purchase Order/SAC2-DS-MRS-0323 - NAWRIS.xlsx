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07474EE-BA81-49E3-901A-C963B5296D6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4" l="1"/>
  <c r="E8" i="4"/>
  <c r="F8" i="4"/>
  <c r="G8" i="4"/>
  <c r="D9" i="4"/>
  <c r="E9" i="4"/>
  <c r="F9" i="4"/>
  <c r="G9" i="4"/>
  <c r="D10" i="4"/>
  <c r="E10" i="4"/>
  <c r="F10" i="4"/>
  <c r="G10" i="4"/>
  <c r="B11" i="4"/>
  <c r="B10" i="4"/>
  <c r="B9" i="4"/>
  <c r="B8" i="4"/>
  <c r="J10" i="1"/>
  <c r="E7" i="4"/>
  <c r="D7" i="4"/>
  <c r="B7" i="4"/>
  <c r="E6" i="4"/>
  <c r="D6" i="4"/>
  <c r="B6" i="4"/>
  <c r="P54" i="3"/>
  <c r="J9" i="1" l="1"/>
  <c r="J9" i="2" s="1"/>
  <c r="J8" i="1"/>
  <c r="J8" i="2" s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K67" i="3"/>
  <c r="E3" i="1"/>
  <c r="H7" i="2"/>
  <c r="G7" i="2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<sst xmlns="http://schemas.openxmlformats.org/spreadsheetml/2006/main" count="164" uniqueCount="135">
  <si>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</si>
  <si>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</si>
  <si>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</si>
  <si>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</si>
  <si>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</si>
  <si>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</si>
  <si>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</si>
  <si>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</si>
  <si>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</si>
  <si>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</si>
  <si>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</si>
  <si>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</si>
  <si>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</si>
  <si>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</si>
  <si>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</si>
  <si>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</si>
  <si>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</si>
  <si>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</si>
  <si>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</si>
  <si>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</si>
  <si>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</si>
  <si>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</si>
  <si>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</si>
  <si>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</si>
  <si>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</si>
  <si>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</si>
  <si>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</si>
  <si>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</si>
  <si>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</si>
  <si>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</si>
  <si>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</si>
  <si>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</si>
  <si>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</si>
  <si>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</si>
  <si>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</si>
  <si>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</si>
  <si>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</si>
  <si>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</si>
  <si>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</si>
  <si>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</si>
  <si>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</si>
  <si>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</si>
  <si>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</si>
  <si>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</si>
  <si>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</si>
  <si>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</si>
  <si>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</si>
  <si>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</si>
  <si>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</si>
  <si>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</si>
  <si>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</si>
  <si>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</si>
  <si>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</si>
  <si>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</si>
  <si>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</si>
  <si>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</si>
  <si>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</si>
  <si>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</si>
  <si>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</si>
  <si>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</si>
  <si>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</si>
  <si>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</si>
  <si>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</si>
  <si>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</si>
  <si>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</si>
  <si>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</si>
  <si>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</si>
  <si>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</si>
  <si>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</si>
  <si>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</si>
  <si>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</si>
  <si>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</si>
  <si>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</si>
  <si>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</si>
  <si>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</si>
  <si>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</si>
  <si>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</si>
  <si>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</si>
  <si>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</si>
  <si>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</si>
  <si>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</si>
  <si>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</si>
  <si>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</si>
  <si>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</si>
  <si>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</si>
  <si>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</si>
  <si>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</si>
  <si>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</si>
  <si>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</si>
  <si>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</si>
  <si>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</si>
  <si>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</si>
  <si>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</si>
  <si>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</si>
  <si>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</si>
  <si>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</si>
  <si>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</si>
  <si>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</si>
  <si>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</si>
  <si>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</si>
  <si>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</si>
  <si>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Operation Manager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</si>
  <si>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</si>
  <si>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</si>
  <si>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</si>
  <si>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</si>
  <si>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</si>
  <si>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</si>
  <si>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</si>
  <si>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</si>
  <si>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</si>
  <si>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</si>
  <si>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</si>
  <si>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One time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</si>
  <si>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-MRS-0323</t>
    </r>
  </si>
  <si>
    <t>NAWRIS</t>
  </si>
  <si>
    <t>Oxygen Gas Refill</t>
  </si>
  <si>
    <t>Cyl</t>
  </si>
  <si>
    <t>Acetylene Gas Refill</t>
  </si>
  <si>
    <t>Argon Gas Refill</t>
  </si>
  <si>
    <t>Nitrogen Gas Refill</t>
  </si>
  <si>
    <t>Carbon Dioxide Gas Refill</t>
  </si>
  <si>
    <t>DAEHN/26/26/95</t>
  </si>
  <si>
    <t>NAAFI (Nawris Alsharq Alghazat Factory Industrial)</t>
  </si>
  <si>
    <t>2050115457</t>
  </si>
  <si>
    <t>310282813800003</t>
  </si>
  <si>
    <t>Manu Jacob</t>
  </si>
  <si>
    <t>Email:manu@naurasgas.com</t>
  </si>
  <si>
    <t>P.O. Box 1407, Dammam 31952, KSA</t>
  </si>
  <si>
    <t>Mobil: +996 55 916 8139</t>
  </si>
  <si>
    <t>Monthly</t>
  </si>
  <si>
    <t>Gas Refill</t>
  </si>
  <si>
    <t>NAWRIS ALSHARQ ALGHAZAT FACTORY INDUSTRIAL</t>
  </si>
  <si>
    <t>04951360000108</t>
  </si>
  <si>
    <t>SA86 1000 0004 9513 6000 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</si>
</sst>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2" fillId="0" borderId="16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983079"/>
              <a:ext cx="4011028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D10" sqref="D10:F10"/>
    </sheetView>
  </sheetViews>
  <sheetFormatPr defaultColWidth="9" defaultRowHeight="21" customHeight="1"/>
  <cols>
    <col min="1" max="1" width="3.7109375" style="2" customWidth="1"/>
    <col min="2" max="2" width="12.8554687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98</v>
      </c>
      <c r="B1" s="109"/>
      <c r="C1" s="109"/>
      <c r="D1" s="109"/>
      <c r="E1" s="109"/>
      <c r="F1" s="109"/>
      <c r="G1" s="1"/>
      <c r="J1" s="128" t="s">
        <v>89</v>
      </c>
      <c r="K1" s="129"/>
      <c r="L1" s="130"/>
    </row>
    <row r="2" spans="1:18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31" t="s">
        <v>96</v>
      </c>
      <c r="K2" s="132"/>
      <c r="L2" s="133"/>
    </row>
    <row r="3" spans="1:18" ht="20.100000000000001" customHeight="1">
      <c r="A3" s="3" t="s">
        <v>114</v>
      </c>
      <c r="B3" s="100"/>
      <c r="C3" s="100"/>
      <c r="D3" s="100"/>
      <c r="E3" s="134">
        <f>+L3</f>
        <v>46167</v>
      </c>
      <c r="F3" s="134"/>
      <c r="G3" s="134"/>
      <c r="H3" s="134"/>
      <c r="I3" s="134"/>
      <c r="J3" s="100"/>
      <c r="K3" s="100"/>
      <c r="L3" s="121">
        <v>46167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93</v>
      </c>
      <c r="J4" s="135" t="s">
        <v>94</v>
      </c>
      <c r="K4" s="145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8" ht="22.5" customHeight="1">
      <c r="A6" s="5">
        <f t="shared" ref="A6:A15" si="0">ROW(A1)</f>
        <v>1</v>
      </c>
      <c r="B6" s="147" t="s">
        <v>116</v>
      </c>
      <c r="C6" s="148"/>
      <c r="D6" s="149"/>
      <c r="E6" s="150"/>
      <c r="F6" s="151"/>
      <c r="G6" s="110" t="s">
        <v>117</v>
      </c>
      <c r="H6" s="111">
        <v>1</v>
      </c>
      <c r="I6" s="112">
        <v>10</v>
      </c>
      <c r="J6" s="112">
        <f>H6*I6</f>
        <v>10</v>
      </c>
      <c r="K6" s="113" t="s">
        <v>115</v>
      </c>
      <c r="L6" s="114" t="s">
        <v>113</v>
      </c>
      <c r="R6" s="105"/>
    </row>
    <row r="7" spans="1:18" ht="22.5" customHeight="1">
      <c r="A7" s="5">
        <f t="shared" si="0"/>
        <v>2</v>
      </c>
      <c r="B7" s="206" t="s">
        <v>118</v>
      </c>
      <c r="C7" s="148"/>
      <c r="D7" s="152"/>
      <c r="E7" s="150"/>
      <c r="F7" s="151"/>
      <c r="G7" s="110" t="s">
        <v>117</v>
      </c>
      <c r="H7" s="111">
        <v>1</v>
      </c>
      <c r="I7" s="112">
        <v>80</v>
      </c>
      <c r="J7" s="112">
        <f>H7*I7</f>
        <v>80</v>
      </c>
      <c r="K7" s="113"/>
      <c r="L7" s="114"/>
      <c r="R7" s="105"/>
    </row>
    <row r="8" spans="1:18" ht="22.5" customHeight="1">
      <c r="A8" s="5">
        <f t="shared" si="0"/>
        <v>3</v>
      </c>
      <c r="B8" s="206" t="s">
        <v>119</v>
      </c>
      <c r="C8" s="148"/>
      <c r="D8" s="152"/>
      <c r="E8" s="150"/>
      <c r="F8" s="151"/>
      <c r="G8" s="110" t="s">
        <v>117</v>
      </c>
      <c r="H8" s="111">
        <v>1</v>
      </c>
      <c r="I8" s="112">
        <v>64</v>
      </c>
      <c r="J8" s="112">
        <f>H8*I8</f>
        <v>64</v>
      </c>
      <c r="K8" s="113"/>
      <c r="L8" s="114"/>
      <c r="R8" s="105"/>
    </row>
    <row r="9" spans="1:18" ht="22.5" customHeight="1">
      <c r="A9" s="5">
        <f t="shared" si="0"/>
        <v>4</v>
      </c>
      <c r="B9" s="206" t="s">
        <v>120</v>
      </c>
      <c r="C9" s="148"/>
      <c r="D9" s="152"/>
      <c r="E9" s="150"/>
      <c r="F9" s="151"/>
      <c r="G9" s="110" t="s">
        <v>117</v>
      </c>
      <c r="H9" s="111">
        <v>1</v>
      </c>
      <c r="I9" s="112">
        <v>25</v>
      </c>
      <c r="J9" s="112">
        <f>H9*I9</f>
        <v>25</v>
      </c>
      <c r="K9" s="113"/>
      <c r="L9" s="114"/>
      <c r="R9" s="105"/>
    </row>
    <row r="10" spans="1:18" ht="22.5" customHeight="1">
      <c r="A10" s="5">
        <f t="shared" si="0"/>
        <v>5</v>
      </c>
      <c r="B10" s="207" t="s">
        <v>121</v>
      </c>
      <c r="C10" s="153"/>
      <c r="D10" s="152"/>
      <c r="E10" s="150"/>
      <c r="F10" s="151"/>
      <c r="G10" s="110" t="s">
        <v>117</v>
      </c>
      <c r="H10" s="111">
        <v>1</v>
      </c>
      <c r="I10" s="115">
        <v>32</v>
      </c>
      <c r="J10" s="112">
        <f>H10*I10</f>
        <v>32</v>
      </c>
      <c r="K10" s="113"/>
      <c r="L10" s="110"/>
      <c r="R10" s="105"/>
    </row>
    <row r="11" spans="1:18" ht="22.5" customHeight="1">
      <c r="A11" s="5">
        <f t="shared" si="0"/>
        <v>6</v>
      </c>
      <c r="B11" s="147"/>
      <c r="C11" s="148"/>
      <c r="D11" s="149"/>
      <c r="E11" s="150"/>
      <c r="F11" s="151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53"/>
      <c r="C12" s="153"/>
      <c r="D12" s="154"/>
      <c r="E12" s="154"/>
      <c r="F12" s="154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7"/>
      <c r="C13" s="148"/>
      <c r="D13" s="149"/>
      <c r="E13" s="150"/>
      <c r="F13" s="151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7"/>
      <c r="C14" s="148"/>
      <c r="D14" s="149"/>
      <c r="E14" s="150"/>
      <c r="F14" s="151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7"/>
      <c r="C15" s="148"/>
      <c r="D15" s="149"/>
      <c r="E15" s="150"/>
      <c r="F15" s="151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5" t="s">
        <v>8</v>
      </c>
      <c r="B16" s="15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211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7" t="s">
        <v>11</v>
      </c>
      <c r="S18" s="13" t="s">
        <v>12</v>
      </c>
    </row>
    <row r="19" spans="1:19" ht="50.1" customHeight="1">
      <c r="R19" s="158"/>
      <c r="S19" s="15"/>
    </row>
    <row r="20" spans="1:19" ht="17.100000000000001" customHeight="1">
      <c r="O20" s="11"/>
      <c r="P20" s="11"/>
      <c r="R20" s="159"/>
      <c r="S20" s="15" t="s">
        <v>13</v>
      </c>
    </row>
    <row r="21" spans="1:19" ht="15" customHeight="1">
      <c r="O21" s="17" t="s">
        <v>14</v>
      </c>
      <c r="P21" s="160" t="s">
        <v>15</v>
      </c>
    </row>
    <row r="22" spans="1:19" ht="18" customHeight="1">
      <c r="O22" s="18" t="s">
        <v>16</v>
      </c>
      <c r="P22" s="161"/>
      <c r="R22" s="157" t="s">
        <v>17</v>
      </c>
      <c r="S22" s="12" t="s">
        <v>12</v>
      </c>
    </row>
    <row r="23" spans="1:19" ht="50.1" customHeight="1">
      <c r="O23" s="14"/>
      <c r="P23" s="14"/>
      <c r="R23" s="158"/>
      <c r="S23" s="19"/>
    </row>
    <row r="24" spans="1:19" ht="17.100000000000001" customHeight="1">
      <c r="O24" s="16" t="s">
        <v>13</v>
      </c>
      <c r="P24" s="16" t="s">
        <v>13</v>
      </c>
      <c r="R24" s="15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2"/>
      <c r="P27" s="162"/>
    </row>
    <row r="28" spans="1:19" ht="19.899999999999999" customHeight="1">
      <c r="O28" s="162"/>
      <c r="P28" s="16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0" t="s">
        <v>18</v>
      </c>
      <c r="P46" s="160" t="s">
        <v>18</v>
      </c>
      <c r="S46" s="160" t="s">
        <v>12</v>
      </c>
    </row>
    <row r="47" spans="15:19" ht="21" customHeight="1">
      <c r="O47" s="161"/>
      <c r="P47" s="161"/>
      <c r="S47" s="15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0" t="s">
        <v>18</v>
      </c>
      <c r="P50" s="160" t="s">
        <v>18</v>
      </c>
      <c r="S50" s="160" t="s">
        <v>19</v>
      </c>
    </row>
    <row r="51" spans="15:19" ht="21" customHeight="1">
      <c r="O51" s="161"/>
      <c r="P51" s="161"/>
      <c r="S51" s="159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SAC2-DS-MRS-0323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46167</v>
      </c>
    </row>
    <row r="4" spans="1:18" ht="15.95" customHeight="1">
      <c r="A4" s="163" t="s">
        <v>2</v>
      </c>
      <c r="B4" s="164" t="s">
        <v>20</v>
      </c>
      <c r="C4" s="164"/>
      <c r="D4" s="163" t="s">
        <v>4</v>
      </c>
      <c r="E4" s="163"/>
      <c r="F4" s="163"/>
      <c r="G4" s="164" t="s">
        <v>5</v>
      </c>
      <c r="H4" s="163" t="s">
        <v>90</v>
      </c>
      <c r="I4" s="163" t="s">
        <v>21</v>
      </c>
      <c r="J4" s="163" t="s">
        <v>22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105" customHeight="1">
      <c r="A6" s="21">
        <f>+MRS!A6</f>
        <v>1</v>
      </c>
      <c r="B6" s="165" t="str">
        <f>MRS!B6</f>
        <v>Oxygen Gas Refill</v>
      </c>
      <c r="C6" s="166"/>
      <c r="D6" s="167">
        <f>MRS!D6</f>
        <v>0</v>
      </c>
      <c r="E6" s="168"/>
      <c r="F6" s="169"/>
      <c r="G6" s="102" t="str">
        <f>MRS!G6</f>
        <v>Cyl</v>
      </c>
      <c r="H6" s="102">
        <f>MRS!H6</f>
        <v>1</v>
      </c>
      <c r="I6" s="103">
        <f>MRS!I6</f>
        <v>10</v>
      </c>
      <c r="J6" s="103">
        <f>MRS!J6</f>
        <v>10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 t="str">
        <f>MRS!B7</f>
        <v>Acetylene Gas Refill</v>
      </c>
      <c r="C7" s="166"/>
      <c r="D7" s="167">
        <f>MRS!D7</f>
        <v>0</v>
      </c>
      <c r="E7" s="168"/>
      <c r="F7" s="169"/>
      <c r="G7" s="102" t="str">
        <f>MRS!G7</f>
        <v>Cyl</v>
      </c>
      <c r="H7" s="102">
        <f>MRS!H7</f>
        <v>1</v>
      </c>
      <c r="I7" s="103">
        <f>MRS!I7</f>
        <v>80</v>
      </c>
      <c r="J7" s="103">
        <f>MRS!J7</f>
        <v>80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 t="str">
        <f>MRS!B8</f>
        <v>Argon Gas Refill</v>
      </c>
      <c r="C8" s="166"/>
      <c r="D8" s="167">
        <f>MRS!D8</f>
        <v>0</v>
      </c>
      <c r="E8" s="168"/>
      <c r="F8" s="169"/>
      <c r="G8" s="102" t="str">
        <f>MRS!G8</f>
        <v>Cyl</v>
      </c>
      <c r="H8" s="102">
        <f>MRS!H8</f>
        <v>1</v>
      </c>
      <c r="I8" s="103">
        <f>MRS!I8</f>
        <v>64</v>
      </c>
      <c r="J8" s="103">
        <f>MRS!J8</f>
        <v>64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 t="str">
        <f>MRS!B9</f>
        <v>Nitrogen Gas Refill</v>
      </c>
      <c r="C9" s="166"/>
      <c r="D9" s="167">
        <f>MRS!D9</f>
        <v>0</v>
      </c>
      <c r="E9" s="168"/>
      <c r="F9" s="169"/>
      <c r="G9" s="102" t="str">
        <f>MRS!G9</f>
        <v>Cyl</v>
      </c>
      <c r="H9" s="102">
        <f>MRS!H9</f>
        <v>1</v>
      </c>
      <c r="I9" s="103">
        <f>MRS!I9</f>
        <v>25</v>
      </c>
      <c r="J9" s="103">
        <f>MRS!J9</f>
        <v>25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 t="str">
        <f>MRS!B10</f>
        <v>Carbon Dioxide Gas Refill</v>
      </c>
      <c r="C10" s="166"/>
      <c r="D10" s="167">
        <f>MRS!D10</f>
        <v>0</v>
      </c>
      <c r="E10" s="168"/>
      <c r="F10" s="169"/>
      <c r="G10" s="102" t="str">
        <f>MRS!G10</f>
        <v>Cyl</v>
      </c>
      <c r="H10" s="102">
        <f>MRS!H10</f>
        <v>1</v>
      </c>
      <c r="I10" s="103">
        <f>MRS!I10</f>
        <v>32</v>
      </c>
      <c r="J10" s="103">
        <f>MRS!J10</f>
        <v>32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2" zoomScale="130" zoomScaleNormal="100" zoomScaleSheetLayoutView="130" workbookViewId="0">
      <selection activeCell="F59" sqref="F5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3" customFormat="1" ht="13.5">
      <c r="B9" s="71" t="s">
        <v>29</v>
      </c>
      <c r="C9" s="72" t="s">
        <v>123</v>
      </c>
      <c r="D9" s="38"/>
      <c r="E9" s="38"/>
    </row>
    <row r="10" spans="2:13" s="38" customFormat="1">
      <c r="B10" s="71"/>
      <c r="C10" s="38" t="s">
        <v>30</v>
      </c>
      <c r="D10" s="75" t="s">
        <v>124</v>
      </c>
      <c r="J10" s="38" t="s">
        <v>31</v>
      </c>
      <c r="K10" s="176">
        <f>MRS!L3</f>
        <v>46167</v>
      </c>
      <c r="L10" s="177"/>
      <c r="M10" s="177"/>
    </row>
    <row r="11" spans="2:13" s="38" customFormat="1">
      <c r="B11" s="71"/>
      <c r="C11" s="74" t="s">
        <v>32</v>
      </c>
      <c r="D11" s="75" t="s">
        <v>125</v>
      </c>
      <c r="J11" s="38" t="s">
        <v>33</v>
      </c>
      <c r="K11" s="178" t="str">
        <f>SUBSTITUTE(SUBSTITUTE(+MRS!A3,"  MRS No : ",""),"-MRS","-PO")</f>
        <v>SAC2-DS-PO-0323</v>
      </c>
      <c r="L11" s="178"/>
      <c r="M11" s="178"/>
    </row>
    <row r="12" spans="2:13" s="38" customFormat="1">
      <c r="B12" s="71"/>
      <c r="C12" s="74" t="s">
        <v>34</v>
      </c>
      <c r="D12" s="38" t="s">
        <v>126</v>
      </c>
      <c r="J12" s="38" t="s">
        <v>35</v>
      </c>
    </row>
    <row r="13" spans="2:13" s="38" customFormat="1">
      <c r="B13" s="71"/>
      <c r="C13" s="76"/>
      <c r="D13" s="75" t="s">
        <v>127</v>
      </c>
      <c r="J13" s="38" t="s">
        <v>36</v>
      </c>
    </row>
    <row r="14" spans="2:13" s="38" customFormat="1">
      <c r="B14" s="71"/>
      <c r="C14" s="76" t="s">
        <v>128</v>
      </c>
      <c r="J14" s="38" t="s">
        <v>37</v>
      </c>
      <c r="K14" s="38" t="s">
        <v>122</v>
      </c>
    </row>
    <row r="15" spans="2:13" s="38" customFormat="1">
      <c r="B15" s="71"/>
      <c r="C15" s="76" t="s">
        <v>129</v>
      </c>
      <c r="J15" s="38" t="s">
        <v>38</v>
      </c>
      <c r="K15" s="77">
        <v>46165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9" t="s">
        <v>39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40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42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43</v>
      </c>
    </row>
    <row r="26" spans="2:13" s="38" customFormat="1" ht="12" customHeight="1">
      <c r="B26" s="72"/>
      <c r="C26" s="75" t="s">
        <v>131</v>
      </c>
      <c r="M26" s="78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4" t="s">
        <v>130</v>
      </c>
      <c r="G29" s="124"/>
      <c r="H29" s="124"/>
      <c r="M29" s="33"/>
    </row>
    <row r="30" spans="2:13" ht="12" customHeight="1">
      <c r="B30" s="32"/>
      <c r="C30" s="26" t="s">
        <v>48</v>
      </c>
      <c r="E30" s="26" t="s">
        <v>47</v>
      </c>
      <c r="F30" s="124"/>
      <c r="G30" s="124"/>
      <c r="H30" s="124"/>
    </row>
    <row r="31" spans="2:13" ht="12" customHeight="1">
      <c r="B31" s="32"/>
      <c r="C31" s="26" t="s">
        <v>49</v>
      </c>
      <c r="D31" s="34"/>
      <c r="E31" s="26" t="s">
        <v>47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5" t="s">
        <v>57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58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59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60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61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8" customFormat="1" ht="12" customHeight="1">
      <c r="B49" s="79" t="s">
        <v>63</v>
      </c>
      <c r="C49" s="80" t="s">
        <v>99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1">
        <v>7</v>
      </c>
      <c r="C53" s="32" t="s">
        <v>102</v>
      </c>
    </row>
    <row r="54" spans="2:16" ht="12" customHeight="1">
      <c r="B54" s="83" t="s">
        <v>63</v>
      </c>
      <c r="C54" s="125" t="s">
        <v>103</v>
      </c>
      <c r="F54" s="126" t="s">
        <v>132</v>
      </c>
      <c r="P54" s="26" t="str">
        <f>UPPER(F54)</f>
        <v>NAWRIS ALSHARQ ALGHAZAT FACTORY INDUSTRIAL</v>
      </c>
    </row>
    <row r="55" spans="2:16" ht="12" customHeight="1">
      <c r="B55" s="83" t="s">
        <v>63</v>
      </c>
      <c r="C55" s="125" t="s">
        <v>104</v>
      </c>
      <c r="F55" s="126" t="s">
        <v>133</v>
      </c>
    </row>
    <row r="56" spans="2:16" ht="12" customHeight="1">
      <c r="B56" s="83" t="s">
        <v>63</v>
      </c>
      <c r="C56" s="125" t="s">
        <v>105</v>
      </c>
      <c r="F56" s="126" t="s">
        <v>134</v>
      </c>
    </row>
    <row r="57" spans="2:16" ht="12" customHeight="1">
      <c r="B57" s="83" t="s">
        <v>63</v>
      </c>
      <c r="C57" s="125" t="s">
        <v>106</v>
      </c>
      <c r="F57" s="26" t="s">
        <v>107</v>
      </c>
    </row>
    <row r="58" spans="2:16" ht="12" customHeight="1">
      <c r="B58" s="83" t="s">
        <v>63</v>
      </c>
      <c r="C58" s="125" t="s">
        <v>108</v>
      </c>
      <c r="F58" s="26" t="s">
        <v>109</v>
      </c>
    </row>
    <row r="59" spans="2:16" ht="12" customHeight="1">
      <c r="B59" s="83" t="s">
        <v>63</v>
      </c>
      <c r="C59" s="125" t="s">
        <v>110</v>
      </c>
      <c r="F59" s="26" t="s">
        <v>111</v>
      </c>
    </row>
    <row r="60" spans="2:16" ht="12" customHeight="1">
      <c r="B60" s="83"/>
      <c r="C60" s="127" t="s">
        <v>112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Manu Jacob</v>
      </c>
    </row>
    <row r="68" spans="1:13" ht="18" customHeight="1">
      <c r="B68" s="26" t="s">
        <v>69</v>
      </c>
      <c r="J68" s="26" t="s">
        <v>70</v>
      </c>
      <c r="K68" s="22" t="s">
        <v>101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3" t="str">
        <f>C9</f>
        <v>NAAFI (Nawris Alsharq Alghazat Factory Industrial)</v>
      </c>
      <c r="K70" s="183"/>
      <c r="L70" s="183"/>
      <c r="M70" s="183"/>
    </row>
    <row r="71" spans="1:13" ht="27.95" customHeight="1">
      <c r="A71" s="175" t="s">
        <v>74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8" sqref="D8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75</v>
      </c>
      <c r="B2" s="46" t="str">
        <f>+'PO 1st page'!K11</f>
        <v>SAC2-DS-PO-0323</v>
      </c>
      <c r="C2" s="186" t="s">
        <v>76</v>
      </c>
      <c r="D2" s="186"/>
      <c r="E2" s="186"/>
      <c r="F2" s="186"/>
      <c r="G2" s="47"/>
      <c r="H2" s="47"/>
    </row>
    <row r="3" spans="1:13" s="53" customFormat="1" ht="28.5" customHeight="1" thickBot="1">
      <c r="A3" s="48" t="s">
        <v>77</v>
      </c>
      <c r="B3" s="49">
        <f>+'PO 1st page'!K10</f>
        <v>46167</v>
      </c>
      <c r="C3" s="50"/>
      <c r="D3" s="51"/>
      <c r="E3" s="187" t="s">
        <v>78</v>
      </c>
      <c r="F3" s="187"/>
      <c r="G3" s="187"/>
      <c r="H3" s="187"/>
      <c r="I3" s="52"/>
    </row>
    <row r="4" spans="1:13" s="54" customFormat="1" ht="28.5" customHeight="1" thickTop="1">
      <c r="A4" s="188" t="s">
        <v>79</v>
      </c>
      <c r="B4" s="190" t="s">
        <v>80</v>
      </c>
      <c r="C4" s="191"/>
      <c r="D4" s="194" t="s">
        <v>81</v>
      </c>
      <c r="E4" s="194" t="s">
        <v>82</v>
      </c>
      <c r="F4" s="196" t="str">
        <f>'PO 1st page'!C9</f>
        <v>NAAFI (Nawris Alsharq Alghazat Factory Industrial)</v>
      </c>
      <c r="G4" s="197"/>
      <c r="H4" s="198" t="s">
        <v>83</v>
      </c>
      <c r="K4" s="55"/>
      <c r="L4" s="55"/>
      <c r="M4" s="55"/>
    </row>
    <row r="5" spans="1:13" s="54" customFormat="1" ht="21.95" customHeight="1">
      <c r="A5" s="189"/>
      <c r="B5" s="192"/>
      <c r="C5" s="193"/>
      <c r="D5" s="195"/>
      <c r="E5" s="195"/>
      <c r="F5" s="56" t="s">
        <v>84</v>
      </c>
      <c r="G5" s="56" t="s">
        <v>49</v>
      </c>
      <c r="H5" s="199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4" t="str">
        <f>_xlfn.CONCAT(MRS!B6)</f>
        <v>Oxygen Gas Refill</v>
      </c>
      <c r="C6" s="185"/>
      <c r="D6" s="85" t="str">
        <f>_xlfn.CONCAT(MRS!G6)</f>
        <v>Cyl</v>
      </c>
      <c r="E6" s="86" t="str">
        <f>_xlfn.CONCAT(MRS!H6)</f>
        <v>1</v>
      </c>
      <c r="F6" s="87">
        <f>+'MRS LIST'!I6</f>
        <v>10</v>
      </c>
      <c r="G6" s="88">
        <f>+'MRS LIST'!J6</f>
        <v>10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84" t="str">
        <f>_xlfn.CONCAT(MRS!B7)</f>
        <v>Acetylene Gas Refill</v>
      </c>
      <c r="C7" s="185"/>
      <c r="D7" s="85" t="str">
        <f>_xlfn.CONCAT(MRS!G7)</f>
        <v>Cyl</v>
      </c>
      <c r="E7" s="86" t="str">
        <f>_xlfn.CONCAT(MRS!H7)</f>
        <v>1</v>
      </c>
      <c r="F7" s="87">
        <f>+'MRS LIST'!I7</f>
        <v>80</v>
      </c>
      <c r="G7" s="88">
        <f>+'MRS LIST'!J7</f>
        <v>80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4" t="str">
        <f>_xlfn.CONCAT(MRS!B8)</f>
        <v>Argon Gas Refill</v>
      </c>
      <c r="C8" s="185"/>
      <c r="D8" s="85" t="str">
        <f>_xlfn.CONCAT(MRS!G8)</f>
        <v>Cyl</v>
      </c>
      <c r="E8" s="86" t="str">
        <f>_xlfn.CONCAT(MRS!H8)</f>
        <v>1</v>
      </c>
      <c r="F8" s="87">
        <f>+'MRS LIST'!I8</f>
        <v>64</v>
      </c>
      <c r="G8" s="88">
        <f>+'MRS LIST'!J8</f>
        <v>64</v>
      </c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4" t="str">
        <f>_xlfn.CONCAT(MRS!B9)</f>
        <v>Nitrogen Gas Refill</v>
      </c>
      <c r="C9" s="185"/>
      <c r="D9" s="85" t="str">
        <f>_xlfn.CONCAT(MRS!G9)</f>
        <v>Cyl</v>
      </c>
      <c r="E9" s="86" t="str">
        <f>_xlfn.CONCAT(MRS!H9)</f>
        <v>1</v>
      </c>
      <c r="F9" s="87">
        <f>+'MRS LIST'!I9</f>
        <v>25</v>
      </c>
      <c r="G9" s="88">
        <f>+'MRS LIST'!J9</f>
        <v>25</v>
      </c>
      <c r="H9" s="97"/>
    </row>
    <row r="10" spans="1:13" s="54" customFormat="1" ht="32.1" customHeight="1">
      <c r="A10" s="92">
        <f t="shared" si="0"/>
        <v>5</v>
      </c>
      <c r="B10" s="184" t="str">
        <f>_xlfn.CONCAT(MRS!B10)</f>
        <v>Carbon Dioxide Gas Refill</v>
      </c>
      <c r="C10" s="185"/>
      <c r="D10" s="85" t="str">
        <f>_xlfn.CONCAT(MRS!G10)</f>
        <v>Cyl</v>
      </c>
      <c r="E10" s="86" t="str">
        <f>_xlfn.CONCAT(MRS!H10)</f>
        <v>1</v>
      </c>
      <c r="F10" s="87">
        <f>+'MRS LIST'!I10</f>
        <v>32</v>
      </c>
      <c r="G10" s="88">
        <f>+'MRS LIST'!J10</f>
        <v>32</v>
      </c>
      <c r="H10" s="97"/>
    </row>
    <row r="11" spans="1:13" s="54" customFormat="1" ht="32.1" customHeight="1">
      <c r="A11" s="92">
        <f t="shared" si="0"/>
        <v>6</v>
      </c>
      <c r="B11" s="184" t="str">
        <f>_xlfn.CONCAT(MRS!B11)</f>
        <v/>
      </c>
      <c r="C11" s="185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4"/>
      <c r="C12" s="205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4"/>
      <c r="C13" s="20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4"/>
      <c r="C14" s="20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4"/>
      <c r="C15" s="20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4"/>
      <c r="C16" s="205"/>
      <c r="D16" s="93"/>
      <c r="E16" s="94"/>
      <c r="F16" s="95"/>
      <c r="G16" s="96"/>
      <c r="H16" s="97"/>
      <c r="J16" s="54" t="s">
        <v>100</v>
      </c>
    </row>
    <row r="17" spans="1:13" s="54" customFormat="1" ht="32.1" customHeight="1">
      <c r="A17" s="92">
        <f t="shared" si="0"/>
        <v>12</v>
      </c>
      <c r="B17" s="204"/>
      <c r="C17" s="205"/>
      <c r="D17" s="93"/>
      <c r="E17" s="94"/>
      <c r="F17" s="95"/>
      <c r="G17" s="96"/>
      <c r="H17" s="97"/>
    </row>
    <row r="18" spans="1:13" s="54" customFormat="1" ht="23.1" customHeight="1">
      <c r="A18" s="200" t="s">
        <v>85</v>
      </c>
      <c r="B18" s="201"/>
      <c r="C18" s="201"/>
      <c r="D18" s="201"/>
      <c r="E18" s="201"/>
      <c r="F18" s="201"/>
      <c r="G18" s="57">
        <f>SUM(G6:G17)</f>
        <v>211</v>
      </c>
      <c r="H18" s="58"/>
    </row>
    <row r="19" spans="1:13" s="54" customFormat="1" ht="23.1" customHeight="1">
      <c r="A19" s="200" t="s">
        <v>48</v>
      </c>
      <c r="B19" s="201"/>
      <c r="C19" s="201"/>
      <c r="D19" s="201"/>
      <c r="E19" s="201"/>
      <c r="F19" s="201"/>
      <c r="G19" s="57">
        <f>+G18*0.15</f>
        <v>31.65</v>
      </c>
      <c r="H19" s="58"/>
    </row>
    <row r="20" spans="1:13" s="54" customFormat="1" ht="24.95" customHeight="1" thickBot="1">
      <c r="A20" s="202" t="s">
        <v>86</v>
      </c>
      <c r="B20" s="203"/>
      <c r="C20" s="203"/>
      <c r="D20" s="203"/>
      <c r="E20" s="203"/>
      <c r="F20" s="203"/>
      <c r="G20" s="59">
        <f>G19+G18</f>
        <v>242.65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DAEHN/26/26/95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87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5" t="s">
        <v>88</v>
      </c>
      <c r="B24" s="175"/>
      <c r="C24" s="175"/>
      <c r="D24" s="175"/>
      <c r="E24" s="175"/>
      <c r="F24" s="175"/>
      <c r="G24" s="175"/>
      <c r="H24" s="175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2026-05-25T11:27:33Z</cp:lastPrinted>
  <dcterms:created xsi:type="dcterms:W3CDTF">2024-10-20T11:50:19Z</dcterms:created>
  <dcterms:modified xsi:type="dcterms:W3CDTF">2026-05-25T11:27:40Z</dcterms:modified>
</cp:coreProperties>
</file>