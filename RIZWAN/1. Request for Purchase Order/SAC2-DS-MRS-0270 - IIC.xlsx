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F36B1FC-F321-45A4-ABAD-BF07C421393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<sst xmlns="http://schemas.openxmlformats.org/spreadsheetml/2006/main" count="172" uniqueCount="132">
  <si>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</si>
  <si>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</si>
  <si>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</si>
  <si>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</si>
  <si>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</si>
  <si>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</si>
  <si>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</si>
  <si>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</si>
  <si>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</si>
  <si>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</si>
  <si>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</si>
  <si>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</si>
  <si>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</si>
  <si>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</si>
  <si>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</si>
  <si>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</si>
  <si>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</si>
  <si>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</si>
  <si>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</si>
  <si>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</si>
  <si>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</si>
  <si>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</si>
  <si>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</si>
  <si>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</si>
  <si>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</si>
  <si>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</si>
  <si>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</si>
  <si>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</si>
  <si>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</si>
  <si>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</si>
  <si>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</si>
  <si>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</si>
  <si>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</si>
  <si>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</si>
  <si>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</si>
  <si>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</si>
  <si>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</si>
  <si>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</si>
  <si>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</si>
  <si>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</si>
  <si>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</si>
  <si>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</si>
  <si>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</si>
  <si>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</si>
  <si>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</si>
  <si>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</si>
  <si>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</si>
  <si>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</si>
  <si>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</si>
  <si>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</si>
  <si>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</si>
  <si>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</si>
  <si>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</si>
  <si>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</si>
  <si>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</si>
  <si>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</si>
  <si>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</si>
  <si>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</si>
  <si>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</si>
  <si>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</si>
  <si>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</si>
  <si>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</si>
  <si>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</si>
  <si>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</si>
  <si>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</si>
  <si>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</si>
  <si>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</si>
  <si>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</si>
  <si>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</si>
  <si>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</si>
  <si>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</si>
  <si>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</si>
  <si>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</si>
  <si>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</si>
  <si>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</si>
  <si>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</si>
  <si>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</si>
  <si>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</si>
  <si>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</si>
  <si>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</si>
  <si>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</si>
  <si>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</si>
  <si>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</si>
  <si>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</si>
  <si>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</si>
  <si>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</si>
  <si>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</si>
  <si>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</si>
  <si>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</si>
  <si>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</si>
  <si>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</si>
  <si>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</si>
  <si>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</si>
  <si>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</si>
  <si>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</si>
  <si>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</si>
  <si>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</si>
  <si>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</si>
  <si>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</si>
  <si>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</si>
  <si>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</si>
  <si>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</si>
  <si>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</si>
  <si>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</si>
  <si>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</si>
  <si>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</si>
  <si>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</si>
  <si>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</si>
  <si>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</si>
  <si>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</si>
  <si>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</si>
  <si>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</si>
  <si>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</si>
  <si>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-MRS-0270</t>
    </r>
  </si>
  <si>
    <t>Boom Truck</t>
  </si>
  <si>
    <t>with Aramco Certified Operator</t>
  </si>
  <si>
    <t>IIC</t>
  </si>
  <si>
    <t xml:space="preserve"> CR No. :</t>
    <phoneticPr fontId="7" type="noConversion"/>
  </si>
  <si>
    <t xml:space="preserve">2055011426 </t>
  </si>
  <si>
    <t xml:space="preserve"> VAT No. : </t>
    <phoneticPr fontId="7" type="noConversion"/>
  </si>
  <si>
    <t>310793666100003</t>
  </si>
  <si>
    <t xml:space="preserve"> In Charge :</t>
    <phoneticPr fontId="7" type="noConversion"/>
  </si>
  <si>
    <t>P.O. Box 2654 Al-Jubail 31951</t>
  </si>
  <si>
    <t>IIC(Independent Innovation Gen. Cont. Co. LLC)</t>
  </si>
  <si>
    <t>Umar Farooq</t>
  </si>
  <si>
    <t>+966 53 910 3779 /  Email:umar@iigcest.com</t>
  </si>
  <si>
    <t>Mobile : +966 53 910 3779</t>
  </si>
  <si>
    <t>IIC-EQUO-2026-5267</t>
  </si>
  <si>
    <t>INDEPENDENT INNOVATION GEN. CONT. CO. LLC</t>
  </si>
  <si>
    <t>SA04 1000 0006 5772 2100 0105</t>
  </si>
  <si>
    <t>06577221000105</t>
  </si>
  <si>
    <t>Head of Equipment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</si>
</sst>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6" fillId="3" borderId="0" xfId="5" applyFont="1" applyFill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10"/>
      <c r="C1" s="110"/>
      <c r="D1" s="110"/>
      <c r="E1" s="110"/>
      <c r="F1" s="110"/>
      <c r="G1" s="1"/>
      <c r="J1" s="150" t="s">
        <v>95</v>
      </c>
      <c r="K1" s="151"/>
      <c r="L1" s="152"/>
    </row>
    <row r="2" spans="1:19" ht="20.100000000000001" customHeight="1">
      <c r="A2" s="3" t="s">
        <v>96</v>
      </c>
      <c r="B2" s="101"/>
      <c r="C2" s="101"/>
      <c r="D2" s="3" t="s">
        <v>97</v>
      </c>
      <c r="E2" s="101"/>
      <c r="F2" s="101"/>
      <c r="G2" s="101"/>
      <c r="H2" s="101"/>
      <c r="I2" s="4"/>
      <c r="J2" s="153" t="s">
        <v>98</v>
      </c>
      <c r="K2" s="154"/>
      <c r="L2" s="155"/>
    </row>
    <row r="3" spans="1:19" ht="20.100000000000001" customHeight="1">
      <c r="A3" s="3" t="s">
        <v>113</v>
      </c>
      <c r="B3" s="101"/>
      <c r="C3" s="101"/>
      <c r="D3" s="101"/>
      <c r="E3" s="156">
        <f>+L3</f>
        <v>46109</v>
      </c>
      <c r="F3" s="156"/>
      <c r="G3" s="156"/>
      <c r="H3" s="156"/>
      <c r="I3" s="156"/>
      <c r="J3" s="101"/>
      <c r="K3" s="101"/>
      <c r="L3" s="122">
        <v>46109</v>
      </c>
      <c r="M3" s="4"/>
    </row>
    <row r="4" spans="1:19" ht="15.95" customHeight="1">
      <c r="A4" s="157" t="s">
        <v>1</v>
      </c>
      <c r="B4" s="158" t="s">
        <v>2</v>
      </c>
      <c r="C4" s="158"/>
      <c r="D4" s="159" t="s">
        <v>3</v>
      </c>
      <c r="E4" s="160"/>
      <c r="F4" s="161"/>
      <c r="G4" s="165" t="s">
        <v>4</v>
      </c>
      <c r="H4" s="167" t="s">
        <v>5</v>
      </c>
      <c r="I4" s="167" t="s">
        <v>91</v>
      </c>
      <c r="J4" s="157" t="s">
        <v>92</v>
      </c>
      <c r="K4" s="167" t="s">
        <v>0</v>
      </c>
      <c r="L4" s="158" t="s">
        <v>6</v>
      </c>
    </row>
    <row r="5" spans="1:19" ht="15.95" customHeight="1">
      <c r="A5" s="157"/>
      <c r="B5" s="158"/>
      <c r="C5" s="158"/>
      <c r="D5" s="162"/>
      <c r="E5" s="163"/>
      <c r="F5" s="164"/>
      <c r="G5" s="166"/>
      <c r="H5" s="168"/>
      <c r="I5" s="168"/>
      <c r="J5" s="157"/>
      <c r="K5" s="168"/>
      <c r="L5" s="158"/>
    </row>
    <row r="6" spans="1:19" ht="22.5" customHeight="1">
      <c r="A6" s="5">
        <f t="shared" ref="A6:A15" si="0">ROW(A1)</f>
        <v>1</v>
      </c>
      <c r="B6" s="169" t="s">
        <v>114</v>
      </c>
      <c r="C6" s="170"/>
      <c r="D6" s="171" t="s">
        <v>115</v>
      </c>
      <c r="E6" s="172"/>
      <c r="F6" s="173"/>
      <c r="G6" s="111" t="s">
        <v>86</v>
      </c>
      <c r="H6" s="112">
        <v>1</v>
      </c>
      <c r="I6" s="113">
        <v>33000</v>
      </c>
      <c r="J6" s="113">
        <f>H6*I6</f>
        <v>33000</v>
      </c>
      <c r="K6" s="114" t="s">
        <v>116</v>
      </c>
      <c r="L6" s="115" t="s">
        <v>93</v>
      </c>
      <c r="S6" s="106"/>
    </row>
    <row r="7" spans="1:19" ht="22.5" customHeight="1">
      <c r="A7" s="5">
        <f t="shared" si="0"/>
        <v>2</v>
      </c>
      <c r="B7" s="169"/>
      <c r="C7" s="170"/>
      <c r="D7" s="174"/>
      <c r="E7" s="172"/>
      <c r="F7" s="17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69"/>
      <c r="C8" s="170"/>
      <c r="D8" s="171"/>
      <c r="E8" s="172"/>
      <c r="F8" s="17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69"/>
      <c r="C9" s="170"/>
      <c r="D9" s="174"/>
      <c r="E9" s="172"/>
      <c r="F9" s="17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75"/>
      <c r="C10" s="175"/>
      <c r="D10" s="176"/>
      <c r="E10" s="176"/>
      <c r="F10" s="176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69"/>
      <c r="C11" s="170"/>
      <c r="D11" s="171"/>
      <c r="E11" s="172"/>
      <c r="F11" s="17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75"/>
      <c r="C12" s="175"/>
      <c r="D12" s="176"/>
      <c r="E12" s="176"/>
      <c r="F12" s="176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69"/>
      <c r="C13" s="170"/>
      <c r="D13" s="171"/>
      <c r="E13" s="172"/>
      <c r="F13" s="17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69"/>
      <c r="C14" s="170"/>
      <c r="D14" s="171"/>
      <c r="E14" s="172"/>
      <c r="F14" s="17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69"/>
      <c r="C15" s="170"/>
      <c r="D15" s="171"/>
      <c r="E15" s="172"/>
      <c r="F15" s="17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77" t="s">
        <v>7</v>
      </c>
      <c r="B16" s="178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33000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7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80"/>
      <c r="T19" s="14"/>
      <c r="U19" s="15"/>
      <c r="V19" s="14"/>
    </row>
    <row r="20" spans="1:22" ht="17.100000000000001" customHeight="1">
      <c r="O20" s="11"/>
      <c r="P20" s="11"/>
      <c r="Q20" s="11"/>
      <c r="S20" s="18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82" t="s">
        <v>16</v>
      </c>
      <c r="Q21" s="182" t="s">
        <v>17</v>
      </c>
    </row>
    <row r="22" spans="1:22" ht="18" customHeight="1">
      <c r="O22" s="18" t="s">
        <v>18</v>
      </c>
      <c r="P22" s="183"/>
      <c r="Q22" s="183"/>
      <c r="S22" s="17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8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8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84"/>
      <c r="P27" s="184"/>
      <c r="Q27" s="184"/>
    </row>
    <row r="28" spans="1:22" ht="19.899999999999999" customHeight="1">
      <c r="O28" s="184"/>
      <c r="P28" s="184"/>
      <c r="Q28" s="18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82" t="s">
        <v>20</v>
      </c>
    </row>
    <row r="41" spans="15:22" ht="19.899999999999999" customHeight="1">
      <c r="T41" s="183"/>
    </row>
    <row r="42" spans="15:22" ht="64.900000000000006" customHeight="1">
      <c r="T42" s="14"/>
    </row>
    <row r="46" spans="15:22" ht="21" customHeight="1">
      <c r="O46" s="182" t="s">
        <v>20</v>
      </c>
      <c r="P46" s="182" t="s">
        <v>20</v>
      </c>
      <c r="Q46" s="182" t="s">
        <v>20</v>
      </c>
      <c r="T46" s="182" t="s">
        <v>21</v>
      </c>
      <c r="U46" s="182" t="s">
        <v>12</v>
      </c>
      <c r="V46" s="182" t="s">
        <v>20</v>
      </c>
    </row>
    <row r="47" spans="15:22" ht="21" customHeight="1">
      <c r="O47" s="183"/>
      <c r="P47" s="183"/>
      <c r="Q47" s="183"/>
      <c r="T47" s="181"/>
      <c r="U47" s="181"/>
      <c r="V47" s="18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82" t="s">
        <v>20</v>
      </c>
      <c r="P50" s="182" t="s">
        <v>20</v>
      </c>
      <c r="Q50" s="182" t="s">
        <v>20</v>
      </c>
      <c r="T50" s="182" t="s">
        <v>12</v>
      </c>
      <c r="U50" s="182" t="s">
        <v>21</v>
      </c>
      <c r="V50" s="182" t="s">
        <v>20</v>
      </c>
    </row>
    <row r="51" spans="15:22" ht="21" customHeight="1">
      <c r="O51" s="183"/>
      <c r="P51" s="183"/>
      <c r="Q51" s="183"/>
      <c r="T51" s="181"/>
      <c r="U51" s="181"/>
      <c r="V51" s="18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90</v>
      </c>
      <c r="B1" s="100"/>
      <c r="C1" s="100"/>
      <c r="D1" s="100"/>
      <c r="E1" s="100"/>
      <c r="F1" s="100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SAC2-DS-MRS-0270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46109</v>
      </c>
    </row>
    <row r="4" spans="1:18" ht="15.95" customHeight="1">
      <c r="A4" s="189" t="s">
        <v>1</v>
      </c>
      <c r="B4" s="190" t="s">
        <v>22</v>
      </c>
      <c r="C4" s="190"/>
      <c r="D4" s="189" t="s">
        <v>3</v>
      </c>
      <c r="E4" s="189"/>
      <c r="F4" s="189"/>
      <c r="G4" s="190" t="s">
        <v>4</v>
      </c>
      <c r="H4" s="189" t="s">
        <v>87</v>
      </c>
      <c r="I4" s="189" t="s">
        <v>23</v>
      </c>
      <c r="J4" s="189" t="s">
        <v>24</v>
      </c>
      <c r="K4" s="190" t="s">
        <v>6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91" t="str">
        <f>MRS!B6</f>
        <v>Boom Truck</v>
      </c>
      <c r="C6" s="192"/>
      <c r="D6" s="193" t="str">
        <f>MRS!D6</f>
        <v>with Aramco Certified Operator</v>
      </c>
      <c r="E6" s="194"/>
      <c r="F6" s="195"/>
      <c r="G6" s="103" t="str">
        <f>MRS!G6</f>
        <v>Month</v>
      </c>
      <c r="H6" s="103">
        <f>MRS!H6</f>
        <v>1</v>
      </c>
      <c r="I6" s="104">
        <f>MRS!I6</f>
        <v>33000</v>
      </c>
      <c r="J6" s="104">
        <f>MRS!J6</f>
        <v>33000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91">
        <f>MRS!B7</f>
        <v>0</v>
      </c>
      <c r="C7" s="192"/>
      <c r="D7" s="193">
        <f>MRS!D7</f>
        <v>0</v>
      </c>
      <c r="E7" s="194"/>
      <c r="F7" s="19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91">
        <f>MRS!B8</f>
        <v>0</v>
      </c>
      <c r="C8" s="192"/>
      <c r="D8" s="193">
        <f>MRS!D8</f>
        <v>0</v>
      </c>
      <c r="E8" s="194"/>
      <c r="F8" s="19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96"/>
      <c r="C9" s="197"/>
      <c r="D9" s="198"/>
      <c r="E9" s="199"/>
      <c r="F9" s="200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96"/>
      <c r="C10" s="197"/>
      <c r="D10" s="198"/>
      <c r="E10" s="199"/>
      <c r="F10" s="200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96"/>
      <c r="C11" s="197"/>
      <c r="D11" s="198"/>
      <c r="E11" s="199"/>
      <c r="F11" s="200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96"/>
      <c r="C12" s="197"/>
      <c r="D12" s="198"/>
      <c r="E12" s="199"/>
      <c r="F12" s="20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96"/>
      <c r="C13" s="197"/>
      <c r="D13" s="198"/>
      <c r="E13" s="199"/>
      <c r="F13" s="20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96"/>
      <c r="C14" s="197"/>
      <c r="D14" s="198"/>
      <c r="E14" s="199"/>
      <c r="F14" s="20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96"/>
      <c r="C15" s="197"/>
      <c r="D15" s="198"/>
      <c r="E15" s="199"/>
      <c r="F15" s="20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96"/>
      <c r="C16" s="197"/>
      <c r="D16" s="198"/>
      <c r="E16" s="199"/>
      <c r="F16" s="20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96"/>
      <c r="C17" s="197"/>
      <c r="D17" s="198"/>
      <c r="E17" s="199"/>
      <c r="F17" s="20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J70" sqref="J7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123</v>
      </c>
      <c r="D9" s="39"/>
      <c r="E9" s="39"/>
    </row>
    <row r="10" spans="2:13" s="39" customFormat="1">
      <c r="B10" s="72"/>
      <c r="C10" s="39" t="s">
        <v>117</v>
      </c>
      <c r="D10" s="76" t="s">
        <v>118</v>
      </c>
      <c r="J10" s="39" t="s">
        <v>31</v>
      </c>
      <c r="K10" s="201">
        <f>MRS!L3</f>
        <v>46109</v>
      </c>
      <c r="L10" s="202"/>
      <c r="M10" s="202"/>
    </row>
    <row r="11" spans="2:13" s="39" customFormat="1">
      <c r="B11" s="72"/>
      <c r="C11" s="75" t="s">
        <v>119</v>
      </c>
      <c r="D11" s="76" t="s">
        <v>120</v>
      </c>
      <c r="J11" s="39" t="s">
        <v>32</v>
      </c>
      <c r="K11" s="203" t="str">
        <f>SUBSTITUTE(SUBSTITUTE(+MRS!A3,"  MRS No : ",""),"-MRS","-PO")</f>
        <v>SAC2-DS-PO-0270</v>
      </c>
      <c r="L11" s="203"/>
      <c r="M11" s="203"/>
    </row>
    <row r="12" spans="2:13" s="39" customFormat="1">
      <c r="B12" s="72"/>
      <c r="C12" s="75" t="s">
        <v>121</v>
      </c>
      <c r="D12" s="39" t="s">
        <v>124</v>
      </c>
      <c r="J12" s="39" t="s">
        <v>33</v>
      </c>
    </row>
    <row r="13" spans="2:13" s="39" customFormat="1">
      <c r="B13" s="72"/>
      <c r="C13" s="77"/>
      <c r="D13" s="76" t="s">
        <v>125</v>
      </c>
      <c r="J13" s="39" t="s">
        <v>34</v>
      </c>
    </row>
    <row r="14" spans="2:13" s="39" customFormat="1">
      <c r="B14" s="72"/>
      <c r="C14" s="77" t="s">
        <v>122</v>
      </c>
      <c r="J14" s="39" t="s">
        <v>35</v>
      </c>
      <c r="K14" s="39" t="s">
        <v>127</v>
      </c>
    </row>
    <row r="15" spans="2:13" s="39" customFormat="1">
      <c r="B15" s="72"/>
      <c r="C15" s="77" t="s">
        <v>126</v>
      </c>
      <c r="J15" s="39" t="s">
        <v>36</v>
      </c>
      <c r="K15" s="78">
        <v>46105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204" t="s">
        <v>37</v>
      </c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</row>
    <row r="19" spans="2:13" ht="12" customHeight="1"/>
    <row r="20" spans="2:13" s="31" customFormat="1" ht="12" customHeight="1">
      <c r="B20" s="205" t="s">
        <v>38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31" customFormat="1" ht="12" customHeight="1">
      <c r="B21" s="205" t="s">
        <v>39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s="31" customFormat="1" ht="12" customHeight="1">
      <c r="B22" s="205" t="s">
        <v>40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2:13" ht="6.95" customHeight="1"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</row>
    <row r="24" spans="2:13" ht="6.95" customHeight="1"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4" t="str">
        <f>_xlfn.CONCAT(MRS!B6," ",MRS!D6)</f>
        <v>Boom Truck with Aramco Certified Operator</v>
      </c>
      <c r="M26" s="79" t="s">
        <v>42</v>
      </c>
    </row>
    <row r="27" spans="2:13" ht="11.1" customHeight="1">
      <c r="B27" s="32"/>
      <c r="C27" s="126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208" t="s">
        <v>93</v>
      </c>
      <c r="G29" s="208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208"/>
      <c r="G30" s="208"/>
    </row>
    <row r="31" spans="2:13" ht="12" customHeight="1">
      <c r="B31" s="32"/>
      <c r="C31" s="26" t="s">
        <v>47</v>
      </c>
      <c r="D31" s="35"/>
      <c r="E31" s="26" t="s">
        <v>45</v>
      </c>
      <c r="F31" s="208"/>
      <c r="G31" s="20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5" t="s">
        <v>103</v>
      </c>
      <c r="F54" s="26" t="s">
        <v>128</v>
      </c>
      <c r="P54" s="26" t="str">
        <f>UPPER(F54)</f>
        <v>INDEPENDENT INNOVATION GEN. CONT. CO. LLC</v>
      </c>
    </row>
    <row r="55" spans="2:16" ht="12" customHeight="1">
      <c r="B55" s="84" t="s">
        <v>61</v>
      </c>
      <c r="C55" s="125" t="s">
        <v>104</v>
      </c>
      <c r="F55" s="126" t="s">
        <v>130</v>
      </c>
    </row>
    <row r="56" spans="2:16" ht="12" customHeight="1">
      <c r="B56" s="84" t="s">
        <v>61</v>
      </c>
      <c r="C56" s="125" t="s">
        <v>105</v>
      </c>
      <c r="F56" s="126" t="s">
        <v>129</v>
      </c>
    </row>
    <row r="57" spans="2:16" ht="12" customHeight="1">
      <c r="B57" s="84" t="s">
        <v>61</v>
      </c>
      <c r="C57" s="125" t="s">
        <v>106</v>
      </c>
      <c r="F57" s="26" t="s">
        <v>111</v>
      </c>
    </row>
    <row r="58" spans="2:16" ht="12" customHeight="1">
      <c r="B58" s="84" t="s">
        <v>61</v>
      </c>
      <c r="C58" s="125" t="s">
        <v>107</v>
      </c>
      <c r="F58" s="26" t="s">
        <v>112</v>
      </c>
    </row>
    <row r="59" spans="2:16" ht="12" customHeight="1">
      <c r="B59" s="84" t="s">
        <v>61</v>
      </c>
      <c r="C59" s="125" t="s">
        <v>108</v>
      </c>
      <c r="F59" s="26" t="s">
        <v>109</v>
      </c>
    </row>
    <row r="60" spans="2:16" ht="12" customHeight="1">
      <c r="B60" s="84"/>
      <c r="C60" s="125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UMAR FAROOQ</v>
      </c>
    </row>
    <row r="68" spans="1:13" ht="18" customHeight="1">
      <c r="B68" s="26" t="s">
        <v>67</v>
      </c>
      <c r="J68" s="26" t="s">
        <v>68</v>
      </c>
      <c r="K68" s="22" t="s">
        <v>131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209" t="str">
        <f>C9</f>
        <v>IIC(Independent Innovation Gen. Cont. Co. LLC)</v>
      </c>
    </row>
    <row r="71" spans="1:13" ht="27.95" customHeight="1">
      <c r="A71" s="149" t="s">
        <v>71</v>
      </c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SAC2-DS-PO-0270</v>
      </c>
      <c r="C2" s="129" t="s">
        <v>73</v>
      </c>
      <c r="D2" s="129"/>
      <c r="E2" s="129"/>
      <c r="F2" s="129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46109</v>
      </c>
      <c r="C3" s="51"/>
      <c r="D3" s="52"/>
      <c r="E3" s="130" t="s">
        <v>75</v>
      </c>
      <c r="F3" s="130"/>
      <c r="G3" s="130"/>
      <c r="H3" s="130"/>
      <c r="I3" s="53"/>
    </row>
    <row r="4" spans="1:13" s="55" customFormat="1" ht="28.5" customHeight="1" thickTop="1">
      <c r="A4" s="131" t="s">
        <v>76</v>
      </c>
      <c r="B4" s="133" t="s">
        <v>77</v>
      </c>
      <c r="C4" s="134"/>
      <c r="D4" s="137" t="s">
        <v>78</v>
      </c>
      <c r="E4" s="137" t="s">
        <v>79</v>
      </c>
      <c r="F4" s="139" t="str">
        <f>'PO 1st page'!C9</f>
        <v>IIC(Independent Innovation Gen. Cont. Co. LLC)</v>
      </c>
      <c r="G4" s="140"/>
      <c r="H4" s="141" t="s">
        <v>80</v>
      </c>
      <c r="K4" s="56"/>
      <c r="L4" s="56"/>
      <c r="M4" s="56"/>
    </row>
    <row r="5" spans="1:13" s="55" customFormat="1" ht="21.95" customHeight="1">
      <c r="A5" s="132"/>
      <c r="B5" s="135"/>
      <c r="C5" s="136"/>
      <c r="D5" s="138"/>
      <c r="E5" s="138"/>
      <c r="F5" s="57" t="s">
        <v>81</v>
      </c>
      <c r="G5" s="57" t="s">
        <v>47</v>
      </c>
      <c r="H5" s="14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43" t="str">
        <f>CONCATENATE(MRS!B6," ",MRS!D6)</f>
        <v>Boom Truck with Aramco Certified Operator</v>
      </c>
      <c r="C6" s="144"/>
      <c r="D6" s="86" t="str">
        <f>MRS!G6</f>
        <v>Month</v>
      </c>
      <c r="E6" s="86">
        <f>MRS!H6</f>
        <v>1</v>
      </c>
      <c r="F6" s="87">
        <f>MRS!I6</f>
        <v>33000</v>
      </c>
      <c r="G6" s="88">
        <f>MRS!J6</f>
        <v>33000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143"/>
      <c r="C7" s="144"/>
      <c r="D7" s="86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43"/>
      <c r="C8" s="144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43"/>
      <c r="C9" s="144"/>
      <c r="D9" s="86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27"/>
      <c r="C10" s="128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27"/>
      <c r="C11" s="128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27"/>
      <c r="C12" s="12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27"/>
      <c r="C13" s="12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27"/>
      <c r="C14" s="12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27"/>
      <c r="C15" s="12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27"/>
      <c r="C16" s="12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27"/>
      <c r="C17" s="128"/>
      <c r="D17" s="93"/>
      <c r="E17" s="94"/>
      <c r="F17" s="95"/>
      <c r="G17" s="96"/>
      <c r="H17" s="97"/>
    </row>
    <row r="18" spans="1:13" s="55" customFormat="1" ht="23.1" customHeight="1">
      <c r="A18" s="145" t="s">
        <v>82</v>
      </c>
      <c r="B18" s="146"/>
      <c r="C18" s="146"/>
      <c r="D18" s="146"/>
      <c r="E18" s="146"/>
      <c r="F18" s="146"/>
      <c r="G18" s="58">
        <f>SUM(G6:G17)</f>
        <v>33000</v>
      </c>
      <c r="H18" s="59"/>
    </row>
    <row r="19" spans="1:13" s="55" customFormat="1" ht="23.1" customHeight="1">
      <c r="A19" s="145" t="s">
        <v>46</v>
      </c>
      <c r="B19" s="146"/>
      <c r="C19" s="146"/>
      <c r="D19" s="146"/>
      <c r="E19" s="146"/>
      <c r="F19" s="146"/>
      <c r="G19" s="58">
        <f>+G18*0.15</f>
        <v>4950</v>
      </c>
      <c r="H19" s="59"/>
    </row>
    <row r="20" spans="1:13" s="55" customFormat="1" ht="24.95" customHeight="1" thickBot="1">
      <c r="A20" s="147" t="s">
        <v>83</v>
      </c>
      <c r="B20" s="148"/>
      <c r="C20" s="148"/>
      <c r="D20" s="148"/>
      <c r="E20" s="148"/>
      <c r="F20" s="148"/>
      <c r="G20" s="60">
        <f>G19+G18</f>
        <v>37950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IIC-EQUO-2026-5267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49" t="s">
        <v>85</v>
      </c>
      <c r="B24" s="149"/>
      <c r="C24" s="149"/>
      <c r="D24" s="149"/>
      <c r="E24" s="149"/>
      <c r="F24" s="149"/>
      <c r="G24" s="149"/>
      <c r="H24" s="14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2026-03-28T12:14:22Z</cp:lastPrinted>
  <dcterms:created xsi:type="dcterms:W3CDTF">2024-10-20T11:50:19Z</dcterms:created>
  <dcterms:modified xsi:type="dcterms:W3CDTF">2026-03-28T12:14:25Z</dcterms:modified>
</cp:coreProperties>
</file>