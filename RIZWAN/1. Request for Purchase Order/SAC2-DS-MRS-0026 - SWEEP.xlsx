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74183667-A426-4C74-933A-EAA8E900BA5F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2" l="1"/>
  <c r="G10" i="4" s="1"/>
  <c r="I10" i="2"/>
  <c r="H10" i="2"/>
  <c r="E10" i="4" s="1"/>
  <c r="G10" i="2"/>
  <c r="D10" i="4" s="1"/>
  <c r="D10" i="2"/>
  <c r="B10" i="2"/>
  <c r="F10" i="4"/>
  <c r="B10" i="4"/>
  <c r="G9" i="4"/>
  <c r="F9" i="4"/>
  <c r="E9" i="4"/>
  <c r="D9" i="4"/>
  <c r="B9" i="4"/>
  <c r="G8" i="4"/>
  <c r="F8" i="4"/>
  <c r="E8" i="4"/>
  <c r="D8" i="4"/>
  <c r="B8" i="4"/>
  <c r="H10" i="4"/>
  <c r="H6" i="4"/>
  <c r="A14" i="1"/>
  <c r="A8" i="1"/>
  <c r="A10" i="1"/>
  <c r="A12" i="1"/>
  <c r="I9" i="2"/>
  <c r="H9" i="2"/>
  <c r="G9" i="2"/>
  <c r="D9" i="2"/>
  <c r="B9" i="2"/>
  <c r="I8" i="2"/>
  <c r="H8" i="2"/>
  <c r="G8" i="2"/>
  <c r="D8" i="2"/>
  <c r="B8" i="2"/>
  <c r="B7" i="4"/>
  <c r="J10" i="1"/>
  <c r="J9" i="1"/>
  <c r="J9" i="2" s="1"/>
  <c r="J8" i="1"/>
  <c r="J8" i="2" s="1"/>
  <c r="J7" i="1"/>
  <c r="J7" i="2" l="1"/>
  <c r="G7" i="4" s="1"/>
  <c r="I7" i="2"/>
  <c r="F7" i="4" s="1"/>
  <c r="H7" i="2"/>
  <c r="E7" i="4" s="1"/>
  <c r="G7" i="2"/>
  <c r="D7" i="4" s="1"/>
  <c r="D7" i="2"/>
  <c r="B7" i="2"/>
  <c r="B6" i="4" l="1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61" i="3"/>
  <c r="K58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<sst xmlns="http://schemas.openxmlformats.org/spreadsheetml/2006/main" count="169" uniqueCount="127">
  <si>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</si>
  <si>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</si>
  <si>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</si>
  <si>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</si>
  <si>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</si>
  <si>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</si>
  <si>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</si>
  <si>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</si>
  <si>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</si>
  <si>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</si>
  <si>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</si>
  <si>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</si>
  <si>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</si>
  <si>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</si>
  <si>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</si>
  <si>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</si>
  <si>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</si>
  <si>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</si>
  <si>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</si>
  <si>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</si>
  <si>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</si>
  <si>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</si>
  <si>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</si>
  <si>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</si>
  <si>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</si>
  <si>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</si>
  <si>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</si>
  <si>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</si>
  <si>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</si>
  <si>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</si>
  <si>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</si>
  <si>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</si>
  <si>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</si>
  <si>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</si>
  <si>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</si>
  <si>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</si>
  <si>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</si>
  <si>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</si>
  <si>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</si>
  <si>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</si>
  <si>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</si>
  <si>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</si>
  <si>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</si>
  <si>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</si>
  <si>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</si>
  <si>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</si>
  <si>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</si>
  <si>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</si>
  <si>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</si>
  <si>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</si>
  <si>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</si>
  <si>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</si>
  <si>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</si>
  <si>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</si>
  <si>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</si>
  <si>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</si>
  <si>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</si>
  <si>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</si>
  <si>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</si>
  <si>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</si>
  <si>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</si>
  <si>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</si>
  <si>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</si>
  <si>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</si>
  <si>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</si>
  <si>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</si>
  <si>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</si>
  <si>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</si>
  <si>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</si>
  <si>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</si>
  <si>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</si>
  <si>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</si>
  <si>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</si>
  <si>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</si>
  <si>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</si>
  <si>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</si>
  <si>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</si>
  <si>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</si>
  <si>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</si>
  <si>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</si>
  <si>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</si>
  <si>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</si>
  <si>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</si>
  <si>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</si>
  <si>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</si>
  <si>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</si>
  <si>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</si>
  <si>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</si>
  <si>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</si>
  <si>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</si>
  <si>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</si>
  <si>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</si>
  <si>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</si>
  <si>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</si>
  <si>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</si>
  <si>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</si>
  <si>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</si>
  <si>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</si>
  <si>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</si>
  <si>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</si>
  <si>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</si>
  <si>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</si>
  <si>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</si>
  <si>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-MRS-0026</t>
    </r>
  </si>
  <si>
    <t>Subcontract name (SAC2-SC-IK-SMP-01)</t>
  </si>
  <si>
    <t>Skip Container</t>
  </si>
  <si>
    <t>Skip Container Waste Disposal</t>
  </si>
  <si>
    <t>Service Charge</t>
  </si>
  <si>
    <t>Trip</t>
  </si>
  <si>
    <t>Block Toilet Waste Water Removal</t>
  </si>
  <si>
    <t>EA</t>
  </si>
  <si>
    <t>1 x 1 Portable Toilet Cleaning</t>
  </si>
  <si>
    <t>1 x 1 Portable Toilet</t>
  </si>
  <si>
    <t>Rent</t>
  </si>
  <si>
    <t>SCCL</t>
  </si>
  <si>
    <t>Monthly Rent</t>
  </si>
  <si>
    <t>SCCL(Sweep Care Co. Ltd.)</t>
  </si>
  <si>
    <t xml:space="preserve">312009886200003 </t>
  </si>
  <si>
    <t>Mohammed Ashraf</t>
  </si>
  <si>
    <t>Bldg 8590 Jabal Street, Jubail City</t>
  </si>
  <si>
    <t>Landline : +966 13 3627417 / Mobile : +966 56 5759777</t>
  </si>
  <si>
    <t>SC-EQTN-2025-0444</t>
  </si>
  <si>
    <t>General Manager</t>
  </si>
  <si>
    <t>+966 56 5759777 / info@sweepcare.com</t>
  </si>
  <si>
    <t>Waste Management</t>
  </si>
  <si>
    <t>10 Yard / Rent</t>
  </si>
  <si>
    <t>Monthly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</si>
</sst>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2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70294" y="5558118"/>
              <a:ext cx="7115735" cy="23196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R10" sqref="R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101</v>
      </c>
      <c r="B1" s="124"/>
      <c r="C1" s="111"/>
      <c r="D1" s="111"/>
      <c r="E1" s="111"/>
      <c r="F1" s="111"/>
      <c r="G1" s="1"/>
      <c r="J1" s="151" t="s">
        <v>92</v>
      </c>
      <c r="K1" s="152"/>
      <c r="L1" s="153"/>
    </row>
    <row r="2" spans="1:19" ht="20.100000000000001" customHeight="1">
      <c r="A2" s="3" t="s">
        <v>1</v>
      </c>
      <c r="B2" s="102"/>
      <c r="C2" s="102"/>
      <c r="D2" s="3" t="s">
        <v>100</v>
      </c>
      <c r="E2" s="102"/>
      <c r="F2" s="102"/>
      <c r="G2" s="102"/>
      <c r="H2" s="102"/>
      <c r="I2" s="4"/>
      <c r="J2" s="154" t="s">
        <v>104</v>
      </c>
      <c r="K2" s="155"/>
      <c r="L2" s="156"/>
    </row>
    <row r="3" spans="1:19" ht="20.100000000000001" customHeight="1">
      <c r="A3" s="3" t="s">
        <v>103</v>
      </c>
      <c r="B3" s="102"/>
      <c r="C3" s="102"/>
      <c r="D3" s="102"/>
      <c r="E3" s="157">
        <f>+L3</f>
        <v>45684</v>
      </c>
      <c r="F3" s="157"/>
      <c r="G3" s="157"/>
      <c r="H3" s="157"/>
      <c r="I3" s="157"/>
      <c r="J3" s="102"/>
      <c r="K3" s="102"/>
      <c r="L3" s="123">
        <v>45684</v>
      </c>
      <c r="M3" s="4"/>
    </row>
    <row r="4" spans="1:19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98</v>
      </c>
      <c r="J4" s="134" t="s">
        <v>99</v>
      </c>
      <c r="K4" s="144" t="s">
        <v>0</v>
      </c>
      <c r="L4" s="135" t="s">
        <v>7</v>
      </c>
    </row>
    <row r="5" spans="1:19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9" ht="30.75" customHeight="1">
      <c r="A6" s="5">
        <f t="shared" ref="A6:A14" si="0">ROW(A1)</f>
        <v>1</v>
      </c>
      <c r="B6" s="146" t="s">
        <v>105</v>
      </c>
      <c r="C6" s="147"/>
      <c r="D6" s="148" t="s">
        <v>125</v>
      </c>
      <c r="E6" s="149"/>
      <c r="F6" s="150"/>
      <c r="G6" s="112">
        <v>1</v>
      </c>
      <c r="H6" s="113">
        <v>1</v>
      </c>
      <c r="I6" s="114">
        <v>50</v>
      </c>
      <c r="J6" s="114">
        <f>H6*I6</f>
        <v>50</v>
      </c>
      <c r="K6" s="115" t="s">
        <v>114</v>
      </c>
      <c r="L6" s="133" t="s">
        <v>115</v>
      </c>
      <c r="S6" s="107"/>
    </row>
    <row r="7" spans="1:19" ht="22.5" customHeight="1">
      <c r="A7" s="5">
        <v>2</v>
      </c>
      <c r="B7" s="146" t="s">
        <v>106</v>
      </c>
      <c r="C7" s="147"/>
      <c r="D7" s="148" t="s">
        <v>107</v>
      </c>
      <c r="E7" s="149"/>
      <c r="F7" s="150"/>
      <c r="G7" s="112" t="s">
        <v>108</v>
      </c>
      <c r="H7" s="113">
        <v>1</v>
      </c>
      <c r="I7" s="114">
        <v>370</v>
      </c>
      <c r="J7" s="114">
        <f>I7</f>
        <v>370</v>
      </c>
      <c r="K7" s="115" t="s">
        <v>114</v>
      </c>
      <c r="L7" s="116"/>
      <c r="S7" s="107"/>
    </row>
    <row r="8" spans="1:19" ht="30" customHeight="1">
      <c r="A8" s="5">
        <f t="shared" si="0"/>
        <v>3</v>
      </c>
      <c r="B8" s="146" t="s">
        <v>109</v>
      </c>
      <c r="C8" s="147"/>
      <c r="D8" s="148" t="s">
        <v>107</v>
      </c>
      <c r="E8" s="149"/>
      <c r="F8" s="150"/>
      <c r="G8" s="112" t="s">
        <v>110</v>
      </c>
      <c r="H8" s="113">
        <v>1</v>
      </c>
      <c r="I8" s="114">
        <v>300</v>
      </c>
      <c r="J8" s="114">
        <f t="shared" ref="J8:J10" si="1">I8</f>
        <v>300</v>
      </c>
      <c r="K8" s="115" t="s">
        <v>114</v>
      </c>
      <c r="L8" s="116"/>
      <c r="S8" s="107"/>
    </row>
    <row r="9" spans="1:19" ht="22.5" customHeight="1">
      <c r="A9" s="5">
        <v>3</v>
      </c>
      <c r="B9" s="146" t="s">
        <v>111</v>
      </c>
      <c r="C9" s="147"/>
      <c r="D9" s="148" t="s">
        <v>107</v>
      </c>
      <c r="E9" s="149"/>
      <c r="F9" s="150"/>
      <c r="G9" s="112" t="s">
        <v>110</v>
      </c>
      <c r="H9" s="113">
        <v>1</v>
      </c>
      <c r="I9" s="117">
        <v>50</v>
      </c>
      <c r="J9" s="114">
        <f t="shared" si="1"/>
        <v>50</v>
      </c>
      <c r="K9" s="115" t="s">
        <v>114</v>
      </c>
      <c r="L9" s="112"/>
      <c r="S9" s="107"/>
    </row>
    <row r="10" spans="1:19" ht="22.5" customHeight="1">
      <c r="A10" s="5">
        <f t="shared" si="0"/>
        <v>5</v>
      </c>
      <c r="B10" s="146" t="s">
        <v>112</v>
      </c>
      <c r="C10" s="147"/>
      <c r="D10" s="148" t="s">
        <v>113</v>
      </c>
      <c r="E10" s="149"/>
      <c r="F10" s="150"/>
      <c r="G10" s="112" t="s">
        <v>110</v>
      </c>
      <c r="H10" s="113">
        <v>1</v>
      </c>
      <c r="I10" s="114">
        <v>200</v>
      </c>
      <c r="J10" s="114">
        <f t="shared" si="1"/>
        <v>200</v>
      </c>
      <c r="K10" s="115" t="s">
        <v>114</v>
      </c>
      <c r="L10" s="133" t="s">
        <v>115</v>
      </c>
      <c r="S10" s="107"/>
    </row>
    <row r="11" spans="1:19" ht="22.5" customHeight="1">
      <c r="A11" s="5">
        <v>4</v>
      </c>
      <c r="B11" s="158"/>
      <c r="C11" s="158"/>
      <c r="D11" s="159"/>
      <c r="E11" s="159"/>
      <c r="F11" s="159"/>
      <c r="G11" s="112"/>
      <c r="H11" s="113"/>
      <c r="I11" s="117"/>
      <c r="J11" s="114"/>
      <c r="K11" s="115"/>
      <c r="L11" s="112"/>
      <c r="S11" s="107"/>
    </row>
    <row r="12" spans="1:19" ht="22.5" customHeight="1">
      <c r="A12" s="5">
        <f t="shared" si="0"/>
        <v>7</v>
      </c>
      <c r="B12" s="146"/>
      <c r="C12" s="147"/>
      <c r="D12" s="148"/>
      <c r="E12" s="149"/>
      <c r="F12" s="150"/>
      <c r="G12" s="112"/>
      <c r="H12" s="113"/>
      <c r="I12" s="114"/>
      <c r="J12" s="114"/>
      <c r="K12" s="115"/>
      <c r="L12" s="116"/>
      <c r="S12" s="107"/>
    </row>
    <row r="13" spans="1:19" ht="22.5" customHeight="1">
      <c r="A13" s="5">
        <v>5</v>
      </c>
      <c r="B13" s="146"/>
      <c r="C13" s="147"/>
      <c r="D13" s="148"/>
      <c r="E13" s="149"/>
      <c r="F13" s="150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v>6</v>
      </c>
      <c r="B15" s="146"/>
      <c r="C15" s="147"/>
      <c r="D15" s="148"/>
      <c r="E15" s="149"/>
      <c r="F15" s="150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60" t="s">
        <v>8</v>
      </c>
      <c r="B16" s="161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970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2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63"/>
      <c r="T19" s="14"/>
      <c r="U19" s="15"/>
      <c r="V19" s="14"/>
    </row>
    <row r="20" spans="1:22" ht="17.100000000000001" customHeight="1">
      <c r="O20" s="11"/>
      <c r="P20" s="11"/>
      <c r="Q20" s="11"/>
      <c r="S20" s="164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5" t="s">
        <v>17</v>
      </c>
      <c r="Q21" s="165" t="s">
        <v>18</v>
      </c>
    </row>
    <row r="22" spans="1:22" ht="18" customHeight="1">
      <c r="O22" s="18" t="s">
        <v>19</v>
      </c>
      <c r="P22" s="166"/>
      <c r="Q22" s="166"/>
      <c r="S22" s="162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63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4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7"/>
      <c r="P27" s="167"/>
      <c r="Q27" s="167"/>
    </row>
    <row r="28" spans="1:22" ht="19.899999999999999" customHeight="1">
      <c r="O28" s="167"/>
      <c r="P28" s="167"/>
      <c r="Q28" s="16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5" t="s">
        <v>21</v>
      </c>
    </row>
    <row r="41" spans="15:22" ht="19.899999999999999" customHeight="1">
      <c r="T41" s="166"/>
    </row>
    <row r="42" spans="15:22" ht="64.900000000000006" customHeight="1">
      <c r="T42" s="14"/>
    </row>
    <row r="46" spans="15:22" ht="21" customHeight="1">
      <c r="O46" s="165" t="s">
        <v>21</v>
      </c>
      <c r="P46" s="165" t="s">
        <v>21</v>
      </c>
      <c r="Q46" s="165" t="s">
        <v>21</v>
      </c>
      <c r="T46" s="165" t="s">
        <v>22</v>
      </c>
      <c r="U46" s="165" t="s">
        <v>13</v>
      </c>
      <c r="V46" s="165" t="s">
        <v>21</v>
      </c>
    </row>
    <row r="47" spans="15:22" ht="21" customHeight="1">
      <c r="O47" s="166"/>
      <c r="P47" s="166"/>
      <c r="Q47" s="166"/>
      <c r="T47" s="164"/>
      <c r="U47" s="164"/>
      <c r="V47" s="16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5" t="s">
        <v>21</v>
      </c>
      <c r="P50" s="165" t="s">
        <v>21</v>
      </c>
      <c r="Q50" s="165" t="s">
        <v>21</v>
      </c>
      <c r="T50" s="165" t="s">
        <v>13</v>
      </c>
      <c r="U50" s="165" t="s">
        <v>22</v>
      </c>
      <c r="V50" s="165" t="s">
        <v>21</v>
      </c>
    </row>
    <row r="51" spans="15:22" ht="21" customHeight="1">
      <c r="O51" s="166"/>
      <c r="P51" s="166"/>
      <c r="Q51" s="166"/>
      <c r="T51" s="164"/>
      <c r="U51" s="164"/>
      <c r="V51" s="16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1" sqref="K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97</v>
      </c>
      <c r="B1" s="101"/>
      <c r="C1" s="101"/>
      <c r="D1" s="101"/>
      <c r="E1" s="101"/>
      <c r="F1" s="101"/>
      <c r="G1" s="1"/>
      <c r="J1" s="168" t="str">
        <f>+MRS!J1</f>
        <v>DAESHIN PLANT</v>
      </c>
      <c r="K1" s="169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(Sang Yeun Cho)</v>
      </c>
      <c r="E2" s="102"/>
      <c r="F2" s="102"/>
      <c r="G2" s="20"/>
      <c r="H2" s="20"/>
      <c r="I2" s="20"/>
      <c r="J2" s="170" t="str">
        <f>+MRS!J2</f>
        <v>Subcontract name (SAC2-SC-IK-SMP-01)</v>
      </c>
      <c r="K2" s="171"/>
    </row>
    <row r="3" spans="1:18" ht="24.95" customHeight="1">
      <c r="A3" s="3" t="str">
        <f>+MRS!A3</f>
        <v xml:space="preserve">  MRS No : SAC2-DS-MRS-0026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45684</v>
      </c>
    </row>
    <row r="4" spans="1:18" ht="15.95" customHeight="1">
      <c r="A4" s="172" t="s">
        <v>2</v>
      </c>
      <c r="B4" s="173" t="s">
        <v>23</v>
      </c>
      <c r="C4" s="173"/>
      <c r="D4" s="172" t="s">
        <v>4</v>
      </c>
      <c r="E4" s="172"/>
      <c r="F4" s="172"/>
      <c r="G4" s="173" t="s">
        <v>5</v>
      </c>
      <c r="H4" s="172" t="s">
        <v>93</v>
      </c>
      <c r="I4" s="172" t="s">
        <v>24</v>
      </c>
      <c r="J4" s="172" t="s">
        <v>25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74" t="str">
        <f>MRS!B6</f>
        <v>Skip Container</v>
      </c>
      <c r="C6" s="175"/>
      <c r="D6" s="176" t="str">
        <f>MRS!D6</f>
        <v>10 Yard / Rent</v>
      </c>
      <c r="E6" s="177"/>
      <c r="F6" s="178"/>
      <c r="G6" s="104">
        <f>MRS!G6</f>
        <v>1</v>
      </c>
      <c r="H6" s="104">
        <f>MRS!H6</f>
        <v>1</v>
      </c>
      <c r="I6" s="105">
        <f>MRS!I6</f>
        <v>50</v>
      </c>
      <c r="J6" s="105">
        <f>MRS!J6</f>
        <v>50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74" t="str">
        <f>MRS!B7</f>
        <v>Skip Container Waste Disposal</v>
      </c>
      <c r="C7" s="175"/>
      <c r="D7" s="176" t="str">
        <f>MRS!D7</f>
        <v>Service Charge</v>
      </c>
      <c r="E7" s="177"/>
      <c r="F7" s="178"/>
      <c r="G7" s="104" t="str">
        <f>MRS!G7</f>
        <v>Trip</v>
      </c>
      <c r="H7" s="104">
        <f>MRS!H7</f>
        <v>1</v>
      </c>
      <c r="I7" s="105">
        <f>MRS!I7</f>
        <v>370</v>
      </c>
      <c r="J7" s="105">
        <f>MRS!J7</f>
        <v>370</v>
      </c>
      <c r="K7" s="106"/>
      <c r="O7" s="107"/>
      <c r="P7" s="107"/>
      <c r="R7" s="107"/>
    </row>
    <row r="8" spans="1:18" ht="105" customHeight="1">
      <c r="A8" s="21">
        <f>+MRS!A7</f>
        <v>2</v>
      </c>
      <c r="B8" s="174" t="str">
        <f>MRS!B8</f>
        <v>Block Toilet Waste Water Removal</v>
      </c>
      <c r="C8" s="175"/>
      <c r="D8" s="176" t="str">
        <f>MRS!D8</f>
        <v>Service Charge</v>
      </c>
      <c r="E8" s="177"/>
      <c r="F8" s="178"/>
      <c r="G8" s="104" t="str">
        <f>MRS!G8</f>
        <v>EA</v>
      </c>
      <c r="H8" s="104">
        <f>MRS!H8</f>
        <v>1</v>
      </c>
      <c r="I8" s="105">
        <f>MRS!I8</f>
        <v>300</v>
      </c>
      <c r="J8" s="105">
        <f>MRS!J8</f>
        <v>300</v>
      </c>
      <c r="K8" s="106"/>
      <c r="O8" s="107"/>
      <c r="P8" s="107"/>
      <c r="R8" s="107"/>
    </row>
    <row r="9" spans="1:18" ht="105" customHeight="1">
      <c r="A9" s="21">
        <f>+MRS!A8</f>
        <v>3</v>
      </c>
      <c r="B9" s="174" t="str">
        <f>MRS!B9</f>
        <v>1 x 1 Portable Toilet Cleaning</v>
      </c>
      <c r="C9" s="175"/>
      <c r="D9" s="176" t="str">
        <f>MRS!D9</f>
        <v>Service Charge</v>
      </c>
      <c r="E9" s="177"/>
      <c r="F9" s="178"/>
      <c r="G9" s="104" t="str">
        <f>MRS!G9</f>
        <v>EA</v>
      </c>
      <c r="H9" s="104">
        <f>MRS!H9</f>
        <v>1</v>
      </c>
      <c r="I9" s="105">
        <f>MRS!I9</f>
        <v>50</v>
      </c>
      <c r="J9" s="105">
        <f>MRS!J9</f>
        <v>50</v>
      </c>
      <c r="K9" s="106"/>
      <c r="O9" s="107"/>
      <c r="P9" s="107"/>
      <c r="R9" s="107"/>
    </row>
    <row r="10" spans="1:18" ht="105" customHeight="1">
      <c r="A10" s="21">
        <f>+MRS!A9</f>
        <v>3</v>
      </c>
      <c r="B10" s="174" t="str">
        <f>MRS!B10</f>
        <v>1 x 1 Portable Toilet</v>
      </c>
      <c r="C10" s="175"/>
      <c r="D10" s="176" t="str">
        <f>MRS!D10</f>
        <v>Rent</v>
      </c>
      <c r="E10" s="177"/>
      <c r="F10" s="178"/>
      <c r="G10" s="104" t="str">
        <f>MRS!G10</f>
        <v>EA</v>
      </c>
      <c r="H10" s="104">
        <f>MRS!H10</f>
        <v>1</v>
      </c>
      <c r="I10" s="105">
        <f>MRS!I10</f>
        <v>200</v>
      </c>
      <c r="J10" s="105">
        <f>MRS!J10</f>
        <v>200</v>
      </c>
      <c r="K10" s="106"/>
      <c r="O10" s="107"/>
      <c r="P10" s="107"/>
      <c r="R10" s="107"/>
    </row>
    <row r="11" spans="1:18" ht="105" customHeight="1">
      <c r="A11" s="21">
        <f>+MRS!A10</f>
        <v>5</v>
      </c>
      <c r="B11" s="179"/>
      <c r="C11" s="180"/>
      <c r="D11" s="181"/>
      <c r="E11" s="182"/>
      <c r="F11" s="183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4</v>
      </c>
      <c r="B12" s="179"/>
      <c r="C12" s="180"/>
      <c r="D12" s="181"/>
      <c r="E12" s="182"/>
      <c r="F12" s="183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79"/>
      <c r="C13" s="180"/>
      <c r="D13" s="181"/>
      <c r="E13" s="182"/>
      <c r="F13" s="183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5</v>
      </c>
      <c r="B14" s="179"/>
      <c r="C14" s="180"/>
      <c r="D14" s="181"/>
      <c r="E14" s="182"/>
      <c r="F14" s="183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6</v>
      </c>
      <c r="B15" s="179"/>
      <c r="C15" s="180"/>
      <c r="D15" s="181"/>
      <c r="E15" s="182"/>
      <c r="F15" s="183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9"/>
      <c r="C16" s="180"/>
      <c r="D16" s="181"/>
      <c r="E16" s="182"/>
      <c r="F16" s="183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9"/>
      <c r="C17" s="180"/>
      <c r="D17" s="181"/>
      <c r="E17" s="182"/>
      <c r="F17" s="183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tabSelected="1" view="pageBreakPreview" topLeftCell="A42" zoomScale="130" zoomScaleSheetLayoutView="130" workbookViewId="0">
      <selection activeCell="Q34" sqref="Q3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116</v>
      </c>
      <c r="D9" s="39"/>
      <c r="E9" s="39"/>
    </row>
    <row r="10" spans="2:13" s="39" customFormat="1">
      <c r="B10" s="72"/>
      <c r="C10" s="39" t="s">
        <v>33</v>
      </c>
      <c r="D10" s="39">
        <v>2055131152</v>
      </c>
      <c r="J10" s="39" t="s">
        <v>34</v>
      </c>
      <c r="K10" s="185">
        <f>MRS!L3</f>
        <v>45684</v>
      </c>
      <c r="L10" s="186"/>
      <c r="M10" s="186"/>
    </row>
    <row r="11" spans="2:13" s="39" customFormat="1">
      <c r="B11" s="72"/>
      <c r="C11" s="75" t="s">
        <v>35</v>
      </c>
      <c r="D11" s="76" t="s">
        <v>117</v>
      </c>
      <c r="J11" s="39" t="s">
        <v>36</v>
      </c>
      <c r="K11" s="187" t="str">
        <f>SUBSTITUTE(SUBSTITUTE(+MRS!A3,"  MRS No : ",""),"-MRS","-PO")</f>
        <v>SAC2-DS-PO-0026</v>
      </c>
      <c r="L11" s="187"/>
      <c r="M11" s="187"/>
    </row>
    <row r="12" spans="2:13" s="39" customFormat="1">
      <c r="B12" s="72"/>
      <c r="C12" s="75" t="s">
        <v>37</v>
      </c>
      <c r="D12" s="39" t="s">
        <v>118</v>
      </c>
      <c r="J12" s="39" t="s">
        <v>38</v>
      </c>
    </row>
    <row r="13" spans="2:13" s="39" customFormat="1">
      <c r="B13" s="72"/>
      <c r="C13" s="77"/>
      <c r="D13" s="76" t="s">
        <v>123</v>
      </c>
      <c r="J13" s="39" t="s">
        <v>39</v>
      </c>
    </row>
    <row r="14" spans="2:13" s="39" customFormat="1">
      <c r="B14" s="72"/>
      <c r="C14" s="77" t="s">
        <v>119</v>
      </c>
      <c r="J14" s="39" t="s">
        <v>40</v>
      </c>
      <c r="K14" s="39" t="s">
        <v>121</v>
      </c>
    </row>
    <row r="15" spans="2:13" s="39" customFormat="1">
      <c r="C15" s="77" t="s">
        <v>120</v>
      </c>
      <c r="J15" s="39" t="s">
        <v>41</v>
      </c>
      <c r="K15" s="78">
        <v>45678</v>
      </c>
    </row>
    <row r="16" spans="2:13" ht="12" customHeight="1">
      <c r="C16" s="29"/>
      <c r="K16" s="30"/>
    </row>
    <row r="17" spans="2:13" ht="20.25">
      <c r="B17" s="188" t="s">
        <v>42</v>
      </c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</row>
    <row r="18" spans="2:13" ht="12" customHeight="1"/>
    <row r="19" spans="2:13" s="31" customFormat="1" ht="12" customHeight="1">
      <c r="B19" s="189" t="s">
        <v>43</v>
      </c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</row>
    <row r="20" spans="2:13" s="31" customFormat="1" ht="12" customHeight="1">
      <c r="B20" s="189" t="s">
        <v>44</v>
      </c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</row>
    <row r="21" spans="2:13" s="31" customFormat="1" ht="12" customHeight="1">
      <c r="B21" s="189" t="s">
        <v>45</v>
      </c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</row>
    <row r="22" spans="2:13" ht="6.95" customHeight="1"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</row>
    <row r="23" spans="2:13" ht="6.95" customHeight="1"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</row>
    <row r="24" spans="2:13" s="32" customFormat="1" ht="20.100000000000001" customHeight="1">
      <c r="B24" s="32">
        <v>1</v>
      </c>
      <c r="C24" s="32" t="s">
        <v>46</v>
      </c>
    </row>
    <row r="25" spans="2:13" s="39" customFormat="1" ht="15" customHeight="1">
      <c r="B25" s="73"/>
      <c r="C25" s="76" t="s">
        <v>124</v>
      </c>
      <c r="M25" s="79" t="s">
        <v>47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48</v>
      </c>
    </row>
    <row r="28" spans="2:13" ht="15" customHeight="1">
      <c r="B28" s="32"/>
      <c r="C28" s="26" t="s">
        <v>49</v>
      </c>
      <c r="E28" s="26" t="s">
        <v>50</v>
      </c>
      <c r="F28" s="192" t="s">
        <v>126</v>
      </c>
      <c r="G28" s="192"/>
      <c r="H28" s="33"/>
      <c r="M28" s="34"/>
    </row>
    <row r="29" spans="2:13" ht="15" customHeight="1">
      <c r="B29" s="32"/>
      <c r="C29" s="26" t="s">
        <v>51</v>
      </c>
      <c r="E29" s="26" t="s">
        <v>50</v>
      </c>
      <c r="F29" s="192"/>
      <c r="G29" s="192"/>
    </row>
    <row r="30" spans="2:13" ht="15" customHeight="1">
      <c r="B30" s="32"/>
      <c r="C30" s="26" t="s">
        <v>52</v>
      </c>
      <c r="D30" s="35"/>
      <c r="E30" s="26" t="s">
        <v>50</v>
      </c>
      <c r="F30" s="192"/>
      <c r="G30" s="192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53</v>
      </c>
    </row>
    <row r="33" spans="2:16" ht="15" customHeight="1">
      <c r="B33" s="32"/>
      <c r="C33" s="22" t="s">
        <v>54</v>
      </c>
    </row>
    <row r="34" spans="2:16" ht="15" customHeight="1">
      <c r="B34" s="32"/>
      <c r="C34" s="22" t="s">
        <v>55</v>
      </c>
    </row>
    <row r="35" spans="2:16" ht="15" customHeight="1">
      <c r="B35" s="32"/>
      <c r="C35" s="22" t="s">
        <v>56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57</v>
      </c>
    </row>
    <row r="38" spans="2:16" ht="15" customHeight="1">
      <c r="B38" s="32"/>
      <c r="C38" s="26" t="s">
        <v>58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59</v>
      </c>
    </row>
    <row r="41" spans="2:16" ht="15" customHeight="1">
      <c r="B41" s="32"/>
      <c r="C41" s="36" t="s">
        <v>60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61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62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63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64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65</v>
      </c>
    </row>
    <row r="48" spans="2:16" s="39" customFormat="1" ht="15" customHeight="1">
      <c r="B48" s="80" t="s">
        <v>66</v>
      </c>
      <c r="C48" s="81" t="s">
        <v>95</v>
      </c>
      <c r="P48" s="82"/>
    </row>
    <row r="49" spans="1:13" s="83" customFormat="1" ht="15" customHeight="1">
      <c r="B49" s="84" t="s">
        <v>66</v>
      </c>
      <c r="C49" s="81" t="s">
        <v>96</v>
      </c>
    </row>
    <row r="50" spans="1:13" s="83" customFormat="1" ht="15" customHeight="1">
      <c r="B50" s="84" t="s">
        <v>66</v>
      </c>
      <c r="C50" s="81" t="s">
        <v>94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67</v>
      </c>
      <c r="J55" s="32" t="s">
        <v>68</v>
      </c>
    </row>
    <row r="56" spans="1:13" ht="50.1" customHeight="1"/>
    <row r="57" spans="1:13" ht="18" customHeight="1">
      <c r="B57" s="26" t="s">
        <v>69</v>
      </c>
      <c r="J57" s="26" t="s">
        <v>69</v>
      </c>
    </row>
    <row r="58" spans="1:13" ht="18" customHeight="1">
      <c r="B58" s="26" t="s">
        <v>70</v>
      </c>
      <c r="J58" s="26" t="s">
        <v>71</v>
      </c>
      <c r="K58" s="22" t="str">
        <f>UPPER(D12)</f>
        <v>MOHAMMED ASHRAF</v>
      </c>
    </row>
    <row r="59" spans="1:13" ht="18" customHeight="1">
      <c r="B59" s="26" t="s">
        <v>72</v>
      </c>
      <c r="J59" s="26" t="s">
        <v>73</v>
      </c>
      <c r="K59" s="22" t="s">
        <v>122</v>
      </c>
    </row>
    <row r="60" spans="1:13" ht="15" customHeight="1">
      <c r="B60" s="26" t="s">
        <v>74</v>
      </c>
      <c r="J60" s="26" t="s">
        <v>75</v>
      </c>
    </row>
    <row r="61" spans="1:13" s="28" customFormat="1" ht="15" customHeight="1">
      <c r="B61" s="25" t="s">
        <v>76</v>
      </c>
      <c r="J61" s="32" t="str">
        <f>C9</f>
        <v>SCCL(Sweep Care Co. Ltd.)</v>
      </c>
    </row>
    <row r="62" spans="1:13" ht="27.95" customHeight="1">
      <c r="A62" s="184" t="s">
        <v>77</v>
      </c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F16" sqref="F1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SAC2-DS-PO-0026</v>
      </c>
      <c r="C2" s="195" t="s">
        <v>79</v>
      </c>
      <c r="D2" s="195"/>
      <c r="E2" s="195"/>
      <c r="F2" s="195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45684</v>
      </c>
      <c r="C3" s="51"/>
      <c r="D3" s="52"/>
      <c r="E3" s="196" t="s">
        <v>81</v>
      </c>
      <c r="F3" s="196"/>
      <c r="G3" s="196"/>
      <c r="H3" s="196"/>
      <c r="I3" s="53"/>
    </row>
    <row r="4" spans="1:13" s="55" customFormat="1" ht="28.5" customHeight="1" thickTop="1">
      <c r="A4" s="197" t="s">
        <v>82</v>
      </c>
      <c r="B4" s="199" t="s">
        <v>83</v>
      </c>
      <c r="C4" s="200"/>
      <c r="D4" s="203" t="s">
        <v>84</v>
      </c>
      <c r="E4" s="203" t="s">
        <v>85</v>
      </c>
      <c r="F4" s="205" t="str">
        <f>'PO 1st page'!C9</f>
        <v>SCCL(Sweep Care Co. Ltd.)</v>
      </c>
      <c r="G4" s="206"/>
      <c r="H4" s="207" t="s">
        <v>86</v>
      </c>
      <c r="K4" s="56"/>
      <c r="L4" s="56"/>
      <c r="M4" s="56"/>
    </row>
    <row r="5" spans="1:13" s="55" customFormat="1" ht="21.95" customHeight="1">
      <c r="A5" s="198"/>
      <c r="B5" s="201"/>
      <c r="C5" s="202"/>
      <c r="D5" s="204"/>
      <c r="E5" s="204"/>
      <c r="F5" s="57" t="s">
        <v>87</v>
      </c>
      <c r="G5" s="57" t="s">
        <v>52</v>
      </c>
      <c r="H5" s="208"/>
      <c r="K5" s="56"/>
      <c r="L5" s="56"/>
      <c r="M5" s="56"/>
    </row>
    <row r="6" spans="1:13" s="55" customFormat="1" ht="32.25" customHeight="1">
      <c r="A6" s="85">
        <f t="shared" ref="A6:A17" si="0">ROW(A1)</f>
        <v>1</v>
      </c>
      <c r="B6" s="209" t="str">
        <f>MRS!B6</f>
        <v>Skip Container</v>
      </c>
      <c r="C6" s="210"/>
      <c r="D6" s="86">
        <f>+'MRS LIST'!G6</f>
        <v>1</v>
      </c>
      <c r="E6" s="87">
        <f>+'MRS LIST'!H6</f>
        <v>1</v>
      </c>
      <c r="F6" s="88">
        <f>+'MRS LIST'!I6</f>
        <v>50</v>
      </c>
      <c r="G6" s="89">
        <f>+'MRS LIST'!J6</f>
        <v>50</v>
      </c>
      <c r="H6" s="90" t="str">
        <f>MRS!L6</f>
        <v>Monthly Rent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9" t="str">
        <f>MRS!B7</f>
        <v>Skip Container Waste Disposal</v>
      </c>
      <c r="C7" s="210"/>
      <c r="D7" s="86" t="str">
        <f>+'MRS LIST'!G7</f>
        <v>Trip</v>
      </c>
      <c r="E7" s="87">
        <f>+'MRS LIST'!H7</f>
        <v>1</v>
      </c>
      <c r="F7" s="88">
        <f>+'MRS LIST'!I7</f>
        <v>370</v>
      </c>
      <c r="G7" s="89">
        <f>+'MRS LIST'!J7</f>
        <v>370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9" t="str">
        <f>MRS!B8</f>
        <v>Block Toilet Waste Water Removal</v>
      </c>
      <c r="C8" s="210"/>
      <c r="D8" s="86" t="str">
        <f>+'MRS LIST'!G8</f>
        <v>EA</v>
      </c>
      <c r="E8" s="87">
        <f>+'MRS LIST'!H8</f>
        <v>1</v>
      </c>
      <c r="F8" s="88">
        <f>+'MRS LIST'!I8</f>
        <v>300</v>
      </c>
      <c r="G8" s="89">
        <f>+'MRS LIST'!J8</f>
        <v>300</v>
      </c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209" t="str">
        <f>MRS!B9</f>
        <v>1 x 1 Portable Toilet Cleaning</v>
      </c>
      <c r="C9" s="210"/>
      <c r="D9" s="86" t="str">
        <f>+'MRS LIST'!G9</f>
        <v>EA</v>
      </c>
      <c r="E9" s="87">
        <f>+'MRS LIST'!H9</f>
        <v>1</v>
      </c>
      <c r="F9" s="88">
        <f>+'MRS LIST'!I9</f>
        <v>50</v>
      </c>
      <c r="G9" s="89">
        <f>+'MRS LIST'!J9</f>
        <v>50</v>
      </c>
      <c r="H9" s="90"/>
    </row>
    <row r="10" spans="1:13" s="55" customFormat="1" ht="32.1" customHeight="1">
      <c r="A10" s="93">
        <f t="shared" si="0"/>
        <v>5</v>
      </c>
      <c r="B10" s="209" t="str">
        <f>MRS!B10</f>
        <v>1 x 1 Portable Toilet</v>
      </c>
      <c r="C10" s="210"/>
      <c r="D10" s="86" t="str">
        <f>+'MRS LIST'!G10</f>
        <v>EA</v>
      </c>
      <c r="E10" s="87">
        <f>+'MRS LIST'!H10</f>
        <v>1</v>
      </c>
      <c r="F10" s="88">
        <f>+'MRS LIST'!I10</f>
        <v>200</v>
      </c>
      <c r="G10" s="89">
        <f>+'MRS LIST'!J10</f>
        <v>200</v>
      </c>
      <c r="H10" s="90" t="str">
        <f>MRS!L10</f>
        <v>Monthly Rent</v>
      </c>
    </row>
    <row r="11" spans="1:13" s="55" customFormat="1" ht="32.1" customHeight="1">
      <c r="A11" s="93">
        <f t="shared" si="0"/>
        <v>6</v>
      </c>
      <c r="B11" s="193"/>
      <c r="C11" s="194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3"/>
      <c r="C12" s="194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3"/>
      <c r="C13" s="194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3"/>
      <c r="C14" s="194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3"/>
      <c r="C15" s="194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3"/>
      <c r="C16" s="194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3"/>
      <c r="C17" s="194"/>
      <c r="D17" s="94"/>
      <c r="E17" s="95"/>
      <c r="F17" s="96"/>
      <c r="G17" s="97"/>
      <c r="H17" s="98"/>
    </row>
    <row r="18" spans="1:13" s="55" customFormat="1" ht="23.1" customHeight="1">
      <c r="A18" s="211" t="s">
        <v>88</v>
      </c>
      <c r="B18" s="212"/>
      <c r="C18" s="212"/>
      <c r="D18" s="212"/>
      <c r="E18" s="212"/>
      <c r="F18" s="212"/>
      <c r="G18" s="58">
        <f>SUM(G6:G17)</f>
        <v>970</v>
      </c>
      <c r="H18" s="59"/>
    </row>
    <row r="19" spans="1:13" s="55" customFormat="1" ht="23.1" customHeight="1">
      <c r="A19" s="211" t="s">
        <v>51</v>
      </c>
      <c r="B19" s="212"/>
      <c r="C19" s="212"/>
      <c r="D19" s="212"/>
      <c r="E19" s="212"/>
      <c r="F19" s="212"/>
      <c r="G19" s="58">
        <f>+G18*0.15</f>
        <v>145.5</v>
      </c>
      <c r="H19" s="59"/>
    </row>
    <row r="20" spans="1:13" s="55" customFormat="1" ht="23.1" customHeight="1">
      <c r="A20" s="211" t="s">
        <v>102</v>
      </c>
      <c r="B20" s="212"/>
      <c r="C20" s="212"/>
      <c r="D20" s="212"/>
      <c r="E20" s="212"/>
      <c r="F20" s="212"/>
      <c r="G20" s="126">
        <v>0</v>
      </c>
      <c r="H20" s="127"/>
    </row>
    <row r="21" spans="1:13" s="55" customFormat="1" ht="24.95" customHeight="1" thickBot="1">
      <c r="A21" s="213" t="s">
        <v>89</v>
      </c>
      <c r="B21" s="214"/>
      <c r="C21" s="214"/>
      <c r="D21" s="214"/>
      <c r="E21" s="214"/>
      <c r="F21" s="214"/>
      <c r="G21" s="60">
        <f>SUM(G18:G20)</f>
        <v>1115.5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SC-EQTN-2025-0444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90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84" t="s">
        <v>91</v>
      </c>
      <c r="B25" s="184"/>
      <c r="C25" s="184"/>
      <c r="D25" s="184"/>
      <c r="E25" s="184"/>
      <c r="F25" s="184"/>
      <c r="G25" s="184"/>
      <c r="H25" s="184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2025-02-02T05:22:02Z</cp:lastPrinted>
  <dcterms:created xsi:type="dcterms:W3CDTF">2024-10-20T11:50:19Z</dcterms:created>
  <dcterms:modified xsi:type="dcterms:W3CDTF">2025-02-02T07:54:27Z</dcterms:modified>
</cp:coreProperties>
</file>