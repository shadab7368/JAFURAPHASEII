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FE2005DF-F9BF-4B99-A980-9F91C7C63106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4" l="1"/>
  <c r="G7" i="4"/>
  <c r="F7" i="4"/>
  <c r="E7" i="4"/>
  <c r="D7" i="4"/>
  <c r="H6" i="4"/>
  <c r="B7" i="4"/>
  <c r="J7" i="1"/>
  <c r="B6" i="4"/>
  <c r="J9" i="1"/>
  <c r="J9" i="2" s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<sst xmlns="http://schemas.openxmlformats.org/spreadsheetml/2006/main" count="160" uniqueCount="131">
  <si>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</si>
  <si>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</si>
  <si>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</si>
  <si>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</si>
  <si>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</si>
  <si>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</si>
  <si>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</si>
  <si>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</si>
  <si>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</si>
  <si>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</si>
  <si>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</si>
  <si>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</si>
  <si>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</si>
  <si>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</si>
  <si>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</si>
  <si>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</si>
  <si>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</si>
  <si>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</si>
  <si>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</si>
  <si>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</si>
  <si>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</si>
  <si>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</si>
  <si>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</si>
  <si>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</si>
  <si>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</si>
  <si>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</si>
  <si>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</si>
  <si>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</si>
  <si>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</si>
  <si>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</si>
  <si>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</si>
  <si>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</si>
  <si>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</si>
  <si>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</si>
  <si>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</si>
  <si>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</si>
  <si>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</si>
  <si>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</si>
  <si>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</si>
  <si>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</si>
  <si>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</si>
  <si>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</si>
  <si>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</si>
  <si>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</si>
  <si>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</si>
  <si>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</si>
  <si>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</si>
  <si>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</si>
  <si>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</si>
  <si>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</si>
  <si>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</si>
  <si>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</si>
  <si>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</si>
  <si>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</si>
  <si>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</si>
  <si>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</si>
  <si>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</si>
  <si>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</si>
  <si>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</si>
  <si>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</si>
  <si>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</si>
  <si>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</si>
  <si>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</si>
  <si>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</si>
  <si>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</si>
  <si>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</si>
  <si>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</si>
  <si>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</si>
  <si>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</si>
  <si>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</si>
  <si>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</si>
  <si>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</si>
  <si>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</si>
  <si>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</si>
  <si>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</si>
  <si>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</si>
  <si>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</si>
  <si>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</si>
  <si>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</si>
  <si>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</si>
  <si>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</si>
  <si>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</si>
  <si>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</si>
  <si>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</si>
  <si>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</si>
  <si>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</si>
  <si>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</si>
  <si>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</si>
  <si>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</si>
  <si>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</si>
  <si>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</si>
  <si>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</si>
  <si>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</si>
  <si>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</si>
  <si>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</si>
  <si>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</si>
  <si>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</si>
  <si>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</si>
  <si>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</si>
  <si>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</si>
  <si>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</si>
  <si>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</si>
  <si>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</si>
  <si>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</si>
  <si>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</si>
  <si>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</si>
  <si>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</si>
  <si>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</si>
  <si>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</si>
  <si>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</si>
  <si>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</si>
  <si>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</si>
  <si>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</si>
  <si>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</si>
  <si>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</si>
  <si>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</si>
  <si>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</si>
  <si>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</si>
  <si>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SAMOO ALBHAR CONTRACTING EST.</t>
  </si>
  <si>
    <t>01400010547706</t>
  </si>
  <si>
    <t>SAUDI NATIONAL BANK</t>
  </si>
  <si>
    <t>NCBKSAJE</t>
  </si>
  <si>
    <t>SA47 1000 0001 4000 1054 7706</t>
  </si>
  <si>
    <t>Hour</t>
  </si>
  <si>
    <t>Monthly Based</t>
  </si>
  <si>
    <t>Monthly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</si>
  <si>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-MRS-0275</t>
    </r>
  </si>
  <si>
    <t>Work Permit Receiver</t>
  </si>
  <si>
    <t>QC Document Controller</t>
  </si>
  <si>
    <t>"</t>
  </si>
  <si>
    <t>SAMOO-DAESHIN-MP-37-2026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</si>
</sst>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8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57" fillId="3" borderId="0" xfId="5" applyFont="1" applyFill="1" applyAlignment="1">
      <alignment horizontal="right" vertical="center" indent="1"/>
    </xf>
    <xf numFmtId="0" fontId="58" fillId="3" borderId="0" xfId="5" applyFont="1" applyFill="1"/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17</xdr:row>
          <xdr:rowOff>0</xdr:rowOff>
        </xdr:from>
        <xdr:to>
          <xdr:col>12</xdr:col>
          <xdr:colOff>502</xdr:colOff>
          <xdr:row>24</xdr:row>
          <xdr:rowOff>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3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zoomScale="95" zoomScaleNormal="95" zoomScaleSheetLayoutView="95" workbookViewId="0">
      <selection activeCell="K8" sqref="K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99</v>
      </c>
      <c r="B1" s="109"/>
      <c r="C1" s="109"/>
      <c r="D1" s="109"/>
      <c r="E1" s="109"/>
      <c r="F1" s="109"/>
      <c r="G1" s="1"/>
      <c r="J1" s="145" t="s">
        <v>89</v>
      </c>
      <c r="K1" s="146"/>
      <c r="L1" s="147"/>
    </row>
    <row r="2" spans="1:18" ht="20.100000000000001" customHeight="1">
      <c r="A2" s="3" t="s">
        <v>1</v>
      </c>
      <c r="B2" s="100"/>
      <c r="C2" s="100"/>
      <c r="D2" s="3" t="s">
        <v>100</v>
      </c>
      <c r="E2" s="100"/>
      <c r="F2" s="100"/>
      <c r="G2" s="100"/>
      <c r="H2" s="100"/>
      <c r="I2" s="4"/>
      <c r="J2" s="161" t="s">
        <v>101</v>
      </c>
      <c r="K2" s="162"/>
      <c r="L2" s="163"/>
    </row>
    <row r="3" spans="1:18" ht="20.100000000000001" customHeight="1">
      <c r="A3" s="3" t="s">
        <v>126</v>
      </c>
      <c r="B3" s="100"/>
      <c r="C3" s="100"/>
      <c r="D3" s="100"/>
      <c r="E3" s="148">
        <f>+L3</f>
        <v>46116</v>
      </c>
      <c r="F3" s="148"/>
      <c r="G3" s="148"/>
      <c r="H3" s="148"/>
      <c r="I3" s="148"/>
      <c r="J3" s="100"/>
      <c r="K3" s="100"/>
      <c r="L3" s="121">
        <v>46116</v>
      </c>
      <c r="M3" s="4"/>
    </row>
    <row r="4" spans="1:18" ht="15.95" customHeight="1">
      <c r="A4" s="149" t="s">
        <v>2</v>
      </c>
      <c r="B4" s="150" t="s">
        <v>3</v>
      </c>
      <c r="C4" s="150"/>
      <c r="D4" s="151" t="s">
        <v>4</v>
      </c>
      <c r="E4" s="152"/>
      <c r="F4" s="153"/>
      <c r="G4" s="157" t="s">
        <v>5</v>
      </c>
      <c r="H4" s="159" t="s">
        <v>6</v>
      </c>
      <c r="I4" s="159" t="s">
        <v>93</v>
      </c>
      <c r="J4" s="149" t="s">
        <v>94</v>
      </c>
      <c r="K4" s="159" t="s">
        <v>0</v>
      </c>
      <c r="L4" s="150" t="s">
        <v>7</v>
      </c>
    </row>
    <row r="5" spans="1:18" ht="15.95" customHeight="1">
      <c r="A5" s="149"/>
      <c r="B5" s="150"/>
      <c r="C5" s="150"/>
      <c r="D5" s="154"/>
      <c r="E5" s="155"/>
      <c r="F5" s="156"/>
      <c r="G5" s="158"/>
      <c r="H5" s="160"/>
      <c r="I5" s="160"/>
      <c r="J5" s="149"/>
      <c r="K5" s="160"/>
      <c r="L5" s="150"/>
    </row>
    <row r="6" spans="1:18" ht="24" customHeight="1">
      <c r="A6" s="5">
        <f t="shared" ref="A6:A15" si="0">ROW(A1)</f>
        <v>1</v>
      </c>
      <c r="B6" s="133" t="s">
        <v>127</v>
      </c>
      <c r="C6" s="134"/>
      <c r="D6" s="135"/>
      <c r="E6" s="136"/>
      <c r="F6" s="137"/>
      <c r="G6" s="110" t="s">
        <v>123</v>
      </c>
      <c r="H6" s="111">
        <v>1</v>
      </c>
      <c r="I6" s="112">
        <v>30</v>
      </c>
      <c r="J6" s="112">
        <f>H6*I6</f>
        <v>30</v>
      </c>
      <c r="K6" s="113" t="s">
        <v>103</v>
      </c>
      <c r="L6" s="114" t="s">
        <v>125</v>
      </c>
      <c r="R6" s="105"/>
    </row>
    <row r="7" spans="1:18" ht="24" customHeight="1">
      <c r="A7" s="5">
        <f t="shared" si="0"/>
        <v>2</v>
      </c>
      <c r="B7" s="133" t="s">
        <v>128</v>
      </c>
      <c r="C7" s="134"/>
      <c r="D7" s="144"/>
      <c r="E7" s="136"/>
      <c r="F7" s="137"/>
      <c r="G7" s="110" t="s">
        <v>123</v>
      </c>
      <c r="H7" s="111">
        <v>1</v>
      </c>
      <c r="I7" s="112">
        <v>35</v>
      </c>
      <c r="J7" s="112">
        <f>H7*I7</f>
        <v>35</v>
      </c>
      <c r="K7" s="113" t="s">
        <v>129</v>
      </c>
      <c r="L7" s="114" t="s">
        <v>129</v>
      </c>
      <c r="R7" s="105"/>
    </row>
    <row r="8" spans="1:18" ht="22.5" customHeight="1">
      <c r="A8" s="5">
        <f t="shared" si="0"/>
        <v>3</v>
      </c>
      <c r="B8" s="133"/>
      <c r="C8" s="134"/>
      <c r="D8" s="135"/>
      <c r="E8" s="136"/>
      <c r="F8" s="137"/>
      <c r="G8" s="110"/>
      <c r="H8" s="111"/>
      <c r="I8" s="112"/>
      <c r="J8" s="112"/>
      <c r="K8" s="113"/>
      <c r="L8" s="114"/>
      <c r="R8" s="105"/>
    </row>
    <row r="9" spans="1:18" ht="22.5" customHeight="1">
      <c r="A9" s="5">
        <f t="shared" si="0"/>
        <v>4</v>
      </c>
      <c r="B9" s="133"/>
      <c r="C9" s="134"/>
      <c r="D9" s="135"/>
      <c r="E9" s="136"/>
      <c r="F9" s="137"/>
      <c r="G9" s="110"/>
      <c r="H9" s="111"/>
      <c r="I9" s="112"/>
      <c r="J9" s="112">
        <f t="shared" ref="J9" si="1">H9*I9</f>
        <v>0</v>
      </c>
      <c r="K9" s="113"/>
      <c r="L9" s="114"/>
      <c r="R9" s="105"/>
    </row>
    <row r="10" spans="1:18" ht="22.5" customHeight="1">
      <c r="A10" s="5">
        <f t="shared" si="0"/>
        <v>5</v>
      </c>
      <c r="B10" s="142"/>
      <c r="C10" s="142"/>
      <c r="D10" s="143"/>
      <c r="E10" s="143"/>
      <c r="F10" s="143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33"/>
      <c r="C11" s="134"/>
      <c r="D11" s="135"/>
      <c r="E11" s="136"/>
      <c r="F11" s="137"/>
      <c r="G11" s="110"/>
      <c r="H11" s="111"/>
      <c r="I11" s="112"/>
      <c r="J11" s="112"/>
      <c r="K11" s="113"/>
      <c r="L11" s="114"/>
      <c r="R11" s="105"/>
    </row>
    <row r="12" spans="1:18" ht="22.5" customHeight="1">
      <c r="A12" s="5">
        <f t="shared" si="0"/>
        <v>7</v>
      </c>
      <c r="B12" s="142"/>
      <c r="C12" s="142"/>
      <c r="D12" s="143"/>
      <c r="E12" s="143"/>
      <c r="F12" s="143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33"/>
      <c r="C13" s="134"/>
      <c r="D13" s="135"/>
      <c r="E13" s="136"/>
      <c r="F13" s="137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33"/>
      <c r="C14" s="134"/>
      <c r="D14" s="135"/>
      <c r="E14" s="136"/>
      <c r="F14" s="137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33"/>
      <c r="C15" s="134"/>
      <c r="D15" s="135"/>
      <c r="E15" s="136"/>
      <c r="F15" s="137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38" t="s">
        <v>8</v>
      </c>
      <c r="B16" s="139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65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40" t="s">
        <v>11</v>
      </c>
      <c r="S18" s="13" t="s">
        <v>12</v>
      </c>
    </row>
    <row r="19" spans="1:19" ht="50.1" customHeight="1">
      <c r="R19" s="141"/>
      <c r="S19" s="15"/>
    </row>
    <row r="20" spans="1:19" ht="17.100000000000001" customHeight="1">
      <c r="O20" s="11"/>
      <c r="P20" s="11"/>
      <c r="R20" s="131"/>
      <c r="S20" s="15" t="s">
        <v>13</v>
      </c>
    </row>
    <row r="21" spans="1:19" ht="15" customHeight="1">
      <c r="O21" s="17" t="s">
        <v>14</v>
      </c>
      <c r="P21" s="129" t="s">
        <v>15</v>
      </c>
    </row>
    <row r="22" spans="1:19" ht="18" customHeight="1">
      <c r="O22" s="18" t="s">
        <v>16</v>
      </c>
      <c r="P22" s="130"/>
      <c r="R22" s="140" t="s">
        <v>17</v>
      </c>
      <c r="S22" s="12" t="s">
        <v>12</v>
      </c>
    </row>
    <row r="23" spans="1:19" ht="50.1" customHeight="1">
      <c r="O23" s="14"/>
      <c r="P23" s="14"/>
      <c r="R23" s="141"/>
      <c r="S23" s="19"/>
    </row>
    <row r="24" spans="1:19" ht="17.100000000000001" customHeight="1">
      <c r="O24" s="16" t="s">
        <v>13</v>
      </c>
      <c r="P24" s="16" t="s">
        <v>13</v>
      </c>
      <c r="R24" s="131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32"/>
      <c r="P27" s="132"/>
    </row>
    <row r="28" spans="1:19" ht="19.899999999999999" customHeight="1">
      <c r="O28" s="132"/>
      <c r="P28" s="132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9" t="s">
        <v>18</v>
      </c>
      <c r="P46" s="129" t="s">
        <v>18</v>
      </c>
      <c r="S46" s="129" t="s">
        <v>12</v>
      </c>
    </row>
    <row r="47" spans="15:19" ht="21" customHeight="1">
      <c r="O47" s="130"/>
      <c r="P47" s="130"/>
      <c r="S47" s="131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9" t="s">
        <v>18</v>
      </c>
      <c r="P50" s="129" t="s">
        <v>18</v>
      </c>
      <c r="S50" s="129" t="s">
        <v>19</v>
      </c>
    </row>
    <row r="51" spans="15:19" ht="21" customHeight="1">
      <c r="O51" s="130"/>
      <c r="P51" s="130"/>
      <c r="S51" s="131"/>
    </row>
    <row r="52" spans="15:19" ht="64.900000000000006" customHeight="1">
      <c r="O52" s="14"/>
      <c r="P52" s="14"/>
      <c r="S52" s="14"/>
    </row>
  </sheetData>
  <mergeCells count="44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O50:O51"/>
    <mergeCell ref="P50:P51"/>
    <mergeCell ref="S50:S51"/>
    <mergeCell ref="O27:O28"/>
    <mergeCell ref="P27:P28"/>
    <mergeCell ref="O46:O47"/>
    <mergeCell ref="P46:P47"/>
    <mergeCell ref="S46:S47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95</v>
      </c>
      <c r="B1" s="99"/>
      <c r="C1" s="99"/>
      <c r="D1" s="99"/>
      <c r="E1" s="99"/>
      <c r="F1" s="99"/>
      <c r="G1" s="1"/>
      <c r="J1" s="145" t="str">
        <f>+MRS!J1</f>
        <v>DAESHIN PLANT</v>
      </c>
      <c r="K1" s="147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61" t="str">
        <f>+MRS!J2</f>
        <v>Subcontract name (SAC2-SC-IK-SMP-01)</v>
      </c>
      <c r="K2" s="163"/>
    </row>
    <row r="3" spans="1:18" ht="24.95" customHeight="1">
      <c r="A3" s="3" t="str">
        <f>+MRS!A3</f>
        <v xml:space="preserve">  MRS No : SAC2-DS-MRS-0275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46116</v>
      </c>
    </row>
    <row r="4" spans="1:18" ht="15.95" customHeight="1">
      <c r="A4" s="174" t="s">
        <v>2</v>
      </c>
      <c r="B4" s="175" t="s">
        <v>20</v>
      </c>
      <c r="C4" s="175"/>
      <c r="D4" s="174" t="s">
        <v>4</v>
      </c>
      <c r="E4" s="174"/>
      <c r="F4" s="174"/>
      <c r="G4" s="175" t="s">
        <v>5</v>
      </c>
      <c r="H4" s="174" t="s">
        <v>90</v>
      </c>
      <c r="I4" s="174" t="s">
        <v>21</v>
      </c>
      <c r="J4" s="174" t="s">
        <v>22</v>
      </c>
      <c r="K4" s="175" t="s">
        <v>7</v>
      </c>
    </row>
    <row r="5" spans="1:18" ht="15.95" customHeight="1">
      <c r="A5" s="174"/>
      <c r="B5" s="175"/>
      <c r="C5" s="175"/>
      <c r="D5" s="174"/>
      <c r="E5" s="174"/>
      <c r="F5" s="174"/>
      <c r="G5" s="175"/>
      <c r="H5" s="174"/>
      <c r="I5" s="174"/>
      <c r="J5" s="174"/>
      <c r="K5" s="175"/>
    </row>
    <row r="6" spans="1:18" ht="105" customHeight="1">
      <c r="A6" s="21">
        <f>+MRS!A6</f>
        <v>1</v>
      </c>
      <c r="B6" s="169" t="str">
        <f>MRS!B6</f>
        <v>Work Permit Receiver</v>
      </c>
      <c r="C6" s="170"/>
      <c r="D6" s="171">
        <f>MRS!D6</f>
        <v>0</v>
      </c>
      <c r="E6" s="172"/>
      <c r="F6" s="173"/>
      <c r="G6" s="102" t="str">
        <f>MRS!G6</f>
        <v>Hour</v>
      </c>
      <c r="H6" s="102">
        <f>MRS!H6</f>
        <v>1</v>
      </c>
      <c r="I6" s="103">
        <f>MRS!I6</f>
        <v>30</v>
      </c>
      <c r="J6" s="103">
        <f>MRS!J6</f>
        <v>30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9" t="str">
        <f>MRS!B7</f>
        <v>QC Document Controller</v>
      </c>
      <c r="C7" s="170"/>
      <c r="D7" s="171">
        <f>MRS!D7</f>
        <v>0</v>
      </c>
      <c r="E7" s="172"/>
      <c r="F7" s="173"/>
      <c r="G7" s="102" t="str">
        <f>MRS!G7</f>
        <v>Hour</v>
      </c>
      <c r="H7" s="102">
        <f>MRS!H7</f>
        <v>1</v>
      </c>
      <c r="I7" s="103">
        <f>MRS!I7</f>
        <v>35</v>
      </c>
      <c r="J7" s="103">
        <f>MRS!J7</f>
        <v>35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9">
        <f>MRS!B8</f>
        <v>0</v>
      </c>
      <c r="C8" s="170"/>
      <c r="D8" s="171">
        <f>MRS!D8</f>
        <v>0</v>
      </c>
      <c r="E8" s="172"/>
      <c r="F8" s="173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9">
        <f>MRS!B9</f>
        <v>0</v>
      </c>
      <c r="C9" s="170"/>
      <c r="D9" s="171">
        <f>MRS!D9</f>
        <v>0</v>
      </c>
      <c r="E9" s="172"/>
      <c r="F9" s="173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9">
        <f>MRS!B10</f>
        <v>0</v>
      </c>
      <c r="C10" s="170"/>
      <c r="D10" s="171">
        <f>MRS!D10</f>
        <v>0</v>
      </c>
      <c r="E10" s="172"/>
      <c r="F10" s="173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9">
        <f>MRS!B11</f>
        <v>0</v>
      </c>
      <c r="C11" s="170"/>
      <c r="D11" s="171">
        <f>MRS!D11</f>
        <v>0</v>
      </c>
      <c r="E11" s="172"/>
      <c r="F11" s="173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4"/>
      <c r="C12" s="165"/>
      <c r="D12" s="166"/>
      <c r="E12" s="167"/>
      <c r="F12" s="168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4"/>
      <c r="C13" s="165"/>
      <c r="D13" s="166"/>
      <c r="E13" s="167"/>
      <c r="F13" s="168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4"/>
      <c r="C14" s="165"/>
      <c r="D14" s="166"/>
      <c r="E14" s="167"/>
      <c r="F14" s="168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4"/>
      <c r="C15" s="165"/>
      <c r="D15" s="166"/>
      <c r="E15" s="167"/>
      <c r="F15" s="168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4"/>
      <c r="C16" s="165"/>
      <c r="D16" s="166"/>
      <c r="E16" s="167"/>
      <c r="F16" s="168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4"/>
      <c r="C17" s="165"/>
      <c r="D17" s="166"/>
      <c r="E17" s="167"/>
      <c r="F17" s="168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tabSelected="1" view="pageBreakPreview" zoomScale="130" zoomScaleNormal="100" zoomScaleSheetLayoutView="130" workbookViewId="0">
      <selection activeCell="K15" sqref="K1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104</v>
      </c>
      <c r="D9" s="39"/>
      <c r="E9" s="39"/>
    </row>
    <row r="10" spans="2:13" s="39" customFormat="1">
      <c r="B10" s="72"/>
      <c r="C10" s="39" t="s">
        <v>30</v>
      </c>
      <c r="D10" s="76" t="s">
        <v>105</v>
      </c>
      <c r="J10" s="39" t="s">
        <v>31</v>
      </c>
      <c r="K10" s="177">
        <f>MRS!L3</f>
        <v>46116</v>
      </c>
      <c r="L10" s="178"/>
      <c r="M10" s="178"/>
    </row>
    <row r="11" spans="2:13" s="39" customFormat="1">
      <c r="B11" s="72"/>
      <c r="C11" s="75" t="s">
        <v>32</v>
      </c>
      <c r="D11" s="76" t="s">
        <v>106</v>
      </c>
      <c r="J11" s="39" t="s">
        <v>33</v>
      </c>
      <c r="K11" s="179" t="str">
        <f>SUBSTITUTE(SUBSTITUTE(+MRS!A3,"  MRS No : ",""),"-MRS","-PO")</f>
        <v>SAC2-DS-PO-0275</v>
      </c>
      <c r="L11" s="179"/>
      <c r="M11" s="179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107</v>
      </c>
      <c r="J13" s="39" t="s">
        <v>36</v>
      </c>
    </row>
    <row r="14" spans="2:13" s="39" customFormat="1">
      <c r="B14" s="72"/>
      <c r="C14" s="77" t="s">
        <v>108</v>
      </c>
      <c r="J14" s="39" t="s">
        <v>37</v>
      </c>
      <c r="K14" s="39" t="s">
        <v>130</v>
      </c>
    </row>
    <row r="15" spans="2:13" s="39" customFormat="1">
      <c r="B15" s="72"/>
      <c r="C15" s="77" t="s">
        <v>98</v>
      </c>
      <c r="J15" s="39" t="s">
        <v>38</v>
      </c>
      <c r="K15" s="78">
        <v>46105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80" t="s">
        <v>39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40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41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42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126" t="s">
        <v>127</v>
      </c>
      <c r="M26" s="127" t="s">
        <v>44</v>
      </c>
    </row>
    <row r="27" spans="2:13" ht="11.1" customHeight="1">
      <c r="B27" s="32"/>
      <c r="C27" s="26" t="s">
        <v>128</v>
      </c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4" t="s">
        <v>124</v>
      </c>
      <c r="G29" s="184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4"/>
      <c r="G30" s="184"/>
    </row>
    <row r="31" spans="2:13" ht="12" customHeight="1">
      <c r="B31" s="32"/>
      <c r="C31" s="26" t="s">
        <v>49</v>
      </c>
      <c r="D31" s="35"/>
      <c r="E31" s="26" t="s">
        <v>47</v>
      </c>
      <c r="F31" s="184"/>
      <c r="G31" s="184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79" t="s">
        <v>63</v>
      </c>
      <c r="C49" s="80" t="s">
        <v>102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2">
        <v>7</v>
      </c>
      <c r="C53" s="32" t="s">
        <v>109</v>
      </c>
    </row>
    <row r="54" spans="2:16" ht="12" customHeight="1">
      <c r="B54" s="83" t="s">
        <v>63</v>
      </c>
      <c r="C54" s="124" t="s">
        <v>110</v>
      </c>
      <c r="F54" s="26" t="s">
        <v>118</v>
      </c>
    </row>
    <row r="55" spans="2:16" ht="12" customHeight="1">
      <c r="B55" s="83" t="s">
        <v>63</v>
      </c>
      <c r="C55" s="124" t="s">
        <v>111</v>
      </c>
      <c r="F55" s="125" t="s">
        <v>119</v>
      </c>
    </row>
    <row r="56" spans="2:16" ht="12" customHeight="1">
      <c r="B56" s="83" t="s">
        <v>63</v>
      </c>
      <c r="C56" s="124" t="s">
        <v>112</v>
      </c>
      <c r="F56" s="26" t="s">
        <v>122</v>
      </c>
    </row>
    <row r="57" spans="2:16" ht="12" customHeight="1">
      <c r="B57" s="83" t="s">
        <v>63</v>
      </c>
      <c r="C57" s="124" t="s">
        <v>113</v>
      </c>
      <c r="F57" s="26" t="s">
        <v>120</v>
      </c>
    </row>
    <row r="58" spans="2:16" ht="12" customHeight="1">
      <c r="B58" s="83" t="s">
        <v>63</v>
      </c>
      <c r="C58" s="124" t="s">
        <v>114</v>
      </c>
      <c r="F58" s="26" t="s">
        <v>121</v>
      </c>
    </row>
    <row r="59" spans="2:16" ht="12" customHeight="1">
      <c r="B59" s="83" t="s">
        <v>63</v>
      </c>
      <c r="C59" s="124" t="s">
        <v>115</v>
      </c>
      <c r="F59" s="26" t="s">
        <v>116</v>
      </c>
    </row>
    <row r="60" spans="2:16" ht="12" customHeight="1">
      <c r="B60" s="83"/>
      <c r="C60" s="128" t="s">
        <v>117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Mohammad Safwan</v>
      </c>
    </row>
    <row r="69" spans="1:13" ht="18" customHeight="1">
      <c r="B69" s="26" t="s">
        <v>69</v>
      </c>
      <c r="J69" s="26" t="s">
        <v>70</v>
      </c>
      <c r="K69" s="22" t="s">
        <v>97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185" t="str">
        <f>C9</f>
        <v>SAMOO(Samoo Al Bahr Contracting Est.)</v>
      </c>
      <c r="K71" s="185"/>
      <c r="L71" s="185"/>
      <c r="M71" s="185"/>
    </row>
    <row r="72" spans="1:13" ht="27.95" customHeight="1">
      <c r="A72" s="176" t="s">
        <v>74</v>
      </c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D7" sqref="D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SAC2-DS-PO-0275</v>
      </c>
      <c r="C2" s="194" t="s">
        <v>76</v>
      </c>
      <c r="D2" s="194"/>
      <c r="E2" s="194"/>
      <c r="F2" s="194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46116</v>
      </c>
      <c r="C3" s="51"/>
      <c r="D3" s="52"/>
      <c r="E3" s="195" t="s">
        <v>78</v>
      </c>
      <c r="F3" s="195"/>
      <c r="G3" s="195"/>
      <c r="H3" s="195"/>
      <c r="I3" s="53"/>
    </row>
    <row r="4" spans="1:13" s="55" customFormat="1" ht="28.5" customHeight="1" thickTop="1">
      <c r="A4" s="196" t="s">
        <v>79</v>
      </c>
      <c r="B4" s="198" t="s">
        <v>80</v>
      </c>
      <c r="C4" s="199"/>
      <c r="D4" s="202" t="s">
        <v>81</v>
      </c>
      <c r="E4" s="202" t="s">
        <v>82</v>
      </c>
      <c r="F4" s="204" t="str">
        <f>'PO 1st page'!C9</f>
        <v>SAMOO(Samoo Al Bahr Contracting Est.)</v>
      </c>
      <c r="G4" s="205"/>
      <c r="H4" s="206" t="s">
        <v>83</v>
      </c>
      <c r="K4" s="56"/>
      <c r="L4" s="56"/>
      <c r="M4" s="56"/>
    </row>
    <row r="5" spans="1:13" s="55" customFormat="1" ht="21.95" customHeight="1">
      <c r="A5" s="197"/>
      <c r="B5" s="200"/>
      <c r="C5" s="201"/>
      <c r="D5" s="203"/>
      <c r="E5" s="203"/>
      <c r="F5" s="57" t="s">
        <v>84</v>
      </c>
      <c r="G5" s="57" t="s">
        <v>49</v>
      </c>
      <c r="H5" s="207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92" t="str">
        <f>CONCATENATE(MRS!B6," ",MRS!D6)</f>
        <v xml:space="preserve">Work Permit Receiver </v>
      </c>
      <c r="C6" s="193"/>
      <c r="D6" s="85" t="str">
        <f>+'MRS LIST'!G6</f>
        <v>Hour</v>
      </c>
      <c r="E6" s="86">
        <f>+'MRS LIST'!H6</f>
        <v>1</v>
      </c>
      <c r="F6" s="87">
        <f>+'MRS LIST'!I6</f>
        <v>30</v>
      </c>
      <c r="G6" s="88">
        <f>+'MRS LIST'!J6</f>
        <v>30</v>
      </c>
      <c r="H6" s="89" t="str">
        <f>MRS!L6</f>
        <v>Monthly</v>
      </c>
      <c r="K6" s="90"/>
      <c r="L6" s="91"/>
      <c r="M6" s="56"/>
    </row>
    <row r="7" spans="1:13" s="55" customFormat="1" ht="32.1" customHeight="1">
      <c r="A7" s="84">
        <f t="shared" si="0"/>
        <v>2</v>
      </c>
      <c r="B7" s="192" t="str">
        <f>CONCATENATE(MRS!B7," ",MRS!D7)</f>
        <v xml:space="preserve">QC Document Controller </v>
      </c>
      <c r="C7" s="193"/>
      <c r="D7" s="85" t="str">
        <f>+'MRS LIST'!G7</f>
        <v>Hour</v>
      </c>
      <c r="E7" s="86">
        <f>+'MRS LIST'!H7</f>
        <v>1</v>
      </c>
      <c r="F7" s="87">
        <f>+'MRS LIST'!I7</f>
        <v>35</v>
      </c>
      <c r="G7" s="88">
        <f>+'MRS LIST'!J7</f>
        <v>35</v>
      </c>
      <c r="H7" s="89" t="str">
        <f>MRS!L7</f>
        <v>"</v>
      </c>
      <c r="K7" s="90"/>
      <c r="L7" s="91"/>
      <c r="M7" s="56"/>
    </row>
    <row r="8" spans="1:13" s="55" customFormat="1" ht="32.1" customHeight="1">
      <c r="A8" s="92">
        <f t="shared" si="0"/>
        <v>3</v>
      </c>
      <c r="B8" s="192"/>
      <c r="C8" s="193"/>
      <c r="D8" s="85"/>
      <c r="E8" s="86"/>
      <c r="F8" s="87"/>
      <c r="G8" s="88"/>
      <c r="H8" s="89"/>
      <c r="K8" s="56"/>
      <c r="L8" s="56"/>
      <c r="M8" s="56"/>
    </row>
    <row r="9" spans="1:13" s="55" customFormat="1" ht="32.1" customHeight="1">
      <c r="A9" s="92">
        <f t="shared" si="0"/>
        <v>4</v>
      </c>
      <c r="B9" s="192"/>
      <c r="C9" s="193"/>
      <c r="D9" s="85"/>
      <c r="E9" s="86"/>
      <c r="F9" s="87"/>
      <c r="G9" s="88"/>
      <c r="H9" s="89"/>
    </row>
    <row r="10" spans="1:13" s="55" customFormat="1" ht="32.1" customHeight="1">
      <c r="A10" s="92">
        <f t="shared" si="0"/>
        <v>5</v>
      </c>
      <c r="B10" s="192"/>
      <c r="C10" s="193"/>
      <c r="D10" s="85"/>
      <c r="E10" s="86"/>
      <c r="F10" s="87"/>
      <c r="G10" s="88"/>
      <c r="H10" s="97"/>
    </row>
    <row r="11" spans="1:13" s="55" customFormat="1" ht="32.1" customHeight="1">
      <c r="A11" s="92">
        <f t="shared" si="0"/>
        <v>6</v>
      </c>
      <c r="B11" s="192"/>
      <c r="C11" s="193"/>
      <c r="D11" s="85"/>
      <c r="E11" s="86"/>
      <c r="F11" s="87"/>
      <c r="G11" s="88"/>
      <c r="H11" s="97"/>
    </row>
    <row r="12" spans="1:13" s="55" customFormat="1" ht="32.1" customHeight="1">
      <c r="A12" s="92">
        <f t="shared" si="0"/>
        <v>7</v>
      </c>
      <c r="B12" s="190"/>
      <c r="C12" s="191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190"/>
      <c r="C13" s="191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190"/>
      <c r="C14" s="191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190"/>
      <c r="C15" s="191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190"/>
      <c r="C16" s="191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190"/>
      <c r="C17" s="191"/>
      <c r="D17" s="93"/>
      <c r="E17" s="94"/>
      <c r="F17" s="95"/>
      <c r="G17" s="96"/>
      <c r="H17" s="97"/>
    </row>
    <row r="18" spans="1:13" s="55" customFormat="1" ht="23.1" customHeight="1">
      <c r="A18" s="186" t="s">
        <v>85</v>
      </c>
      <c r="B18" s="187"/>
      <c r="C18" s="187"/>
      <c r="D18" s="187"/>
      <c r="E18" s="187"/>
      <c r="F18" s="187"/>
      <c r="G18" s="58">
        <f>SUM(G6:G17)</f>
        <v>65</v>
      </c>
      <c r="H18" s="59"/>
    </row>
    <row r="19" spans="1:13" s="55" customFormat="1" ht="23.1" customHeight="1">
      <c r="A19" s="186" t="s">
        <v>48</v>
      </c>
      <c r="B19" s="187"/>
      <c r="C19" s="187"/>
      <c r="D19" s="187"/>
      <c r="E19" s="187"/>
      <c r="F19" s="187"/>
      <c r="G19" s="58">
        <f>+G18*0.15</f>
        <v>9.75</v>
      </c>
      <c r="H19" s="59"/>
    </row>
    <row r="20" spans="1:13" s="55" customFormat="1" ht="24.95" customHeight="1" thickBot="1">
      <c r="A20" s="188" t="s">
        <v>86</v>
      </c>
      <c r="B20" s="189"/>
      <c r="C20" s="189"/>
      <c r="D20" s="189"/>
      <c r="E20" s="189"/>
      <c r="F20" s="189"/>
      <c r="G20" s="60">
        <f>G19+G18</f>
        <v>74.75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SAMOO-DAESHIN-MP-37-2026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88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2026-04-04T03:45:29Z</cp:lastPrinted>
  <dcterms:created xsi:type="dcterms:W3CDTF">2024-10-20T11:50:19Z</dcterms:created>
  <dcterms:modified xsi:type="dcterms:W3CDTF">2026-04-04T03:55:57Z</dcterms:modified>
</cp:coreProperties>
</file>