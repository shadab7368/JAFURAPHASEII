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9F2B454-6A4A-4F46-8EB2-26693B1835D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B7" i="4"/>
  <c r="H7" i="4"/>
  <c r="J7" i="1"/>
  <c r="J10" i="2" l="1"/>
  <c r="I10" i="2"/>
  <c r="H10" i="2"/>
  <c r="G10" i="2"/>
  <c r="D10" i="2"/>
  <c r="B10" i="2"/>
  <c r="H6" i="4"/>
  <c r="A14" i="1"/>
  <c r="A8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G7" i="4" s="1"/>
  <c r="I7" i="2"/>
  <c r="F7" i="4" s="1"/>
  <c r="H7" i="2"/>
  <c r="E7" i="4" s="1"/>
  <c r="G7" i="2"/>
  <c r="D7" i="4" s="1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70" i="3"/>
  <c r="K67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<sst xmlns="http://schemas.openxmlformats.org/spreadsheetml/2006/main" count="179" uniqueCount="140">
  <si>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</si>
  <si>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</si>
  <si>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</si>
  <si>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</si>
  <si>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</si>
  <si>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</si>
  <si>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</si>
  <si>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</si>
  <si>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</si>
  <si>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</si>
  <si>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</si>
  <si>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</si>
  <si>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</si>
  <si>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</si>
  <si>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</si>
  <si>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</si>
  <si>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</si>
  <si>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</si>
  <si>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</si>
  <si>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</si>
  <si>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</si>
  <si>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</si>
  <si>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</si>
  <si>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</si>
  <si>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</si>
  <si>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</si>
  <si>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</si>
  <si>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</si>
  <si>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</si>
  <si>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</si>
  <si>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</si>
  <si>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</si>
  <si>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</si>
  <si>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</si>
  <si>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</si>
  <si>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</si>
  <si>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</si>
  <si>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</si>
  <si>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</si>
  <si>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</si>
  <si>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</si>
  <si>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</si>
  <si>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</si>
  <si>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</si>
  <si>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</si>
  <si>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</si>
  <si>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</si>
  <si>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</si>
  <si>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</si>
  <si>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</si>
  <si>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</si>
  <si>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</si>
  <si>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</si>
  <si>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</si>
  <si>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</si>
  <si>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</si>
  <si>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</si>
  <si>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</si>
  <si>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</si>
  <si>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</si>
  <si>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</si>
  <si>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</si>
  <si>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</si>
  <si>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</si>
  <si>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</si>
  <si>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</si>
  <si>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</si>
  <si>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</si>
  <si>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</si>
  <si>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</si>
  <si>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</si>
  <si>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</si>
  <si>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</si>
  <si>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</si>
  <si>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</si>
  <si>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</si>
  <si>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</si>
  <si>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</si>
  <si>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</si>
  <si>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</si>
  <si>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</si>
  <si>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</si>
  <si>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</si>
  <si>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</si>
  <si>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</si>
  <si>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</si>
  <si>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</si>
  <si>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</si>
  <si>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</si>
  <si>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</si>
  <si>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</si>
  <si>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</si>
  <si>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</si>
  <si>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</si>
  <si>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</si>
  <si>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</si>
  <si>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</si>
  <si>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</si>
  <si>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</si>
  <si>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</si>
  <si>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</si>
  <si>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Division (In charge Name) : ADMIN MANAGER (Dong Chang Kim)</t>
  </si>
  <si>
    <t>EA</t>
  </si>
  <si>
    <t>One time</t>
  </si>
  <si>
    <t>Generator</t>
  </si>
  <si>
    <t>AQ</t>
  </si>
  <si>
    <t>Monthly</t>
  </si>
  <si>
    <t>"</t>
  </si>
  <si>
    <t>AQEC(Absolute Quality Energy Company LLC)</t>
  </si>
  <si>
    <t>311555280600003</t>
  </si>
  <si>
    <t>Ubaydullah</t>
  </si>
  <si>
    <t>Senior Sales Engineer</t>
  </si>
  <si>
    <t>Abdulla Fouad Energy Services O &amp; G Park, Industrial Village,</t>
  </si>
  <si>
    <t xml:space="preserve">Near 2nd Industrial City Dammam, KSA </t>
  </si>
  <si>
    <t>Monthly Based</t>
  </si>
  <si>
    <t>Mob. &amp; De-Mob. / per unit - lump sum</t>
    <phoneticPr fontId="3" type="noConversion"/>
  </si>
  <si>
    <t>Generator Mob &amp; De-Mob. Charge</t>
  </si>
  <si>
    <t>Mobile : +966 56 332 1806</t>
  </si>
  <si>
    <t>Branch of Hyundai Engineering and Const. Co., Ltd. (HDEC)</t>
  </si>
  <si>
    <t>BRANCH OF HYUNDAI ENG. &amp; CONST. CO., LTD.</t>
  </si>
  <si>
    <t>+966 56 332 1806 / email: accounts@aqenergy.me</t>
  </si>
  <si>
    <t>Trip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</si>
  <si>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</si>
  <si>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</si>
  <si>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</si>
  <si>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</si>
  <si>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</si>
  <si>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</si>
  <si>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</si>
  <si>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</si>
  <si>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</si>
  <si>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ABSOLUTE QUALITY ENERGY COMPANY LLC</t>
  </si>
  <si>
    <t>57800-001-0006080091850</t>
  </si>
  <si>
    <t>AL RAJHI BANK</t>
  </si>
  <si>
    <t>RJHISARI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</si>
  <si>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-MRS-0230</t>
    </r>
  </si>
  <si>
    <t>Aramco Certified 150 KVA Prime Generator, 360 Hours Monthly, 220/380V 3PH 60HZ</t>
  </si>
  <si>
    <t>AQE-26-02-145</t>
  </si>
  <si>
    <t>150 KVA Prime Generator, Aramco Certified</t>
  </si>
  <si>
    <t>SA20 8000 0578 6080 1009 1850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</si>
</sst>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13" fillId="3" borderId="0" xfId="5" quotePrefix="1" applyFont="1" applyFill="1" applyAlignment="1">
      <alignment vertical="top" wrapText="1"/>
    </xf>
    <xf numFmtId="0" fontId="26" fillId="3" borderId="0" xfId="5" quotePrefix="1" applyFont="1" applyFill="1" applyAlignment="1">
      <alignment vertical="center"/>
    </xf>
    <xf numFmtId="0" fontId="56" fillId="3" borderId="0" xfId="5" applyFont="1" applyFill="1"/>
    <xf numFmtId="0" fontId="56" fillId="3" borderId="0" xfId="5" quotePrefix="1" applyFont="1" applyFill="1"/>
    <xf numFmtId="171" fontId="26" fillId="3" borderId="0" xfId="5" applyNumberFormat="1" applyFont="1" applyFill="1" applyAlignment="1">
      <alignment horizontal="left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721895</xdr:colOff>
          <xdr:row>17</xdr:row>
          <xdr:rowOff>70184</xdr:rowOff>
        </xdr:from>
        <xdr:to>
          <xdr:col>12</xdr:col>
          <xdr:colOff>10526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0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95737" y="4572000"/>
              <a:ext cx="412131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98</v>
      </c>
      <c r="B1" s="122"/>
      <c r="C1" s="109"/>
      <c r="D1" s="109"/>
      <c r="E1" s="109"/>
      <c r="F1" s="109"/>
      <c r="G1" s="1"/>
      <c r="J1" s="156" t="s">
        <v>90</v>
      </c>
      <c r="K1" s="157"/>
      <c r="L1" s="158"/>
    </row>
    <row r="2" spans="1:19" ht="20.100000000000001" customHeight="1">
      <c r="A2" s="3" t="s">
        <v>1</v>
      </c>
      <c r="B2" s="100"/>
      <c r="C2" s="100"/>
      <c r="D2" s="3" t="s">
        <v>101</v>
      </c>
      <c r="E2" s="100"/>
      <c r="F2" s="100"/>
      <c r="G2" s="100"/>
      <c r="H2" s="100"/>
      <c r="I2" s="4"/>
      <c r="J2" s="159" t="s">
        <v>100</v>
      </c>
      <c r="K2" s="160"/>
      <c r="L2" s="161"/>
    </row>
    <row r="3" spans="1:19" ht="20.100000000000001" customHeight="1">
      <c r="A3" s="3" t="s">
        <v>135</v>
      </c>
      <c r="B3" s="100"/>
      <c r="C3" s="100"/>
      <c r="D3" s="100"/>
      <c r="E3" s="162">
        <f>+L3</f>
        <v>46069</v>
      </c>
      <c r="F3" s="162"/>
      <c r="G3" s="162"/>
      <c r="H3" s="162"/>
      <c r="I3" s="162"/>
      <c r="J3" s="100"/>
      <c r="K3" s="100"/>
      <c r="L3" s="121">
        <v>46069</v>
      </c>
      <c r="M3" s="4"/>
    </row>
    <row r="4" spans="1:19" ht="15.95" customHeight="1">
      <c r="A4" s="165" t="s">
        <v>2</v>
      </c>
      <c r="B4" s="166" t="s">
        <v>3</v>
      </c>
      <c r="C4" s="166"/>
      <c r="D4" s="167" t="s">
        <v>4</v>
      </c>
      <c r="E4" s="168"/>
      <c r="F4" s="169"/>
      <c r="G4" s="173" t="s">
        <v>5</v>
      </c>
      <c r="H4" s="163" t="s">
        <v>6</v>
      </c>
      <c r="I4" s="163" t="s">
        <v>96</v>
      </c>
      <c r="J4" s="165" t="s">
        <v>97</v>
      </c>
      <c r="K4" s="163" t="s">
        <v>0</v>
      </c>
      <c r="L4" s="166" t="s">
        <v>7</v>
      </c>
    </row>
    <row r="5" spans="1:19" ht="15.95" customHeight="1">
      <c r="A5" s="165"/>
      <c r="B5" s="166"/>
      <c r="C5" s="166"/>
      <c r="D5" s="170"/>
      <c r="E5" s="171"/>
      <c r="F5" s="172"/>
      <c r="G5" s="174"/>
      <c r="H5" s="164"/>
      <c r="I5" s="164"/>
      <c r="J5" s="165"/>
      <c r="K5" s="164"/>
      <c r="L5" s="166"/>
    </row>
    <row r="6" spans="1:19" ht="56.25" customHeight="1">
      <c r="A6" s="5">
        <f t="shared" ref="A6:A14" si="0">ROW(A1)</f>
        <v>1</v>
      </c>
      <c r="B6" s="141" t="s">
        <v>104</v>
      </c>
      <c r="C6" s="142"/>
      <c r="D6" s="152" t="s">
        <v>136</v>
      </c>
      <c r="E6" s="153"/>
      <c r="F6" s="154"/>
      <c r="G6" s="110" t="s">
        <v>102</v>
      </c>
      <c r="H6" s="111">
        <v>1</v>
      </c>
      <c r="I6" s="112">
        <v>5000</v>
      </c>
      <c r="J6" s="112">
        <f>H6*I6</f>
        <v>5000</v>
      </c>
      <c r="K6" s="113" t="s">
        <v>105</v>
      </c>
      <c r="L6" s="131" t="s">
        <v>106</v>
      </c>
      <c r="S6" s="105"/>
    </row>
    <row r="7" spans="1:19" ht="56.25" customHeight="1">
      <c r="A7" s="5">
        <v>2</v>
      </c>
      <c r="B7" s="141" t="s">
        <v>116</v>
      </c>
      <c r="C7" s="142"/>
      <c r="D7" s="155" t="s">
        <v>115</v>
      </c>
      <c r="E7" s="144"/>
      <c r="F7" s="145"/>
      <c r="G7" s="110" t="s">
        <v>121</v>
      </c>
      <c r="H7" s="111">
        <v>2</v>
      </c>
      <c r="I7" s="112">
        <v>700</v>
      </c>
      <c r="J7" s="112">
        <f>H7*I7</f>
        <v>1400</v>
      </c>
      <c r="K7" s="113" t="s">
        <v>107</v>
      </c>
      <c r="L7" s="131" t="s">
        <v>103</v>
      </c>
      <c r="S7" s="105"/>
    </row>
    <row r="8" spans="1:19" ht="56.25" customHeight="1">
      <c r="A8" s="5">
        <f t="shared" si="0"/>
        <v>3</v>
      </c>
      <c r="B8" s="141"/>
      <c r="C8" s="142"/>
      <c r="D8" s="152"/>
      <c r="E8" s="153"/>
      <c r="F8" s="154"/>
      <c r="G8" s="110"/>
      <c r="H8" s="111"/>
      <c r="I8" s="112"/>
      <c r="J8" s="112"/>
      <c r="K8" s="113"/>
      <c r="L8" s="114"/>
      <c r="S8" s="105"/>
    </row>
    <row r="9" spans="1:19" ht="22.5" customHeight="1">
      <c r="A9" s="5"/>
      <c r="B9" s="141"/>
      <c r="C9" s="142"/>
      <c r="D9" s="143"/>
      <c r="E9" s="144"/>
      <c r="F9" s="145"/>
      <c r="G9" s="110"/>
      <c r="H9" s="111"/>
      <c r="I9" s="115"/>
      <c r="J9" s="112"/>
      <c r="K9" s="113"/>
      <c r="L9" s="110"/>
      <c r="S9" s="105"/>
    </row>
    <row r="10" spans="1:19" ht="22.5" hidden="1" customHeight="1">
      <c r="A10" s="5">
        <f t="shared" si="0"/>
        <v>5</v>
      </c>
      <c r="B10" s="141"/>
      <c r="C10" s="142"/>
      <c r="D10" s="143"/>
      <c r="E10" s="144"/>
      <c r="F10" s="145"/>
      <c r="G10" s="110"/>
      <c r="H10" s="111"/>
      <c r="I10" s="112"/>
      <c r="J10" s="112"/>
      <c r="K10" s="113"/>
      <c r="L10" s="131"/>
      <c r="S10" s="105"/>
    </row>
    <row r="11" spans="1:19" ht="22.5" hidden="1" customHeight="1">
      <c r="A11" s="5">
        <v>4</v>
      </c>
      <c r="B11" s="150"/>
      <c r="C11" s="150"/>
      <c r="D11" s="151"/>
      <c r="E11" s="151"/>
      <c r="F11" s="151"/>
      <c r="G11" s="110"/>
      <c r="H11" s="111"/>
      <c r="I11" s="115"/>
      <c r="J11" s="112"/>
      <c r="K11" s="113"/>
      <c r="L11" s="110"/>
      <c r="S11" s="105"/>
    </row>
    <row r="12" spans="1:19" ht="22.5" hidden="1" customHeight="1">
      <c r="A12" s="5">
        <f t="shared" si="0"/>
        <v>7</v>
      </c>
      <c r="B12" s="141"/>
      <c r="C12" s="142"/>
      <c r="D12" s="143"/>
      <c r="E12" s="144"/>
      <c r="F12" s="145"/>
      <c r="G12" s="110"/>
      <c r="H12" s="111"/>
      <c r="I12" s="112"/>
      <c r="J12" s="112"/>
      <c r="K12" s="113"/>
      <c r="L12" s="114"/>
      <c r="S12" s="105"/>
    </row>
    <row r="13" spans="1:19" ht="22.5" hidden="1" customHeight="1">
      <c r="A13" s="5">
        <v>5</v>
      </c>
      <c r="B13" s="141"/>
      <c r="C13" s="142"/>
      <c r="D13" s="143"/>
      <c r="E13" s="144"/>
      <c r="F13" s="145"/>
      <c r="G13" s="110"/>
      <c r="H13" s="111"/>
      <c r="I13" s="112"/>
      <c r="J13" s="112"/>
      <c r="K13" s="113"/>
      <c r="L13" s="114"/>
      <c r="S13" s="105"/>
    </row>
    <row r="14" spans="1:19" ht="22.5" hidden="1" customHeight="1">
      <c r="A14" s="5">
        <f t="shared" si="0"/>
        <v>9</v>
      </c>
      <c r="B14" s="126"/>
      <c r="C14" s="127"/>
      <c r="D14" s="128"/>
      <c r="E14" s="129"/>
      <c r="F14" s="130"/>
      <c r="G14" s="110"/>
      <c r="H14" s="111"/>
      <c r="I14" s="112"/>
      <c r="J14" s="112"/>
      <c r="K14" s="113"/>
      <c r="L14" s="114"/>
      <c r="S14" s="105"/>
    </row>
    <row r="15" spans="1:19" ht="22.5" hidden="1" customHeight="1">
      <c r="A15" s="5">
        <v>6</v>
      </c>
      <c r="B15" s="141"/>
      <c r="C15" s="142"/>
      <c r="D15" s="143"/>
      <c r="E15" s="144"/>
      <c r="F15" s="145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46" t="s">
        <v>8</v>
      </c>
      <c r="B16" s="147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6400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8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9"/>
      <c r="T19" s="14"/>
      <c r="U19" s="15"/>
      <c r="V19" s="14"/>
    </row>
    <row r="20" spans="1:22" ht="17.100000000000001" customHeight="1">
      <c r="O20" s="11"/>
      <c r="P20" s="11"/>
      <c r="Q20" s="11"/>
      <c r="S20" s="13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37" t="s">
        <v>17</v>
      </c>
      <c r="Q21" s="137" t="s">
        <v>18</v>
      </c>
    </row>
    <row r="22" spans="1:22" ht="18" customHeight="1">
      <c r="O22" s="18" t="s">
        <v>19</v>
      </c>
      <c r="P22" s="139"/>
      <c r="Q22" s="139"/>
      <c r="S22" s="148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9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40"/>
      <c r="P27" s="140"/>
      <c r="Q27" s="140"/>
    </row>
    <row r="28" spans="1:22" ht="19.899999999999999" customHeight="1">
      <c r="O28" s="140"/>
      <c r="P28" s="140"/>
      <c r="Q28" s="14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7" t="s">
        <v>21</v>
      </c>
    </row>
    <row r="41" spans="15:22" ht="19.899999999999999" customHeight="1">
      <c r="T41" s="139"/>
    </row>
    <row r="42" spans="15:22" ht="64.900000000000006" customHeight="1">
      <c r="T42" s="14"/>
    </row>
    <row r="46" spans="15:22" ht="21" customHeight="1">
      <c r="O46" s="137" t="s">
        <v>21</v>
      </c>
      <c r="P46" s="137" t="s">
        <v>21</v>
      </c>
      <c r="Q46" s="137" t="s">
        <v>21</v>
      </c>
      <c r="T46" s="137" t="s">
        <v>22</v>
      </c>
      <c r="U46" s="137" t="s">
        <v>13</v>
      </c>
      <c r="V46" s="137" t="s">
        <v>21</v>
      </c>
    </row>
    <row r="47" spans="15:22" ht="21" customHeight="1">
      <c r="O47" s="139"/>
      <c r="P47" s="139"/>
      <c r="Q47" s="139"/>
      <c r="T47" s="138"/>
      <c r="U47" s="138"/>
      <c r="V47" s="13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7" t="s">
        <v>21</v>
      </c>
      <c r="P50" s="137" t="s">
        <v>21</v>
      </c>
      <c r="Q50" s="137" t="s">
        <v>21</v>
      </c>
      <c r="T50" s="137" t="s">
        <v>13</v>
      </c>
      <c r="U50" s="137" t="s">
        <v>22</v>
      </c>
      <c r="V50" s="137" t="s">
        <v>21</v>
      </c>
    </row>
    <row r="51" spans="15:22" ht="21" customHeight="1">
      <c r="O51" s="139"/>
      <c r="P51" s="139"/>
      <c r="Q51" s="139"/>
      <c r="T51" s="138"/>
      <c r="U51" s="138"/>
      <c r="V51" s="13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8" t="s">
        <v>95</v>
      </c>
      <c r="B1" s="99"/>
      <c r="C1" s="99"/>
      <c r="D1" s="99"/>
      <c r="E1" s="99"/>
      <c r="F1" s="99"/>
      <c r="G1" s="1"/>
      <c r="J1" s="185" t="str">
        <f>+MRS!J1</f>
        <v>DAESHIN PLANT</v>
      </c>
      <c r="K1" s="186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87" t="str">
        <f>+MRS!J2</f>
        <v>Subcontract name (SAC2-SC-IK-SMP-01)</v>
      </c>
      <c r="K2" s="188"/>
    </row>
    <row r="3" spans="1:18" ht="24.95" customHeight="1">
      <c r="A3" s="3" t="str">
        <f>+MRS!A3</f>
        <v xml:space="preserve">  MRS No : SAC2-DS-MRS-0230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46069</v>
      </c>
    </row>
    <row r="4" spans="1:18" ht="15.95" customHeight="1">
      <c r="A4" s="189" t="s">
        <v>2</v>
      </c>
      <c r="B4" s="190" t="s">
        <v>23</v>
      </c>
      <c r="C4" s="190"/>
      <c r="D4" s="189" t="s">
        <v>4</v>
      </c>
      <c r="E4" s="189"/>
      <c r="F4" s="189"/>
      <c r="G4" s="190" t="s">
        <v>5</v>
      </c>
      <c r="H4" s="189" t="s">
        <v>91</v>
      </c>
      <c r="I4" s="189" t="s">
        <v>24</v>
      </c>
      <c r="J4" s="189" t="s">
        <v>25</v>
      </c>
      <c r="K4" s="190" t="s">
        <v>7</v>
      </c>
    </row>
    <row r="5" spans="1:18" ht="15.95" customHeight="1">
      <c r="A5" s="189"/>
      <c r="B5" s="190"/>
      <c r="C5" s="190"/>
      <c r="D5" s="189"/>
      <c r="E5" s="189"/>
      <c r="F5" s="189"/>
      <c r="G5" s="190"/>
      <c r="H5" s="189"/>
      <c r="I5" s="189"/>
      <c r="J5" s="189"/>
      <c r="K5" s="190"/>
    </row>
    <row r="6" spans="1:18" ht="105" customHeight="1">
      <c r="A6" s="21">
        <f>+MRS!A6</f>
        <v>1</v>
      </c>
      <c r="B6" s="180" t="str">
        <f>MRS!B6</f>
        <v>Generator</v>
      </c>
      <c r="C6" s="181"/>
      <c r="D6" s="182" t="str">
        <f>MRS!D6</f>
        <v>Aramco Certified 150 KVA Prime Generator, 360 Hours Monthly, 220/380V 3PH 60HZ</v>
      </c>
      <c r="E6" s="183"/>
      <c r="F6" s="184"/>
      <c r="G6" s="102" t="str">
        <f>MRS!G6</f>
        <v>EA</v>
      </c>
      <c r="H6" s="102">
        <f>MRS!H6</f>
        <v>1</v>
      </c>
      <c r="I6" s="103">
        <f>MRS!I6</f>
        <v>5000</v>
      </c>
      <c r="J6" s="103">
        <f>MRS!J6</f>
        <v>5000</v>
      </c>
      <c r="K6" s="104"/>
      <c r="O6" s="105"/>
      <c r="P6" s="105"/>
      <c r="R6" s="105"/>
    </row>
    <row r="7" spans="1:18" ht="105" customHeight="1">
      <c r="A7" s="21" t="e">
        <f>+MRS!#REF!</f>
        <v>#REF!</v>
      </c>
      <c r="B7" s="180" t="str">
        <f>MRS!B7</f>
        <v>Generator Mob &amp; De-Mob. Charge</v>
      </c>
      <c r="C7" s="181"/>
      <c r="D7" s="182" t="str">
        <f>MRS!D7</f>
        <v>Mob. &amp; De-Mob. / per unit - lump sum</v>
      </c>
      <c r="E7" s="183"/>
      <c r="F7" s="184"/>
      <c r="G7" s="102" t="str">
        <f>MRS!G7</f>
        <v>Trip</v>
      </c>
      <c r="H7" s="102">
        <f>MRS!H7</f>
        <v>2</v>
      </c>
      <c r="I7" s="103">
        <f>MRS!I7</f>
        <v>700</v>
      </c>
      <c r="J7" s="103">
        <f>MRS!J7</f>
        <v>1400</v>
      </c>
      <c r="K7" s="104"/>
      <c r="O7" s="105"/>
      <c r="P7" s="105"/>
      <c r="R7" s="105"/>
    </row>
    <row r="8" spans="1:18" ht="105" customHeight="1">
      <c r="A8" s="21">
        <f>+MRS!A7</f>
        <v>2</v>
      </c>
      <c r="B8" s="180">
        <f>MRS!B8</f>
        <v>0</v>
      </c>
      <c r="C8" s="181"/>
      <c r="D8" s="182">
        <f>MRS!D8</f>
        <v>0</v>
      </c>
      <c r="E8" s="183"/>
      <c r="F8" s="184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+MRS!A8</f>
        <v>3</v>
      </c>
      <c r="B9" s="180">
        <f>MRS!B9</f>
        <v>0</v>
      </c>
      <c r="C9" s="181"/>
      <c r="D9" s="182">
        <f>MRS!D9</f>
        <v>0</v>
      </c>
      <c r="E9" s="183"/>
      <c r="F9" s="184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+MRS!A9</f>
        <v>0</v>
      </c>
      <c r="B10" s="180">
        <f>MRS!B10</f>
        <v>0</v>
      </c>
      <c r="C10" s="181"/>
      <c r="D10" s="182">
        <f>MRS!D10</f>
        <v>0</v>
      </c>
      <c r="E10" s="183"/>
      <c r="F10" s="184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+MRS!A10</f>
        <v>5</v>
      </c>
      <c r="B11" s="175"/>
      <c r="C11" s="176"/>
      <c r="D11" s="177"/>
      <c r="E11" s="178"/>
      <c r="F11" s="179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+MRS!A11</f>
        <v>4</v>
      </c>
      <c r="B12" s="175"/>
      <c r="C12" s="176"/>
      <c r="D12" s="177"/>
      <c r="E12" s="178"/>
      <c r="F12" s="179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+MRS!A12</f>
        <v>7</v>
      </c>
      <c r="B13" s="175"/>
      <c r="C13" s="176"/>
      <c r="D13" s="177"/>
      <c r="E13" s="178"/>
      <c r="F13" s="179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+MRS!A13</f>
        <v>5</v>
      </c>
      <c r="B14" s="175"/>
      <c r="C14" s="176"/>
      <c r="D14" s="177"/>
      <c r="E14" s="178"/>
      <c r="F14" s="179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6</v>
      </c>
      <c r="B15" s="175"/>
      <c r="C15" s="176"/>
      <c r="D15" s="177"/>
      <c r="E15" s="178"/>
      <c r="F15" s="179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5"/>
      <c r="C16" s="176"/>
      <c r="D16" s="177"/>
      <c r="E16" s="178"/>
      <c r="F16" s="179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5"/>
      <c r="C17" s="176"/>
      <c r="D17" s="177"/>
      <c r="E17" s="178"/>
      <c r="F17" s="179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F57" sqref="F5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119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108</v>
      </c>
      <c r="D9" s="38"/>
      <c r="E9" s="38"/>
    </row>
    <row r="10" spans="2:13" s="38" customFormat="1">
      <c r="B10" s="71"/>
      <c r="C10" s="38" t="s">
        <v>32</v>
      </c>
      <c r="D10" s="35">
        <v>2050167895</v>
      </c>
      <c r="J10" s="38" t="s">
        <v>33</v>
      </c>
      <c r="K10" s="192">
        <f>MRS!L3</f>
        <v>46069</v>
      </c>
      <c r="L10" s="193"/>
      <c r="M10" s="193"/>
    </row>
    <row r="11" spans="2:13" s="38" customFormat="1">
      <c r="B11" s="71"/>
      <c r="C11" s="74" t="s">
        <v>34</v>
      </c>
      <c r="D11" s="75" t="s">
        <v>109</v>
      </c>
      <c r="J11" s="38" t="s">
        <v>35</v>
      </c>
      <c r="K11" s="194" t="str">
        <f>SUBSTITUTE(SUBSTITUTE(+MRS!A3,"  MRS No : ",""),"-MRS","-PO")</f>
        <v>SAC2-DS-PO-0230</v>
      </c>
      <c r="L11" s="194"/>
      <c r="M11" s="194"/>
    </row>
    <row r="12" spans="2:13" s="38" customFormat="1">
      <c r="B12" s="71"/>
      <c r="C12" s="74" t="s">
        <v>36</v>
      </c>
      <c r="D12" s="38" t="s">
        <v>110</v>
      </c>
      <c r="J12" s="38" t="s">
        <v>37</v>
      </c>
    </row>
    <row r="13" spans="2:13" s="38" customFormat="1">
      <c r="B13" s="71"/>
      <c r="C13" s="76"/>
      <c r="D13" s="75" t="s">
        <v>120</v>
      </c>
      <c r="J13" s="38" t="s">
        <v>38</v>
      </c>
    </row>
    <row r="14" spans="2:13" s="38" customFormat="1">
      <c r="B14" s="71"/>
      <c r="C14" s="76" t="s">
        <v>112</v>
      </c>
      <c r="J14" s="38" t="s">
        <v>39</v>
      </c>
      <c r="K14" s="38" t="s">
        <v>137</v>
      </c>
    </row>
    <row r="15" spans="2:13" s="38" customFormat="1">
      <c r="C15" s="76" t="s">
        <v>113</v>
      </c>
      <c r="J15" s="38" t="s">
        <v>40</v>
      </c>
      <c r="K15" s="136">
        <v>46067</v>
      </c>
    </row>
    <row r="16" spans="2:13" ht="12" customHeight="1">
      <c r="C16" s="76" t="s">
        <v>117</v>
      </c>
      <c r="K16" s="29"/>
    </row>
    <row r="17" spans="2:13" ht="6" customHeight="1">
      <c r="C17" s="76"/>
      <c r="K17" s="29"/>
    </row>
    <row r="18" spans="2:13" ht="20.25">
      <c r="B18" s="195" t="s">
        <v>41</v>
      </c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</row>
    <row r="19" spans="2:13" ht="12" customHeight="1"/>
    <row r="20" spans="2:13" s="30" customFormat="1" ht="12" customHeight="1">
      <c r="B20" s="196" t="s">
        <v>42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</row>
    <row r="21" spans="2:13" s="30" customFormat="1" ht="12" customHeight="1">
      <c r="B21" s="196" t="s">
        <v>43</v>
      </c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</row>
    <row r="22" spans="2:13" s="30" customFormat="1" ht="12" customHeight="1">
      <c r="B22" s="196" t="s">
        <v>44</v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</row>
    <row r="23" spans="2:13" ht="6.95" customHeight="1"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</row>
    <row r="24" spans="2:13" ht="6.95" customHeight="1"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</row>
    <row r="25" spans="2:13" s="31" customFormat="1" ht="15" customHeight="1">
      <c r="B25" s="31">
        <v>1</v>
      </c>
      <c r="C25" s="31" t="s">
        <v>45</v>
      </c>
    </row>
    <row r="26" spans="2:13" s="38" customFormat="1" ht="12" customHeight="1">
      <c r="B26" s="72"/>
      <c r="C26" s="133" t="s">
        <v>138</v>
      </c>
      <c r="D26" s="132"/>
      <c r="E26" s="132"/>
      <c r="F26" s="132"/>
      <c r="G26" s="132"/>
      <c r="M26" s="77" t="s">
        <v>46</v>
      </c>
    </row>
    <row r="27" spans="2:13" ht="10.5" customHeight="1">
      <c r="B27" s="31"/>
    </row>
    <row r="28" spans="2:13" ht="15" customHeight="1">
      <c r="B28" s="31">
        <v>2</v>
      </c>
      <c r="C28" s="31" t="s">
        <v>47</v>
      </c>
    </row>
    <row r="29" spans="2:13" ht="12" customHeight="1">
      <c r="B29" s="31"/>
      <c r="C29" s="26" t="s">
        <v>48</v>
      </c>
      <c r="E29" s="26" t="s">
        <v>49</v>
      </c>
      <c r="F29" s="199" t="s">
        <v>114</v>
      </c>
      <c r="G29" s="199"/>
      <c r="H29" s="32"/>
      <c r="M29" s="33"/>
    </row>
    <row r="30" spans="2:13" ht="12" customHeight="1">
      <c r="B30" s="31"/>
      <c r="C30" s="26" t="s">
        <v>50</v>
      </c>
      <c r="E30" s="26" t="s">
        <v>49</v>
      </c>
      <c r="F30" s="199"/>
      <c r="G30" s="199"/>
    </row>
    <row r="31" spans="2:13" ht="12" customHeight="1">
      <c r="B31" s="31"/>
      <c r="C31" s="26" t="s">
        <v>51</v>
      </c>
      <c r="D31" s="34"/>
      <c r="E31" s="26" t="s">
        <v>49</v>
      </c>
      <c r="F31" s="199"/>
      <c r="G31" s="199"/>
      <c r="H31" s="32"/>
    </row>
    <row r="32" spans="2:13" ht="11.1" customHeight="1">
      <c r="B32" s="31"/>
    </row>
    <row r="33" spans="2:13" ht="15" customHeight="1">
      <c r="B33" s="31">
        <v>3</v>
      </c>
      <c r="C33" s="31" t="s">
        <v>52</v>
      </c>
    </row>
    <row r="34" spans="2:13" ht="12" customHeight="1">
      <c r="B34" s="31"/>
      <c r="C34" s="22" t="s">
        <v>53</v>
      </c>
    </row>
    <row r="35" spans="2:13" ht="12" customHeight="1">
      <c r="B35" s="31"/>
      <c r="C35" s="22" t="s">
        <v>54</v>
      </c>
    </row>
    <row r="36" spans="2:13" ht="12" customHeight="1">
      <c r="B36" s="31"/>
      <c r="C36" s="22" t="s">
        <v>55</v>
      </c>
    </row>
    <row r="37" spans="2:13" ht="11.1" customHeight="1">
      <c r="B37" s="31"/>
    </row>
    <row r="38" spans="2:13" ht="15" customHeight="1">
      <c r="B38" s="31">
        <v>4</v>
      </c>
      <c r="C38" s="31" t="s">
        <v>56</v>
      </c>
    </row>
    <row r="39" spans="2:13" ht="12" customHeight="1">
      <c r="B39" s="31"/>
      <c r="C39" s="26" t="s">
        <v>57</v>
      </c>
    </row>
    <row r="40" spans="2:13" ht="11.1" customHeight="1">
      <c r="B40" s="31"/>
    </row>
    <row r="41" spans="2:13" ht="15" customHeight="1">
      <c r="B41" s="31">
        <v>5</v>
      </c>
      <c r="C41" s="31" t="s">
        <v>58</v>
      </c>
    </row>
    <row r="42" spans="2:13" ht="12" customHeight="1">
      <c r="B42" s="31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1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1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1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1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11.1" customHeight="1">
      <c r="B47" s="31"/>
    </row>
    <row r="48" spans="2:13" ht="15" customHeight="1">
      <c r="B48" s="31">
        <v>6</v>
      </c>
      <c r="C48" s="31" t="s">
        <v>64</v>
      </c>
    </row>
    <row r="49" spans="2:16" s="38" customFormat="1" ht="12" customHeight="1">
      <c r="B49" s="78" t="s">
        <v>65</v>
      </c>
      <c r="C49" s="79" t="s">
        <v>93</v>
      </c>
      <c r="P49" s="80"/>
    </row>
    <row r="50" spans="2:16" s="81" customFormat="1" ht="12" customHeight="1">
      <c r="B50" s="82" t="s">
        <v>65</v>
      </c>
      <c r="C50" s="79" t="s">
        <v>94</v>
      </c>
    </row>
    <row r="51" spans="2:16" s="81" customFormat="1" ht="12" customHeight="1">
      <c r="B51" s="82" t="s">
        <v>65</v>
      </c>
      <c r="C51" s="79" t="s">
        <v>92</v>
      </c>
    </row>
    <row r="52" spans="2:16" s="81" customFormat="1" ht="4.5" customHeight="1">
      <c r="B52" s="82"/>
      <c r="C52" s="79"/>
    </row>
    <row r="53" spans="2:16" ht="15" customHeight="1">
      <c r="B53" s="41">
        <v>7</v>
      </c>
      <c r="C53" s="31" t="s">
        <v>122</v>
      </c>
    </row>
    <row r="54" spans="2:16" ht="12" customHeight="1">
      <c r="B54" s="82" t="s">
        <v>65</v>
      </c>
      <c r="C54" s="134" t="s">
        <v>123</v>
      </c>
      <c r="F54" s="134" t="s">
        <v>131</v>
      </c>
      <c r="P54" s="26" t="str">
        <f>UPPER(F54)</f>
        <v>ABSOLUTE QUALITY ENERGY COMPANY LLC</v>
      </c>
    </row>
    <row r="55" spans="2:16" ht="12" customHeight="1">
      <c r="B55" s="82" t="s">
        <v>65</v>
      </c>
      <c r="C55" s="134" t="s">
        <v>124</v>
      </c>
      <c r="F55" s="135" t="s">
        <v>132</v>
      </c>
    </row>
    <row r="56" spans="2:16" ht="12" customHeight="1">
      <c r="B56" s="82" t="s">
        <v>65</v>
      </c>
      <c r="C56" s="134" t="s">
        <v>125</v>
      </c>
      <c r="F56" s="135" t="s">
        <v>139</v>
      </c>
    </row>
    <row r="57" spans="2:16" ht="12" customHeight="1">
      <c r="B57" s="82" t="s">
        <v>65</v>
      </c>
      <c r="C57" s="134" t="s">
        <v>126</v>
      </c>
      <c r="F57" s="134" t="s">
        <v>133</v>
      </c>
    </row>
    <row r="58" spans="2:16" ht="12" customHeight="1">
      <c r="B58" s="82" t="s">
        <v>65</v>
      </c>
      <c r="C58" s="134" t="s">
        <v>127</v>
      </c>
      <c r="F58" s="134" t="s">
        <v>134</v>
      </c>
    </row>
    <row r="59" spans="2:16" ht="12" customHeight="1">
      <c r="B59" s="82" t="s">
        <v>65</v>
      </c>
      <c r="C59" s="134" t="s">
        <v>128</v>
      </c>
      <c r="F59" s="134" t="s">
        <v>129</v>
      </c>
    </row>
    <row r="60" spans="2:16" ht="12" customHeight="1">
      <c r="B60" s="82"/>
      <c r="C60" s="34" t="s">
        <v>130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1"/>
    </row>
    <row r="63" spans="2:16" ht="11.1" customHeight="1">
      <c r="B63" s="41"/>
    </row>
    <row r="64" spans="2:16">
      <c r="B64" s="31" t="s">
        <v>66</v>
      </c>
      <c r="J64" s="31" t="s">
        <v>67</v>
      </c>
    </row>
    <row r="65" spans="1:13" ht="48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UPPER(D12)</f>
        <v>UBAYDULLAH</v>
      </c>
    </row>
    <row r="68" spans="1:13" ht="18" customHeight="1">
      <c r="B68" s="26" t="s">
        <v>71</v>
      </c>
      <c r="J68" s="26" t="s">
        <v>72</v>
      </c>
      <c r="K68" s="22" t="s">
        <v>111</v>
      </c>
    </row>
    <row r="69" spans="1:13" ht="15" customHeight="1">
      <c r="B69" s="26" t="s">
        <v>73</v>
      </c>
      <c r="J69" s="26" t="s">
        <v>74</v>
      </c>
    </row>
    <row r="70" spans="1:13" s="28" customFormat="1" ht="15" customHeight="1">
      <c r="B70" s="25" t="s">
        <v>118</v>
      </c>
      <c r="J70" s="31" t="str">
        <f>C9</f>
        <v>AQEC(Absolute Quality Energy Company LLC)</v>
      </c>
    </row>
    <row r="71" spans="1:13" ht="27.95" customHeight="1">
      <c r="A71" s="191" t="s">
        <v>75</v>
      </c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</row>
    <row r="78" spans="1:13">
      <c r="B78" s="31"/>
    </row>
    <row r="79" spans="1:13">
      <c r="B79" s="31"/>
    </row>
    <row r="80" spans="1:13">
      <c r="B80" s="31"/>
    </row>
    <row r="81" spans="2:2">
      <c r="B81" s="31"/>
    </row>
    <row r="82" spans="2:2">
      <c r="B82" s="31"/>
    </row>
    <row r="83" spans="2:2">
      <c r="B83" s="31"/>
    </row>
    <row r="84" spans="2:2">
      <c r="B84" s="31"/>
    </row>
    <row r="85" spans="2:2">
      <c r="B85" s="31"/>
    </row>
    <row r="86" spans="2:2">
      <c r="B86" s="31"/>
    </row>
    <row r="87" spans="2:2">
      <c r="B87" s="31"/>
    </row>
    <row r="88" spans="2:2">
      <c r="B88" s="31"/>
    </row>
    <row r="89" spans="2:2">
      <c r="B89" s="31"/>
    </row>
    <row r="90" spans="2:2">
      <c r="B90" s="31"/>
    </row>
    <row r="91" spans="2:2">
      <c r="B91" s="31"/>
    </row>
    <row r="92" spans="2:2">
      <c r="B92" s="31"/>
    </row>
    <row r="93" spans="2:2">
      <c r="B93" s="31"/>
    </row>
    <row r="94" spans="2:2">
      <c r="B94" s="31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SAC2-DS-PO-0230</v>
      </c>
      <c r="C2" s="206" t="s">
        <v>77</v>
      </c>
      <c r="D2" s="206"/>
      <c r="E2" s="206"/>
      <c r="F2" s="206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46069</v>
      </c>
      <c r="C3" s="50"/>
      <c r="D3" s="51"/>
      <c r="E3" s="207" t="s">
        <v>79</v>
      </c>
      <c r="F3" s="207"/>
      <c r="G3" s="207"/>
      <c r="H3" s="207"/>
      <c r="I3" s="52"/>
    </row>
    <row r="4" spans="1:13" s="54" customFormat="1" ht="28.5" customHeight="1" thickTop="1">
      <c r="A4" s="208" t="s">
        <v>80</v>
      </c>
      <c r="B4" s="210" t="s">
        <v>81</v>
      </c>
      <c r="C4" s="211"/>
      <c r="D4" s="214" t="s">
        <v>82</v>
      </c>
      <c r="E4" s="214" t="s">
        <v>83</v>
      </c>
      <c r="F4" s="216" t="str">
        <f>'PO 1st page'!C9</f>
        <v>AQEC(Absolute Quality Energy Company LLC)</v>
      </c>
      <c r="G4" s="217"/>
      <c r="H4" s="218" t="s">
        <v>84</v>
      </c>
      <c r="K4" s="55"/>
      <c r="L4" s="55"/>
      <c r="M4" s="55"/>
    </row>
    <row r="5" spans="1:13" s="54" customFormat="1" ht="21.95" customHeight="1">
      <c r="A5" s="209"/>
      <c r="B5" s="212"/>
      <c r="C5" s="213"/>
      <c r="D5" s="215"/>
      <c r="E5" s="215"/>
      <c r="F5" s="56" t="s">
        <v>85</v>
      </c>
      <c r="G5" s="56" t="s">
        <v>51</v>
      </c>
      <c r="H5" s="219"/>
      <c r="K5" s="55"/>
      <c r="L5" s="55"/>
      <c r="M5" s="55"/>
    </row>
    <row r="6" spans="1:13" s="54" customFormat="1" ht="62.25" customHeight="1">
      <c r="A6" s="83">
        <f t="shared" ref="A6:A17" si="0">ROW(A1)</f>
        <v>1</v>
      </c>
      <c r="B6" s="220" t="str">
        <f>MRS!B6&amp;","&amp;MRS!D6</f>
        <v>Generator,Aramco Certified 150 KVA Prime Generator, 360 Hours Monthly, 220/380V 3PH 60HZ</v>
      </c>
      <c r="C6" s="221"/>
      <c r="D6" s="84" t="str">
        <f>+'MRS LIST'!G6</f>
        <v>EA</v>
      </c>
      <c r="E6" s="85">
        <f>+'MRS LIST'!H6</f>
        <v>1</v>
      </c>
      <c r="F6" s="86">
        <f>+'MRS LIST'!I6</f>
        <v>5000</v>
      </c>
      <c r="G6" s="87">
        <f>+'MRS LIST'!J6</f>
        <v>5000</v>
      </c>
      <c r="H6" s="88" t="str">
        <f>MRS!L6</f>
        <v>Monthly</v>
      </c>
      <c r="K6" s="89"/>
      <c r="L6" s="90"/>
      <c r="M6" s="55"/>
    </row>
    <row r="7" spans="1:13" s="54" customFormat="1" ht="49.5" customHeight="1">
      <c r="A7" s="83">
        <v>2</v>
      </c>
      <c r="B7" s="220" t="str">
        <f>MRS!B7&amp;"
"&amp;MRS!D7</f>
        <v>Generator Mob &amp; De-Mob. Charge
Mob. &amp; De-Mob. / per unit - lump sum</v>
      </c>
      <c r="C7" s="221"/>
      <c r="D7" s="84" t="str">
        <f>+'MRS LIST'!G7</f>
        <v>Trip</v>
      </c>
      <c r="E7" s="85">
        <f>+'MRS LIST'!H7</f>
        <v>2</v>
      </c>
      <c r="F7" s="86">
        <f>+'MRS LIST'!I7</f>
        <v>700</v>
      </c>
      <c r="G7" s="87">
        <f>+'MRS LIST'!J7</f>
        <v>1400</v>
      </c>
      <c r="H7" s="88" t="str">
        <f>MRS!L7</f>
        <v>One time</v>
      </c>
      <c r="K7" s="89"/>
      <c r="L7" s="90"/>
      <c r="M7" s="55"/>
    </row>
    <row r="8" spans="1:13" s="54" customFormat="1" ht="31.5" customHeight="1">
      <c r="A8" s="91">
        <v>3</v>
      </c>
      <c r="B8" s="220"/>
      <c r="C8" s="221"/>
      <c r="D8" s="84"/>
      <c r="E8" s="85"/>
      <c r="F8" s="86"/>
      <c r="G8" s="87"/>
      <c r="H8" s="88"/>
      <c r="K8" s="55"/>
      <c r="L8" s="55"/>
      <c r="M8" s="55"/>
    </row>
    <row r="9" spans="1:13" s="54" customFormat="1" ht="32.1" customHeight="1">
      <c r="A9" s="91">
        <f t="shared" si="0"/>
        <v>4</v>
      </c>
      <c r="B9" s="220"/>
      <c r="C9" s="221"/>
      <c r="D9" s="84"/>
      <c r="E9" s="85"/>
      <c r="F9" s="86"/>
      <c r="G9" s="87"/>
      <c r="H9" s="88"/>
    </row>
    <row r="10" spans="1:13" s="54" customFormat="1" ht="32.1" customHeight="1">
      <c r="A10" s="91">
        <f t="shared" si="0"/>
        <v>5</v>
      </c>
      <c r="B10" s="220"/>
      <c r="C10" s="221"/>
      <c r="D10" s="84"/>
      <c r="E10" s="85"/>
      <c r="F10" s="86"/>
      <c r="G10" s="87"/>
      <c r="H10" s="88"/>
    </row>
    <row r="11" spans="1:13" s="54" customFormat="1" ht="32.1" customHeight="1">
      <c r="A11" s="91">
        <f t="shared" si="0"/>
        <v>6</v>
      </c>
      <c r="B11" s="204"/>
      <c r="C11" s="205"/>
      <c r="D11" s="92"/>
      <c r="E11" s="93"/>
      <c r="F11" s="94"/>
      <c r="G11" s="95"/>
      <c r="H11" s="96"/>
    </row>
    <row r="12" spans="1:13" s="54" customFormat="1" ht="32.1" customHeight="1">
      <c r="A12" s="91">
        <f t="shared" si="0"/>
        <v>7</v>
      </c>
      <c r="B12" s="204"/>
      <c r="C12" s="205"/>
      <c r="D12" s="92"/>
      <c r="E12" s="93"/>
      <c r="F12" s="94"/>
      <c r="G12" s="95"/>
      <c r="H12" s="96"/>
    </row>
    <row r="13" spans="1:13" s="54" customFormat="1" ht="32.1" customHeight="1">
      <c r="A13" s="91">
        <f t="shared" si="0"/>
        <v>8</v>
      </c>
      <c r="B13" s="204"/>
      <c r="C13" s="205"/>
      <c r="D13" s="92"/>
      <c r="E13" s="93"/>
      <c r="F13" s="94"/>
      <c r="G13" s="95"/>
      <c r="H13" s="96"/>
    </row>
    <row r="14" spans="1:13" s="54" customFormat="1" ht="32.1" customHeight="1">
      <c r="A14" s="91">
        <f t="shared" si="0"/>
        <v>9</v>
      </c>
      <c r="B14" s="204"/>
      <c r="C14" s="205"/>
      <c r="D14" s="92"/>
      <c r="E14" s="93"/>
      <c r="F14" s="97"/>
      <c r="G14" s="95"/>
      <c r="H14" s="96"/>
    </row>
    <row r="15" spans="1:13" s="54" customFormat="1" ht="32.1" customHeight="1">
      <c r="A15" s="91">
        <f t="shared" si="0"/>
        <v>10</v>
      </c>
      <c r="B15" s="204"/>
      <c r="C15" s="205"/>
      <c r="D15" s="92"/>
      <c r="E15" s="93"/>
      <c r="F15" s="97"/>
      <c r="G15" s="95"/>
      <c r="H15" s="96"/>
    </row>
    <row r="16" spans="1:13" s="54" customFormat="1" ht="32.1" customHeight="1">
      <c r="A16" s="91">
        <f t="shared" si="0"/>
        <v>11</v>
      </c>
      <c r="B16" s="204"/>
      <c r="C16" s="205"/>
      <c r="D16" s="92"/>
      <c r="E16" s="93"/>
      <c r="F16" s="94"/>
      <c r="G16" s="95"/>
      <c r="H16" s="96"/>
    </row>
    <row r="17" spans="1:13" s="54" customFormat="1" ht="32.1" customHeight="1">
      <c r="A17" s="91">
        <f t="shared" si="0"/>
        <v>12</v>
      </c>
      <c r="B17" s="204"/>
      <c r="C17" s="205"/>
      <c r="D17" s="92"/>
      <c r="E17" s="93"/>
      <c r="F17" s="94"/>
      <c r="G17" s="95"/>
      <c r="H17" s="96"/>
    </row>
    <row r="18" spans="1:13" s="54" customFormat="1" ht="23.1" customHeight="1">
      <c r="A18" s="200" t="s">
        <v>86</v>
      </c>
      <c r="B18" s="201"/>
      <c r="C18" s="201"/>
      <c r="D18" s="201"/>
      <c r="E18" s="201"/>
      <c r="F18" s="201"/>
      <c r="G18" s="57">
        <f>SUM(G6:G17)</f>
        <v>6400</v>
      </c>
      <c r="H18" s="58"/>
    </row>
    <row r="19" spans="1:13" s="54" customFormat="1" ht="23.1" customHeight="1">
      <c r="A19" s="200" t="s">
        <v>50</v>
      </c>
      <c r="B19" s="201"/>
      <c r="C19" s="201"/>
      <c r="D19" s="201"/>
      <c r="E19" s="201"/>
      <c r="F19" s="201"/>
      <c r="G19" s="57">
        <f>+G18*0.15</f>
        <v>960</v>
      </c>
      <c r="H19" s="58"/>
    </row>
    <row r="20" spans="1:13" s="54" customFormat="1" ht="23.1" customHeight="1">
      <c r="A20" s="200" t="s">
        <v>99</v>
      </c>
      <c r="B20" s="201"/>
      <c r="C20" s="201"/>
      <c r="D20" s="201"/>
      <c r="E20" s="201"/>
      <c r="F20" s="201"/>
      <c r="G20" s="124">
        <v>0</v>
      </c>
      <c r="H20" s="125"/>
    </row>
    <row r="21" spans="1:13" s="54" customFormat="1" ht="24.95" customHeight="1" thickBot="1">
      <c r="A21" s="202" t="s">
        <v>87</v>
      </c>
      <c r="B21" s="203"/>
      <c r="C21" s="203"/>
      <c r="D21" s="203"/>
      <c r="E21" s="203"/>
      <c r="F21" s="203"/>
      <c r="G21" s="59">
        <f>SUM(G18:G20)</f>
        <v>7360</v>
      </c>
      <c r="H21" s="60"/>
    </row>
    <row r="22" spans="1:13" ht="15.75" thickTop="1">
      <c r="A22" s="61" t="str">
        <f>" 1) Above Price are as per your quotation with ref "&amp;'PO 1st page'!K14</f>
        <v xml:space="preserve"> 1) Above Price are as per your quotation with ref AQE-26-02-145</v>
      </c>
      <c r="B22" s="62"/>
      <c r="C22" s="62"/>
      <c r="D22" s="63"/>
      <c r="E22" s="63"/>
      <c r="F22" s="63"/>
      <c r="G22" s="63"/>
      <c r="H22" s="63"/>
    </row>
    <row r="23" spans="1:13" ht="15">
      <c r="A23" s="64" t="s">
        <v>88</v>
      </c>
      <c r="B23" s="65"/>
      <c r="C23" s="65"/>
      <c r="D23" s="66"/>
      <c r="E23" s="66"/>
      <c r="F23" s="66"/>
      <c r="G23" s="66"/>
      <c r="H23" s="66"/>
      <c r="I23" s="67"/>
    </row>
    <row r="24" spans="1:13" ht="15.75">
      <c r="A24" s="68"/>
    </row>
    <row r="25" spans="1:13">
      <c r="A25" s="191" t="s">
        <v>89</v>
      </c>
      <c r="B25" s="191"/>
      <c r="C25" s="191"/>
      <c r="D25" s="191"/>
      <c r="E25" s="191"/>
      <c r="F25" s="191"/>
      <c r="G25" s="191"/>
      <c r="H25" s="191"/>
      <c r="I25" s="69"/>
      <c r="J25" s="69"/>
      <c r="K25" s="69"/>
      <c r="L25" s="69"/>
      <c r="M25" s="69"/>
    </row>
    <row r="26" spans="1:13" ht="15.75">
      <c r="A26" s="68"/>
      <c r="C26" s="70"/>
    </row>
    <row r="27" spans="1:13" ht="15.75">
      <c r="A27" s="68"/>
      <c r="C27" s="70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2026-02-16T05:47:54Z</cp:lastPrinted>
  <dcterms:created xsi:type="dcterms:W3CDTF">2024-10-20T11:50:19Z</dcterms:created>
  <dcterms:modified xsi:type="dcterms:W3CDTF">2026-02-16T05:47:59Z</dcterms:modified>
</cp:coreProperties>
</file>