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12F980C6-73BA-4509-A84B-4FBDEB5A5FF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MRS!$A$1:$L$22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P54" i="3"/>
  <c r="B6" i="4" l="1"/>
  <c r="B7" i="4"/>
  <c r="H7" i="4"/>
  <c r="J7" i="1"/>
  <c r="J10" i="2" l="1"/>
  <c r="I10" i="2"/>
  <c r="H10" i="2"/>
  <c r="G10" i="2"/>
  <c r="D10" i="2"/>
  <c r="B10" i="2"/>
  <c r="H6" i="4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70" i="3"/>
  <c r="K67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3" i="1" l="1"/>
  <c r="G18" i="4"/>
  <c r="G19" i="4" l="1"/>
  <c r="G21" i="4" s="1"/>
</calcChain>
</file>

<file path=xl/sharedStrings.xml><?xml version="1.0" encoding="utf-8"?>
<sst xmlns="http://schemas.openxmlformats.org/spreadsheetml/2006/main" count="207" uniqueCount="154">
  <si>
    <t>Vendor Name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</si>
  <si>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</si>
  <si>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</si>
  <si>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</si>
  <si>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</si>
  <si>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</si>
  <si>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</si>
  <si>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</si>
  <si>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</si>
  <si>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</si>
  <si>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</si>
  <si>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</si>
  <si>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</si>
  <si>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</si>
  <si>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</si>
  <si>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</si>
  <si>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</si>
  <si>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</si>
  <si>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</si>
  <si>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</si>
  <si>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</si>
  <si>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</si>
  <si>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</si>
  <si>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</si>
  <si>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</si>
  <si>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</si>
  <si>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</si>
  <si>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</si>
  <si>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</si>
  <si>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</si>
  <si>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</si>
  <si>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</si>
  <si>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</si>
  <si>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</si>
  <si>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</si>
  <si>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</si>
  <si>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</si>
  <si>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</si>
  <si>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</si>
  <si>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</si>
  <si>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</si>
  <si>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</si>
  <si>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</si>
  <si>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</si>
  <si>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</si>
  <si>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</si>
  <si>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</si>
  <si>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</si>
  <si>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</si>
  <si>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</si>
  <si>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</si>
  <si>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</si>
  <si>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</si>
  <si>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</si>
  <si>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</si>
  <si>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</si>
  <si>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</si>
  <si>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</si>
  <si>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</si>
  <si>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</si>
  <si>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</si>
  <si>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</si>
  <si>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</si>
  <si>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</si>
  <si>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</si>
  <si>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</si>
  <si>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</si>
  <si>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</si>
  <si>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</si>
  <si>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</si>
  <si>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</si>
  <si>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</si>
  <si>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</si>
  <si>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</si>
  <si>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</si>
  <si>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</si>
  <si>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</si>
  <si>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</si>
  <si>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</si>
  <si>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</si>
  <si>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</si>
  <si>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</si>
  <si>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</si>
  <si>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</si>
  <si>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</si>
  <si>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</si>
  <si>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</si>
  <si>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</si>
  <si>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</si>
  <si>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</si>
  <si>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</si>
  <si>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</si>
  <si>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</si>
  <si>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</si>
  <si>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</si>
  <si>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</si>
  <si>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</si>
  <si>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Registration Fee</t>
  </si>
  <si>
    <t>Subcontract name (SAC2-SC-IK-SMP-01)</t>
  </si>
  <si>
    <t>EA</t>
  </si>
  <si>
    <t>One time</t>
  </si>
  <si>
    <t>AQ</t>
  </si>
  <si>
    <t>Monthly</t>
  </si>
  <si>
    <t>"</t>
  </si>
  <si>
    <t>311555280600003</t>
  </si>
  <si>
    <t>Senior Sales Engineer</t>
  </si>
  <si>
    <t>Abdulla Fouad Energy Services O &amp; G Park, Industrial Village,</t>
  </si>
  <si>
    <t xml:space="preserve">Near 2nd Industrial City Dammam, KSA </t>
  </si>
  <si>
    <t>Monthly Based</t>
  </si>
  <si>
    <t>Mob. &amp; De-Mob. / per unit - lump sum</t>
    <phoneticPr fontId="3" type="noConversion"/>
  </si>
  <si>
    <t>Mobile : +966 56 332 1806</t>
  </si>
  <si>
    <t>Branch of Hyundai Engineering and Const. Co., Ltd. (HDEC)</t>
  </si>
  <si>
    <t>BRANCH OF HYUNDAI ENG. &amp; CONST. CO., LTD.</t>
  </si>
  <si>
    <t>+966 56 332 1806 / email: accounts@aqenergy.me</t>
  </si>
  <si>
    <t>Trip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</si>
  <si>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</si>
  <si>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</si>
  <si>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</si>
  <si>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</si>
  <si>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</si>
  <si>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</si>
  <si>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</si>
  <si>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</si>
  <si>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</si>
  <si>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ABSOLUTE QUALITY ENERGY COMPANY LLC</t>
  </si>
  <si>
    <t>57800-001-0006080091850</t>
  </si>
  <si>
    <t>AL RAJHI BANK</t>
  </si>
  <si>
    <t>RJHISARI</t>
  </si>
  <si>
    <t>SA20 8000 0578 6080 1009 1850</t>
  </si>
  <si>
    <t>Generator</t>
  </si>
  <si>
    <t>Generator Mob &amp; De-Mob. Charge</t>
  </si>
  <si>
    <t>s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</si>
  <si>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</si>
  <si>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</si>
  <si>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</si>
  <si>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</si>
  <si>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</si>
  <si>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</si>
  <si>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</si>
  <si>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</si>
  <si>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</si>
  <si>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</si>
  <si>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</si>
  <si>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</si>
  <si>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ADM</t>
    <phoneticPr fontId="3" type="noConversion"/>
  </si>
  <si>
    <t xml:space="preserve">  PJT :  SACE2           </t>
    <phoneticPr fontId="6" type="noConversion"/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</si>
  <si>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</si>
  <si>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</si>
  <si>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-MRS-0485</t>
    </r>
  </si>
  <si>
    <t>75 KVA Prime 380V, 3Ph, 60hz - Silent Canopy Type, Diesel Engine, Auto Start/Stop Function, with Integrated base fuel tank,</t>
  </si>
  <si>
    <t>AQEC (Absolute Quality Energy Company LLC)</t>
  </si>
  <si>
    <t>AQE-Q-0452-0</t>
  </si>
  <si>
    <t>Generator 75 KVA</t>
  </si>
  <si>
    <t>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</si>
</sst>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9" fillId="0" borderId="0" xfId="2" applyFont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3" fillId="0" borderId="47" xfId="6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54" fillId="3" borderId="0" xfId="5" applyFont="1" applyFill="1"/>
    <xf numFmtId="0" fontId="54" fillId="3" borderId="0" xfId="5" quotePrefix="1" applyFont="1" applyFill="1"/>
    <xf numFmtId="171" fontId="26" fillId="3" borderId="0" xfId="5" applyNumberFormat="1" applyFont="1" applyFill="1" applyAlignment="1">
      <alignment horizontal="left"/>
    </xf>
    <xf numFmtId="0" fontId="4" fillId="2" borderId="21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11" fillId="3" borderId="15" xfId="0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vertical="center" wrapText="1"/>
    </xf>
    <xf numFmtId="165" fontId="52" fillId="2" borderId="7" xfId="1" applyNumberFormat="1" applyFont="1" applyFill="1" applyBorder="1" applyAlignment="1">
      <alignment horizontal="left" vertical="center"/>
    </xf>
    <xf numFmtId="170" fontId="49" fillId="0" borderId="7" xfId="3" applyNumberFormat="1" applyFont="1" applyBorder="1" applyAlignment="1">
      <alignment horizontal="right"/>
    </xf>
    <xf numFmtId="0" fontId="55" fillId="2" borderId="0" xfId="1" applyFont="1" applyFill="1" applyAlignment="1">
      <alignment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651711</xdr:colOff>
          <xdr:row>14</xdr:row>
          <xdr:rowOff>140368</xdr:rowOff>
        </xdr:from>
        <xdr:to>
          <xdr:col>11</xdr:col>
          <xdr:colOff>1504447</xdr:colOff>
          <xdr:row>20</xdr:row>
          <xdr:rowOff>370974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7:$Y$22" spid="_x0000_s12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43790" y="4692315"/>
              <a:ext cx="846271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AG49"/>
  <sheetViews>
    <sheetView showGridLines="0" tabSelected="1" view="pageBreakPreview" zoomScale="95" zoomScaleNormal="95" zoomScaleSheetLayoutView="95" workbookViewId="0">
      <selection activeCell="L7" sqref="L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7" width="13.5703125" style="2" customWidth="1"/>
    <col min="28" max="28" width="13.5703125" style="2" hidden="1" customWidth="1"/>
    <col min="29" max="29" width="3.5703125" style="2" customWidth="1"/>
    <col min="30" max="30" width="7.5703125" style="2" customWidth="1"/>
    <col min="31" max="31" width="13.5703125" style="2" hidden="1" customWidth="1"/>
    <col min="32" max="32" width="13.5703125" style="2" customWidth="1"/>
    <col min="33" max="33" width="13.5703125" style="2" hidden="1" customWidth="1"/>
    <col min="34" max="16384" width="9" style="2"/>
  </cols>
  <sheetData>
    <row r="1" spans="1:33" ht="49.9" customHeight="1">
      <c r="A1" s="232" t="s">
        <v>147</v>
      </c>
      <c r="B1" s="121"/>
      <c r="C1" s="109"/>
      <c r="D1" s="109"/>
      <c r="E1" s="109"/>
      <c r="F1" s="109"/>
      <c r="G1" s="1"/>
      <c r="J1" s="151" t="s">
        <v>89</v>
      </c>
      <c r="K1" s="152"/>
      <c r="L1" s="153"/>
    </row>
    <row r="2" spans="1:33" ht="20.100000000000001" customHeight="1">
      <c r="A2" s="3" t="s">
        <v>145</v>
      </c>
      <c r="B2" s="100"/>
      <c r="C2" s="100"/>
      <c r="D2" s="3" t="s">
        <v>146</v>
      </c>
      <c r="E2" s="100"/>
      <c r="F2" s="100"/>
      <c r="G2" s="100"/>
      <c r="H2" s="100"/>
      <c r="I2" s="4"/>
      <c r="J2" s="154" t="s">
        <v>98</v>
      </c>
      <c r="K2" s="155"/>
      <c r="L2" s="156"/>
    </row>
    <row r="3" spans="1:33" ht="20.100000000000001" customHeight="1">
      <c r="A3" s="3" t="s">
        <v>148</v>
      </c>
      <c r="B3" s="100"/>
      <c r="C3" s="100"/>
      <c r="D3" s="100"/>
      <c r="E3" s="230">
        <f>+L3+3</f>
        <v>46305</v>
      </c>
      <c r="F3" s="230"/>
      <c r="G3" s="230"/>
      <c r="H3" s="230"/>
      <c r="I3" s="230"/>
      <c r="J3" s="100"/>
      <c r="K3" s="100"/>
      <c r="L3" s="231">
        <v>46302</v>
      </c>
      <c r="M3" s="4"/>
    </row>
    <row r="4" spans="1:33" ht="15.95" customHeight="1">
      <c r="A4" s="131" t="s">
        <v>1</v>
      </c>
      <c r="B4" s="132" t="s">
        <v>2</v>
      </c>
      <c r="C4" s="132"/>
      <c r="D4" s="133" t="s">
        <v>3</v>
      </c>
      <c r="E4" s="134"/>
      <c r="F4" s="135"/>
      <c r="G4" s="139" t="s">
        <v>4</v>
      </c>
      <c r="H4" s="141" t="s">
        <v>5</v>
      </c>
      <c r="I4" s="141" t="s">
        <v>95</v>
      </c>
      <c r="J4" s="131" t="s">
        <v>96</v>
      </c>
      <c r="K4" s="141" t="s">
        <v>0</v>
      </c>
      <c r="L4" s="132" t="s">
        <v>6</v>
      </c>
    </row>
    <row r="5" spans="1:33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33" ht="60" customHeight="1">
      <c r="A6" s="5">
        <f t="shared" ref="A6:A12" si="0">ROW(A1)</f>
        <v>1</v>
      </c>
      <c r="B6" s="143" t="s">
        <v>129</v>
      </c>
      <c r="C6" s="144"/>
      <c r="D6" s="145" t="s">
        <v>149</v>
      </c>
      <c r="E6" s="146"/>
      <c r="F6" s="147"/>
      <c r="G6" s="110" t="s">
        <v>99</v>
      </c>
      <c r="H6" s="111">
        <v>1</v>
      </c>
      <c r="I6" s="112">
        <v>3500</v>
      </c>
      <c r="J6" s="112">
        <f>H6*I6</f>
        <v>3500</v>
      </c>
      <c r="K6" s="113" t="s">
        <v>101</v>
      </c>
      <c r="L6" s="124" t="s">
        <v>102</v>
      </c>
      <c r="S6" s="105"/>
      <c r="AD6" s="105"/>
    </row>
    <row r="7" spans="1:33" ht="33" customHeight="1">
      <c r="A7" s="5">
        <v>2</v>
      </c>
      <c r="B7" s="143" t="s">
        <v>130</v>
      </c>
      <c r="C7" s="144"/>
      <c r="D7" s="148" t="s">
        <v>109</v>
      </c>
      <c r="E7" s="149"/>
      <c r="F7" s="150"/>
      <c r="G7" s="110" t="s">
        <v>114</v>
      </c>
      <c r="H7" s="111">
        <v>2</v>
      </c>
      <c r="I7" s="112">
        <v>1000</v>
      </c>
      <c r="J7" s="112">
        <f>H7*I7</f>
        <v>2000</v>
      </c>
      <c r="K7" s="113" t="s">
        <v>103</v>
      </c>
      <c r="L7" s="124" t="s">
        <v>100</v>
      </c>
      <c r="S7" s="105"/>
      <c r="AD7" s="105"/>
    </row>
    <row r="8" spans="1:33" ht="23.25" customHeight="1">
      <c r="A8" s="5">
        <f t="shared" si="0"/>
        <v>3</v>
      </c>
      <c r="B8" s="143"/>
      <c r="C8" s="144"/>
      <c r="D8" s="145"/>
      <c r="E8" s="146"/>
      <c r="F8" s="147"/>
      <c r="G8" s="110"/>
      <c r="H8" s="111"/>
      <c r="I8" s="112"/>
      <c r="J8" s="112"/>
      <c r="K8" s="113"/>
      <c r="L8" s="114"/>
      <c r="P8" s="2" t="s">
        <v>131</v>
      </c>
      <c r="S8" s="105"/>
      <c r="AD8" s="105"/>
    </row>
    <row r="9" spans="1:33" ht="22.5" customHeight="1">
      <c r="A9" s="5">
        <v>4</v>
      </c>
      <c r="B9" s="143"/>
      <c r="C9" s="144"/>
      <c r="D9" s="157"/>
      <c r="E9" s="149"/>
      <c r="F9" s="150"/>
      <c r="G9" s="110"/>
      <c r="H9" s="111"/>
      <c r="I9" s="115"/>
      <c r="J9" s="112"/>
      <c r="K9" s="113"/>
      <c r="L9" s="110"/>
      <c r="S9" s="105"/>
      <c r="AD9" s="105"/>
    </row>
    <row r="10" spans="1:33" ht="22.5" customHeight="1">
      <c r="A10" s="5">
        <f t="shared" si="0"/>
        <v>5</v>
      </c>
      <c r="B10" s="143"/>
      <c r="C10" s="144"/>
      <c r="D10" s="157"/>
      <c r="E10" s="149"/>
      <c r="F10" s="150"/>
      <c r="G10" s="110"/>
      <c r="H10" s="111"/>
      <c r="I10" s="112"/>
      <c r="J10" s="112"/>
      <c r="K10" s="113"/>
      <c r="L10" s="124"/>
      <c r="S10" s="105"/>
      <c r="AD10" s="105"/>
    </row>
    <row r="11" spans="1:33" ht="16.5" customHeight="1">
      <c r="A11" s="5">
        <v>6</v>
      </c>
      <c r="B11" s="158"/>
      <c r="C11" s="158"/>
      <c r="D11" s="159"/>
      <c r="E11" s="159"/>
      <c r="F11" s="159"/>
      <c r="G11" s="110"/>
      <c r="H11" s="111"/>
      <c r="I11" s="115"/>
      <c r="J11" s="112"/>
      <c r="K11" s="113"/>
      <c r="L11" s="110"/>
      <c r="S11" s="105"/>
      <c r="AD11" s="105"/>
    </row>
    <row r="12" spans="1:33" ht="16.5" customHeight="1">
      <c r="A12" s="5">
        <f t="shared" si="0"/>
        <v>7</v>
      </c>
      <c r="B12" s="143"/>
      <c r="C12" s="144"/>
      <c r="D12" s="157"/>
      <c r="E12" s="149"/>
      <c r="F12" s="150"/>
      <c r="G12" s="110"/>
      <c r="H12" s="111"/>
      <c r="I12" s="112"/>
      <c r="J12" s="112"/>
      <c r="K12" s="113"/>
      <c r="L12" s="114"/>
      <c r="S12" s="105"/>
      <c r="AD12" s="105"/>
    </row>
    <row r="13" spans="1:33" ht="22.5" customHeight="1">
      <c r="A13" s="160" t="s">
        <v>7</v>
      </c>
      <c r="B13" s="161"/>
      <c r="C13" s="116"/>
      <c r="D13" s="117"/>
      <c r="E13" s="117"/>
      <c r="F13" s="117"/>
      <c r="G13" s="118"/>
      <c r="H13" s="118"/>
      <c r="I13" s="119" t="s">
        <v>8</v>
      </c>
      <c r="J13" s="112">
        <f>SUM(J6:J12)</f>
        <v>5500</v>
      </c>
      <c r="K13" s="112"/>
      <c r="L13" s="120"/>
    </row>
    <row r="14" spans="1:33" ht="20.100000000000001" customHeight="1">
      <c r="A14" s="6" t="s">
        <v>9</v>
      </c>
      <c r="B14" s="7"/>
      <c r="C14" s="7"/>
      <c r="D14" s="7"/>
      <c r="E14" s="7"/>
      <c r="F14" s="7"/>
      <c r="G14" s="7"/>
      <c r="H14" s="7"/>
      <c r="I14" s="7"/>
      <c r="J14" s="7"/>
      <c r="K14" s="8"/>
      <c r="L14" s="9"/>
    </row>
    <row r="15" spans="1:33" ht="18" customHeight="1">
      <c r="A15" s="10"/>
      <c r="J15" s="1"/>
      <c r="K15" s="1"/>
      <c r="O15" s="11"/>
      <c r="P15" s="11"/>
      <c r="Q15" s="11"/>
      <c r="R15" s="11"/>
      <c r="S15" s="11"/>
      <c r="T15" s="11"/>
      <c r="U15" s="11"/>
      <c r="V15" s="11"/>
      <c r="W15" s="11"/>
      <c r="Y15" s="215"/>
      <c r="Z15" s="11"/>
      <c r="AA15" s="11"/>
      <c r="AB15" s="11"/>
      <c r="AD15" s="162" t="s">
        <v>10</v>
      </c>
      <c r="AE15" s="12" t="s">
        <v>11</v>
      </c>
      <c r="AF15" s="13" t="s">
        <v>12</v>
      </c>
      <c r="AG15" s="12" t="s">
        <v>13</v>
      </c>
    </row>
    <row r="16" spans="1:33" ht="50.1" customHeight="1">
      <c r="Y16" s="216"/>
      <c r="AD16" s="163"/>
      <c r="AE16" s="14"/>
      <c r="AF16" s="15"/>
      <c r="AG16" s="14"/>
    </row>
    <row r="17" spans="15:33" ht="15" customHeight="1">
      <c r="O17" s="217" t="s">
        <v>132</v>
      </c>
      <c r="P17" s="218"/>
      <c r="Q17" s="218"/>
      <c r="R17" s="219"/>
      <c r="S17" s="130"/>
      <c r="T17" s="217" t="s">
        <v>133</v>
      </c>
      <c r="U17" s="218"/>
      <c r="V17" s="218"/>
      <c r="W17" s="218"/>
      <c r="X17" s="218"/>
      <c r="Y17" s="219"/>
      <c r="Z17" s="11"/>
      <c r="AA17" s="11"/>
      <c r="AB17" s="11"/>
      <c r="AD17" s="164"/>
      <c r="AE17" s="15" t="s">
        <v>14</v>
      </c>
      <c r="AF17" s="15" t="s">
        <v>14</v>
      </c>
      <c r="AG17" s="16" t="s">
        <v>14</v>
      </c>
    </row>
    <row r="18" spans="15:33" ht="15" customHeight="1">
      <c r="O18" s="162" t="s">
        <v>134</v>
      </c>
      <c r="P18" s="165" t="s">
        <v>135</v>
      </c>
      <c r="Q18" s="162" t="s">
        <v>136</v>
      </c>
      <c r="R18" s="165" t="s">
        <v>137</v>
      </c>
      <c r="S18" s="130"/>
      <c r="T18" s="162" t="s">
        <v>138</v>
      </c>
      <c r="U18" s="165" t="s">
        <v>139</v>
      </c>
      <c r="V18" s="217" t="s">
        <v>140</v>
      </c>
      <c r="W18" s="218"/>
      <c r="X18" s="219"/>
      <c r="Y18" s="165" t="s">
        <v>141</v>
      </c>
      <c r="Z18" s="17" t="s">
        <v>15</v>
      </c>
      <c r="AA18" s="165" t="s">
        <v>16</v>
      </c>
      <c r="AB18" s="165" t="s">
        <v>17</v>
      </c>
    </row>
    <row r="19" spans="15:33" ht="18" customHeight="1">
      <c r="O19" s="164"/>
      <c r="P19" s="166"/>
      <c r="Q19" s="164"/>
      <c r="R19" s="166"/>
      <c r="S19" s="220"/>
      <c r="T19" s="164"/>
      <c r="U19" s="166"/>
      <c r="V19" s="13" t="s">
        <v>134</v>
      </c>
      <c r="W19" s="221" t="s">
        <v>142</v>
      </c>
      <c r="X19" s="222"/>
      <c r="Y19" s="166"/>
      <c r="Z19" s="18" t="s">
        <v>18</v>
      </c>
      <c r="AA19" s="166"/>
      <c r="AB19" s="166"/>
      <c r="AD19" s="162" t="s">
        <v>19</v>
      </c>
      <c r="AE19" s="12" t="s">
        <v>11</v>
      </c>
      <c r="AF19" s="12" t="s">
        <v>12</v>
      </c>
      <c r="AG19" s="12" t="s">
        <v>13</v>
      </c>
    </row>
    <row r="20" spans="15:33" ht="50.1" customHeight="1">
      <c r="O20" s="14"/>
      <c r="P20" s="14"/>
      <c r="Q20" s="14"/>
      <c r="R20" s="14"/>
      <c r="S20" s="130"/>
      <c r="T20" s="14"/>
      <c r="U20" s="14"/>
      <c r="V20" s="14"/>
      <c r="W20" s="217"/>
      <c r="X20" s="219"/>
      <c r="Y20" s="223"/>
      <c r="Z20" s="14"/>
      <c r="AA20" s="14"/>
      <c r="AB20" s="14"/>
      <c r="AD20" s="163"/>
      <c r="AE20" s="19"/>
      <c r="AF20" s="19"/>
      <c r="AG20" s="14"/>
    </row>
    <row r="21" spans="15:33" ht="36" customHeight="1">
      <c r="W21" s="224"/>
      <c r="X21" s="225" t="s">
        <v>143</v>
      </c>
      <c r="Y21" s="12" t="s">
        <v>141</v>
      </c>
      <c r="Z21" s="16" t="s">
        <v>14</v>
      </c>
      <c r="AA21" s="16" t="s">
        <v>14</v>
      </c>
      <c r="AB21" s="16" t="s">
        <v>14</v>
      </c>
      <c r="AD21" s="164"/>
      <c r="AE21" s="15" t="s">
        <v>14</v>
      </c>
      <c r="AF21" s="15" t="s">
        <v>14</v>
      </c>
      <c r="AG21" s="16" t="s">
        <v>14</v>
      </c>
    </row>
    <row r="22" spans="15:33" ht="50.25" customHeight="1">
      <c r="O22" s="226"/>
      <c r="P22" s="226"/>
      <c r="Q22" s="226"/>
      <c r="R22" s="226"/>
      <c r="S22" s="226"/>
      <c r="T22" s="226"/>
      <c r="U22" s="226"/>
      <c r="V22" s="226"/>
      <c r="W22" s="227"/>
      <c r="X22" s="228"/>
      <c r="Y22" s="229"/>
    </row>
    <row r="23" spans="15:33" ht="19.899999999999999" customHeight="1"/>
    <row r="24" spans="15:33" ht="17.45" customHeight="1">
      <c r="O24" s="167"/>
      <c r="P24" s="167"/>
      <c r="Q24" s="167"/>
      <c r="Z24" s="167"/>
      <c r="AA24" s="167"/>
      <c r="AB24" s="167"/>
    </row>
    <row r="25" spans="15:33" ht="19.899999999999999" customHeight="1">
      <c r="O25" s="167"/>
      <c r="P25" s="167"/>
      <c r="Q25" s="167"/>
      <c r="Z25" s="167"/>
      <c r="AA25" s="167"/>
      <c r="AB25" s="167"/>
    </row>
    <row r="26" spans="15:33" ht="14.25">
      <c r="O26" s="11"/>
      <c r="P26" s="11"/>
      <c r="Q26" s="11"/>
      <c r="Z26" s="11"/>
      <c r="AA26" s="11"/>
      <c r="AB26" s="11"/>
    </row>
    <row r="27" spans="15:33" ht="65.099999999999994" customHeight="1"/>
    <row r="28" spans="15:33" ht="14.25">
      <c r="O28" s="11"/>
      <c r="P28" s="11"/>
      <c r="Q28" s="11"/>
      <c r="Z28" s="11"/>
      <c r="AA28" s="11"/>
      <c r="AB28" s="11"/>
    </row>
    <row r="29" spans="15:33" ht="19.899999999999999" customHeight="1"/>
    <row r="30" spans="15:33" ht="14.25"/>
    <row r="31" spans="15:33" ht="19.899999999999999" customHeight="1"/>
    <row r="32" spans="15:33" ht="14.25"/>
    <row r="33" spans="15:33" ht="19.899999999999999" customHeight="1"/>
    <row r="34" spans="15:33" ht="19.899999999999999" customHeight="1"/>
    <row r="35" spans="15:33" ht="64.900000000000006" customHeight="1"/>
    <row r="37" spans="15:33" ht="19.899999999999999" customHeight="1">
      <c r="T37" s="165" t="s">
        <v>20</v>
      </c>
      <c r="AE37" s="165" t="s">
        <v>20</v>
      </c>
    </row>
    <row r="38" spans="15:33" ht="19.899999999999999" customHeight="1">
      <c r="T38" s="166"/>
      <c r="AE38" s="166"/>
    </row>
    <row r="39" spans="15:33" ht="64.900000000000006" customHeight="1">
      <c r="T39" s="14"/>
      <c r="AE39" s="14"/>
    </row>
    <row r="43" spans="15:33" ht="21" customHeight="1">
      <c r="O43" s="165" t="s">
        <v>20</v>
      </c>
      <c r="P43" s="165" t="s">
        <v>20</v>
      </c>
      <c r="Q43" s="165" t="s">
        <v>20</v>
      </c>
      <c r="T43" s="165" t="s">
        <v>21</v>
      </c>
      <c r="U43" s="165" t="s">
        <v>144</v>
      </c>
      <c r="V43" s="165" t="s">
        <v>20</v>
      </c>
      <c r="Z43" s="165" t="s">
        <v>20</v>
      </c>
      <c r="AA43" s="165" t="s">
        <v>20</v>
      </c>
      <c r="AB43" s="165" t="s">
        <v>20</v>
      </c>
      <c r="AE43" s="165" t="s">
        <v>21</v>
      </c>
      <c r="AF43" s="165" t="s">
        <v>12</v>
      </c>
      <c r="AG43" s="165" t="s">
        <v>20</v>
      </c>
    </row>
    <row r="44" spans="15:33" ht="21" customHeight="1">
      <c r="O44" s="166"/>
      <c r="P44" s="166"/>
      <c r="Q44" s="166"/>
      <c r="T44" s="164"/>
      <c r="U44" s="164"/>
      <c r="V44" s="166"/>
      <c r="Z44" s="166"/>
      <c r="AA44" s="166"/>
      <c r="AB44" s="166"/>
      <c r="AE44" s="164"/>
      <c r="AF44" s="164"/>
      <c r="AG44" s="166"/>
    </row>
    <row r="45" spans="15:33" ht="64.900000000000006" customHeight="1">
      <c r="O45" s="14"/>
      <c r="P45" s="14"/>
      <c r="Q45" s="14"/>
      <c r="T45" s="14"/>
      <c r="U45" s="15"/>
      <c r="V45" s="14"/>
      <c r="Z45" s="14"/>
      <c r="AA45" s="14"/>
      <c r="AB45" s="14"/>
      <c r="AE45" s="14"/>
      <c r="AF45" s="15"/>
      <c r="AG45" s="14"/>
    </row>
    <row r="46" spans="15:33" ht="7.15" customHeight="1"/>
    <row r="47" spans="15:33" ht="21" customHeight="1">
      <c r="O47" s="165" t="s">
        <v>20</v>
      </c>
      <c r="P47" s="165" t="s">
        <v>20</v>
      </c>
      <c r="Q47" s="165" t="s">
        <v>20</v>
      </c>
      <c r="T47" s="165" t="s">
        <v>144</v>
      </c>
      <c r="U47" s="165" t="s">
        <v>21</v>
      </c>
      <c r="V47" s="165" t="s">
        <v>20</v>
      </c>
      <c r="Z47" s="165" t="s">
        <v>20</v>
      </c>
      <c r="AA47" s="165" t="s">
        <v>20</v>
      </c>
      <c r="AB47" s="165" t="s">
        <v>20</v>
      </c>
      <c r="AE47" s="165" t="s">
        <v>12</v>
      </c>
      <c r="AF47" s="165" t="s">
        <v>21</v>
      </c>
      <c r="AG47" s="165" t="s">
        <v>20</v>
      </c>
    </row>
    <row r="48" spans="15:33" ht="21" customHeight="1">
      <c r="O48" s="166"/>
      <c r="P48" s="166"/>
      <c r="Q48" s="166"/>
      <c r="T48" s="164"/>
      <c r="U48" s="164"/>
      <c r="V48" s="166"/>
      <c r="Z48" s="166"/>
      <c r="AA48" s="166"/>
      <c r="AB48" s="166"/>
      <c r="AE48" s="164"/>
      <c r="AF48" s="164"/>
      <c r="AG48" s="166"/>
    </row>
    <row r="49" spans="15:33" ht="64.900000000000006" customHeight="1">
      <c r="O49" s="14"/>
      <c r="P49" s="14"/>
      <c r="Q49" s="14"/>
      <c r="T49" s="15"/>
      <c r="U49" s="14"/>
      <c r="V49" s="14"/>
      <c r="Z49" s="14"/>
      <c r="AA49" s="14"/>
      <c r="AB49" s="14"/>
      <c r="AE49" s="15"/>
      <c r="AF49" s="14"/>
      <c r="AG49" s="14"/>
    </row>
  </sheetData>
  <mergeCells count="77">
    <mergeCell ref="U43:U44"/>
    <mergeCell ref="V43:V44"/>
    <mergeCell ref="O47:O48"/>
    <mergeCell ref="P47:P48"/>
    <mergeCell ref="Q47:Q48"/>
    <mergeCell ref="T47:T48"/>
    <mergeCell ref="U47:U48"/>
    <mergeCell ref="V47:V48"/>
    <mergeCell ref="O24:O25"/>
    <mergeCell ref="P24:P25"/>
    <mergeCell ref="Q24:Q25"/>
    <mergeCell ref="T37:T38"/>
    <mergeCell ref="O43:O44"/>
    <mergeCell ref="P43:P44"/>
    <mergeCell ref="Q43:Q44"/>
    <mergeCell ref="T43:T44"/>
    <mergeCell ref="V18:X18"/>
    <mergeCell ref="Y18:Y19"/>
    <mergeCell ref="W19:X19"/>
    <mergeCell ref="W20:X20"/>
    <mergeCell ref="X21:X22"/>
    <mergeCell ref="AF43:AF44"/>
    <mergeCell ref="AG43:AG44"/>
    <mergeCell ref="Z47:Z48"/>
    <mergeCell ref="AA47:AA48"/>
    <mergeCell ref="AB47:AB48"/>
    <mergeCell ref="AE47:AE48"/>
    <mergeCell ref="AF47:AF48"/>
    <mergeCell ref="AG47:AG48"/>
    <mergeCell ref="Z24:Z25"/>
    <mergeCell ref="AA24:AA25"/>
    <mergeCell ref="AB24:AB25"/>
    <mergeCell ref="AE37:AE38"/>
    <mergeCell ref="Z43:Z44"/>
    <mergeCell ref="AA43:AA44"/>
    <mergeCell ref="AB43:AB44"/>
    <mergeCell ref="AE43:AE44"/>
    <mergeCell ref="A13:B13"/>
    <mergeCell ref="AD15:AD17"/>
    <mergeCell ref="AA18:AA19"/>
    <mergeCell ref="AB18:AB19"/>
    <mergeCell ref="AD19:AD21"/>
    <mergeCell ref="Y15:Y16"/>
    <mergeCell ref="O17:R17"/>
    <mergeCell ref="T17:Y17"/>
    <mergeCell ref="O18:O19"/>
    <mergeCell ref="P18:P19"/>
    <mergeCell ref="Q18:Q19"/>
    <mergeCell ref="R18:R19"/>
    <mergeCell ref="T18:T19"/>
    <mergeCell ref="U18:U19"/>
    <mergeCell ref="B11:C11"/>
    <mergeCell ref="D11:F11"/>
    <mergeCell ref="B12:C12"/>
    <mergeCell ref="D12:F12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94</v>
      </c>
      <c r="B1" s="99"/>
      <c r="C1" s="99"/>
      <c r="D1" s="99"/>
      <c r="E1" s="99"/>
      <c r="F1" s="99"/>
      <c r="G1" s="1"/>
      <c r="J1" s="168" t="str">
        <f>+MRS!J1</f>
        <v>DAESHIN PLANT</v>
      </c>
      <c r="K1" s="16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70" t="str">
        <f>+MRS!J2</f>
        <v>Subcontract name (SAC2-SC-IK-SMP-01)</v>
      </c>
      <c r="K2" s="171"/>
    </row>
    <row r="3" spans="1:18" ht="24.95" customHeight="1">
      <c r="A3" s="3" t="str">
        <f>+MRS!A3</f>
        <v xml:space="preserve">   MRS No : SAC2-DS-MRS-0485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46302</v>
      </c>
    </row>
    <row r="4" spans="1:18" ht="15.95" customHeight="1">
      <c r="A4" s="172" t="s">
        <v>1</v>
      </c>
      <c r="B4" s="173" t="s">
        <v>22</v>
      </c>
      <c r="C4" s="173"/>
      <c r="D4" s="172" t="s">
        <v>3</v>
      </c>
      <c r="E4" s="172"/>
      <c r="F4" s="172"/>
      <c r="G4" s="173" t="s">
        <v>4</v>
      </c>
      <c r="H4" s="172" t="s">
        <v>90</v>
      </c>
      <c r="I4" s="172" t="s">
        <v>23</v>
      </c>
      <c r="J4" s="172" t="s">
        <v>24</v>
      </c>
      <c r="K4" s="173" t="s">
        <v>6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74" t="str">
        <f>MRS!B6</f>
        <v>Generator</v>
      </c>
      <c r="C6" s="175"/>
      <c r="D6" s="176" t="str">
        <f>MRS!D6</f>
        <v>75 KVA Prime 380V, 3Ph, 60hz - Silent Canopy Type, Diesel Engine, Auto Start/Stop Function, with Integrated base fuel tank,</v>
      </c>
      <c r="E6" s="177"/>
      <c r="F6" s="178"/>
      <c r="G6" s="102" t="str">
        <f>MRS!G6</f>
        <v>EA</v>
      </c>
      <c r="H6" s="102">
        <f>MRS!H6</f>
        <v>1</v>
      </c>
      <c r="I6" s="103">
        <f>MRS!I6</f>
        <v>3500</v>
      </c>
      <c r="J6" s="103">
        <f>MRS!J6</f>
        <v>3500</v>
      </c>
      <c r="K6" s="104"/>
      <c r="O6" s="105"/>
      <c r="P6" s="105"/>
      <c r="R6" s="105"/>
    </row>
    <row r="7" spans="1:18" ht="105" customHeight="1">
      <c r="A7" s="21" t="e">
        <f>+MRS!#REF!</f>
        <v>#REF!</v>
      </c>
      <c r="B7" s="174" t="str">
        <f>MRS!B7</f>
        <v>Generator Mob &amp; De-Mob. Charge</v>
      </c>
      <c r="C7" s="175"/>
      <c r="D7" s="176" t="str">
        <f>MRS!D7</f>
        <v>Mob. &amp; De-Mob. / per unit - lump sum</v>
      </c>
      <c r="E7" s="177"/>
      <c r="F7" s="178"/>
      <c r="G7" s="102" t="str">
        <f>MRS!G7</f>
        <v>Trip</v>
      </c>
      <c r="H7" s="102">
        <f>MRS!H7</f>
        <v>2</v>
      </c>
      <c r="I7" s="103">
        <f>MRS!I7</f>
        <v>1000</v>
      </c>
      <c r="J7" s="103">
        <f>MRS!J7</f>
        <v>2000</v>
      </c>
      <c r="K7" s="104"/>
      <c r="O7" s="105"/>
      <c r="P7" s="105"/>
      <c r="R7" s="105"/>
    </row>
    <row r="8" spans="1:18" ht="105" customHeight="1">
      <c r="A8" s="21">
        <f>+MRS!A7</f>
        <v>2</v>
      </c>
      <c r="B8" s="174">
        <f>MRS!B8</f>
        <v>0</v>
      </c>
      <c r="C8" s="175"/>
      <c r="D8" s="176">
        <f>MRS!D8</f>
        <v>0</v>
      </c>
      <c r="E8" s="177"/>
      <c r="F8" s="17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+MRS!A8</f>
        <v>3</v>
      </c>
      <c r="B9" s="174">
        <f>MRS!B9</f>
        <v>0</v>
      </c>
      <c r="C9" s="175"/>
      <c r="D9" s="176">
        <f>MRS!D9</f>
        <v>0</v>
      </c>
      <c r="E9" s="177"/>
      <c r="F9" s="17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+MRS!A9</f>
        <v>4</v>
      </c>
      <c r="B10" s="174">
        <f>MRS!B10</f>
        <v>0</v>
      </c>
      <c r="C10" s="175"/>
      <c r="D10" s="176">
        <f>MRS!D10</f>
        <v>0</v>
      </c>
      <c r="E10" s="177"/>
      <c r="F10" s="17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+MRS!A10</f>
        <v>5</v>
      </c>
      <c r="B11" s="179"/>
      <c r="C11" s="180"/>
      <c r="D11" s="181"/>
      <c r="E11" s="182"/>
      <c r="F11" s="183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+MRS!A11</f>
        <v>6</v>
      </c>
      <c r="B12" s="179"/>
      <c r="C12" s="180"/>
      <c r="D12" s="181"/>
      <c r="E12" s="182"/>
      <c r="F12" s="18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+MRS!A12</f>
        <v>7</v>
      </c>
      <c r="B13" s="179"/>
      <c r="C13" s="180"/>
      <c r="D13" s="181"/>
      <c r="E13" s="182"/>
      <c r="F13" s="18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 t="e">
        <f>+MRS!#REF!</f>
        <v>#REF!</v>
      </c>
      <c r="B14" s="179"/>
      <c r="C14" s="180"/>
      <c r="D14" s="181"/>
      <c r="E14" s="182"/>
      <c r="F14" s="18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 t="e">
        <f>+MRS!#REF!</f>
        <v>#REF!</v>
      </c>
      <c r="B15" s="179"/>
      <c r="C15" s="180"/>
      <c r="D15" s="181"/>
      <c r="E15" s="182"/>
      <c r="F15" s="18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9"/>
      <c r="C16" s="180"/>
      <c r="D16" s="181"/>
      <c r="E16" s="182"/>
      <c r="F16" s="18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9"/>
      <c r="C17" s="180"/>
      <c r="D17" s="181"/>
      <c r="E17" s="182"/>
      <c r="F17" s="18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D13" sqref="D13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112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3" customFormat="1" ht="13.5">
      <c r="B9" s="71" t="s">
        <v>30</v>
      </c>
      <c r="C9" s="72" t="s">
        <v>150</v>
      </c>
      <c r="D9" s="38"/>
      <c r="E9" s="38"/>
    </row>
    <row r="10" spans="2:13" s="38" customFormat="1">
      <c r="B10" s="71"/>
      <c r="C10" s="38" t="s">
        <v>31</v>
      </c>
      <c r="D10" s="35">
        <v>2050167895</v>
      </c>
      <c r="J10" s="38" t="s">
        <v>32</v>
      </c>
      <c r="K10" s="185">
        <f>MRS!L3</f>
        <v>46302</v>
      </c>
      <c r="L10" s="186"/>
      <c r="M10" s="186"/>
    </row>
    <row r="11" spans="2:13" s="38" customFormat="1">
      <c r="B11" s="71"/>
      <c r="C11" s="74" t="s">
        <v>33</v>
      </c>
      <c r="D11" s="75" t="s">
        <v>104</v>
      </c>
      <c r="J11" s="38" t="s">
        <v>34</v>
      </c>
      <c r="K11" s="187" t="str">
        <f>SUBSTITUTE(SUBSTITUTE(+MRS!A3,"  MRS No : ",""),"-MRS","-PO")</f>
        <v xml:space="preserve"> SAC2-DS-PO-0485</v>
      </c>
      <c r="L11" s="187"/>
      <c r="M11" s="187"/>
    </row>
    <row r="12" spans="2:13" s="38" customFormat="1">
      <c r="B12" s="71"/>
      <c r="C12" s="74" t="s">
        <v>35</v>
      </c>
      <c r="D12" s="38" t="s">
        <v>153</v>
      </c>
      <c r="J12" s="38" t="s">
        <v>36</v>
      </c>
    </row>
    <row r="13" spans="2:13" s="38" customFormat="1">
      <c r="B13" s="71"/>
      <c r="C13" s="76"/>
      <c r="D13" s="75" t="s">
        <v>113</v>
      </c>
      <c r="J13" s="38" t="s">
        <v>37</v>
      </c>
    </row>
    <row r="14" spans="2:13" s="38" customFormat="1">
      <c r="B14" s="71"/>
      <c r="C14" s="76" t="s">
        <v>106</v>
      </c>
      <c r="J14" s="38" t="s">
        <v>38</v>
      </c>
      <c r="K14" s="38" t="s">
        <v>151</v>
      </c>
    </row>
    <row r="15" spans="2:13" s="38" customFormat="1">
      <c r="C15" s="76" t="s">
        <v>107</v>
      </c>
      <c r="J15" s="38" t="s">
        <v>39</v>
      </c>
      <c r="K15" s="129">
        <v>46289</v>
      </c>
    </row>
    <row r="16" spans="2:13" ht="12" customHeight="1">
      <c r="C16" s="76" t="s">
        <v>110</v>
      </c>
      <c r="K16" s="29"/>
    </row>
    <row r="17" spans="2:13" ht="6" customHeight="1">
      <c r="C17" s="76"/>
      <c r="K17" s="29"/>
    </row>
    <row r="18" spans="2:13" ht="20.25">
      <c r="B18" s="188" t="s">
        <v>40</v>
      </c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</row>
    <row r="19" spans="2:13" ht="12" customHeight="1"/>
    <row r="20" spans="2:13" s="30" customFormat="1" ht="12" customHeight="1">
      <c r="B20" s="189" t="s">
        <v>41</v>
      </c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</row>
    <row r="21" spans="2:13" s="30" customFormat="1" ht="12" customHeight="1">
      <c r="B21" s="189" t="s">
        <v>42</v>
      </c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</row>
    <row r="22" spans="2:13" s="30" customFormat="1" ht="12" customHeight="1">
      <c r="B22" s="189" t="s">
        <v>43</v>
      </c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</row>
    <row r="23" spans="2:13" ht="6.95" customHeight="1"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</row>
    <row r="24" spans="2:13" ht="6.95" customHeight="1"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</row>
    <row r="25" spans="2:13" s="31" customFormat="1" ht="15" customHeight="1">
      <c r="B25" s="31">
        <v>1</v>
      </c>
      <c r="C25" s="31" t="s">
        <v>44</v>
      </c>
    </row>
    <row r="26" spans="2:13" s="38" customFormat="1" ht="12" customHeight="1">
      <c r="B26" s="72"/>
      <c r="C26" s="126" t="s">
        <v>152</v>
      </c>
      <c r="D26" s="125"/>
      <c r="E26" s="125"/>
      <c r="F26" s="125"/>
      <c r="G26" s="125"/>
      <c r="M26" s="77" t="s">
        <v>45</v>
      </c>
    </row>
    <row r="27" spans="2:13" ht="10.5" customHeight="1">
      <c r="B27" s="31"/>
    </row>
    <row r="28" spans="2:13" ht="15" customHeight="1">
      <c r="B28" s="31">
        <v>2</v>
      </c>
      <c r="C28" s="31" t="s">
        <v>46</v>
      </c>
    </row>
    <row r="29" spans="2:13" ht="12" customHeight="1">
      <c r="B29" s="31"/>
      <c r="C29" s="26" t="s">
        <v>47</v>
      </c>
      <c r="E29" s="26" t="s">
        <v>48</v>
      </c>
      <c r="F29" s="192" t="s">
        <v>108</v>
      </c>
      <c r="G29" s="192"/>
      <c r="H29" s="32"/>
      <c r="M29" s="33"/>
    </row>
    <row r="30" spans="2:13" ht="12" customHeight="1">
      <c r="B30" s="31"/>
      <c r="C30" s="26" t="s">
        <v>49</v>
      </c>
      <c r="E30" s="26" t="s">
        <v>48</v>
      </c>
      <c r="F30" s="192"/>
      <c r="G30" s="192"/>
    </row>
    <row r="31" spans="2:13" ht="12" customHeight="1">
      <c r="B31" s="31"/>
      <c r="C31" s="26" t="s">
        <v>50</v>
      </c>
      <c r="D31" s="34"/>
      <c r="E31" s="26" t="s">
        <v>48</v>
      </c>
      <c r="F31" s="192"/>
      <c r="G31" s="192"/>
      <c r="H31" s="32"/>
    </row>
    <row r="32" spans="2:13" ht="11.1" customHeight="1">
      <c r="B32" s="31"/>
    </row>
    <row r="33" spans="2:13" ht="15" customHeight="1">
      <c r="B33" s="31">
        <v>3</v>
      </c>
      <c r="C33" s="31" t="s">
        <v>51</v>
      </c>
    </row>
    <row r="34" spans="2:13" ht="12" customHeight="1">
      <c r="B34" s="31"/>
      <c r="C34" s="22" t="s">
        <v>52</v>
      </c>
    </row>
    <row r="35" spans="2:13" ht="12" customHeight="1">
      <c r="B35" s="31"/>
      <c r="C35" s="22" t="s">
        <v>53</v>
      </c>
    </row>
    <row r="36" spans="2:13" ht="12" customHeight="1">
      <c r="B36" s="31"/>
      <c r="C36" s="22" t="s">
        <v>54</v>
      </c>
    </row>
    <row r="37" spans="2:13" ht="11.1" customHeight="1">
      <c r="B37" s="31"/>
    </row>
    <row r="38" spans="2:13" ht="15" customHeight="1">
      <c r="B38" s="31">
        <v>4</v>
      </c>
      <c r="C38" s="31" t="s">
        <v>55</v>
      </c>
    </row>
    <row r="39" spans="2:13" ht="12" customHeight="1">
      <c r="B39" s="31"/>
      <c r="C39" s="26" t="s">
        <v>56</v>
      </c>
    </row>
    <row r="40" spans="2:13" ht="11.1" customHeight="1">
      <c r="B40" s="31"/>
    </row>
    <row r="41" spans="2:13" ht="15" customHeight="1">
      <c r="B41" s="31">
        <v>5</v>
      </c>
      <c r="C41" s="31" t="s">
        <v>57</v>
      </c>
    </row>
    <row r="42" spans="2:13" ht="12" customHeight="1">
      <c r="B42" s="31"/>
      <c r="C42" s="35" t="s">
        <v>58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1"/>
      <c r="C43" s="35" t="s">
        <v>59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1"/>
      <c r="C44" s="35" t="s">
        <v>60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1"/>
      <c r="C45" s="35" t="s">
        <v>61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1"/>
      <c r="C46" s="38" t="s">
        <v>62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11.1" customHeight="1">
      <c r="B47" s="31"/>
    </row>
    <row r="48" spans="2:13" ht="15" customHeight="1">
      <c r="B48" s="31">
        <v>6</v>
      </c>
      <c r="C48" s="31" t="s">
        <v>63</v>
      </c>
    </row>
    <row r="49" spans="2:16" s="38" customFormat="1" ht="12" customHeight="1">
      <c r="B49" s="78" t="s">
        <v>64</v>
      </c>
      <c r="C49" s="79" t="s">
        <v>92</v>
      </c>
      <c r="P49" s="80"/>
    </row>
    <row r="50" spans="2:16" s="81" customFormat="1" ht="12" customHeight="1">
      <c r="B50" s="82" t="s">
        <v>64</v>
      </c>
      <c r="C50" s="79" t="s">
        <v>93</v>
      </c>
    </row>
    <row r="51" spans="2:16" s="81" customFormat="1" ht="12" customHeight="1">
      <c r="B51" s="82" t="s">
        <v>64</v>
      </c>
      <c r="C51" s="79" t="s">
        <v>91</v>
      </c>
    </row>
    <row r="52" spans="2:16" s="81" customFormat="1" ht="4.5" customHeight="1">
      <c r="B52" s="82"/>
      <c r="C52" s="79"/>
    </row>
    <row r="53" spans="2:16" ht="15" customHeight="1">
      <c r="B53" s="41">
        <v>7</v>
      </c>
      <c r="C53" s="31" t="s">
        <v>115</v>
      </c>
    </row>
    <row r="54" spans="2:16" ht="12" customHeight="1">
      <c r="B54" s="82" t="s">
        <v>64</v>
      </c>
      <c r="C54" s="127" t="s">
        <v>116</v>
      </c>
      <c r="F54" s="127" t="s">
        <v>124</v>
      </c>
      <c r="P54" s="26" t="str">
        <f>UPPER(F54)</f>
        <v>ABSOLUTE QUALITY ENERGY COMPANY LLC</v>
      </c>
    </row>
    <row r="55" spans="2:16" ht="12" customHeight="1">
      <c r="B55" s="82" t="s">
        <v>64</v>
      </c>
      <c r="C55" s="127" t="s">
        <v>117</v>
      </c>
      <c r="F55" s="128" t="s">
        <v>125</v>
      </c>
    </row>
    <row r="56" spans="2:16" ht="12" customHeight="1">
      <c r="B56" s="82" t="s">
        <v>64</v>
      </c>
      <c r="C56" s="127" t="s">
        <v>118</v>
      </c>
      <c r="F56" s="128" t="s">
        <v>128</v>
      </c>
    </row>
    <row r="57" spans="2:16" ht="12" customHeight="1">
      <c r="B57" s="82" t="s">
        <v>64</v>
      </c>
      <c r="C57" s="127" t="s">
        <v>119</v>
      </c>
      <c r="F57" s="127" t="s">
        <v>126</v>
      </c>
    </row>
    <row r="58" spans="2:16" ht="12" customHeight="1">
      <c r="B58" s="82" t="s">
        <v>64</v>
      </c>
      <c r="C58" s="127" t="s">
        <v>120</v>
      </c>
      <c r="F58" s="127" t="s">
        <v>127</v>
      </c>
    </row>
    <row r="59" spans="2:16" ht="12" customHeight="1">
      <c r="B59" s="82" t="s">
        <v>64</v>
      </c>
      <c r="C59" s="127" t="s">
        <v>121</v>
      </c>
      <c r="F59" s="127" t="s">
        <v>122</v>
      </c>
    </row>
    <row r="60" spans="2:16" ht="12" customHeight="1">
      <c r="B60" s="82"/>
      <c r="C60" s="34" t="s">
        <v>123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1"/>
    </row>
    <row r="63" spans="2:16" ht="11.1" customHeight="1">
      <c r="B63" s="41"/>
    </row>
    <row r="64" spans="2:16">
      <c r="B64" s="31" t="s">
        <v>65</v>
      </c>
      <c r="J64" s="31" t="s">
        <v>66</v>
      </c>
    </row>
    <row r="65" spans="1:13" ht="48" customHeight="1"/>
    <row r="66" spans="1:13" ht="18" customHeight="1">
      <c r="B66" s="26" t="s">
        <v>67</v>
      </c>
      <c r="J66" s="26" t="s">
        <v>67</v>
      </c>
    </row>
    <row r="67" spans="1:13" ht="18" customHeight="1">
      <c r="B67" s="26" t="s">
        <v>68</v>
      </c>
      <c r="J67" s="26" t="s">
        <v>69</v>
      </c>
      <c r="K67" s="22" t="str">
        <f>UPPER(D12)</f>
        <v>ARUN</v>
      </c>
    </row>
    <row r="68" spans="1:13" ht="18" customHeight="1">
      <c r="B68" s="26" t="s">
        <v>70</v>
      </c>
      <c r="J68" s="26" t="s">
        <v>71</v>
      </c>
      <c r="K68" s="22" t="s">
        <v>105</v>
      </c>
    </row>
    <row r="69" spans="1:13" ht="15" customHeight="1">
      <c r="B69" s="26" t="s">
        <v>72</v>
      </c>
      <c r="J69" s="26" t="s">
        <v>73</v>
      </c>
    </row>
    <row r="70" spans="1:13" s="28" customFormat="1" ht="15" customHeight="1">
      <c r="B70" s="25" t="s">
        <v>111</v>
      </c>
      <c r="J70" s="31" t="str">
        <f>C9</f>
        <v>AQEC (Absolute Quality Energy Company LLC)</v>
      </c>
    </row>
    <row r="71" spans="1:13" ht="27.95" customHeight="1">
      <c r="A71" s="184" t="s">
        <v>74</v>
      </c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</row>
    <row r="78" spans="1:13">
      <c r="B78" s="31"/>
    </row>
    <row r="79" spans="1:13">
      <c r="B79" s="31"/>
    </row>
    <row r="80" spans="1:13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  <row r="87" spans="2:2">
      <c r="B87" s="31"/>
    </row>
    <row r="88" spans="2:2">
      <c r="B88" s="31"/>
    </row>
    <row r="89" spans="2:2">
      <c r="B89" s="31"/>
    </row>
    <row r="90" spans="2:2">
      <c r="B90" s="31"/>
    </row>
    <row r="91" spans="2:2">
      <c r="B91" s="31"/>
    </row>
    <row r="92" spans="2:2">
      <c r="B92" s="31"/>
    </row>
    <row r="93" spans="2:2">
      <c r="B93" s="31"/>
    </row>
    <row r="94" spans="2:2">
      <c r="B94" s="31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M16" sqref="M1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75</v>
      </c>
      <c r="B2" s="46" t="str">
        <f>+'PO 1st page'!K11</f>
        <v xml:space="preserve"> SAC2-DS-PO-0485</v>
      </c>
      <c r="C2" s="195" t="s">
        <v>76</v>
      </c>
      <c r="D2" s="195"/>
      <c r="E2" s="195"/>
      <c r="F2" s="195"/>
      <c r="G2" s="47"/>
      <c r="H2" s="47"/>
    </row>
    <row r="3" spans="1:13" s="53" customFormat="1" ht="28.5" customHeight="1" thickBot="1">
      <c r="A3" s="48" t="s">
        <v>77</v>
      </c>
      <c r="B3" s="49">
        <f>+'PO 1st page'!K10</f>
        <v>46302</v>
      </c>
      <c r="C3" s="50"/>
      <c r="D3" s="51"/>
      <c r="E3" s="196" t="s">
        <v>78</v>
      </c>
      <c r="F3" s="196"/>
      <c r="G3" s="196"/>
      <c r="H3" s="196"/>
      <c r="I3" s="52"/>
    </row>
    <row r="4" spans="1:13" s="54" customFormat="1" ht="28.5" customHeight="1" thickTop="1">
      <c r="A4" s="197" t="s">
        <v>79</v>
      </c>
      <c r="B4" s="199" t="s">
        <v>80</v>
      </c>
      <c r="C4" s="200"/>
      <c r="D4" s="203" t="s">
        <v>81</v>
      </c>
      <c r="E4" s="203" t="s">
        <v>82</v>
      </c>
      <c r="F4" s="205" t="str">
        <f>'PO 1st page'!C9</f>
        <v>AQEC (Absolute Quality Energy Company LLC)</v>
      </c>
      <c r="G4" s="206"/>
      <c r="H4" s="207" t="s">
        <v>83</v>
      </c>
      <c r="K4" s="55"/>
      <c r="L4" s="55"/>
      <c r="M4" s="55"/>
    </row>
    <row r="5" spans="1:13" s="54" customFormat="1" ht="21.95" customHeight="1">
      <c r="A5" s="198"/>
      <c r="B5" s="201"/>
      <c r="C5" s="202"/>
      <c r="D5" s="204"/>
      <c r="E5" s="204"/>
      <c r="F5" s="56" t="s">
        <v>84</v>
      </c>
      <c r="G5" s="56" t="s">
        <v>50</v>
      </c>
      <c r="H5" s="208"/>
      <c r="K5" s="55"/>
      <c r="L5" s="55"/>
      <c r="M5" s="55"/>
    </row>
    <row r="6" spans="1:13" s="54" customFormat="1" ht="65.25" customHeight="1">
      <c r="A6" s="83">
        <f t="shared" ref="A6:A17" si="0">ROW(A1)</f>
        <v>1</v>
      </c>
      <c r="B6" s="209" t="str">
        <f>MRS!B6&amp;","&amp;MRS!D6</f>
        <v>Generator,75 KVA Prime 380V, 3Ph, 60hz - Silent Canopy Type, Diesel Engine, Auto Start/Stop Function, with Integrated base fuel tank,</v>
      </c>
      <c r="C6" s="210"/>
      <c r="D6" s="84" t="str">
        <f>+'MRS LIST'!G6</f>
        <v>EA</v>
      </c>
      <c r="E6" s="85">
        <f>+'MRS LIST'!H6</f>
        <v>1</v>
      </c>
      <c r="F6" s="86">
        <f>+'MRS LIST'!I6</f>
        <v>3500</v>
      </c>
      <c r="G6" s="87">
        <f>+'MRS LIST'!J6</f>
        <v>3500</v>
      </c>
      <c r="H6" s="88" t="str">
        <f>MRS!L6</f>
        <v>Monthly</v>
      </c>
      <c r="K6" s="89"/>
      <c r="L6" s="90"/>
      <c r="M6" s="55"/>
    </row>
    <row r="7" spans="1:13" s="54" customFormat="1" ht="31.5" customHeight="1">
      <c r="A7" s="83">
        <v>2</v>
      </c>
      <c r="B7" s="209" t="str">
        <f>MRS!B7&amp;"
"&amp;MRS!D7</f>
        <v>Generator Mob &amp; De-Mob. Charge
Mob. &amp; De-Mob. / per unit - lump sum</v>
      </c>
      <c r="C7" s="210"/>
      <c r="D7" s="84" t="str">
        <f>+'MRS LIST'!G7</f>
        <v>Trip</v>
      </c>
      <c r="E7" s="85">
        <f>+'MRS LIST'!H7</f>
        <v>2</v>
      </c>
      <c r="F7" s="86">
        <f>+'MRS LIST'!I7</f>
        <v>1000</v>
      </c>
      <c r="G7" s="87">
        <f>+'MRS LIST'!J7</f>
        <v>2000</v>
      </c>
      <c r="H7" s="88" t="str">
        <f>MRS!L7</f>
        <v>One time</v>
      </c>
      <c r="K7" s="89"/>
      <c r="L7" s="90"/>
      <c r="M7" s="55"/>
    </row>
    <row r="8" spans="1:13" s="54" customFormat="1" ht="31.5" customHeight="1">
      <c r="A8" s="91">
        <v>3</v>
      </c>
      <c r="B8" s="209"/>
      <c r="C8" s="210"/>
      <c r="D8" s="84"/>
      <c r="E8" s="85"/>
      <c r="F8" s="86"/>
      <c r="G8" s="87"/>
      <c r="H8" s="88"/>
      <c r="K8" s="55"/>
      <c r="L8" s="55"/>
      <c r="M8" s="55"/>
    </row>
    <row r="9" spans="1:13" s="54" customFormat="1" ht="32.1" customHeight="1">
      <c r="A9" s="91">
        <f t="shared" si="0"/>
        <v>4</v>
      </c>
      <c r="B9" s="209"/>
      <c r="C9" s="210"/>
      <c r="D9" s="84"/>
      <c r="E9" s="85"/>
      <c r="F9" s="86"/>
      <c r="G9" s="87"/>
      <c r="H9" s="88"/>
    </row>
    <row r="10" spans="1:13" s="54" customFormat="1" ht="32.1" customHeight="1">
      <c r="A10" s="91">
        <f t="shared" si="0"/>
        <v>5</v>
      </c>
      <c r="B10" s="209"/>
      <c r="C10" s="210"/>
      <c r="D10" s="84"/>
      <c r="E10" s="85"/>
      <c r="F10" s="86"/>
      <c r="G10" s="87"/>
      <c r="H10" s="88"/>
    </row>
    <row r="11" spans="1:13" s="54" customFormat="1" ht="32.1" customHeight="1">
      <c r="A11" s="91">
        <f t="shared" si="0"/>
        <v>6</v>
      </c>
      <c r="B11" s="193"/>
      <c r="C11" s="194"/>
      <c r="D11" s="92"/>
      <c r="E11" s="93"/>
      <c r="F11" s="94"/>
      <c r="G11" s="95"/>
      <c r="H11" s="96"/>
    </row>
    <row r="12" spans="1:13" s="54" customFormat="1" ht="32.1" customHeight="1">
      <c r="A12" s="91">
        <f t="shared" si="0"/>
        <v>7</v>
      </c>
      <c r="B12" s="193"/>
      <c r="C12" s="194"/>
      <c r="D12" s="92"/>
      <c r="E12" s="93"/>
      <c r="F12" s="94"/>
      <c r="G12" s="95"/>
      <c r="H12" s="96"/>
    </row>
    <row r="13" spans="1:13" s="54" customFormat="1" ht="32.1" customHeight="1">
      <c r="A13" s="91">
        <f t="shared" si="0"/>
        <v>8</v>
      </c>
      <c r="B13" s="193"/>
      <c r="C13" s="194"/>
      <c r="D13" s="92"/>
      <c r="E13" s="93"/>
      <c r="F13" s="94"/>
      <c r="G13" s="95"/>
      <c r="H13" s="96"/>
    </row>
    <row r="14" spans="1:13" s="54" customFormat="1" ht="32.1" customHeight="1">
      <c r="A14" s="91">
        <f t="shared" si="0"/>
        <v>9</v>
      </c>
      <c r="B14" s="193"/>
      <c r="C14" s="194"/>
      <c r="D14" s="92"/>
      <c r="E14" s="93"/>
      <c r="F14" s="97"/>
      <c r="G14" s="95"/>
      <c r="H14" s="96"/>
    </row>
    <row r="15" spans="1:13" s="54" customFormat="1" ht="32.1" customHeight="1">
      <c r="A15" s="91">
        <f t="shared" si="0"/>
        <v>10</v>
      </c>
      <c r="B15" s="193"/>
      <c r="C15" s="194"/>
      <c r="D15" s="92"/>
      <c r="E15" s="93"/>
      <c r="F15" s="97"/>
      <c r="G15" s="95"/>
      <c r="H15" s="96"/>
    </row>
    <row r="16" spans="1:13" s="54" customFormat="1" ht="32.1" customHeight="1">
      <c r="A16" s="91">
        <f t="shared" si="0"/>
        <v>11</v>
      </c>
      <c r="B16" s="193"/>
      <c r="C16" s="194"/>
      <c r="D16" s="92"/>
      <c r="E16" s="93"/>
      <c r="F16" s="94"/>
      <c r="G16" s="95"/>
      <c r="H16" s="96"/>
    </row>
    <row r="17" spans="1:13" s="54" customFormat="1" ht="32.1" customHeight="1">
      <c r="A17" s="91">
        <f t="shared" si="0"/>
        <v>12</v>
      </c>
      <c r="B17" s="193"/>
      <c r="C17" s="194"/>
      <c r="D17" s="92"/>
      <c r="E17" s="93"/>
      <c r="F17" s="94"/>
      <c r="G17" s="95"/>
      <c r="H17" s="96"/>
    </row>
    <row r="18" spans="1:13" s="54" customFormat="1" ht="23.1" customHeight="1">
      <c r="A18" s="211" t="s">
        <v>85</v>
      </c>
      <c r="B18" s="212"/>
      <c r="C18" s="212"/>
      <c r="D18" s="212"/>
      <c r="E18" s="212"/>
      <c r="F18" s="212"/>
      <c r="G18" s="57">
        <f>SUM(G6:G17)</f>
        <v>5500</v>
      </c>
      <c r="H18" s="58"/>
    </row>
    <row r="19" spans="1:13" s="54" customFormat="1" ht="23.1" customHeight="1">
      <c r="A19" s="211" t="s">
        <v>49</v>
      </c>
      <c r="B19" s="212"/>
      <c r="C19" s="212"/>
      <c r="D19" s="212"/>
      <c r="E19" s="212"/>
      <c r="F19" s="212"/>
      <c r="G19" s="57">
        <f>+G18*0.15</f>
        <v>825</v>
      </c>
      <c r="H19" s="58"/>
    </row>
    <row r="20" spans="1:13" s="54" customFormat="1" ht="23.1" customHeight="1">
      <c r="A20" s="211" t="s">
        <v>97</v>
      </c>
      <c r="B20" s="212"/>
      <c r="C20" s="212"/>
      <c r="D20" s="212"/>
      <c r="E20" s="212"/>
      <c r="F20" s="212"/>
      <c r="G20" s="122">
        <v>0</v>
      </c>
      <c r="H20" s="123"/>
    </row>
    <row r="21" spans="1:13" s="54" customFormat="1" ht="24.95" customHeight="1" thickBot="1">
      <c r="A21" s="213" t="s">
        <v>86</v>
      </c>
      <c r="B21" s="214"/>
      <c r="C21" s="214"/>
      <c r="D21" s="214"/>
      <c r="E21" s="214"/>
      <c r="F21" s="214"/>
      <c r="G21" s="59">
        <f>SUM(G18:G20)</f>
        <v>6325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AQE-Q-0452-0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87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84" t="s">
        <v>88</v>
      </c>
      <c r="B25" s="184"/>
      <c r="C25" s="184"/>
      <c r="D25" s="184"/>
      <c r="E25" s="184"/>
      <c r="F25" s="184"/>
      <c r="G25" s="184"/>
      <c r="H25" s="184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2026-10-07T11:23:03Z</cp:lastPrinted>
  <dcterms:created xsi:type="dcterms:W3CDTF">2024-10-20T11:50:19Z</dcterms:created>
  <dcterms:modified xsi:type="dcterms:W3CDTF">2026-10-07T11:23:05Z</dcterms:modified>
</cp:coreProperties>
</file>