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BE3C96BF-578F-4EA4-9716-93D22AC7B587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<sst xmlns="http://schemas.openxmlformats.org/spreadsheetml/2006/main" count="153" uniqueCount="119">
  <si>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</si>
  <si>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</si>
  <si>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</si>
  <si>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</si>
  <si>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</si>
  <si>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</si>
  <si>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</si>
  <si>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</si>
  <si>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</si>
  <si>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</si>
  <si>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</si>
  <si>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</si>
  <si>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</si>
  <si>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</si>
  <si>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</si>
  <si>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</si>
  <si>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</si>
  <si>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</si>
  <si>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</si>
  <si>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</si>
  <si>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</si>
  <si>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</si>
  <si>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</si>
  <si>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</si>
  <si>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</si>
  <si>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</si>
  <si>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</si>
  <si>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</si>
  <si>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</si>
  <si>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</si>
  <si>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</si>
  <si>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</si>
  <si>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</si>
  <si>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</si>
  <si>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</si>
  <si>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</si>
  <si>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</si>
  <si>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</si>
  <si>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</si>
  <si>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</si>
  <si>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</si>
  <si>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</si>
  <si>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</si>
  <si>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</si>
  <si>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</si>
  <si>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</si>
  <si>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</si>
  <si>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</si>
  <si>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</si>
  <si>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</si>
  <si>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</si>
  <si>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</si>
  <si>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</si>
  <si>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</si>
  <si>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</si>
  <si>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</si>
  <si>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</si>
  <si>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</si>
  <si>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</si>
  <si>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</si>
  <si>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</si>
  <si>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</si>
  <si>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</si>
  <si>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</si>
  <si>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</si>
  <si>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</si>
  <si>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</si>
  <si>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</si>
  <si>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</si>
  <si>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</si>
  <si>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</si>
  <si>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</si>
  <si>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</si>
  <si>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</si>
  <si>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</si>
  <si>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</si>
  <si>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</si>
  <si>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</si>
  <si>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</si>
  <si>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</si>
  <si>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</si>
  <si>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</si>
  <si>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</si>
  <si>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</si>
  <si>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</si>
  <si>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</si>
  <si>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</si>
  <si>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</si>
  <si>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</si>
  <si>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</si>
  <si>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</si>
  <si>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</si>
  <si>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</si>
  <si>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</si>
  <si>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</si>
  <si>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</si>
  <si>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</si>
  <si>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</si>
  <si>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</si>
  <si>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</si>
  <si>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</si>
  <si>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</si>
  <si>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</si>
  <si>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</si>
  <si>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</si>
  <si>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-MRS-0061</t>
    </r>
  </si>
  <si>
    <t>Boom Truck</t>
  </si>
  <si>
    <t>10 Ton</t>
  </si>
  <si>
    <t>SAGC(Sana Al-Tamiz General Contracting Est.)</t>
  </si>
  <si>
    <t>2055136684</t>
  </si>
  <si>
    <t>311630284900003</t>
  </si>
  <si>
    <t>Moidin Nisar</t>
  </si>
  <si>
    <t>Sales Executive</t>
  </si>
  <si>
    <t>+966 59 0549362 / email:mal:info@sanatechksa.com</t>
  </si>
  <si>
    <t>10 Ton Boom Truck with Aramco Certified Operator</t>
  </si>
  <si>
    <t>ST/HDEC/25/093</t>
  </si>
  <si>
    <t>Bldg No. 4564 Al Riyadh Street, Al Jubail, KSA</t>
  </si>
  <si>
    <t>Mobile : +966 59 0549362 / +966 55 1826764</t>
  </si>
  <si>
    <t>SAGC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</si>
</sst>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360949</xdr:colOff>
          <xdr:row>17</xdr:row>
          <xdr:rowOff>70185</xdr:rowOff>
        </xdr:from>
        <xdr:to>
          <xdr:col>11</xdr:col>
          <xdr:colOff>1664871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9" y="5053264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10" sqref="J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41" t="s">
        <v>98</v>
      </c>
      <c r="K1" s="142"/>
      <c r="L1" s="143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44" t="s">
        <v>101</v>
      </c>
      <c r="K2" s="145"/>
      <c r="L2" s="146"/>
    </row>
    <row r="3" spans="1:19" ht="20.100000000000001" customHeight="1">
      <c r="A3" s="3" t="s">
        <v>105</v>
      </c>
      <c r="B3" s="102"/>
      <c r="C3" s="102"/>
      <c r="D3" s="102"/>
      <c r="E3" s="147">
        <f>+L3</f>
        <v>45780</v>
      </c>
      <c r="F3" s="147"/>
      <c r="G3" s="147"/>
      <c r="H3" s="147"/>
      <c r="I3" s="147"/>
      <c r="J3" s="102"/>
      <c r="K3" s="102"/>
      <c r="L3" s="123">
        <v>45780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106</v>
      </c>
      <c r="C6" s="130"/>
      <c r="D6" s="131" t="s">
        <v>107</v>
      </c>
      <c r="E6" s="132"/>
      <c r="F6" s="133"/>
      <c r="G6" s="112" t="s">
        <v>89</v>
      </c>
      <c r="H6" s="113">
        <v>1</v>
      </c>
      <c r="I6" s="114">
        <v>34000</v>
      </c>
      <c r="J6" s="114">
        <f>H6*I6</f>
        <v>34000</v>
      </c>
      <c r="K6" s="115" t="s">
        <v>118</v>
      </c>
      <c r="L6" s="116" t="s">
        <v>96</v>
      </c>
      <c r="S6" s="107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34000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SAC2-DS-MRS-0061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45780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Boom Truck</v>
      </c>
      <c r="C6" s="166"/>
      <c r="D6" s="167" t="str">
        <f>MRS!D6</f>
        <v>10 Ton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34000</v>
      </c>
      <c r="J6" s="105">
        <f>MRS!J6</f>
        <v>34000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9" zoomScale="130" zoomScaleSheetLayoutView="130" workbookViewId="0">
      <selection activeCell="J68" sqref="J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108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110</v>
      </c>
      <c r="J11" s="39" t="s">
        <v>34</v>
      </c>
      <c r="K11" s="179" t="str">
        <f>SUBSTITUTE(SUBSTITUTE(+MRS!A3,"  MRS No : ",""),"-MRS","-PO")</f>
        <v>SAC2-DS-PO-0061</v>
      </c>
      <c r="L11" s="179"/>
      <c r="M11" s="179"/>
    </row>
    <row r="12" spans="2:13" s="39" customFormat="1">
      <c r="B12" s="72"/>
      <c r="C12" s="75" t="s">
        <v>35</v>
      </c>
      <c r="D12" s="39" t="s">
        <v>111</v>
      </c>
      <c r="J12" s="39" t="s">
        <v>36</v>
      </c>
    </row>
    <row r="13" spans="2:13" s="39" customFormat="1">
      <c r="B13" s="72"/>
      <c r="C13" s="77"/>
      <c r="D13" s="76" t="s">
        <v>113</v>
      </c>
      <c r="J13" s="39" t="s">
        <v>37</v>
      </c>
    </row>
    <row r="14" spans="2:13" s="39" customFormat="1">
      <c r="B14" s="72"/>
      <c r="C14" s="77" t="s">
        <v>116</v>
      </c>
      <c r="J14" s="39" t="s">
        <v>38</v>
      </c>
      <c r="K14" s="39" t="s">
        <v>115</v>
      </c>
    </row>
    <row r="15" spans="2:13" s="39" customFormat="1">
      <c r="B15" s="72"/>
      <c r="C15" s="77" t="s">
        <v>117</v>
      </c>
      <c r="J15" s="39" t="s">
        <v>39</v>
      </c>
      <c r="K15" s="78">
        <v>45766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114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96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102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MOIDIN NISAR</v>
      </c>
    </row>
    <row r="60" spans="1:16" ht="18" customHeight="1">
      <c r="B60" s="26" t="s">
        <v>70</v>
      </c>
      <c r="J60" s="26" t="s">
        <v>71</v>
      </c>
      <c r="K60" s="22" t="s">
        <v>112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104</v>
      </c>
      <c r="J62" s="25" t="str">
        <f>C9</f>
        <v>SAGC(Sana Al-Tamiz General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8" zoomScaleSheetLayoutView="100" zoomScalePageLayoutView="55" workbookViewId="0">
      <selection activeCell="O9" sqref="O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SAC2-DS-PO-0061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SAGC(Sana Al-Tamiz General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+'MRS LIST'!B6</f>
        <v>Boom Truck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34000</v>
      </c>
      <c r="G6" s="89">
        <f>+'MRS LIST'!J6</f>
        <v>34000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/>
      <c r="C7" s="206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34000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5100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39100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ST/HDEC/25/093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2025-05-04T10:56:33Z</cp:lastPrinted>
  <dcterms:created xsi:type="dcterms:W3CDTF">2024-10-20T11:50:19Z</dcterms:created>
  <dcterms:modified xsi:type="dcterms:W3CDTF">2025-05-04T12:29:22Z</dcterms:modified>
</cp:coreProperties>
</file>