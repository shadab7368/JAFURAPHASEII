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A8F730E-ADA5-479E-A782-9626AD1C7670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B7" i="4"/>
  <c r="J7" i="1"/>
  <c r="E3" i="1"/>
  <c r="P54" i="3" l="1"/>
  <c r="B6" i="4" l="1"/>
  <c r="H6" i="4"/>
  <c r="K67" i="3" l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<sst xmlns="http://schemas.openxmlformats.org/spreadsheetml/2006/main" count="167" uniqueCount="137">
  <si>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</si>
  <si>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</si>
  <si>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</si>
  <si>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</si>
  <si>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</si>
  <si>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</si>
  <si>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</si>
  <si>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</si>
  <si>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</si>
  <si>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</si>
  <si>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</si>
  <si>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</si>
  <si>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</si>
  <si>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</si>
  <si>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</si>
  <si>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</si>
  <si>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</si>
  <si>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</si>
  <si>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</si>
  <si>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</si>
  <si>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</si>
  <si>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</si>
  <si>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</si>
  <si>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</si>
  <si>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</si>
  <si>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</si>
  <si>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</si>
  <si>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</si>
  <si>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</si>
  <si>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</si>
  <si>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</si>
  <si>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</si>
  <si>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</si>
  <si>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</si>
  <si>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</si>
  <si>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</si>
  <si>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</si>
  <si>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</si>
  <si>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</si>
  <si>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</si>
  <si>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</si>
  <si>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</si>
  <si>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</si>
  <si>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</si>
  <si>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</si>
  <si>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</si>
  <si>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</si>
  <si>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</si>
  <si>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</si>
  <si>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</si>
  <si>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</si>
  <si>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</si>
  <si>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</si>
  <si>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</si>
  <si>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</si>
  <si>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</si>
  <si>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</si>
  <si>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</si>
  <si>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</si>
  <si>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</si>
  <si>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</si>
  <si>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</si>
  <si>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</si>
  <si>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</si>
  <si>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</si>
  <si>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</si>
  <si>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</si>
  <si>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</si>
  <si>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</si>
  <si>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</si>
  <si>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</si>
  <si>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</si>
  <si>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</si>
  <si>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</si>
  <si>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</si>
  <si>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</si>
  <si>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</si>
  <si>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</si>
  <si>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</si>
  <si>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</si>
  <si>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</si>
  <si>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</si>
  <si>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</si>
  <si>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</si>
  <si>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</si>
  <si>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</si>
  <si>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</si>
  <si>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</si>
  <si>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</si>
  <si>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</si>
  <si>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()</t>
  </si>
  <si>
    <t>ACE</t>
  </si>
  <si>
    <t>Abhilash K.K.</t>
  </si>
  <si>
    <t>Operation Manager</t>
  </si>
  <si>
    <t>Bldg No . 4383 Prince Mishal Street, Dammam, KSA</t>
  </si>
  <si>
    <t>Landline: +966 138051540 / Mobile : +966 582136007</t>
  </si>
  <si>
    <t>+966 58 2136007 / Email:info@acesaudi.me</t>
  </si>
  <si>
    <t>ACE(Advanced Start Trading &amp; General Contracting Est.)</t>
  </si>
  <si>
    <t>2050122560</t>
  </si>
  <si>
    <t>300380116700003</t>
  </si>
  <si>
    <t xml:space="preserve">  Delivery &amp; Payment : Dong Chang Kim / Daeshin Admin. [ Mobile No. : +966 53 748 5762 / Email : kdchjs@daeshinplant.com ]</t>
  </si>
  <si>
    <t>Monthly Based</t>
  </si>
  <si>
    <t>Hour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</si>
  <si>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</si>
  <si>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</si>
  <si>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</si>
  <si>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</si>
  <si>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</si>
  <si>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</si>
  <si>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</si>
  <si>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</si>
  <si>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</si>
  <si>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ADVANCED START TRADING &amp; GENERAL CONTRACTING EST.</t>
  </si>
  <si>
    <t>SA5810000008600000357104</t>
  </si>
  <si>
    <t>8600000357104</t>
  </si>
  <si>
    <t>SAUDI NATIONAL BANK</t>
  </si>
  <si>
    <t>NCBKSAJE</t>
  </si>
  <si>
    <t xml:space="preserve">Monthly Based 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</si>
  <si>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</si>
  <si>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</si>
  <si>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-MRS-0446</t>
    </r>
  </si>
  <si>
    <t>Rotating QC Inspector</t>
  </si>
  <si>
    <t>Static QC Inspector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</si>
  <si>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</si>
  <si>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</si>
  <si>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</si>
  <si>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</si>
  <si>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</si>
  <si>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</si>
  <si>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</si>
  <si>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</si>
  <si>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</si>
  <si>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</si>
  <si>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</si>
  <si>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</si>
  <si>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Manpower Supply</t>
  </si>
  <si>
    <t>QTN-MS-25-246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</si>
</sst>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4"/>
      <color rgb="FF0000FF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172" fontId="17" fillId="3" borderId="0" xfId="5" applyNumberFormat="1" applyFont="1" applyFill="1"/>
    <xf numFmtId="0" fontId="49" fillId="3" borderId="0" xfId="5" applyFont="1" applyFill="1"/>
    <xf numFmtId="0" fontId="17" fillId="3" borderId="0" xfId="5" quotePrefix="1" applyFont="1" applyFill="1"/>
    <xf numFmtId="0" fontId="50" fillId="3" borderId="0" xfId="5" applyFont="1" applyFill="1"/>
    <xf numFmtId="0" fontId="5" fillId="2" borderId="21" xfId="1" applyFont="1" applyFill="1" applyBorder="1" applyAlignment="1">
      <alignment horizontal="center" vertical="center"/>
    </xf>
    <xf numFmtId="0" fontId="51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57" fillId="0" borderId="7" xfId="3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6" fillId="3" borderId="0" xfId="5" applyFont="1" applyFill="1" applyAlignment="1">
      <alignment horizontal="left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3318AC58-0842-40B2-9794-513543302AB9}"/>
    <cellStyle name="쉼표 [0] 2 2 3" xfId="12" xr:uid="{21975012-6124-4624-917D-D958A7236598}"/>
    <cellStyle name="쉼표 2" xfId="9" xr:uid="{F2A3A689-A30F-4FCA-9C51-F28F11796A46}"/>
    <cellStyle name="쉼표 2 2" xfId="18" xr:uid="{30965E5B-BD16-4761-8F2A-20B1A66EF638}"/>
    <cellStyle name="쉼표 2 3" xfId="14" xr:uid="{EBF854AA-1BBC-4B60-A393-EF216CD623B2}"/>
    <cellStyle name="표준 2 2" xfId="2" xr:uid="{12B761D3-4229-4E14-8168-D5975293A996}"/>
    <cellStyle name="표준 2 2 2" xfId="15" xr:uid="{23D9CF93-A0DE-4474-B204-3CFFB35C7239}"/>
    <cellStyle name="표준 2 2 3" xfId="11" xr:uid="{BF77E8BB-EBC2-4557-9D3A-E9B902F30C84}"/>
    <cellStyle name="표준 2 3 2 2" xfId="5" xr:uid="{BD51BFCC-3D36-446B-BE80-7856DF8371E9}"/>
    <cellStyle name="표준 2 3 2 2 2" xfId="17" xr:uid="{DC66ED9D-D108-4AD5-B820-79E2A38ED09D}"/>
    <cellStyle name="표준 2 3 2 2 3" xfId="13" xr:uid="{2FF1064B-F914-488F-91BF-8B194E779540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744955</xdr:colOff>
          <xdr:row>17</xdr:row>
          <xdr:rowOff>29077</xdr:rowOff>
        </xdr:from>
        <xdr:to>
          <xdr:col>11</xdr:col>
          <xdr:colOff>1592178</xdr:colOff>
          <xdr:row>23</xdr:row>
          <xdr:rowOff>267202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A35961C-5718-8A34-22E7-058E4C3AC7D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37034" y="5012156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topLeftCell="A4" zoomScale="95" zoomScaleNormal="95" zoomScaleSheetLayoutView="95" workbookViewId="0">
      <selection activeCell="A18" sqref="A18:XFD2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4" t="s">
        <v>118</v>
      </c>
      <c r="B1" s="125"/>
      <c r="C1" s="106"/>
      <c r="D1" s="106"/>
      <c r="E1" s="106"/>
      <c r="F1" s="106"/>
      <c r="G1" s="1"/>
      <c r="J1" s="169" t="s">
        <v>83</v>
      </c>
      <c r="K1" s="170"/>
      <c r="L1" s="171"/>
    </row>
    <row r="2" spans="1:19" ht="20.100000000000001" customHeight="1">
      <c r="A2" s="3" t="s">
        <v>1</v>
      </c>
      <c r="B2" s="97"/>
      <c r="C2" s="97"/>
      <c r="D2" s="3" t="s">
        <v>119</v>
      </c>
      <c r="E2" s="97"/>
      <c r="F2" s="97"/>
      <c r="G2" s="97"/>
      <c r="H2" s="97"/>
      <c r="I2" s="4"/>
      <c r="J2" s="172" t="s">
        <v>90</v>
      </c>
      <c r="K2" s="173"/>
      <c r="L2" s="174"/>
    </row>
    <row r="3" spans="1:19" ht="20.100000000000001" customHeight="1">
      <c r="A3" s="3" t="s">
        <v>120</v>
      </c>
      <c r="B3" s="97"/>
      <c r="C3" s="97"/>
      <c r="D3" s="97"/>
      <c r="E3" s="175">
        <f>+L3+3</f>
        <v>46270</v>
      </c>
      <c r="F3" s="175"/>
      <c r="G3" s="175"/>
      <c r="H3" s="175"/>
      <c r="I3" s="175"/>
      <c r="J3" s="97"/>
      <c r="K3" s="97"/>
      <c r="L3" s="126">
        <v>46267</v>
      </c>
      <c r="M3" s="4"/>
    </row>
    <row r="4" spans="1:19" ht="15.95" customHeight="1">
      <c r="A4" s="176" t="s">
        <v>2</v>
      </c>
      <c r="B4" s="177" t="s">
        <v>3</v>
      </c>
      <c r="C4" s="177"/>
      <c r="D4" s="178" t="s">
        <v>4</v>
      </c>
      <c r="E4" s="179"/>
      <c r="F4" s="180"/>
      <c r="G4" s="184" t="s">
        <v>5</v>
      </c>
      <c r="H4" s="186" t="s">
        <v>6</v>
      </c>
      <c r="I4" s="186" t="s">
        <v>87</v>
      </c>
      <c r="J4" s="176" t="s">
        <v>88</v>
      </c>
      <c r="K4" s="186" t="s">
        <v>0</v>
      </c>
      <c r="L4" s="177" t="s">
        <v>7</v>
      </c>
    </row>
    <row r="5" spans="1:19" ht="15.95" customHeight="1">
      <c r="A5" s="176"/>
      <c r="B5" s="177"/>
      <c r="C5" s="177"/>
      <c r="D5" s="181"/>
      <c r="E5" s="182"/>
      <c r="F5" s="183"/>
      <c r="G5" s="185"/>
      <c r="H5" s="187"/>
      <c r="I5" s="187"/>
      <c r="J5" s="176"/>
      <c r="K5" s="187"/>
      <c r="L5" s="177"/>
    </row>
    <row r="6" spans="1:19" ht="22.5" customHeight="1">
      <c r="A6" s="5">
        <f t="shared" ref="A6:A15" si="0">ROW(A1)</f>
        <v>1</v>
      </c>
      <c r="B6" s="188" t="s">
        <v>121</v>
      </c>
      <c r="C6" s="189"/>
      <c r="D6" s="190"/>
      <c r="E6" s="191"/>
      <c r="F6" s="192"/>
      <c r="G6" s="107" t="s">
        <v>102</v>
      </c>
      <c r="H6" s="108">
        <v>1</v>
      </c>
      <c r="I6" s="109">
        <v>90</v>
      </c>
      <c r="J6" s="109">
        <f>H6*I6</f>
        <v>90</v>
      </c>
      <c r="K6" s="110" t="s">
        <v>91</v>
      </c>
      <c r="L6" s="111" t="s">
        <v>101</v>
      </c>
      <c r="S6" s="102"/>
    </row>
    <row r="7" spans="1:19" ht="22.5" customHeight="1">
      <c r="A7" s="5">
        <f t="shared" si="0"/>
        <v>2</v>
      </c>
      <c r="B7" s="188" t="s">
        <v>122</v>
      </c>
      <c r="C7" s="189"/>
      <c r="D7" s="193"/>
      <c r="E7" s="191"/>
      <c r="F7" s="192"/>
      <c r="G7" s="107" t="s">
        <v>102</v>
      </c>
      <c r="H7" s="108">
        <v>1</v>
      </c>
      <c r="I7" s="109">
        <v>105</v>
      </c>
      <c r="J7" s="109">
        <f>H7*I7</f>
        <v>105</v>
      </c>
      <c r="K7" s="110"/>
      <c r="L7" s="111"/>
      <c r="S7" s="102"/>
    </row>
    <row r="8" spans="1:19" ht="22.5" customHeight="1">
      <c r="A8" s="5">
        <f t="shared" si="0"/>
        <v>3</v>
      </c>
      <c r="B8" s="188"/>
      <c r="C8" s="189"/>
      <c r="D8" s="190"/>
      <c r="E8" s="191"/>
      <c r="F8" s="192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88"/>
      <c r="C9" s="189"/>
      <c r="D9" s="190"/>
      <c r="E9" s="191"/>
      <c r="F9" s="192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94"/>
      <c r="C10" s="194"/>
      <c r="D10" s="195"/>
      <c r="E10" s="195"/>
      <c r="F10" s="195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88"/>
      <c r="C11" s="189"/>
      <c r="D11" s="190"/>
      <c r="E11" s="191"/>
      <c r="F11" s="192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94"/>
      <c r="C12" s="194"/>
      <c r="D12" s="195"/>
      <c r="E12" s="195"/>
      <c r="F12" s="195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88"/>
      <c r="C13" s="189"/>
      <c r="D13" s="190"/>
      <c r="E13" s="191"/>
      <c r="F13" s="192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88"/>
      <c r="C14" s="189"/>
      <c r="D14" s="190"/>
      <c r="E14" s="191"/>
      <c r="F14" s="192"/>
      <c r="G14" s="107"/>
      <c r="H14" s="108"/>
      <c r="I14" s="109"/>
      <c r="J14" s="109"/>
      <c r="K14" s="110"/>
      <c r="L14" s="111"/>
      <c r="S14" s="102"/>
    </row>
    <row r="15" spans="1:19" ht="22.5" customHeight="1">
      <c r="A15" s="5">
        <f t="shared" si="0"/>
        <v>10</v>
      </c>
      <c r="B15" s="188"/>
      <c r="C15" s="189"/>
      <c r="D15" s="190"/>
      <c r="E15" s="191"/>
      <c r="F15" s="192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96" t="s">
        <v>8</v>
      </c>
      <c r="B16" s="197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195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60"/>
      <c r="Z18" s="11"/>
    </row>
    <row r="19" spans="1:26" ht="50.1" customHeight="1">
      <c r="Y19" s="161"/>
    </row>
    <row r="20" spans="1:26" ht="15" customHeight="1">
      <c r="O20" s="156" t="s">
        <v>123</v>
      </c>
      <c r="P20" s="162"/>
      <c r="Q20" s="162"/>
      <c r="R20" s="157"/>
      <c r="S20" s="123"/>
      <c r="T20" s="156" t="s">
        <v>124</v>
      </c>
      <c r="U20" s="162"/>
      <c r="V20" s="162"/>
      <c r="W20" s="162"/>
      <c r="X20" s="162"/>
      <c r="Y20" s="157"/>
    </row>
    <row r="21" spans="1:26" ht="15" customHeight="1">
      <c r="O21" s="163" t="s">
        <v>125</v>
      </c>
      <c r="P21" s="165" t="s">
        <v>126</v>
      </c>
      <c r="Q21" s="163" t="s">
        <v>127</v>
      </c>
      <c r="R21" s="165" t="s">
        <v>128</v>
      </c>
      <c r="S21" s="123"/>
      <c r="T21" s="163" t="s">
        <v>129</v>
      </c>
      <c r="U21" s="165" t="s">
        <v>130</v>
      </c>
      <c r="V21" s="156" t="s">
        <v>131</v>
      </c>
      <c r="W21" s="162"/>
      <c r="X21" s="157"/>
      <c r="Y21" s="165" t="s">
        <v>132</v>
      </c>
    </row>
    <row r="22" spans="1:26" ht="18" customHeight="1">
      <c r="O22" s="164"/>
      <c r="P22" s="166"/>
      <c r="Q22" s="164"/>
      <c r="R22" s="166"/>
      <c r="S22" s="127"/>
      <c r="T22" s="164"/>
      <c r="U22" s="166"/>
      <c r="V22" s="13" t="s">
        <v>125</v>
      </c>
      <c r="W22" s="167" t="s">
        <v>133</v>
      </c>
      <c r="X22" s="168"/>
      <c r="Y22" s="166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156"/>
      <c r="X23" s="157"/>
      <c r="Y23" s="128"/>
    </row>
    <row r="24" spans="1:26" ht="36" customHeight="1">
      <c r="W24" s="129"/>
      <c r="X24" s="158" t="s">
        <v>134</v>
      </c>
      <c r="Y24" s="12" t="s">
        <v>132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59"/>
      <c r="Y25" s="132"/>
    </row>
    <row r="26" spans="1:26" ht="19.899999999999999" customHeight="1"/>
    <row r="27" spans="1:26" ht="17.45" customHeight="1">
      <c r="O27" s="198"/>
      <c r="P27" s="198"/>
      <c r="Q27" s="198"/>
    </row>
    <row r="28" spans="1:26" ht="19.899999999999999" customHeight="1">
      <c r="O28" s="198"/>
      <c r="P28" s="198"/>
      <c r="Q28" s="198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5" t="s">
        <v>12</v>
      </c>
    </row>
    <row r="41" spans="15:22" ht="19.899999999999999" customHeight="1">
      <c r="T41" s="166"/>
    </row>
    <row r="42" spans="15:22" ht="64.900000000000006" customHeight="1">
      <c r="T42" s="14"/>
    </row>
    <row r="46" spans="15:22" ht="21" customHeight="1">
      <c r="O46" s="165" t="s">
        <v>12</v>
      </c>
      <c r="P46" s="165" t="s">
        <v>12</v>
      </c>
      <c r="Q46" s="165" t="s">
        <v>12</v>
      </c>
      <c r="T46" s="165" t="s">
        <v>13</v>
      </c>
      <c r="U46" s="165" t="s">
        <v>11</v>
      </c>
      <c r="V46" s="165" t="s">
        <v>12</v>
      </c>
    </row>
    <row r="47" spans="15:22" ht="21" customHeight="1">
      <c r="O47" s="166"/>
      <c r="P47" s="166"/>
      <c r="Q47" s="166"/>
      <c r="T47" s="164"/>
      <c r="U47" s="164"/>
      <c r="V47" s="16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5" t="s">
        <v>12</v>
      </c>
      <c r="P50" s="165" t="s">
        <v>12</v>
      </c>
      <c r="Q50" s="165" t="s">
        <v>12</v>
      </c>
      <c r="T50" s="165" t="s">
        <v>11</v>
      </c>
      <c r="U50" s="165" t="s">
        <v>13</v>
      </c>
      <c r="V50" s="165" t="s">
        <v>12</v>
      </c>
    </row>
    <row r="51" spans="15:22" ht="21" customHeight="1">
      <c r="O51" s="166"/>
      <c r="P51" s="166"/>
      <c r="Q51" s="166"/>
      <c r="T51" s="164"/>
      <c r="U51" s="164"/>
      <c r="V51" s="16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T8" sqref="T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89</v>
      </c>
      <c r="B1" s="96"/>
      <c r="C1" s="96"/>
      <c r="D1" s="96"/>
      <c r="E1" s="96"/>
      <c r="F1" s="96"/>
      <c r="G1" s="1"/>
      <c r="J1" s="169" t="str">
        <f>+MRS!J1</f>
        <v>DAESHIN PLANT</v>
      </c>
      <c r="K1" s="171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72" t="str">
        <f>+MRS!J2</f>
        <v>Subcontract name ()</v>
      </c>
      <c r="K2" s="174"/>
    </row>
    <row r="3" spans="1:18" ht="24.95" customHeight="1">
      <c r="A3" s="3" t="str">
        <f>+MRS!A3</f>
        <v xml:space="preserve">  MRS No : SAC2-DS-MRS-0446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46267</v>
      </c>
    </row>
    <row r="4" spans="1:18" ht="15.95" customHeight="1">
      <c r="A4" s="199" t="s">
        <v>2</v>
      </c>
      <c r="B4" s="200" t="s">
        <v>14</v>
      </c>
      <c r="C4" s="200"/>
      <c r="D4" s="199" t="s">
        <v>4</v>
      </c>
      <c r="E4" s="199"/>
      <c r="F4" s="199"/>
      <c r="G4" s="200" t="s">
        <v>5</v>
      </c>
      <c r="H4" s="199" t="s">
        <v>84</v>
      </c>
      <c r="I4" s="199" t="s">
        <v>15</v>
      </c>
      <c r="J4" s="199" t="s">
        <v>16</v>
      </c>
      <c r="K4" s="200" t="s">
        <v>7</v>
      </c>
    </row>
    <row r="5" spans="1:18" ht="15.95" customHeight="1">
      <c r="A5" s="199"/>
      <c r="B5" s="200"/>
      <c r="C5" s="200"/>
      <c r="D5" s="199"/>
      <c r="E5" s="199"/>
      <c r="F5" s="199"/>
      <c r="G5" s="200"/>
      <c r="H5" s="199"/>
      <c r="I5" s="199"/>
      <c r="J5" s="199"/>
      <c r="K5" s="200"/>
    </row>
    <row r="6" spans="1:18" ht="105" customHeight="1">
      <c r="A6" s="17">
        <f>+MRS!A6</f>
        <v>1</v>
      </c>
      <c r="B6" s="201" t="str">
        <f>MRS!B6</f>
        <v>Rotating QC Inspector</v>
      </c>
      <c r="C6" s="202"/>
      <c r="D6" s="203">
        <f>MRS!D6</f>
        <v>0</v>
      </c>
      <c r="E6" s="204"/>
      <c r="F6" s="205"/>
      <c r="G6" s="99" t="str">
        <f>MRS!G6</f>
        <v>Hour</v>
      </c>
      <c r="H6" s="99">
        <f>MRS!H6</f>
        <v>1</v>
      </c>
      <c r="I6" s="100">
        <f>MRS!I6</f>
        <v>90</v>
      </c>
      <c r="J6" s="100">
        <f>MRS!J6</f>
        <v>90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201" t="str">
        <f>MRS!B7</f>
        <v>Static QC Inspector</v>
      </c>
      <c r="C7" s="202"/>
      <c r="D7" s="203">
        <f>MRS!D7</f>
        <v>0</v>
      </c>
      <c r="E7" s="204"/>
      <c r="F7" s="205"/>
      <c r="G7" s="99" t="str">
        <f>MRS!G7</f>
        <v>Hour</v>
      </c>
      <c r="H7" s="99">
        <f>MRS!H7</f>
        <v>1</v>
      </c>
      <c r="I7" s="100">
        <f>MRS!I7</f>
        <v>105</v>
      </c>
      <c r="J7" s="100">
        <f>MRS!J7</f>
        <v>105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206"/>
      <c r="C8" s="207"/>
      <c r="D8" s="208"/>
      <c r="E8" s="209"/>
      <c r="F8" s="210"/>
      <c r="G8" s="103"/>
      <c r="H8" s="104"/>
      <c r="I8" s="105"/>
      <c r="J8" s="105"/>
      <c r="K8" s="101"/>
      <c r="O8" s="102"/>
      <c r="P8" s="102"/>
      <c r="R8" s="102"/>
    </row>
    <row r="9" spans="1:18" ht="105" customHeight="1">
      <c r="A9" s="17">
        <f>+MRS!A9</f>
        <v>4</v>
      </c>
      <c r="B9" s="206"/>
      <c r="C9" s="207"/>
      <c r="D9" s="208"/>
      <c r="E9" s="209"/>
      <c r="F9" s="210"/>
      <c r="G9" s="103"/>
      <c r="H9" s="104"/>
      <c r="I9" s="105"/>
      <c r="J9" s="105"/>
      <c r="K9" s="101"/>
      <c r="O9" s="102"/>
      <c r="P9" s="102"/>
      <c r="R9" s="102"/>
    </row>
    <row r="10" spans="1:18" ht="105" customHeight="1">
      <c r="A10" s="17">
        <f>+MRS!A10</f>
        <v>5</v>
      </c>
      <c r="B10" s="206"/>
      <c r="C10" s="207"/>
      <c r="D10" s="208"/>
      <c r="E10" s="209"/>
      <c r="F10" s="210"/>
      <c r="G10" s="103"/>
      <c r="H10" s="104"/>
      <c r="I10" s="105"/>
      <c r="J10" s="105"/>
      <c r="K10" s="101"/>
      <c r="O10" s="102"/>
      <c r="P10" s="102"/>
      <c r="R10" s="102"/>
    </row>
    <row r="11" spans="1:18" ht="105" customHeight="1">
      <c r="A11" s="17">
        <f>+MRS!A11</f>
        <v>6</v>
      </c>
      <c r="B11" s="206"/>
      <c r="C11" s="207"/>
      <c r="D11" s="208"/>
      <c r="E11" s="209"/>
      <c r="F11" s="210"/>
      <c r="G11" s="103"/>
      <c r="H11" s="104"/>
      <c r="I11" s="105"/>
      <c r="J11" s="105"/>
      <c r="K11" s="101"/>
      <c r="O11" s="102"/>
      <c r="P11" s="102"/>
      <c r="R11" s="102"/>
    </row>
    <row r="12" spans="1:18" ht="105" customHeight="1">
      <c r="A12" s="17">
        <f>+MRS!A12</f>
        <v>7</v>
      </c>
      <c r="B12" s="206"/>
      <c r="C12" s="207"/>
      <c r="D12" s="208"/>
      <c r="E12" s="209"/>
      <c r="F12" s="210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206"/>
      <c r="C13" s="207"/>
      <c r="D13" s="208"/>
      <c r="E13" s="209"/>
      <c r="F13" s="210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206"/>
      <c r="C14" s="207"/>
      <c r="D14" s="208"/>
      <c r="E14" s="209"/>
      <c r="F14" s="210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206"/>
      <c r="C15" s="207"/>
      <c r="D15" s="208"/>
      <c r="E15" s="209"/>
      <c r="F15" s="210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206"/>
      <c r="C16" s="207"/>
      <c r="D16" s="208"/>
      <c r="E16" s="209"/>
      <c r="F16" s="210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206"/>
      <c r="C17" s="207"/>
      <c r="D17" s="208"/>
      <c r="E17" s="209"/>
      <c r="F17" s="210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31" zoomScale="130" zoomScaleNormal="100" zoomScaleSheetLayoutView="130" workbookViewId="0">
      <selection activeCell="Q65" sqref="Q6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97</v>
      </c>
      <c r="D9" s="35"/>
      <c r="E9" s="35"/>
    </row>
    <row r="10" spans="2:13" s="35" customFormat="1">
      <c r="B10" s="68"/>
      <c r="C10" s="35" t="s">
        <v>24</v>
      </c>
      <c r="D10" s="72" t="s">
        <v>98</v>
      </c>
      <c r="J10" s="35" t="s">
        <v>25</v>
      </c>
      <c r="K10" s="211">
        <f>MRS!L3</f>
        <v>46267</v>
      </c>
      <c r="L10" s="212"/>
      <c r="M10" s="212"/>
    </row>
    <row r="11" spans="2:13" s="35" customFormat="1">
      <c r="B11" s="68"/>
      <c r="C11" s="71" t="s">
        <v>26</v>
      </c>
      <c r="D11" s="72" t="s">
        <v>99</v>
      </c>
      <c r="J11" s="35" t="s">
        <v>27</v>
      </c>
      <c r="K11" s="213" t="str">
        <f>SUBSTITUTE(SUBSTITUTE(+MRS!A3,"  MRS No : ",""),"-MRS","-PO")</f>
        <v>SAC2-DS-PO-0446</v>
      </c>
      <c r="L11" s="213"/>
      <c r="M11" s="213"/>
    </row>
    <row r="12" spans="2:13" s="35" customFormat="1">
      <c r="B12" s="68"/>
      <c r="C12" s="71" t="s">
        <v>28</v>
      </c>
      <c r="D12" s="35" t="s">
        <v>92</v>
      </c>
      <c r="J12" s="35" t="s">
        <v>29</v>
      </c>
    </row>
    <row r="13" spans="2:13" s="35" customFormat="1">
      <c r="B13" s="68"/>
      <c r="C13" s="73"/>
      <c r="D13" s="72" t="s">
        <v>96</v>
      </c>
      <c r="J13" s="35" t="s">
        <v>30</v>
      </c>
    </row>
    <row r="14" spans="2:13" s="35" customFormat="1">
      <c r="B14" s="68"/>
      <c r="C14" s="73" t="s">
        <v>94</v>
      </c>
      <c r="J14" s="35" t="s">
        <v>31</v>
      </c>
      <c r="K14" s="35" t="s">
        <v>136</v>
      </c>
    </row>
    <row r="15" spans="2:13" s="35" customFormat="1">
      <c r="B15" s="68"/>
      <c r="C15" s="73" t="s">
        <v>95</v>
      </c>
      <c r="J15" s="35" t="s">
        <v>32</v>
      </c>
      <c r="K15" s="74">
        <v>46266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214" t="s">
        <v>33</v>
      </c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</row>
    <row r="19" spans="2:13" ht="12" customHeight="1"/>
    <row r="20" spans="2:13" s="27" customFormat="1" ht="12" customHeight="1">
      <c r="B20" s="215" t="s">
        <v>34</v>
      </c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</row>
    <row r="21" spans="2:13" s="27" customFormat="1" ht="12" customHeight="1">
      <c r="B21" s="215" t="s">
        <v>35</v>
      </c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</row>
    <row r="22" spans="2:13" s="27" customFormat="1" ht="12" customHeight="1">
      <c r="B22" s="215" t="s">
        <v>36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</row>
    <row r="23" spans="2:13" ht="6.95" customHeight="1"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</row>
    <row r="24" spans="2:13" ht="6.95" customHeight="1"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69"/>
      <c r="C26" s="72" t="s">
        <v>135</v>
      </c>
      <c r="M26" s="75" t="s">
        <v>38</v>
      </c>
    </row>
    <row r="27" spans="2:13" ht="11.1" customHeight="1">
      <c r="B27" s="28"/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19" t="s">
        <v>117</v>
      </c>
      <c r="G29" s="119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218"/>
      <c r="G30" s="218"/>
    </row>
    <row r="31" spans="2:13" ht="12" customHeight="1">
      <c r="B31" s="28"/>
      <c r="C31" s="22" t="s">
        <v>43</v>
      </c>
      <c r="D31" s="31"/>
      <c r="E31" s="22" t="s">
        <v>41</v>
      </c>
      <c r="F31" s="218"/>
      <c r="G31" s="218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6" t="s">
        <v>57</v>
      </c>
      <c r="C49" s="77" t="s">
        <v>100</v>
      </c>
      <c r="P49" s="78"/>
    </row>
    <row r="50" spans="2:16" s="79" customFormat="1" ht="12" customHeight="1">
      <c r="B50" s="80" t="s">
        <v>57</v>
      </c>
      <c r="C50" s="77" t="s">
        <v>86</v>
      </c>
    </row>
    <row r="51" spans="2:16" s="79" customFormat="1" ht="12" customHeight="1">
      <c r="B51" s="80" t="s">
        <v>57</v>
      </c>
      <c r="C51" s="77" t="s">
        <v>85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103</v>
      </c>
    </row>
    <row r="54" spans="2:16" ht="12" customHeight="1">
      <c r="B54" s="80" t="s">
        <v>57</v>
      </c>
      <c r="C54" s="120" t="s">
        <v>104</v>
      </c>
      <c r="F54" s="121" t="s">
        <v>112</v>
      </c>
      <c r="P54" s="22" t="str">
        <f>UPPER(F54)</f>
        <v>ADVANCED START TRADING &amp; GENERAL CONTRACTING EST.</v>
      </c>
    </row>
    <row r="55" spans="2:16" ht="12" customHeight="1">
      <c r="B55" s="80" t="s">
        <v>57</v>
      </c>
      <c r="C55" s="120" t="s">
        <v>105</v>
      </c>
      <c r="F55" s="121" t="s">
        <v>114</v>
      </c>
    </row>
    <row r="56" spans="2:16" ht="12" customHeight="1">
      <c r="B56" s="80" t="s">
        <v>57</v>
      </c>
      <c r="C56" s="120" t="s">
        <v>106</v>
      </c>
      <c r="F56" s="121" t="s">
        <v>113</v>
      </c>
    </row>
    <row r="57" spans="2:16" ht="12" customHeight="1">
      <c r="B57" s="80" t="s">
        <v>57</v>
      </c>
      <c r="C57" s="120" t="s">
        <v>107</v>
      </c>
      <c r="F57" s="22" t="s">
        <v>115</v>
      </c>
    </row>
    <row r="58" spans="2:16" ht="12" customHeight="1">
      <c r="B58" s="80" t="s">
        <v>57</v>
      </c>
      <c r="C58" s="120" t="s">
        <v>108</v>
      </c>
      <c r="F58" s="22" t="s">
        <v>116</v>
      </c>
    </row>
    <row r="59" spans="2:16" ht="12" customHeight="1">
      <c r="B59" s="80" t="s">
        <v>57</v>
      </c>
      <c r="C59" s="120" t="s">
        <v>109</v>
      </c>
      <c r="F59" s="22" t="s">
        <v>110</v>
      </c>
    </row>
    <row r="60" spans="2:16" ht="12" customHeight="1">
      <c r="B60" s="80"/>
      <c r="C60" s="122" t="s">
        <v>111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58</v>
      </c>
      <c r="J64" s="28" t="s">
        <v>59</v>
      </c>
    </row>
    <row r="65" spans="1:13" ht="50.1" customHeight="1"/>
    <row r="66" spans="1:13" ht="18" customHeight="1">
      <c r="B66" s="22" t="s">
        <v>60</v>
      </c>
      <c r="J66" s="22" t="s">
        <v>60</v>
      </c>
    </row>
    <row r="67" spans="1:13" ht="18" customHeight="1">
      <c r="B67" s="22" t="s">
        <v>61</v>
      </c>
      <c r="J67" s="22" t="s">
        <v>62</v>
      </c>
      <c r="K67" s="18" t="str">
        <f>D12</f>
        <v>Abhilash K.K.</v>
      </c>
    </row>
    <row r="68" spans="1:13" ht="18" customHeight="1">
      <c r="B68" s="22" t="s">
        <v>63</v>
      </c>
      <c r="J68" s="22" t="s">
        <v>64</v>
      </c>
      <c r="K68" s="18" t="s">
        <v>93</v>
      </c>
    </row>
    <row r="69" spans="1:13" ht="15" customHeight="1">
      <c r="B69" s="22" t="s">
        <v>65</v>
      </c>
      <c r="J69" s="22" t="s">
        <v>66</v>
      </c>
    </row>
    <row r="70" spans="1:13" s="24" customFormat="1" ht="24.75" customHeight="1">
      <c r="B70" s="21" t="s">
        <v>67</v>
      </c>
      <c r="J70" s="219" t="str">
        <f>C9</f>
        <v>ACE(Advanced Start Trading &amp; General Contracting Est.)</v>
      </c>
      <c r="K70" s="219"/>
      <c r="L70" s="219"/>
      <c r="M70" s="219"/>
    </row>
    <row r="71" spans="1:13" ht="27.95" customHeight="1">
      <c r="A71" s="155" t="s">
        <v>68</v>
      </c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8" zoomScaleSheetLayoutView="100" zoomScalePageLayoutView="55" workbookViewId="0">
      <selection activeCell="L15" sqref="L15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SAC2-DS-PO-0446</v>
      </c>
      <c r="C2" s="135" t="s">
        <v>70</v>
      </c>
      <c r="D2" s="135"/>
      <c r="E2" s="135"/>
      <c r="F2" s="135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46267</v>
      </c>
      <c r="C3" s="47"/>
      <c r="D3" s="48"/>
      <c r="E3" s="136" t="s">
        <v>72</v>
      </c>
      <c r="F3" s="136"/>
      <c r="G3" s="136"/>
      <c r="H3" s="136"/>
      <c r="I3" s="49"/>
    </row>
    <row r="4" spans="1:13" s="51" customFormat="1" ht="28.5" customHeight="1" thickTop="1">
      <c r="A4" s="137" t="s">
        <v>73</v>
      </c>
      <c r="B4" s="139" t="s">
        <v>74</v>
      </c>
      <c r="C4" s="140"/>
      <c r="D4" s="143" t="s">
        <v>75</v>
      </c>
      <c r="E4" s="143" t="s">
        <v>76</v>
      </c>
      <c r="F4" s="145" t="str">
        <f>'PO 1st page'!C9</f>
        <v>ACE(Advanced Start Trading &amp; General Contracting Est.)</v>
      </c>
      <c r="G4" s="146"/>
      <c r="H4" s="147" t="s">
        <v>77</v>
      </c>
      <c r="K4" s="52"/>
      <c r="L4" s="52"/>
      <c r="M4" s="52"/>
    </row>
    <row r="5" spans="1:13" s="51" customFormat="1" ht="21.95" customHeight="1">
      <c r="A5" s="138"/>
      <c r="B5" s="141"/>
      <c r="C5" s="142"/>
      <c r="D5" s="144"/>
      <c r="E5" s="144"/>
      <c r="F5" s="53" t="s">
        <v>78</v>
      </c>
      <c r="G5" s="53" t="s">
        <v>43</v>
      </c>
      <c r="H5" s="148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49" t="str">
        <f>CONCATENATE(MRS!B6," ",MRS!D6)</f>
        <v xml:space="preserve">Rotating QC Inspector </v>
      </c>
      <c r="C6" s="150"/>
      <c r="D6" s="82" t="str">
        <f>+'MRS LIST'!G6</f>
        <v>Hour</v>
      </c>
      <c r="E6" s="83">
        <f>+'MRS LIST'!H6</f>
        <v>1</v>
      </c>
      <c r="F6" s="84">
        <f>+'MRS LIST'!I6</f>
        <v>90</v>
      </c>
      <c r="G6" s="85">
        <f>+'MRS LIST'!J6</f>
        <v>90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49" t="str">
        <f>CONCATENATE(MRS!B7," ",MRS!D7)</f>
        <v xml:space="preserve">Static QC Inspector </v>
      </c>
      <c r="C7" s="150"/>
      <c r="D7" s="82" t="str">
        <f>+'MRS LIST'!G7</f>
        <v>Hour</v>
      </c>
      <c r="E7" s="83">
        <f>+'MRS LIST'!H7</f>
        <v>1</v>
      </c>
      <c r="F7" s="84">
        <f>+'MRS LIST'!I7</f>
        <v>105</v>
      </c>
      <c r="G7" s="85">
        <f>+'MRS LIST'!J7</f>
        <v>105</v>
      </c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33"/>
      <c r="C8" s="134"/>
      <c r="D8" s="90"/>
      <c r="E8" s="91"/>
      <c r="F8" s="92"/>
      <c r="G8" s="93"/>
      <c r="H8" s="94"/>
      <c r="K8" s="52"/>
      <c r="L8" s="52"/>
      <c r="M8" s="52"/>
    </row>
    <row r="9" spans="1:13" s="51" customFormat="1" ht="32.1" customHeight="1">
      <c r="A9" s="89">
        <f t="shared" si="0"/>
        <v>4</v>
      </c>
      <c r="B9" s="133"/>
      <c r="C9" s="134"/>
      <c r="D9" s="90"/>
      <c r="E9" s="91"/>
      <c r="F9" s="92"/>
      <c r="G9" s="93"/>
      <c r="H9" s="94"/>
    </row>
    <row r="10" spans="1:13" s="51" customFormat="1" ht="32.1" customHeight="1">
      <c r="A10" s="89">
        <f t="shared" si="0"/>
        <v>5</v>
      </c>
      <c r="B10" s="133"/>
      <c r="C10" s="134"/>
      <c r="D10" s="90"/>
      <c r="E10" s="91"/>
      <c r="F10" s="92"/>
      <c r="G10" s="93"/>
      <c r="H10" s="94"/>
    </row>
    <row r="11" spans="1:13" s="51" customFormat="1" ht="32.1" customHeight="1">
      <c r="A11" s="89">
        <f t="shared" si="0"/>
        <v>6</v>
      </c>
      <c r="B11" s="133"/>
      <c r="C11" s="134"/>
      <c r="D11" s="90"/>
      <c r="E11" s="91"/>
      <c r="F11" s="92"/>
      <c r="G11" s="93"/>
      <c r="H11" s="94"/>
    </row>
    <row r="12" spans="1:13" s="51" customFormat="1" ht="32.1" customHeight="1">
      <c r="A12" s="89">
        <f t="shared" si="0"/>
        <v>7</v>
      </c>
      <c r="B12" s="133"/>
      <c r="C12" s="134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133"/>
      <c r="C13" s="134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133"/>
      <c r="C14" s="134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133"/>
      <c r="C15" s="134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133"/>
      <c r="C16" s="134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133"/>
      <c r="C17" s="134"/>
      <c r="D17" s="90"/>
      <c r="E17" s="91"/>
      <c r="F17" s="92"/>
      <c r="G17" s="93"/>
      <c r="H17" s="94"/>
    </row>
    <row r="18" spans="1:13" s="51" customFormat="1" ht="23.1" customHeight="1">
      <c r="A18" s="151" t="s">
        <v>79</v>
      </c>
      <c r="B18" s="152"/>
      <c r="C18" s="152"/>
      <c r="D18" s="152"/>
      <c r="E18" s="152"/>
      <c r="F18" s="152"/>
      <c r="G18" s="54">
        <f>SUM(G6:G17)</f>
        <v>195</v>
      </c>
      <c r="H18" s="55"/>
    </row>
    <row r="19" spans="1:13" s="51" customFormat="1" ht="23.1" customHeight="1">
      <c r="A19" s="151" t="s">
        <v>42</v>
      </c>
      <c r="B19" s="152"/>
      <c r="C19" s="152"/>
      <c r="D19" s="152"/>
      <c r="E19" s="152"/>
      <c r="F19" s="152"/>
      <c r="G19" s="54">
        <f>+G18*0.15</f>
        <v>29.25</v>
      </c>
      <c r="H19" s="55"/>
    </row>
    <row r="20" spans="1:13" s="51" customFormat="1" ht="24.95" customHeight="1" thickBot="1">
      <c r="A20" s="153" t="s">
        <v>80</v>
      </c>
      <c r="B20" s="154"/>
      <c r="C20" s="154"/>
      <c r="D20" s="154"/>
      <c r="E20" s="154"/>
      <c r="F20" s="154"/>
      <c r="G20" s="56">
        <f>G19+G18</f>
        <v>224.25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QTN-MS-25-246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55" t="s">
        <v>82</v>
      </c>
      <c r="B24" s="155"/>
      <c r="C24" s="155"/>
      <c r="D24" s="155"/>
      <c r="E24" s="155"/>
      <c r="F24" s="155"/>
      <c r="G24" s="155"/>
      <c r="H24" s="155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2026-09-02T04:03:18Z</cp:lastPrinted>
  <dcterms:created xsi:type="dcterms:W3CDTF">2024-10-20T11:50:19Z</dcterms:created>
  <dcterms:modified xsi:type="dcterms:W3CDTF">2026-09-02T15:53:13Z</dcterms:modified>
</cp:coreProperties>
</file>