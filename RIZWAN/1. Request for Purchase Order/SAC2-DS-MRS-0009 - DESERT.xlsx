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FE2401CB-4DF9-4FED-80CA-34DA64FEC8E8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<sst xmlns="http://schemas.openxmlformats.org/spreadsheetml/2006/main" count="152" uniqueCount="118">
  <si>
    <t>Vendor Name</t>
    <phoneticPr fontId="5" type="noConversion"/>
  </si>
  <si>
    <t xml:space="preserve">  PJT :  SACE2           </t>
    <phoneticPr fontId="5" type="noConversion"/>
  </si>
  <si>
    <t>Subcontract name (Subcontract No.)</t>
    <phoneticPr fontId="9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</si>
  <si>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</si>
  <si>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</si>
  <si>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</si>
  <si>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</si>
  <si>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</si>
  <si>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</si>
  <si>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</si>
  <si>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</si>
  <si>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</si>
  <si>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</si>
  <si>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</si>
  <si>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</si>
  <si>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</si>
  <si>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</si>
  <si>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</si>
  <si>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</si>
  <si>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</si>
  <si>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</si>
  <si>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</si>
  <si>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</si>
  <si>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</si>
  <si>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</si>
  <si>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</si>
  <si>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</si>
  <si>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</si>
  <si>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</si>
  <si>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</si>
  <si>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</si>
  <si>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</si>
  <si>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</si>
  <si>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</si>
  <si>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</si>
  <si>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</si>
  <si>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</si>
  <si>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</si>
  <si>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</si>
  <si>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</si>
  <si>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</si>
  <si>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</si>
  <si>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</si>
  <si>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</si>
  <si>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</si>
  <si>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</si>
  <si>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</si>
  <si>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</si>
  <si>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</si>
  <si>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</si>
  <si>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</si>
  <si>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</si>
  <si>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</si>
  <si>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</si>
  <si>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</si>
  <si>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</si>
  <si>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</si>
  <si>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</si>
  <si>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</si>
  <si>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</si>
  <si>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</si>
  <si>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</si>
  <si>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</si>
  <si>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</si>
  <si>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</si>
  <si>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</si>
  <si>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</si>
  <si>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</si>
  <si>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</si>
  <si>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</si>
  <si>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</si>
  <si>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</si>
  <si>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</si>
  <si>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</si>
  <si>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</si>
  <si>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</si>
  <si>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</si>
  <si>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</si>
  <si>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</si>
  <si>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</si>
  <si>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</si>
  <si>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</si>
  <si>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</si>
  <si>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</si>
  <si>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</si>
  <si>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</si>
  <si>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</si>
  <si>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</si>
  <si>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</si>
  <si>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</si>
  <si>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</si>
  <si>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</si>
  <si>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</si>
  <si>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</si>
  <si>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Month</t>
    <phoneticPr fontId="9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</si>
  <si>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</si>
  <si>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</si>
  <si>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</si>
  <si>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</si>
  <si>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</si>
  <si>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</si>
  <si>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</si>
  <si>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</si>
  <si>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</si>
  <si>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</si>
  <si>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 xml:space="preserve">  MRS No : SAC2-DS-MRS-0009</t>
  </si>
  <si>
    <t>Pick-up</t>
  </si>
  <si>
    <t>DSGC</t>
  </si>
  <si>
    <t>DSCE/DAE/Q-10788</t>
  </si>
  <si>
    <t>DSGC(Desert Solution General Contracting Company LLC)</t>
  </si>
  <si>
    <t>311318994400003</t>
  </si>
  <si>
    <t>Bldg No . 4645  King Fahad Street, Opposite Jubail Mall , Al Jubail</t>
  </si>
  <si>
    <t>Shameer Rehaman</t>
  </si>
  <si>
    <t>+966 53 3121661 / Email:shameer@desertsolutionindus.com</t>
  </si>
  <si>
    <t>Landline: +966 13 362 3735 / Mobile : +966 533121661</t>
  </si>
  <si>
    <t xml:space="preserve"> Manual 4x4 Hilux Diesel Pick-up</t>
  </si>
  <si>
    <t>Manual / 4x4 Hilux / Diesel</t>
  </si>
  <si>
    <t>Managing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</si>
</sst>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3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P10" sqref="P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102</v>
      </c>
      <c r="B1" s="110"/>
      <c r="C1" s="110"/>
      <c r="D1" s="110"/>
      <c r="E1" s="110"/>
      <c r="F1" s="110"/>
      <c r="G1" s="1"/>
      <c r="J1" s="140" t="s">
        <v>93</v>
      </c>
      <c r="K1" s="141"/>
      <c r="L1" s="142"/>
    </row>
    <row r="2" spans="1:19" ht="20.100000000000001" customHeight="1">
      <c r="A2" s="3" t="s">
        <v>1</v>
      </c>
      <c r="B2" s="101"/>
      <c r="C2" s="101"/>
      <c r="D2" s="3" t="s">
        <v>101</v>
      </c>
      <c r="E2" s="101"/>
      <c r="F2" s="101"/>
      <c r="G2" s="101"/>
      <c r="H2" s="101"/>
      <c r="I2" s="4"/>
      <c r="J2" s="143" t="s">
        <v>2</v>
      </c>
      <c r="K2" s="144"/>
      <c r="L2" s="145"/>
    </row>
    <row r="3" spans="1:19" ht="20.100000000000001" customHeight="1">
      <c r="A3" s="3" t="s">
        <v>105</v>
      </c>
      <c r="B3" s="101"/>
      <c r="C3" s="101"/>
      <c r="D3" s="101"/>
      <c r="E3" s="146">
        <f>+L3</f>
        <v>45640</v>
      </c>
      <c r="F3" s="146"/>
      <c r="G3" s="146"/>
      <c r="H3" s="146"/>
      <c r="I3" s="146"/>
      <c r="J3" s="101"/>
      <c r="K3" s="101"/>
      <c r="L3" s="122">
        <v>45640</v>
      </c>
      <c r="M3" s="4"/>
    </row>
    <row r="4" spans="1:19" ht="15.95" customHeight="1">
      <c r="A4" s="147" t="s">
        <v>3</v>
      </c>
      <c r="B4" s="148" t="s">
        <v>4</v>
      </c>
      <c r="C4" s="148"/>
      <c r="D4" s="149" t="s">
        <v>5</v>
      </c>
      <c r="E4" s="150"/>
      <c r="F4" s="151"/>
      <c r="G4" s="155" t="s">
        <v>6</v>
      </c>
      <c r="H4" s="157" t="s">
        <v>7</v>
      </c>
      <c r="I4" s="157" t="s">
        <v>99</v>
      </c>
      <c r="J4" s="147" t="s">
        <v>100</v>
      </c>
      <c r="K4" s="157" t="s">
        <v>0</v>
      </c>
      <c r="L4" s="148" t="s">
        <v>8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8" t="s">
        <v>106</v>
      </c>
      <c r="C6" s="129"/>
      <c r="D6" s="130" t="s">
        <v>116</v>
      </c>
      <c r="E6" s="131"/>
      <c r="F6" s="132"/>
      <c r="G6" s="111" t="s">
        <v>94</v>
      </c>
      <c r="H6" s="112">
        <v>1</v>
      </c>
      <c r="I6" s="113">
        <v>8000</v>
      </c>
      <c r="J6" s="113">
        <f>H6*I6</f>
        <v>8000</v>
      </c>
      <c r="K6" s="114" t="s">
        <v>107</v>
      </c>
      <c r="L6" s="115" t="s">
        <v>104</v>
      </c>
      <c r="S6" s="106"/>
    </row>
    <row r="7" spans="1:19" ht="22.5" customHeight="1">
      <c r="A7" s="5">
        <f t="shared" si="0"/>
        <v>2</v>
      </c>
      <c r="B7" s="128"/>
      <c r="C7" s="129"/>
      <c r="D7" s="139"/>
      <c r="E7" s="131"/>
      <c r="F7" s="132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8"/>
      <c r="C8" s="129"/>
      <c r="D8" s="130"/>
      <c r="E8" s="131"/>
      <c r="F8" s="132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8"/>
      <c r="C9" s="129"/>
      <c r="D9" s="130"/>
      <c r="E9" s="131"/>
      <c r="F9" s="132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7"/>
      <c r="C10" s="137"/>
      <c r="D10" s="138"/>
      <c r="E10" s="138"/>
      <c r="F10" s="138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8"/>
      <c r="C11" s="129"/>
      <c r="D11" s="130"/>
      <c r="E11" s="131"/>
      <c r="F11" s="132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7"/>
      <c r="C12" s="137"/>
      <c r="D12" s="138"/>
      <c r="E12" s="138"/>
      <c r="F12" s="138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8"/>
      <c r="C13" s="129"/>
      <c r="D13" s="130"/>
      <c r="E13" s="131"/>
      <c r="F13" s="13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8"/>
      <c r="C15" s="129"/>
      <c r="D15" s="130"/>
      <c r="E15" s="131"/>
      <c r="F15" s="13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3" t="s">
        <v>9</v>
      </c>
      <c r="B16" s="134"/>
      <c r="C16" s="117"/>
      <c r="D16" s="118"/>
      <c r="E16" s="118"/>
      <c r="F16" s="118"/>
      <c r="G16" s="119"/>
      <c r="H16" s="119"/>
      <c r="I16" s="120" t="s">
        <v>10</v>
      </c>
      <c r="J16" s="113">
        <f>SUM(J6:J15)</f>
        <v>8000</v>
      </c>
      <c r="K16" s="113"/>
      <c r="L16" s="121"/>
    </row>
    <row r="17" spans="1:22" ht="20.100000000000001" customHeight="1">
      <c r="A17" s="6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5" t="s">
        <v>12</v>
      </c>
      <c r="T18" s="12" t="s">
        <v>13</v>
      </c>
      <c r="U18" s="13" t="s">
        <v>14</v>
      </c>
      <c r="V18" s="12" t="s">
        <v>15</v>
      </c>
    </row>
    <row r="19" spans="1:22" ht="50.1" customHeight="1">
      <c r="S19" s="136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16</v>
      </c>
      <c r="U20" s="15" t="s">
        <v>16</v>
      </c>
      <c r="V20" s="16" t="s">
        <v>16</v>
      </c>
    </row>
    <row r="21" spans="1:22" ht="15" customHeight="1">
      <c r="O21" s="17" t="s">
        <v>17</v>
      </c>
      <c r="P21" s="124" t="s">
        <v>18</v>
      </c>
      <c r="Q21" s="124" t="s">
        <v>19</v>
      </c>
    </row>
    <row r="22" spans="1:22" ht="18" customHeight="1">
      <c r="O22" s="18" t="s">
        <v>20</v>
      </c>
      <c r="P22" s="126"/>
      <c r="Q22" s="126"/>
      <c r="S22" s="135" t="s">
        <v>21</v>
      </c>
      <c r="T22" s="12" t="s">
        <v>13</v>
      </c>
      <c r="U22" s="12" t="s">
        <v>14</v>
      </c>
      <c r="V22" s="12" t="s">
        <v>15</v>
      </c>
    </row>
    <row r="23" spans="1:22" ht="50.1" customHeight="1">
      <c r="O23" s="14"/>
      <c r="P23" s="14"/>
      <c r="Q23" s="14"/>
      <c r="S23" s="136"/>
      <c r="T23" s="19"/>
      <c r="U23" s="19"/>
      <c r="V23" s="14"/>
    </row>
    <row r="24" spans="1:22" ht="17.100000000000001" customHeight="1">
      <c r="O24" s="16" t="s">
        <v>16</v>
      </c>
      <c r="P24" s="16" t="s">
        <v>16</v>
      </c>
      <c r="Q24" s="16" t="s">
        <v>16</v>
      </c>
      <c r="S24" s="125"/>
      <c r="T24" s="15" t="s">
        <v>16</v>
      </c>
      <c r="U24" s="15" t="s">
        <v>16</v>
      </c>
      <c r="V24" s="16" t="s">
        <v>16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22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22</v>
      </c>
      <c r="P46" s="124" t="s">
        <v>22</v>
      </c>
      <c r="Q46" s="124" t="s">
        <v>22</v>
      </c>
      <c r="T46" s="124" t="s">
        <v>23</v>
      </c>
      <c r="U46" s="124" t="s">
        <v>14</v>
      </c>
      <c r="V46" s="124" t="s">
        <v>22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22</v>
      </c>
      <c r="P50" s="124" t="s">
        <v>22</v>
      </c>
      <c r="Q50" s="124" t="s">
        <v>22</v>
      </c>
      <c r="T50" s="124" t="s">
        <v>14</v>
      </c>
      <c r="U50" s="124" t="s">
        <v>23</v>
      </c>
      <c r="V50" s="124" t="s">
        <v>22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8" sqref="O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102</v>
      </c>
      <c r="B1" s="100"/>
      <c r="C1" s="100"/>
      <c r="D1" s="100"/>
      <c r="E1" s="100"/>
      <c r="F1" s="100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43" t="str">
        <f>+MRS!J2</f>
        <v>Subcontract name (Subcontract No.)</v>
      </c>
      <c r="K2" s="145"/>
    </row>
    <row r="3" spans="1:18" ht="24.95" customHeight="1">
      <c r="A3" s="3" t="str">
        <f>+MRS!A3</f>
        <v xml:space="preserve">  MRS No : SAC2-DS-MRS-0009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45640</v>
      </c>
    </row>
    <row r="4" spans="1:18" ht="15.95" customHeight="1">
      <c r="A4" s="169" t="s">
        <v>3</v>
      </c>
      <c r="B4" s="170" t="s">
        <v>24</v>
      </c>
      <c r="C4" s="170"/>
      <c r="D4" s="169" t="s">
        <v>5</v>
      </c>
      <c r="E4" s="169"/>
      <c r="F4" s="169"/>
      <c r="G4" s="170" t="s">
        <v>6</v>
      </c>
      <c r="H4" s="169" t="s">
        <v>95</v>
      </c>
      <c r="I4" s="169" t="s">
        <v>25</v>
      </c>
      <c r="J4" s="169" t="s">
        <v>26</v>
      </c>
      <c r="K4" s="170" t="s">
        <v>8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Pick-up</v>
      </c>
      <c r="C6" s="165"/>
      <c r="D6" s="166" t="str">
        <f>MRS!D6</f>
        <v>Manual / 4x4 Hilux / Diesel</v>
      </c>
      <c r="E6" s="167"/>
      <c r="F6" s="168"/>
      <c r="G6" s="103" t="str">
        <f>MRS!G6</f>
        <v>Month</v>
      </c>
      <c r="H6" s="103">
        <f>MRS!H6</f>
        <v>1</v>
      </c>
      <c r="I6" s="104">
        <f>MRS!I6</f>
        <v>8000</v>
      </c>
      <c r="J6" s="104">
        <f>MRS!J6</f>
        <v>8000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59"/>
      <c r="C8" s="160"/>
      <c r="D8" s="161"/>
      <c r="E8" s="162"/>
      <c r="F8" s="163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59"/>
      <c r="C9" s="160"/>
      <c r="D9" s="161"/>
      <c r="E9" s="162"/>
      <c r="F9" s="163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59"/>
      <c r="C10" s="160"/>
      <c r="D10" s="161"/>
      <c r="E10" s="162"/>
      <c r="F10" s="163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59"/>
      <c r="C11" s="160"/>
      <c r="D11" s="161"/>
      <c r="E11" s="162"/>
      <c r="F11" s="163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P19" sqref="P1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27</v>
      </c>
    </row>
    <row r="3" spans="2:13" s="22" customFormat="1">
      <c r="M3" s="24" t="s">
        <v>28</v>
      </c>
    </row>
    <row r="4" spans="2:13" s="22" customFormat="1">
      <c r="M4" s="24" t="s">
        <v>29</v>
      </c>
    </row>
    <row r="5" spans="2:13" s="22" customFormat="1">
      <c r="B5" s="25" t="s">
        <v>30</v>
      </c>
      <c r="M5" s="24" t="s">
        <v>31</v>
      </c>
    </row>
    <row r="6" spans="2:13" s="22" customFormat="1">
      <c r="M6" s="24" t="s">
        <v>32</v>
      </c>
    </row>
    <row r="7" spans="2:13">
      <c r="M7" s="27"/>
    </row>
    <row r="8" spans="2:13">
      <c r="M8" s="27"/>
    </row>
    <row r="9" spans="2:13" s="74" customFormat="1" ht="13.5">
      <c r="B9" s="72" t="s">
        <v>33</v>
      </c>
      <c r="C9" s="73" t="s">
        <v>109</v>
      </c>
      <c r="D9" s="39"/>
      <c r="E9" s="39"/>
    </row>
    <row r="10" spans="2:13" s="39" customFormat="1">
      <c r="B10" s="72"/>
      <c r="C10" s="39" t="s">
        <v>34</v>
      </c>
      <c r="D10" s="76">
        <v>2055104339</v>
      </c>
      <c r="J10" s="39" t="s">
        <v>35</v>
      </c>
      <c r="K10" s="172">
        <f>MRS!L3</f>
        <v>45640</v>
      </c>
      <c r="L10" s="173"/>
      <c r="M10" s="173"/>
    </row>
    <row r="11" spans="2:13" s="39" customFormat="1">
      <c r="B11" s="72"/>
      <c r="C11" s="75" t="s">
        <v>36</v>
      </c>
      <c r="D11" s="76" t="s">
        <v>110</v>
      </c>
      <c r="J11" s="39" t="s">
        <v>37</v>
      </c>
      <c r="K11" s="174" t="str">
        <f>SUBSTITUTE(SUBSTITUTE(+MRS!A3,"  MRS No : ",""),"-MRS","-PO")</f>
        <v>SAC2-DS-PO-0009</v>
      </c>
      <c r="L11" s="174"/>
      <c r="M11" s="174"/>
    </row>
    <row r="12" spans="2:13" s="39" customFormat="1">
      <c r="B12" s="72"/>
      <c r="C12" s="75" t="s">
        <v>38</v>
      </c>
      <c r="D12" s="39" t="s">
        <v>112</v>
      </c>
      <c r="J12" s="39" t="s">
        <v>39</v>
      </c>
    </row>
    <row r="13" spans="2:13" s="39" customFormat="1">
      <c r="B13" s="72"/>
      <c r="C13" s="77"/>
      <c r="D13" s="76" t="s">
        <v>113</v>
      </c>
      <c r="J13" s="39" t="s">
        <v>40</v>
      </c>
    </row>
    <row r="14" spans="2:13" s="39" customFormat="1">
      <c r="B14" s="72"/>
      <c r="C14" s="77" t="s">
        <v>111</v>
      </c>
      <c r="J14" s="39" t="s">
        <v>41</v>
      </c>
      <c r="K14" s="39" t="s">
        <v>108</v>
      </c>
    </row>
    <row r="15" spans="2:13" s="39" customFormat="1">
      <c r="B15" s="72"/>
      <c r="C15" s="77" t="s">
        <v>114</v>
      </c>
      <c r="J15" s="39" t="s">
        <v>42</v>
      </c>
      <c r="K15" s="78">
        <v>45612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43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44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45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46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47</v>
      </c>
    </row>
    <row r="26" spans="2:13" s="39" customFormat="1" ht="15" customHeight="1">
      <c r="B26" s="73"/>
      <c r="C26" s="76" t="s">
        <v>115</v>
      </c>
      <c r="M26" s="79" t="s">
        <v>48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49</v>
      </c>
    </row>
    <row r="29" spans="2:13" ht="15" customHeight="1">
      <c r="B29" s="32"/>
      <c r="C29" s="26" t="s">
        <v>50</v>
      </c>
      <c r="E29" s="26" t="s">
        <v>51</v>
      </c>
      <c r="F29" s="179" t="s">
        <v>103</v>
      </c>
      <c r="G29" s="179"/>
      <c r="H29" s="33"/>
      <c r="M29" s="34"/>
    </row>
    <row r="30" spans="2:13" ht="15" customHeight="1">
      <c r="B30" s="32"/>
      <c r="C30" s="26" t="s">
        <v>52</v>
      </c>
      <c r="E30" s="26" t="s">
        <v>51</v>
      </c>
      <c r="F30" s="179"/>
      <c r="G30" s="179"/>
    </row>
    <row r="31" spans="2:13" ht="15" customHeight="1">
      <c r="B31" s="32"/>
      <c r="C31" s="26" t="s">
        <v>53</v>
      </c>
      <c r="D31" s="35"/>
      <c r="E31" s="26" t="s">
        <v>51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54</v>
      </c>
    </row>
    <row r="34" spans="2:13" ht="15" customHeight="1">
      <c r="B34" s="32"/>
      <c r="C34" s="22" t="s">
        <v>55</v>
      </c>
    </row>
    <row r="35" spans="2:13" ht="15" customHeight="1">
      <c r="B35" s="32"/>
      <c r="C35" s="22" t="s">
        <v>56</v>
      </c>
    </row>
    <row r="36" spans="2:13" ht="15" customHeight="1">
      <c r="B36" s="32"/>
      <c r="C36" s="22" t="s">
        <v>57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58</v>
      </c>
    </row>
    <row r="39" spans="2:13" ht="15" customHeight="1">
      <c r="B39" s="32"/>
      <c r="C39" s="26" t="s">
        <v>59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60</v>
      </c>
    </row>
    <row r="42" spans="2:13" ht="15" customHeight="1">
      <c r="B42" s="32"/>
      <c r="C42" s="36" t="s">
        <v>61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62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63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64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65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66</v>
      </c>
    </row>
    <row r="49" spans="1:16" s="39" customFormat="1" ht="15" customHeight="1">
      <c r="B49" s="80" t="s">
        <v>67</v>
      </c>
      <c r="C49" s="81" t="s">
        <v>97</v>
      </c>
      <c r="P49" s="82"/>
    </row>
    <row r="50" spans="1:16" s="83" customFormat="1" ht="15" customHeight="1">
      <c r="B50" s="84" t="s">
        <v>67</v>
      </c>
      <c r="C50" s="81" t="s">
        <v>98</v>
      </c>
    </row>
    <row r="51" spans="1:16" s="83" customFormat="1" ht="15" customHeight="1">
      <c r="B51" s="84" t="s">
        <v>67</v>
      </c>
      <c r="C51" s="81" t="s">
        <v>96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68</v>
      </c>
      <c r="J56" s="32" t="s">
        <v>69</v>
      </c>
    </row>
    <row r="57" spans="1:16" ht="50.1" customHeight="1"/>
    <row r="58" spans="1:16" ht="18" customHeight="1">
      <c r="B58" s="26" t="s">
        <v>70</v>
      </c>
      <c r="J58" s="26" t="s">
        <v>70</v>
      </c>
    </row>
    <row r="59" spans="1:16" ht="18" customHeight="1">
      <c r="B59" s="26" t="s">
        <v>71</v>
      </c>
      <c r="J59" s="26" t="s">
        <v>72</v>
      </c>
      <c r="K59" s="22" t="str">
        <f>D12</f>
        <v>Shameer Rehaman</v>
      </c>
    </row>
    <row r="60" spans="1:16" ht="18" customHeight="1">
      <c r="B60" s="26" t="s">
        <v>73</v>
      </c>
      <c r="J60" s="26" t="s">
        <v>74</v>
      </c>
      <c r="K60" s="22" t="s">
        <v>117</v>
      </c>
    </row>
    <row r="61" spans="1:16" ht="15" customHeight="1">
      <c r="B61" s="26" t="s">
        <v>75</v>
      </c>
      <c r="J61" s="26" t="s">
        <v>76</v>
      </c>
    </row>
    <row r="62" spans="1:16" s="28" customFormat="1" ht="24.75" customHeight="1">
      <c r="B62" s="25" t="s">
        <v>77</v>
      </c>
      <c r="J62" s="180" t="str">
        <f>C9</f>
        <v>DSGC(Desert Solution General Contracting Company LLC)</v>
      </c>
      <c r="K62" s="180"/>
      <c r="L62" s="180"/>
      <c r="M62" s="180"/>
    </row>
    <row r="63" spans="1:16" ht="27.95" customHeight="1">
      <c r="A63" s="171" t="s">
        <v>78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M9" sqref="M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79</v>
      </c>
      <c r="B2" s="47" t="str">
        <f>+'PO 1st page'!K11</f>
        <v>SAC2-DS-PO-0009</v>
      </c>
      <c r="C2" s="187" t="s">
        <v>80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81</v>
      </c>
      <c r="B3" s="50">
        <f>+'PO 1st page'!K10</f>
        <v>45640</v>
      </c>
      <c r="C3" s="51"/>
      <c r="D3" s="52"/>
      <c r="E3" s="188" t="s">
        <v>82</v>
      </c>
      <c r="F3" s="188"/>
      <c r="G3" s="188"/>
      <c r="H3" s="188"/>
      <c r="I3" s="53"/>
    </row>
    <row r="4" spans="1:13" s="55" customFormat="1" ht="28.5" customHeight="1" thickTop="1">
      <c r="A4" s="189" t="s">
        <v>83</v>
      </c>
      <c r="B4" s="191" t="s">
        <v>84</v>
      </c>
      <c r="C4" s="192"/>
      <c r="D4" s="195" t="s">
        <v>85</v>
      </c>
      <c r="E4" s="195" t="s">
        <v>86</v>
      </c>
      <c r="F4" s="197" t="str">
        <f>'PO 1st page'!C9</f>
        <v>DSGC(Desert Solution General Contracting Company LLC)</v>
      </c>
      <c r="G4" s="198"/>
      <c r="H4" s="199" t="s">
        <v>87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88</v>
      </c>
      <c r="G5" s="57" t="s">
        <v>53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+'MRS LIST'!B6</f>
        <v>Pick-up</v>
      </c>
      <c r="C6" s="202"/>
      <c r="D6" s="86" t="str">
        <f>+'MRS LIST'!G6</f>
        <v>Month</v>
      </c>
      <c r="E6" s="87">
        <f>+'MRS LIST'!H6</f>
        <v>1</v>
      </c>
      <c r="F6" s="88">
        <f>+'MRS LIST'!I6</f>
        <v>8000</v>
      </c>
      <c r="G6" s="89">
        <f>+'MRS LIST'!J6</f>
        <v>8000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/>
      <c r="C7" s="20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5"/>
      <c r="C8" s="186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181" t="s">
        <v>89</v>
      </c>
      <c r="B18" s="182"/>
      <c r="C18" s="182"/>
      <c r="D18" s="182"/>
      <c r="E18" s="182"/>
      <c r="F18" s="182"/>
      <c r="G18" s="58">
        <f>SUM(G6:G17)</f>
        <v>8000</v>
      </c>
      <c r="H18" s="59"/>
    </row>
    <row r="19" spans="1:13" s="55" customFormat="1" ht="23.1" customHeight="1">
      <c r="A19" s="181" t="s">
        <v>52</v>
      </c>
      <c r="B19" s="182"/>
      <c r="C19" s="182"/>
      <c r="D19" s="182"/>
      <c r="E19" s="182"/>
      <c r="F19" s="182"/>
      <c r="G19" s="58">
        <f>+G18*0.15</f>
        <v>1200</v>
      </c>
      <c r="H19" s="59"/>
    </row>
    <row r="20" spans="1:13" s="55" customFormat="1" ht="24.95" customHeight="1" thickBot="1">
      <c r="A20" s="183" t="s">
        <v>90</v>
      </c>
      <c r="B20" s="184"/>
      <c r="C20" s="184"/>
      <c r="D20" s="184"/>
      <c r="E20" s="184"/>
      <c r="F20" s="184"/>
      <c r="G20" s="60">
        <f>G19+G18</f>
        <v>9200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DSCE/DAE/Q-10788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91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92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2024-12-14T04:25:05Z</cp:lastPrinted>
  <dcterms:created xsi:type="dcterms:W3CDTF">2024-10-20T11:50:19Z</dcterms:created>
  <dcterms:modified xsi:type="dcterms:W3CDTF">2024-12-14T04:26:03Z</dcterms:modified>
</cp:coreProperties>
</file>