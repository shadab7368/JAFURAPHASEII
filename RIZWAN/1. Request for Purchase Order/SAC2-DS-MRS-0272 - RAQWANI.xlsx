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F6C020A-319E-4DA4-979B-55237698DF9D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D7" i="4"/>
  <c r="E7" i="4"/>
  <c r="F7" i="4"/>
  <c r="G7" i="4"/>
  <c r="H7" i="4"/>
  <c r="B8" i="4"/>
  <c r="B7" i="4"/>
  <c r="J8" i="1"/>
  <c r="J7" i="1"/>
  <c r="C26" i="3" l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<sst xmlns="http://schemas.openxmlformats.org/spreadsheetml/2006/main" count="182" uniqueCount="137">
  <si>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</si>
  <si>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</si>
  <si>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</si>
  <si>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</si>
  <si>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</si>
  <si>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</si>
  <si>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</si>
  <si>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</si>
  <si>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</si>
  <si>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</si>
  <si>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</si>
  <si>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</si>
  <si>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</si>
  <si>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</si>
  <si>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</si>
  <si>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</si>
  <si>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</si>
  <si>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</si>
  <si>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</si>
  <si>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</si>
  <si>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</si>
  <si>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</si>
  <si>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</si>
  <si>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</si>
  <si>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</si>
  <si>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</si>
  <si>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</si>
  <si>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</si>
  <si>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</si>
  <si>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</si>
  <si>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</si>
  <si>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</si>
  <si>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</si>
  <si>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</si>
  <si>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</si>
  <si>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</si>
  <si>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</si>
  <si>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</si>
  <si>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</si>
  <si>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</si>
  <si>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</si>
  <si>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</si>
  <si>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</si>
  <si>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</si>
  <si>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</si>
  <si>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</si>
  <si>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</si>
  <si>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</si>
  <si>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</si>
  <si>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</si>
  <si>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</si>
  <si>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</si>
  <si>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</si>
  <si>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</si>
  <si>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</si>
  <si>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</si>
  <si>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</si>
  <si>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</si>
  <si>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</si>
  <si>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</si>
  <si>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</si>
  <si>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</si>
  <si>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</si>
  <si>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</si>
  <si>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</si>
  <si>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</si>
  <si>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</si>
  <si>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</si>
  <si>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</si>
  <si>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</si>
  <si>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</si>
  <si>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</si>
  <si>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</si>
  <si>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</si>
  <si>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</si>
  <si>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</si>
  <si>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</si>
  <si>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</si>
  <si>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</si>
  <si>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</si>
  <si>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</si>
  <si>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</si>
  <si>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</si>
  <si>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</si>
  <si>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</si>
  <si>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</si>
  <si>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</si>
  <si>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</si>
  <si>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</si>
  <si>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</si>
  <si>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</si>
  <si>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</si>
  <si>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</si>
  <si>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</si>
  <si>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</si>
  <si>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</si>
  <si>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</si>
  <si>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</si>
  <si>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</si>
  <si>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</si>
  <si>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</si>
  <si>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</si>
  <si>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</si>
  <si>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</si>
  <si>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</si>
  <si>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</si>
  <si>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</si>
  <si>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</si>
  <si>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</si>
  <si>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</si>
  <si>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</si>
  <si>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</si>
  <si>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</si>
  <si>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</si>
  <si>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-MRS-0272</t>
    </r>
  </si>
  <si>
    <t>100 Ton with Aramco Certified Operator</t>
  </si>
  <si>
    <t>YARCL</t>
  </si>
  <si>
    <t>Mobilization</t>
  </si>
  <si>
    <t>Trip</t>
  </si>
  <si>
    <t>"</t>
  </si>
  <si>
    <t>One time</t>
  </si>
  <si>
    <t>Demobilization</t>
  </si>
  <si>
    <t>Crane</t>
  </si>
  <si>
    <t>YARCL('Yahya Ahmed Raqwani Company Ltd. For Trad. &amp; Cont.)</t>
  </si>
  <si>
    <t>2051035901</t>
  </si>
  <si>
    <t>300582163100003</t>
  </si>
  <si>
    <t>+966 55 888 9968 /  Email:ts@raqwanicompany.com</t>
  </si>
  <si>
    <t>Unni Chandukutti</t>
  </si>
  <si>
    <t>P.O. Box 20488 Al-Khobar 31952, KSA</t>
  </si>
  <si>
    <t>Mobile : +966 55 888 9968</t>
  </si>
  <si>
    <t>RC-EQUO-2026-6333(REV-1)</t>
  </si>
  <si>
    <t>Yahya Ahmed Raqwani Company Ltd. For Trad. &amp; Cont.</t>
  </si>
  <si>
    <t>SAUDI AWWAL BANK</t>
  </si>
  <si>
    <t>SABBSARI</t>
  </si>
  <si>
    <t>SA09 4500 0000 0423 9794 3002</t>
  </si>
  <si>
    <t>042-397943-002</t>
  </si>
  <si>
    <t>Sales Support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</si>
</sst>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6" fillId="3" borderId="0" xfId="5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H6" sqref="H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10"/>
      <c r="C1" s="110"/>
      <c r="D1" s="110"/>
      <c r="E1" s="110"/>
      <c r="F1" s="110"/>
      <c r="G1" s="1"/>
      <c r="J1" s="128" t="s">
        <v>95</v>
      </c>
      <c r="K1" s="129"/>
      <c r="L1" s="130"/>
    </row>
    <row r="2" spans="1:19" ht="20.100000000000001" customHeight="1">
      <c r="A2" s="3" t="s">
        <v>96</v>
      </c>
      <c r="B2" s="101"/>
      <c r="C2" s="101"/>
      <c r="D2" s="3" t="s">
        <v>97</v>
      </c>
      <c r="E2" s="101"/>
      <c r="F2" s="101"/>
      <c r="G2" s="101"/>
      <c r="H2" s="101"/>
      <c r="I2" s="4"/>
      <c r="J2" s="131" t="s">
        <v>98</v>
      </c>
      <c r="K2" s="132"/>
      <c r="L2" s="133"/>
    </row>
    <row r="3" spans="1:19" ht="20.100000000000001" customHeight="1">
      <c r="A3" s="3" t="s">
        <v>114</v>
      </c>
      <c r="B3" s="101"/>
      <c r="C3" s="101"/>
      <c r="D3" s="101"/>
      <c r="E3" s="134">
        <f>+L3</f>
        <v>46109</v>
      </c>
      <c r="F3" s="134"/>
      <c r="G3" s="134"/>
      <c r="H3" s="134"/>
      <c r="I3" s="134"/>
      <c r="J3" s="101"/>
      <c r="K3" s="101"/>
      <c r="L3" s="122">
        <v>46109</v>
      </c>
      <c r="M3" s="4"/>
    </row>
    <row r="4" spans="1:19" ht="15.95" customHeight="1">
      <c r="A4" s="135" t="s">
        <v>1</v>
      </c>
      <c r="B4" s="136" t="s">
        <v>2</v>
      </c>
      <c r="C4" s="136"/>
      <c r="D4" s="137" t="s">
        <v>3</v>
      </c>
      <c r="E4" s="138"/>
      <c r="F4" s="139"/>
      <c r="G4" s="143" t="s">
        <v>4</v>
      </c>
      <c r="H4" s="145" t="s">
        <v>5</v>
      </c>
      <c r="I4" s="145" t="s">
        <v>91</v>
      </c>
      <c r="J4" s="135" t="s">
        <v>92</v>
      </c>
      <c r="K4" s="145" t="s">
        <v>0</v>
      </c>
      <c r="L4" s="136" t="s">
        <v>6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122</v>
      </c>
      <c r="C6" s="148"/>
      <c r="D6" s="149" t="s">
        <v>115</v>
      </c>
      <c r="E6" s="150"/>
      <c r="F6" s="151"/>
      <c r="G6" s="111" t="s">
        <v>86</v>
      </c>
      <c r="H6" s="112">
        <v>1</v>
      </c>
      <c r="I6" s="113">
        <v>90000</v>
      </c>
      <c r="J6" s="113">
        <f>H6*I6</f>
        <v>90000</v>
      </c>
      <c r="K6" s="114" t="s">
        <v>116</v>
      </c>
      <c r="L6" s="115" t="s">
        <v>93</v>
      </c>
      <c r="S6" s="106"/>
    </row>
    <row r="7" spans="1:19" ht="22.5" customHeight="1">
      <c r="A7" s="5">
        <f t="shared" si="0"/>
        <v>2</v>
      </c>
      <c r="B7" s="147" t="s">
        <v>122</v>
      </c>
      <c r="C7" s="148"/>
      <c r="D7" s="152" t="s">
        <v>117</v>
      </c>
      <c r="E7" s="150"/>
      <c r="F7" s="151"/>
      <c r="G7" s="111" t="s">
        <v>118</v>
      </c>
      <c r="H7" s="112">
        <v>1</v>
      </c>
      <c r="I7" s="113">
        <v>5000</v>
      </c>
      <c r="J7" s="113">
        <f>H7*I7</f>
        <v>5000</v>
      </c>
      <c r="K7" s="114" t="s">
        <v>119</v>
      </c>
      <c r="L7" s="115" t="s">
        <v>120</v>
      </c>
      <c r="S7" s="106"/>
    </row>
    <row r="8" spans="1:19" ht="22.5" customHeight="1">
      <c r="A8" s="5">
        <f t="shared" si="0"/>
        <v>3</v>
      </c>
      <c r="B8" s="147" t="s">
        <v>122</v>
      </c>
      <c r="C8" s="148"/>
      <c r="D8" s="152" t="s">
        <v>121</v>
      </c>
      <c r="E8" s="150"/>
      <c r="F8" s="151"/>
      <c r="G8" s="111" t="s">
        <v>118</v>
      </c>
      <c r="H8" s="112">
        <v>1</v>
      </c>
      <c r="I8" s="113">
        <v>5000</v>
      </c>
      <c r="J8" s="113">
        <f>H8*I8</f>
        <v>5000</v>
      </c>
      <c r="K8" s="114" t="s">
        <v>119</v>
      </c>
      <c r="L8" s="115" t="s">
        <v>120</v>
      </c>
      <c r="S8" s="106"/>
    </row>
    <row r="9" spans="1:19" ht="22.5" customHeight="1">
      <c r="A9" s="5">
        <f t="shared" si="0"/>
        <v>4</v>
      </c>
      <c r="B9" s="147"/>
      <c r="C9" s="148"/>
      <c r="D9" s="152"/>
      <c r="E9" s="150"/>
      <c r="F9" s="151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5" t="s">
        <v>7</v>
      </c>
      <c r="B16" s="156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100000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0" t="s">
        <v>16</v>
      </c>
      <c r="Q21" s="160" t="s">
        <v>17</v>
      </c>
    </row>
    <row r="22" spans="1:22" ht="18" customHeight="1">
      <c r="O22" s="18" t="s">
        <v>18</v>
      </c>
      <c r="P22" s="161"/>
      <c r="Q22" s="161"/>
      <c r="S22" s="157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20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20</v>
      </c>
      <c r="P46" s="160" t="s">
        <v>20</v>
      </c>
      <c r="Q46" s="160" t="s">
        <v>20</v>
      </c>
      <c r="T46" s="160" t="s">
        <v>21</v>
      </c>
      <c r="U46" s="160" t="s">
        <v>12</v>
      </c>
      <c r="V46" s="160" t="s">
        <v>20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20</v>
      </c>
      <c r="P50" s="160" t="s">
        <v>20</v>
      </c>
      <c r="Q50" s="160" t="s">
        <v>20</v>
      </c>
      <c r="T50" s="160" t="s">
        <v>12</v>
      </c>
      <c r="U50" s="160" t="s">
        <v>21</v>
      </c>
      <c r="V50" s="160" t="s">
        <v>20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90</v>
      </c>
      <c r="B1" s="100"/>
      <c r="C1" s="100"/>
      <c r="D1" s="100"/>
      <c r="E1" s="100"/>
      <c r="F1" s="100"/>
      <c r="G1" s="1"/>
      <c r="J1" s="163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5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SAC2-DS-MRS-0272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46109</v>
      </c>
    </row>
    <row r="4" spans="1:18" ht="15.95" customHeight="1">
      <c r="A4" s="167" t="s">
        <v>1</v>
      </c>
      <c r="B4" s="168" t="s">
        <v>22</v>
      </c>
      <c r="C4" s="168"/>
      <c r="D4" s="167" t="s">
        <v>3</v>
      </c>
      <c r="E4" s="167"/>
      <c r="F4" s="167"/>
      <c r="G4" s="168" t="s">
        <v>4</v>
      </c>
      <c r="H4" s="167" t="s">
        <v>87</v>
      </c>
      <c r="I4" s="167" t="s">
        <v>23</v>
      </c>
      <c r="J4" s="167" t="s">
        <v>24</v>
      </c>
      <c r="K4" s="168" t="s">
        <v>6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9" t="str">
        <f>MRS!B6</f>
        <v>Crane</v>
      </c>
      <c r="C6" s="170"/>
      <c r="D6" s="171" t="str">
        <f>MRS!D6</f>
        <v>100 Ton with Aramco Certified Operator</v>
      </c>
      <c r="E6" s="172"/>
      <c r="F6" s="173"/>
      <c r="G6" s="103" t="str">
        <f>MRS!G6</f>
        <v>Month</v>
      </c>
      <c r="H6" s="103">
        <f>MRS!H6</f>
        <v>1</v>
      </c>
      <c r="I6" s="104">
        <f>MRS!I6</f>
        <v>90000</v>
      </c>
      <c r="J6" s="104">
        <f>MRS!J6</f>
        <v>90000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9" t="str">
        <f>MRS!B7</f>
        <v>Crane</v>
      </c>
      <c r="C7" s="170"/>
      <c r="D7" s="171" t="str">
        <f>MRS!D7</f>
        <v>Mobilization</v>
      </c>
      <c r="E7" s="172"/>
      <c r="F7" s="173"/>
      <c r="G7" s="103" t="str">
        <f>MRS!G7</f>
        <v>Trip</v>
      </c>
      <c r="H7" s="103">
        <f>MRS!H7</f>
        <v>1</v>
      </c>
      <c r="I7" s="104">
        <f>MRS!I7</f>
        <v>5000</v>
      </c>
      <c r="J7" s="104">
        <f>MRS!J7</f>
        <v>5000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9" t="str">
        <f>MRS!B8</f>
        <v>Crane</v>
      </c>
      <c r="C8" s="170"/>
      <c r="D8" s="171" t="str">
        <f>MRS!D8</f>
        <v>Demobilization</v>
      </c>
      <c r="E8" s="172"/>
      <c r="F8" s="173"/>
      <c r="G8" s="103" t="str">
        <f>MRS!G8</f>
        <v>Trip</v>
      </c>
      <c r="H8" s="103">
        <f>MRS!H8</f>
        <v>1</v>
      </c>
      <c r="I8" s="104">
        <f>MRS!I8</f>
        <v>5000</v>
      </c>
      <c r="J8" s="104">
        <f>MRS!J8</f>
        <v>5000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4"/>
      <c r="C9" s="175"/>
      <c r="D9" s="176"/>
      <c r="E9" s="177"/>
      <c r="F9" s="178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4"/>
      <c r="C10" s="175"/>
      <c r="D10" s="176"/>
      <c r="E10" s="177"/>
      <c r="F10" s="178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4"/>
      <c r="C11" s="175"/>
      <c r="D11" s="176"/>
      <c r="E11" s="177"/>
      <c r="F11" s="178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4"/>
      <c r="C12" s="175"/>
      <c r="D12" s="176"/>
      <c r="E12" s="177"/>
      <c r="F12" s="17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4"/>
      <c r="C13" s="175"/>
      <c r="D13" s="176"/>
      <c r="E13" s="177"/>
      <c r="F13" s="17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4"/>
      <c r="C14" s="175"/>
      <c r="D14" s="176"/>
      <c r="E14" s="177"/>
      <c r="F14" s="17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4"/>
      <c r="C15" s="175"/>
      <c r="D15" s="176"/>
      <c r="E15" s="177"/>
      <c r="F15" s="17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9" zoomScale="130" zoomScaleSheetLayoutView="130" workbookViewId="0">
      <selection activeCell="K68" sqref="K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123</v>
      </c>
      <c r="D9" s="39"/>
      <c r="E9" s="39"/>
    </row>
    <row r="10" spans="2:13" s="39" customFormat="1">
      <c r="B10" s="72"/>
      <c r="C10" s="39" t="s">
        <v>111</v>
      </c>
      <c r="D10" s="76" t="s">
        <v>124</v>
      </c>
      <c r="J10" s="39" t="s">
        <v>31</v>
      </c>
      <c r="K10" s="180">
        <f>MRS!L3</f>
        <v>46109</v>
      </c>
      <c r="L10" s="181"/>
      <c r="M10" s="181"/>
    </row>
    <row r="11" spans="2:13" s="39" customFormat="1">
      <c r="B11" s="72"/>
      <c r="C11" s="75" t="s">
        <v>112</v>
      </c>
      <c r="D11" s="76" t="s">
        <v>125</v>
      </c>
      <c r="J11" s="39" t="s">
        <v>32</v>
      </c>
      <c r="K11" s="182" t="str">
        <f>SUBSTITUTE(SUBSTITUTE(+MRS!A3,"  MRS No : ",""),"-MRS","-PO")</f>
        <v>SAC2-DS-PO-0272</v>
      </c>
      <c r="L11" s="182"/>
      <c r="M11" s="182"/>
    </row>
    <row r="12" spans="2:13" s="39" customFormat="1">
      <c r="B12" s="72"/>
      <c r="C12" s="75" t="s">
        <v>113</v>
      </c>
      <c r="D12" s="39" t="s">
        <v>127</v>
      </c>
      <c r="J12" s="39" t="s">
        <v>33</v>
      </c>
    </row>
    <row r="13" spans="2:13" s="39" customFormat="1">
      <c r="B13" s="72"/>
      <c r="C13" s="77"/>
      <c r="D13" s="76" t="s">
        <v>126</v>
      </c>
      <c r="J13" s="39" t="s">
        <v>34</v>
      </c>
    </row>
    <row r="14" spans="2:13" s="39" customFormat="1">
      <c r="B14" s="72"/>
      <c r="C14" s="77" t="s">
        <v>128</v>
      </c>
      <c r="J14" s="39" t="s">
        <v>35</v>
      </c>
      <c r="K14" s="39" t="s">
        <v>130</v>
      </c>
    </row>
    <row r="15" spans="2:13" s="39" customFormat="1">
      <c r="B15" s="72"/>
      <c r="C15" s="77" t="s">
        <v>129</v>
      </c>
      <c r="J15" s="39" t="s">
        <v>36</v>
      </c>
      <c r="K15" s="78">
        <v>46105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3" t="s">
        <v>37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38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39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40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4" t="str">
        <f>_xlfn.CONCAT(MRS!B6," ",MRS!D6)</f>
        <v>Crane 100 Ton with Aramco Certified Operator</v>
      </c>
      <c r="M26" s="79" t="s">
        <v>42</v>
      </c>
    </row>
    <row r="27" spans="2:13" ht="11.1" customHeight="1">
      <c r="B27" s="32"/>
      <c r="C27" s="126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87" t="s">
        <v>93</v>
      </c>
      <c r="G29" s="187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87"/>
      <c r="G30" s="187"/>
    </row>
    <row r="31" spans="2:13" ht="12" customHeight="1">
      <c r="B31" s="32"/>
      <c r="C31" s="26" t="s">
        <v>47</v>
      </c>
      <c r="D31" s="35"/>
      <c r="E31" s="26" t="s">
        <v>45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5" t="s">
        <v>103</v>
      </c>
      <c r="F54" s="26" t="s">
        <v>131</v>
      </c>
      <c r="P54" s="26" t="str">
        <f>UPPER(F54)</f>
        <v>YAHYA AHMED RAQWANI COMPANY LTD. FOR TRAD. &amp; CONT.</v>
      </c>
    </row>
    <row r="55" spans="2:16" ht="12" customHeight="1">
      <c r="B55" s="84" t="s">
        <v>61</v>
      </c>
      <c r="C55" s="125" t="s">
        <v>104</v>
      </c>
      <c r="F55" s="126" t="s">
        <v>135</v>
      </c>
    </row>
    <row r="56" spans="2:16" ht="12" customHeight="1">
      <c r="B56" s="84" t="s">
        <v>61</v>
      </c>
      <c r="C56" s="125" t="s">
        <v>105</v>
      </c>
      <c r="F56" s="126" t="s">
        <v>134</v>
      </c>
    </row>
    <row r="57" spans="2:16" ht="12" customHeight="1">
      <c r="B57" s="84" t="s">
        <v>61</v>
      </c>
      <c r="C57" s="125" t="s">
        <v>106</v>
      </c>
      <c r="F57" s="26" t="s">
        <v>132</v>
      </c>
    </row>
    <row r="58" spans="2:16" ht="12" customHeight="1">
      <c r="B58" s="84" t="s">
        <v>61</v>
      </c>
      <c r="C58" s="125" t="s">
        <v>107</v>
      </c>
      <c r="F58" s="26" t="s">
        <v>133</v>
      </c>
    </row>
    <row r="59" spans="2:16" ht="12" customHeight="1">
      <c r="B59" s="84" t="s">
        <v>61</v>
      </c>
      <c r="C59" s="125" t="s">
        <v>108</v>
      </c>
      <c r="F59" s="26" t="s">
        <v>109</v>
      </c>
    </row>
    <row r="60" spans="2:16" ht="12" customHeight="1">
      <c r="B60" s="84"/>
      <c r="C60" s="35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UNNI CHANDUKUTTI</v>
      </c>
    </row>
    <row r="68" spans="1:13" ht="18" customHeight="1">
      <c r="B68" s="26" t="s">
        <v>67</v>
      </c>
      <c r="J68" s="26" t="s">
        <v>68</v>
      </c>
      <c r="K68" s="22" t="s">
        <v>136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127" t="str">
        <f>C9</f>
        <v>YARCL('Yahya Ahmed Raqwani Company Ltd. For Trad. &amp; Cont.)</v>
      </c>
    </row>
    <row r="71" spans="1:13" ht="27.95" customHeight="1">
      <c r="A71" s="179" t="s">
        <v>71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8" sqref="D8: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SAC2-DS-PO-0272</v>
      </c>
      <c r="C2" s="190" t="s">
        <v>73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46109</v>
      </c>
      <c r="C3" s="51"/>
      <c r="D3" s="52"/>
      <c r="E3" s="191" t="s">
        <v>75</v>
      </c>
      <c r="F3" s="191"/>
      <c r="G3" s="191"/>
      <c r="H3" s="191"/>
      <c r="I3" s="53"/>
    </row>
    <row r="4" spans="1:13" s="55" customFormat="1" ht="28.5" customHeight="1" thickTop="1">
      <c r="A4" s="192" t="s">
        <v>76</v>
      </c>
      <c r="B4" s="194" t="s">
        <v>77</v>
      </c>
      <c r="C4" s="195"/>
      <c r="D4" s="198" t="s">
        <v>78</v>
      </c>
      <c r="E4" s="198" t="s">
        <v>79</v>
      </c>
      <c r="F4" s="200" t="str">
        <f>'PO 1st page'!C9</f>
        <v>YARCL('Yahya Ahmed Raqwani Company Ltd. For Trad. &amp; Cont.)</v>
      </c>
      <c r="G4" s="201"/>
      <c r="H4" s="202" t="s">
        <v>80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81</v>
      </c>
      <c r="G5" s="57" t="s">
        <v>47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CONCATENATE(MRS!B6," ",MRS!D6)</f>
        <v>Crane 100 Ton with Aramco Certified Operator</v>
      </c>
      <c r="C6" s="205"/>
      <c r="D6" s="86" t="str">
        <f>MRS!G6</f>
        <v>Month</v>
      </c>
      <c r="E6" s="86">
        <f>MRS!H6</f>
        <v>1</v>
      </c>
      <c r="F6" s="87">
        <f>MRS!I6</f>
        <v>90000</v>
      </c>
      <c r="G6" s="88">
        <f>MRS!J6</f>
        <v>90000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4" t="str">
        <f>CONCATENATE(MRS!B7," ",MRS!D7)</f>
        <v>Crane Mobilization</v>
      </c>
      <c r="C7" s="205"/>
      <c r="D7" s="86" t="str">
        <f>MRS!G7</f>
        <v>Trip</v>
      </c>
      <c r="E7" s="86">
        <f>MRS!H7</f>
        <v>1</v>
      </c>
      <c r="F7" s="87">
        <f>MRS!I7</f>
        <v>5000</v>
      </c>
      <c r="G7" s="88">
        <f>MRS!J7</f>
        <v>5000</v>
      </c>
      <c r="H7" s="89" t="str">
        <f>MRS!L7</f>
        <v>One time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4" t="str">
        <f>CONCATENATE(MRS!B8," ",MRS!D8)</f>
        <v>Crane Demobilization</v>
      </c>
      <c r="C8" s="205"/>
      <c r="D8" s="86" t="str">
        <f>MRS!G8</f>
        <v>Trip</v>
      </c>
      <c r="E8" s="86">
        <f>MRS!H8</f>
        <v>1</v>
      </c>
      <c r="F8" s="87">
        <f>MRS!I8</f>
        <v>5000</v>
      </c>
      <c r="G8" s="88">
        <f>MRS!J8</f>
        <v>5000</v>
      </c>
      <c r="H8" s="89" t="str">
        <f>MRS!L8</f>
        <v>One time</v>
      </c>
      <c r="K8" s="56"/>
      <c r="L8" s="56"/>
      <c r="M8" s="56"/>
    </row>
    <row r="9" spans="1:13" s="55" customFormat="1" ht="32.1" customHeight="1">
      <c r="A9" s="92">
        <f t="shared" si="0"/>
        <v>4</v>
      </c>
      <c r="B9" s="204"/>
      <c r="C9" s="205"/>
      <c r="D9" s="86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8"/>
      <c r="C10" s="189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8"/>
      <c r="C11" s="189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5" customFormat="1" ht="23.1" customHeight="1">
      <c r="A18" s="206" t="s">
        <v>82</v>
      </c>
      <c r="B18" s="207"/>
      <c r="C18" s="207"/>
      <c r="D18" s="207"/>
      <c r="E18" s="207"/>
      <c r="F18" s="207"/>
      <c r="G18" s="58">
        <f>SUM(G6:G17)</f>
        <v>100000</v>
      </c>
      <c r="H18" s="59"/>
    </row>
    <row r="19" spans="1:13" s="55" customFormat="1" ht="23.1" customHeight="1">
      <c r="A19" s="206" t="s">
        <v>46</v>
      </c>
      <c r="B19" s="207"/>
      <c r="C19" s="207"/>
      <c r="D19" s="207"/>
      <c r="E19" s="207"/>
      <c r="F19" s="207"/>
      <c r="G19" s="58">
        <f>+G18*0.15</f>
        <v>15000</v>
      </c>
      <c r="H19" s="59"/>
    </row>
    <row r="20" spans="1:13" s="55" customFormat="1" ht="24.95" customHeight="1" thickBot="1">
      <c r="A20" s="208" t="s">
        <v>83</v>
      </c>
      <c r="B20" s="209"/>
      <c r="C20" s="209"/>
      <c r="D20" s="209"/>
      <c r="E20" s="209"/>
      <c r="F20" s="209"/>
      <c r="G20" s="60">
        <f>G19+G18</f>
        <v>115000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RC-EQUO-2026-6333(REV-1)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85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2026-03-28T13:02:39Z</cp:lastPrinted>
  <dcterms:created xsi:type="dcterms:W3CDTF">2024-10-20T11:50:19Z</dcterms:created>
  <dcterms:modified xsi:type="dcterms:W3CDTF">2026-03-28T13:02:42Z</dcterms:modified>
</cp:coreProperties>
</file>