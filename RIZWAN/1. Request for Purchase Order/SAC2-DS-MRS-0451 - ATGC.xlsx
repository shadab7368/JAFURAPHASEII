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E65737A-89D2-484A-A067-077AE120A460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MRS!$A$1:$L$43</definedName>
    <definedName name="_xlnm.Print_Area" localSheetId="1">'MRS LIST'!$A$1:$K$43</definedName>
    <definedName name="_xlnm.Print_Area" localSheetId="2">'PO 1st page'!$A$1:$N$71</definedName>
    <definedName name="_xlnm.Print_Area" localSheetId="3">'PO 2nd page'!$A$1:$H$41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4" l="1"/>
  <c r="G34" i="4"/>
  <c r="F34" i="4"/>
  <c r="E34" i="4"/>
  <c r="D34" i="4"/>
  <c r="F33" i="4"/>
  <c r="E33" i="4"/>
  <c r="D33" i="4"/>
  <c r="F32" i="4"/>
  <c r="G32" i="4" s="1"/>
  <c r="E32" i="4"/>
  <c r="D32" i="4"/>
  <c r="F31" i="4"/>
  <c r="E31" i="4"/>
  <c r="G31" i="4" s="1"/>
  <c r="D31" i="4"/>
  <c r="F30" i="4"/>
  <c r="E30" i="4"/>
  <c r="D30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G25" i="4" s="1"/>
  <c r="D25" i="4"/>
  <c r="F24" i="4"/>
  <c r="G24" i="4" s="1"/>
  <c r="E24" i="4"/>
  <c r="D24" i="4"/>
  <c r="F23" i="4"/>
  <c r="E23" i="4"/>
  <c r="D23" i="4"/>
  <c r="F22" i="4"/>
  <c r="E22" i="4"/>
  <c r="G22" i="4" s="1"/>
  <c r="D22" i="4"/>
  <c r="F21" i="4"/>
  <c r="E21" i="4"/>
  <c r="D21" i="4"/>
  <c r="F20" i="4"/>
  <c r="G20" i="4" s="1"/>
  <c r="E20" i="4"/>
  <c r="D20" i="4"/>
  <c r="F19" i="4"/>
  <c r="E19" i="4"/>
  <c r="D19" i="4"/>
  <c r="F18" i="4"/>
  <c r="E18" i="4"/>
  <c r="D18" i="4"/>
  <c r="F17" i="4"/>
  <c r="E17" i="4"/>
  <c r="D17" i="4"/>
  <c r="F16" i="4"/>
  <c r="G16" i="4" s="1"/>
  <c r="E16" i="4"/>
  <c r="D16" i="4"/>
  <c r="F15" i="4"/>
  <c r="E15" i="4"/>
  <c r="D15" i="4"/>
  <c r="F14" i="4"/>
  <c r="E14" i="4"/>
  <c r="D14" i="4"/>
  <c r="F13" i="4"/>
  <c r="E13" i="4"/>
  <c r="D13" i="4"/>
  <c r="F12" i="4"/>
  <c r="G12" i="4" s="1"/>
  <c r="E12" i="4"/>
  <c r="D12" i="4"/>
  <c r="F11" i="4"/>
  <c r="E11" i="4"/>
  <c r="D11" i="4"/>
  <c r="F10" i="4"/>
  <c r="E10" i="4"/>
  <c r="D10" i="4"/>
  <c r="F9" i="4"/>
  <c r="E9" i="4"/>
  <c r="D9" i="4"/>
  <c r="F8" i="4"/>
  <c r="G8" i="4" s="1"/>
  <c r="E8" i="4"/>
  <c r="D8" i="4"/>
  <c r="F7" i="4"/>
  <c r="E7" i="4"/>
  <c r="D7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J8" i="2"/>
  <c r="I8" i="2"/>
  <c r="H8" i="2"/>
  <c r="G8" i="2"/>
  <c r="J7" i="2"/>
  <c r="I7" i="2"/>
  <c r="H7" i="2"/>
  <c r="G7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5" i="2" s="1"/>
  <c r="A14" i="1"/>
  <c r="A13" i="1"/>
  <c r="A13" i="2" s="1"/>
  <c r="A12" i="1"/>
  <c r="A11" i="1"/>
  <c r="A11" i="2" s="1"/>
  <c r="A10" i="1"/>
  <c r="A9" i="1"/>
  <c r="A8" i="1"/>
  <c r="J39" i="2"/>
  <c r="I39" i="2"/>
  <c r="H39" i="2"/>
  <c r="G39" i="2"/>
  <c r="D39" i="2"/>
  <c r="B39" i="2"/>
  <c r="A39" i="2"/>
  <c r="J38" i="2"/>
  <c r="I38" i="2"/>
  <c r="H38" i="2"/>
  <c r="G38" i="2"/>
  <c r="D38" i="2"/>
  <c r="B38" i="2"/>
  <c r="A38" i="2"/>
  <c r="J37" i="2"/>
  <c r="I37" i="2"/>
  <c r="H37" i="2"/>
  <c r="G37" i="2"/>
  <c r="D37" i="2"/>
  <c r="B37" i="2"/>
  <c r="A37" i="2"/>
  <c r="J36" i="2"/>
  <c r="I36" i="2"/>
  <c r="H36" i="2"/>
  <c r="G36" i="2"/>
  <c r="D36" i="2"/>
  <c r="B36" i="2"/>
  <c r="A36" i="2"/>
  <c r="J35" i="2"/>
  <c r="I35" i="2"/>
  <c r="H35" i="2"/>
  <c r="G35" i="2"/>
  <c r="D35" i="2"/>
  <c r="B35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14" i="2"/>
  <c r="A12" i="2"/>
  <c r="A10" i="2"/>
  <c r="A9" i="2"/>
  <c r="A8" i="2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A7" i="1"/>
  <c r="H6" i="4"/>
  <c r="B7" i="4"/>
  <c r="A15" i="4"/>
  <c r="A14" i="4"/>
  <c r="A13" i="4"/>
  <c r="A12" i="4"/>
  <c r="A11" i="4"/>
  <c r="A10" i="4"/>
  <c r="A9" i="4"/>
  <c r="A8" i="4"/>
  <c r="J6" i="1"/>
  <c r="B6" i="4"/>
  <c r="A6" i="1"/>
  <c r="E3" i="1"/>
  <c r="F6" i="4"/>
  <c r="E6" i="4"/>
  <c r="D6" i="4"/>
  <c r="G7" i="4" l="1"/>
  <c r="G11" i="4"/>
  <c r="G15" i="4"/>
  <c r="G19" i="4"/>
  <c r="G23" i="4"/>
  <c r="G27" i="4"/>
  <c r="G28" i="4"/>
  <c r="G9" i="4"/>
  <c r="G13" i="4"/>
  <c r="G17" i="4"/>
  <c r="G21" i="4"/>
  <c r="G29" i="4"/>
  <c r="G33" i="4"/>
  <c r="G10" i="4"/>
  <c r="G14" i="4"/>
  <c r="G18" i="4"/>
  <c r="G26" i="4"/>
  <c r="G30" i="4"/>
  <c r="P54" i="3"/>
  <c r="G6" i="4" l="1"/>
  <c r="B7" i="2"/>
  <c r="B8" i="2"/>
  <c r="K67" i="3" l="1"/>
  <c r="K10" i="3" l="1"/>
  <c r="A38" i="4" l="1"/>
  <c r="I6" i="2"/>
  <c r="H6" i="2"/>
  <c r="G6" i="2"/>
  <c r="D6" i="2"/>
  <c r="B6" i="2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2"/>
  <c r="A6" i="2"/>
  <c r="J6" i="2" l="1"/>
  <c r="G36" i="4" l="1"/>
  <c r="F30" i="3" s="1"/>
  <c r="F29" i="3"/>
  <c r="G37" i="4" l="1"/>
  <c r="F31" i="3" s="1"/>
</calcChain>
</file>

<file path=xl/sharedStrings.xml><?xml version="1.0" encoding="utf-8"?>
<sst xmlns="http://schemas.openxmlformats.org/spreadsheetml/2006/main" count="248" uniqueCount="178">
  <si>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</si>
  <si>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</si>
  <si>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</si>
  <si>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</si>
  <si>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</si>
  <si>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</si>
  <si>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</si>
  <si>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</si>
  <si>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</si>
  <si>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</si>
  <si>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</si>
  <si>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</si>
  <si>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</si>
  <si>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</si>
  <si>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</si>
  <si>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</si>
  <si>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</si>
  <si>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</si>
  <si>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</si>
  <si>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</si>
  <si>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</si>
  <si>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</si>
  <si>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</si>
  <si>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</si>
  <si>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</si>
  <si>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</si>
  <si>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</si>
  <si>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</si>
  <si>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</si>
  <si>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</si>
  <si>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</si>
  <si>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</si>
  <si>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</si>
  <si>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</si>
  <si>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</si>
  <si>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</si>
  <si>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</si>
  <si>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</si>
  <si>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</si>
  <si>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</si>
  <si>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</si>
  <si>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</si>
  <si>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</si>
  <si>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</si>
  <si>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</si>
  <si>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</si>
  <si>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</si>
  <si>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</si>
  <si>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</si>
  <si>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</si>
  <si>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</si>
  <si>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</si>
  <si>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</si>
  <si>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</si>
  <si>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</si>
  <si>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</si>
  <si>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</si>
  <si>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</si>
  <si>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</si>
  <si>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</si>
  <si>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</si>
  <si>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</si>
  <si>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</si>
  <si>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</si>
  <si>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</si>
  <si>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</si>
  <si>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</si>
  <si>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</si>
  <si>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</si>
  <si>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</si>
  <si>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</si>
  <si>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</si>
  <si>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</si>
  <si>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</si>
  <si>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</si>
  <si>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</si>
  <si>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</si>
  <si>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</si>
  <si>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</si>
  <si>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</si>
  <si>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</si>
  <si>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</si>
  <si>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</si>
  <si>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</si>
  <si>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</si>
  <si>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</si>
  <si>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</si>
  <si>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</si>
  <si>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</si>
  <si>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</si>
  <si>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</si>
  <si>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</si>
  <si>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</si>
  <si>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</si>
  <si>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</si>
  <si>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</si>
  <si>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</si>
  <si>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</si>
  <si>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</si>
  <si>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</si>
  <si>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</si>
  <si>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</si>
  <si>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</si>
  <si>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</si>
  <si>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</si>
  <si>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</si>
  <si>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</si>
  <si>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</si>
  <si>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</si>
  <si>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</si>
  <si>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</si>
  <si>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</si>
  <si>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THE NATIONAL COMMERCIAL BANK</t>
  </si>
  <si>
    <t>04161114000110</t>
  </si>
  <si>
    <t>SA61 1000 0004 1611 1400 0110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</si>
  <si>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</si>
  <si>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</si>
  <si>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</si>
  <si>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</si>
  <si>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</si>
  <si>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</si>
  <si>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</si>
  <si>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</si>
  <si>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</si>
  <si>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</si>
  <si>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</si>
  <si>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</si>
  <si>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</si>
  <si>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</si>
  <si>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ALROMOZ ALFANIAH EST.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</si>
  <si>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-MRS-0451</t>
    </r>
  </si>
  <si>
    <t xml:space="preserve">FRC Coverall </t>
  </si>
  <si>
    <t>CAT 2 Assorted size</t>
  </si>
  <si>
    <t>Flag Man Vest</t>
  </si>
  <si>
    <t>Flag Man Flag</t>
  </si>
  <si>
    <t>A4 Box File</t>
  </si>
  <si>
    <t>Fantastic Flags</t>
  </si>
  <si>
    <t>Wire Mic</t>
  </si>
  <si>
    <t>Magaphone Battery</t>
  </si>
  <si>
    <t>Neckless Chair</t>
  </si>
  <si>
    <t>Ricoh C6003 - Toner</t>
  </si>
  <si>
    <t>Xerox C7030 - Toner</t>
  </si>
  <si>
    <t>Xerox C7030</t>
  </si>
  <si>
    <t>Xerox C7030 - Drum Unit</t>
  </si>
  <si>
    <t>Xerox B7030 - B&amp;W Printer</t>
  </si>
  <si>
    <t>Konika C361I - Toner</t>
  </si>
  <si>
    <t>Toshiba 6525Ac - Toner</t>
  </si>
  <si>
    <t>Portable Speaker</t>
  </si>
  <si>
    <t>Plastic Folder</t>
  </si>
  <si>
    <t>Orange</t>
  </si>
  <si>
    <t/>
  </si>
  <si>
    <t>3Inch,30Pcs*1Box</t>
  </si>
  <si>
    <t>45*12Mm 24*1Box</t>
  </si>
  <si>
    <t>C2 - Alkaline Battery (1.5V)</t>
  </si>
  <si>
    <t>Cyan</t>
  </si>
  <si>
    <t>Magenta</t>
  </si>
  <si>
    <t>Yellow</t>
  </si>
  <si>
    <t>Black</t>
  </si>
  <si>
    <t>- Cyan</t>
  </si>
  <si>
    <t>- Magenta</t>
  </si>
  <si>
    <t>- Yellow</t>
  </si>
  <si>
    <t>- Black</t>
  </si>
  <si>
    <t>Waste Catridge - R5</t>
  </si>
  <si>
    <t>Drum Unit</t>
  </si>
  <si>
    <t>006R01819 - Black Toner</t>
  </si>
  <si>
    <t>Tn328 - Cyan</t>
  </si>
  <si>
    <t>Tn328 - Magenta</t>
  </si>
  <si>
    <t>Tn328 - Yellow</t>
  </si>
  <si>
    <t>Tn328 - Black</t>
  </si>
  <si>
    <t>Tfc 425P - Cyan</t>
  </si>
  <si>
    <t>Tfc 425P - Magenta</t>
  </si>
  <si>
    <t>Tfc 425P - Yellow</t>
  </si>
  <si>
    <t>Tfc 425P - Black</t>
  </si>
  <si>
    <t>Blue  12*1Pkt</t>
  </si>
  <si>
    <t>BOX</t>
  </si>
  <si>
    <t>PKT</t>
  </si>
  <si>
    <t>QUO-MAT-26083101 , 26083103</t>
  </si>
  <si>
    <t>FRC Coverall &amp; Office 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</si>
</sst>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color theme="1"/>
      <name val="Arial"/>
      <family val="2"/>
    </font>
    <font>
      <sz val="11"/>
      <color rgb="FF000000"/>
      <name val="Calibri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0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16" xfId="5" applyFont="1" applyFill="1" applyBorder="1"/>
    <xf numFmtId="0" fontId="17" fillId="3" borderId="1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5" fillId="0" borderId="35" xfId="6" applyFont="1" applyBorder="1" applyAlignment="1">
      <alignment vertical="center"/>
    </xf>
    <xf numFmtId="0" fontId="25" fillId="0" borderId="3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12" xfId="0" applyFont="1" applyBorder="1" applyAlignment="1">
      <alignment horizontal="center" vertical="center"/>
    </xf>
    <xf numFmtId="173" fontId="41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2" fillId="2" borderId="0" xfId="1" applyFont="1" applyFill="1" applyAlignment="1">
      <alignment vertical="center"/>
    </xf>
    <xf numFmtId="171" fontId="17" fillId="3" borderId="0" xfId="5" applyNumberFormat="1" applyFont="1" applyFill="1"/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50" fillId="3" borderId="0" xfId="5" applyFont="1" applyFill="1"/>
    <xf numFmtId="0" fontId="17" fillId="3" borderId="0" xfId="5" quotePrefix="1" applyFont="1" applyFill="1"/>
    <xf numFmtId="0" fontId="25" fillId="3" borderId="0" xfId="5" quotePrefix="1" applyFont="1" applyFill="1" applyAlignment="1">
      <alignment horizontal="left"/>
    </xf>
    <xf numFmtId="171" fontId="52" fillId="3" borderId="0" xfId="5" applyNumberFormat="1" applyFont="1" applyFill="1"/>
    <xf numFmtId="0" fontId="53" fillId="0" borderId="13" xfId="0" applyFont="1" applyBorder="1">
      <alignment vertical="center"/>
    </xf>
    <xf numFmtId="0" fontId="53" fillId="0" borderId="14" xfId="0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3" fillId="0" borderId="15" xfId="0" applyFont="1" applyBorder="1">
      <alignment vertical="center"/>
    </xf>
    <xf numFmtId="0" fontId="5" fillId="2" borderId="11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vertical="center"/>
    </xf>
    <xf numFmtId="0" fontId="5" fillId="2" borderId="39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0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4" fontId="58" fillId="0" borderId="7" xfId="3" applyNumberFormat="1" applyFont="1" applyBorder="1" applyAlignment="1">
      <alignment horizontal="right"/>
    </xf>
    <xf numFmtId="0" fontId="2" fillId="0" borderId="12" xfId="0" quotePrefix="1" applyFont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69" fontId="31" fillId="3" borderId="0" xfId="5" quotePrefix="1" applyNumberFormat="1" applyFont="1" applyFill="1" applyAlignment="1">
      <alignment horizontal="left" vertical="center"/>
    </xf>
    <xf numFmtId="169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1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5" fillId="2" borderId="36" xfId="1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center" vertical="center" wrapText="1"/>
    </xf>
    <xf numFmtId="0" fontId="5" fillId="2" borderId="38" xfId="1" applyFont="1" applyFill="1" applyBorder="1" applyAlignment="1">
      <alignment horizontal="center" vertical="center" wrapText="1"/>
    </xf>
    <xf numFmtId="0" fontId="2" fillId="2" borderId="13" xfId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41" fillId="0" borderId="13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0" fontId="41" fillId="3" borderId="13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4" xfId="0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41" fillId="3" borderId="28" xfId="5" applyFont="1" applyFill="1" applyBorder="1" applyAlignment="1">
      <alignment horizontal="left" vertical="center"/>
    </xf>
    <xf numFmtId="0" fontId="41" fillId="3" borderId="29" xfId="5" applyFont="1" applyFill="1" applyBorder="1" applyAlignment="1">
      <alignment horizontal="left" vertical="center"/>
    </xf>
    <xf numFmtId="0" fontId="29" fillId="0" borderId="0" xfId="6" applyFont="1" applyAlignment="1">
      <alignment horizontal="center" vertical="center"/>
    </xf>
    <xf numFmtId="0" fontId="32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1022685</xdr:colOff>
          <xdr:row>36</xdr:row>
          <xdr:rowOff>33589</xdr:rowOff>
        </xdr:from>
        <xdr:to>
          <xdr:col>11</xdr:col>
          <xdr:colOff>1667879</xdr:colOff>
          <xdr:row>42</xdr:row>
          <xdr:rowOff>271714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8E1C5276-2516-56BF-4667-0CE5A9A0BB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9:$Y$44" spid="_x0000_s13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814764" y="4806115"/>
              <a:ext cx="8916904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15</xdr:row>
      <xdr:rowOff>0</xdr:rowOff>
    </xdr:from>
    <xdr:to>
      <xdr:col>15</xdr:col>
      <xdr:colOff>543942</xdr:colOff>
      <xdr:row>15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15</xdr:row>
      <xdr:rowOff>0</xdr:rowOff>
    </xdr:from>
    <xdr:to>
      <xdr:col>15</xdr:col>
      <xdr:colOff>543942</xdr:colOff>
      <xdr:row>15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71"/>
  <sheetViews>
    <sheetView showGridLines="0" tabSelected="1" view="pageBreakPreview" topLeftCell="A25" zoomScale="95" zoomScaleNormal="95" zoomScaleSheetLayoutView="95" workbookViewId="0">
      <selection activeCell="G49" sqref="G4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28515625" style="2" customWidth="1"/>
    <col min="20" max="22" width="13.5703125" style="2" customWidth="1"/>
    <col min="23" max="23" width="8.42578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1" t="s">
        <v>127</v>
      </c>
      <c r="B1" s="122"/>
      <c r="C1" s="92"/>
      <c r="D1" s="92"/>
      <c r="E1" s="92"/>
      <c r="F1" s="92"/>
      <c r="G1" s="1"/>
      <c r="J1" s="152" t="s">
        <v>81</v>
      </c>
      <c r="K1" s="153"/>
      <c r="L1" s="154"/>
    </row>
    <row r="2" spans="1:19" ht="20.100000000000001" customHeight="1">
      <c r="A2" s="3" t="s">
        <v>1</v>
      </c>
      <c r="B2" s="86"/>
      <c r="C2" s="86"/>
      <c r="D2" s="3" t="s">
        <v>128</v>
      </c>
      <c r="E2" s="86"/>
      <c r="F2" s="86"/>
      <c r="G2" s="86"/>
      <c r="H2" s="86"/>
      <c r="I2" s="4"/>
      <c r="J2" s="155" t="s">
        <v>92</v>
      </c>
      <c r="K2" s="156"/>
      <c r="L2" s="157"/>
    </row>
    <row r="3" spans="1:19" ht="20.100000000000001" customHeight="1">
      <c r="A3" s="3" t="s">
        <v>130</v>
      </c>
      <c r="B3" s="86"/>
      <c r="C3" s="86"/>
      <c r="D3" s="86"/>
      <c r="E3" s="158">
        <f>+L3+3</f>
        <v>46272</v>
      </c>
      <c r="F3" s="158"/>
      <c r="G3" s="158"/>
      <c r="H3" s="158"/>
      <c r="I3" s="158"/>
      <c r="J3" s="86"/>
      <c r="K3" s="86"/>
      <c r="L3" s="123">
        <v>46269</v>
      </c>
      <c r="M3" s="4"/>
    </row>
    <row r="4" spans="1:19" ht="21.75" customHeight="1">
      <c r="A4" s="150" t="s">
        <v>2</v>
      </c>
      <c r="B4" s="151" t="s">
        <v>3</v>
      </c>
      <c r="C4" s="151"/>
      <c r="D4" s="150" t="s">
        <v>4</v>
      </c>
      <c r="E4" s="150"/>
      <c r="F4" s="150"/>
      <c r="G4" s="151" t="s">
        <v>5</v>
      </c>
      <c r="H4" s="150" t="s">
        <v>6</v>
      </c>
      <c r="I4" s="150" t="s">
        <v>85</v>
      </c>
      <c r="J4" s="150" t="s">
        <v>86</v>
      </c>
      <c r="K4" s="150" t="s">
        <v>0</v>
      </c>
      <c r="L4" s="151" t="s">
        <v>7</v>
      </c>
    </row>
    <row r="5" spans="1:19" ht="21.75" customHeight="1">
      <c r="A5" s="150"/>
      <c r="B5" s="151"/>
      <c r="C5" s="151"/>
      <c r="D5" s="150"/>
      <c r="E5" s="150"/>
      <c r="F5" s="150"/>
      <c r="G5" s="151"/>
      <c r="H5" s="150"/>
      <c r="I5" s="150"/>
      <c r="J5" s="150"/>
      <c r="K5" s="150"/>
      <c r="L5" s="151"/>
    </row>
    <row r="6" spans="1:19" ht="22.5" customHeight="1">
      <c r="A6" s="96">
        <f t="shared" ref="A6:A34" si="0">ROW(A1)</f>
        <v>1</v>
      </c>
      <c r="B6" s="111" t="s">
        <v>131</v>
      </c>
      <c r="C6" s="112"/>
      <c r="D6" s="114" t="s">
        <v>132</v>
      </c>
      <c r="E6" s="114"/>
      <c r="F6" s="112"/>
      <c r="G6" s="97" t="s">
        <v>88</v>
      </c>
      <c r="H6" s="98">
        <v>75</v>
      </c>
      <c r="I6" s="99">
        <v>77</v>
      </c>
      <c r="J6" s="99">
        <f>+I6*H6</f>
        <v>5775</v>
      </c>
      <c r="K6" s="100" t="s">
        <v>89</v>
      </c>
      <c r="L6" s="124" t="s">
        <v>94</v>
      </c>
      <c r="S6" s="91"/>
    </row>
    <row r="7" spans="1:19" ht="22.5" customHeight="1">
      <c r="A7" s="96">
        <f t="shared" si="0"/>
        <v>2</v>
      </c>
      <c r="B7" s="111" t="s">
        <v>133</v>
      </c>
      <c r="C7" s="112"/>
      <c r="D7" s="114" t="s">
        <v>149</v>
      </c>
      <c r="E7" s="114"/>
      <c r="F7" s="112"/>
      <c r="G7" s="97" t="s">
        <v>88</v>
      </c>
      <c r="H7" s="98">
        <v>20</v>
      </c>
      <c r="I7" s="99">
        <v>4.3</v>
      </c>
      <c r="J7" s="99">
        <f>+H7*I7</f>
        <v>86</v>
      </c>
      <c r="K7" s="100"/>
      <c r="L7" s="124"/>
      <c r="S7" s="91"/>
    </row>
    <row r="8" spans="1:19" ht="22.5" customHeight="1">
      <c r="A8" s="96">
        <f t="shared" si="0"/>
        <v>3</v>
      </c>
      <c r="B8" s="111" t="s">
        <v>134</v>
      </c>
      <c r="C8" s="112"/>
      <c r="D8" s="114" t="s">
        <v>150</v>
      </c>
      <c r="E8" s="114"/>
      <c r="F8" s="112"/>
      <c r="G8" s="97" t="s">
        <v>88</v>
      </c>
      <c r="H8" s="98">
        <v>20</v>
      </c>
      <c r="I8" s="99">
        <v>3.4</v>
      </c>
      <c r="J8" s="99">
        <f t="shared" ref="J8:J34" si="1">+H8*I8</f>
        <v>68</v>
      </c>
      <c r="K8" s="100"/>
      <c r="L8" s="124"/>
      <c r="S8" s="91"/>
    </row>
    <row r="9" spans="1:19" ht="22.5" customHeight="1">
      <c r="A9" s="96">
        <f t="shared" si="0"/>
        <v>4</v>
      </c>
      <c r="B9" s="111" t="s">
        <v>135</v>
      </c>
      <c r="C9" s="112"/>
      <c r="D9" s="114" t="s">
        <v>151</v>
      </c>
      <c r="E9" s="114"/>
      <c r="F9" s="112"/>
      <c r="G9" s="97" t="s">
        <v>174</v>
      </c>
      <c r="H9" s="98">
        <v>10</v>
      </c>
      <c r="I9" s="99">
        <v>150</v>
      </c>
      <c r="J9" s="99">
        <f t="shared" si="1"/>
        <v>1500</v>
      </c>
      <c r="K9" s="100"/>
      <c r="L9" s="124"/>
      <c r="S9" s="91"/>
    </row>
    <row r="10" spans="1:19" ht="22.5" customHeight="1">
      <c r="A10" s="96">
        <f t="shared" si="0"/>
        <v>5</v>
      </c>
      <c r="B10" s="111" t="s">
        <v>136</v>
      </c>
      <c r="C10" s="112"/>
      <c r="D10" s="114" t="s">
        <v>152</v>
      </c>
      <c r="E10" s="114"/>
      <c r="F10" s="112"/>
      <c r="G10" s="97" t="s">
        <v>174</v>
      </c>
      <c r="H10" s="98">
        <v>10</v>
      </c>
      <c r="I10" s="99">
        <v>100</v>
      </c>
      <c r="J10" s="99">
        <f t="shared" si="1"/>
        <v>1000</v>
      </c>
      <c r="K10" s="100"/>
      <c r="L10" s="124"/>
      <c r="S10" s="91"/>
    </row>
    <row r="11" spans="1:19" ht="22.5" customHeight="1">
      <c r="A11" s="96">
        <f t="shared" si="0"/>
        <v>6</v>
      </c>
      <c r="B11" s="111" t="s">
        <v>137</v>
      </c>
      <c r="C11" s="112"/>
      <c r="D11" s="114" t="s">
        <v>150</v>
      </c>
      <c r="E11" s="114"/>
      <c r="F11" s="112"/>
      <c r="G11" s="97" t="s">
        <v>88</v>
      </c>
      <c r="H11" s="98">
        <v>1</v>
      </c>
      <c r="I11" s="99">
        <v>55</v>
      </c>
      <c r="J11" s="99">
        <f t="shared" si="1"/>
        <v>55</v>
      </c>
      <c r="K11" s="100"/>
      <c r="L11" s="124"/>
      <c r="S11" s="91"/>
    </row>
    <row r="12" spans="1:19" ht="22.5" customHeight="1">
      <c r="A12" s="96">
        <f t="shared" si="0"/>
        <v>7</v>
      </c>
      <c r="B12" s="111" t="s">
        <v>138</v>
      </c>
      <c r="C12" s="112"/>
      <c r="D12" s="114" t="s">
        <v>153</v>
      </c>
      <c r="E12" s="114"/>
      <c r="F12" s="112"/>
      <c r="G12" s="97" t="s">
        <v>88</v>
      </c>
      <c r="H12" s="98">
        <v>8</v>
      </c>
      <c r="I12" s="99">
        <v>10</v>
      </c>
      <c r="J12" s="99">
        <f t="shared" si="1"/>
        <v>80</v>
      </c>
      <c r="K12" s="100"/>
      <c r="L12" s="124"/>
      <c r="S12" s="91"/>
    </row>
    <row r="13" spans="1:19" ht="22.5" customHeight="1">
      <c r="A13" s="96">
        <f t="shared" si="0"/>
        <v>8</v>
      </c>
      <c r="B13" s="111" t="s">
        <v>139</v>
      </c>
      <c r="C13" s="112"/>
      <c r="D13" s="114" t="s">
        <v>150</v>
      </c>
      <c r="E13" s="114"/>
      <c r="F13" s="112"/>
      <c r="G13" s="97" t="s">
        <v>88</v>
      </c>
      <c r="H13" s="98">
        <v>3</v>
      </c>
      <c r="I13" s="99">
        <v>156</v>
      </c>
      <c r="J13" s="99">
        <f t="shared" si="1"/>
        <v>468</v>
      </c>
      <c r="K13" s="100"/>
      <c r="L13" s="124"/>
      <c r="S13" s="91"/>
    </row>
    <row r="14" spans="1:19" ht="22.5" customHeight="1">
      <c r="A14" s="96">
        <f t="shared" si="0"/>
        <v>9</v>
      </c>
      <c r="B14" s="111" t="s">
        <v>140</v>
      </c>
      <c r="C14" s="112"/>
      <c r="D14" s="114" t="s">
        <v>154</v>
      </c>
      <c r="E14" s="114"/>
      <c r="F14" s="112"/>
      <c r="G14" s="97" t="s">
        <v>88</v>
      </c>
      <c r="H14" s="98">
        <v>6</v>
      </c>
      <c r="I14" s="99">
        <v>506</v>
      </c>
      <c r="J14" s="99">
        <f t="shared" si="1"/>
        <v>3036</v>
      </c>
      <c r="K14" s="100"/>
      <c r="L14" s="124"/>
      <c r="S14" s="91"/>
    </row>
    <row r="15" spans="1:19" ht="22.5" customHeight="1">
      <c r="A15" s="96">
        <f t="shared" si="0"/>
        <v>10</v>
      </c>
      <c r="B15" s="111" t="s">
        <v>140</v>
      </c>
      <c r="C15" s="112"/>
      <c r="D15" s="114" t="s">
        <v>155</v>
      </c>
      <c r="E15" s="114"/>
      <c r="F15" s="112"/>
      <c r="G15" s="97" t="s">
        <v>88</v>
      </c>
      <c r="H15" s="98">
        <v>6</v>
      </c>
      <c r="I15" s="99">
        <v>506</v>
      </c>
      <c r="J15" s="99">
        <f t="shared" si="1"/>
        <v>3036</v>
      </c>
      <c r="K15" s="100"/>
      <c r="L15" s="124"/>
      <c r="S15" s="91"/>
    </row>
    <row r="16" spans="1:19" ht="22.5" customHeight="1">
      <c r="A16" s="96">
        <f t="shared" si="0"/>
        <v>11</v>
      </c>
      <c r="B16" s="111" t="s">
        <v>140</v>
      </c>
      <c r="C16" s="112"/>
      <c r="D16" s="114" t="s">
        <v>156</v>
      </c>
      <c r="E16" s="114"/>
      <c r="F16" s="112"/>
      <c r="G16" s="97" t="s">
        <v>88</v>
      </c>
      <c r="H16" s="98">
        <v>6</v>
      </c>
      <c r="I16" s="99">
        <v>506</v>
      </c>
      <c r="J16" s="99">
        <f t="shared" si="1"/>
        <v>3036</v>
      </c>
      <c r="K16" s="100"/>
      <c r="L16" s="124"/>
      <c r="S16" s="91"/>
    </row>
    <row r="17" spans="1:19" ht="22.5" customHeight="1">
      <c r="A17" s="96">
        <f t="shared" si="0"/>
        <v>12</v>
      </c>
      <c r="B17" s="111" t="s">
        <v>140</v>
      </c>
      <c r="C17" s="112"/>
      <c r="D17" s="114" t="s">
        <v>157</v>
      </c>
      <c r="E17" s="114"/>
      <c r="F17" s="112"/>
      <c r="G17" s="97" t="s">
        <v>88</v>
      </c>
      <c r="H17" s="98">
        <v>10</v>
      </c>
      <c r="I17" s="99">
        <v>342</v>
      </c>
      <c r="J17" s="99">
        <f t="shared" si="1"/>
        <v>3420</v>
      </c>
      <c r="K17" s="100"/>
      <c r="L17" s="124"/>
      <c r="S17" s="91"/>
    </row>
    <row r="18" spans="1:19" ht="22.5" customHeight="1">
      <c r="A18" s="96">
        <f t="shared" si="0"/>
        <v>13</v>
      </c>
      <c r="B18" s="111" t="s">
        <v>141</v>
      </c>
      <c r="C18" s="112"/>
      <c r="D18" s="114" t="s">
        <v>158</v>
      </c>
      <c r="E18" s="114"/>
      <c r="F18" s="112"/>
      <c r="G18" s="97" t="s">
        <v>88</v>
      </c>
      <c r="H18" s="98">
        <v>4</v>
      </c>
      <c r="I18" s="99">
        <v>450</v>
      </c>
      <c r="J18" s="99">
        <f t="shared" si="1"/>
        <v>1800</v>
      </c>
      <c r="K18" s="100"/>
      <c r="L18" s="124"/>
      <c r="S18" s="91"/>
    </row>
    <row r="19" spans="1:19" ht="22.5" customHeight="1">
      <c r="A19" s="96">
        <f t="shared" si="0"/>
        <v>14</v>
      </c>
      <c r="B19" s="111" t="s">
        <v>141</v>
      </c>
      <c r="C19" s="112"/>
      <c r="D19" s="114" t="s">
        <v>159</v>
      </c>
      <c r="E19" s="114"/>
      <c r="F19" s="112"/>
      <c r="G19" s="97" t="s">
        <v>88</v>
      </c>
      <c r="H19" s="98">
        <v>4</v>
      </c>
      <c r="I19" s="99">
        <v>450</v>
      </c>
      <c r="J19" s="99">
        <f t="shared" si="1"/>
        <v>1800</v>
      </c>
      <c r="K19" s="100"/>
      <c r="L19" s="124"/>
      <c r="S19" s="91"/>
    </row>
    <row r="20" spans="1:19" ht="22.5" customHeight="1">
      <c r="A20" s="96">
        <f t="shared" si="0"/>
        <v>15</v>
      </c>
      <c r="B20" s="111" t="s">
        <v>141</v>
      </c>
      <c r="C20" s="112"/>
      <c r="D20" s="114" t="s">
        <v>160</v>
      </c>
      <c r="E20" s="114"/>
      <c r="F20" s="112"/>
      <c r="G20" s="97" t="s">
        <v>88</v>
      </c>
      <c r="H20" s="98">
        <v>4</v>
      </c>
      <c r="I20" s="99">
        <v>450</v>
      </c>
      <c r="J20" s="99">
        <f t="shared" si="1"/>
        <v>1800</v>
      </c>
      <c r="K20" s="100"/>
      <c r="L20" s="124"/>
      <c r="S20" s="91"/>
    </row>
    <row r="21" spans="1:19" ht="22.5" customHeight="1">
      <c r="A21" s="96">
        <f t="shared" si="0"/>
        <v>16</v>
      </c>
      <c r="B21" s="111" t="s">
        <v>141</v>
      </c>
      <c r="C21" s="112"/>
      <c r="D21" s="114" t="s">
        <v>161</v>
      </c>
      <c r="E21" s="114"/>
      <c r="F21" s="112"/>
      <c r="G21" s="97" t="s">
        <v>88</v>
      </c>
      <c r="H21" s="98">
        <v>6</v>
      </c>
      <c r="I21" s="99">
        <v>350</v>
      </c>
      <c r="J21" s="99">
        <f t="shared" si="1"/>
        <v>2100</v>
      </c>
      <c r="K21" s="100"/>
      <c r="L21" s="124"/>
      <c r="S21" s="91"/>
    </row>
    <row r="22" spans="1:19" ht="22.5" customHeight="1">
      <c r="A22" s="96">
        <f t="shared" si="0"/>
        <v>17</v>
      </c>
      <c r="B22" s="111" t="s">
        <v>142</v>
      </c>
      <c r="C22" s="112"/>
      <c r="D22" s="114" t="s">
        <v>162</v>
      </c>
      <c r="E22" s="114"/>
      <c r="F22" s="112"/>
      <c r="G22" s="97" t="s">
        <v>88</v>
      </c>
      <c r="H22" s="98">
        <v>3</v>
      </c>
      <c r="I22" s="99">
        <v>192</v>
      </c>
      <c r="J22" s="99">
        <f t="shared" si="1"/>
        <v>576</v>
      </c>
      <c r="K22" s="100"/>
      <c r="L22" s="124"/>
      <c r="S22" s="91"/>
    </row>
    <row r="23" spans="1:19" ht="22.5" customHeight="1">
      <c r="A23" s="96">
        <f t="shared" si="0"/>
        <v>18</v>
      </c>
      <c r="B23" s="111" t="s">
        <v>143</v>
      </c>
      <c r="C23" s="112"/>
      <c r="D23" s="114" t="s">
        <v>163</v>
      </c>
      <c r="E23" s="114"/>
      <c r="F23" s="112"/>
      <c r="G23" s="97" t="s">
        <v>88</v>
      </c>
      <c r="H23" s="98">
        <v>3</v>
      </c>
      <c r="I23" s="99">
        <v>1100</v>
      </c>
      <c r="J23" s="99">
        <f t="shared" si="1"/>
        <v>3300</v>
      </c>
      <c r="K23" s="100"/>
      <c r="L23" s="124"/>
      <c r="S23" s="91"/>
    </row>
    <row r="24" spans="1:19" ht="22.5" customHeight="1">
      <c r="A24" s="96">
        <f t="shared" si="0"/>
        <v>19</v>
      </c>
      <c r="B24" s="111" t="s">
        <v>144</v>
      </c>
      <c r="C24" s="112"/>
      <c r="D24" s="114" t="s">
        <v>164</v>
      </c>
      <c r="E24" s="114"/>
      <c r="F24" s="112"/>
      <c r="G24" s="97" t="s">
        <v>88</v>
      </c>
      <c r="H24" s="98">
        <v>2</v>
      </c>
      <c r="I24" s="99">
        <v>350</v>
      </c>
      <c r="J24" s="99">
        <f t="shared" si="1"/>
        <v>700</v>
      </c>
      <c r="K24" s="100"/>
      <c r="L24" s="124"/>
      <c r="S24" s="91"/>
    </row>
    <row r="25" spans="1:19" ht="22.5" customHeight="1">
      <c r="A25" s="96">
        <f t="shared" si="0"/>
        <v>20</v>
      </c>
      <c r="B25" s="111" t="s">
        <v>145</v>
      </c>
      <c r="C25" s="112"/>
      <c r="D25" s="114" t="s">
        <v>165</v>
      </c>
      <c r="E25" s="114"/>
      <c r="F25" s="112"/>
      <c r="G25" s="97" t="s">
        <v>88</v>
      </c>
      <c r="H25" s="98">
        <v>6</v>
      </c>
      <c r="I25" s="99">
        <v>400</v>
      </c>
      <c r="J25" s="99">
        <f t="shared" si="1"/>
        <v>2400</v>
      </c>
      <c r="K25" s="100"/>
      <c r="L25" s="124"/>
      <c r="S25" s="91"/>
    </row>
    <row r="26" spans="1:19" ht="22.5" customHeight="1">
      <c r="A26" s="96">
        <f t="shared" si="0"/>
        <v>21</v>
      </c>
      <c r="B26" s="111" t="s">
        <v>145</v>
      </c>
      <c r="C26" s="112"/>
      <c r="D26" s="114" t="s">
        <v>166</v>
      </c>
      <c r="E26" s="114"/>
      <c r="F26" s="112"/>
      <c r="G26" s="97" t="s">
        <v>88</v>
      </c>
      <c r="H26" s="98">
        <v>6</v>
      </c>
      <c r="I26" s="99">
        <v>400</v>
      </c>
      <c r="J26" s="99">
        <f t="shared" si="1"/>
        <v>2400</v>
      </c>
      <c r="K26" s="100"/>
      <c r="L26" s="124"/>
      <c r="S26" s="91"/>
    </row>
    <row r="27" spans="1:19" ht="22.5" customHeight="1">
      <c r="A27" s="96">
        <f t="shared" si="0"/>
        <v>22</v>
      </c>
      <c r="B27" s="111" t="s">
        <v>145</v>
      </c>
      <c r="C27" s="112"/>
      <c r="D27" s="114" t="s">
        <v>167</v>
      </c>
      <c r="E27" s="114"/>
      <c r="F27" s="112"/>
      <c r="G27" s="97" t="s">
        <v>88</v>
      </c>
      <c r="H27" s="98">
        <v>6</v>
      </c>
      <c r="I27" s="99">
        <v>400</v>
      </c>
      <c r="J27" s="99">
        <f t="shared" si="1"/>
        <v>2400</v>
      </c>
      <c r="K27" s="100"/>
      <c r="L27" s="124"/>
      <c r="S27" s="91"/>
    </row>
    <row r="28" spans="1:19" ht="22.5" customHeight="1">
      <c r="A28" s="96">
        <f t="shared" si="0"/>
        <v>23</v>
      </c>
      <c r="B28" s="111" t="s">
        <v>145</v>
      </c>
      <c r="C28" s="112"/>
      <c r="D28" s="114" t="s">
        <v>168</v>
      </c>
      <c r="E28" s="114"/>
      <c r="F28" s="112"/>
      <c r="G28" s="97" t="s">
        <v>88</v>
      </c>
      <c r="H28" s="98">
        <v>10</v>
      </c>
      <c r="I28" s="99">
        <v>318</v>
      </c>
      <c r="J28" s="99">
        <f t="shared" si="1"/>
        <v>3180</v>
      </c>
      <c r="K28" s="100"/>
      <c r="L28" s="124"/>
      <c r="S28" s="91"/>
    </row>
    <row r="29" spans="1:19" ht="22.5" customHeight="1">
      <c r="A29" s="96">
        <f t="shared" si="0"/>
        <v>24</v>
      </c>
      <c r="B29" s="111" t="s">
        <v>146</v>
      </c>
      <c r="C29" s="112"/>
      <c r="D29" s="114" t="s">
        <v>169</v>
      </c>
      <c r="E29" s="114"/>
      <c r="F29" s="112"/>
      <c r="G29" s="97" t="s">
        <v>88</v>
      </c>
      <c r="H29" s="98">
        <v>1</v>
      </c>
      <c r="I29" s="99">
        <v>500</v>
      </c>
      <c r="J29" s="99">
        <f t="shared" si="1"/>
        <v>500</v>
      </c>
      <c r="K29" s="100"/>
      <c r="L29" s="124"/>
      <c r="S29" s="91"/>
    </row>
    <row r="30" spans="1:19" ht="22.5" customHeight="1">
      <c r="A30" s="96">
        <f t="shared" si="0"/>
        <v>25</v>
      </c>
      <c r="B30" s="111" t="s">
        <v>146</v>
      </c>
      <c r="C30" s="112"/>
      <c r="D30" s="114" t="s">
        <v>170</v>
      </c>
      <c r="E30" s="114"/>
      <c r="F30" s="112"/>
      <c r="G30" s="97" t="s">
        <v>88</v>
      </c>
      <c r="H30" s="98">
        <v>1</v>
      </c>
      <c r="I30" s="99">
        <v>500</v>
      </c>
      <c r="J30" s="99">
        <f t="shared" si="1"/>
        <v>500</v>
      </c>
      <c r="K30" s="100"/>
      <c r="L30" s="124"/>
      <c r="S30" s="91"/>
    </row>
    <row r="31" spans="1:19" ht="22.5" customHeight="1">
      <c r="A31" s="96">
        <f t="shared" si="0"/>
        <v>26</v>
      </c>
      <c r="B31" s="111" t="s">
        <v>146</v>
      </c>
      <c r="C31" s="112"/>
      <c r="D31" s="114" t="s">
        <v>171</v>
      </c>
      <c r="E31" s="114"/>
      <c r="F31" s="112"/>
      <c r="G31" s="97" t="s">
        <v>88</v>
      </c>
      <c r="H31" s="98">
        <v>1</v>
      </c>
      <c r="I31" s="99">
        <v>500</v>
      </c>
      <c r="J31" s="99">
        <f t="shared" si="1"/>
        <v>500</v>
      </c>
      <c r="K31" s="100"/>
      <c r="L31" s="124"/>
      <c r="S31" s="91"/>
    </row>
    <row r="32" spans="1:19" ht="22.5" customHeight="1">
      <c r="A32" s="96">
        <f t="shared" si="0"/>
        <v>27</v>
      </c>
      <c r="B32" s="111" t="s">
        <v>146</v>
      </c>
      <c r="C32" s="112"/>
      <c r="D32" s="114" t="s">
        <v>172</v>
      </c>
      <c r="E32" s="114"/>
      <c r="F32" s="112"/>
      <c r="G32" s="97" t="s">
        <v>88</v>
      </c>
      <c r="H32" s="98">
        <v>2</v>
      </c>
      <c r="I32" s="99">
        <v>385</v>
      </c>
      <c r="J32" s="99">
        <f t="shared" si="1"/>
        <v>770</v>
      </c>
      <c r="K32" s="100"/>
      <c r="L32" s="124"/>
      <c r="S32" s="91"/>
    </row>
    <row r="33" spans="1:26" ht="22.5" customHeight="1">
      <c r="A33" s="96">
        <f t="shared" si="0"/>
        <v>28</v>
      </c>
      <c r="B33" s="111" t="s">
        <v>147</v>
      </c>
      <c r="C33" s="112"/>
      <c r="D33" s="114" t="s">
        <v>150</v>
      </c>
      <c r="E33" s="114"/>
      <c r="F33" s="112"/>
      <c r="G33" s="97" t="s">
        <v>88</v>
      </c>
      <c r="H33" s="98">
        <v>1</v>
      </c>
      <c r="I33" s="99">
        <v>270</v>
      </c>
      <c r="J33" s="99">
        <f t="shared" si="1"/>
        <v>270</v>
      </c>
      <c r="K33" s="100"/>
      <c r="L33" s="124"/>
      <c r="S33" s="91"/>
    </row>
    <row r="34" spans="1:26" ht="22.5" customHeight="1">
      <c r="A34" s="96">
        <f t="shared" si="0"/>
        <v>29</v>
      </c>
      <c r="B34" s="111" t="s">
        <v>148</v>
      </c>
      <c r="C34" s="112"/>
      <c r="D34" s="114" t="s">
        <v>173</v>
      </c>
      <c r="E34" s="114"/>
      <c r="F34" s="112"/>
      <c r="G34" s="97" t="s">
        <v>175</v>
      </c>
      <c r="H34" s="98">
        <v>100</v>
      </c>
      <c r="I34" s="99">
        <v>9</v>
      </c>
      <c r="J34" s="99">
        <f t="shared" si="1"/>
        <v>900</v>
      </c>
      <c r="K34" s="100"/>
      <c r="L34" s="124"/>
      <c r="S34" s="91"/>
    </row>
    <row r="35" spans="1:26" ht="22.5" customHeight="1">
      <c r="A35" s="147" t="s">
        <v>8</v>
      </c>
      <c r="B35" s="148"/>
      <c r="C35" s="103"/>
      <c r="D35" s="104"/>
      <c r="E35" s="104"/>
      <c r="F35" s="104"/>
      <c r="G35" s="105"/>
      <c r="H35" s="106"/>
      <c r="I35" s="102" t="s">
        <v>9</v>
      </c>
      <c r="J35" s="99">
        <f>SUM(J6:J34)</f>
        <v>47456</v>
      </c>
      <c r="K35" s="99"/>
      <c r="L35" s="101"/>
    </row>
    <row r="36" spans="1:26" ht="25.5" customHeight="1">
      <c r="A36" s="95" t="s">
        <v>10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6"/>
    </row>
    <row r="37" spans="1:26" ht="18" customHeight="1">
      <c r="A37" s="7"/>
      <c r="J37" s="1"/>
      <c r="K37" s="1"/>
      <c r="O37" s="8"/>
      <c r="P37" s="8"/>
      <c r="Q37" s="8"/>
      <c r="R37" s="8"/>
      <c r="S37" s="8"/>
      <c r="T37" s="8"/>
      <c r="U37" s="8"/>
      <c r="V37" s="8"/>
      <c r="W37" s="8"/>
      <c r="Y37" s="138"/>
      <c r="Z37" s="8"/>
    </row>
    <row r="38" spans="1:26" ht="50.1" customHeight="1">
      <c r="Y38" s="139"/>
    </row>
    <row r="39" spans="1:26" ht="15" customHeight="1">
      <c r="O39" s="134" t="s">
        <v>115</v>
      </c>
      <c r="P39" s="140"/>
      <c r="Q39" s="140"/>
      <c r="R39" s="135"/>
      <c r="S39" s="113"/>
      <c r="T39" s="134" t="s">
        <v>116</v>
      </c>
      <c r="U39" s="140"/>
      <c r="V39" s="140"/>
      <c r="W39" s="140"/>
      <c r="X39" s="140"/>
      <c r="Y39" s="135"/>
    </row>
    <row r="40" spans="1:26" ht="15" customHeight="1">
      <c r="O40" s="141" t="s">
        <v>117</v>
      </c>
      <c r="P40" s="143" t="s">
        <v>118</v>
      </c>
      <c r="Q40" s="141" t="s">
        <v>119</v>
      </c>
      <c r="R40" s="143" t="s">
        <v>120</v>
      </c>
      <c r="S40" s="113"/>
      <c r="T40" s="141" t="s">
        <v>121</v>
      </c>
      <c r="U40" s="143" t="s">
        <v>122</v>
      </c>
      <c r="V40" s="134" t="s">
        <v>123</v>
      </c>
      <c r="W40" s="140"/>
      <c r="X40" s="135"/>
      <c r="Y40" s="143" t="s">
        <v>124</v>
      </c>
    </row>
    <row r="41" spans="1:26" ht="18" customHeight="1">
      <c r="O41" s="142"/>
      <c r="P41" s="144"/>
      <c r="Q41" s="142"/>
      <c r="R41" s="144"/>
      <c r="S41" s="115"/>
      <c r="T41" s="142"/>
      <c r="U41" s="144"/>
      <c r="V41" s="10" t="s">
        <v>117</v>
      </c>
      <c r="W41" s="145" t="s">
        <v>125</v>
      </c>
      <c r="X41" s="146"/>
      <c r="Y41" s="144"/>
    </row>
    <row r="42" spans="1:26" ht="50.1" customHeight="1">
      <c r="O42" s="11"/>
      <c r="P42" s="11"/>
      <c r="Q42" s="11"/>
      <c r="R42" s="11"/>
      <c r="S42" s="113"/>
      <c r="T42" s="11"/>
      <c r="U42" s="11"/>
      <c r="V42" s="11"/>
      <c r="W42" s="134"/>
      <c r="X42" s="135"/>
      <c r="Y42" s="116"/>
    </row>
    <row r="43" spans="1:26" ht="36" customHeight="1">
      <c r="W43" s="117"/>
      <c r="X43" s="136" t="s">
        <v>126</v>
      </c>
      <c r="Y43" s="9" t="s">
        <v>124</v>
      </c>
    </row>
    <row r="44" spans="1:26" ht="50.1" customHeight="1">
      <c r="O44" s="118"/>
      <c r="P44" s="118"/>
      <c r="Q44" s="118"/>
      <c r="R44" s="118"/>
      <c r="S44" s="118"/>
      <c r="T44" s="118"/>
      <c r="U44" s="118"/>
      <c r="V44" s="118"/>
      <c r="W44" s="119"/>
      <c r="X44" s="137"/>
      <c r="Y44" s="120"/>
    </row>
    <row r="45" spans="1:26" ht="19.899999999999999" customHeight="1"/>
    <row r="46" spans="1:26" ht="17.45" customHeight="1">
      <c r="O46" s="149"/>
      <c r="P46" s="149"/>
      <c r="Q46" s="149"/>
    </row>
    <row r="47" spans="1:26" ht="19.899999999999999" customHeight="1">
      <c r="O47" s="149"/>
      <c r="P47" s="149"/>
      <c r="Q47" s="149"/>
    </row>
    <row r="48" spans="1:26" ht="14.25">
      <c r="O48" s="8"/>
      <c r="P48" s="8"/>
      <c r="Q48" s="8"/>
    </row>
    <row r="49" spans="15:20" ht="65.099999999999994" customHeight="1"/>
    <row r="50" spans="15:20" ht="14.25">
      <c r="O50" s="8"/>
      <c r="P50" s="8"/>
      <c r="Q50" s="8"/>
    </row>
    <row r="51" spans="15:20" ht="19.899999999999999" customHeight="1"/>
    <row r="52" spans="15:20" ht="14.25"/>
    <row r="53" spans="15:20" ht="19.899999999999999" customHeight="1"/>
    <row r="54" spans="15:20" ht="14.25"/>
    <row r="55" spans="15:20" ht="19.899999999999999" customHeight="1"/>
    <row r="56" spans="15:20" ht="19.899999999999999" customHeight="1"/>
    <row r="57" spans="15:20" ht="64.900000000000006" customHeight="1"/>
    <row r="59" spans="15:20" ht="19.899999999999999" customHeight="1">
      <c r="T59" s="143" t="s">
        <v>12</v>
      </c>
    </row>
    <row r="60" spans="15:20" ht="19.899999999999999" customHeight="1">
      <c r="T60" s="144"/>
    </row>
    <row r="61" spans="15:20" ht="64.900000000000006" customHeight="1">
      <c r="T61" s="11"/>
    </row>
    <row r="65" spans="15:22" ht="21" customHeight="1">
      <c r="O65" s="143" t="s">
        <v>12</v>
      </c>
      <c r="P65" s="143" t="s">
        <v>12</v>
      </c>
      <c r="Q65" s="143" t="s">
        <v>12</v>
      </c>
      <c r="T65" s="143" t="s">
        <v>13</v>
      </c>
      <c r="U65" s="143" t="s">
        <v>11</v>
      </c>
      <c r="V65" s="143" t="s">
        <v>12</v>
      </c>
    </row>
    <row r="66" spans="15:22" ht="21" customHeight="1">
      <c r="O66" s="144"/>
      <c r="P66" s="144"/>
      <c r="Q66" s="144"/>
      <c r="T66" s="142"/>
      <c r="U66" s="142"/>
      <c r="V66" s="144"/>
    </row>
    <row r="67" spans="15:22" ht="64.900000000000006" customHeight="1">
      <c r="O67" s="11"/>
      <c r="P67" s="11"/>
      <c r="Q67" s="11"/>
      <c r="T67" s="11"/>
      <c r="U67" s="12"/>
      <c r="V67" s="11"/>
    </row>
    <row r="68" spans="15:22" ht="7.15" customHeight="1"/>
    <row r="69" spans="15:22" ht="21" customHeight="1">
      <c r="O69" s="143" t="s">
        <v>12</v>
      </c>
      <c r="P69" s="143" t="s">
        <v>12</v>
      </c>
      <c r="Q69" s="143" t="s">
        <v>12</v>
      </c>
      <c r="T69" s="143" t="s">
        <v>11</v>
      </c>
      <c r="U69" s="143" t="s">
        <v>13</v>
      </c>
      <c r="V69" s="143" t="s">
        <v>12</v>
      </c>
    </row>
    <row r="70" spans="15:22" ht="21" customHeight="1">
      <c r="O70" s="144"/>
      <c r="P70" s="144"/>
      <c r="Q70" s="144"/>
      <c r="T70" s="142"/>
      <c r="U70" s="142"/>
      <c r="V70" s="144"/>
    </row>
    <row r="71" spans="15:22" ht="64.900000000000006" customHeight="1">
      <c r="O71" s="11"/>
      <c r="P71" s="11"/>
      <c r="Q71" s="11"/>
      <c r="T71" s="12"/>
      <c r="U71" s="11"/>
      <c r="V71" s="11"/>
    </row>
  </sheetData>
  <mergeCells count="43">
    <mergeCell ref="A4:A5"/>
    <mergeCell ref="B4:C5"/>
    <mergeCell ref="D4:F5"/>
    <mergeCell ref="L4:L5"/>
    <mergeCell ref="J1:L1"/>
    <mergeCell ref="J2:L2"/>
    <mergeCell ref="E3:I3"/>
    <mergeCell ref="G4:G5"/>
    <mergeCell ref="H4:H5"/>
    <mergeCell ref="I4:I5"/>
    <mergeCell ref="J4:J5"/>
    <mergeCell ref="K4:K5"/>
    <mergeCell ref="V65:V66"/>
    <mergeCell ref="O69:O70"/>
    <mergeCell ref="P69:P70"/>
    <mergeCell ref="Q69:Q70"/>
    <mergeCell ref="T69:T70"/>
    <mergeCell ref="U69:U70"/>
    <mergeCell ref="V69:V70"/>
    <mergeCell ref="O65:O66"/>
    <mergeCell ref="P65:P66"/>
    <mergeCell ref="Q65:Q66"/>
    <mergeCell ref="T65:T66"/>
    <mergeCell ref="A35:B35"/>
    <mergeCell ref="P46:P47"/>
    <mergeCell ref="Q46:Q47"/>
    <mergeCell ref="O46:O47"/>
    <mergeCell ref="U65:U66"/>
    <mergeCell ref="T59:T60"/>
    <mergeCell ref="P40:P41"/>
    <mergeCell ref="Q40:Q41"/>
    <mergeCell ref="W42:X42"/>
    <mergeCell ref="X43:X44"/>
    <mergeCell ref="Y37:Y38"/>
    <mergeCell ref="O39:R39"/>
    <mergeCell ref="T39:Y39"/>
    <mergeCell ref="O40:O41"/>
    <mergeCell ref="R40:R41"/>
    <mergeCell ref="T40:T41"/>
    <mergeCell ref="U40:U41"/>
    <mergeCell ref="V40:X40"/>
    <mergeCell ref="Y40:Y41"/>
    <mergeCell ref="W41:X41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3"/>
  <sheetViews>
    <sheetView showGridLines="0" view="pageBreakPreview" zoomScale="70" zoomScaleNormal="95" zoomScaleSheetLayoutView="70" workbookViewId="0">
      <pane ySplit="5" topLeftCell="A32" activePane="bottomLeft" state="frozen"/>
      <selection activeCell="D30" sqref="D30"/>
      <selection pane="bottomLeft" activeCell="I36" sqref="I3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3" t="s">
        <v>87</v>
      </c>
      <c r="B1" s="85"/>
      <c r="C1" s="85"/>
      <c r="D1" s="85"/>
      <c r="E1" s="85"/>
      <c r="F1" s="85"/>
      <c r="G1" s="1"/>
      <c r="J1" s="152" t="str">
        <f>+MRS!J1</f>
        <v>DAESHIN PLANT</v>
      </c>
      <c r="K1" s="154"/>
    </row>
    <row r="2" spans="1:18" ht="24.95" customHeight="1">
      <c r="A2" s="3" t="str">
        <f>+MRS!A2</f>
        <v xml:space="preserve">  PJT :  SACE2           </v>
      </c>
      <c r="B2" s="86"/>
      <c r="C2" s="86"/>
      <c r="D2" s="3" t="str">
        <f>+MRS!D2</f>
        <v>Division (In charge Name) : ADMIN MANAGER (Dong Chang Kim)</v>
      </c>
      <c r="E2" s="86"/>
      <c r="F2" s="86"/>
      <c r="G2" s="13"/>
      <c r="H2" s="13"/>
      <c r="I2" s="13"/>
      <c r="J2" s="155" t="str">
        <f>+MRS!J2</f>
        <v>Subcontract name (SAC2-SC-IK-SMP-01)</v>
      </c>
      <c r="K2" s="157"/>
    </row>
    <row r="3" spans="1:18" ht="24.95" customHeight="1">
      <c r="A3" s="3" t="str">
        <f>+MRS!A3</f>
        <v xml:space="preserve">  MRS No : SAC2-DS-MRS-0451</v>
      </c>
      <c r="B3" s="86"/>
      <c r="C3" s="86"/>
      <c r="D3" s="86"/>
      <c r="E3" s="86"/>
      <c r="F3" s="86"/>
      <c r="G3" s="86"/>
      <c r="H3" s="86"/>
      <c r="I3" s="86"/>
      <c r="J3" s="86"/>
      <c r="K3" s="87">
        <f>+MRS!L3</f>
        <v>46269</v>
      </c>
    </row>
    <row r="4" spans="1:18" ht="15.95" customHeight="1">
      <c r="A4" s="164" t="s">
        <v>2</v>
      </c>
      <c r="B4" s="165" t="s">
        <v>14</v>
      </c>
      <c r="C4" s="165"/>
      <c r="D4" s="164" t="s">
        <v>4</v>
      </c>
      <c r="E4" s="164"/>
      <c r="F4" s="164"/>
      <c r="G4" s="165" t="s">
        <v>5</v>
      </c>
      <c r="H4" s="164" t="s">
        <v>82</v>
      </c>
      <c r="I4" s="164" t="s">
        <v>15</v>
      </c>
      <c r="J4" s="164" t="s">
        <v>16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74.25" customHeight="1">
      <c r="A6" s="14">
        <f>+MRS!A6</f>
        <v>1</v>
      </c>
      <c r="B6" s="159" t="str">
        <f>MRS!B6</f>
        <v xml:space="preserve">FRC Coverall </v>
      </c>
      <c r="C6" s="160"/>
      <c r="D6" s="161" t="str">
        <f>MRS!D6</f>
        <v>CAT 2 Assorted size</v>
      </c>
      <c r="E6" s="162"/>
      <c r="F6" s="163"/>
      <c r="G6" s="88" t="str">
        <f>MRS!G6</f>
        <v>EA</v>
      </c>
      <c r="H6" s="88">
        <f>MRS!H6</f>
        <v>75</v>
      </c>
      <c r="I6" s="89">
        <f>MRS!I6</f>
        <v>77</v>
      </c>
      <c r="J6" s="89">
        <f>MRS!J6</f>
        <v>5775</v>
      </c>
      <c r="K6" s="90"/>
      <c r="O6" s="91"/>
      <c r="P6" s="91"/>
      <c r="R6" s="91"/>
    </row>
    <row r="7" spans="1:18" ht="74.25" customHeight="1">
      <c r="A7" s="14">
        <f>+MRS!A7</f>
        <v>2</v>
      </c>
      <c r="B7" s="159" t="str">
        <f>MRS!B7</f>
        <v>Flag Man Vest</v>
      </c>
      <c r="C7" s="160"/>
      <c r="D7" s="161" t="str">
        <f>MRS!D7</f>
        <v>Orange</v>
      </c>
      <c r="E7" s="162"/>
      <c r="F7" s="163"/>
      <c r="G7" s="88" t="str">
        <f>MRS!G7</f>
        <v>EA</v>
      </c>
      <c r="H7" s="88">
        <f>MRS!H7</f>
        <v>20</v>
      </c>
      <c r="I7" s="89">
        <f>MRS!I7</f>
        <v>4.3</v>
      </c>
      <c r="J7" s="89">
        <f>MRS!J7</f>
        <v>86</v>
      </c>
      <c r="K7" s="90"/>
      <c r="O7" s="91"/>
      <c r="P7" s="91"/>
      <c r="R7" s="91"/>
    </row>
    <row r="8" spans="1:18" ht="74.25" customHeight="1">
      <c r="A8" s="14">
        <f>+MRS!A8</f>
        <v>3</v>
      </c>
      <c r="B8" s="159" t="str">
        <f>MRS!B8</f>
        <v>Flag Man Flag</v>
      </c>
      <c r="C8" s="160"/>
      <c r="D8" s="161" t="str">
        <f>MRS!D8</f>
        <v/>
      </c>
      <c r="E8" s="162"/>
      <c r="F8" s="163"/>
      <c r="G8" s="88" t="str">
        <f>MRS!G8</f>
        <v>EA</v>
      </c>
      <c r="H8" s="88">
        <f>MRS!H8</f>
        <v>20</v>
      </c>
      <c r="I8" s="89">
        <f>MRS!I8</f>
        <v>3.4</v>
      </c>
      <c r="J8" s="89">
        <f>MRS!J8</f>
        <v>68</v>
      </c>
      <c r="K8" s="90"/>
      <c r="O8" s="91"/>
      <c r="P8" s="91"/>
      <c r="R8" s="91"/>
    </row>
    <row r="9" spans="1:18" ht="74.25" customHeight="1">
      <c r="A9" s="14">
        <f>+MRS!A9</f>
        <v>4</v>
      </c>
      <c r="B9" s="159" t="str">
        <f>MRS!B9</f>
        <v>A4 Box File</v>
      </c>
      <c r="C9" s="160"/>
      <c r="D9" s="161" t="str">
        <f>MRS!D9</f>
        <v>3Inch,30Pcs*1Box</v>
      </c>
      <c r="E9" s="162"/>
      <c r="F9" s="163"/>
      <c r="G9" s="88" t="str">
        <f>MRS!G9</f>
        <v>BOX</v>
      </c>
      <c r="H9" s="88">
        <f>MRS!H9</f>
        <v>10</v>
      </c>
      <c r="I9" s="89">
        <f>MRS!I9</f>
        <v>150</v>
      </c>
      <c r="J9" s="89">
        <f>MRS!J9</f>
        <v>1500</v>
      </c>
      <c r="K9" s="90"/>
      <c r="O9" s="91"/>
      <c r="P9" s="91"/>
      <c r="R9" s="91"/>
    </row>
    <row r="10" spans="1:18" ht="74.25" customHeight="1">
      <c r="A10" s="14">
        <f>+MRS!A10</f>
        <v>5</v>
      </c>
      <c r="B10" s="159" t="str">
        <f>MRS!B10</f>
        <v>Fantastic Flags</v>
      </c>
      <c r="C10" s="160"/>
      <c r="D10" s="161" t="str">
        <f>MRS!D10</f>
        <v>45*12Mm 24*1Box</v>
      </c>
      <c r="E10" s="162"/>
      <c r="F10" s="163"/>
      <c r="G10" s="88" t="str">
        <f>MRS!G10</f>
        <v>BOX</v>
      </c>
      <c r="H10" s="88">
        <f>MRS!H10</f>
        <v>10</v>
      </c>
      <c r="I10" s="89">
        <f>MRS!I10</f>
        <v>100</v>
      </c>
      <c r="J10" s="89">
        <f>MRS!J10</f>
        <v>1000</v>
      </c>
      <c r="K10" s="90"/>
      <c r="O10" s="91"/>
      <c r="P10" s="91"/>
      <c r="R10" s="91"/>
    </row>
    <row r="11" spans="1:18" ht="74.25" customHeight="1">
      <c r="A11" s="14">
        <f>+MRS!A11</f>
        <v>6</v>
      </c>
      <c r="B11" s="159" t="str">
        <f>MRS!B11</f>
        <v>Wire Mic</v>
      </c>
      <c r="C11" s="160"/>
      <c r="D11" s="161" t="str">
        <f>MRS!D11</f>
        <v/>
      </c>
      <c r="E11" s="162"/>
      <c r="F11" s="163"/>
      <c r="G11" s="88" t="str">
        <f>MRS!G11</f>
        <v>EA</v>
      </c>
      <c r="H11" s="88">
        <f>MRS!H11</f>
        <v>1</v>
      </c>
      <c r="I11" s="89">
        <f>MRS!I11</f>
        <v>55</v>
      </c>
      <c r="J11" s="89">
        <f>MRS!J11</f>
        <v>55</v>
      </c>
      <c r="K11" s="90"/>
      <c r="O11" s="91"/>
      <c r="P11" s="91"/>
      <c r="R11" s="91"/>
    </row>
    <row r="12" spans="1:18" ht="74.25" customHeight="1">
      <c r="A12" s="14">
        <f>+MRS!A12</f>
        <v>7</v>
      </c>
      <c r="B12" s="159" t="str">
        <f>MRS!B12</f>
        <v>Magaphone Battery</v>
      </c>
      <c r="C12" s="160"/>
      <c r="D12" s="161" t="str">
        <f>MRS!D12</f>
        <v>C2 - Alkaline Battery (1.5V)</v>
      </c>
      <c r="E12" s="162"/>
      <c r="F12" s="163"/>
      <c r="G12" s="88" t="str">
        <f>MRS!G12</f>
        <v>EA</v>
      </c>
      <c r="H12" s="88">
        <f>MRS!H12</f>
        <v>8</v>
      </c>
      <c r="I12" s="89">
        <f>MRS!I12</f>
        <v>10</v>
      </c>
      <c r="J12" s="89">
        <f>MRS!J12</f>
        <v>80</v>
      </c>
      <c r="K12" s="90"/>
      <c r="O12" s="91"/>
      <c r="P12" s="91"/>
      <c r="R12" s="91"/>
    </row>
    <row r="13" spans="1:18" ht="74.25" customHeight="1">
      <c r="A13" s="14">
        <f>+MRS!A13</f>
        <v>8</v>
      </c>
      <c r="B13" s="159" t="str">
        <f>MRS!B13</f>
        <v>Neckless Chair</v>
      </c>
      <c r="C13" s="160"/>
      <c r="D13" s="161" t="str">
        <f>MRS!D13</f>
        <v/>
      </c>
      <c r="E13" s="162"/>
      <c r="F13" s="163"/>
      <c r="G13" s="88" t="str">
        <f>MRS!G13</f>
        <v>EA</v>
      </c>
      <c r="H13" s="88">
        <f>MRS!H13</f>
        <v>3</v>
      </c>
      <c r="I13" s="89">
        <f>MRS!I13</f>
        <v>156</v>
      </c>
      <c r="J13" s="89">
        <f>MRS!J13</f>
        <v>468</v>
      </c>
      <c r="K13" s="90"/>
      <c r="O13" s="91"/>
      <c r="P13" s="91"/>
      <c r="R13" s="91"/>
    </row>
    <row r="14" spans="1:18" ht="74.25" customHeight="1">
      <c r="A14" s="14">
        <f>+MRS!A14</f>
        <v>9</v>
      </c>
      <c r="B14" s="159" t="str">
        <f>MRS!B14</f>
        <v>Ricoh C6003 - Toner</v>
      </c>
      <c r="C14" s="160"/>
      <c r="D14" s="161" t="str">
        <f>MRS!D14</f>
        <v>Cyan</v>
      </c>
      <c r="E14" s="162"/>
      <c r="F14" s="163"/>
      <c r="G14" s="88" t="str">
        <f>MRS!G14</f>
        <v>EA</v>
      </c>
      <c r="H14" s="88">
        <f>MRS!H14</f>
        <v>6</v>
      </c>
      <c r="I14" s="89">
        <f>MRS!I14</f>
        <v>506</v>
      </c>
      <c r="J14" s="89">
        <f>MRS!J14</f>
        <v>3036</v>
      </c>
      <c r="K14" s="90"/>
      <c r="O14" s="91"/>
      <c r="P14" s="91"/>
      <c r="R14" s="91"/>
    </row>
    <row r="15" spans="1:18" ht="74.25" customHeight="1">
      <c r="A15" s="14">
        <f>+MRS!A15</f>
        <v>10</v>
      </c>
      <c r="B15" s="159" t="str">
        <f>MRS!B15</f>
        <v>Ricoh C6003 - Toner</v>
      </c>
      <c r="C15" s="160"/>
      <c r="D15" s="161" t="str">
        <f>MRS!D15</f>
        <v>Magenta</v>
      </c>
      <c r="E15" s="162"/>
      <c r="F15" s="163"/>
      <c r="G15" s="88" t="str">
        <f>MRS!G15</f>
        <v>EA</v>
      </c>
      <c r="H15" s="88">
        <f>MRS!H15</f>
        <v>6</v>
      </c>
      <c r="I15" s="89">
        <f>MRS!I15</f>
        <v>506</v>
      </c>
      <c r="J15" s="89">
        <f>MRS!J15</f>
        <v>3036</v>
      </c>
      <c r="K15" s="90"/>
      <c r="O15" s="91"/>
      <c r="P15" s="91"/>
      <c r="R15" s="91"/>
    </row>
    <row r="16" spans="1:18" ht="74.25" customHeight="1">
      <c r="A16" s="14">
        <f>+MRS!A16</f>
        <v>11</v>
      </c>
      <c r="B16" s="159" t="str">
        <f>MRS!B16</f>
        <v>Ricoh C6003 - Toner</v>
      </c>
      <c r="C16" s="160"/>
      <c r="D16" s="161" t="str">
        <f>MRS!D16</f>
        <v>Yellow</v>
      </c>
      <c r="E16" s="162"/>
      <c r="F16" s="163"/>
      <c r="G16" s="88" t="str">
        <f>MRS!G16</f>
        <v>EA</v>
      </c>
      <c r="H16" s="88">
        <f>MRS!H16</f>
        <v>6</v>
      </c>
      <c r="I16" s="89">
        <f>MRS!I16</f>
        <v>506</v>
      </c>
      <c r="J16" s="89">
        <f>MRS!J16</f>
        <v>3036</v>
      </c>
      <c r="K16" s="90"/>
      <c r="O16" s="91"/>
      <c r="P16" s="91"/>
      <c r="R16" s="91"/>
    </row>
    <row r="17" spans="1:18" ht="74.25" customHeight="1">
      <c r="A17" s="14">
        <f>+MRS!A17</f>
        <v>12</v>
      </c>
      <c r="B17" s="159" t="str">
        <f>MRS!B17</f>
        <v>Ricoh C6003 - Toner</v>
      </c>
      <c r="C17" s="160"/>
      <c r="D17" s="161" t="str">
        <f>MRS!D17</f>
        <v>Black</v>
      </c>
      <c r="E17" s="162"/>
      <c r="F17" s="163"/>
      <c r="G17" s="88" t="str">
        <f>MRS!G17</f>
        <v>EA</v>
      </c>
      <c r="H17" s="88">
        <f>MRS!H17</f>
        <v>10</v>
      </c>
      <c r="I17" s="89">
        <f>MRS!I17</f>
        <v>342</v>
      </c>
      <c r="J17" s="89">
        <f>MRS!J17</f>
        <v>3420</v>
      </c>
      <c r="K17" s="90"/>
      <c r="O17" s="91"/>
      <c r="P17" s="91"/>
      <c r="R17" s="91"/>
    </row>
    <row r="18" spans="1:18" ht="74.25" customHeight="1">
      <c r="A18" s="14">
        <f>+MRS!A18</f>
        <v>13</v>
      </c>
      <c r="B18" s="159" t="str">
        <f>MRS!B18</f>
        <v>Xerox C7030 - Toner</v>
      </c>
      <c r="C18" s="160"/>
      <c r="D18" s="161" t="str">
        <f>MRS!D18</f>
        <v>- Cyan</v>
      </c>
      <c r="E18" s="162"/>
      <c r="F18" s="163"/>
      <c r="G18" s="88" t="str">
        <f>MRS!G18</f>
        <v>EA</v>
      </c>
      <c r="H18" s="88">
        <f>MRS!H18</f>
        <v>4</v>
      </c>
      <c r="I18" s="89">
        <f>MRS!I18</f>
        <v>450</v>
      </c>
      <c r="J18" s="89">
        <f>MRS!J18</f>
        <v>1800</v>
      </c>
      <c r="K18" s="90"/>
      <c r="O18" s="91"/>
      <c r="P18" s="91"/>
      <c r="R18" s="91"/>
    </row>
    <row r="19" spans="1:18" ht="74.25" customHeight="1">
      <c r="A19" s="14">
        <f>+MRS!A19</f>
        <v>14</v>
      </c>
      <c r="B19" s="159" t="str">
        <f>MRS!B19</f>
        <v>Xerox C7030 - Toner</v>
      </c>
      <c r="C19" s="160"/>
      <c r="D19" s="161" t="str">
        <f>MRS!D19</f>
        <v>- Magenta</v>
      </c>
      <c r="E19" s="162"/>
      <c r="F19" s="163"/>
      <c r="G19" s="88" t="str">
        <f>MRS!G19</f>
        <v>EA</v>
      </c>
      <c r="H19" s="88">
        <f>MRS!H19</f>
        <v>4</v>
      </c>
      <c r="I19" s="89">
        <f>MRS!I19</f>
        <v>450</v>
      </c>
      <c r="J19" s="89">
        <f>MRS!J19</f>
        <v>1800</v>
      </c>
      <c r="K19" s="90"/>
      <c r="O19" s="91"/>
      <c r="P19" s="91"/>
      <c r="R19" s="91"/>
    </row>
    <row r="20" spans="1:18" ht="74.25" customHeight="1">
      <c r="A20" s="14">
        <f>+MRS!A20</f>
        <v>15</v>
      </c>
      <c r="B20" s="159" t="str">
        <f>MRS!B20</f>
        <v>Xerox C7030 - Toner</v>
      </c>
      <c r="C20" s="160"/>
      <c r="D20" s="161" t="str">
        <f>MRS!D20</f>
        <v>- Yellow</v>
      </c>
      <c r="E20" s="162"/>
      <c r="F20" s="163"/>
      <c r="G20" s="88" t="str">
        <f>MRS!G20</f>
        <v>EA</v>
      </c>
      <c r="H20" s="88">
        <f>MRS!H20</f>
        <v>4</v>
      </c>
      <c r="I20" s="89">
        <f>MRS!I20</f>
        <v>450</v>
      </c>
      <c r="J20" s="89">
        <f>MRS!J20</f>
        <v>1800</v>
      </c>
      <c r="K20" s="90"/>
      <c r="O20" s="91"/>
      <c r="P20" s="91"/>
      <c r="R20" s="91"/>
    </row>
    <row r="21" spans="1:18" ht="74.25" customHeight="1">
      <c r="A21" s="14">
        <f>+MRS!A21</f>
        <v>16</v>
      </c>
      <c r="B21" s="159" t="str">
        <f>MRS!B21</f>
        <v>Xerox C7030 - Toner</v>
      </c>
      <c r="C21" s="160"/>
      <c r="D21" s="161" t="str">
        <f>MRS!D21</f>
        <v>- Black</v>
      </c>
      <c r="E21" s="162"/>
      <c r="F21" s="163"/>
      <c r="G21" s="88" t="str">
        <f>MRS!G21</f>
        <v>EA</v>
      </c>
      <c r="H21" s="88">
        <f>MRS!H21</f>
        <v>6</v>
      </c>
      <c r="I21" s="89">
        <f>MRS!I21</f>
        <v>350</v>
      </c>
      <c r="J21" s="89">
        <f>MRS!J21</f>
        <v>2100</v>
      </c>
      <c r="K21" s="90"/>
      <c r="O21" s="91"/>
      <c r="P21" s="91"/>
      <c r="R21" s="91"/>
    </row>
    <row r="22" spans="1:18" ht="74.25" customHeight="1">
      <c r="A22" s="14">
        <f>+MRS!A22</f>
        <v>17</v>
      </c>
      <c r="B22" s="159" t="str">
        <f>MRS!B22</f>
        <v>Xerox C7030</v>
      </c>
      <c r="C22" s="160"/>
      <c r="D22" s="161" t="str">
        <f>MRS!D22</f>
        <v>Waste Catridge - R5</v>
      </c>
      <c r="E22" s="162"/>
      <c r="F22" s="163"/>
      <c r="G22" s="88" t="str">
        <f>MRS!G22</f>
        <v>EA</v>
      </c>
      <c r="H22" s="88">
        <f>MRS!H22</f>
        <v>3</v>
      </c>
      <c r="I22" s="89">
        <f>MRS!I22</f>
        <v>192</v>
      </c>
      <c r="J22" s="89">
        <f>MRS!J22</f>
        <v>576</v>
      </c>
      <c r="K22" s="90"/>
      <c r="O22" s="91"/>
      <c r="P22" s="91"/>
      <c r="R22" s="91"/>
    </row>
    <row r="23" spans="1:18" ht="74.25" customHeight="1">
      <c r="A23" s="14">
        <f>+MRS!A23</f>
        <v>18</v>
      </c>
      <c r="B23" s="159" t="str">
        <f>MRS!B23</f>
        <v>Xerox C7030 - Drum Unit</v>
      </c>
      <c r="C23" s="160"/>
      <c r="D23" s="161" t="str">
        <f>MRS!D23</f>
        <v>Drum Unit</v>
      </c>
      <c r="E23" s="162"/>
      <c r="F23" s="163"/>
      <c r="G23" s="88" t="str">
        <f>MRS!G23</f>
        <v>EA</v>
      </c>
      <c r="H23" s="88">
        <f>MRS!H23</f>
        <v>3</v>
      </c>
      <c r="I23" s="89">
        <f>MRS!I23</f>
        <v>1100</v>
      </c>
      <c r="J23" s="89">
        <f>MRS!J23</f>
        <v>3300</v>
      </c>
      <c r="K23" s="90"/>
      <c r="O23" s="91"/>
      <c r="P23" s="91"/>
      <c r="R23" s="91"/>
    </row>
    <row r="24" spans="1:18" ht="74.25" customHeight="1">
      <c r="A24" s="14">
        <f>+MRS!A24</f>
        <v>19</v>
      </c>
      <c r="B24" s="159" t="str">
        <f>MRS!B24</f>
        <v>Xerox B7030 - B&amp;W Printer</v>
      </c>
      <c r="C24" s="160"/>
      <c r="D24" s="161" t="str">
        <f>MRS!D24</f>
        <v>006R01819 - Black Toner</v>
      </c>
      <c r="E24" s="162"/>
      <c r="F24" s="163"/>
      <c r="G24" s="88" t="str">
        <f>MRS!G24</f>
        <v>EA</v>
      </c>
      <c r="H24" s="88">
        <f>MRS!H24</f>
        <v>2</v>
      </c>
      <c r="I24" s="89">
        <f>MRS!I24</f>
        <v>350</v>
      </c>
      <c r="J24" s="89">
        <f>MRS!J24</f>
        <v>700</v>
      </c>
      <c r="K24" s="90"/>
      <c r="O24" s="91"/>
      <c r="P24" s="91"/>
      <c r="R24" s="91"/>
    </row>
    <row r="25" spans="1:18" ht="74.25" customHeight="1">
      <c r="A25" s="14">
        <f>+MRS!A25</f>
        <v>20</v>
      </c>
      <c r="B25" s="159" t="str">
        <f>MRS!B25</f>
        <v>Konika C361I - Toner</v>
      </c>
      <c r="C25" s="160"/>
      <c r="D25" s="161" t="str">
        <f>MRS!D25</f>
        <v>Tn328 - Cyan</v>
      </c>
      <c r="E25" s="162"/>
      <c r="F25" s="163"/>
      <c r="G25" s="88" t="str">
        <f>MRS!G25</f>
        <v>EA</v>
      </c>
      <c r="H25" s="88">
        <f>MRS!H25</f>
        <v>6</v>
      </c>
      <c r="I25" s="89">
        <f>MRS!I25</f>
        <v>400</v>
      </c>
      <c r="J25" s="89">
        <f>MRS!J25</f>
        <v>2400</v>
      </c>
      <c r="K25" s="90"/>
      <c r="O25" s="91"/>
      <c r="P25" s="91"/>
      <c r="R25" s="91"/>
    </row>
    <row r="26" spans="1:18" ht="74.25" customHeight="1">
      <c r="A26" s="14">
        <f>+MRS!A26</f>
        <v>21</v>
      </c>
      <c r="B26" s="159" t="str">
        <f>MRS!B26</f>
        <v>Konika C361I - Toner</v>
      </c>
      <c r="C26" s="160"/>
      <c r="D26" s="161" t="str">
        <f>MRS!D26</f>
        <v>Tn328 - Magenta</v>
      </c>
      <c r="E26" s="162"/>
      <c r="F26" s="163"/>
      <c r="G26" s="88" t="str">
        <f>MRS!G26</f>
        <v>EA</v>
      </c>
      <c r="H26" s="88">
        <f>MRS!H26</f>
        <v>6</v>
      </c>
      <c r="I26" s="89">
        <f>MRS!I26</f>
        <v>400</v>
      </c>
      <c r="J26" s="89">
        <f>MRS!J26</f>
        <v>2400</v>
      </c>
      <c r="K26" s="90"/>
      <c r="O26" s="91"/>
      <c r="P26" s="91"/>
      <c r="R26" s="91"/>
    </row>
    <row r="27" spans="1:18" ht="74.25" customHeight="1">
      <c r="A27" s="14">
        <f>+MRS!A27</f>
        <v>22</v>
      </c>
      <c r="B27" s="159" t="str">
        <f>MRS!B27</f>
        <v>Konika C361I - Toner</v>
      </c>
      <c r="C27" s="160"/>
      <c r="D27" s="161" t="str">
        <f>MRS!D27</f>
        <v>Tn328 - Yellow</v>
      </c>
      <c r="E27" s="162"/>
      <c r="F27" s="163"/>
      <c r="G27" s="88" t="str">
        <f>MRS!G27</f>
        <v>EA</v>
      </c>
      <c r="H27" s="88">
        <f>MRS!H27</f>
        <v>6</v>
      </c>
      <c r="I27" s="89">
        <f>MRS!I27</f>
        <v>400</v>
      </c>
      <c r="J27" s="89">
        <f>MRS!J27</f>
        <v>2400</v>
      </c>
      <c r="K27" s="90"/>
      <c r="O27" s="91"/>
      <c r="P27" s="91"/>
      <c r="R27" s="91"/>
    </row>
    <row r="28" spans="1:18" ht="74.25" customHeight="1">
      <c r="A28" s="14">
        <f>+MRS!A28</f>
        <v>23</v>
      </c>
      <c r="B28" s="159" t="str">
        <f>MRS!B28</f>
        <v>Konika C361I - Toner</v>
      </c>
      <c r="C28" s="160"/>
      <c r="D28" s="161" t="str">
        <f>MRS!D28</f>
        <v>Tn328 - Black</v>
      </c>
      <c r="E28" s="162"/>
      <c r="F28" s="163"/>
      <c r="G28" s="88" t="str">
        <f>MRS!G28</f>
        <v>EA</v>
      </c>
      <c r="H28" s="88">
        <f>MRS!H28</f>
        <v>10</v>
      </c>
      <c r="I28" s="89">
        <f>MRS!I28</f>
        <v>318</v>
      </c>
      <c r="J28" s="89">
        <f>MRS!J28</f>
        <v>3180</v>
      </c>
      <c r="K28" s="90"/>
      <c r="O28" s="91"/>
      <c r="P28" s="91"/>
      <c r="R28" s="91"/>
    </row>
    <row r="29" spans="1:18" ht="74.25" customHeight="1">
      <c r="A29" s="14">
        <f>+MRS!A29</f>
        <v>24</v>
      </c>
      <c r="B29" s="159" t="str">
        <f>MRS!B29</f>
        <v>Toshiba 6525Ac - Toner</v>
      </c>
      <c r="C29" s="160"/>
      <c r="D29" s="161" t="str">
        <f>MRS!D29</f>
        <v>Tfc 425P - Cyan</v>
      </c>
      <c r="E29" s="162"/>
      <c r="F29" s="163"/>
      <c r="G29" s="88" t="str">
        <f>MRS!G29</f>
        <v>EA</v>
      </c>
      <c r="H29" s="88">
        <f>MRS!H29</f>
        <v>1</v>
      </c>
      <c r="I29" s="89">
        <f>MRS!I29</f>
        <v>500</v>
      </c>
      <c r="J29" s="89">
        <f>MRS!J29</f>
        <v>500</v>
      </c>
      <c r="K29" s="90"/>
      <c r="O29" s="91"/>
      <c r="P29" s="91"/>
      <c r="R29" s="91"/>
    </row>
    <row r="30" spans="1:18" ht="74.25" customHeight="1">
      <c r="A30" s="14">
        <f>+MRS!A30</f>
        <v>25</v>
      </c>
      <c r="B30" s="159" t="str">
        <f>MRS!B30</f>
        <v>Toshiba 6525Ac - Toner</v>
      </c>
      <c r="C30" s="160"/>
      <c r="D30" s="161" t="str">
        <f>MRS!D30</f>
        <v>Tfc 425P - Magenta</v>
      </c>
      <c r="E30" s="162"/>
      <c r="F30" s="163"/>
      <c r="G30" s="88" t="str">
        <f>MRS!G30</f>
        <v>EA</v>
      </c>
      <c r="H30" s="88">
        <f>MRS!H30</f>
        <v>1</v>
      </c>
      <c r="I30" s="89">
        <f>MRS!I30</f>
        <v>500</v>
      </c>
      <c r="J30" s="89">
        <f>MRS!J30</f>
        <v>500</v>
      </c>
      <c r="K30" s="90"/>
      <c r="O30" s="91"/>
      <c r="P30" s="91"/>
      <c r="R30" s="91"/>
    </row>
    <row r="31" spans="1:18" ht="74.25" customHeight="1">
      <c r="A31" s="14">
        <f>+MRS!A31</f>
        <v>26</v>
      </c>
      <c r="B31" s="159" t="str">
        <f>MRS!B31</f>
        <v>Toshiba 6525Ac - Toner</v>
      </c>
      <c r="C31" s="160"/>
      <c r="D31" s="161" t="str">
        <f>MRS!D31</f>
        <v>Tfc 425P - Yellow</v>
      </c>
      <c r="E31" s="162"/>
      <c r="F31" s="163"/>
      <c r="G31" s="88" t="str">
        <f>MRS!G31</f>
        <v>EA</v>
      </c>
      <c r="H31" s="88">
        <f>MRS!H31</f>
        <v>1</v>
      </c>
      <c r="I31" s="89">
        <f>MRS!I31</f>
        <v>500</v>
      </c>
      <c r="J31" s="89">
        <f>MRS!J31</f>
        <v>500</v>
      </c>
      <c r="K31" s="90"/>
      <c r="O31" s="91"/>
      <c r="P31" s="91"/>
      <c r="R31" s="91"/>
    </row>
    <row r="32" spans="1:18" ht="74.25" customHeight="1">
      <c r="A32" s="14">
        <f>+MRS!A32</f>
        <v>27</v>
      </c>
      <c r="B32" s="159" t="str">
        <f>MRS!B32</f>
        <v>Toshiba 6525Ac - Toner</v>
      </c>
      <c r="C32" s="160"/>
      <c r="D32" s="161" t="str">
        <f>MRS!D32</f>
        <v>Tfc 425P - Black</v>
      </c>
      <c r="E32" s="162"/>
      <c r="F32" s="163"/>
      <c r="G32" s="88" t="str">
        <f>MRS!G32</f>
        <v>EA</v>
      </c>
      <c r="H32" s="88">
        <f>MRS!H32</f>
        <v>2</v>
      </c>
      <c r="I32" s="89">
        <f>MRS!I32</f>
        <v>385</v>
      </c>
      <c r="J32" s="89">
        <f>MRS!J32</f>
        <v>770</v>
      </c>
      <c r="K32" s="90"/>
      <c r="O32" s="91"/>
      <c r="P32" s="91"/>
      <c r="R32" s="91"/>
    </row>
    <row r="33" spans="1:18" ht="74.25" customHeight="1">
      <c r="A33" s="14">
        <f>+MRS!A33</f>
        <v>28</v>
      </c>
      <c r="B33" s="159" t="str">
        <f>MRS!B33</f>
        <v>Portable Speaker</v>
      </c>
      <c r="C33" s="160"/>
      <c r="D33" s="161" t="str">
        <f>MRS!D33</f>
        <v/>
      </c>
      <c r="E33" s="162"/>
      <c r="F33" s="163"/>
      <c r="G33" s="88" t="str">
        <f>MRS!G33</f>
        <v>EA</v>
      </c>
      <c r="H33" s="88">
        <f>MRS!H33</f>
        <v>1</v>
      </c>
      <c r="I33" s="89">
        <f>MRS!I33</f>
        <v>270</v>
      </c>
      <c r="J33" s="89">
        <f>MRS!J33</f>
        <v>270</v>
      </c>
      <c r="K33" s="90"/>
      <c r="O33" s="91"/>
      <c r="P33" s="91"/>
      <c r="R33" s="91"/>
    </row>
    <row r="34" spans="1:18" ht="74.25" customHeight="1">
      <c r="A34" s="14">
        <f>+MRS!A34</f>
        <v>29</v>
      </c>
      <c r="B34" s="159" t="str">
        <f>MRS!B34</f>
        <v>Plastic Folder</v>
      </c>
      <c r="C34" s="160"/>
      <c r="D34" s="161" t="str">
        <f>MRS!D34</f>
        <v>Blue  12*1Pkt</v>
      </c>
      <c r="E34" s="162"/>
      <c r="F34" s="163"/>
      <c r="G34" s="88" t="str">
        <f>MRS!G34</f>
        <v>PKT</v>
      </c>
      <c r="H34" s="88">
        <f>MRS!H34</f>
        <v>100</v>
      </c>
      <c r="I34" s="89">
        <f>MRS!I34</f>
        <v>9</v>
      </c>
      <c r="J34" s="89">
        <f>MRS!J34</f>
        <v>900</v>
      </c>
      <c r="K34" s="90"/>
      <c r="O34" s="91"/>
      <c r="P34" s="91"/>
      <c r="R34" s="91"/>
    </row>
    <row r="35" spans="1:18" ht="74.25" customHeight="1">
      <c r="A35" s="14" t="str">
        <f>+MRS!A35</f>
        <v>Purpose</v>
      </c>
      <c r="B35" s="159">
        <f>MRS!B54</f>
        <v>0</v>
      </c>
      <c r="C35" s="160"/>
      <c r="D35" s="161">
        <f>MRS!D54</f>
        <v>0</v>
      </c>
      <c r="E35" s="162"/>
      <c r="F35" s="163"/>
      <c r="G35" s="88">
        <f>MRS!G54</f>
        <v>0</v>
      </c>
      <c r="H35" s="88">
        <f>MRS!H54</f>
        <v>0</v>
      </c>
      <c r="I35" s="89">
        <f>MRS!I54</f>
        <v>0</v>
      </c>
      <c r="J35" s="89">
        <f>MRS!J54</f>
        <v>0</v>
      </c>
      <c r="K35" s="90"/>
      <c r="O35" s="91"/>
      <c r="P35" s="91"/>
      <c r="R35" s="91"/>
    </row>
    <row r="36" spans="1:18" ht="74.25" customHeight="1">
      <c r="A36" s="14" t="str">
        <f>+MRS!A36</f>
        <v xml:space="preserve">  * There will be an additional administration expense and financial expense (Depend on contract) deduction of total provision cost price.</v>
      </c>
      <c r="B36" s="159">
        <f>MRS!B55</f>
        <v>0</v>
      </c>
      <c r="C36" s="160"/>
      <c r="D36" s="161">
        <f>MRS!D55</f>
        <v>0</v>
      </c>
      <c r="E36" s="162"/>
      <c r="F36" s="163"/>
      <c r="G36" s="88">
        <f>MRS!G55</f>
        <v>0</v>
      </c>
      <c r="H36" s="88">
        <f>MRS!H55</f>
        <v>0</v>
      </c>
      <c r="I36" s="89">
        <f>MRS!I55</f>
        <v>0</v>
      </c>
      <c r="J36" s="89">
        <f>MRS!J55</f>
        <v>0</v>
      </c>
      <c r="K36" s="90"/>
      <c r="O36" s="91"/>
      <c r="P36" s="91"/>
      <c r="R36" s="91"/>
    </row>
    <row r="37" spans="1:18" ht="74.25" customHeight="1">
      <c r="A37" s="14">
        <f>+MRS!A37</f>
        <v>0</v>
      </c>
      <c r="B37" s="159">
        <f>MRS!B56</f>
        <v>0</v>
      </c>
      <c r="C37" s="160"/>
      <c r="D37" s="161">
        <f>MRS!D56</f>
        <v>0</v>
      </c>
      <c r="E37" s="162"/>
      <c r="F37" s="163"/>
      <c r="G37" s="88">
        <f>MRS!G56</f>
        <v>0</v>
      </c>
      <c r="H37" s="88">
        <f>MRS!H56</f>
        <v>0</v>
      </c>
      <c r="I37" s="89">
        <f>MRS!I56</f>
        <v>0</v>
      </c>
      <c r="J37" s="89">
        <f>MRS!J56</f>
        <v>0</v>
      </c>
      <c r="K37" s="90"/>
      <c r="O37" s="91"/>
      <c r="P37" s="91"/>
      <c r="R37" s="91"/>
    </row>
    <row r="38" spans="1:18" ht="74.25" customHeight="1">
      <c r="A38" s="14">
        <f>+MRS!A38</f>
        <v>0</v>
      </c>
      <c r="B38" s="159">
        <f>MRS!B57</f>
        <v>0</v>
      </c>
      <c r="C38" s="160"/>
      <c r="D38" s="161">
        <f>MRS!D57</f>
        <v>0</v>
      </c>
      <c r="E38" s="162"/>
      <c r="F38" s="163"/>
      <c r="G38" s="88">
        <f>MRS!G57</f>
        <v>0</v>
      </c>
      <c r="H38" s="88">
        <f>MRS!H57</f>
        <v>0</v>
      </c>
      <c r="I38" s="89">
        <f>MRS!I57</f>
        <v>0</v>
      </c>
      <c r="J38" s="89">
        <f>MRS!J57</f>
        <v>0</v>
      </c>
      <c r="K38" s="90"/>
      <c r="O38" s="91"/>
      <c r="P38" s="91"/>
      <c r="R38" s="91"/>
    </row>
    <row r="39" spans="1:18" ht="74.25" customHeight="1">
      <c r="A39" s="14">
        <f>+MRS!A39</f>
        <v>0</v>
      </c>
      <c r="B39" s="159">
        <f>MRS!B58</f>
        <v>0</v>
      </c>
      <c r="C39" s="160"/>
      <c r="D39" s="161">
        <f>MRS!D58</f>
        <v>0</v>
      </c>
      <c r="E39" s="162"/>
      <c r="F39" s="163"/>
      <c r="G39" s="88">
        <f>MRS!G58</f>
        <v>0</v>
      </c>
      <c r="H39" s="88">
        <f>MRS!H58</f>
        <v>0</v>
      </c>
      <c r="I39" s="89">
        <f>MRS!I58</f>
        <v>0</v>
      </c>
      <c r="J39" s="89">
        <f>MRS!J58</f>
        <v>0</v>
      </c>
      <c r="K39" s="90"/>
      <c r="O39" s="91"/>
      <c r="P39" s="91"/>
      <c r="R39" s="91"/>
    </row>
    <row r="40" spans="1:18" ht="21" customHeight="1">
      <c r="A40" s="14">
        <f>+MRS!A40</f>
        <v>0</v>
      </c>
    </row>
    <row r="41" spans="1:18" ht="21" customHeight="1">
      <c r="A41" s="14">
        <f>+MRS!A41</f>
        <v>0</v>
      </c>
    </row>
    <row r="42" spans="1:18" ht="21" customHeight="1">
      <c r="A42" s="14">
        <f>+MRS!A42</f>
        <v>0</v>
      </c>
    </row>
    <row r="43" spans="1:18" ht="21" customHeight="1">
      <c r="A43" s="14">
        <f>+MRS!A43</f>
        <v>0</v>
      </c>
    </row>
    <row r="44" spans="1:18" ht="21" customHeight="1">
      <c r="A44" s="14">
        <f>+MRS!A44</f>
        <v>0</v>
      </c>
    </row>
    <row r="45" spans="1:18" ht="21" customHeight="1">
      <c r="A45" s="14">
        <f>+MRS!A45</f>
        <v>0</v>
      </c>
    </row>
    <row r="46" spans="1:18" ht="21" customHeight="1">
      <c r="A46" s="14">
        <f>+MRS!A46</f>
        <v>0</v>
      </c>
    </row>
    <row r="47" spans="1:18" ht="21" customHeight="1">
      <c r="A47" s="14">
        <f>+MRS!A47</f>
        <v>0</v>
      </c>
    </row>
    <row r="48" spans="1:18" ht="21" customHeight="1">
      <c r="A48" s="14">
        <f>+MRS!A48</f>
        <v>0</v>
      </c>
    </row>
    <row r="49" spans="1:1" ht="21" customHeight="1">
      <c r="A49" s="14">
        <f>+MRS!A49</f>
        <v>0</v>
      </c>
    </row>
    <row r="50" spans="1:1" ht="21" customHeight="1">
      <c r="A50" s="14">
        <f>+MRS!A50</f>
        <v>0</v>
      </c>
    </row>
    <row r="51" spans="1:1" ht="21" customHeight="1">
      <c r="A51" s="14">
        <f>+MRS!A51</f>
        <v>0</v>
      </c>
    </row>
    <row r="52" spans="1:1" ht="21" customHeight="1">
      <c r="A52" s="14">
        <f>+MRS!A52</f>
        <v>0</v>
      </c>
    </row>
    <row r="53" spans="1:1" ht="21" customHeight="1">
      <c r="A53" s="14">
        <f>+MRS!A53</f>
        <v>0</v>
      </c>
    </row>
  </sheetData>
  <mergeCells count="78">
    <mergeCell ref="D38:F38"/>
    <mergeCell ref="D39:F39"/>
    <mergeCell ref="D7:F7"/>
    <mergeCell ref="D33:F33"/>
    <mergeCell ref="D34:F34"/>
    <mergeCell ref="D35:F35"/>
    <mergeCell ref="D36:F36"/>
    <mergeCell ref="D37:F37"/>
    <mergeCell ref="D28:F28"/>
    <mergeCell ref="D29:F29"/>
    <mergeCell ref="D30:F30"/>
    <mergeCell ref="D31:F31"/>
    <mergeCell ref="D32:F32"/>
    <mergeCell ref="B36:C36"/>
    <mergeCell ref="B37:C37"/>
    <mergeCell ref="B38:C38"/>
    <mergeCell ref="B39:C39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8:F8"/>
    <mergeCell ref="B8:C8"/>
    <mergeCell ref="B9:C9"/>
    <mergeCell ref="D9:F9"/>
    <mergeCell ref="B10:C10"/>
    <mergeCell ref="D10:F10"/>
    <mergeCell ref="B11:C11"/>
    <mergeCell ref="D11:F11"/>
    <mergeCell ref="B15:C15"/>
    <mergeCell ref="D15:F15"/>
    <mergeCell ref="B12:C12"/>
    <mergeCell ref="D12:F12"/>
    <mergeCell ref="B13:C13"/>
    <mergeCell ref="D13:F13"/>
    <mergeCell ref="B14:C14"/>
    <mergeCell ref="D14:F1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9" zoomScale="130" zoomScaleNormal="100" zoomScaleSheetLayoutView="130" workbookViewId="0">
      <selection activeCell="R31" sqref="R31"/>
    </sheetView>
  </sheetViews>
  <sheetFormatPr defaultColWidth="9.140625" defaultRowHeight="12.75"/>
  <cols>
    <col min="1" max="1" width="1.5703125" style="19" customWidth="1"/>
    <col min="2" max="2" width="4.28515625" style="19" customWidth="1"/>
    <col min="3" max="3" width="9.140625" style="19" customWidth="1"/>
    <col min="4" max="4" width="11.5703125" style="19" bestFit="1" customWidth="1"/>
    <col min="5" max="5" width="2.5703125" style="19" customWidth="1"/>
    <col min="6" max="6" width="14" style="19" customWidth="1"/>
    <col min="7" max="7" width="6.5703125" style="19" customWidth="1"/>
    <col min="8" max="10" width="9.140625" style="19"/>
    <col min="11" max="11" width="9.7109375" style="19" bestFit="1" customWidth="1"/>
    <col min="12" max="13" width="9.140625" style="19"/>
    <col min="14" max="14" width="1.5703125" style="19" customWidth="1"/>
    <col min="15" max="16384" width="9.140625" style="19"/>
  </cols>
  <sheetData>
    <row r="2" spans="2:13" s="15" customFormat="1" ht="13.5">
      <c r="M2" s="16" t="s">
        <v>101</v>
      </c>
    </row>
    <row r="3" spans="2:13" s="15" customFormat="1">
      <c r="M3" s="17" t="s">
        <v>17</v>
      </c>
    </row>
    <row r="4" spans="2:13" s="15" customFormat="1">
      <c r="M4" s="17" t="s">
        <v>18</v>
      </c>
    </row>
    <row r="5" spans="2:13" s="15" customFormat="1">
      <c r="B5" s="18" t="s">
        <v>19</v>
      </c>
      <c r="M5" s="17" t="s">
        <v>20</v>
      </c>
    </row>
    <row r="6" spans="2:13" s="15" customFormat="1">
      <c r="M6" s="17" t="s">
        <v>21</v>
      </c>
    </row>
    <row r="7" spans="2:13">
      <c r="M7" s="20"/>
    </row>
    <row r="8" spans="2:13">
      <c r="M8" s="20"/>
    </row>
    <row r="9" spans="2:13" s="66" customFormat="1" ht="13.5">
      <c r="B9" s="64" t="s">
        <v>22</v>
      </c>
      <c r="C9" s="65" t="s">
        <v>100</v>
      </c>
      <c r="D9" s="31"/>
      <c r="E9" s="31"/>
    </row>
    <row r="10" spans="2:13" s="31" customFormat="1">
      <c r="B10" s="64"/>
      <c r="C10" s="31" t="s">
        <v>23</v>
      </c>
      <c r="D10" s="109">
        <v>2053026325</v>
      </c>
      <c r="J10" s="31" t="s">
        <v>24</v>
      </c>
      <c r="K10" s="126">
        <f>MRS!L3</f>
        <v>46269</v>
      </c>
      <c r="L10" s="127"/>
      <c r="M10" s="127"/>
    </row>
    <row r="11" spans="2:13" s="31" customFormat="1">
      <c r="B11" s="64"/>
      <c r="C11" s="67" t="s">
        <v>25</v>
      </c>
      <c r="D11" s="68" t="s">
        <v>90</v>
      </c>
      <c r="J11" s="31" t="s">
        <v>26</v>
      </c>
      <c r="K11" s="128" t="str">
        <f>SUBSTITUTE(SUBSTITUTE(+MRS!A3,"  MRS No : ",""),"-MRS","-PO")</f>
        <v>SAC2-DS-PO-0451</v>
      </c>
      <c r="L11" s="128"/>
      <c r="M11" s="128"/>
    </row>
    <row r="12" spans="2:13" s="31" customFormat="1">
      <c r="B12" s="64"/>
      <c r="C12" s="67" t="s">
        <v>27</v>
      </c>
      <c r="D12" s="31" t="s">
        <v>95</v>
      </c>
      <c r="J12" s="31" t="s">
        <v>28</v>
      </c>
    </row>
    <row r="13" spans="2:13" s="31" customFormat="1">
      <c r="B13" s="64"/>
      <c r="C13" s="69"/>
      <c r="D13" s="68" t="s">
        <v>96</v>
      </c>
      <c r="J13" s="31" t="s">
        <v>29</v>
      </c>
    </row>
    <row r="14" spans="2:13" s="31" customFormat="1">
      <c r="B14" s="64"/>
      <c r="C14" s="69" t="s">
        <v>91</v>
      </c>
      <c r="J14" s="31" t="s">
        <v>30</v>
      </c>
      <c r="K14" s="31" t="s">
        <v>176</v>
      </c>
    </row>
    <row r="15" spans="2:13" s="31" customFormat="1">
      <c r="B15" s="64"/>
      <c r="C15" s="69" t="s">
        <v>97</v>
      </c>
      <c r="J15" s="31" t="s">
        <v>31</v>
      </c>
      <c r="K15" s="70">
        <v>46265</v>
      </c>
    </row>
    <row r="16" spans="2:13" s="31" customFormat="1">
      <c r="C16" s="69"/>
      <c r="K16" s="70"/>
    </row>
    <row r="17" spans="2:13" ht="6" customHeight="1">
      <c r="C17" s="22"/>
      <c r="K17" s="23"/>
    </row>
    <row r="18" spans="2:13" ht="20.25">
      <c r="B18" s="129" t="s">
        <v>32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</row>
    <row r="19" spans="2:13" ht="12" customHeight="1"/>
    <row r="20" spans="2:13" s="24" customFormat="1" ht="12" customHeight="1">
      <c r="B20" s="130" t="s">
        <v>33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</row>
    <row r="21" spans="2:13" s="24" customFormat="1" ht="12" customHeight="1">
      <c r="B21" s="130" t="s">
        <v>34</v>
      </c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</row>
    <row r="22" spans="2:13" s="24" customFormat="1" ht="12" customHeight="1">
      <c r="B22" s="130" t="s">
        <v>35</v>
      </c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</row>
    <row r="23" spans="2:13" ht="6.95" customHeight="1"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2:13" ht="6.95" customHeight="1"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</row>
    <row r="25" spans="2:13" s="25" customFormat="1" ht="15" customHeight="1">
      <c r="B25" s="25">
        <v>1</v>
      </c>
      <c r="C25" s="25" t="s">
        <v>36</v>
      </c>
    </row>
    <row r="26" spans="2:13" s="31" customFormat="1" ht="12" customHeight="1">
      <c r="B26" s="65"/>
      <c r="C26" s="68" t="s">
        <v>177</v>
      </c>
      <c r="M26" s="71" t="s">
        <v>37</v>
      </c>
    </row>
    <row r="27" spans="2:13" ht="11.1" customHeight="1">
      <c r="B27" s="25"/>
    </row>
    <row r="28" spans="2:13" ht="15" customHeight="1">
      <c r="B28" s="25">
        <v>2</v>
      </c>
      <c r="C28" s="25" t="s">
        <v>38</v>
      </c>
    </row>
    <row r="29" spans="2:13" ht="12" customHeight="1">
      <c r="B29" s="25"/>
      <c r="C29" s="19" t="s">
        <v>39</v>
      </c>
      <c r="E29" s="19" t="s">
        <v>40</v>
      </c>
      <c r="F29" s="110">
        <f>'PO 2nd page'!G35</f>
        <v>47456</v>
      </c>
      <c r="G29" s="94"/>
      <c r="H29" s="94"/>
      <c r="M29" s="26"/>
    </row>
    <row r="30" spans="2:13" ht="12" customHeight="1">
      <c r="B30" s="25"/>
      <c r="C30" s="19" t="s">
        <v>41</v>
      </c>
      <c r="E30" s="19" t="s">
        <v>40</v>
      </c>
      <c r="F30" s="110">
        <f>'PO 2nd page'!G36</f>
        <v>7118.4</v>
      </c>
      <c r="G30" s="94"/>
      <c r="H30" s="94"/>
    </row>
    <row r="31" spans="2:13" ht="12" customHeight="1">
      <c r="B31" s="25"/>
      <c r="C31" s="19" t="s">
        <v>42</v>
      </c>
      <c r="D31" s="27"/>
      <c r="E31" s="19" t="s">
        <v>40</v>
      </c>
      <c r="F31" s="110">
        <f>'PO 2nd page'!G37</f>
        <v>54574.400000000001</v>
      </c>
      <c r="G31" s="94"/>
      <c r="H31" s="94"/>
    </row>
    <row r="32" spans="2:13" ht="11.1" customHeight="1">
      <c r="B32" s="25"/>
    </row>
    <row r="33" spans="2:13" ht="15" customHeight="1">
      <c r="B33" s="25">
        <v>3</v>
      </c>
      <c r="C33" s="25" t="s">
        <v>43</v>
      </c>
    </row>
    <row r="34" spans="2:13" ht="12" customHeight="1">
      <c r="B34" s="25"/>
      <c r="C34" s="15" t="s">
        <v>44</v>
      </c>
    </row>
    <row r="35" spans="2:13" ht="12" customHeight="1">
      <c r="B35" s="25"/>
      <c r="C35" s="15" t="s">
        <v>45</v>
      </c>
    </row>
    <row r="36" spans="2:13" ht="12" customHeight="1">
      <c r="B36" s="25"/>
      <c r="C36" s="15" t="s">
        <v>46</v>
      </c>
    </row>
    <row r="37" spans="2:13" ht="6" customHeight="1">
      <c r="B37" s="25"/>
    </row>
    <row r="38" spans="2:13" ht="15" customHeight="1">
      <c r="B38" s="25">
        <v>4</v>
      </c>
      <c r="C38" s="25" t="s">
        <v>47</v>
      </c>
    </row>
    <row r="39" spans="2:13" ht="12" customHeight="1">
      <c r="B39" s="25"/>
      <c r="C39" s="19" t="s">
        <v>48</v>
      </c>
    </row>
    <row r="40" spans="2:13" ht="6" customHeight="1">
      <c r="B40" s="25"/>
    </row>
    <row r="41" spans="2:13" ht="15" customHeight="1">
      <c r="B41" s="25">
        <v>5</v>
      </c>
      <c r="C41" s="25" t="s">
        <v>49</v>
      </c>
    </row>
    <row r="42" spans="2:13" ht="12" customHeight="1">
      <c r="B42" s="25"/>
      <c r="C42" s="28" t="s">
        <v>50</v>
      </c>
      <c r="D42" s="29"/>
      <c r="E42" s="30"/>
      <c r="F42" s="30"/>
      <c r="G42" s="30"/>
      <c r="H42" s="30"/>
      <c r="I42" s="30"/>
      <c r="J42" s="30"/>
      <c r="K42" s="30"/>
      <c r="L42" s="30"/>
      <c r="M42" s="30"/>
    </row>
    <row r="43" spans="2:13" ht="12" customHeight="1">
      <c r="B43" s="25"/>
      <c r="C43" s="28" t="s">
        <v>51</v>
      </c>
      <c r="D43" s="29"/>
      <c r="E43" s="30"/>
      <c r="F43" s="30"/>
      <c r="G43" s="30"/>
      <c r="H43" s="30"/>
      <c r="I43" s="30"/>
      <c r="J43" s="30"/>
      <c r="K43" s="30"/>
      <c r="L43" s="30"/>
      <c r="M43" s="30"/>
    </row>
    <row r="44" spans="2:13" ht="12" customHeight="1">
      <c r="B44" s="25"/>
      <c r="C44" s="28" t="s">
        <v>52</v>
      </c>
      <c r="D44" s="29"/>
      <c r="E44" s="30"/>
      <c r="F44" s="30"/>
      <c r="G44" s="30"/>
      <c r="H44" s="30"/>
      <c r="I44" s="30"/>
      <c r="J44" s="30"/>
      <c r="K44" s="30"/>
      <c r="L44" s="30"/>
      <c r="M44" s="30"/>
    </row>
    <row r="45" spans="2:13" ht="12" customHeight="1">
      <c r="B45" s="25"/>
      <c r="C45" s="28" t="s">
        <v>53</v>
      </c>
      <c r="D45" s="29"/>
      <c r="E45" s="30"/>
      <c r="F45" s="30"/>
      <c r="G45" s="30"/>
      <c r="H45" s="30"/>
      <c r="I45" s="30"/>
      <c r="J45" s="30"/>
      <c r="K45" s="30"/>
      <c r="L45" s="30"/>
      <c r="M45" s="30"/>
    </row>
    <row r="46" spans="2:13" ht="12" customHeight="1">
      <c r="B46" s="25"/>
      <c r="C46" s="31" t="s">
        <v>54</v>
      </c>
      <c r="D46" s="32"/>
      <c r="E46" s="33"/>
      <c r="F46" s="33"/>
      <c r="G46" s="33"/>
      <c r="H46" s="33"/>
      <c r="I46" s="33"/>
      <c r="J46" s="33"/>
      <c r="K46" s="33"/>
      <c r="L46" s="33"/>
      <c r="M46" s="33"/>
    </row>
    <row r="47" spans="2:13" ht="6" customHeight="1">
      <c r="B47" s="25"/>
    </row>
    <row r="48" spans="2:13" ht="15" customHeight="1">
      <c r="B48" s="25">
        <v>6</v>
      </c>
      <c r="C48" s="25" t="s">
        <v>55</v>
      </c>
    </row>
    <row r="49" spans="2:16" s="31" customFormat="1" ht="12" customHeight="1">
      <c r="B49" s="72" t="s">
        <v>56</v>
      </c>
      <c r="C49" s="73" t="s">
        <v>93</v>
      </c>
      <c r="P49" s="74"/>
    </row>
    <row r="50" spans="2:16" s="75" customFormat="1" ht="12" customHeight="1">
      <c r="B50" s="76" t="s">
        <v>56</v>
      </c>
      <c r="C50" s="73" t="s">
        <v>84</v>
      </c>
    </row>
    <row r="51" spans="2:16" s="75" customFormat="1" ht="12" customHeight="1">
      <c r="B51" s="76" t="s">
        <v>56</v>
      </c>
      <c r="C51" s="73" t="s">
        <v>83</v>
      </c>
    </row>
    <row r="52" spans="2:16" s="75" customFormat="1" ht="6" customHeight="1">
      <c r="B52" s="76"/>
      <c r="C52" s="73"/>
    </row>
    <row r="53" spans="2:16" ht="15" customHeight="1">
      <c r="B53" s="34">
        <v>7</v>
      </c>
      <c r="C53" s="25" t="s">
        <v>102</v>
      </c>
    </row>
    <row r="54" spans="2:16" ht="12" customHeight="1">
      <c r="B54" s="76" t="s">
        <v>56</v>
      </c>
      <c r="C54" s="107" t="s">
        <v>103</v>
      </c>
      <c r="F54" s="19" t="s">
        <v>129</v>
      </c>
      <c r="P54" s="19" t="str">
        <f>UPPER(F54)</f>
        <v>ALROMOZ ALFANIAH EST.</v>
      </c>
    </row>
    <row r="55" spans="2:16" ht="12" customHeight="1">
      <c r="B55" s="76" t="s">
        <v>56</v>
      </c>
      <c r="C55" s="107" t="s">
        <v>104</v>
      </c>
      <c r="F55" s="108" t="s">
        <v>113</v>
      </c>
    </row>
    <row r="56" spans="2:16" ht="12" customHeight="1">
      <c r="B56" s="76" t="s">
        <v>56</v>
      </c>
      <c r="C56" s="107" t="s">
        <v>105</v>
      </c>
      <c r="F56" s="108" t="s">
        <v>114</v>
      </c>
    </row>
    <row r="57" spans="2:16" ht="12" customHeight="1">
      <c r="B57" s="76" t="s">
        <v>56</v>
      </c>
      <c r="C57" s="107" t="s">
        <v>106</v>
      </c>
      <c r="F57" s="19" t="s">
        <v>112</v>
      </c>
    </row>
    <row r="58" spans="2:16" ht="12" customHeight="1">
      <c r="B58" s="76" t="s">
        <v>56</v>
      </c>
      <c r="C58" s="107" t="s">
        <v>107</v>
      </c>
      <c r="F58" s="19" t="s">
        <v>108</v>
      </c>
    </row>
    <row r="59" spans="2:16" ht="12" customHeight="1">
      <c r="B59" s="76" t="s">
        <v>56</v>
      </c>
      <c r="C59" s="107" t="s">
        <v>109</v>
      </c>
      <c r="F59" s="19" t="s">
        <v>110</v>
      </c>
    </row>
    <row r="60" spans="2:16" ht="12" customHeight="1">
      <c r="B60" s="76"/>
      <c r="C60" s="107" t="s">
        <v>111</v>
      </c>
    </row>
    <row r="61" spans="2:16" ht="3" customHeight="1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</row>
    <row r="62" spans="2:16" ht="3" customHeight="1">
      <c r="B62" s="25"/>
    </row>
    <row r="63" spans="2:16" ht="11.1" customHeight="1">
      <c r="B63" s="34"/>
    </row>
    <row r="64" spans="2:16" ht="12" customHeight="1">
      <c r="B64" s="25" t="s">
        <v>57</v>
      </c>
      <c r="J64" s="25" t="s">
        <v>58</v>
      </c>
    </row>
    <row r="65" spans="1:13" ht="46.5" customHeight="1"/>
    <row r="66" spans="1:13" ht="16.5" customHeight="1">
      <c r="B66" s="19" t="s">
        <v>59</v>
      </c>
      <c r="J66" s="19" t="s">
        <v>59</v>
      </c>
    </row>
    <row r="67" spans="1:13" ht="16.5" customHeight="1">
      <c r="B67" s="19" t="s">
        <v>60</v>
      </c>
      <c r="J67" s="19" t="s">
        <v>61</v>
      </c>
      <c r="K67" s="15" t="str">
        <f>D12</f>
        <v>Muhammed Rafi</v>
      </c>
    </row>
    <row r="68" spans="1:13" ht="18" customHeight="1">
      <c r="B68" s="19" t="s">
        <v>62</v>
      </c>
      <c r="J68" s="19" t="s">
        <v>63</v>
      </c>
      <c r="K68" s="15" t="s">
        <v>98</v>
      </c>
    </row>
    <row r="69" spans="1:13" ht="15" customHeight="1">
      <c r="B69" s="19" t="s">
        <v>64</v>
      </c>
      <c r="J69" s="19" t="s">
        <v>65</v>
      </c>
    </row>
    <row r="70" spans="1:13" s="21" customFormat="1" ht="24.75" customHeight="1">
      <c r="B70" s="18" t="s">
        <v>99</v>
      </c>
      <c r="J70" s="133" t="str">
        <f>C9</f>
        <v>ATGC(Alrmooz Technical for General Contracting Est.)</v>
      </c>
      <c r="K70" s="133"/>
      <c r="L70" s="133"/>
      <c r="M70" s="133"/>
    </row>
    <row r="71" spans="1:13" ht="27.95" customHeight="1">
      <c r="A71" s="125" t="s">
        <v>66</v>
      </c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</row>
    <row r="78" spans="1:13">
      <c r="B78" s="25"/>
    </row>
    <row r="79" spans="1:13">
      <c r="B79" s="25"/>
    </row>
    <row r="80" spans="1:13">
      <c r="B80" s="25"/>
    </row>
    <row r="81" spans="2:2">
      <c r="B81" s="25"/>
    </row>
    <row r="82" spans="2:2">
      <c r="B82" s="25"/>
    </row>
    <row r="83" spans="2:2">
      <c r="B83" s="25"/>
    </row>
    <row r="84" spans="2:2">
      <c r="B84" s="25"/>
    </row>
    <row r="85" spans="2:2">
      <c r="B85" s="25"/>
    </row>
    <row r="86" spans="2:2">
      <c r="B86" s="25"/>
    </row>
    <row r="87" spans="2:2">
      <c r="B87" s="25"/>
    </row>
    <row r="88" spans="2:2">
      <c r="B88" s="25"/>
    </row>
    <row r="89" spans="2:2">
      <c r="B89" s="25"/>
    </row>
    <row r="90" spans="2:2">
      <c r="B90" s="25"/>
    </row>
    <row r="91" spans="2:2">
      <c r="B91" s="25"/>
    </row>
    <row r="92" spans="2:2">
      <c r="B92" s="25"/>
    </row>
    <row r="93" spans="2:2">
      <c r="B93" s="25"/>
    </row>
    <row r="94" spans="2:2">
      <c r="B94" s="25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5"/>
  <sheetViews>
    <sheetView showGridLines="0" view="pageBreakPreview" zoomScaleSheetLayoutView="100" zoomScalePageLayoutView="55" workbookViewId="0">
      <selection activeCell="K30" sqref="K30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38.140625" style="38" customWidth="1"/>
    <col min="4" max="4" width="8.5703125" style="37" customWidth="1"/>
    <col min="5" max="5" width="13.5703125" style="37" customWidth="1"/>
    <col min="6" max="6" width="15.5703125" style="37" customWidth="1"/>
    <col min="7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SAC2-DS-PO-0451</v>
      </c>
      <c r="C2" s="172" t="s">
        <v>68</v>
      </c>
      <c r="D2" s="172"/>
      <c r="E2" s="172"/>
      <c r="F2" s="172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46269</v>
      </c>
      <c r="C3" s="43"/>
      <c r="D3" s="44"/>
      <c r="E3" s="173" t="s">
        <v>70</v>
      </c>
      <c r="F3" s="173"/>
      <c r="G3" s="173"/>
      <c r="H3" s="173"/>
      <c r="I3" s="45"/>
    </row>
    <row r="4" spans="1:13" s="47" customFormat="1" ht="28.5" customHeight="1" thickTop="1">
      <c r="A4" s="174" t="s">
        <v>71</v>
      </c>
      <c r="B4" s="176" t="s">
        <v>72</v>
      </c>
      <c r="C4" s="177"/>
      <c r="D4" s="180" t="s">
        <v>73</v>
      </c>
      <c r="E4" s="180" t="s">
        <v>74</v>
      </c>
      <c r="F4" s="182" t="str">
        <f>'PO 1st page'!C9</f>
        <v>ATGC(Alrmooz Technical for General Contracting Est.)</v>
      </c>
      <c r="G4" s="183"/>
      <c r="H4" s="184" t="s">
        <v>75</v>
      </c>
      <c r="K4" s="48"/>
      <c r="L4" s="48"/>
      <c r="M4" s="48"/>
    </row>
    <row r="5" spans="1:13" s="47" customFormat="1" ht="21.95" customHeight="1">
      <c r="A5" s="175"/>
      <c r="B5" s="178"/>
      <c r="C5" s="179"/>
      <c r="D5" s="181"/>
      <c r="E5" s="181"/>
      <c r="F5" s="49" t="s">
        <v>76</v>
      </c>
      <c r="G5" s="49" t="s">
        <v>42</v>
      </c>
      <c r="H5" s="185"/>
      <c r="K5" s="48"/>
      <c r="L5" s="48"/>
      <c r="M5" s="48"/>
    </row>
    <row r="6" spans="1:13" s="47" customFormat="1" ht="25.5" customHeight="1">
      <c r="A6" s="77">
        <f t="shared" ref="A6:A34" si="0">ROW(A1)</f>
        <v>1</v>
      </c>
      <c r="B6" s="170" t="str">
        <f>MRS!B6&amp;" "&amp;MRS!D6</f>
        <v>FRC Coverall  CAT 2 Assorted size</v>
      </c>
      <c r="C6" s="171"/>
      <c r="D6" s="78" t="str">
        <f>MRS!G6</f>
        <v>EA</v>
      </c>
      <c r="E6" s="79">
        <f>MRS!H6</f>
        <v>75</v>
      </c>
      <c r="F6" s="80">
        <f>MRS!I6</f>
        <v>77</v>
      </c>
      <c r="G6" s="81">
        <f>F6*E6</f>
        <v>5775</v>
      </c>
      <c r="H6" s="82" t="str">
        <f>MRS!L6</f>
        <v>One time</v>
      </c>
      <c r="K6" s="83"/>
      <c r="L6" s="84"/>
      <c r="M6" s="48"/>
    </row>
    <row r="7" spans="1:13" s="47" customFormat="1" ht="25.5" customHeight="1">
      <c r="A7" s="77">
        <f t="shared" si="0"/>
        <v>2</v>
      </c>
      <c r="B7" s="170" t="str">
        <f>MRS!B7&amp;" "&amp;MRS!D7</f>
        <v>Flag Man Vest Orange</v>
      </c>
      <c r="C7" s="171"/>
      <c r="D7" s="78" t="str">
        <f>MRS!G7</f>
        <v>EA</v>
      </c>
      <c r="E7" s="79">
        <f>MRS!H7</f>
        <v>20</v>
      </c>
      <c r="F7" s="80">
        <f>MRS!I7</f>
        <v>4.3</v>
      </c>
      <c r="G7" s="81">
        <f t="shared" ref="G7:G34" si="1">F7*E7</f>
        <v>86</v>
      </c>
      <c r="H7" s="82"/>
      <c r="K7" s="83"/>
      <c r="L7" s="84"/>
      <c r="M7" s="48"/>
    </row>
    <row r="8" spans="1:13" s="47" customFormat="1" ht="25.5" customHeight="1">
      <c r="A8" s="77">
        <f t="shared" si="0"/>
        <v>3</v>
      </c>
      <c r="B8" s="170" t="str">
        <f>MRS!B8&amp;" "&amp;MRS!D8</f>
        <v xml:space="preserve">Flag Man Flag </v>
      </c>
      <c r="C8" s="171"/>
      <c r="D8" s="78" t="str">
        <f>MRS!G8</f>
        <v>EA</v>
      </c>
      <c r="E8" s="79">
        <f>MRS!H8</f>
        <v>20</v>
      </c>
      <c r="F8" s="80">
        <f>MRS!I8</f>
        <v>3.4</v>
      </c>
      <c r="G8" s="81">
        <f t="shared" si="1"/>
        <v>68</v>
      </c>
      <c r="H8" s="82"/>
      <c r="K8" s="48"/>
      <c r="L8" s="48"/>
      <c r="M8" s="48"/>
    </row>
    <row r="9" spans="1:13" s="47" customFormat="1" ht="25.5" customHeight="1">
      <c r="A9" s="77">
        <f t="shared" si="0"/>
        <v>4</v>
      </c>
      <c r="B9" s="170" t="str">
        <f>MRS!B9&amp;" "&amp;MRS!D9</f>
        <v>A4 Box File 3Inch,30Pcs*1Box</v>
      </c>
      <c r="C9" s="171"/>
      <c r="D9" s="78" t="str">
        <f>MRS!G9</f>
        <v>BOX</v>
      </c>
      <c r="E9" s="79">
        <f>MRS!H9</f>
        <v>10</v>
      </c>
      <c r="F9" s="80">
        <f>MRS!I9</f>
        <v>150</v>
      </c>
      <c r="G9" s="81">
        <f t="shared" si="1"/>
        <v>1500</v>
      </c>
      <c r="H9" s="82"/>
    </row>
    <row r="10" spans="1:13" s="47" customFormat="1" ht="25.5" customHeight="1">
      <c r="A10" s="77">
        <f t="shared" si="0"/>
        <v>5</v>
      </c>
      <c r="B10" s="170" t="str">
        <f>MRS!B10&amp;" "&amp;MRS!D10</f>
        <v>Fantastic Flags 45*12Mm 24*1Box</v>
      </c>
      <c r="C10" s="171"/>
      <c r="D10" s="78" t="str">
        <f>MRS!G10</f>
        <v>BOX</v>
      </c>
      <c r="E10" s="79">
        <f>MRS!H10</f>
        <v>10</v>
      </c>
      <c r="F10" s="80">
        <f>MRS!I10</f>
        <v>100</v>
      </c>
      <c r="G10" s="81">
        <f t="shared" si="1"/>
        <v>1000</v>
      </c>
      <c r="H10" s="82"/>
    </row>
    <row r="11" spans="1:13" s="47" customFormat="1" ht="25.5" customHeight="1">
      <c r="A11" s="77">
        <f t="shared" si="0"/>
        <v>6</v>
      </c>
      <c r="B11" s="170" t="str">
        <f>MRS!B11&amp;" "&amp;MRS!D11</f>
        <v xml:space="preserve">Wire Mic </v>
      </c>
      <c r="C11" s="171"/>
      <c r="D11" s="78" t="str">
        <f>MRS!G11</f>
        <v>EA</v>
      </c>
      <c r="E11" s="79">
        <f>MRS!H11</f>
        <v>1</v>
      </c>
      <c r="F11" s="80">
        <f>MRS!I11</f>
        <v>55</v>
      </c>
      <c r="G11" s="81">
        <f t="shared" si="1"/>
        <v>55</v>
      </c>
      <c r="H11" s="82"/>
    </row>
    <row r="12" spans="1:13" s="47" customFormat="1" ht="25.5" customHeight="1">
      <c r="A12" s="77">
        <f t="shared" si="0"/>
        <v>7</v>
      </c>
      <c r="B12" s="170" t="str">
        <f>MRS!B12&amp;" "&amp;MRS!D12</f>
        <v>Magaphone Battery C2 - Alkaline Battery (1.5V)</v>
      </c>
      <c r="C12" s="171"/>
      <c r="D12" s="78" t="str">
        <f>MRS!G12</f>
        <v>EA</v>
      </c>
      <c r="E12" s="79">
        <f>MRS!H12</f>
        <v>8</v>
      </c>
      <c r="F12" s="80">
        <f>MRS!I12</f>
        <v>10</v>
      </c>
      <c r="G12" s="81">
        <f t="shared" si="1"/>
        <v>80</v>
      </c>
      <c r="H12" s="82"/>
    </row>
    <row r="13" spans="1:13" s="47" customFormat="1" ht="25.5" customHeight="1">
      <c r="A13" s="77">
        <f t="shared" si="0"/>
        <v>8</v>
      </c>
      <c r="B13" s="170" t="str">
        <f>MRS!B13&amp;" "&amp;MRS!D13</f>
        <v xml:space="preserve">Neckless Chair </v>
      </c>
      <c r="C13" s="171"/>
      <c r="D13" s="78" t="str">
        <f>MRS!G13</f>
        <v>EA</v>
      </c>
      <c r="E13" s="79">
        <f>MRS!H13</f>
        <v>3</v>
      </c>
      <c r="F13" s="80">
        <f>MRS!I13</f>
        <v>156</v>
      </c>
      <c r="G13" s="81">
        <f t="shared" si="1"/>
        <v>468</v>
      </c>
      <c r="H13" s="82"/>
    </row>
    <row r="14" spans="1:13" s="47" customFormat="1" ht="25.5" customHeight="1">
      <c r="A14" s="77">
        <f t="shared" si="0"/>
        <v>9</v>
      </c>
      <c r="B14" s="170" t="str">
        <f>MRS!B14&amp;" "&amp;MRS!D14</f>
        <v>Ricoh C6003 - Toner Cyan</v>
      </c>
      <c r="C14" s="171"/>
      <c r="D14" s="78" t="str">
        <f>MRS!G14</f>
        <v>EA</v>
      </c>
      <c r="E14" s="79">
        <f>MRS!H14</f>
        <v>6</v>
      </c>
      <c r="F14" s="80">
        <f>MRS!I14</f>
        <v>506</v>
      </c>
      <c r="G14" s="81">
        <f t="shared" si="1"/>
        <v>3036</v>
      </c>
      <c r="H14" s="82"/>
    </row>
    <row r="15" spans="1:13" s="47" customFormat="1" ht="25.5" customHeight="1">
      <c r="A15" s="77">
        <f t="shared" si="0"/>
        <v>10</v>
      </c>
      <c r="B15" s="170" t="str">
        <f>MRS!B15&amp;" "&amp;MRS!D15</f>
        <v>Ricoh C6003 - Toner Magenta</v>
      </c>
      <c r="C15" s="171"/>
      <c r="D15" s="78" t="str">
        <f>MRS!G15</f>
        <v>EA</v>
      </c>
      <c r="E15" s="79">
        <f>MRS!H15</f>
        <v>6</v>
      </c>
      <c r="F15" s="80">
        <f>MRS!I15</f>
        <v>506</v>
      </c>
      <c r="G15" s="81">
        <f t="shared" si="1"/>
        <v>3036</v>
      </c>
      <c r="H15" s="82"/>
    </row>
    <row r="16" spans="1:13" s="47" customFormat="1" ht="25.5" customHeight="1">
      <c r="A16" s="77">
        <f t="shared" si="0"/>
        <v>11</v>
      </c>
      <c r="B16" s="170" t="str">
        <f>MRS!B16&amp;" "&amp;MRS!D16</f>
        <v>Ricoh C6003 - Toner Yellow</v>
      </c>
      <c r="C16" s="171"/>
      <c r="D16" s="78" t="str">
        <f>MRS!G16</f>
        <v>EA</v>
      </c>
      <c r="E16" s="79">
        <f>MRS!H16</f>
        <v>6</v>
      </c>
      <c r="F16" s="80">
        <f>MRS!I16</f>
        <v>506</v>
      </c>
      <c r="G16" s="81">
        <f t="shared" si="1"/>
        <v>3036</v>
      </c>
      <c r="H16" s="82"/>
    </row>
    <row r="17" spans="1:8" s="47" customFormat="1" ht="25.5" customHeight="1">
      <c r="A17" s="77">
        <f t="shared" si="0"/>
        <v>12</v>
      </c>
      <c r="B17" s="170" t="str">
        <f>MRS!B17&amp;" "&amp;MRS!D17</f>
        <v>Ricoh C6003 - Toner Black</v>
      </c>
      <c r="C17" s="171"/>
      <c r="D17" s="78" t="str">
        <f>MRS!G17</f>
        <v>EA</v>
      </c>
      <c r="E17" s="79">
        <f>MRS!H17</f>
        <v>10</v>
      </c>
      <c r="F17" s="80">
        <f>MRS!I17</f>
        <v>342</v>
      </c>
      <c r="G17" s="81">
        <f t="shared" si="1"/>
        <v>3420</v>
      </c>
      <c r="H17" s="82"/>
    </row>
    <row r="18" spans="1:8" s="47" customFormat="1" ht="25.5" customHeight="1">
      <c r="A18" s="77">
        <f t="shared" si="0"/>
        <v>13</v>
      </c>
      <c r="B18" s="170" t="str">
        <f>MRS!B18&amp;" "&amp;MRS!D18</f>
        <v>Xerox C7030 - Toner - Cyan</v>
      </c>
      <c r="C18" s="171"/>
      <c r="D18" s="78" t="str">
        <f>MRS!G18</f>
        <v>EA</v>
      </c>
      <c r="E18" s="79">
        <f>MRS!H18</f>
        <v>4</v>
      </c>
      <c r="F18" s="80">
        <f>MRS!I18</f>
        <v>450</v>
      </c>
      <c r="G18" s="81">
        <f t="shared" si="1"/>
        <v>1800</v>
      </c>
      <c r="H18" s="82"/>
    </row>
    <row r="19" spans="1:8" s="47" customFormat="1" ht="25.5" customHeight="1">
      <c r="A19" s="77">
        <f t="shared" si="0"/>
        <v>14</v>
      </c>
      <c r="B19" s="170" t="str">
        <f>MRS!B19&amp;" "&amp;MRS!D19</f>
        <v>Xerox C7030 - Toner - Magenta</v>
      </c>
      <c r="C19" s="171"/>
      <c r="D19" s="78" t="str">
        <f>MRS!G19</f>
        <v>EA</v>
      </c>
      <c r="E19" s="79">
        <f>MRS!H19</f>
        <v>4</v>
      </c>
      <c r="F19" s="80">
        <f>MRS!I19</f>
        <v>450</v>
      </c>
      <c r="G19" s="81">
        <f t="shared" si="1"/>
        <v>1800</v>
      </c>
      <c r="H19" s="82"/>
    </row>
    <row r="20" spans="1:8" s="47" customFormat="1" ht="25.5" customHeight="1">
      <c r="A20" s="77">
        <f t="shared" si="0"/>
        <v>15</v>
      </c>
      <c r="B20" s="170" t="str">
        <f>MRS!B20&amp;" "&amp;MRS!D20</f>
        <v>Xerox C7030 - Toner - Yellow</v>
      </c>
      <c r="C20" s="171"/>
      <c r="D20" s="78" t="str">
        <f>MRS!G20</f>
        <v>EA</v>
      </c>
      <c r="E20" s="79">
        <f>MRS!H20</f>
        <v>4</v>
      </c>
      <c r="F20" s="80">
        <f>MRS!I20</f>
        <v>450</v>
      </c>
      <c r="G20" s="81">
        <f t="shared" si="1"/>
        <v>1800</v>
      </c>
      <c r="H20" s="82"/>
    </row>
    <row r="21" spans="1:8" s="47" customFormat="1" ht="25.5" customHeight="1">
      <c r="A21" s="77">
        <f t="shared" si="0"/>
        <v>16</v>
      </c>
      <c r="B21" s="170" t="str">
        <f>MRS!B21&amp;" "&amp;MRS!D21</f>
        <v>Xerox C7030 - Toner - Black</v>
      </c>
      <c r="C21" s="171"/>
      <c r="D21" s="78" t="str">
        <f>MRS!G21</f>
        <v>EA</v>
      </c>
      <c r="E21" s="79">
        <f>MRS!H21</f>
        <v>6</v>
      </c>
      <c r="F21" s="80">
        <f>MRS!I21</f>
        <v>350</v>
      </c>
      <c r="G21" s="81">
        <f t="shared" si="1"/>
        <v>2100</v>
      </c>
      <c r="H21" s="82"/>
    </row>
    <row r="22" spans="1:8" s="47" customFormat="1" ht="25.5" customHeight="1">
      <c r="A22" s="77">
        <f t="shared" si="0"/>
        <v>17</v>
      </c>
      <c r="B22" s="170" t="str">
        <f>MRS!B22&amp;" "&amp;MRS!D22</f>
        <v>Xerox C7030 Waste Catridge - R5</v>
      </c>
      <c r="C22" s="171"/>
      <c r="D22" s="78" t="str">
        <f>MRS!G22</f>
        <v>EA</v>
      </c>
      <c r="E22" s="79">
        <f>MRS!H22</f>
        <v>3</v>
      </c>
      <c r="F22" s="80">
        <f>MRS!I22</f>
        <v>192</v>
      </c>
      <c r="G22" s="81">
        <f t="shared" si="1"/>
        <v>576</v>
      </c>
      <c r="H22" s="82"/>
    </row>
    <row r="23" spans="1:8" s="47" customFormat="1" ht="25.5" customHeight="1">
      <c r="A23" s="77">
        <f t="shared" si="0"/>
        <v>18</v>
      </c>
      <c r="B23" s="170" t="str">
        <f>MRS!B23&amp;" "&amp;MRS!D23</f>
        <v>Xerox C7030 - Drum Unit Drum Unit</v>
      </c>
      <c r="C23" s="171"/>
      <c r="D23" s="78" t="str">
        <f>MRS!G23</f>
        <v>EA</v>
      </c>
      <c r="E23" s="79">
        <f>MRS!H23</f>
        <v>3</v>
      </c>
      <c r="F23" s="80">
        <f>MRS!I23</f>
        <v>1100</v>
      </c>
      <c r="G23" s="81">
        <f t="shared" si="1"/>
        <v>3300</v>
      </c>
      <c r="H23" s="82"/>
    </row>
    <row r="24" spans="1:8" s="47" customFormat="1" ht="25.5" customHeight="1">
      <c r="A24" s="77">
        <f t="shared" si="0"/>
        <v>19</v>
      </c>
      <c r="B24" s="170" t="str">
        <f>MRS!B24&amp;" "&amp;MRS!D24</f>
        <v>Xerox B7030 - B&amp;W Printer 006R01819 - Black Toner</v>
      </c>
      <c r="C24" s="171"/>
      <c r="D24" s="78" t="str">
        <f>MRS!G24</f>
        <v>EA</v>
      </c>
      <c r="E24" s="79">
        <f>MRS!H24</f>
        <v>2</v>
      </c>
      <c r="F24" s="80">
        <f>MRS!I24</f>
        <v>350</v>
      </c>
      <c r="G24" s="81">
        <f t="shared" si="1"/>
        <v>700</v>
      </c>
      <c r="H24" s="82"/>
    </row>
    <row r="25" spans="1:8" s="47" customFormat="1" ht="25.5" customHeight="1">
      <c r="A25" s="77">
        <f t="shared" si="0"/>
        <v>20</v>
      </c>
      <c r="B25" s="170" t="str">
        <f>MRS!B25&amp;" "&amp;MRS!D25</f>
        <v>Konika C361I - Toner Tn328 - Cyan</v>
      </c>
      <c r="C25" s="171"/>
      <c r="D25" s="78" t="str">
        <f>MRS!G25</f>
        <v>EA</v>
      </c>
      <c r="E25" s="79">
        <f>MRS!H25</f>
        <v>6</v>
      </c>
      <c r="F25" s="80">
        <f>MRS!I25</f>
        <v>400</v>
      </c>
      <c r="G25" s="81">
        <f t="shared" si="1"/>
        <v>2400</v>
      </c>
      <c r="H25" s="82"/>
    </row>
    <row r="26" spans="1:8" s="47" customFormat="1" ht="25.5" customHeight="1">
      <c r="A26" s="77">
        <f t="shared" si="0"/>
        <v>21</v>
      </c>
      <c r="B26" s="170" t="str">
        <f>MRS!B26&amp;" "&amp;MRS!D26</f>
        <v>Konika C361I - Toner Tn328 - Magenta</v>
      </c>
      <c r="C26" s="171"/>
      <c r="D26" s="78" t="str">
        <f>MRS!G26</f>
        <v>EA</v>
      </c>
      <c r="E26" s="79">
        <f>MRS!H26</f>
        <v>6</v>
      </c>
      <c r="F26" s="80">
        <f>MRS!I26</f>
        <v>400</v>
      </c>
      <c r="G26" s="81">
        <f t="shared" si="1"/>
        <v>2400</v>
      </c>
      <c r="H26" s="82"/>
    </row>
    <row r="27" spans="1:8" s="47" customFormat="1" ht="25.5" customHeight="1">
      <c r="A27" s="77">
        <f t="shared" si="0"/>
        <v>22</v>
      </c>
      <c r="B27" s="170" t="str">
        <f>MRS!B27&amp;" "&amp;MRS!D27</f>
        <v>Konika C361I - Toner Tn328 - Yellow</v>
      </c>
      <c r="C27" s="171"/>
      <c r="D27" s="78" t="str">
        <f>MRS!G27</f>
        <v>EA</v>
      </c>
      <c r="E27" s="79">
        <f>MRS!H27</f>
        <v>6</v>
      </c>
      <c r="F27" s="80">
        <f>MRS!I27</f>
        <v>400</v>
      </c>
      <c r="G27" s="81">
        <f t="shared" si="1"/>
        <v>2400</v>
      </c>
      <c r="H27" s="82"/>
    </row>
    <row r="28" spans="1:8" s="47" customFormat="1" ht="25.5" customHeight="1">
      <c r="A28" s="77">
        <f t="shared" si="0"/>
        <v>23</v>
      </c>
      <c r="B28" s="170" t="str">
        <f>MRS!B28&amp;" "&amp;MRS!D28</f>
        <v>Konika C361I - Toner Tn328 - Black</v>
      </c>
      <c r="C28" s="171"/>
      <c r="D28" s="78" t="str">
        <f>MRS!G28</f>
        <v>EA</v>
      </c>
      <c r="E28" s="79">
        <f>MRS!H28</f>
        <v>10</v>
      </c>
      <c r="F28" s="80">
        <f>MRS!I28</f>
        <v>318</v>
      </c>
      <c r="G28" s="81">
        <f t="shared" si="1"/>
        <v>3180</v>
      </c>
      <c r="H28" s="82"/>
    </row>
    <row r="29" spans="1:8" s="47" customFormat="1" ht="25.5" customHeight="1">
      <c r="A29" s="77">
        <f t="shared" si="0"/>
        <v>24</v>
      </c>
      <c r="B29" s="170" t="str">
        <f>MRS!B29&amp;" "&amp;MRS!D29</f>
        <v>Toshiba 6525Ac - Toner Tfc 425P - Cyan</v>
      </c>
      <c r="C29" s="171"/>
      <c r="D29" s="78" t="str">
        <f>MRS!G29</f>
        <v>EA</v>
      </c>
      <c r="E29" s="79">
        <f>MRS!H29</f>
        <v>1</v>
      </c>
      <c r="F29" s="80">
        <f>MRS!I29</f>
        <v>500</v>
      </c>
      <c r="G29" s="81">
        <f t="shared" si="1"/>
        <v>500</v>
      </c>
      <c r="H29" s="82"/>
    </row>
    <row r="30" spans="1:8" s="47" customFormat="1" ht="25.5" customHeight="1">
      <c r="A30" s="77">
        <f t="shared" si="0"/>
        <v>25</v>
      </c>
      <c r="B30" s="170" t="str">
        <f>MRS!B30&amp;" "&amp;MRS!D30</f>
        <v>Toshiba 6525Ac - Toner Tfc 425P - Magenta</v>
      </c>
      <c r="C30" s="171"/>
      <c r="D30" s="78" t="str">
        <f>MRS!G30</f>
        <v>EA</v>
      </c>
      <c r="E30" s="79">
        <f>MRS!H30</f>
        <v>1</v>
      </c>
      <c r="F30" s="80">
        <f>MRS!I30</f>
        <v>500</v>
      </c>
      <c r="G30" s="81">
        <f t="shared" si="1"/>
        <v>500</v>
      </c>
      <c r="H30" s="82"/>
    </row>
    <row r="31" spans="1:8" s="47" customFormat="1" ht="25.5" customHeight="1">
      <c r="A31" s="77">
        <f t="shared" si="0"/>
        <v>26</v>
      </c>
      <c r="B31" s="170" t="str">
        <f>MRS!B31&amp;" "&amp;MRS!D31</f>
        <v>Toshiba 6525Ac - Toner Tfc 425P - Yellow</v>
      </c>
      <c r="C31" s="171"/>
      <c r="D31" s="78" t="str">
        <f>MRS!G31</f>
        <v>EA</v>
      </c>
      <c r="E31" s="79">
        <f>MRS!H31</f>
        <v>1</v>
      </c>
      <c r="F31" s="80">
        <f>MRS!I31</f>
        <v>500</v>
      </c>
      <c r="G31" s="81">
        <f t="shared" si="1"/>
        <v>500</v>
      </c>
      <c r="H31" s="82"/>
    </row>
    <row r="32" spans="1:8" s="47" customFormat="1" ht="25.5" customHeight="1">
      <c r="A32" s="77">
        <f t="shared" si="0"/>
        <v>27</v>
      </c>
      <c r="B32" s="170" t="str">
        <f>MRS!B32&amp;" "&amp;MRS!D32</f>
        <v>Toshiba 6525Ac - Toner Tfc 425P - Black</v>
      </c>
      <c r="C32" s="171"/>
      <c r="D32" s="78" t="str">
        <f>MRS!G32</f>
        <v>EA</v>
      </c>
      <c r="E32" s="79">
        <f>MRS!H32</f>
        <v>2</v>
      </c>
      <c r="F32" s="80">
        <f>MRS!I32</f>
        <v>385</v>
      </c>
      <c r="G32" s="81">
        <f t="shared" si="1"/>
        <v>770</v>
      </c>
      <c r="H32" s="82"/>
    </row>
    <row r="33" spans="1:13" s="47" customFormat="1" ht="25.5" customHeight="1">
      <c r="A33" s="77">
        <f t="shared" si="0"/>
        <v>28</v>
      </c>
      <c r="B33" s="170" t="str">
        <f>MRS!B33&amp;" "&amp;MRS!D33</f>
        <v xml:space="preserve">Portable Speaker </v>
      </c>
      <c r="C33" s="171"/>
      <c r="D33" s="78" t="str">
        <f>MRS!G33</f>
        <v>EA</v>
      </c>
      <c r="E33" s="79">
        <f>MRS!H33</f>
        <v>1</v>
      </c>
      <c r="F33" s="80">
        <f>MRS!I33</f>
        <v>270</v>
      </c>
      <c r="G33" s="81">
        <f t="shared" si="1"/>
        <v>270</v>
      </c>
      <c r="H33" s="82"/>
    </row>
    <row r="34" spans="1:13" s="47" customFormat="1" ht="25.5" customHeight="1">
      <c r="A34" s="77">
        <f t="shared" si="0"/>
        <v>29</v>
      </c>
      <c r="B34" s="170" t="str">
        <f>MRS!B34&amp;" "&amp;MRS!D34</f>
        <v>Plastic Folder Blue  12*1Pkt</v>
      </c>
      <c r="C34" s="171"/>
      <c r="D34" s="78" t="str">
        <f>MRS!G34</f>
        <v>PKT</v>
      </c>
      <c r="E34" s="79">
        <f>MRS!H34</f>
        <v>100</v>
      </c>
      <c r="F34" s="80">
        <f>MRS!I34</f>
        <v>9</v>
      </c>
      <c r="G34" s="81">
        <f t="shared" si="1"/>
        <v>900</v>
      </c>
      <c r="H34" s="82"/>
    </row>
    <row r="35" spans="1:13" s="47" customFormat="1" ht="23.1" customHeight="1">
      <c r="A35" s="166" t="s">
        <v>77</v>
      </c>
      <c r="B35" s="167"/>
      <c r="C35" s="167"/>
      <c r="D35" s="167"/>
      <c r="E35" s="167"/>
      <c r="F35" s="167"/>
      <c r="G35" s="50">
        <f>SUM(G5:G34)</f>
        <v>47456</v>
      </c>
      <c r="H35" s="51"/>
    </row>
    <row r="36" spans="1:13" s="47" customFormat="1" ht="23.1" customHeight="1">
      <c r="A36" s="166" t="s">
        <v>41</v>
      </c>
      <c r="B36" s="167"/>
      <c r="C36" s="167"/>
      <c r="D36" s="167"/>
      <c r="E36" s="167"/>
      <c r="F36" s="167"/>
      <c r="G36" s="50">
        <f>+G35*0.15</f>
        <v>7118.4</v>
      </c>
      <c r="H36" s="51"/>
    </row>
    <row r="37" spans="1:13" s="47" customFormat="1" ht="24.95" customHeight="1" thickBot="1">
      <c r="A37" s="168" t="s">
        <v>78</v>
      </c>
      <c r="B37" s="169"/>
      <c r="C37" s="169"/>
      <c r="D37" s="169"/>
      <c r="E37" s="169"/>
      <c r="F37" s="169"/>
      <c r="G37" s="52">
        <f>G36+G35</f>
        <v>54574.400000000001</v>
      </c>
      <c r="H37" s="53"/>
    </row>
    <row r="38" spans="1:13" ht="15.75" thickTop="1">
      <c r="A38" s="54" t="str">
        <f>" 1) Above Price are as per your quotation with ref "&amp;'PO 1st page'!K14</f>
        <v xml:space="preserve"> 1) Above Price are as per your quotation with ref QUO-MAT-26083101 , 26083103</v>
      </c>
      <c r="B38" s="55"/>
      <c r="C38" s="55"/>
      <c r="D38" s="56"/>
      <c r="E38" s="56"/>
      <c r="F38" s="56"/>
      <c r="G38" s="56"/>
      <c r="H38" s="56"/>
    </row>
    <row r="39" spans="1:13" ht="15">
      <c r="A39" s="57" t="s">
        <v>79</v>
      </c>
      <c r="B39" s="58"/>
      <c r="C39" s="58"/>
      <c r="D39" s="59"/>
      <c r="E39" s="59"/>
      <c r="F39" s="59"/>
      <c r="G39" s="59"/>
      <c r="H39" s="59"/>
      <c r="I39" s="60"/>
    </row>
    <row r="40" spans="1:13" ht="15.75">
      <c r="A40" s="61"/>
    </row>
    <row r="41" spans="1:13">
      <c r="A41" s="125" t="s">
        <v>80</v>
      </c>
      <c r="B41" s="125"/>
      <c r="C41" s="125"/>
      <c r="D41" s="125"/>
      <c r="E41" s="125"/>
      <c r="F41" s="125"/>
      <c r="G41" s="125"/>
      <c r="H41" s="125"/>
      <c r="I41" s="62"/>
      <c r="J41" s="62"/>
      <c r="K41" s="62"/>
      <c r="L41" s="62"/>
      <c r="M41" s="62"/>
    </row>
    <row r="42" spans="1:13" ht="15.75">
      <c r="A42" s="61"/>
      <c r="C42" s="63"/>
    </row>
    <row r="43" spans="1:13" ht="15.75">
      <c r="A43" s="61"/>
      <c r="C43" s="63"/>
    </row>
    <row r="45" spans="1:13" ht="12" customHeight="1"/>
  </sheetData>
  <mergeCells count="41">
    <mergeCell ref="B15:C15"/>
    <mergeCell ref="B33:C33"/>
    <mergeCell ref="B34:C34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35:F35"/>
    <mergeCell ref="A36:F36"/>
    <mergeCell ref="A37:F37"/>
    <mergeCell ref="A41:H41"/>
    <mergeCell ref="B11:C11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B22:C22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66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2026-09-05T07:54:13Z</cp:lastPrinted>
  <dcterms:created xsi:type="dcterms:W3CDTF">2024-10-20T11:50:19Z</dcterms:created>
  <dcterms:modified xsi:type="dcterms:W3CDTF">2026-09-05T07:57:37Z</dcterms:modified>
</cp:coreProperties>
</file>