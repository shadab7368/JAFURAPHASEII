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093740C-A9A7-4DC7-B8D5-CFF8A8516E49}" xr6:coauthVersionLast="47" xr6:coauthVersionMax="47" xr10:uidLastSave="{00000000-0000-0000-0000-000000000000}"/>
  <bookViews>
    <workbookView xWindow="-15" yWindow="45" windowWidth="14445" windowHeight="1437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4" l="1"/>
  <c r="J16" i="1"/>
  <c r="D7" i="4"/>
  <c r="E7" i="4"/>
  <c r="F7" i="4"/>
  <c r="G7" i="4"/>
  <c r="D8" i="4"/>
  <c r="E8" i="4"/>
  <c r="F8" i="4"/>
  <c r="G8" i="4"/>
  <c r="H8" i="4"/>
  <c r="D9" i="4"/>
  <c r="E9" i="4"/>
  <c r="F9" i="4"/>
  <c r="G9" i="4"/>
  <c r="H9" i="4"/>
  <c r="E10" i="4"/>
  <c r="F10" i="4"/>
  <c r="H6" i="4"/>
  <c r="G6" i="4"/>
  <c r="F6" i="4"/>
  <c r="E6" i="4"/>
  <c r="D6" i="4"/>
  <c r="B7" i="4"/>
  <c r="B8" i="4"/>
  <c r="B9" i="4"/>
  <c r="B10" i="4"/>
  <c r="B11" i="4"/>
  <c r="B6" i="4"/>
  <c r="J10" i="1"/>
  <c r="G10" i="4" s="1"/>
  <c r="I9" i="2"/>
  <c r="H9" i="2"/>
  <c r="G9" i="2"/>
  <c r="D9" i="2"/>
  <c r="B9" i="2"/>
  <c r="I8" i="2" l="1"/>
  <c r="H8" i="2"/>
  <c r="G8" i="2"/>
  <c r="D8" i="2"/>
  <c r="B8" i="2"/>
  <c r="J9" i="1"/>
  <c r="J9" i="2" s="1"/>
  <c r="J8" i="1"/>
  <c r="J8" i="2" s="1"/>
  <c r="J7" i="1"/>
  <c r="J7" i="2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I6" i="2"/>
  <c r="H6" i="2"/>
  <c r="G6" i="2"/>
  <c r="D6" i="2"/>
  <c r="B6" i="2"/>
  <c r="A23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3" i="3"/>
  <c r="K60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F28" i="3" l="1"/>
  <c r="F29" i="3" s="1"/>
  <c r="G19" i="4"/>
  <c r="G22" i="4" s="1"/>
  <c r="F32" i="3" l="1"/>
</calcChain>
</file>

<file path=xl/sharedStrings.xml><?xml version="1.0" encoding="utf-8"?>
<sst xmlns="http://schemas.openxmlformats.org/spreadsheetml/2006/main" count="157" uniqueCount="125">
  <si>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</si>
  <si>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</si>
  <si>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</si>
  <si>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</si>
  <si>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</si>
  <si>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</si>
  <si>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</si>
  <si>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</si>
  <si>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</si>
  <si>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</si>
  <si>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</si>
  <si>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</si>
  <si>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</si>
  <si>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</si>
  <si>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</si>
  <si>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</si>
  <si>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</si>
  <si>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</si>
  <si>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</si>
  <si>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</si>
  <si>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</si>
  <si>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</si>
  <si>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</si>
  <si>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</si>
  <si>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</si>
  <si>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</si>
  <si>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</si>
  <si>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</si>
  <si>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</si>
  <si>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</si>
  <si>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</si>
  <si>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</si>
  <si>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</si>
  <si>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</si>
  <si>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</si>
  <si>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</si>
  <si>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</si>
  <si>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</si>
  <si>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</si>
  <si>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</si>
  <si>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</si>
  <si>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</si>
  <si>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</si>
  <si>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</si>
  <si>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</si>
  <si>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</si>
  <si>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</si>
  <si>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</si>
  <si>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</si>
  <si>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</si>
  <si>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</si>
  <si>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</si>
  <si>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</si>
  <si>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</si>
  <si>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</si>
  <si>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</si>
  <si>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</si>
  <si>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</si>
  <si>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</si>
  <si>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</si>
  <si>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</si>
  <si>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</si>
  <si>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</si>
  <si>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</si>
  <si>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</si>
  <si>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</si>
  <si>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</si>
  <si>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</si>
  <si>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</si>
  <si>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</si>
  <si>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</si>
  <si>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</si>
  <si>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</si>
  <si>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</si>
  <si>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</si>
  <si>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</si>
  <si>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</si>
  <si>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</si>
  <si>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</si>
  <si>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</si>
  <si>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</si>
  <si>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</si>
  <si>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</si>
  <si>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</si>
  <si>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</si>
  <si>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</si>
  <si>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</si>
  <si>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</si>
  <si>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</si>
  <si>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</si>
  <si>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</si>
  <si>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</si>
  <si>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</si>
  <si>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</si>
  <si>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</si>
  <si>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</si>
  <si>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</si>
  <si>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</si>
  <si>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</si>
  <si>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VAT not Applicable</t>
  </si>
  <si>
    <t>[VAT not applicable)</t>
  </si>
  <si>
    <t>VAT not applicable</t>
  </si>
  <si>
    <t>Subcontract name (SAC2-SC-IK-SMP-01)</t>
  </si>
  <si>
    <t>New Fuel Efficiency Tax</t>
  </si>
  <si>
    <t>300208467100003</t>
  </si>
  <si>
    <t>1001975695</t>
  </si>
  <si>
    <t xml:space="preserve">  Delivery &amp; Payment : Dong Chang Kim / Daeshin Admin. [ Mobile No. : +966 53 748 5762 / Email : kdchjs@daeshinplant.com ]</t>
  </si>
  <si>
    <t>Division (In charge Name) : ADMIN MANAGER (Dong Chang Kim))</t>
  </si>
  <si>
    <t>ATCC</t>
  </si>
  <si>
    <t>ATCC(Alesayi Motors)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</si>
  <si>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-MRS-0140</t>
    </r>
  </si>
  <si>
    <t>L24D-DC4-D07 (2024)</t>
  </si>
  <si>
    <t>Administrative Expenses</t>
  </si>
  <si>
    <t>Special Discount for Companies</t>
  </si>
  <si>
    <t>EA</t>
  </si>
  <si>
    <t>"</t>
  </si>
  <si>
    <t>One time</t>
  </si>
  <si>
    <t>Tarek Joseph Abi Chedid</t>
  </si>
  <si>
    <t>Sales Executive</t>
  </si>
  <si>
    <t>P.O. Box 1342 Jeddah 21431 - KSA</t>
  </si>
  <si>
    <t>LandLine : 012 6691232</t>
  </si>
  <si>
    <t>012 6691232</t>
  </si>
  <si>
    <t>Fuel Efficiency</t>
  </si>
  <si>
    <t>Mitsubishi Pick-up L24D-DC4-D07 (2024)</t>
  </si>
  <si>
    <t>Mitsubishi Pick-up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</si>
</sst>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28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2" xfId="6" applyNumberFormat="1" applyFont="1" applyBorder="1" applyAlignment="1">
      <alignment horizontal="center" vertical="center" wrapText="1"/>
    </xf>
    <xf numFmtId="0" fontId="7" fillId="0" borderId="43" xfId="6" applyFont="1" applyBorder="1"/>
    <xf numFmtId="0" fontId="9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50" fillId="0" borderId="0" xfId="2" applyFont="1" applyAlignment="1">
      <alignment vertical="center"/>
    </xf>
    <xf numFmtId="0" fontId="51" fillId="2" borderId="0" xfId="1" applyFont="1" applyFill="1" applyAlignment="1">
      <alignment vertical="center"/>
    </xf>
    <xf numFmtId="43" fontId="12" fillId="0" borderId="45" xfId="6" quotePrefix="1" applyNumberFormat="1" applyFont="1" applyBorder="1" applyAlignment="1">
      <alignment vertical="center" wrapText="1"/>
    </xf>
    <xf numFmtId="0" fontId="56" fillId="0" borderId="46" xfId="6" applyFont="1" applyBorder="1" applyAlignment="1">
      <alignment horizontal="center" vertical="center"/>
    </xf>
    <xf numFmtId="0" fontId="27" fillId="3" borderId="0" xfId="17" applyFont="1" applyFill="1"/>
    <xf numFmtId="0" fontId="2" fillId="0" borderId="8" xfId="0" quotePrefix="1" applyFont="1" applyBorder="1" applyAlignment="1">
      <alignment horizontal="left" vertical="center"/>
    </xf>
    <xf numFmtId="43" fontId="5" fillId="2" borderId="40" xfId="27" applyFont="1" applyFill="1" applyBorder="1" applyAlignment="1">
      <alignment horizontal="center" vertical="center" wrapText="1"/>
    </xf>
    <xf numFmtId="43" fontId="5" fillId="0" borderId="22" xfId="27" quotePrefix="1" applyFont="1" applyFill="1" applyBorder="1" applyAlignment="1">
      <alignment vertical="center"/>
    </xf>
    <xf numFmtId="43" fontId="5" fillId="0" borderId="22" xfId="27" applyFont="1" applyBorder="1" applyAlignment="1">
      <alignment vertical="center"/>
    </xf>
    <xf numFmtId="43" fontId="5" fillId="0" borderId="22" xfId="27" quotePrefix="1" applyFont="1" applyFill="1" applyBorder="1" applyAlignment="1">
      <alignment horizontal="center" vertical="center"/>
    </xf>
    <xf numFmtId="43" fontId="58" fillId="2" borderId="40" xfId="27" applyFont="1" applyFill="1" applyBorder="1" applyAlignment="1">
      <alignment horizontal="center" vertical="center" wrapText="1"/>
    </xf>
    <xf numFmtId="43" fontId="57" fillId="0" borderId="16" xfId="0" applyNumberFormat="1" applyFont="1" applyBorder="1" applyAlignment="1">
      <alignment horizontal="righ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1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8">
    <cellStyle name="Comma" xfId="27" builtinId="3"/>
    <cellStyle name="Comma [0]" xfId="10" builtinId="6"/>
    <cellStyle name="Normal" xfId="0" builtinId="0"/>
    <cellStyle name="쉼표 [0] 2 2" xfId="4" xr:uid="{95D71F5C-65D6-4E85-84FE-774413508E1E}"/>
    <cellStyle name="쉼표 [0] 2 2 2" xfId="16" xr:uid="{71F6EE4F-F523-4F5C-AE7C-038B1255A9BD}"/>
    <cellStyle name="쉼표 [0] 2 2 2 2" xfId="24" xr:uid="{52A2553B-BE8E-486C-B9C2-83C6797C831B}"/>
    <cellStyle name="쉼표 [0] 2 2 3" xfId="20" xr:uid="{0B67F555-AAEF-4B3F-B75B-79E9079BCB7C}"/>
    <cellStyle name="쉼표 [0] 2 2 4" xfId="12" xr:uid="{A4971AFA-3F8F-433E-8C9E-B3D305C45649}"/>
    <cellStyle name="쉼표 2" xfId="9" xr:uid="{F2A3A689-A30F-4FCA-9C51-F28F11796A46}"/>
    <cellStyle name="쉼표 2 2" xfId="18" xr:uid="{D4DCE1FA-DE01-4AE2-A82E-265BF73EA210}"/>
    <cellStyle name="쉼표 2 2 2" xfId="26" xr:uid="{1EBF310C-8AC5-4F89-B00A-8C4A0B38A452}"/>
    <cellStyle name="쉼표 2 3" xfId="22" xr:uid="{438314A8-A85F-47A5-972B-45B972875950}"/>
    <cellStyle name="쉼표 2 4" xfId="14" xr:uid="{DB88DE7E-3823-4B9A-8093-6A8CD8D95990}"/>
    <cellStyle name="표준 2 2" xfId="2" xr:uid="{12B761D3-4229-4E14-8168-D5975293A996}"/>
    <cellStyle name="표준 2 2 2" xfId="15" xr:uid="{F34F66FB-1743-4AFD-999C-AC9BECA04E57}"/>
    <cellStyle name="표준 2 2 2 2" xfId="23" xr:uid="{AAAC4C9B-DE1B-41A9-A6CD-F1BF5B2F176B}"/>
    <cellStyle name="표준 2 2 3" xfId="19" xr:uid="{3BAB3FB3-7040-4748-AE26-589613572FEA}"/>
    <cellStyle name="표준 2 2 4" xfId="11" xr:uid="{4EB8EE14-EA15-4BD2-AE88-A0DC6BCAAEF9}"/>
    <cellStyle name="표준 2 3 2 2" xfId="5" xr:uid="{BD51BFCC-3D36-446B-BE80-7856DF8371E9}"/>
    <cellStyle name="표준 2 3 2 2 2" xfId="17" xr:uid="{90EE49BA-B8B4-429B-88AE-1A28E8312A58}"/>
    <cellStyle name="표준 2 3 2 2 2 2" xfId="25" xr:uid="{FCBEE7D4-1C69-4658-9AFB-1CED2D8A864C}"/>
    <cellStyle name="표준 2 3 2 2 3" xfId="21" xr:uid="{DCFA3855-3178-432C-B684-229F68C7DE54}"/>
    <cellStyle name="표준 2 3 2 2 4" xfId="13" xr:uid="{9D84494F-6FF4-48DD-810D-A7DB0B0A42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962526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36368" y="4983079"/>
              <a:ext cx="38706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J16" sqref="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97</v>
      </c>
      <c r="B1" s="117"/>
      <c r="C1" s="104"/>
      <c r="D1" s="104"/>
      <c r="E1" s="104"/>
      <c r="F1" s="104"/>
      <c r="G1" s="1"/>
      <c r="J1" s="144" t="s">
        <v>90</v>
      </c>
      <c r="K1" s="145"/>
      <c r="L1" s="146"/>
    </row>
    <row r="2" spans="1:18" ht="20.100000000000001" customHeight="1">
      <c r="A2" s="3" t="s">
        <v>1</v>
      </c>
      <c r="B2" s="95"/>
      <c r="C2" s="95"/>
      <c r="D2" s="3" t="s">
        <v>107</v>
      </c>
      <c r="E2" s="95"/>
      <c r="F2" s="95"/>
      <c r="G2" s="95"/>
      <c r="H2" s="95"/>
      <c r="I2" s="4"/>
      <c r="J2" s="152" t="s">
        <v>102</v>
      </c>
      <c r="K2" s="153"/>
      <c r="L2" s="154"/>
    </row>
    <row r="3" spans="1:18" ht="20.100000000000001" customHeight="1">
      <c r="A3" s="3" t="s">
        <v>110</v>
      </c>
      <c r="B3" s="95"/>
      <c r="C3" s="95"/>
      <c r="D3" s="95"/>
      <c r="E3" s="147">
        <f>+L3</f>
        <v>45941</v>
      </c>
      <c r="F3" s="147"/>
      <c r="G3" s="147"/>
      <c r="H3" s="147"/>
      <c r="I3" s="147"/>
      <c r="J3" s="95"/>
      <c r="K3" s="95"/>
      <c r="L3" s="116">
        <v>45941</v>
      </c>
      <c r="M3" s="4"/>
    </row>
    <row r="4" spans="1:18" ht="15.95" customHeight="1">
      <c r="A4" s="150" t="s">
        <v>2</v>
      </c>
      <c r="B4" s="151" t="s">
        <v>3</v>
      </c>
      <c r="C4" s="151"/>
      <c r="D4" s="155" t="s">
        <v>4</v>
      </c>
      <c r="E4" s="156"/>
      <c r="F4" s="157"/>
      <c r="G4" s="161" t="s">
        <v>5</v>
      </c>
      <c r="H4" s="148" t="s">
        <v>6</v>
      </c>
      <c r="I4" s="148" t="s">
        <v>95</v>
      </c>
      <c r="J4" s="150" t="s">
        <v>96</v>
      </c>
      <c r="K4" s="148" t="s">
        <v>0</v>
      </c>
      <c r="L4" s="151" t="s">
        <v>7</v>
      </c>
    </row>
    <row r="5" spans="1:18" ht="15.95" customHeight="1">
      <c r="A5" s="150"/>
      <c r="B5" s="151"/>
      <c r="C5" s="151"/>
      <c r="D5" s="158"/>
      <c r="E5" s="159"/>
      <c r="F5" s="160"/>
      <c r="G5" s="162"/>
      <c r="H5" s="149"/>
      <c r="I5" s="149"/>
      <c r="J5" s="150"/>
      <c r="K5" s="149"/>
      <c r="L5" s="151"/>
    </row>
    <row r="6" spans="1:18" ht="23.25" customHeight="1">
      <c r="A6" s="5">
        <f t="shared" ref="A6" si="0">ROW(A1)</f>
        <v>1</v>
      </c>
      <c r="B6" s="129" t="s">
        <v>124</v>
      </c>
      <c r="C6" s="130"/>
      <c r="D6" s="131" t="s">
        <v>111</v>
      </c>
      <c r="E6" s="132"/>
      <c r="F6" s="133"/>
      <c r="G6" s="105" t="s">
        <v>114</v>
      </c>
      <c r="H6" s="106">
        <v>1</v>
      </c>
      <c r="I6" s="107">
        <v>96000</v>
      </c>
      <c r="J6" s="107">
        <f>H6*I6</f>
        <v>96000</v>
      </c>
      <c r="K6" s="108" t="s">
        <v>108</v>
      </c>
      <c r="L6" s="109" t="s">
        <v>116</v>
      </c>
      <c r="R6" s="100"/>
    </row>
    <row r="7" spans="1:18" ht="22.5" customHeight="1">
      <c r="A7" s="5">
        <v>2</v>
      </c>
      <c r="B7" s="129" t="s">
        <v>112</v>
      </c>
      <c r="C7" s="130"/>
      <c r="D7" s="131"/>
      <c r="E7" s="132"/>
      <c r="F7" s="133"/>
      <c r="G7" s="105" t="s">
        <v>114</v>
      </c>
      <c r="H7" s="106">
        <v>1</v>
      </c>
      <c r="I7" s="107">
        <v>440</v>
      </c>
      <c r="J7" s="107">
        <f t="shared" ref="J7:J10" si="1">H7*I7</f>
        <v>440</v>
      </c>
      <c r="K7" s="108" t="s">
        <v>115</v>
      </c>
      <c r="L7" s="109"/>
      <c r="R7" s="100"/>
    </row>
    <row r="8" spans="1:18" ht="22.5" customHeight="1">
      <c r="A8" s="5">
        <v>3</v>
      </c>
      <c r="B8" s="129" t="s">
        <v>98</v>
      </c>
      <c r="C8" s="130"/>
      <c r="D8" s="131"/>
      <c r="E8" s="132"/>
      <c r="F8" s="133"/>
      <c r="G8" s="105" t="s">
        <v>114</v>
      </c>
      <c r="H8" s="106">
        <v>1</v>
      </c>
      <c r="I8" s="107">
        <v>700</v>
      </c>
      <c r="J8" s="107">
        <f t="shared" si="1"/>
        <v>700</v>
      </c>
      <c r="K8" s="108" t="s">
        <v>115</v>
      </c>
      <c r="L8" s="109" t="s">
        <v>99</v>
      </c>
      <c r="R8" s="100"/>
    </row>
    <row r="9" spans="1:18" ht="22.5" customHeight="1">
      <c r="A9" s="5">
        <v>4</v>
      </c>
      <c r="B9" s="129" t="s">
        <v>122</v>
      </c>
      <c r="C9" s="130"/>
      <c r="D9" s="143"/>
      <c r="E9" s="143"/>
      <c r="F9" s="143"/>
      <c r="G9" s="105" t="s">
        <v>114</v>
      </c>
      <c r="H9" s="106">
        <v>1</v>
      </c>
      <c r="I9" s="110">
        <v>150</v>
      </c>
      <c r="J9" s="107">
        <f t="shared" si="1"/>
        <v>150</v>
      </c>
      <c r="K9" s="108" t="s">
        <v>115</v>
      </c>
      <c r="L9" s="122" t="s">
        <v>99</v>
      </c>
      <c r="R9" s="100"/>
    </row>
    <row r="10" spans="1:18" ht="22.5" customHeight="1">
      <c r="A10" s="5">
        <v>5</v>
      </c>
      <c r="B10" s="129" t="s">
        <v>113</v>
      </c>
      <c r="C10" s="130"/>
      <c r="D10" s="131"/>
      <c r="E10" s="132"/>
      <c r="F10" s="133"/>
      <c r="G10" s="105"/>
      <c r="H10" s="106">
        <v>1</v>
      </c>
      <c r="I10" s="128">
        <v>-11600</v>
      </c>
      <c r="J10" s="128">
        <f t="shared" si="1"/>
        <v>-11600</v>
      </c>
      <c r="K10" s="108" t="s">
        <v>115</v>
      </c>
      <c r="L10" s="109"/>
      <c r="R10" s="100"/>
    </row>
    <row r="11" spans="1:18" ht="22.5" customHeight="1">
      <c r="A11" s="5">
        <v>6</v>
      </c>
      <c r="B11" s="142"/>
      <c r="C11" s="142"/>
      <c r="D11" s="143"/>
      <c r="E11" s="143"/>
      <c r="F11" s="143"/>
      <c r="G11" s="105"/>
      <c r="H11" s="106"/>
      <c r="I11" s="110"/>
      <c r="J11" s="107"/>
      <c r="K11" s="108"/>
      <c r="L11" s="105"/>
      <c r="R11" s="100"/>
    </row>
    <row r="12" spans="1:18" ht="22.5" customHeight="1">
      <c r="A12" s="5">
        <v>7</v>
      </c>
      <c r="B12" s="129"/>
      <c r="C12" s="130"/>
      <c r="D12" s="131"/>
      <c r="E12" s="132"/>
      <c r="F12" s="133"/>
      <c r="G12" s="105"/>
      <c r="H12" s="106"/>
      <c r="I12" s="107"/>
      <c r="J12" s="107"/>
      <c r="K12" s="108"/>
      <c r="L12" s="109"/>
      <c r="R12" s="100"/>
    </row>
    <row r="13" spans="1:18" ht="22.5" customHeight="1">
      <c r="A13" s="5">
        <v>8</v>
      </c>
      <c r="B13" s="129"/>
      <c r="C13" s="130"/>
      <c r="D13" s="131"/>
      <c r="E13" s="132"/>
      <c r="F13" s="133"/>
      <c r="G13" s="105"/>
      <c r="H13" s="106"/>
      <c r="I13" s="107"/>
      <c r="J13" s="107"/>
      <c r="K13" s="108"/>
      <c r="L13" s="109"/>
      <c r="R13" s="100"/>
    </row>
    <row r="14" spans="1:18" ht="22.5" customHeight="1">
      <c r="A14" s="5">
        <v>9</v>
      </c>
      <c r="B14" s="129"/>
      <c r="C14" s="130"/>
      <c r="D14" s="131"/>
      <c r="E14" s="132"/>
      <c r="F14" s="133"/>
      <c r="G14" s="105"/>
      <c r="H14" s="106"/>
      <c r="I14" s="107"/>
      <c r="J14" s="107"/>
      <c r="K14" s="108"/>
      <c r="L14" s="109"/>
      <c r="R14" s="100"/>
    </row>
    <row r="15" spans="1:18" ht="22.5" customHeight="1">
      <c r="A15" s="5">
        <v>10</v>
      </c>
      <c r="B15" s="129"/>
      <c r="C15" s="130"/>
      <c r="D15" s="131"/>
      <c r="E15" s="132"/>
      <c r="F15" s="133"/>
      <c r="G15" s="105"/>
      <c r="H15" s="106"/>
      <c r="I15" s="107"/>
      <c r="J15" s="107"/>
      <c r="K15" s="108"/>
      <c r="L15" s="109"/>
      <c r="R15" s="100"/>
    </row>
    <row r="16" spans="1:18" ht="22.5" customHeight="1">
      <c r="A16" s="138" t="s">
        <v>8</v>
      </c>
      <c r="B16" s="139"/>
      <c r="C16" s="111"/>
      <c r="D16" s="112"/>
      <c r="E16" s="112"/>
      <c r="F16" s="112"/>
      <c r="G16" s="113"/>
      <c r="H16" s="113"/>
      <c r="I16" s="114" t="s">
        <v>9</v>
      </c>
      <c r="J16" s="107">
        <f>SUM(J6:J15)</f>
        <v>85690</v>
      </c>
      <c r="K16" s="107"/>
      <c r="L16" s="115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5"/>
      <c r="S20" s="15" t="s">
        <v>13</v>
      </c>
    </row>
    <row r="21" spans="1:19" ht="15" customHeight="1">
      <c r="O21" s="17" t="s">
        <v>14</v>
      </c>
      <c r="P21" s="134" t="s">
        <v>15</v>
      </c>
    </row>
    <row r="22" spans="1:19" ht="18" customHeight="1">
      <c r="O22" s="18" t="s">
        <v>16</v>
      </c>
      <c r="P22" s="136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5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7"/>
      <c r="P27" s="137"/>
    </row>
    <row r="28" spans="1:19" ht="19.899999999999999" customHeight="1">
      <c r="O28" s="137"/>
      <c r="P28" s="137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4" t="s">
        <v>18</v>
      </c>
      <c r="P46" s="134" t="s">
        <v>18</v>
      </c>
      <c r="S46" s="134" t="s">
        <v>12</v>
      </c>
    </row>
    <row r="47" spans="15:19" ht="21" customHeight="1">
      <c r="O47" s="136"/>
      <c r="P47" s="136"/>
      <c r="S47" s="13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4" t="s">
        <v>18</v>
      </c>
      <c r="P50" s="134" t="s">
        <v>18</v>
      </c>
      <c r="S50" s="134" t="s">
        <v>19</v>
      </c>
    </row>
    <row r="51" spans="15:19" ht="21" customHeight="1">
      <c r="O51" s="136"/>
      <c r="P51" s="136"/>
      <c r="S51" s="135"/>
    </row>
    <row r="52" spans="15:19" ht="64.900000000000006" customHeight="1">
      <c r="O52" s="14"/>
      <c r="P52" s="14"/>
      <c r="S52" s="14"/>
    </row>
  </sheetData>
  <mergeCells count="44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E3:I3"/>
    <mergeCell ref="I4:I5"/>
    <mergeCell ref="J4:J5"/>
    <mergeCell ref="K4:K5"/>
    <mergeCell ref="L4:L5"/>
    <mergeCell ref="J2:L2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94</v>
      </c>
      <c r="B1" s="94"/>
      <c r="C1" s="94"/>
      <c r="D1" s="94"/>
      <c r="E1" s="94"/>
      <c r="F1" s="94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Kim))</v>
      </c>
      <c r="E2" s="95"/>
      <c r="F2" s="95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SAC2-DS-MRS-0140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45941</v>
      </c>
    </row>
    <row r="4" spans="1:18" ht="15.95" customHeight="1">
      <c r="A4" s="177" t="s">
        <v>2</v>
      </c>
      <c r="B4" s="178" t="s">
        <v>20</v>
      </c>
      <c r="C4" s="178"/>
      <c r="D4" s="177" t="s">
        <v>4</v>
      </c>
      <c r="E4" s="177"/>
      <c r="F4" s="177"/>
      <c r="G4" s="178" t="s">
        <v>5</v>
      </c>
      <c r="H4" s="177" t="s">
        <v>91</v>
      </c>
      <c r="I4" s="177" t="s">
        <v>21</v>
      </c>
      <c r="J4" s="177" t="s">
        <v>22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68" t="str">
        <f>MRS!B6</f>
        <v>Mitsubishi Pick-up</v>
      </c>
      <c r="C6" s="169"/>
      <c r="D6" s="170" t="str">
        <f>MRS!D6</f>
        <v>L24D-DC4-D07 (2024)</v>
      </c>
      <c r="E6" s="171"/>
      <c r="F6" s="172"/>
      <c r="G6" s="97" t="str">
        <f>MRS!G6</f>
        <v>EA</v>
      </c>
      <c r="H6" s="97">
        <f>MRS!H6</f>
        <v>1</v>
      </c>
      <c r="I6" s="98">
        <f>MRS!I6</f>
        <v>96000</v>
      </c>
      <c r="J6" s="98">
        <f>MRS!J6</f>
        <v>96000</v>
      </c>
      <c r="K6" s="99"/>
      <c r="O6" s="100"/>
      <c r="P6" s="100"/>
      <c r="R6" s="100"/>
    </row>
    <row r="7" spans="1:18" ht="105" customHeight="1">
      <c r="A7" s="21" t="e">
        <f>+MRS!#REF!</f>
        <v>#REF!</v>
      </c>
      <c r="B7" s="168" t="str">
        <f>MRS!B7</f>
        <v>Administrative Expenses</v>
      </c>
      <c r="C7" s="169"/>
      <c r="D7" s="170">
        <f>MRS!D7</f>
        <v>0</v>
      </c>
      <c r="E7" s="171"/>
      <c r="F7" s="172"/>
      <c r="G7" s="97" t="str">
        <f>MRS!G7</f>
        <v>EA</v>
      </c>
      <c r="H7" s="97">
        <f>MRS!H7</f>
        <v>1</v>
      </c>
      <c r="I7" s="98">
        <f>MRS!I7</f>
        <v>440</v>
      </c>
      <c r="J7" s="98">
        <f>MRS!J7</f>
        <v>440</v>
      </c>
      <c r="K7" s="99"/>
      <c r="O7" s="100"/>
      <c r="P7" s="100"/>
      <c r="R7" s="100"/>
    </row>
    <row r="8" spans="1:18" ht="105" customHeight="1">
      <c r="A8" s="21">
        <f>+MRS!A7</f>
        <v>2</v>
      </c>
      <c r="B8" s="168" t="str">
        <f>MRS!B8</f>
        <v>Registration Fee</v>
      </c>
      <c r="C8" s="169"/>
      <c r="D8" s="170">
        <f>MRS!D8</f>
        <v>0</v>
      </c>
      <c r="E8" s="171"/>
      <c r="F8" s="172"/>
      <c r="G8" s="97" t="str">
        <f>MRS!G8</f>
        <v>EA</v>
      </c>
      <c r="H8" s="97">
        <f>MRS!H8</f>
        <v>1</v>
      </c>
      <c r="I8" s="98">
        <f>MRS!I8</f>
        <v>700</v>
      </c>
      <c r="J8" s="98">
        <f>MRS!J8</f>
        <v>700</v>
      </c>
      <c r="K8" s="99"/>
      <c r="O8" s="100"/>
      <c r="P8" s="100"/>
      <c r="R8" s="100"/>
    </row>
    <row r="9" spans="1:18" ht="105" customHeight="1">
      <c r="A9" s="21">
        <f>+MRS!A8</f>
        <v>3</v>
      </c>
      <c r="B9" s="168" t="str">
        <f>MRS!B9</f>
        <v>Fuel Efficiency</v>
      </c>
      <c r="C9" s="169"/>
      <c r="D9" s="170">
        <f>MRS!D9</f>
        <v>0</v>
      </c>
      <c r="E9" s="171"/>
      <c r="F9" s="172"/>
      <c r="G9" s="97" t="str">
        <f>MRS!G9</f>
        <v>EA</v>
      </c>
      <c r="H9" s="97">
        <f>MRS!H9</f>
        <v>1</v>
      </c>
      <c r="I9" s="98">
        <f>MRS!I9</f>
        <v>150</v>
      </c>
      <c r="J9" s="98">
        <f>MRS!J9</f>
        <v>150</v>
      </c>
      <c r="K9" s="99"/>
      <c r="O9" s="100"/>
      <c r="P9" s="100"/>
      <c r="R9" s="100"/>
    </row>
    <row r="10" spans="1:18" ht="105" customHeight="1">
      <c r="A10" s="21">
        <f>+MRS!A9</f>
        <v>4</v>
      </c>
      <c r="B10" s="163"/>
      <c r="C10" s="164"/>
      <c r="D10" s="165"/>
      <c r="E10" s="166"/>
      <c r="F10" s="167"/>
      <c r="G10" s="101"/>
      <c r="H10" s="102"/>
      <c r="I10" s="103"/>
      <c r="J10" s="103"/>
      <c r="K10" s="99"/>
      <c r="O10" s="100"/>
      <c r="P10" s="100"/>
      <c r="R10" s="100"/>
    </row>
    <row r="11" spans="1:18" ht="105" customHeight="1">
      <c r="A11" s="21">
        <f>+MRS!A10</f>
        <v>5</v>
      </c>
      <c r="B11" s="163"/>
      <c r="C11" s="164"/>
      <c r="D11" s="165"/>
      <c r="E11" s="166"/>
      <c r="F11" s="167"/>
      <c r="G11" s="101"/>
      <c r="H11" s="102"/>
      <c r="I11" s="103"/>
      <c r="J11" s="103"/>
      <c r="K11" s="99"/>
      <c r="O11" s="100"/>
      <c r="P11" s="100"/>
      <c r="R11" s="100"/>
    </row>
    <row r="12" spans="1:18" ht="105" customHeight="1">
      <c r="A12" s="21">
        <f>+MRS!A11</f>
        <v>6</v>
      </c>
      <c r="B12" s="163"/>
      <c r="C12" s="164"/>
      <c r="D12" s="165"/>
      <c r="E12" s="166"/>
      <c r="F12" s="167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+MRS!A12</f>
        <v>7</v>
      </c>
      <c r="B13" s="163"/>
      <c r="C13" s="164"/>
      <c r="D13" s="165"/>
      <c r="E13" s="166"/>
      <c r="F13" s="167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+MRS!A13</f>
        <v>8</v>
      </c>
      <c r="B14" s="163"/>
      <c r="C14" s="164"/>
      <c r="D14" s="165"/>
      <c r="E14" s="166"/>
      <c r="F14" s="167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7"/>
  <sheetViews>
    <sheetView view="pageBreakPreview" topLeftCell="A13" zoomScale="130" zoomScaleSheetLayoutView="130" workbookViewId="0">
      <selection activeCell="F28" sqref="F28:G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109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80">
        <f>MRS!L3</f>
        <v>45941</v>
      </c>
      <c r="L10" s="181"/>
      <c r="M10" s="181"/>
    </row>
    <row r="11" spans="2:13" s="39" customFormat="1">
      <c r="B11" s="72"/>
      <c r="C11" s="75" t="s">
        <v>32</v>
      </c>
      <c r="D11" s="76" t="s">
        <v>104</v>
      </c>
      <c r="J11" s="39" t="s">
        <v>33</v>
      </c>
      <c r="K11" s="182" t="str">
        <f>SUBSTITUTE(SUBSTITUTE(+MRS!A3,"  MRS No : ",""),"-MRS","-PO")</f>
        <v>SAC2-DS-PO-0140</v>
      </c>
      <c r="L11" s="182"/>
      <c r="M11" s="182"/>
    </row>
    <row r="12" spans="2:13" s="39" customFormat="1">
      <c r="B12" s="72"/>
      <c r="C12" s="75" t="s">
        <v>34</v>
      </c>
      <c r="D12" s="39" t="s">
        <v>117</v>
      </c>
      <c r="J12" s="39" t="s">
        <v>35</v>
      </c>
    </row>
    <row r="13" spans="2:13" s="39" customFormat="1">
      <c r="B13" s="72"/>
      <c r="C13" s="77"/>
      <c r="D13" s="76" t="s">
        <v>121</v>
      </c>
      <c r="J13" s="39" t="s">
        <v>36</v>
      </c>
    </row>
    <row r="14" spans="2:13" s="39" customFormat="1">
      <c r="B14" s="72"/>
      <c r="C14" s="77" t="s">
        <v>119</v>
      </c>
      <c r="J14" s="39" t="s">
        <v>37</v>
      </c>
      <c r="K14" s="39">
        <v>5788</v>
      </c>
    </row>
    <row r="15" spans="2:13" s="39" customFormat="1">
      <c r="C15" s="77" t="s">
        <v>120</v>
      </c>
      <c r="J15" s="39" t="s">
        <v>38</v>
      </c>
      <c r="K15" s="78">
        <v>45936</v>
      </c>
    </row>
    <row r="16" spans="2:13" ht="12" customHeight="1">
      <c r="C16" s="29"/>
      <c r="K16" s="30"/>
    </row>
    <row r="17" spans="2:13" ht="20.25">
      <c r="B17" s="183" t="s">
        <v>39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</row>
    <row r="18" spans="2:13" ht="12" customHeight="1"/>
    <row r="19" spans="2:13" s="31" customFormat="1" ht="12" customHeight="1">
      <c r="B19" s="184" t="s">
        <v>40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</row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ht="6.95" customHeight="1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s="32" customFormat="1" ht="20.100000000000001" customHeight="1">
      <c r="B24" s="32">
        <v>1</v>
      </c>
      <c r="C24" s="32" t="s">
        <v>43</v>
      </c>
    </row>
    <row r="25" spans="2:13" s="39" customFormat="1" ht="15" customHeight="1">
      <c r="B25" s="73"/>
      <c r="C25" s="76" t="s">
        <v>123</v>
      </c>
      <c r="M25" s="79" t="s">
        <v>44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45</v>
      </c>
    </row>
    <row r="28" spans="2:13" ht="15" customHeight="1">
      <c r="B28" s="32"/>
      <c r="C28" s="26" t="s">
        <v>46</v>
      </c>
      <c r="E28" s="26" t="s">
        <v>47</v>
      </c>
      <c r="F28" s="187">
        <f>+'PO 2nd page'!G18</f>
        <v>84840</v>
      </c>
      <c r="G28" s="187"/>
      <c r="H28" s="33" t="s">
        <v>48</v>
      </c>
      <c r="M28" s="34"/>
    </row>
    <row r="29" spans="2:13" ht="15" customHeight="1">
      <c r="B29" s="32"/>
      <c r="C29" s="26" t="s">
        <v>49</v>
      </c>
      <c r="E29" s="26" t="s">
        <v>47</v>
      </c>
      <c r="F29" s="187">
        <f>+F28*0.15</f>
        <v>12726</v>
      </c>
      <c r="G29" s="187"/>
    </row>
    <row r="30" spans="2:13" ht="15" customHeight="1">
      <c r="B30" s="32"/>
      <c r="C30" s="26" t="s">
        <v>98</v>
      </c>
      <c r="E30" s="26" t="s">
        <v>47</v>
      </c>
      <c r="F30" s="187">
        <v>700</v>
      </c>
      <c r="G30" s="187"/>
      <c r="H30" s="33" t="s">
        <v>100</v>
      </c>
    </row>
    <row r="31" spans="2:13" ht="15" customHeight="1">
      <c r="B31" s="32"/>
      <c r="C31" s="26" t="s">
        <v>103</v>
      </c>
      <c r="F31" s="187">
        <v>150</v>
      </c>
      <c r="G31" s="187"/>
      <c r="H31" s="33" t="s">
        <v>100</v>
      </c>
    </row>
    <row r="32" spans="2:13" ht="15" customHeight="1">
      <c r="B32" s="32"/>
      <c r="C32" s="26" t="s">
        <v>50</v>
      </c>
      <c r="D32" s="35"/>
      <c r="E32" s="26" t="s">
        <v>47</v>
      </c>
      <c r="F32" s="187">
        <f>F28+F29+F30+F31</f>
        <v>98416</v>
      </c>
      <c r="G32" s="187"/>
      <c r="H32" s="33"/>
    </row>
    <row r="33" spans="2:13" ht="11.1" customHeight="1">
      <c r="B33" s="32"/>
    </row>
    <row r="34" spans="2:13" ht="20.100000000000001" customHeight="1">
      <c r="B34" s="32">
        <v>3</v>
      </c>
      <c r="C34" s="3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15" customHeight="1">
      <c r="B37" s="32"/>
      <c r="C37" s="22" t="s">
        <v>54</v>
      </c>
    </row>
    <row r="38" spans="2:13" ht="11.1" customHeight="1">
      <c r="B38" s="32"/>
    </row>
    <row r="39" spans="2:13" ht="20.100000000000001" customHeight="1">
      <c r="B39" s="32">
        <v>4</v>
      </c>
      <c r="C39" s="32" t="s">
        <v>55</v>
      </c>
    </row>
    <row r="40" spans="2:13" ht="15" customHeight="1">
      <c r="B40" s="32"/>
      <c r="C40" s="26" t="s">
        <v>56</v>
      </c>
    </row>
    <row r="41" spans="2:13" ht="11.1" customHeight="1">
      <c r="B41" s="32"/>
    </row>
    <row r="42" spans="2:13" ht="20.100000000000001" customHeight="1">
      <c r="B42" s="32">
        <v>5</v>
      </c>
      <c r="C42" s="32" t="s">
        <v>57</v>
      </c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6" t="s">
        <v>61</v>
      </c>
      <c r="D46" s="37"/>
      <c r="E46" s="38"/>
      <c r="F46" s="38"/>
      <c r="G46" s="38"/>
      <c r="H46" s="38"/>
      <c r="I46" s="38"/>
      <c r="J46" s="38"/>
      <c r="K46" s="38"/>
      <c r="L46" s="38"/>
      <c r="M46" s="38"/>
    </row>
    <row r="47" spans="2:13" ht="15" customHeight="1">
      <c r="B47" s="32"/>
      <c r="C47" s="39" t="s">
        <v>62</v>
      </c>
      <c r="D47" s="40"/>
      <c r="E47" s="41"/>
      <c r="F47" s="41"/>
      <c r="G47" s="41"/>
      <c r="H47" s="41"/>
      <c r="I47" s="41"/>
      <c r="J47" s="41"/>
      <c r="K47" s="41"/>
      <c r="L47" s="41"/>
      <c r="M47" s="41"/>
    </row>
    <row r="48" spans="2:13" ht="11.1" customHeight="1">
      <c r="B48" s="32"/>
    </row>
    <row r="49" spans="1:16" ht="20.100000000000001" customHeight="1">
      <c r="B49" s="32">
        <v>6</v>
      </c>
      <c r="C49" s="32" t="s">
        <v>63</v>
      </c>
    </row>
    <row r="50" spans="1:16" s="39" customFormat="1" ht="15" customHeight="1">
      <c r="B50" s="80" t="s">
        <v>64</v>
      </c>
      <c r="C50" s="81" t="s">
        <v>106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P50" s="82"/>
    </row>
    <row r="51" spans="1:16" s="83" customFormat="1" ht="15" customHeight="1">
      <c r="B51" s="84" t="s">
        <v>64</v>
      </c>
      <c r="C51" s="81" t="s">
        <v>93</v>
      </c>
    </row>
    <row r="52" spans="1:16" s="83" customFormat="1" ht="15" customHeight="1">
      <c r="B52" s="84" t="s">
        <v>64</v>
      </c>
      <c r="C52" s="81" t="s">
        <v>92</v>
      </c>
    </row>
    <row r="53" spans="1:16" ht="11.1" customHeight="1">
      <c r="B53" s="42"/>
    </row>
    <row r="54" spans="1:16" ht="3" customHeight="1"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6" ht="3" customHeight="1">
      <c r="B55" s="32"/>
    </row>
    <row r="56" spans="1:16" ht="11.1" customHeight="1">
      <c r="B56" s="42"/>
    </row>
    <row r="57" spans="1:16">
      <c r="B57" s="32" t="s">
        <v>65</v>
      </c>
      <c r="J57" s="32" t="s">
        <v>66</v>
      </c>
    </row>
    <row r="58" spans="1:16" ht="50.1" customHeight="1"/>
    <row r="59" spans="1:16" ht="18" customHeight="1">
      <c r="B59" s="26" t="s">
        <v>67</v>
      </c>
      <c r="J59" s="26" t="s">
        <v>67</v>
      </c>
    </row>
    <row r="60" spans="1:16" ht="18" customHeight="1">
      <c r="B60" s="26" t="s">
        <v>68</v>
      </c>
      <c r="J60" s="26" t="s">
        <v>69</v>
      </c>
      <c r="K60" s="22" t="str">
        <f>UPPER(D12)</f>
        <v>TAREK JOSEPH ABI CHEDID</v>
      </c>
    </row>
    <row r="61" spans="1:16" ht="18" customHeight="1">
      <c r="B61" s="26" t="s">
        <v>70</v>
      </c>
      <c r="J61" s="26" t="s">
        <v>71</v>
      </c>
      <c r="K61" s="22" t="s">
        <v>118</v>
      </c>
    </row>
    <row r="62" spans="1:16" ht="15" customHeight="1">
      <c r="B62" s="26" t="s">
        <v>72</v>
      </c>
      <c r="J62" s="26" t="s">
        <v>73</v>
      </c>
    </row>
    <row r="63" spans="1:16" s="28" customFormat="1" ht="15" customHeight="1">
      <c r="B63" s="25" t="s">
        <v>74</v>
      </c>
      <c r="J63" s="32" t="str">
        <f>C9</f>
        <v>ATCC(Alesayi Motors)</v>
      </c>
    </row>
    <row r="64" spans="1:16" ht="27.95" customHeight="1">
      <c r="A64" s="179" t="s">
        <v>75</v>
      </c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</sheetData>
  <mergeCells count="14">
    <mergeCell ref="A64:M64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2:G32"/>
    <mergeCell ref="F30:G30"/>
    <mergeCell ref="F31:G31"/>
  </mergeCells>
  <phoneticPr fontId="6" type="noConversion"/>
  <printOptions horizontalCentered="1"/>
  <pageMargins left="0.39370078740157499" right="0.39370078740157499" top="0.143700787" bottom="0.143700787" header="0" footer="0"/>
  <pageSetup paperSize="9" scale="91" fitToHeight="0" orientation="portrait" r:id="rId1"/>
  <rowBreaks count="1" manualBreakCount="1">
    <brk id="86" max="12" man="1"/>
  </rowBreaks>
  <colBreaks count="1" manualBreakCount="1">
    <brk id="5" max="6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tabSelected="1" view="pageBreakPreview" zoomScaleSheetLayoutView="100" zoomScalePageLayoutView="55" workbookViewId="0">
      <selection activeCell="G21" sqref="G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SAC2-DS-PO-0140</v>
      </c>
      <c r="C2" s="196" t="s">
        <v>77</v>
      </c>
      <c r="D2" s="196"/>
      <c r="E2" s="196"/>
      <c r="F2" s="19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45941</v>
      </c>
      <c r="C3" s="51"/>
      <c r="D3" s="52"/>
      <c r="E3" s="197" t="s">
        <v>79</v>
      </c>
      <c r="F3" s="197"/>
      <c r="G3" s="197"/>
      <c r="H3" s="197"/>
      <c r="I3" s="53"/>
    </row>
    <row r="4" spans="1:13" s="55" customFormat="1" ht="28.5" customHeight="1" thickTop="1">
      <c r="A4" s="198" t="s">
        <v>80</v>
      </c>
      <c r="B4" s="200" t="s">
        <v>81</v>
      </c>
      <c r="C4" s="201"/>
      <c r="D4" s="204" t="s">
        <v>82</v>
      </c>
      <c r="E4" s="204" t="s">
        <v>83</v>
      </c>
      <c r="F4" s="206" t="str">
        <f>'PO 1st page'!C9</f>
        <v>ATCC(Alesayi Motors)</v>
      </c>
      <c r="G4" s="207"/>
      <c r="H4" s="208" t="s">
        <v>84</v>
      </c>
      <c r="K4" s="56"/>
      <c r="L4" s="56"/>
      <c r="M4" s="56"/>
    </row>
    <row r="5" spans="1:13" s="55" customFormat="1" ht="21.95" customHeight="1">
      <c r="A5" s="199"/>
      <c r="B5" s="202"/>
      <c r="C5" s="203"/>
      <c r="D5" s="205"/>
      <c r="E5" s="205"/>
      <c r="F5" s="57" t="s">
        <v>85</v>
      </c>
      <c r="G5" s="57" t="s">
        <v>50</v>
      </c>
      <c r="H5" s="209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194" t="str">
        <f>CONCATENATE(MRS!B6," ",MRS!D6)</f>
        <v>Mitsubishi Pick-up L24D-DC4-D07 (2024)</v>
      </c>
      <c r="C6" s="195"/>
      <c r="D6" s="86" t="str">
        <f>MRS!G6</f>
        <v>EA</v>
      </c>
      <c r="E6" s="86">
        <f>MRS!H6</f>
        <v>1</v>
      </c>
      <c r="F6" s="123">
        <f>MRS!I6</f>
        <v>96000</v>
      </c>
      <c r="G6" s="123">
        <f>MRS!J6</f>
        <v>96000</v>
      </c>
      <c r="H6" s="86" t="str">
        <f>MRS!L6</f>
        <v>One time</v>
      </c>
      <c r="K6" s="87"/>
      <c r="L6" s="88"/>
      <c r="M6" s="56"/>
    </row>
    <row r="7" spans="1:13" s="55" customFormat="1" ht="32.1" customHeight="1">
      <c r="A7" s="85">
        <f t="shared" si="0"/>
        <v>2</v>
      </c>
      <c r="B7" s="194" t="str">
        <f>CONCATENATE(MRS!B7," ",MRS!D7)</f>
        <v xml:space="preserve">Administrative Expenses </v>
      </c>
      <c r="C7" s="195"/>
      <c r="D7" s="86" t="str">
        <f>MRS!G7</f>
        <v>EA</v>
      </c>
      <c r="E7" s="86">
        <f>MRS!H7</f>
        <v>1</v>
      </c>
      <c r="F7" s="123">
        <f>MRS!I7</f>
        <v>440</v>
      </c>
      <c r="G7" s="123">
        <f>MRS!J7</f>
        <v>440</v>
      </c>
      <c r="H7" s="86"/>
      <c r="K7" s="87"/>
      <c r="L7" s="88"/>
      <c r="M7" s="56"/>
    </row>
    <row r="8" spans="1:13" s="55" customFormat="1" ht="32.1" customHeight="1">
      <c r="A8" s="89">
        <f t="shared" si="0"/>
        <v>3</v>
      </c>
      <c r="B8" s="194" t="str">
        <f>CONCATENATE(MRS!B8," ",MRS!D8)</f>
        <v xml:space="preserve">Registration Fee </v>
      </c>
      <c r="C8" s="195"/>
      <c r="D8" s="86" t="str">
        <f>MRS!G8</f>
        <v>EA</v>
      </c>
      <c r="E8" s="86">
        <f>MRS!H8</f>
        <v>1</v>
      </c>
      <c r="F8" s="123">
        <f>MRS!I8</f>
        <v>700</v>
      </c>
      <c r="G8" s="123">
        <f>MRS!J8</f>
        <v>700</v>
      </c>
      <c r="H8" s="86" t="str">
        <f>MRS!L8</f>
        <v>VAT not Applicable</v>
      </c>
      <c r="K8" s="56"/>
      <c r="L8" s="56"/>
      <c r="M8" s="56"/>
    </row>
    <row r="9" spans="1:13" s="55" customFormat="1" ht="32.1" customHeight="1">
      <c r="A9" s="89">
        <f t="shared" si="0"/>
        <v>4</v>
      </c>
      <c r="B9" s="194" t="str">
        <f>CONCATENATE(MRS!B9," ",MRS!D9)</f>
        <v xml:space="preserve">Fuel Efficiency </v>
      </c>
      <c r="C9" s="195"/>
      <c r="D9" s="86" t="str">
        <f>MRS!G9</f>
        <v>EA</v>
      </c>
      <c r="E9" s="86">
        <f>MRS!H9</f>
        <v>1</v>
      </c>
      <c r="F9" s="123">
        <f>MRS!I9</f>
        <v>150</v>
      </c>
      <c r="G9" s="123">
        <f>MRS!J9</f>
        <v>150</v>
      </c>
      <c r="H9" s="86" t="str">
        <f>MRS!L9</f>
        <v>VAT not Applicable</v>
      </c>
    </row>
    <row r="10" spans="1:13" s="55" customFormat="1" ht="32.1" customHeight="1">
      <c r="A10" s="89">
        <f t="shared" si="0"/>
        <v>5</v>
      </c>
      <c r="B10" s="194" t="str">
        <f>CONCATENATE(MRS!B10," ",MRS!D10)</f>
        <v xml:space="preserve">Special Discount for Companies </v>
      </c>
      <c r="C10" s="195"/>
      <c r="D10" s="86"/>
      <c r="E10" s="86">
        <f>MRS!H10</f>
        <v>1</v>
      </c>
      <c r="F10" s="127">
        <f>MRS!I10</f>
        <v>-11600</v>
      </c>
      <c r="G10" s="127">
        <f>MRS!J10</f>
        <v>-11600</v>
      </c>
      <c r="H10" s="86"/>
    </row>
    <row r="11" spans="1:13" s="55" customFormat="1" ht="32.1" customHeight="1">
      <c r="A11" s="89">
        <f t="shared" si="0"/>
        <v>6</v>
      </c>
      <c r="B11" s="194" t="str">
        <f>CONCATENATE(MRS!B11," ",MRS!D11)</f>
        <v xml:space="preserve"> </v>
      </c>
      <c r="C11" s="195"/>
      <c r="D11" s="90"/>
      <c r="E11" s="91"/>
      <c r="F11" s="124"/>
      <c r="G11" s="125"/>
      <c r="H11" s="92"/>
    </row>
    <row r="12" spans="1:13" s="55" customFormat="1" ht="32.1" customHeight="1">
      <c r="A12" s="89">
        <f t="shared" si="0"/>
        <v>7</v>
      </c>
      <c r="B12" s="192"/>
      <c r="C12" s="193"/>
      <c r="D12" s="90"/>
      <c r="E12" s="91"/>
      <c r="F12" s="124"/>
      <c r="G12" s="125"/>
      <c r="H12" s="92"/>
    </row>
    <row r="13" spans="1:13" s="55" customFormat="1" ht="32.1" customHeight="1">
      <c r="A13" s="89">
        <f t="shared" si="0"/>
        <v>8</v>
      </c>
      <c r="B13" s="192"/>
      <c r="C13" s="193"/>
      <c r="D13" s="90"/>
      <c r="E13" s="91"/>
      <c r="F13" s="124"/>
      <c r="G13" s="125"/>
      <c r="H13" s="92"/>
    </row>
    <row r="14" spans="1:13" s="55" customFormat="1" ht="32.1" customHeight="1">
      <c r="A14" s="89">
        <f t="shared" si="0"/>
        <v>9</v>
      </c>
      <c r="B14" s="192"/>
      <c r="C14" s="193"/>
      <c r="D14" s="90"/>
      <c r="E14" s="91"/>
      <c r="F14" s="126"/>
      <c r="G14" s="125"/>
      <c r="H14" s="92"/>
    </row>
    <row r="15" spans="1:13" s="55" customFormat="1" ht="32.1" customHeight="1">
      <c r="A15" s="89">
        <f t="shared" si="0"/>
        <v>10</v>
      </c>
      <c r="B15" s="192"/>
      <c r="C15" s="193"/>
      <c r="D15" s="90"/>
      <c r="E15" s="91"/>
      <c r="F15" s="126"/>
      <c r="G15" s="125"/>
      <c r="H15" s="92"/>
    </row>
    <row r="16" spans="1:13" s="55" customFormat="1" ht="32.1" customHeight="1">
      <c r="A16" s="89">
        <f t="shared" si="0"/>
        <v>11</v>
      </c>
      <c r="B16" s="192"/>
      <c r="C16" s="193"/>
      <c r="D16" s="90"/>
      <c r="E16" s="91"/>
      <c r="F16" s="124"/>
      <c r="G16" s="125"/>
      <c r="H16" s="92"/>
    </row>
    <row r="17" spans="1:13" s="55" customFormat="1" ht="32.1" customHeight="1">
      <c r="A17" s="89">
        <f t="shared" si="0"/>
        <v>12</v>
      </c>
      <c r="B17" s="192"/>
      <c r="C17" s="193"/>
      <c r="D17" s="90"/>
      <c r="E17" s="91"/>
      <c r="F17" s="124"/>
      <c r="G17" s="125"/>
      <c r="H17" s="92"/>
    </row>
    <row r="18" spans="1:13" s="55" customFormat="1" ht="23.1" customHeight="1">
      <c r="A18" s="188" t="s">
        <v>86</v>
      </c>
      <c r="B18" s="189"/>
      <c r="C18" s="189"/>
      <c r="D18" s="189"/>
      <c r="E18" s="189"/>
      <c r="F18" s="189"/>
      <c r="G18" s="58">
        <f>SUM(G6+G7+G10)</f>
        <v>84840</v>
      </c>
      <c r="H18" s="59"/>
    </row>
    <row r="19" spans="1:13" s="55" customFormat="1" ht="23.1" customHeight="1">
      <c r="A19" s="188" t="s">
        <v>49</v>
      </c>
      <c r="B19" s="189"/>
      <c r="C19" s="189"/>
      <c r="D19" s="189"/>
      <c r="E19" s="189"/>
      <c r="F19" s="189"/>
      <c r="G19" s="58">
        <f>+G18*0.15</f>
        <v>12726</v>
      </c>
      <c r="H19" s="59"/>
    </row>
    <row r="20" spans="1:13" s="55" customFormat="1" ht="23.1" customHeight="1">
      <c r="A20" s="188" t="s">
        <v>98</v>
      </c>
      <c r="B20" s="189"/>
      <c r="C20" s="189"/>
      <c r="D20" s="189"/>
      <c r="E20" s="189"/>
      <c r="F20" s="189"/>
      <c r="G20" s="119">
        <v>700</v>
      </c>
      <c r="H20" s="120" t="s">
        <v>101</v>
      </c>
    </row>
    <row r="21" spans="1:13" s="55" customFormat="1" ht="23.1" customHeight="1">
      <c r="A21" s="188" t="s">
        <v>103</v>
      </c>
      <c r="B21" s="189"/>
      <c r="C21" s="189"/>
      <c r="D21" s="189"/>
      <c r="E21" s="189"/>
      <c r="F21" s="189"/>
      <c r="G21" s="119">
        <v>150</v>
      </c>
      <c r="H21" s="120" t="s">
        <v>101</v>
      </c>
    </row>
    <row r="22" spans="1:13" s="55" customFormat="1" ht="24.95" customHeight="1" thickBot="1">
      <c r="A22" s="190" t="s">
        <v>87</v>
      </c>
      <c r="B22" s="191"/>
      <c r="C22" s="191"/>
      <c r="D22" s="191"/>
      <c r="E22" s="191"/>
      <c r="F22" s="191"/>
      <c r="G22" s="60">
        <f>SUM(G18:G21)</f>
        <v>98416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5788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88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79" t="s">
        <v>89</v>
      </c>
      <c r="B26" s="179"/>
      <c r="C26" s="179"/>
      <c r="D26" s="179"/>
      <c r="E26" s="179"/>
      <c r="F26" s="179"/>
      <c r="G26" s="179"/>
      <c r="H26" s="179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2:F22"/>
    <mergeCell ref="A26:H26"/>
    <mergeCell ref="B12:C12"/>
    <mergeCell ref="B13:C13"/>
    <mergeCell ref="B14:C14"/>
    <mergeCell ref="B15:C15"/>
    <mergeCell ref="B16:C16"/>
    <mergeCell ref="B17:C17"/>
    <mergeCell ref="A20:F20"/>
    <mergeCell ref="A21:F2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2025-10-13T06:52:52Z</cp:lastPrinted>
  <dcterms:created xsi:type="dcterms:W3CDTF">2024-10-20T11:50:19Z</dcterms:created>
  <dcterms:modified xsi:type="dcterms:W3CDTF">2025-10-13T06:52:56Z</dcterms:modified>
</cp:coreProperties>
</file>