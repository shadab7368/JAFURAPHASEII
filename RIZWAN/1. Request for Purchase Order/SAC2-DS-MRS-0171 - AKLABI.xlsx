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F300F253-DB21-44DE-9D7E-DB30ABEF28D8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4" i="3" l="1"/>
  <c r="H6" i="4" l="1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<sst xmlns="http://schemas.openxmlformats.org/spreadsheetml/2006/main" count="174" uniqueCount="133">
  <si>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</si>
  <si>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</si>
  <si>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</si>
  <si>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</si>
  <si>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</si>
  <si>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</si>
  <si>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</si>
  <si>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</si>
  <si>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</si>
  <si>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</si>
  <si>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</si>
  <si>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</si>
  <si>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</si>
  <si>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</si>
  <si>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</si>
  <si>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</si>
  <si>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</si>
  <si>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</si>
  <si>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</si>
  <si>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</si>
  <si>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</si>
  <si>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</si>
  <si>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</si>
  <si>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</si>
  <si>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</si>
  <si>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</si>
  <si>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</si>
  <si>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</si>
  <si>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</si>
  <si>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</si>
  <si>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</si>
  <si>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</si>
  <si>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</si>
  <si>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</si>
  <si>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</si>
  <si>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</si>
  <si>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</si>
  <si>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</si>
  <si>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</si>
  <si>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</si>
  <si>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</si>
  <si>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</si>
  <si>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</si>
  <si>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</si>
  <si>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</si>
  <si>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</si>
  <si>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</si>
  <si>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</si>
  <si>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</si>
  <si>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</si>
  <si>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</si>
  <si>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</si>
  <si>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</si>
  <si>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</si>
  <si>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</si>
  <si>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</si>
  <si>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</si>
  <si>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</si>
  <si>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</si>
  <si>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</si>
  <si>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</si>
  <si>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</si>
  <si>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</si>
  <si>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</si>
  <si>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</si>
  <si>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</si>
  <si>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</si>
  <si>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</si>
  <si>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</si>
  <si>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</si>
  <si>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</si>
  <si>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</si>
  <si>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</si>
  <si>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</si>
  <si>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</si>
  <si>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</si>
  <si>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</si>
  <si>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</si>
  <si>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</si>
  <si>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</si>
  <si>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</si>
  <si>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</si>
  <si>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</si>
  <si>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</si>
  <si>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</si>
  <si>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</si>
  <si>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</si>
  <si>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</si>
  <si>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</si>
  <si>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</si>
  <si>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</si>
  <si>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</si>
  <si>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</si>
  <si>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</si>
  <si>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</si>
  <si>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</si>
  <si>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</si>
  <si>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</si>
  <si>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Operation Manager</t>
  </si>
  <si>
    <t>Hourly Based</t>
  </si>
  <si>
    <t>Rigan Khan</t>
  </si>
  <si>
    <t>2055006023</t>
  </si>
  <si>
    <t>300448163100003</t>
  </si>
  <si>
    <t>+966 544290277 / Email:al-aklabi@rigankhan.com</t>
  </si>
  <si>
    <t>Mobile : +966 544290277</t>
  </si>
  <si>
    <t>AMAA</t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</si>
  <si>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</si>
  <si>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</si>
  <si>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</si>
  <si>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</si>
  <si>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P.O. Box 372, Al Jubail 31951 - KSA</t>
  </si>
  <si>
    <t>BRANCH OF HYUNDAI ENG. &amp; CONST. CO., LTD.</t>
  </si>
  <si>
    <t>Branch of Hyundai Engineering and Const. Co., Ltd. (HDEC)</t>
  </si>
  <si>
    <t>AMAA(Abdullah Mohammed Al-Aklabi for Gen. Cont. Est.)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</si>
  <si>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-MRS-0171</t>
    </r>
  </si>
  <si>
    <t>Rigger Level 1</t>
  </si>
  <si>
    <t>Aramco Approved</t>
  </si>
  <si>
    <t>AGC-20238877 (Phase-2)</t>
  </si>
  <si>
    <t>Rigger Level 1 Aramco Approved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</si>
  <si>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</si>
  <si>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</si>
  <si>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</si>
  <si>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</si>
  <si>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</si>
  <si>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</si>
  <si>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</si>
  <si>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</si>
  <si>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>ABDULLAH MOHAMMED AL-AKLABI FOR GEN. CONT. EST.</t>
  </si>
  <si>
    <t>3080335539940</t>
  </si>
  <si>
    <t>SA5020000003080335539940</t>
  </si>
  <si>
    <t>RIYAD BANK</t>
  </si>
  <si>
    <t>RIBLSARI</t>
  </si>
  <si>
    <t xml:space="preserve">  Bank account changes are strictly prohibited. Payments will only be made to the account registered and approved in this Purchase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</si>
</sst>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2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6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51" fillId="3" borderId="0" xfId="5" applyFont="1" applyFill="1"/>
    <xf numFmtId="0" fontId="17" fillId="3" borderId="0" xfId="5" quotePrefix="1" applyFont="1" applyFill="1"/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0</xdr:rowOff>
        </xdr:from>
        <xdr:to>
          <xdr:col>12</xdr:col>
          <xdr:colOff>10528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3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7039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L6" sqref="L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109</v>
      </c>
      <c r="B1" s="110"/>
      <c r="C1" s="110"/>
      <c r="D1" s="110"/>
      <c r="E1" s="110"/>
      <c r="F1" s="110"/>
      <c r="G1" s="1"/>
      <c r="J1" s="143" t="s">
        <v>90</v>
      </c>
      <c r="K1" s="144"/>
      <c r="L1" s="145"/>
    </row>
    <row r="2" spans="1:19" ht="20.100000000000001" customHeight="1">
      <c r="A2" s="3" t="s">
        <v>1</v>
      </c>
      <c r="B2" s="101"/>
      <c r="C2" s="101"/>
      <c r="D2" s="3" t="s">
        <v>106</v>
      </c>
      <c r="E2" s="101"/>
      <c r="F2" s="101"/>
      <c r="G2" s="101"/>
      <c r="H2" s="101"/>
      <c r="I2" s="4"/>
      <c r="J2" s="146" t="s">
        <v>108</v>
      </c>
      <c r="K2" s="147"/>
      <c r="L2" s="148"/>
    </row>
    <row r="3" spans="1:19" ht="20.100000000000001" customHeight="1">
      <c r="A3" s="3" t="s">
        <v>114</v>
      </c>
      <c r="B3" s="101"/>
      <c r="C3" s="101"/>
      <c r="D3" s="101"/>
      <c r="E3" s="149">
        <f>+L3</f>
        <v>45993</v>
      </c>
      <c r="F3" s="149"/>
      <c r="G3" s="149"/>
      <c r="H3" s="149"/>
      <c r="I3" s="149"/>
      <c r="J3" s="101"/>
      <c r="K3" s="101"/>
      <c r="L3" s="122">
        <v>45993</v>
      </c>
      <c r="M3" s="4"/>
    </row>
    <row r="4" spans="1:19" ht="15.95" customHeight="1">
      <c r="A4" s="150" t="s">
        <v>2</v>
      </c>
      <c r="B4" s="151" t="s">
        <v>3</v>
      </c>
      <c r="C4" s="151"/>
      <c r="D4" s="152" t="s">
        <v>4</v>
      </c>
      <c r="E4" s="153"/>
      <c r="F4" s="154"/>
      <c r="G4" s="158" t="s">
        <v>5</v>
      </c>
      <c r="H4" s="160" t="s">
        <v>6</v>
      </c>
      <c r="I4" s="160" t="s">
        <v>95</v>
      </c>
      <c r="J4" s="150" t="s">
        <v>96</v>
      </c>
      <c r="K4" s="160" t="s">
        <v>0</v>
      </c>
      <c r="L4" s="151" t="s">
        <v>7</v>
      </c>
    </row>
    <row r="5" spans="1:19" ht="15.95" customHeight="1">
      <c r="A5" s="150"/>
      <c r="B5" s="151"/>
      <c r="C5" s="151"/>
      <c r="D5" s="155"/>
      <c r="E5" s="156"/>
      <c r="F5" s="157"/>
      <c r="G5" s="159"/>
      <c r="H5" s="161"/>
      <c r="I5" s="161"/>
      <c r="J5" s="150"/>
      <c r="K5" s="161"/>
      <c r="L5" s="151"/>
    </row>
    <row r="6" spans="1:19" ht="22.5" customHeight="1">
      <c r="A6" s="5">
        <f t="shared" ref="A6:A15" si="0">ROW(A1)</f>
        <v>1</v>
      </c>
      <c r="B6" s="131" t="s">
        <v>115</v>
      </c>
      <c r="C6" s="132"/>
      <c r="D6" s="133" t="s">
        <v>116</v>
      </c>
      <c r="E6" s="134"/>
      <c r="F6" s="135"/>
      <c r="G6" s="111" t="s">
        <v>107</v>
      </c>
      <c r="H6" s="112">
        <v>1</v>
      </c>
      <c r="I6" s="113">
        <v>143</v>
      </c>
      <c r="J6" s="113">
        <f>H6*I6</f>
        <v>143</v>
      </c>
      <c r="K6" s="114" t="s">
        <v>105</v>
      </c>
      <c r="L6" s="115" t="s">
        <v>99</v>
      </c>
      <c r="S6" s="106"/>
    </row>
    <row r="7" spans="1:19" ht="22.5" customHeight="1">
      <c r="A7" s="5">
        <f t="shared" si="0"/>
        <v>2</v>
      </c>
      <c r="B7" s="131"/>
      <c r="C7" s="132"/>
      <c r="D7" s="142"/>
      <c r="E7" s="134"/>
      <c r="F7" s="135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31"/>
      <c r="C8" s="132"/>
      <c r="D8" s="133"/>
      <c r="E8" s="134"/>
      <c r="F8" s="135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31"/>
      <c r="C9" s="132"/>
      <c r="D9" s="133"/>
      <c r="E9" s="134"/>
      <c r="F9" s="135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40"/>
      <c r="C10" s="140"/>
      <c r="D10" s="141"/>
      <c r="E10" s="141"/>
      <c r="F10" s="141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31"/>
      <c r="C11" s="132"/>
      <c r="D11" s="133"/>
      <c r="E11" s="134"/>
      <c r="F11" s="135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40"/>
      <c r="C12" s="140"/>
      <c r="D12" s="141"/>
      <c r="E12" s="141"/>
      <c r="F12" s="141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31"/>
      <c r="C13" s="132"/>
      <c r="D13" s="133"/>
      <c r="E13" s="134"/>
      <c r="F13" s="135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31"/>
      <c r="C14" s="132"/>
      <c r="D14" s="133"/>
      <c r="E14" s="134"/>
      <c r="F14" s="135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31"/>
      <c r="C15" s="132"/>
      <c r="D15" s="133"/>
      <c r="E15" s="134"/>
      <c r="F15" s="135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6" t="s">
        <v>8</v>
      </c>
      <c r="B16" s="137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143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8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9"/>
      <c r="T19" s="14"/>
      <c r="U19" s="15"/>
      <c r="V19" s="14"/>
    </row>
    <row r="20" spans="1:22" ht="17.100000000000001" customHeight="1">
      <c r="O20" s="11"/>
      <c r="P20" s="11"/>
      <c r="Q20" s="11"/>
      <c r="S20" s="128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7" t="s">
        <v>17</v>
      </c>
      <c r="Q21" s="127" t="s">
        <v>18</v>
      </c>
    </row>
    <row r="22" spans="1:22" ht="18" customHeight="1">
      <c r="O22" s="18" t="s">
        <v>19</v>
      </c>
      <c r="P22" s="129"/>
      <c r="Q22" s="129"/>
      <c r="S22" s="138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9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8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0"/>
      <c r="P27" s="130"/>
      <c r="Q27" s="130"/>
    </row>
    <row r="28" spans="1:22" ht="19.899999999999999" customHeight="1">
      <c r="O28" s="130"/>
      <c r="P28" s="130"/>
      <c r="Q28" s="13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7" t="s">
        <v>21</v>
      </c>
    </row>
    <row r="41" spans="15:22" ht="19.899999999999999" customHeight="1">
      <c r="T41" s="129"/>
    </row>
    <row r="42" spans="15:22" ht="64.900000000000006" customHeight="1">
      <c r="T42" s="14"/>
    </row>
    <row r="46" spans="15:22" ht="21" customHeight="1">
      <c r="O46" s="127" t="s">
        <v>21</v>
      </c>
      <c r="P46" s="127" t="s">
        <v>21</v>
      </c>
      <c r="Q46" s="127" t="s">
        <v>21</v>
      </c>
      <c r="T46" s="127" t="s">
        <v>22</v>
      </c>
      <c r="U46" s="127" t="s">
        <v>13</v>
      </c>
      <c r="V46" s="127" t="s">
        <v>21</v>
      </c>
    </row>
    <row r="47" spans="15:22" ht="21" customHeight="1">
      <c r="O47" s="129"/>
      <c r="P47" s="129"/>
      <c r="Q47" s="129"/>
      <c r="T47" s="128"/>
      <c r="U47" s="128"/>
      <c r="V47" s="12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7" t="s">
        <v>21</v>
      </c>
      <c r="P50" s="127" t="s">
        <v>21</v>
      </c>
      <c r="Q50" s="127" t="s">
        <v>21</v>
      </c>
      <c r="T50" s="127" t="s">
        <v>13</v>
      </c>
      <c r="U50" s="127" t="s">
        <v>22</v>
      </c>
      <c r="V50" s="127" t="s">
        <v>21</v>
      </c>
    </row>
    <row r="51" spans="15:22" ht="21" customHeight="1">
      <c r="O51" s="129"/>
      <c r="P51" s="129"/>
      <c r="Q51" s="129"/>
      <c r="T51" s="128"/>
      <c r="U51" s="128"/>
      <c r="V51" s="12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SAC2-DS-MRS-0171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45993</v>
      </c>
    </row>
    <row r="4" spans="1:18" ht="15.95" customHeight="1">
      <c r="A4" s="172" t="s">
        <v>2</v>
      </c>
      <c r="B4" s="173" t="s">
        <v>23</v>
      </c>
      <c r="C4" s="173"/>
      <c r="D4" s="172" t="s">
        <v>4</v>
      </c>
      <c r="E4" s="172"/>
      <c r="F4" s="172"/>
      <c r="G4" s="173" t="s">
        <v>5</v>
      </c>
      <c r="H4" s="172" t="s">
        <v>91</v>
      </c>
      <c r="I4" s="172" t="s">
        <v>24</v>
      </c>
      <c r="J4" s="172" t="s">
        <v>25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21">
        <f>+MRS!A6</f>
        <v>1</v>
      </c>
      <c r="B6" s="167" t="str">
        <f>MRS!B6</f>
        <v>Rigger Level 1</v>
      </c>
      <c r="C6" s="168"/>
      <c r="D6" s="169" t="str">
        <f>MRS!D6</f>
        <v>Aramco Approved</v>
      </c>
      <c r="E6" s="170"/>
      <c r="F6" s="171"/>
      <c r="G6" s="103" t="str">
        <f>MRS!G6</f>
        <v>Hour</v>
      </c>
      <c r="H6" s="103">
        <f>MRS!H6</f>
        <v>1</v>
      </c>
      <c r="I6" s="104">
        <f>MRS!I6</f>
        <v>143</v>
      </c>
      <c r="J6" s="104">
        <f>MRS!J6</f>
        <v>143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7">
        <f>MRS!B7</f>
        <v>0</v>
      </c>
      <c r="C7" s="168"/>
      <c r="D7" s="169">
        <f>MRS!D7</f>
        <v>0</v>
      </c>
      <c r="E7" s="170"/>
      <c r="F7" s="171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7">
        <f>MRS!B8</f>
        <v>0</v>
      </c>
      <c r="C8" s="168"/>
      <c r="D8" s="169">
        <f>MRS!D8</f>
        <v>0</v>
      </c>
      <c r="E8" s="170"/>
      <c r="F8" s="171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7">
        <f>MRS!B9</f>
        <v>0</v>
      </c>
      <c r="C9" s="168"/>
      <c r="D9" s="169">
        <f>MRS!D9</f>
        <v>0</v>
      </c>
      <c r="E9" s="170"/>
      <c r="F9" s="171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7">
        <f>MRS!B10</f>
        <v>0</v>
      </c>
      <c r="C10" s="168"/>
      <c r="D10" s="169">
        <f>MRS!D10</f>
        <v>0</v>
      </c>
      <c r="E10" s="170"/>
      <c r="F10" s="171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7">
        <f>MRS!B11</f>
        <v>0</v>
      </c>
      <c r="C11" s="168"/>
      <c r="D11" s="169">
        <f>MRS!D11</f>
        <v>0</v>
      </c>
      <c r="E11" s="170"/>
      <c r="F11" s="171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2"/>
      <c r="C12" s="163"/>
      <c r="D12" s="164"/>
      <c r="E12" s="165"/>
      <c r="F12" s="166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2"/>
      <c r="C13" s="163"/>
      <c r="D13" s="164"/>
      <c r="E13" s="165"/>
      <c r="F13" s="166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2"/>
      <c r="C14" s="163"/>
      <c r="D14" s="164"/>
      <c r="E14" s="165"/>
      <c r="F14" s="166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2"/>
      <c r="C15" s="163"/>
      <c r="D15" s="164"/>
      <c r="E15" s="165"/>
      <c r="F15" s="166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2"/>
      <c r="C16" s="163"/>
      <c r="D16" s="164"/>
      <c r="E16" s="165"/>
      <c r="F16" s="166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2"/>
      <c r="C17" s="163"/>
      <c r="D17" s="164"/>
      <c r="E17" s="165"/>
      <c r="F17" s="166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T94"/>
  <sheetViews>
    <sheetView tabSelected="1" view="pageBreakPreview" topLeftCell="A46" zoomScale="130" zoomScaleNormal="100" zoomScaleSheetLayoutView="130" workbookViewId="0">
      <selection activeCell="F66" sqref="F6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111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113</v>
      </c>
      <c r="D9" s="39"/>
      <c r="E9" s="39"/>
    </row>
    <row r="10" spans="2:13" s="39" customFormat="1">
      <c r="B10" s="72"/>
      <c r="C10" s="39" t="s">
        <v>32</v>
      </c>
      <c r="D10" s="76" t="s">
        <v>101</v>
      </c>
      <c r="J10" s="39" t="s">
        <v>33</v>
      </c>
      <c r="K10" s="175">
        <f>MRS!L3</f>
        <v>45993</v>
      </c>
      <c r="L10" s="176"/>
      <c r="M10" s="176"/>
    </row>
    <row r="11" spans="2:13" s="39" customFormat="1">
      <c r="B11" s="72"/>
      <c r="C11" s="75" t="s">
        <v>34</v>
      </c>
      <c r="D11" s="76" t="s">
        <v>102</v>
      </c>
      <c r="J11" s="39" t="s">
        <v>35</v>
      </c>
      <c r="K11" s="177" t="str">
        <f>SUBSTITUTE(SUBSTITUTE(+MRS!A3,"  MRS No : ",""),"-MRS","-PO")</f>
        <v>SAC2-DS-PO-0171</v>
      </c>
      <c r="L11" s="177"/>
      <c r="M11" s="177"/>
    </row>
    <row r="12" spans="2:13" s="39" customFormat="1">
      <c r="B12" s="72"/>
      <c r="C12" s="75" t="s">
        <v>36</v>
      </c>
      <c r="D12" s="39" t="s">
        <v>100</v>
      </c>
      <c r="J12" s="39" t="s">
        <v>37</v>
      </c>
    </row>
    <row r="13" spans="2:13" s="39" customFormat="1">
      <c r="B13" s="72"/>
      <c r="C13" s="77"/>
      <c r="D13" s="76" t="s">
        <v>103</v>
      </c>
      <c r="J13" s="39" t="s">
        <v>38</v>
      </c>
    </row>
    <row r="14" spans="2:13" s="39" customFormat="1">
      <c r="B14" s="72"/>
      <c r="C14" s="77" t="s">
        <v>110</v>
      </c>
      <c r="J14" s="39" t="s">
        <v>39</v>
      </c>
      <c r="K14" s="39" t="s">
        <v>117</v>
      </c>
    </row>
    <row r="15" spans="2:13" s="39" customFormat="1">
      <c r="B15" s="72"/>
      <c r="C15" s="77" t="s">
        <v>104</v>
      </c>
      <c r="J15" s="39" t="s">
        <v>40</v>
      </c>
      <c r="K15" s="78">
        <v>45993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41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42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43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44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45</v>
      </c>
    </row>
    <row r="26" spans="2:13" s="39" customFormat="1" ht="12" customHeight="1">
      <c r="B26" s="73"/>
      <c r="C26" s="76" t="s">
        <v>118</v>
      </c>
      <c r="M26" s="79" t="s">
        <v>46</v>
      </c>
    </row>
    <row r="27" spans="2:13" ht="11.1" customHeight="1">
      <c r="B27" s="32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82" t="s">
        <v>99</v>
      </c>
      <c r="G29" s="182"/>
      <c r="H29" s="33"/>
      <c r="M29" s="34"/>
    </row>
    <row r="30" spans="2:13" ht="15" customHeight="1">
      <c r="B30" s="32"/>
      <c r="C30" s="26" t="s">
        <v>50</v>
      </c>
      <c r="E30" s="26" t="s">
        <v>49</v>
      </c>
      <c r="F30" s="182"/>
      <c r="G30" s="182"/>
    </row>
    <row r="31" spans="2:13" ht="15" customHeight="1">
      <c r="B31" s="32"/>
      <c r="C31" s="26" t="s">
        <v>51</v>
      </c>
      <c r="D31" s="35"/>
      <c r="E31" s="26" t="s">
        <v>49</v>
      </c>
      <c r="F31" s="182"/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20" s="39" customFormat="1" ht="12" customHeight="1">
      <c r="B49" s="80" t="s">
        <v>65</v>
      </c>
      <c r="C49" s="81" t="s">
        <v>93</v>
      </c>
      <c r="P49" s="82"/>
    </row>
    <row r="50" spans="2:20" s="83" customFormat="1" ht="12" customHeight="1">
      <c r="B50" s="84" t="s">
        <v>65</v>
      </c>
      <c r="C50" s="81" t="s">
        <v>94</v>
      </c>
    </row>
    <row r="51" spans="2:20" s="83" customFormat="1" ht="12" customHeight="1">
      <c r="B51" s="84" t="s">
        <v>65</v>
      </c>
      <c r="C51" s="81" t="s">
        <v>92</v>
      </c>
    </row>
    <row r="52" spans="2:20" s="83" customFormat="1" ht="6" customHeight="1">
      <c r="B52" s="84"/>
      <c r="C52" s="81"/>
    </row>
    <row r="53" spans="2:20" ht="15" customHeight="1">
      <c r="B53" s="42">
        <v>7</v>
      </c>
      <c r="C53" s="32" t="s">
        <v>119</v>
      </c>
    </row>
    <row r="54" spans="2:20" ht="12" customHeight="1">
      <c r="B54" s="84" t="s">
        <v>65</v>
      </c>
      <c r="C54" s="125" t="s">
        <v>120</v>
      </c>
      <c r="F54" s="26" t="s">
        <v>127</v>
      </c>
      <c r="T54" s="26" t="str">
        <f>UPPER(F54)</f>
        <v>ABDULLAH MOHAMMED AL-AKLABI FOR GEN. CONT. EST.</v>
      </c>
    </row>
    <row r="55" spans="2:20" ht="12" customHeight="1">
      <c r="B55" s="84" t="s">
        <v>65</v>
      </c>
      <c r="C55" s="125" t="s">
        <v>121</v>
      </c>
      <c r="F55" s="126" t="s">
        <v>128</v>
      </c>
    </row>
    <row r="56" spans="2:20" ht="12" customHeight="1">
      <c r="B56" s="84" t="s">
        <v>65</v>
      </c>
      <c r="C56" s="125" t="s">
        <v>122</v>
      </c>
      <c r="F56" s="26" t="s">
        <v>129</v>
      </c>
    </row>
    <row r="57" spans="2:20" ht="12" customHeight="1">
      <c r="B57" s="84" t="s">
        <v>65</v>
      </c>
      <c r="C57" s="125" t="s">
        <v>123</v>
      </c>
      <c r="F57" s="26" t="s">
        <v>130</v>
      </c>
    </row>
    <row r="58" spans="2:20" ht="12" customHeight="1">
      <c r="B58" s="84" t="s">
        <v>65</v>
      </c>
      <c r="C58" s="125" t="s">
        <v>124</v>
      </c>
      <c r="F58" s="26" t="s">
        <v>131</v>
      </c>
    </row>
    <row r="59" spans="2:20" ht="12" customHeight="1">
      <c r="B59" s="84" t="s">
        <v>65</v>
      </c>
      <c r="C59" s="125" t="s">
        <v>125</v>
      </c>
      <c r="F59" s="26" t="s">
        <v>126</v>
      </c>
    </row>
    <row r="60" spans="2:20" ht="12" customHeight="1">
      <c r="B60" s="84"/>
      <c r="C60" s="125" t="s">
        <v>132</v>
      </c>
    </row>
    <row r="61" spans="2:20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20" ht="3" customHeight="1">
      <c r="B62" s="32"/>
    </row>
    <row r="63" spans="2:20" ht="11.1" customHeight="1">
      <c r="B63" s="42"/>
    </row>
    <row r="64" spans="2:20">
      <c r="B64" s="32" t="s">
        <v>66</v>
      </c>
      <c r="J64" s="32" t="s">
        <v>67</v>
      </c>
    </row>
    <row r="65" spans="1:13" ht="43.5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">
        <v>100</v>
      </c>
    </row>
    <row r="68" spans="1:13" ht="18" customHeight="1">
      <c r="B68" s="26" t="s">
        <v>71</v>
      </c>
      <c r="J68" s="26" t="s">
        <v>72</v>
      </c>
      <c r="K68" s="22" t="s">
        <v>98</v>
      </c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112</v>
      </c>
      <c r="J70" s="183" t="str">
        <f>C9</f>
        <v>AMAA(Abdullah Mohammed Al-Aklabi for Gen. Cont. Est.)</v>
      </c>
      <c r="K70" s="183"/>
      <c r="L70" s="183"/>
      <c r="M70" s="183"/>
    </row>
    <row r="71" spans="1:13" ht="27.95" customHeight="1">
      <c r="A71" s="174" t="s">
        <v>75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6" sqref="H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SAC2-DS-PO-0171</v>
      </c>
      <c r="C2" s="192" t="s">
        <v>77</v>
      </c>
      <c r="D2" s="192"/>
      <c r="E2" s="192"/>
      <c r="F2" s="192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45993</v>
      </c>
      <c r="C3" s="51"/>
      <c r="D3" s="52"/>
      <c r="E3" s="193" t="s">
        <v>79</v>
      </c>
      <c r="F3" s="193"/>
      <c r="G3" s="193"/>
      <c r="H3" s="193"/>
      <c r="I3" s="53"/>
    </row>
    <row r="4" spans="1:13" s="55" customFormat="1" ht="28.5" customHeight="1" thickTop="1">
      <c r="A4" s="194" t="s">
        <v>80</v>
      </c>
      <c r="B4" s="196" t="s">
        <v>81</v>
      </c>
      <c r="C4" s="197"/>
      <c r="D4" s="200" t="s">
        <v>82</v>
      </c>
      <c r="E4" s="200" t="s">
        <v>83</v>
      </c>
      <c r="F4" s="202" t="str">
        <f>'PO 1st page'!C9</f>
        <v>AMAA(Abdullah Mohammed Al-Aklabi for Gen. Cont. Est.)</v>
      </c>
      <c r="G4" s="203"/>
      <c r="H4" s="204" t="s">
        <v>84</v>
      </c>
      <c r="K4" s="56"/>
      <c r="L4" s="56"/>
      <c r="M4" s="56"/>
    </row>
    <row r="5" spans="1:13" s="55" customFormat="1" ht="21.95" customHeight="1">
      <c r="A5" s="195"/>
      <c r="B5" s="198"/>
      <c r="C5" s="199"/>
      <c r="D5" s="201"/>
      <c r="E5" s="201"/>
      <c r="F5" s="57" t="s">
        <v>85</v>
      </c>
      <c r="G5" s="57" t="s">
        <v>51</v>
      </c>
      <c r="H5" s="205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0" t="str">
        <f>+'MRS LIST'!B6</f>
        <v>Rigger Level 1</v>
      </c>
      <c r="C6" s="191"/>
      <c r="D6" s="86" t="str">
        <f>+'MRS LIST'!G6</f>
        <v>Hour</v>
      </c>
      <c r="E6" s="87">
        <f>+'MRS LIST'!H6</f>
        <v>1</v>
      </c>
      <c r="F6" s="88">
        <f>+'MRS LIST'!I6</f>
        <v>143</v>
      </c>
      <c r="G6" s="89">
        <f>+'MRS LIST'!J6</f>
        <v>143</v>
      </c>
      <c r="H6" s="90" t="str">
        <f>MRS!L6</f>
        <v>Hourly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0"/>
      <c r="C7" s="191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90"/>
      <c r="C8" s="191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90"/>
      <c r="C9" s="191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90"/>
      <c r="C10" s="191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90"/>
      <c r="C11" s="191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88"/>
      <c r="C12" s="189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8"/>
      <c r="C13" s="189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8"/>
      <c r="C14" s="189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8"/>
      <c r="C15" s="189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8"/>
      <c r="C16" s="189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8"/>
      <c r="C17" s="189"/>
      <c r="D17" s="94"/>
      <c r="E17" s="95"/>
      <c r="F17" s="96"/>
      <c r="G17" s="97"/>
      <c r="H17" s="98"/>
    </row>
    <row r="18" spans="1:13" s="55" customFormat="1" ht="23.1" customHeight="1">
      <c r="A18" s="184" t="s">
        <v>86</v>
      </c>
      <c r="B18" s="185"/>
      <c r="C18" s="185"/>
      <c r="D18" s="185"/>
      <c r="E18" s="185"/>
      <c r="F18" s="185"/>
      <c r="G18" s="58">
        <f>SUM(G6:G17)</f>
        <v>143</v>
      </c>
      <c r="H18" s="59"/>
    </row>
    <row r="19" spans="1:13" s="55" customFormat="1" ht="23.1" customHeight="1">
      <c r="A19" s="184" t="s">
        <v>50</v>
      </c>
      <c r="B19" s="185"/>
      <c r="C19" s="185"/>
      <c r="D19" s="185"/>
      <c r="E19" s="185"/>
      <c r="F19" s="185"/>
      <c r="G19" s="58">
        <f>+G18*0.15</f>
        <v>21.45</v>
      </c>
      <c r="H19" s="59"/>
    </row>
    <row r="20" spans="1:13" s="55" customFormat="1" ht="24.95" customHeight="1" thickBot="1">
      <c r="A20" s="186" t="s">
        <v>87</v>
      </c>
      <c r="B20" s="187"/>
      <c r="C20" s="187"/>
      <c r="D20" s="187"/>
      <c r="E20" s="187"/>
      <c r="F20" s="187"/>
      <c r="G20" s="60">
        <f>G19+G18</f>
        <v>164.45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AGC-20238877 (Phase-2)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89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2025-12-02T07:26:49Z</cp:lastPrinted>
  <dcterms:created xsi:type="dcterms:W3CDTF">2024-10-20T11:50:19Z</dcterms:created>
  <dcterms:modified xsi:type="dcterms:W3CDTF">2025-12-03T13:29:49Z</dcterms:modified>
</cp:coreProperties>
</file>