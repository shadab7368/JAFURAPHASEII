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ABD49698-EB48-451E-8C20-0563B7F79559}" xr6:coauthVersionLast="47" xr6:coauthVersionMax="47" xr10:uidLastSave="{00000000-0000-0000-0000-000000000000}"/>
  <bookViews>
    <workbookView xWindow="28680" yWindow="-120" windowWidth="29040" windowHeight="1584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MRS!$A$1:$L$24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C27" i="3"/>
  <c r="C26" i="3"/>
  <c r="P54" i="3" l="1"/>
  <c r="B6" i="4" l="1"/>
  <c r="H6" i="4"/>
  <c r="K67" i="3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<sst xmlns="http://schemas.openxmlformats.org/spreadsheetml/2006/main" count="164" uniqueCount="135">
  <si>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</si>
  <si>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</si>
  <si>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</si>
  <si>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</si>
  <si>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</si>
  <si>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</si>
  <si>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</si>
  <si>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</si>
  <si>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</si>
  <si>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</si>
  <si>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</si>
  <si>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ADM</t>
    <phoneticPr fontId="2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</si>
  <si>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</si>
  <si>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</si>
  <si>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</si>
  <si>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</si>
  <si>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</si>
  <si>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</si>
  <si>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</si>
  <si>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</si>
  <si>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</si>
  <si>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</si>
  <si>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</si>
  <si>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</si>
  <si>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</si>
  <si>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</si>
  <si>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</si>
  <si>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</si>
  <si>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</si>
  <si>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</si>
  <si>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</si>
  <si>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</si>
  <si>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</si>
  <si>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</si>
  <si>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</si>
  <si>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</si>
  <si>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</si>
  <si>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</si>
  <si>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</si>
  <si>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</si>
  <si>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</si>
  <si>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</si>
  <si>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</si>
  <si>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</si>
  <si>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</si>
  <si>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</si>
  <si>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</si>
  <si>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</si>
  <si>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</si>
  <si>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</si>
  <si>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</si>
  <si>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</si>
  <si>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</si>
  <si>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</si>
  <si>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</si>
  <si>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</si>
  <si>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</si>
  <si>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</si>
  <si>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</si>
  <si>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</si>
  <si>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</si>
  <si>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0" type="noConversion"/>
  </si>
  <si>
    <t>Name      :</t>
  </si>
  <si>
    <t>Title        :  Administrative Manager</t>
    <phoneticPr fontId="20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</si>
  <si>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</si>
  <si>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</si>
  <si>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</si>
  <si>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</si>
  <si>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</si>
  <si>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</si>
  <si>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</si>
  <si>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</si>
  <si>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</si>
  <si>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</si>
  <si>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</si>
  <si>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</si>
  <si>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</si>
  <si>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</si>
  <si>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</si>
  <si>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</si>
  <si>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</si>
  <si>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</si>
  <si>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</si>
  <si>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</si>
  <si>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</si>
  <si>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</si>
  <si>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</si>
  <si>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</si>
  <si>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</si>
  <si>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</si>
  <si>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DSGC</t>
  </si>
  <si>
    <t>DSGC(Desert Solution General Contracting Company LLC)</t>
  </si>
  <si>
    <t>311318994400003</t>
  </si>
  <si>
    <t>Landline: +966 13 362 3735 / Mobile : +966 533121661</t>
  </si>
  <si>
    <t>Subcontract name (SAC2-SC-IK-SMP-01)</t>
  </si>
  <si>
    <t>Mohammed Irshad</t>
  </si>
  <si>
    <t>+966 53 3121661 / Email:admin@desertsolutionindus.com</t>
  </si>
  <si>
    <t>P.O. Box No. 1015, Jubail-31951, KSA</t>
  </si>
  <si>
    <t>Administration</t>
  </si>
  <si>
    <t>Monthly</t>
  </si>
  <si>
    <t>Monthly Based</t>
  </si>
  <si>
    <t>Branch of Hyundai Engineering and Const. Co., Ltd. (HDEC)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</si>
  <si>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</si>
  <si>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</si>
  <si>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</si>
  <si>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</si>
  <si>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</si>
  <si>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>SAUDI NATIONAL BANK</t>
  </si>
  <si>
    <t xml:space="preserve">  SWIFT CODE          </t>
  </si>
  <si>
    <t>NCBKSAJE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</si>
  <si>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</si>
  <si>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</si>
  <si>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</si>
  <si>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40947982000108</t>
  </si>
  <si>
    <t>SA09 1000 0040 9479 8200 0108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</si>
  <si>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-MRS-0383</t>
    </r>
  </si>
  <si>
    <t>4x4 pick-up with driver
 model 2023 &amp; 2024</t>
  </si>
  <si>
    <t>Toyota Hilux</t>
  </si>
  <si>
    <t>Month</t>
  </si>
  <si>
    <t>DSCE/HY/q-11148</t>
  </si>
  <si>
    <t>DESERT SOLUTION GENERAL CONTRACTING EST</t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</si>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</sst>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8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sz val="8.5"/>
      <color theme="1"/>
      <name val="Arial"/>
      <family val="2"/>
    </font>
    <font>
      <b/>
      <sz val="9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7" fillId="0" borderId="0" applyBorder="0"/>
    <xf numFmtId="0" fontId="36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8" fillId="0" borderId="0" applyFont="0" applyFill="0" applyBorder="0" applyAlignment="0" applyProtection="0">
      <alignment vertical="center"/>
    </xf>
  </cellStyleXfs>
  <cellXfs count="220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13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4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5" fillId="3" borderId="0" xfId="5" applyFont="1" applyFill="1"/>
    <xf numFmtId="0" fontId="16" fillId="3" borderId="0" xfId="5" applyFont="1" applyFill="1"/>
    <xf numFmtId="0" fontId="16" fillId="3" borderId="0" xfId="5" applyFont="1" applyFill="1" applyAlignment="1">
      <alignment horizontal="right"/>
    </xf>
    <xf numFmtId="0" fontId="17" fillId="3" borderId="0" xfId="5" applyFont="1" applyFill="1"/>
    <xf numFmtId="0" fontId="7" fillId="3" borderId="0" xfId="5" applyFont="1" applyFill="1" applyAlignment="1">
      <alignment horizontal="left" vertical="center"/>
    </xf>
    <xf numFmtId="171" fontId="18" fillId="3" borderId="0" xfId="5" applyNumberFormat="1" applyFont="1" applyFill="1"/>
    <xf numFmtId="0" fontId="22" fillId="3" borderId="0" xfId="5" applyFont="1" applyFill="1"/>
    <xf numFmtId="0" fontId="19" fillId="3" borderId="0" xfId="5" applyFont="1" applyFill="1"/>
    <xf numFmtId="0" fontId="23" fillId="3" borderId="0" xfId="5" applyFont="1" applyFill="1"/>
    <xf numFmtId="0" fontId="16" fillId="3" borderId="0" xfId="5" applyFont="1" applyFill="1" applyAlignment="1">
      <alignment horizontal="right" vertical="center"/>
    </xf>
    <xf numFmtId="0" fontId="24" fillId="3" borderId="0" xfId="5" applyFont="1" applyFill="1"/>
    <xf numFmtId="0" fontId="25" fillId="3" borderId="0" xfId="5" applyFont="1" applyFill="1" applyAlignment="1">
      <alignment horizontal="left"/>
    </xf>
    <xf numFmtId="0" fontId="25" fillId="3" borderId="0" xfId="5" applyFont="1" applyFill="1" applyAlignment="1">
      <alignment wrapText="1"/>
    </xf>
    <xf numFmtId="0" fontId="18" fillId="3" borderId="0" xfId="5" applyFont="1" applyFill="1" applyAlignment="1">
      <alignment wrapText="1"/>
    </xf>
    <xf numFmtId="0" fontId="25" fillId="3" borderId="0" xfId="5" applyFont="1" applyFill="1"/>
    <xf numFmtId="0" fontId="25" fillId="3" borderId="0" xfId="5" applyFont="1" applyFill="1" applyAlignment="1">
      <alignment horizontal="left" wrapText="1"/>
    </xf>
    <xf numFmtId="0" fontId="18" fillId="3" borderId="0" xfId="5" applyFont="1" applyFill="1" applyAlignment="1">
      <alignment horizontal="left" wrapText="1"/>
    </xf>
    <xf numFmtId="0" fontId="19" fillId="3" borderId="0" xfId="5" quotePrefix="1" applyFont="1" applyFill="1" applyAlignment="1">
      <alignment horizontal="right" vertical="center"/>
    </xf>
    <xf numFmtId="0" fontId="19" fillId="3" borderId="26" xfId="5" applyFont="1" applyFill="1" applyBorder="1"/>
    <xf numFmtId="0" fontId="16" fillId="3" borderId="26" xfId="5" applyFont="1" applyFill="1" applyBorder="1"/>
    <xf numFmtId="0" fontId="28" fillId="0" borderId="0" xfId="6" applyFont="1"/>
    <xf numFmtId="0" fontId="28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0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1" fillId="0" borderId="0" xfId="6" quotePrefix="1" applyNumberFormat="1" applyFont="1" applyAlignment="1">
      <alignment vertical="center"/>
    </xf>
    <xf numFmtId="0" fontId="25" fillId="0" borderId="0" xfId="6" applyFont="1" applyAlignment="1">
      <alignment vertical="top"/>
    </xf>
    <xf numFmtId="0" fontId="32" fillId="0" borderId="0" xfId="6" applyFont="1" applyBorder="1" applyAlignment="1">
      <alignment vertical="center"/>
    </xf>
    <xf numFmtId="0" fontId="33" fillId="0" borderId="0" xfId="6" applyFont="1" applyAlignment="1">
      <alignment vertical="top"/>
    </xf>
    <xf numFmtId="0" fontId="35" fillId="0" borderId="0" xfId="6" applyFont="1"/>
    <xf numFmtId="0" fontId="35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5" fillId="0" borderId="45" xfId="6" applyFont="1" applyBorder="1" applyAlignment="1">
      <alignment vertical="center"/>
    </xf>
    <xf numFmtId="0" fontId="25" fillId="0" borderId="45" xfId="6" applyFont="1" applyBorder="1"/>
    <xf numFmtId="0" fontId="8" fillId="0" borderId="0" xfId="6" applyFont="1" applyBorder="1" applyAlignment="1">
      <alignment vertical="center"/>
    </xf>
    <xf numFmtId="0" fontId="25" fillId="0" borderId="0" xfId="6" applyFont="1" applyBorder="1" applyAlignment="1">
      <alignment vertical="center"/>
    </xf>
    <xf numFmtId="0" fontId="25" fillId="0" borderId="0" xfId="6" applyFont="1" applyBorder="1"/>
    <xf numFmtId="0" fontId="28" fillId="0" borderId="0" xfId="6" applyFont="1" applyBorder="1"/>
    <xf numFmtId="0" fontId="37" fillId="0" borderId="0" xfId="6" applyFont="1"/>
    <xf numFmtId="0" fontId="26" fillId="3" borderId="0" xfId="5" applyFont="1" applyFill="1"/>
    <xf numFmtId="0" fontId="37" fillId="0" borderId="0" xfId="6" applyFont="1" applyAlignment="1">
      <alignment vertical="center"/>
    </xf>
    <xf numFmtId="0" fontId="1" fillId="3" borderId="0" xfId="5" applyFont="1" applyFill="1"/>
    <xf numFmtId="0" fontId="31" fillId="3" borderId="0" xfId="5" applyFont="1" applyFill="1"/>
    <xf numFmtId="0" fontId="39" fillId="3" borderId="0" xfId="5" applyFont="1" applyFill="1"/>
    <xf numFmtId="0" fontId="1" fillId="3" borderId="0" xfId="5" applyFont="1" applyFill="1" applyAlignment="1">
      <alignment horizontal="left" vertical="center"/>
    </xf>
    <xf numFmtId="0" fontId="25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5" fillId="3" borderId="0" xfId="5" applyNumberFormat="1" applyFont="1" applyFill="1"/>
    <xf numFmtId="0" fontId="25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0" fillId="3" borderId="0" xfId="0" applyFont="1" applyFill="1" applyAlignment="1"/>
    <xf numFmtId="0" fontId="40" fillId="3" borderId="0" xfId="5" applyFont="1" applyFill="1"/>
    <xf numFmtId="0" fontId="25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1" fillId="3" borderId="0" xfId="5" applyFont="1" applyFill="1" applyAlignment="1">
      <alignment horizontal="left" vertical="center" wrapText="1"/>
    </xf>
    <xf numFmtId="0" fontId="41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1" fillId="0" borderId="22" xfId="0" applyFont="1" applyBorder="1" applyAlignment="1">
      <alignment horizontal="center" vertical="center"/>
    </xf>
    <xf numFmtId="174" fontId="41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0" fontId="42" fillId="2" borderId="0" xfId="1" applyFont="1" applyFill="1" applyAlignment="1">
      <alignment vertical="center"/>
    </xf>
    <xf numFmtId="0" fontId="50" fillId="3" borderId="0" xfId="5" applyFont="1" applyFill="1"/>
    <xf numFmtId="0" fontId="16" fillId="3" borderId="0" xfId="5" quotePrefix="1" applyFont="1" applyFill="1"/>
    <xf numFmtId="0" fontId="51" fillId="3" borderId="0" xfId="5" applyFont="1" applyFill="1"/>
    <xf numFmtId="0" fontId="25" fillId="3" borderId="0" xfId="5" quotePrefix="1" applyFont="1" applyFill="1" applyAlignment="1">
      <alignment horizontal="left"/>
    </xf>
    <xf numFmtId="0" fontId="4" fillId="2" borderId="21" xfId="1" applyFont="1" applyFill="1" applyBorder="1" applyAlignment="1">
      <alignment horizontal="center" vertical="center"/>
    </xf>
    <xf numFmtId="0" fontId="53" fillId="2" borderId="0" xfId="1" applyFont="1" applyFill="1" applyAlignment="1">
      <alignment vertical="center"/>
    </xf>
    <xf numFmtId="0" fontId="56" fillId="0" borderId="0" xfId="2" applyFont="1" applyAlignment="1">
      <alignment vertical="center"/>
    </xf>
    <xf numFmtId="170" fontId="57" fillId="0" borderId="7" xfId="3" applyNumberFormat="1" applyFont="1" applyBorder="1" applyAlignment="1">
      <alignment horizontal="right"/>
    </xf>
    <xf numFmtId="0" fontId="4" fillId="2" borderId="21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vertical="center"/>
    </xf>
    <xf numFmtId="0" fontId="4" fillId="2" borderId="10" xfId="1" applyFont="1" applyFill="1" applyBorder="1" applyAlignment="1">
      <alignment horizontal="center" vertical="center"/>
    </xf>
    <xf numFmtId="0" fontId="11" fillId="3" borderId="0" xfId="0" applyFont="1" applyFill="1">
      <alignment vertical="center"/>
    </xf>
    <xf numFmtId="0" fontId="11" fillId="3" borderId="46" xfId="0" applyFont="1" applyFill="1" applyBorder="1">
      <alignment vertical="center"/>
    </xf>
    <xf numFmtId="0" fontId="4" fillId="2" borderId="8" xfId="1" applyFont="1" applyFill="1" applyBorder="1" applyAlignment="1">
      <alignment vertical="center" wrapText="1"/>
    </xf>
    <xf numFmtId="0" fontId="4" fillId="2" borderId="16" xfId="1" applyFont="1" applyFill="1" applyBorder="1" applyAlignment="1">
      <alignment horizontal="center" vertical="center"/>
    </xf>
    <xf numFmtId="0" fontId="4" fillId="2" borderId="17" xfId="1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4" fillId="2" borderId="18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16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16" xfId="0" quotePrefix="1" applyFont="1" applyFill="1" applyBorder="1" applyAlignment="1">
      <alignment horizontal="center" vertical="center" wrapText="1"/>
    </xf>
    <xf numFmtId="0" fontId="45" fillId="2" borderId="1" xfId="1" applyFont="1" applyFill="1" applyBorder="1" applyAlignment="1">
      <alignment horizontal="center" vertical="center"/>
    </xf>
    <xf numFmtId="0" fontId="45" fillId="2" borderId="2" xfId="1" applyFont="1" applyFill="1" applyBorder="1" applyAlignment="1">
      <alignment horizontal="center" vertical="center"/>
    </xf>
    <xf numFmtId="0" fontId="45" fillId="2" borderId="3" xfId="1" applyFont="1" applyFill="1" applyBorder="1" applyAlignment="1">
      <alignment horizontal="center" vertical="center"/>
    </xf>
    <xf numFmtId="0" fontId="46" fillId="2" borderId="4" xfId="1" applyFont="1" applyFill="1" applyBorder="1" applyAlignment="1">
      <alignment horizontal="center" vertical="center"/>
    </xf>
    <xf numFmtId="0" fontId="46" fillId="2" borderId="5" xfId="1" applyFont="1" applyFill="1" applyBorder="1" applyAlignment="1">
      <alignment horizontal="center" vertical="center"/>
    </xf>
    <xf numFmtId="0" fontId="46" fillId="2" borderId="6" xfId="1" applyFont="1" applyFill="1" applyBorder="1" applyAlignment="1">
      <alignment horizontal="center" vertical="center"/>
    </xf>
    <xf numFmtId="165" fontId="47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1" fillId="0" borderId="23" xfId="0" applyFont="1" applyBorder="1" applyAlignment="1">
      <alignment horizontal="left" vertical="center" wrapText="1"/>
    </xf>
    <xf numFmtId="0" fontId="41" fillId="0" borderId="24" xfId="0" applyFont="1" applyBorder="1" applyAlignment="1">
      <alignment horizontal="left" vertical="center" wrapText="1"/>
    </xf>
    <xf numFmtId="0" fontId="41" fillId="3" borderId="23" xfId="0" applyFont="1" applyFill="1" applyBorder="1" applyAlignment="1">
      <alignment horizontal="center" vertical="center" wrapText="1"/>
    </xf>
    <xf numFmtId="0" fontId="41" fillId="3" borderId="25" xfId="0" applyFont="1" applyFill="1" applyBorder="1" applyAlignment="1">
      <alignment horizontal="center" vertical="center" wrapText="1"/>
    </xf>
    <xf numFmtId="0" fontId="41" fillId="3" borderId="24" xfId="0" applyFont="1" applyFill="1" applyBorder="1" applyAlignment="1">
      <alignment horizontal="center" vertical="center" wrapText="1"/>
    </xf>
    <xf numFmtId="0" fontId="13" fillId="2" borderId="22" xfId="1" applyFont="1" applyFill="1" applyBorder="1" applyAlignment="1">
      <alignment horizontal="center" vertical="center" wrapText="1"/>
    </xf>
    <xf numFmtId="0" fontId="13" fillId="2" borderId="22" xfId="1" applyFont="1" applyFill="1" applyBorder="1" applyAlignment="1">
      <alignment horizontal="center" vertical="center"/>
    </xf>
    <xf numFmtId="0" fontId="26" fillId="3" borderId="0" xfId="5" applyFont="1" applyFill="1" applyAlignment="1">
      <alignment horizontal="center"/>
    </xf>
    <xf numFmtId="170" fontId="31" fillId="3" borderId="0" xfId="5" quotePrefix="1" applyNumberFormat="1" applyFont="1" applyFill="1" applyAlignment="1">
      <alignment horizontal="left" vertical="center"/>
    </xf>
    <xf numFmtId="170" fontId="31" fillId="3" borderId="0" xfId="5" applyNumberFormat="1" applyFont="1" applyFill="1" applyAlignment="1">
      <alignment horizontal="left" vertical="center"/>
    </xf>
    <xf numFmtId="0" fontId="31" fillId="3" borderId="0" xfId="5" applyFont="1" applyFill="1" applyAlignment="1">
      <alignment horizontal="left"/>
    </xf>
    <xf numFmtId="0" fontId="21" fillId="3" borderId="0" xfId="5" applyFont="1" applyFill="1" applyAlignment="1">
      <alignment horizontal="center"/>
    </xf>
    <xf numFmtId="0" fontId="22" fillId="3" borderId="0" xfId="5" applyFont="1" applyFill="1" applyAlignment="1">
      <alignment horizontal="left" vertical="center"/>
    </xf>
    <xf numFmtId="0" fontId="16" fillId="3" borderId="26" xfId="5" quotePrefix="1" applyFont="1" applyFill="1" applyBorder="1" applyAlignment="1">
      <alignment horizontal="center"/>
    </xf>
    <xf numFmtId="0" fontId="16" fillId="3" borderId="0" xfId="5" quotePrefix="1" applyFont="1" applyFill="1" applyAlignment="1">
      <alignment horizontal="center"/>
    </xf>
    <xf numFmtId="172" fontId="16" fillId="3" borderId="0" xfId="5" applyNumberFormat="1" applyFont="1" applyFill="1" applyAlignment="1">
      <alignment horizontal="center"/>
    </xf>
    <xf numFmtId="0" fontId="52" fillId="3" borderId="0" xfId="5" applyFont="1" applyFill="1" applyAlignment="1">
      <alignment horizontal="left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1" fillId="3" borderId="23" xfId="5" applyFont="1" applyFill="1" applyBorder="1" applyAlignment="1">
      <alignment horizontal="left" vertical="center" wrapText="1"/>
    </xf>
    <xf numFmtId="0" fontId="41" fillId="3" borderId="24" xfId="5" applyFont="1" applyFill="1" applyBorder="1" applyAlignment="1">
      <alignment horizontal="left" vertical="center" wrapText="1"/>
    </xf>
    <xf numFmtId="0" fontId="29" fillId="0" borderId="0" xfId="6" applyFont="1" applyAlignment="1">
      <alignment horizontal="center" vertical="center"/>
    </xf>
    <xf numFmtId="0" fontId="32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41" fillId="3" borderId="38" xfId="5" applyFont="1" applyFill="1" applyBorder="1" applyAlignment="1">
      <alignment horizontal="left" vertical="center" wrapText="1"/>
    </xf>
    <xf numFmtId="0" fontId="41" fillId="3" borderId="39" xfId="5" applyFont="1" applyFill="1" applyBorder="1" applyAlignment="1">
      <alignment horizontal="left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800099</xdr:colOff>
          <xdr:row>17</xdr:row>
          <xdr:rowOff>120316</xdr:rowOff>
        </xdr:from>
        <xdr:to>
          <xdr:col>11</xdr:col>
          <xdr:colOff>1628774</xdr:colOff>
          <xdr:row>23</xdr:row>
          <xdr:rowOff>360445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5F0D786C-9841-F230-C3C0-9E1D73580D6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Y$25" spid="_x0000_s120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592178" y="5213684"/>
              <a:ext cx="8438649" cy="2345656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2"/>
  <sheetViews>
    <sheetView showGridLines="0" tabSelected="1" view="pageBreakPreview" zoomScale="95" zoomScaleNormal="95" zoomScaleSheetLayoutView="95" workbookViewId="0">
      <selection activeCell="P14" sqref="P14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4257812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9" ht="49.9" customHeight="1">
      <c r="A1" s="124" t="s">
        <v>121</v>
      </c>
      <c r="B1" s="125"/>
      <c r="C1" s="106"/>
      <c r="D1" s="106"/>
      <c r="E1" s="106"/>
      <c r="F1" s="106"/>
      <c r="G1" s="1"/>
      <c r="J1" s="157" t="s">
        <v>82</v>
      </c>
      <c r="K1" s="158"/>
      <c r="L1" s="159"/>
    </row>
    <row r="2" spans="1:19" ht="20.100000000000001" customHeight="1">
      <c r="A2" s="3" t="s">
        <v>1</v>
      </c>
      <c r="B2" s="97"/>
      <c r="C2" s="97"/>
      <c r="D2" s="3" t="s">
        <v>122</v>
      </c>
      <c r="E2" s="97"/>
      <c r="F2" s="97"/>
      <c r="G2" s="97"/>
      <c r="H2" s="97"/>
      <c r="I2" s="4"/>
      <c r="J2" s="160" t="s">
        <v>94</v>
      </c>
      <c r="K2" s="161"/>
      <c r="L2" s="162"/>
    </row>
    <row r="3" spans="1:19" ht="20.100000000000001" customHeight="1">
      <c r="A3" s="3" t="s">
        <v>115</v>
      </c>
      <c r="B3" s="97"/>
      <c r="C3" s="97"/>
      <c r="D3" s="97"/>
      <c r="E3" s="163">
        <f>+L3+3</f>
        <v>46238</v>
      </c>
      <c r="F3" s="163"/>
      <c r="G3" s="163"/>
      <c r="H3" s="163"/>
      <c r="I3" s="163"/>
      <c r="J3" s="97"/>
      <c r="K3" s="97"/>
      <c r="L3" s="126">
        <v>46235</v>
      </c>
      <c r="M3" s="4"/>
    </row>
    <row r="4" spans="1:19" ht="15.95" customHeight="1">
      <c r="A4" s="164" t="s">
        <v>2</v>
      </c>
      <c r="B4" s="165" t="s">
        <v>3</v>
      </c>
      <c r="C4" s="165"/>
      <c r="D4" s="166" t="s">
        <v>4</v>
      </c>
      <c r="E4" s="167"/>
      <c r="F4" s="168"/>
      <c r="G4" s="172" t="s">
        <v>5</v>
      </c>
      <c r="H4" s="174" t="s">
        <v>6</v>
      </c>
      <c r="I4" s="174" t="s">
        <v>87</v>
      </c>
      <c r="J4" s="164" t="s">
        <v>88</v>
      </c>
      <c r="K4" s="174" t="s">
        <v>0</v>
      </c>
      <c r="L4" s="165" t="s">
        <v>7</v>
      </c>
    </row>
    <row r="5" spans="1:19" ht="15.95" customHeight="1">
      <c r="A5" s="164"/>
      <c r="B5" s="165"/>
      <c r="C5" s="165"/>
      <c r="D5" s="169"/>
      <c r="E5" s="170"/>
      <c r="F5" s="171"/>
      <c r="G5" s="173"/>
      <c r="H5" s="175"/>
      <c r="I5" s="175"/>
      <c r="J5" s="164"/>
      <c r="K5" s="175"/>
      <c r="L5" s="165"/>
    </row>
    <row r="6" spans="1:19" ht="31.5" customHeight="1">
      <c r="A6" s="5">
        <f t="shared" ref="A6:A15" si="0">ROW(A1)</f>
        <v>1</v>
      </c>
      <c r="B6" s="147" t="s">
        <v>117</v>
      </c>
      <c r="C6" s="148"/>
      <c r="D6" s="149" t="s">
        <v>116</v>
      </c>
      <c r="E6" s="150"/>
      <c r="F6" s="151"/>
      <c r="G6" s="107" t="s">
        <v>118</v>
      </c>
      <c r="H6" s="108">
        <v>1</v>
      </c>
      <c r="I6" s="109">
        <v>7000</v>
      </c>
      <c r="J6" s="109">
        <f>H6*I6</f>
        <v>7000</v>
      </c>
      <c r="K6" s="110" t="s">
        <v>90</v>
      </c>
      <c r="L6" s="111" t="s">
        <v>99</v>
      </c>
      <c r="S6" s="102"/>
    </row>
    <row r="7" spans="1:19" ht="22.5" customHeight="1">
      <c r="A7" s="5">
        <f t="shared" si="0"/>
        <v>2</v>
      </c>
      <c r="B7" s="147"/>
      <c r="C7" s="148"/>
      <c r="D7" s="156"/>
      <c r="E7" s="150"/>
      <c r="F7" s="151"/>
      <c r="G7" s="107"/>
      <c r="H7" s="108"/>
      <c r="I7" s="109"/>
      <c r="J7" s="109"/>
      <c r="K7" s="110"/>
      <c r="L7" s="111"/>
      <c r="S7" s="102"/>
    </row>
    <row r="8" spans="1:19" ht="22.5" customHeight="1">
      <c r="A8" s="5">
        <f t="shared" si="0"/>
        <v>3</v>
      </c>
      <c r="B8" s="147"/>
      <c r="C8" s="148"/>
      <c r="D8" s="149"/>
      <c r="E8" s="150"/>
      <c r="F8" s="151"/>
      <c r="G8" s="107"/>
      <c r="H8" s="108"/>
      <c r="I8" s="109"/>
      <c r="J8" s="109"/>
      <c r="K8" s="110"/>
      <c r="L8" s="111"/>
      <c r="S8" s="102"/>
    </row>
    <row r="9" spans="1:19" ht="22.5" customHeight="1">
      <c r="A9" s="5">
        <f t="shared" si="0"/>
        <v>4</v>
      </c>
      <c r="B9" s="147"/>
      <c r="C9" s="148"/>
      <c r="D9" s="149"/>
      <c r="E9" s="150"/>
      <c r="F9" s="151"/>
      <c r="G9" s="107"/>
      <c r="H9" s="108"/>
      <c r="I9" s="109"/>
      <c r="J9" s="109"/>
      <c r="K9" s="110"/>
      <c r="L9" s="111"/>
      <c r="S9" s="102"/>
    </row>
    <row r="10" spans="1:19" ht="22.5" customHeight="1">
      <c r="A10" s="5">
        <f t="shared" si="0"/>
        <v>5</v>
      </c>
      <c r="B10" s="154"/>
      <c r="C10" s="154"/>
      <c r="D10" s="155"/>
      <c r="E10" s="155"/>
      <c r="F10" s="155"/>
      <c r="G10" s="107"/>
      <c r="H10" s="108"/>
      <c r="I10" s="112"/>
      <c r="J10" s="109"/>
      <c r="K10" s="110"/>
      <c r="L10" s="107"/>
      <c r="S10" s="102"/>
    </row>
    <row r="11" spans="1:19" ht="22.5" customHeight="1">
      <c r="A11" s="5">
        <f t="shared" si="0"/>
        <v>6</v>
      </c>
      <c r="B11" s="147"/>
      <c r="C11" s="148"/>
      <c r="D11" s="149"/>
      <c r="E11" s="150"/>
      <c r="F11" s="151"/>
      <c r="G11" s="107"/>
      <c r="H11" s="108"/>
      <c r="I11" s="109"/>
      <c r="J11" s="109"/>
      <c r="K11" s="110"/>
      <c r="L11" s="111"/>
      <c r="S11" s="102"/>
    </row>
    <row r="12" spans="1:19" ht="22.5" customHeight="1">
      <c r="A12" s="5">
        <f t="shared" si="0"/>
        <v>7</v>
      </c>
      <c r="B12" s="154"/>
      <c r="C12" s="154"/>
      <c r="D12" s="155"/>
      <c r="E12" s="155"/>
      <c r="F12" s="155"/>
      <c r="G12" s="107"/>
      <c r="H12" s="108"/>
      <c r="I12" s="112"/>
      <c r="J12" s="109"/>
      <c r="K12" s="110"/>
      <c r="L12" s="107"/>
      <c r="S12" s="102"/>
    </row>
    <row r="13" spans="1:19" ht="22.5" customHeight="1">
      <c r="A13" s="5">
        <f t="shared" si="0"/>
        <v>8</v>
      </c>
      <c r="B13" s="147"/>
      <c r="C13" s="148"/>
      <c r="D13" s="149"/>
      <c r="E13" s="150"/>
      <c r="F13" s="151"/>
      <c r="G13" s="107"/>
      <c r="H13" s="108"/>
      <c r="I13" s="109"/>
      <c r="J13" s="109"/>
      <c r="K13" s="110"/>
      <c r="L13" s="111"/>
      <c r="S13" s="102"/>
    </row>
    <row r="14" spans="1:19" ht="22.5" customHeight="1">
      <c r="A14" s="5">
        <f t="shared" si="0"/>
        <v>9</v>
      </c>
      <c r="B14" s="147"/>
      <c r="C14" s="148"/>
      <c r="D14" s="149"/>
      <c r="E14" s="150"/>
      <c r="F14" s="151"/>
      <c r="G14" s="107"/>
      <c r="H14" s="108"/>
      <c r="I14" s="109"/>
      <c r="J14" s="109"/>
      <c r="K14" s="110"/>
      <c r="L14" s="111"/>
      <c r="S14" s="102"/>
    </row>
    <row r="15" spans="1:19" ht="22.5" customHeight="1">
      <c r="A15" s="5">
        <f t="shared" si="0"/>
        <v>10</v>
      </c>
      <c r="B15" s="147"/>
      <c r="C15" s="148"/>
      <c r="D15" s="149"/>
      <c r="E15" s="150"/>
      <c r="F15" s="151"/>
      <c r="G15" s="107"/>
      <c r="H15" s="108"/>
      <c r="I15" s="109"/>
      <c r="J15" s="109"/>
      <c r="K15" s="110"/>
      <c r="L15" s="111"/>
      <c r="S15" s="102"/>
    </row>
    <row r="16" spans="1:19" ht="22.5" customHeight="1">
      <c r="A16" s="152" t="s">
        <v>8</v>
      </c>
      <c r="B16" s="153"/>
      <c r="C16" s="113"/>
      <c r="D16" s="114"/>
      <c r="E16" s="114"/>
      <c r="F16" s="114"/>
      <c r="G16" s="115"/>
      <c r="H16" s="115"/>
      <c r="I16" s="116" t="s">
        <v>9</v>
      </c>
      <c r="J16" s="109">
        <f>SUM(J6:J15)</f>
        <v>7000</v>
      </c>
      <c r="K16" s="109"/>
      <c r="L16" s="117"/>
    </row>
    <row r="17" spans="1:26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6" ht="18" customHeight="1">
      <c r="A18" s="10"/>
      <c r="J18" s="1"/>
      <c r="K18" s="1"/>
      <c r="O18" s="11"/>
      <c r="P18" s="11"/>
      <c r="Q18" s="11"/>
      <c r="R18" s="11"/>
      <c r="S18" s="11"/>
      <c r="T18" s="11"/>
      <c r="U18" s="11"/>
      <c r="V18" s="11"/>
      <c r="W18" s="11"/>
      <c r="Y18" s="137"/>
      <c r="Z18" s="11"/>
    </row>
    <row r="19" spans="1:26" ht="50.1" customHeight="1">
      <c r="Y19" s="138"/>
    </row>
    <row r="20" spans="1:26" ht="15" customHeight="1">
      <c r="O20" s="133" t="s">
        <v>123</v>
      </c>
      <c r="P20" s="139"/>
      <c r="Q20" s="139"/>
      <c r="R20" s="134"/>
      <c r="S20" s="123"/>
      <c r="T20" s="133" t="s">
        <v>124</v>
      </c>
      <c r="U20" s="139"/>
      <c r="V20" s="139"/>
      <c r="W20" s="139"/>
      <c r="X20" s="139"/>
      <c r="Y20" s="134"/>
    </row>
    <row r="21" spans="1:26" ht="15" customHeight="1">
      <c r="O21" s="140" t="s">
        <v>125</v>
      </c>
      <c r="P21" s="142" t="s">
        <v>126</v>
      </c>
      <c r="Q21" s="140" t="s">
        <v>127</v>
      </c>
      <c r="R21" s="142" t="s">
        <v>128</v>
      </c>
      <c r="S21" s="123"/>
      <c r="T21" s="140" t="s">
        <v>129</v>
      </c>
      <c r="U21" s="142" t="s">
        <v>130</v>
      </c>
      <c r="V21" s="133" t="s">
        <v>131</v>
      </c>
      <c r="W21" s="139"/>
      <c r="X21" s="134"/>
      <c r="Y21" s="142" t="s">
        <v>132</v>
      </c>
    </row>
    <row r="22" spans="1:26" ht="18" customHeight="1">
      <c r="O22" s="141"/>
      <c r="P22" s="143"/>
      <c r="Q22" s="141"/>
      <c r="R22" s="143"/>
      <c r="S22" s="127"/>
      <c r="T22" s="141"/>
      <c r="U22" s="143"/>
      <c r="V22" s="13" t="s">
        <v>125</v>
      </c>
      <c r="W22" s="144" t="s">
        <v>133</v>
      </c>
      <c r="X22" s="145"/>
      <c r="Y22" s="143"/>
    </row>
    <row r="23" spans="1:26" ht="50.1" customHeight="1">
      <c r="O23" s="14"/>
      <c r="P23" s="14"/>
      <c r="Q23" s="14"/>
      <c r="R23" s="14"/>
      <c r="S23" s="123"/>
      <c r="T23" s="14"/>
      <c r="U23" s="14"/>
      <c r="V23" s="14"/>
      <c r="W23" s="133"/>
      <c r="X23" s="134"/>
      <c r="Y23" s="128"/>
    </row>
    <row r="24" spans="1:26" ht="36" customHeight="1">
      <c r="W24" s="129"/>
      <c r="X24" s="135" t="s">
        <v>134</v>
      </c>
      <c r="Y24" s="12" t="s">
        <v>132</v>
      </c>
    </row>
    <row r="25" spans="1:26" ht="50.1" customHeight="1">
      <c r="O25" s="130"/>
      <c r="P25" s="130"/>
      <c r="Q25" s="130"/>
      <c r="R25" s="130"/>
      <c r="S25" s="130"/>
      <c r="T25" s="130"/>
      <c r="U25" s="130"/>
      <c r="V25" s="130"/>
      <c r="W25" s="131"/>
      <c r="X25" s="136"/>
      <c r="Y25" s="132"/>
    </row>
    <row r="26" spans="1:26" ht="19.899999999999999" customHeight="1"/>
    <row r="27" spans="1:26" ht="17.45" customHeight="1">
      <c r="O27" s="146"/>
      <c r="P27" s="146"/>
      <c r="Q27" s="146"/>
    </row>
    <row r="28" spans="1:26" ht="19.899999999999999" customHeight="1">
      <c r="O28" s="146"/>
      <c r="P28" s="146"/>
      <c r="Q28" s="146"/>
    </row>
    <row r="29" spans="1:26" ht="14.25">
      <c r="O29" s="11"/>
      <c r="P29" s="11"/>
      <c r="Q29" s="11"/>
    </row>
    <row r="30" spans="1:26" ht="65.099999999999994" customHeight="1"/>
    <row r="31" spans="1:26" ht="14.25">
      <c r="O31" s="11"/>
      <c r="P31" s="11"/>
      <c r="Q31" s="11"/>
    </row>
    <row r="32" spans="1:26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42" t="s">
        <v>12</v>
      </c>
    </row>
    <row r="41" spans="15:22" ht="19.899999999999999" customHeight="1">
      <c r="T41" s="143"/>
    </row>
    <row r="42" spans="15:22" ht="64.900000000000006" customHeight="1">
      <c r="T42" s="14"/>
    </row>
    <row r="46" spans="15:22" ht="21" customHeight="1">
      <c r="O46" s="142" t="s">
        <v>12</v>
      </c>
      <c r="P46" s="142" t="s">
        <v>12</v>
      </c>
      <c r="Q46" s="142" t="s">
        <v>12</v>
      </c>
      <c r="T46" s="142" t="s">
        <v>13</v>
      </c>
      <c r="U46" s="142" t="s">
        <v>11</v>
      </c>
      <c r="V46" s="142" t="s">
        <v>12</v>
      </c>
    </row>
    <row r="47" spans="15:22" ht="21" customHeight="1">
      <c r="O47" s="143"/>
      <c r="P47" s="143"/>
      <c r="Q47" s="143"/>
      <c r="T47" s="141"/>
      <c r="U47" s="141"/>
      <c r="V47" s="143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42" t="s">
        <v>12</v>
      </c>
      <c r="P50" s="142" t="s">
        <v>12</v>
      </c>
      <c r="Q50" s="142" t="s">
        <v>12</v>
      </c>
      <c r="T50" s="142" t="s">
        <v>11</v>
      </c>
      <c r="U50" s="142" t="s">
        <v>13</v>
      </c>
      <c r="V50" s="142" t="s">
        <v>12</v>
      </c>
    </row>
    <row r="51" spans="15:22" ht="21" customHeight="1">
      <c r="O51" s="143"/>
      <c r="P51" s="143"/>
      <c r="Q51" s="143"/>
      <c r="T51" s="141"/>
      <c r="U51" s="141"/>
      <c r="V51" s="143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63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P21:P22"/>
    <mergeCell ref="Q21:Q22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  <mergeCell ref="W23:X23"/>
    <mergeCell ref="X24:X25"/>
    <mergeCell ref="Y18:Y19"/>
    <mergeCell ref="O20:R20"/>
    <mergeCell ref="T20:Y20"/>
    <mergeCell ref="O21:O22"/>
    <mergeCell ref="R21:R22"/>
    <mergeCell ref="T21:T22"/>
    <mergeCell ref="U21:U22"/>
    <mergeCell ref="V21:X21"/>
    <mergeCell ref="Y21:Y22"/>
    <mergeCell ref="W22:X22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D6" sqref="D6:F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18" t="s">
        <v>89</v>
      </c>
      <c r="B1" s="96"/>
      <c r="C1" s="96"/>
      <c r="D1" s="96"/>
      <c r="E1" s="96"/>
      <c r="F1" s="96"/>
      <c r="G1" s="1"/>
      <c r="J1" s="157" t="str">
        <f>+MRS!J1</f>
        <v>DAESHIN PLANT</v>
      </c>
      <c r="K1" s="159"/>
    </row>
    <row r="2" spans="1:18" ht="24.95" customHeight="1">
      <c r="A2" s="3" t="str">
        <f>+MRS!A2</f>
        <v xml:space="preserve">  PJT :  SACE2           </v>
      </c>
      <c r="B2" s="97"/>
      <c r="C2" s="97"/>
      <c r="D2" s="3" t="str">
        <f>+MRS!D2</f>
        <v>Division (In charge Name) : ADMIN MANAGER (Dong Chang Kim)</v>
      </c>
      <c r="E2" s="97"/>
      <c r="F2" s="97"/>
      <c r="G2" s="16"/>
      <c r="H2" s="16"/>
      <c r="I2" s="16"/>
      <c r="J2" s="160" t="str">
        <f>+MRS!J2</f>
        <v>Subcontract name (SAC2-SC-IK-SMP-01)</v>
      </c>
      <c r="K2" s="162"/>
    </row>
    <row r="3" spans="1:18" ht="24.95" customHeight="1">
      <c r="A3" s="3" t="str">
        <f>+MRS!A3</f>
        <v xml:space="preserve">  MRS No : SAC2-DS-MRS-0383</v>
      </c>
      <c r="B3" s="97"/>
      <c r="C3" s="97"/>
      <c r="D3" s="97"/>
      <c r="E3" s="97"/>
      <c r="F3" s="97"/>
      <c r="G3" s="97"/>
      <c r="H3" s="97"/>
      <c r="I3" s="97"/>
      <c r="J3" s="97"/>
      <c r="K3" s="98">
        <f>+MRS!L3</f>
        <v>46235</v>
      </c>
    </row>
    <row r="4" spans="1:18" ht="15.95" customHeight="1">
      <c r="A4" s="186" t="s">
        <v>2</v>
      </c>
      <c r="B4" s="187" t="s">
        <v>14</v>
      </c>
      <c r="C4" s="187"/>
      <c r="D4" s="186" t="s">
        <v>4</v>
      </c>
      <c r="E4" s="186"/>
      <c r="F4" s="186"/>
      <c r="G4" s="187" t="s">
        <v>5</v>
      </c>
      <c r="H4" s="186" t="s">
        <v>83</v>
      </c>
      <c r="I4" s="186" t="s">
        <v>15</v>
      </c>
      <c r="J4" s="186" t="s">
        <v>16</v>
      </c>
      <c r="K4" s="187" t="s">
        <v>7</v>
      </c>
    </row>
    <row r="5" spans="1:18" ht="15.95" customHeight="1">
      <c r="A5" s="186"/>
      <c r="B5" s="187"/>
      <c r="C5" s="187"/>
      <c r="D5" s="186"/>
      <c r="E5" s="186"/>
      <c r="F5" s="186"/>
      <c r="G5" s="187"/>
      <c r="H5" s="186"/>
      <c r="I5" s="186"/>
      <c r="J5" s="186"/>
      <c r="K5" s="187"/>
    </row>
    <row r="6" spans="1:18" ht="105" customHeight="1">
      <c r="A6" s="17">
        <f>+MRS!A6</f>
        <v>1</v>
      </c>
      <c r="B6" s="181" t="str">
        <f>MRS!B6</f>
        <v>Toyota Hilux</v>
      </c>
      <c r="C6" s="182"/>
      <c r="D6" s="183" t="str">
        <f>MRS!D6</f>
        <v>4x4 pick-up with driver
 model 2023 &amp; 2024</v>
      </c>
      <c r="E6" s="184"/>
      <c r="F6" s="185"/>
      <c r="G6" s="99" t="str">
        <f>MRS!G6</f>
        <v>Month</v>
      </c>
      <c r="H6" s="99">
        <f>MRS!H6</f>
        <v>1</v>
      </c>
      <c r="I6" s="100">
        <f>MRS!I6</f>
        <v>7000</v>
      </c>
      <c r="J6" s="100">
        <f>MRS!J6</f>
        <v>7000</v>
      </c>
      <c r="K6" s="101"/>
      <c r="O6" s="102"/>
      <c r="P6" s="102"/>
      <c r="R6" s="102"/>
    </row>
    <row r="7" spans="1:18" ht="105" customHeight="1">
      <c r="A7" s="17">
        <f>+MRS!A7</f>
        <v>2</v>
      </c>
      <c r="B7" s="181">
        <f>MRS!B7</f>
        <v>0</v>
      </c>
      <c r="C7" s="182"/>
      <c r="D7" s="183">
        <f>MRS!D7</f>
        <v>0</v>
      </c>
      <c r="E7" s="184"/>
      <c r="F7" s="185"/>
      <c r="G7" s="99">
        <f>MRS!G7</f>
        <v>0</v>
      </c>
      <c r="H7" s="99">
        <f>MRS!H7</f>
        <v>0</v>
      </c>
      <c r="I7" s="100">
        <f>MRS!I7</f>
        <v>0</v>
      </c>
      <c r="J7" s="100">
        <f>MRS!J7</f>
        <v>0</v>
      </c>
      <c r="K7" s="101"/>
      <c r="O7" s="102"/>
      <c r="P7" s="102"/>
      <c r="R7" s="102"/>
    </row>
    <row r="8" spans="1:18" ht="105" customHeight="1">
      <c r="A8" s="17">
        <f>+MRS!A8</f>
        <v>3</v>
      </c>
      <c r="B8" s="176"/>
      <c r="C8" s="177"/>
      <c r="D8" s="178"/>
      <c r="E8" s="179"/>
      <c r="F8" s="180"/>
      <c r="G8" s="103"/>
      <c r="H8" s="104"/>
      <c r="I8" s="105"/>
      <c r="J8" s="105"/>
      <c r="K8" s="101"/>
      <c r="O8" s="102"/>
      <c r="P8" s="102"/>
      <c r="R8" s="102"/>
    </row>
    <row r="9" spans="1:18" ht="105" customHeight="1">
      <c r="A9" s="17">
        <f>+MRS!A9</f>
        <v>4</v>
      </c>
      <c r="B9" s="176"/>
      <c r="C9" s="177"/>
      <c r="D9" s="178"/>
      <c r="E9" s="179"/>
      <c r="F9" s="180"/>
      <c r="G9" s="103"/>
      <c r="H9" s="104"/>
      <c r="I9" s="105"/>
      <c r="J9" s="105"/>
      <c r="K9" s="101"/>
      <c r="O9" s="102"/>
      <c r="P9" s="102"/>
      <c r="R9" s="102"/>
    </row>
    <row r="10" spans="1:18" ht="105" customHeight="1">
      <c r="A10" s="17">
        <f>+MRS!A10</f>
        <v>5</v>
      </c>
      <c r="B10" s="176"/>
      <c r="C10" s="177"/>
      <c r="D10" s="178"/>
      <c r="E10" s="179"/>
      <c r="F10" s="180"/>
      <c r="G10" s="103"/>
      <c r="H10" s="104"/>
      <c r="I10" s="105"/>
      <c r="J10" s="105"/>
      <c r="K10" s="101"/>
      <c r="O10" s="102"/>
      <c r="P10" s="102"/>
      <c r="R10" s="102"/>
    </row>
    <row r="11" spans="1:18" ht="105" customHeight="1">
      <c r="A11" s="17">
        <f>+MRS!A11</f>
        <v>6</v>
      </c>
      <c r="B11" s="176"/>
      <c r="C11" s="177"/>
      <c r="D11" s="178"/>
      <c r="E11" s="179"/>
      <c r="F11" s="180"/>
      <c r="G11" s="103"/>
      <c r="H11" s="104"/>
      <c r="I11" s="105"/>
      <c r="J11" s="105"/>
      <c r="K11" s="101"/>
      <c r="O11" s="102"/>
      <c r="P11" s="102"/>
      <c r="R11" s="102"/>
    </row>
    <row r="12" spans="1:18" ht="105" customHeight="1">
      <c r="A12" s="17">
        <f>+MRS!A12</f>
        <v>7</v>
      </c>
      <c r="B12" s="176"/>
      <c r="C12" s="177"/>
      <c r="D12" s="178"/>
      <c r="E12" s="179"/>
      <c r="F12" s="180"/>
      <c r="G12" s="103"/>
      <c r="H12" s="104"/>
      <c r="I12" s="105"/>
      <c r="J12" s="105"/>
      <c r="K12" s="101"/>
      <c r="O12" s="102"/>
      <c r="P12" s="102"/>
      <c r="R12" s="102"/>
    </row>
    <row r="13" spans="1:18" ht="105" customHeight="1">
      <c r="A13" s="17">
        <f>+MRS!A13</f>
        <v>8</v>
      </c>
      <c r="B13" s="176"/>
      <c r="C13" s="177"/>
      <c r="D13" s="178"/>
      <c r="E13" s="179"/>
      <c r="F13" s="180"/>
      <c r="G13" s="103"/>
      <c r="H13" s="104"/>
      <c r="I13" s="105"/>
      <c r="J13" s="105"/>
      <c r="K13" s="101"/>
      <c r="O13" s="102"/>
      <c r="P13" s="102"/>
      <c r="R13" s="102"/>
    </row>
    <row r="14" spans="1:18" ht="105" customHeight="1">
      <c r="A14" s="17">
        <f>+MRS!A14</f>
        <v>9</v>
      </c>
      <c r="B14" s="176"/>
      <c r="C14" s="177"/>
      <c r="D14" s="178"/>
      <c r="E14" s="179"/>
      <c r="F14" s="180"/>
      <c r="G14" s="103"/>
      <c r="H14" s="104"/>
      <c r="I14" s="105"/>
      <c r="J14" s="105"/>
      <c r="K14" s="101"/>
      <c r="O14" s="102"/>
      <c r="P14" s="102"/>
      <c r="R14" s="102"/>
    </row>
    <row r="15" spans="1:18" ht="105" customHeight="1">
      <c r="A15" s="17">
        <f>+MRS!A15</f>
        <v>10</v>
      </c>
      <c r="B15" s="176"/>
      <c r="C15" s="177"/>
      <c r="D15" s="178"/>
      <c r="E15" s="179"/>
      <c r="F15" s="180"/>
      <c r="G15" s="103"/>
      <c r="H15" s="104"/>
      <c r="I15" s="105"/>
      <c r="J15" s="105"/>
      <c r="K15" s="101"/>
      <c r="O15" s="102"/>
      <c r="P15" s="102"/>
      <c r="R15" s="102"/>
    </row>
    <row r="16" spans="1:18" ht="105" customHeight="1">
      <c r="A16" s="17" t="e">
        <f>+MRS!#REF!</f>
        <v>#REF!</v>
      </c>
      <c r="B16" s="176"/>
      <c r="C16" s="177"/>
      <c r="D16" s="178"/>
      <c r="E16" s="179"/>
      <c r="F16" s="180"/>
      <c r="G16" s="103"/>
      <c r="H16" s="104"/>
      <c r="I16" s="105"/>
      <c r="J16" s="105"/>
      <c r="K16" s="101"/>
      <c r="O16" s="102"/>
      <c r="P16" s="102"/>
      <c r="R16" s="102"/>
    </row>
    <row r="17" spans="1:18" ht="105" customHeight="1">
      <c r="A17" s="17" t="e">
        <f>+MRS!#REF!</f>
        <v>#REF!</v>
      </c>
      <c r="B17" s="176"/>
      <c r="C17" s="177"/>
      <c r="D17" s="178"/>
      <c r="E17" s="179"/>
      <c r="F17" s="180"/>
      <c r="G17" s="103"/>
      <c r="H17" s="104"/>
      <c r="I17" s="105"/>
      <c r="J17" s="105"/>
      <c r="K17" s="101"/>
      <c r="O17" s="102"/>
      <c r="P17" s="102"/>
      <c r="R17" s="102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topLeftCell="A35" zoomScale="130" zoomScaleNormal="100" zoomScaleSheetLayoutView="130" workbookViewId="0">
      <selection activeCell="J55" sqref="J55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1.5703125" style="22" bestFit="1" customWidth="1"/>
    <col min="5" max="5" width="2.5703125" style="22" customWidth="1"/>
    <col min="6" max="6" width="11.42578125" style="22" bestFit="1" customWidth="1"/>
    <col min="7" max="10" width="9.140625" style="22"/>
    <col min="11" max="11" width="9.4257812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17</v>
      </c>
    </row>
    <row r="3" spans="2:13" s="18" customFormat="1">
      <c r="M3" s="20" t="s">
        <v>18</v>
      </c>
    </row>
    <row r="4" spans="2:13" s="18" customFormat="1">
      <c r="M4" s="20" t="s">
        <v>19</v>
      </c>
    </row>
    <row r="5" spans="2:13" s="18" customFormat="1">
      <c r="B5" s="21" t="s">
        <v>20</v>
      </c>
      <c r="M5" s="20" t="s">
        <v>21</v>
      </c>
    </row>
    <row r="6" spans="2:13" s="18" customFormat="1">
      <c r="M6" s="20" t="s">
        <v>22</v>
      </c>
    </row>
    <row r="7" spans="2:13">
      <c r="M7" s="23"/>
    </row>
    <row r="8" spans="2:13">
      <c r="M8" s="23"/>
    </row>
    <row r="9" spans="2:13" s="70" customFormat="1" ht="13.5">
      <c r="B9" s="68" t="s">
        <v>23</v>
      </c>
      <c r="C9" s="69" t="s">
        <v>91</v>
      </c>
      <c r="D9" s="35"/>
      <c r="E9" s="35"/>
    </row>
    <row r="10" spans="2:13" s="35" customFormat="1">
      <c r="B10" s="68"/>
      <c r="C10" s="35" t="s">
        <v>24</v>
      </c>
      <c r="D10" s="122">
        <v>2055104339</v>
      </c>
      <c r="J10" s="35" t="s">
        <v>25</v>
      </c>
      <c r="K10" s="189">
        <f>MRS!L3</f>
        <v>46235</v>
      </c>
      <c r="L10" s="190"/>
      <c r="M10" s="190"/>
    </row>
    <row r="11" spans="2:13" s="35" customFormat="1">
      <c r="B11" s="68"/>
      <c r="C11" s="71" t="s">
        <v>26</v>
      </c>
      <c r="D11" s="72" t="s">
        <v>92</v>
      </c>
      <c r="J11" s="35" t="s">
        <v>27</v>
      </c>
      <c r="K11" s="191" t="str">
        <f>SUBSTITUTE(SUBSTITUTE(+MRS!A3,"  MRS No : ",""),"-MRS","-PO")</f>
        <v>SAC2-DS-PO-0383</v>
      </c>
      <c r="L11" s="191"/>
      <c r="M11" s="191"/>
    </row>
    <row r="12" spans="2:13" s="35" customFormat="1">
      <c r="B12" s="68"/>
      <c r="C12" s="71" t="s">
        <v>28</v>
      </c>
      <c r="D12" s="35" t="s">
        <v>95</v>
      </c>
      <c r="J12" s="35" t="s">
        <v>29</v>
      </c>
    </row>
    <row r="13" spans="2:13" s="35" customFormat="1">
      <c r="B13" s="68"/>
      <c r="C13" s="73"/>
      <c r="D13" s="72" t="s">
        <v>96</v>
      </c>
      <c r="J13" s="35" t="s">
        <v>30</v>
      </c>
    </row>
    <row r="14" spans="2:13" s="35" customFormat="1">
      <c r="B14" s="68"/>
      <c r="C14" s="73" t="s">
        <v>97</v>
      </c>
      <c r="J14" s="35" t="s">
        <v>31</v>
      </c>
      <c r="K14" s="35" t="s">
        <v>119</v>
      </c>
    </row>
    <row r="15" spans="2:13" s="35" customFormat="1">
      <c r="B15" s="68"/>
      <c r="C15" s="73" t="s">
        <v>93</v>
      </c>
      <c r="J15" s="35" t="s">
        <v>32</v>
      </c>
      <c r="K15" s="74">
        <v>46233</v>
      </c>
    </row>
    <row r="16" spans="2:13" s="35" customFormat="1">
      <c r="C16" s="73"/>
      <c r="K16" s="74"/>
    </row>
    <row r="17" spans="2:13" ht="6" customHeight="1">
      <c r="C17" s="25"/>
      <c r="K17" s="26"/>
    </row>
    <row r="18" spans="2:13" ht="20.25">
      <c r="B18" s="192" t="s">
        <v>33</v>
      </c>
      <c r="C18" s="192"/>
      <c r="D18" s="192"/>
      <c r="E18" s="192"/>
      <c r="F18" s="192"/>
      <c r="G18" s="192"/>
      <c r="H18" s="192"/>
      <c r="I18" s="192"/>
      <c r="J18" s="192"/>
      <c r="K18" s="192"/>
      <c r="L18" s="192"/>
      <c r="M18" s="192"/>
    </row>
    <row r="19" spans="2:13" ht="12" customHeight="1"/>
    <row r="20" spans="2:13" s="27" customFormat="1" ht="12" customHeight="1">
      <c r="B20" s="193" t="s">
        <v>34</v>
      </c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</row>
    <row r="21" spans="2:13" s="27" customFormat="1" ht="12" customHeight="1">
      <c r="B21" s="193" t="s">
        <v>35</v>
      </c>
      <c r="C21" s="193"/>
      <c r="D21" s="193"/>
      <c r="E21" s="193"/>
      <c r="F21" s="193"/>
      <c r="G21" s="193"/>
      <c r="H21" s="193"/>
      <c r="I21" s="193"/>
      <c r="J21" s="193"/>
      <c r="K21" s="193"/>
      <c r="L21" s="193"/>
      <c r="M21" s="193"/>
    </row>
    <row r="22" spans="2:13" s="27" customFormat="1" ht="12" customHeight="1">
      <c r="B22" s="193" t="s">
        <v>36</v>
      </c>
      <c r="C22" s="193"/>
      <c r="D22" s="193"/>
      <c r="E22" s="193"/>
      <c r="F22" s="193"/>
      <c r="G22" s="193"/>
      <c r="H22" s="193"/>
      <c r="I22" s="193"/>
      <c r="J22" s="193"/>
      <c r="K22" s="193"/>
      <c r="L22" s="193"/>
      <c r="M22" s="193"/>
    </row>
    <row r="23" spans="2:13" ht="6.95" customHeight="1">
      <c r="B23" s="194"/>
      <c r="C23" s="194"/>
      <c r="D23" s="194"/>
      <c r="E23" s="194"/>
      <c r="F23" s="194"/>
      <c r="G23" s="194"/>
      <c r="H23" s="194"/>
      <c r="I23" s="194"/>
      <c r="J23" s="194"/>
      <c r="K23" s="194"/>
      <c r="L23" s="194"/>
      <c r="M23" s="194"/>
    </row>
    <row r="24" spans="2:13" ht="6.95" customHeight="1">
      <c r="B24" s="195"/>
      <c r="C24" s="195"/>
      <c r="D24" s="195"/>
      <c r="E24" s="195"/>
      <c r="F24" s="195"/>
      <c r="G24" s="195"/>
      <c r="H24" s="195"/>
      <c r="I24" s="195"/>
      <c r="J24" s="195"/>
      <c r="K24" s="195"/>
      <c r="L24" s="195"/>
      <c r="M24" s="195"/>
    </row>
    <row r="25" spans="2:13" s="28" customFormat="1" ht="15" customHeight="1">
      <c r="B25" s="28">
        <v>1</v>
      </c>
      <c r="C25" s="28" t="s">
        <v>37</v>
      </c>
    </row>
    <row r="26" spans="2:13" s="35" customFormat="1" ht="12" customHeight="1">
      <c r="B26" s="69"/>
      <c r="C26" s="72" t="str">
        <f>MRS!B6</f>
        <v>Toyota Hilux</v>
      </c>
      <c r="M26" s="75" t="s">
        <v>38</v>
      </c>
    </row>
    <row r="27" spans="2:13" ht="11.1" customHeight="1">
      <c r="B27" s="28"/>
      <c r="C27" s="22" t="str">
        <f>MRS!D6</f>
        <v>4x4 pick-up with driver
 model 2023 &amp; 2024</v>
      </c>
    </row>
    <row r="28" spans="2:13" ht="15" customHeight="1">
      <c r="B28" s="28">
        <v>2</v>
      </c>
      <c r="C28" s="28" t="s">
        <v>39</v>
      </c>
    </row>
    <row r="29" spans="2:13" ht="12" customHeight="1">
      <c r="B29" s="28"/>
      <c r="C29" s="22" t="s">
        <v>40</v>
      </c>
      <c r="E29" s="22" t="s">
        <v>41</v>
      </c>
      <c r="F29" s="196" t="s">
        <v>100</v>
      </c>
      <c r="G29" s="196"/>
      <c r="H29" s="29"/>
      <c r="M29" s="30"/>
    </row>
    <row r="30" spans="2:13" ht="12" customHeight="1">
      <c r="B30" s="28"/>
      <c r="C30" s="22" t="s">
        <v>42</v>
      </c>
      <c r="E30" s="22" t="s">
        <v>41</v>
      </c>
      <c r="F30" s="196"/>
      <c r="G30" s="196"/>
    </row>
    <row r="31" spans="2:13" ht="12" customHeight="1">
      <c r="B31" s="28"/>
      <c r="C31" s="22" t="s">
        <v>43</v>
      </c>
      <c r="D31" s="31"/>
      <c r="E31" s="22" t="s">
        <v>41</v>
      </c>
      <c r="F31" s="196"/>
      <c r="G31" s="196"/>
      <c r="H31" s="29"/>
    </row>
    <row r="32" spans="2:13" ht="11.1" customHeight="1">
      <c r="B32" s="28"/>
    </row>
    <row r="33" spans="2:13" ht="15" customHeight="1">
      <c r="B33" s="28">
        <v>3</v>
      </c>
      <c r="C33" s="28" t="s">
        <v>44</v>
      </c>
    </row>
    <row r="34" spans="2:13" ht="12" customHeight="1">
      <c r="B34" s="28"/>
      <c r="C34" s="18" t="s">
        <v>45</v>
      </c>
    </row>
    <row r="35" spans="2:13" ht="12" customHeight="1">
      <c r="B35" s="28"/>
      <c r="C35" s="18" t="s">
        <v>46</v>
      </c>
    </row>
    <row r="36" spans="2:13" ht="12" customHeight="1">
      <c r="B36" s="28"/>
      <c r="C36" s="18" t="s">
        <v>47</v>
      </c>
    </row>
    <row r="37" spans="2:13" ht="6" customHeight="1">
      <c r="B37" s="28"/>
    </row>
    <row r="38" spans="2:13" ht="15" customHeight="1">
      <c r="B38" s="28">
        <v>4</v>
      </c>
      <c r="C38" s="28" t="s">
        <v>48</v>
      </c>
    </row>
    <row r="39" spans="2:13" ht="12" customHeight="1">
      <c r="B39" s="28"/>
      <c r="C39" s="22" t="s">
        <v>49</v>
      </c>
    </row>
    <row r="40" spans="2:13" ht="6" customHeight="1">
      <c r="B40" s="28"/>
    </row>
    <row r="41" spans="2:13" ht="15" customHeight="1">
      <c r="B41" s="28">
        <v>5</v>
      </c>
      <c r="C41" s="28" t="s">
        <v>50</v>
      </c>
    </row>
    <row r="42" spans="2:13" ht="12" customHeight="1">
      <c r="B42" s="28"/>
      <c r="C42" s="32" t="s">
        <v>51</v>
      </c>
      <c r="D42" s="33"/>
      <c r="E42" s="34"/>
      <c r="F42" s="34"/>
      <c r="G42" s="34"/>
      <c r="H42" s="34"/>
      <c r="I42" s="34"/>
      <c r="J42" s="34"/>
      <c r="K42" s="34"/>
      <c r="L42" s="34"/>
      <c r="M42" s="34"/>
    </row>
    <row r="43" spans="2:13" ht="12" customHeight="1">
      <c r="B43" s="28"/>
      <c r="C43" s="32" t="s">
        <v>52</v>
      </c>
      <c r="D43" s="33"/>
      <c r="E43" s="34"/>
      <c r="F43" s="34"/>
      <c r="G43" s="34"/>
      <c r="H43" s="34"/>
      <c r="I43" s="34"/>
      <c r="J43" s="34"/>
      <c r="K43" s="34"/>
      <c r="L43" s="34"/>
      <c r="M43" s="34"/>
    </row>
    <row r="44" spans="2:13" ht="12" customHeight="1">
      <c r="B44" s="28"/>
      <c r="C44" s="32" t="s">
        <v>53</v>
      </c>
      <c r="D44" s="33"/>
      <c r="E44" s="34"/>
      <c r="F44" s="34"/>
      <c r="G44" s="34"/>
      <c r="H44" s="34"/>
      <c r="I44" s="34"/>
      <c r="J44" s="34"/>
      <c r="K44" s="34"/>
      <c r="L44" s="34"/>
      <c r="M44" s="34"/>
    </row>
    <row r="45" spans="2:13" ht="12" customHeight="1">
      <c r="B45" s="28"/>
      <c r="C45" s="32" t="s">
        <v>54</v>
      </c>
      <c r="D45" s="33"/>
      <c r="E45" s="34"/>
      <c r="F45" s="34"/>
      <c r="G45" s="34"/>
      <c r="H45" s="34"/>
      <c r="I45" s="34"/>
      <c r="J45" s="34"/>
      <c r="K45" s="34"/>
      <c r="L45" s="34"/>
      <c r="M45" s="34"/>
    </row>
    <row r="46" spans="2:13" ht="12" customHeight="1">
      <c r="B46" s="28"/>
      <c r="C46" s="35" t="s">
        <v>55</v>
      </c>
      <c r="D46" s="36"/>
      <c r="E46" s="37"/>
      <c r="F46" s="37"/>
      <c r="G46" s="37"/>
      <c r="H46" s="37"/>
      <c r="I46" s="37"/>
      <c r="J46" s="37"/>
      <c r="K46" s="37"/>
      <c r="L46" s="37"/>
      <c r="M46" s="37"/>
    </row>
    <row r="47" spans="2:13" ht="6" customHeight="1">
      <c r="B47" s="28"/>
    </row>
    <row r="48" spans="2:13" ht="15" customHeight="1">
      <c r="B48" s="28">
        <v>6</v>
      </c>
      <c r="C48" s="28" t="s">
        <v>56</v>
      </c>
    </row>
    <row r="49" spans="2:16" s="35" customFormat="1" ht="12" customHeight="1">
      <c r="B49" s="76" t="s">
        <v>57</v>
      </c>
      <c r="C49" s="77" t="s">
        <v>85</v>
      </c>
      <c r="P49" s="78"/>
    </row>
    <row r="50" spans="2:16" s="79" customFormat="1" ht="12" customHeight="1">
      <c r="B50" s="80" t="s">
        <v>57</v>
      </c>
      <c r="C50" s="77" t="s">
        <v>86</v>
      </c>
    </row>
    <row r="51" spans="2:16" s="79" customFormat="1" ht="12" customHeight="1">
      <c r="B51" s="80" t="s">
        <v>57</v>
      </c>
      <c r="C51" s="77" t="s">
        <v>84</v>
      </c>
    </row>
    <row r="52" spans="2:16" s="79" customFormat="1" ht="4.5" customHeight="1">
      <c r="B52" s="80"/>
      <c r="C52" s="77"/>
    </row>
    <row r="53" spans="2:16" ht="15" customHeight="1">
      <c r="B53" s="38">
        <v>7</v>
      </c>
      <c r="C53" s="28" t="s">
        <v>102</v>
      </c>
    </row>
    <row r="54" spans="2:16" ht="12" customHeight="1">
      <c r="B54" s="80" t="s">
        <v>57</v>
      </c>
      <c r="C54" s="119" t="s">
        <v>103</v>
      </c>
      <c r="F54" s="22" t="s">
        <v>120</v>
      </c>
      <c r="P54" s="22" t="str">
        <f>UPPER(F54)</f>
        <v>DESERT SOLUTION GENERAL CONTRACTING EST</v>
      </c>
    </row>
    <row r="55" spans="2:16" ht="12" customHeight="1">
      <c r="B55" s="80" t="s">
        <v>57</v>
      </c>
      <c r="C55" s="119" t="s">
        <v>104</v>
      </c>
      <c r="F55" s="120" t="s">
        <v>113</v>
      </c>
    </row>
    <row r="56" spans="2:16" ht="12" customHeight="1">
      <c r="B56" s="80" t="s">
        <v>57</v>
      </c>
      <c r="C56" s="119" t="s">
        <v>105</v>
      </c>
      <c r="F56" s="22" t="s">
        <v>114</v>
      </c>
    </row>
    <row r="57" spans="2:16" ht="12" customHeight="1">
      <c r="B57" s="80" t="s">
        <v>57</v>
      </c>
      <c r="C57" s="119" t="s">
        <v>106</v>
      </c>
      <c r="F57" s="22" t="s">
        <v>107</v>
      </c>
    </row>
    <row r="58" spans="2:16" ht="12" customHeight="1">
      <c r="B58" s="80" t="s">
        <v>57</v>
      </c>
      <c r="C58" s="119" t="s">
        <v>108</v>
      </c>
      <c r="F58" s="22" t="s">
        <v>109</v>
      </c>
    </row>
    <row r="59" spans="2:16" ht="12" customHeight="1">
      <c r="B59" s="80" t="s">
        <v>57</v>
      </c>
      <c r="C59" s="119" t="s">
        <v>110</v>
      </c>
      <c r="F59" s="22" t="s">
        <v>111</v>
      </c>
    </row>
    <row r="60" spans="2:16" ht="12" customHeight="1">
      <c r="B60" s="80"/>
      <c r="C60" s="121" t="s">
        <v>112</v>
      </c>
    </row>
    <row r="61" spans="2:16" ht="3" customHeight="1">
      <c r="B61" s="39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</row>
    <row r="62" spans="2:16" ht="3" customHeight="1">
      <c r="B62" s="28"/>
    </row>
    <row r="63" spans="2:16" ht="11.1" customHeight="1">
      <c r="B63" s="38"/>
    </row>
    <row r="64" spans="2:16">
      <c r="B64" s="28" t="s">
        <v>58</v>
      </c>
      <c r="J64" s="28" t="s">
        <v>59</v>
      </c>
    </row>
    <row r="65" spans="1:13" ht="50.1" customHeight="1"/>
    <row r="66" spans="1:13" ht="18" customHeight="1">
      <c r="B66" s="22" t="s">
        <v>60</v>
      </c>
      <c r="J66" s="22" t="s">
        <v>60</v>
      </c>
    </row>
    <row r="67" spans="1:13" ht="18" customHeight="1">
      <c r="B67" s="22" t="s">
        <v>61</v>
      </c>
      <c r="J67" s="22" t="s">
        <v>62</v>
      </c>
      <c r="K67" s="18" t="str">
        <f>D12</f>
        <v>Mohammed Irshad</v>
      </c>
    </row>
    <row r="68" spans="1:13" ht="18" customHeight="1">
      <c r="B68" s="22" t="s">
        <v>63</v>
      </c>
      <c r="J68" s="22" t="s">
        <v>64</v>
      </c>
      <c r="K68" s="18" t="s">
        <v>98</v>
      </c>
    </row>
    <row r="69" spans="1:13" ht="15" customHeight="1">
      <c r="B69" s="22" t="s">
        <v>65</v>
      </c>
      <c r="J69" s="22" t="s">
        <v>66</v>
      </c>
    </row>
    <row r="70" spans="1:13" s="24" customFormat="1" ht="24.75" customHeight="1">
      <c r="B70" s="21" t="s">
        <v>101</v>
      </c>
      <c r="J70" s="197" t="str">
        <f>C9</f>
        <v>DSGC(Desert Solution General Contracting Company LLC)</v>
      </c>
      <c r="K70" s="197"/>
      <c r="L70" s="197"/>
      <c r="M70" s="197"/>
    </row>
    <row r="71" spans="1:13" ht="27.95" customHeight="1">
      <c r="A71" s="188" t="s">
        <v>67</v>
      </c>
      <c r="B71" s="188"/>
      <c r="C71" s="188"/>
      <c r="D71" s="188"/>
      <c r="E71" s="188"/>
      <c r="F71" s="188"/>
      <c r="G71" s="188"/>
      <c r="H71" s="188"/>
      <c r="I71" s="188"/>
      <c r="J71" s="188"/>
      <c r="K71" s="188"/>
      <c r="L71" s="188"/>
      <c r="M71" s="188"/>
    </row>
    <row r="78" spans="1:13">
      <c r="B78" s="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</sheetData>
  <mergeCells count="13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0:M7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89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M13" sqref="M13"/>
    </sheetView>
  </sheetViews>
  <sheetFormatPr defaultColWidth="9" defaultRowHeight="12.75"/>
  <cols>
    <col min="1" max="1" width="8.5703125" style="41" customWidth="1"/>
    <col min="2" max="2" width="25.5703125" style="42" customWidth="1"/>
    <col min="3" max="3" width="23.5703125" style="42" customWidth="1"/>
    <col min="4" max="4" width="8.5703125" style="41" customWidth="1"/>
    <col min="5" max="5" width="13.5703125" style="41" customWidth="1"/>
    <col min="6" max="6" width="15.5703125" style="41" customWidth="1"/>
    <col min="7" max="8" width="17.140625" style="41" customWidth="1"/>
    <col min="9" max="9" width="0.85546875" style="41" customWidth="1"/>
    <col min="10" max="251" width="9" style="41"/>
    <col min="252" max="252" width="8.7109375" style="41" customWidth="1"/>
    <col min="253" max="253" width="45.140625" style="41" customWidth="1"/>
    <col min="254" max="254" width="13.28515625" style="41" customWidth="1"/>
    <col min="255" max="255" width="9.42578125" style="41" customWidth="1"/>
    <col min="256" max="256" width="6.42578125" style="41" customWidth="1"/>
    <col min="257" max="257" width="11.5703125" style="41" customWidth="1"/>
    <col min="258" max="258" width="12.85546875" style="41" bestFit="1" customWidth="1"/>
    <col min="259" max="259" width="25.5703125" style="41" customWidth="1"/>
    <col min="260" max="507" width="9" style="41"/>
    <col min="508" max="508" width="8.7109375" style="41" customWidth="1"/>
    <col min="509" max="509" width="45.140625" style="41" customWidth="1"/>
    <col min="510" max="510" width="13.28515625" style="41" customWidth="1"/>
    <col min="511" max="511" width="9.42578125" style="41" customWidth="1"/>
    <col min="512" max="512" width="6.42578125" style="41" customWidth="1"/>
    <col min="513" max="513" width="11.5703125" style="41" customWidth="1"/>
    <col min="514" max="514" width="12.85546875" style="41" bestFit="1" customWidth="1"/>
    <col min="515" max="515" width="25.5703125" style="41" customWidth="1"/>
    <col min="516" max="763" width="9" style="41"/>
    <col min="764" max="764" width="8.7109375" style="41" customWidth="1"/>
    <col min="765" max="765" width="45.140625" style="41" customWidth="1"/>
    <col min="766" max="766" width="13.28515625" style="41" customWidth="1"/>
    <col min="767" max="767" width="9.42578125" style="41" customWidth="1"/>
    <col min="768" max="768" width="6.42578125" style="41" customWidth="1"/>
    <col min="769" max="769" width="11.5703125" style="41" customWidth="1"/>
    <col min="770" max="770" width="12.85546875" style="41" bestFit="1" customWidth="1"/>
    <col min="771" max="771" width="25.5703125" style="41" customWidth="1"/>
    <col min="772" max="1019" width="9" style="41"/>
    <col min="1020" max="1020" width="8.7109375" style="41" customWidth="1"/>
    <col min="1021" max="1021" width="45.140625" style="41" customWidth="1"/>
    <col min="1022" max="1022" width="13.28515625" style="41" customWidth="1"/>
    <col min="1023" max="1023" width="9.42578125" style="41" customWidth="1"/>
    <col min="1024" max="1024" width="6.42578125" style="41" customWidth="1"/>
    <col min="1025" max="1025" width="11.5703125" style="41" customWidth="1"/>
    <col min="1026" max="1026" width="12.85546875" style="41" bestFit="1" customWidth="1"/>
    <col min="1027" max="1027" width="25.5703125" style="41" customWidth="1"/>
    <col min="1028" max="1275" width="9" style="41"/>
    <col min="1276" max="1276" width="8.7109375" style="41" customWidth="1"/>
    <col min="1277" max="1277" width="45.140625" style="41" customWidth="1"/>
    <col min="1278" max="1278" width="13.28515625" style="41" customWidth="1"/>
    <col min="1279" max="1279" width="9.42578125" style="41" customWidth="1"/>
    <col min="1280" max="1280" width="6.42578125" style="41" customWidth="1"/>
    <col min="1281" max="1281" width="11.5703125" style="41" customWidth="1"/>
    <col min="1282" max="1282" width="12.85546875" style="41" bestFit="1" customWidth="1"/>
    <col min="1283" max="1283" width="25.5703125" style="41" customWidth="1"/>
    <col min="1284" max="1531" width="9" style="41"/>
    <col min="1532" max="1532" width="8.7109375" style="41" customWidth="1"/>
    <col min="1533" max="1533" width="45.140625" style="41" customWidth="1"/>
    <col min="1534" max="1534" width="13.28515625" style="41" customWidth="1"/>
    <col min="1535" max="1535" width="9.42578125" style="41" customWidth="1"/>
    <col min="1536" max="1536" width="6.42578125" style="41" customWidth="1"/>
    <col min="1537" max="1537" width="11.5703125" style="41" customWidth="1"/>
    <col min="1538" max="1538" width="12.85546875" style="41" bestFit="1" customWidth="1"/>
    <col min="1539" max="1539" width="25.5703125" style="41" customWidth="1"/>
    <col min="1540" max="1787" width="9" style="41"/>
    <col min="1788" max="1788" width="8.7109375" style="41" customWidth="1"/>
    <col min="1789" max="1789" width="45.140625" style="41" customWidth="1"/>
    <col min="1790" max="1790" width="13.28515625" style="41" customWidth="1"/>
    <col min="1791" max="1791" width="9.42578125" style="41" customWidth="1"/>
    <col min="1792" max="1792" width="6.42578125" style="41" customWidth="1"/>
    <col min="1793" max="1793" width="11.5703125" style="41" customWidth="1"/>
    <col min="1794" max="1794" width="12.85546875" style="41" bestFit="1" customWidth="1"/>
    <col min="1795" max="1795" width="25.5703125" style="41" customWidth="1"/>
    <col min="1796" max="2043" width="9" style="41"/>
    <col min="2044" max="2044" width="8.7109375" style="41" customWidth="1"/>
    <col min="2045" max="2045" width="45.140625" style="41" customWidth="1"/>
    <col min="2046" max="2046" width="13.28515625" style="41" customWidth="1"/>
    <col min="2047" max="2047" width="9.42578125" style="41" customWidth="1"/>
    <col min="2048" max="2048" width="6.42578125" style="41" customWidth="1"/>
    <col min="2049" max="2049" width="11.5703125" style="41" customWidth="1"/>
    <col min="2050" max="2050" width="12.85546875" style="41" bestFit="1" customWidth="1"/>
    <col min="2051" max="2051" width="25.5703125" style="41" customWidth="1"/>
    <col min="2052" max="2299" width="9" style="41"/>
    <col min="2300" max="2300" width="8.7109375" style="41" customWidth="1"/>
    <col min="2301" max="2301" width="45.140625" style="41" customWidth="1"/>
    <col min="2302" max="2302" width="13.28515625" style="41" customWidth="1"/>
    <col min="2303" max="2303" width="9.42578125" style="41" customWidth="1"/>
    <col min="2304" max="2304" width="6.42578125" style="41" customWidth="1"/>
    <col min="2305" max="2305" width="11.5703125" style="41" customWidth="1"/>
    <col min="2306" max="2306" width="12.85546875" style="41" bestFit="1" customWidth="1"/>
    <col min="2307" max="2307" width="25.5703125" style="41" customWidth="1"/>
    <col min="2308" max="2555" width="9" style="41"/>
    <col min="2556" max="2556" width="8.7109375" style="41" customWidth="1"/>
    <col min="2557" max="2557" width="45.140625" style="41" customWidth="1"/>
    <col min="2558" max="2558" width="13.28515625" style="41" customWidth="1"/>
    <col min="2559" max="2559" width="9.42578125" style="41" customWidth="1"/>
    <col min="2560" max="2560" width="6.42578125" style="41" customWidth="1"/>
    <col min="2561" max="2561" width="11.5703125" style="41" customWidth="1"/>
    <col min="2562" max="2562" width="12.85546875" style="41" bestFit="1" customWidth="1"/>
    <col min="2563" max="2563" width="25.5703125" style="41" customWidth="1"/>
    <col min="2564" max="2811" width="9" style="41"/>
    <col min="2812" max="2812" width="8.7109375" style="41" customWidth="1"/>
    <col min="2813" max="2813" width="45.140625" style="41" customWidth="1"/>
    <col min="2814" max="2814" width="13.28515625" style="41" customWidth="1"/>
    <col min="2815" max="2815" width="9.42578125" style="41" customWidth="1"/>
    <col min="2816" max="2816" width="6.42578125" style="41" customWidth="1"/>
    <col min="2817" max="2817" width="11.5703125" style="41" customWidth="1"/>
    <col min="2818" max="2818" width="12.85546875" style="41" bestFit="1" customWidth="1"/>
    <col min="2819" max="2819" width="25.5703125" style="41" customWidth="1"/>
    <col min="2820" max="3067" width="9" style="41"/>
    <col min="3068" max="3068" width="8.7109375" style="41" customWidth="1"/>
    <col min="3069" max="3069" width="45.140625" style="41" customWidth="1"/>
    <col min="3070" max="3070" width="13.28515625" style="41" customWidth="1"/>
    <col min="3071" max="3071" width="9.42578125" style="41" customWidth="1"/>
    <col min="3072" max="3072" width="6.42578125" style="41" customWidth="1"/>
    <col min="3073" max="3073" width="11.5703125" style="41" customWidth="1"/>
    <col min="3074" max="3074" width="12.85546875" style="41" bestFit="1" customWidth="1"/>
    <col min="3075" max="3075" width="25.5703125" style="41" customWidth="1"/>
    <col min="3076" max="3323" width="9" style="41"/>
    <col min="3324" max="3324" width="8.7109375" style="41" customWidth="1"/>
    <col min="3325" max="3325" width="45.140625" style="41" customWidth="1"/>
    <col min="3326" max="3326" width="13.28515625" style="41" customWidth="1"/>
    <col min="3327" max="3327" width="9.42578125" style="41" customWidth="1"/>
    <col min="3328" max="3328" width="6.42578125" style="41" customWidth="1"/>
    <col min="3329" max="3329" width="11.5703125" style="41" customWidth="1"/>
    <col min="3330" max="3330" width="12.85546875" style="41" bestFit="1" customWidth="1"/>
    <col min="3331" max="3331" width="25.5703125" style="41" customWidth="1"/>
    <col min="3332" max="3579" width="9" style="41"/>
    <col min="3580" max="3580" width="8.7109375" style="41" customWidth="1"/>
    <col min="3581" max="3581" width="45.140625" style="41" customWidth="1"/>
    <col min="3582" max="3582" width="13.28515625" style="41" customWidth="1"/>
    <col min="3583" max="3583" width="9.42578125" style="41" customWidth="1"/>
    <col min="3584" max="3584" width="6.42578125" style="41" customWidth="1"/>
    <col min="3585" max="3585" width="11.5703125" style="41" customWidth="1"/>
    <col min="3586" max="3586" width="12.85546875" style="41" bestFit="1" customWidth="1"/>
    <col min="3587" max="3587" width="25.5703125" style="41" customWidth="1"/>
    <col min="3588" max="3835" width="9" style="41"/>
    <col min="3836" max="3836" width="8.7109375" style="41" customWidth="1"/>
    <col min="3837" max="3837" width="45.140625" style="41" customWidth="1"/>
    <col min="3838" max="3838" width="13.28515625" style="41" customWidth="1"/>
    <col min="3839" max="3839" width="9.42578125" style="41" customWidth="1"/>
    <col min="3840" max="3840" width="6.42578125" style="41" customWidth="1"/>
    <col min="3841" max="3841" width="11.5703125" style="41" customWidth="1"/>
    <col min="3842" max="3842" width="12.85546875" style="41" bestFit="1" customWidth="1"/>
    <col min="3843" max="3843" width="25.5703125" style="41" customWidth="1"/>
    <col min="3844" max="4091" width="9" style="41"/>
    <col min="4092" max="4092" width="8.7109375" style="41" customWidth="1"/>
    <col min="4093" max="4093" width="45.140625" style="41" customWidth="1"/>
    <col min="4094" max="4094" width="13.28515625" style="41" customWidth="1"/>
    <col min="4095" max="4095" width="9.42578125" style="41" customWidth="1"/>
    <col min="4096" max="4096" width="6.42578125" style="41" customWidth="1"/>
    <col min="4097" max="4097" width="11.5703125" style="41" customWidth="1"/>
    <col min="4098" max="4098" width="12.85546875" style="41" bestFit="1" customWidth="1"/>
    <col min="4099" max="4099" width="25.5703125" style="41" customWidth="1"/>
    <col min="4100" max="4347" width="9" style="41"/>
    <col min="4348" max="4348" width="8.7109375" style="41" customWidth="1"/>
    <col min="4349" max="4349" width="45.140625" style="41" customWidth="1"/>
    <col min="4350" max="4350" width="13.28515625" style="41" customWidth="1"/>
    <col min="4351" max="4351" width="9.42578125" style="41" customWidth="1"/>
    <col min="4352" max="4352" width="6.42578125" style="41" customWidth="1"/>
    <col min="4353" max="4353" width="11.5703125" style="41" customWidth="1"/>
    <col min="4354" max="4354" width="12.85546875" style="41" bestFit="1" customWidth="1"/>
    <col min="4355" max="4355" width="25.5703125" style="41" customWidth="1"/>
    <col min="4356" max="4603" width="9" style="41"/>
    <col min="4604" max="4604" width="8.7109375" style="41" customWidth="1"/>
    <col min="4605" max="4605" width="45.140625" style="41" customWidth="1"/>
    <col min="4606" max="4606" width="13.28515625" style="41" customWidth="1"/>
    <col min="4607" max="4607" width="9.42578125" style="41" customWidth="1"/>
    <col min="4608" max="4608" width="6.42578125" style="41" customWidth="1"/>
    <col min="4609" max="4609" width="11.5703125" style="41" customWidth="1"/>
    <col min="4610" max="4610" width="12.85546875" style="41" bestFit="1" customWidth="1"/>
    <col min="4611" max="4611" width="25.5703125" style="41" customWidth="1"/>
    <col min="4612" max="4859" width="9" style="41"/>
    <col min="4860" max="4860" width="8.7109375" style="41" customWidth="1"/>
    <col min="4861" max="4861" width="45.140625" style="41" customWidth="1"/>
    <col min="4862" max="4862" width="13.28515625" style="41" customWidth="1"/>
    <col min="4863" max="4863" width="9.42578125" style="41" customWidth="1"/>
    <col min="4864" max="4864" width="6.42578125" style="41" customWidth="1"/>
    <col min="4865" max="4865" width="11.5703125" style="41" customWidth="1"/>
    <col min="4866" max="4866" width="12.85546875" style="41" bestFit="1" customWidth="1"/>
    <col min="4867" max="4867" width="25.5703125" style="41" customWidth="1"/>
    <col min="4868" max="5115" width="9" style="41"/>
    <col min="5116" max="5116" width="8.7109375" style="41" customWidth="1"/>
    <col min="5117" max="5117" width="45.140625" style="41" customWidth="1"/>
    <col min="5118" max="5118" width="13.28515625" style="41" customWidth="1"/>
    <col min="5119" max="5119" width="9.42578125" style="41" customWidth="1"/>
    <col min="5120" max="5120" width="6.42578125" style="41" customWidth="1"/>
    <col min="5121" max="5121" width="11.5703125" style="41" customWidth="1"/>
    <col min="5122" max="5122" width="12.85546875" style="41" bestFit="1" customWidth="1"/>
    <col min="5123" max="5123" width="25.5703125" style="41" customWidth="1"/>
    <col min="5124" max="5371" width="9" style="41"/>
    <col min="5372" max="5372" width="8.7109375" style="41" customWidth="1"/>
    <col min="5373" max="5373" width="45.140625" style="41" customWidth="1"/>
    <col min="5374" max="5374" width="13.28515625" style="41" customWidth="1"/>
    <col min="5375" max="5375" width="9.42578125" style="41" customWidth="1"/>
    <col min="5376" max="5376" width="6.42578125" style="41" customWidth="1"/>
    <col min="5377" max="5377" width="11.5703125" style="41" customWidth="1"/>
    <col min="5378" max="5378" width="12.85546875" style="41" bestFit="1" customWidth="1"/>
    <col min="5379" max="5379" width="25.5703125" style="41" customWidth="1"/>
    <col min="5380" max="5627" width="9" style="41"/>
    <col min="5628" max="5628" width="8.7109375" style="41" customWidth="1"/>
    <col min="5629" max="5629" width="45.140625" style="41" customWidth="1"/>
    <col min="5630" max="5630" width="13.28515625" style="41" customWidth="1"/>
    <col min="5631" max="5631" width="9.42578125" style="41" customWidth="1"/>
    <col min="5632" max="5632" width="6.42578125" style="41" customWidth="1"/>
    <col min="5633" max="5633" width="11.5703125" style="41" customWidth="1"/>
    <col min="5634" max="5634" width="12.85546875" style="41" bestFit="1" customWidth="1"/>
    <col min="5635" max="5635" width="25.5703125" style="41" customWidth="1"/>
    <col min="5636" max="5883" width="9" style="41"/>
    <col min="5884" max="5884" width="8.7109375" style="41" customWidth="1"/>
    <col min="5885" max="5885" width="45.140625" style="41" customWidth="1"/>
    <col min="5886" max="5886" width="13.28515625" style="41" customWidth="1"/>
    <col min="5887" max="5887" width="9.42578125" style="41" customWidth="1"/>
    <col min="5888" max="5888" width="6.42578125" style="41" customWidth="1"/>
    <col min="5889" max="5889" width="11.5703125" style="41" customWidth="1"/>
    <col min="5890" max="5890" width="12.85546875" style="41" bestFit="1" customWidth="1"/>
    <col min="5891" max="5891" width="25.5703125" style="41" customWidth="1"/>
    <col min="5892" max="6139" width="9" style="41"/>
    <col min="6140" max="6140" width="8.7109375" style="41" customWidth="1"/>
    <col min="6141" max="6141" width="45.140625" style="41" customWidth="1"/>
    <col min="6142" max="6142" width="13.28515625" style="41" customWidth="1"/>
    <col min="6143" max="6143" width="9.42578125" style="41" customWidth="1"/>
    <col min="6144" max="6144" width="6.42578125" style="41" customWidth="1"/>
    <col min="6145" max="6145" width="11.5703125" style="41" customWidth="1"/>
    <col min="6146" max="6146" width="12.85546875" style="41" bestFit="1" customWidth="1"/>
    <col min="6147" max="6147" width="25.5703125" style="41" customWidth="1"/>
    <col min="6148" max="6395" width="9" style="41"/>
    <col min="6396" max="6396" width="8.7109375" style="41" customWidth="1"/>
    <col min="6397" max="6397" width="45.140625" style="41" customWidth="1"/>
    <col min="6398" max="6398" width="13.28515625" style="41" customWidth="1"/>
    <col min="6399" max="6399" width="9.42578125" style="41" customWidth="1"/>
    <col min="6400" max="6400" width="6.42578125" style="41" customWidth="1"/>
    <col min="6401" max="6401" width="11.5703125" style="41" customWidth="1"/>
    <col min="6402" max="6402" width="12.85546875" style="41" bestFit="1" customWidth="1"/>
    <col min="6403" max="6403" width="25.5703125" style="41" customWidth="1"/>
    <col min="6404" max="6651" width="9" style="41"/>
    <col min="6652" max="6652" width="8.7109375" style="41" customWidth="1"/>
    <col min="6653" max="6653" width="45.140625" style="41" customWidth="1"/>
    <col min="6654" max="6654" width="13.28515625" style="41" customWidth="1"/>
    <col min="6655" max="6655" width="9.42578125" style="41" customWidth="1"/>
    <col min="6656" max="6656" width="6.42578125" style="41" customWidth="1"/>
    <col min="6657" max="6657" width="11.5703125" style="41" customWidth="1"/>
    <col min="6658" max="6658" width="12.85546875" style="41" bestFit="1" customWidth="1"/>
    <col min="6659" max="6659" width="25.5703125" style="41" customWidth="1"/>
    <col min="6660" max="6907" width="9" style="41"/>
    <col min="6908" max="6908" width="8.7109375" style="41" customWidth="1"/>
    <col min="6909" max="6909" width="45.140625" style="41" customWidth="1"/>
    <col min="6910" max="6910" width="13.28515625" style="41" customWidth="1"/>
    <col min="6911" max="6911" width="9.42578125" style="41" customWidth="1"/>
    <col min="6912" max="6912" width="6.42578125" style="41" customWidth="1"/>
    <col min="6913" max="6913" width="11.5703125" style="41" customWidth="1"/>
    <col min="6914" max="6914" width="12.85546875" style="41" bestFit="1" customWidth="1"/>
    <col min="6915" max="6915" width="25.5703125" style="41" customWidth="1"/>
    <col min="6916" max="7163" width="9" style="41"/>
    <col min="7164" max="7164" width="8.7109375" style="41" customWidth="1"/>
    <col min="7165" max="7165" width="45.140625" style="41" customWidth="1"/>
    <col min="7166" max="7166" width="13.28515625" style="41" customWidth="1"/>
    <col min="7167" max="7167" width="9.42578125" style="41" customWidth="1"/>
    <col min="7168" max="7168" width="6.42578125" style="41" customWidth="1"/>
    <col min="7169" max="7169" width="11.5703125" style="41" customWidth="1"/>
    <col min="7170" max="7170" width="12.85546875" style="41" bestFit="1" customWidth="1"/>
    <col min="7171" max="7171" width="25.5703125" style="41" customWidth="1"/>
    <col min="7172" max="7419" width="9" style="41"/>
    <col min="7420" max="7420" width="8.7109375" style="41" customWidth="1"/>
    <col min="7421" max="7421" width="45.140625" style="41" customWidth="1"/>
    <col min="7422" max="7422" width="13.28515625" style="41" customWidth="1"/>
    <col min="7423" max="7423" width="9.42578125" style="41" customWidth="1"/>
    <col min="7424" max="7424" width="6.42578125" style="41" customWidth="1"/>
    <col min="7425" max="7425" width="11.5703125" style="41" customWidth="1"/>
    <col min="7426" max="7426" width="12.85546875" style="41" bestFit="1" customWidth="1"/>
    <col min="7427" max="7427" width="25.5703125" style="41" customWidth="1"/>
    <col min="7428" max="7675" width="9" style="41"/>
    <col min="7676" max="7676" width="8.7109375" style="41" customWidth="1"/>
    <col min="7677" max="7677" width="45.140625" style="41" customWidth="1"/>
    <col min="7678" max="7678" width="13.28515625" style="41" customWidth="1"/>
    <col min="7679" max="7679" width="9.42578125" style="41" customWidth="1"/>
    <col min="7680" max="7680" width="6.42578125" style="41" customWidth="1"/>
    <col min="7681" max="7681" width="11.5703125" style="41" customWidth="1"/>
    <col min="7682" max="7682" width="12.85546875" style="41" bestFit="1" customWidth="1"/>
    <col min="7683" max="7683" width="25.5703125" style="41" customWidth="1"/>
    <col min="7684" max="7931" width="9" style="41"/>
    <col min="7932" max="7932" width="8.7109375" style="41" customWidth="1"/>
    <col min="7933" max="7933" width="45.140625" style="41" customWidth="1"/>
    <col min="7934" max="7934" width="13.28515625" style="41" customWidth="1"/>
    <col min="7935" max="7935" width="9.42578125" style="41" customWidth="1"/>
    <col min="7936" max="7936" width="6.42578125" style="41" customWidth="1"/>
    <col min="7937" max="7937" width="11.5703125" style="41" customWidth="1"/>
    <col min="7938" max="7938" width="12.85546875" style="41" bestFit="1" customWidth="1"/>
    <col min="7939" max="7939" width="25.5703125" style="41" customWidth="1"/>
    <col min="7940" max="8187" width="9" style="41"/>
    <col min="8188" max="8188" width="8.7109375" style="41" customWidth="1"/>
    <col min="8189" max="8189" width="45.140625" style="41" customWidth="1"/>
    <col min="8190" max="8190" width="13.28515625" style="41" customWidth="1"/>
    <col min="8191" max="8191" width="9.42578125" style="41" customWidth="1"/>
    <col min="8192" max="8192" width="6.42578125" style="41" customWidth="1"/>
    <col min="8193" max="8193" width="11.5703125" style="41" customWidth="1"/>
    <col min="8194" max="8194" width="12.85546875" style="41" bestFit="1" customWidth="1"/>
    <col min="8195" max="8195" width="25.5703125" style="41" customWidth="1"/>
    <col min="8196" max="8443" width="9" style="41"/>
    <col min="8444" max="8444" width="8.7109375" style="41" customWidth="1"/>
    <col min="8445" max="8445" width="45.140625" style="41" customWidth="1"/>
    <col min="8446" max="8446" width="13.28515625" style="41" customWidth="1"/>
    <col min="8447" max="8447" width="9.42578125" style="41" customWidth="1"/>
    <col min="8448" max="8448" width="6.42578125" style="41" customWidth="1"/>
    <col min="8449" max="8449" width="11.5703125" style="41" customWidth="1"/>
    <col min="8450" max="8450" width="12.85546875" style="41" bestFit="1" customWidth="1"/>
    <col min="8451" max="8451" width="25.5703125" style="41" customWidth="1"/>
    <col min="8452" max="8699" width="9" style="41"/>
    <col min="8700" max="8700" width="8.7109375" style="41" customWidth="1"/>
    <col min="8701" max="8701" width="45.140625" style="41" customWidth="1"/>
    <col min="8702" max="8702" width="13.28515625" style="41" customWidth="1"/>
    <col min="8703" max="8703" width="9.42578125" style="41" customWidth="1"/>
    <col min="8704" max="8704" width="6.42578125" style="41" customWidth="1"/>
    <col min="8705" max="8705" width="11.5703125" style="41" customWidth="1"/>
    <col min="8706" max="8706" width="12.85546875" style="41" bestFit="1" customWidth="1"/>
    <col min="8707" max="8707" width="25.5703125" style="41" customWidth="1"/>
    <col min="8708" max="8955" width="9" style="41"/>
    <col min="8956" max="8956" width="8.7109375" style="41" customWidth="1"/>
    <col min="8957" max="8957" width="45.140625" style="41" customWidth="1"/>
    <col min="8958" max="8958" width="13.28515625" style="41" customWidth="1"/>
    <col min="8959" max="8959" width="9.42578125" style="41" customWidth="1"/>
    <col min="8960" max="8960" width="6.42578125" style="41" customWidth="1"/>
    <col min="8961" max="8961" width="11.5703125" style="41" customWidth="1"/>
    <col min="8962" max="8962" width="12.85546875" style="41" bestFit="1" customWidth="1"/>
    <col min="8963" max="8963" width="25.5703125" style="41" customWidth="1"/>
    <col min="8964" max="9211" width="9" style="41"/>
    <col min="9212" max="9212" width="8.7109375" style="41" customWidth="1"/>
    <col min="9213" max="9213" width="45.140625" style="41" customWidth="1"/>
    <col min="9214" max="9214" width="13.28515625" style="41" customWidth="1"/>
    <col min="9215" max="9215" width="9.42578125" style="41" customWidth="1"/>
    <col min="9216" max="9216" width="6.42578125" style="41" customWidth="1"/>
    <col min="9217" max="9217" width="11.5703125" style="41" customWidth="1"/>
    <col min="9218" max="9218" width="12.85546875" style="41" bestFit="1" customWidth="1"/>
    <col min="9219" max="9219" width="25.5703125" style="41" customWidth="1"/>
    <col min="9220" max="9467" width="9" style="41"/>
    <col min="9468" max="9468" width="8.7109375" style="41" customWidth="1"/>
    <col min="9469" max="9469" width="45.140625" style="41" customWidth="1"/>
    <col min="9470" max="9470" width="13.28515625" style="41" customWidth="1"/>
    <col min="9471" max="9471" width="9.42578125" style="41" customWidth="1"/>
    <col min="9472" max="9472" width="6.42578125" style="41" customWidth="1"/>
    <col min="9473" max="9473" width="11.5703125" style="41" customWidth="1"/>
    <col min="9474" max="9474" width="12.85546875" style="41" bestFit="1" customWidth="1"/>
    <col min="9475" max="9475" width="25.5703125" style="41" customWidth="1"/>
    <col min="9476" max="9723" width="9" style="41"/>
    <col min="9724" max="9724" width="8.7109375" style="41" customWidth="1"/>
    <col min="9725" max="9725" width="45.140625" style="41" customWidth="1"/>
    <col min="9726" max="9726" width="13.28515625" style="41" customWidth="1"/>
    <col min="9727" max="9727" width="9.42578125" style="41" customWidth="1"/>
    <col min="9728" max="9728" width="6.42578125" style="41" customWidth="1"/>
    <col min="9729" max="9729" width="11.5703125" style="41" customWidth="1"/>
    <col min="9730" max="9730" width="12.85546875" style="41" bestFit="1" customWidth="1"/>
    <col min="9731" max="9731" width="25.5703125" style="41" customWidth="1"/>
    <col min="9732" max="9979" width="9" style="41"/>
    <col min="9980" max="9980" width="8.7109375" style="41" customWidth="1"/>
    <col min="9981" max="9981" width="45.140625" style="41" customWidth="1"/>
    <col min="9982" max="9982" width="13.28515625" style="41" customWidth="1"/>
    <col min="9983" max="9983" width="9.42578125" style="41" customWidth="1"/>
    <col min="9984" max="9984" width="6.42578125" style="41" customWidth="1"/>
    <col min="9985" max="9985" width="11.5703125" style="41" customWidth="1"/>
    <col min="9986" max="9986" width="12.85546875" style="41" bestFit="1" customWidth="1"/>
    <col min="9987" max="9987" width="25.5703125" style="41" customWidth="1"/>
    <col min="9988" max="10235" width="9" style="41"/>
    <col min="10236" max="10236" width="8.7109375" style="41" customWidth="1"/>
    <col min="10237" max="10237" width="45.140625" style="41" customWidth="1"/>
    <col min="10238" max="10238" width="13.28515625" style="41" customWidth="1"/>
    <col min="10239" max="10239" width="9.42578125" style="41" customWidth="1"/>
    <col min="10240" max="10240" width="6.42578125" style="41" customWidth="1"/>
    <col min="10241" max="10241" width="11.5703125" style="41" customWidth="1"/>
    <col min="10242" max="10242" width="12.85546875" style="41" bestFit="1" customWidth="1"/>
    <col min="10243" max="10243" width="25.5703125" style="41" customWidth="1"/>
    <col min="10244" max="10491" width="9" style="41"/>
    <col min="10492" max="10492" width="8.7109375" style="41" customWidth="1"/>
    <col min="10493" max="10493" width="45.140625" style="41" customWidth="1"/>
    <col min="10494" max="10494" width="13.28515625" style="41" customWidth="1"/>
    <col min="10495" max="10495" width="9.42578125" style="41" customWidth="1"/>
    <col min="10496" max="10496" width="6.42578125" style="41" customWidth="1"/>
    <col min="10497" max="10497" width="11.5703125" style="41" customWidth="1"/>
    <col min="10498" max="10498" width="12.85546875" style="41" bestFit="1" customWidth="1"/>
    <col min="10499" max="10499" width="25.5703125" style="41" customWidth="1"/>
    <col min="10500" max="10747" width="9" style="41"/>
    <col min="10748" max="10748" width="8.7109375" style="41" customWidth="1"/>
    <col min="10749" max="10749" width="45.140625" style="41" customWidth="1"/>
    <col min="10750" max="10750" width="13.28515625" style="41" customWidth="1"/>
    <col min="10751" max="10751" width="9.42578125" style="41" customWidth="1"/>
    <col min="10752" max="10752" width="6.42578125" style="41" customWidth="1"/>
    <col min="10753" max="10753" width="11.5703125" style="41" customWidth="1"/>
    <col min="10754" max="10754" width="12.85546875" style="41" bestFit="1" customWidth="1"/>
    <col min="10755" max="10755" width="25.5703125" style="41" customWidth="1"/>
    <col min="10756" max="11003" width="9" style="41"/>
    <col min="11004" max="11004" width="8.7109375" style="41" customWidth="1"/>
    <col min="11005" max="11005" width="45.140625" style="41" customWidth="1"/>
    <col min="11006" max="11006" width="13.28515625" style="41" customWidth="1"/>
    <col min="11007" max="11007" width="9.42578125" style="41" customWidth="1"/>
    <col min="11008" max="11008" width="6.42578125" style="41" customWidth="1"/>
    <col min="11009" max="11009" width="11.5703125" style="41" customWidth="1"/>
    <col min="11010" max="11010" width="12.85546875" style="41" bestFit="1" customWidth="1"/>
    <col min="11011" max="11011" width="25.5703125" style="41" customWidth="1"/>
    <col min="11012" max="11259" width="9" style="41"/>
    <col min="11260" max="11260" width="8.7109375" style="41" customWidth="1"/>
    <col min="11261" max="11261" width="45.140625" style="41" customWidth="1"/>
    <col min="11262" max="11262" width="13.28515625" style="41" customWidth="1"/>
    <col min="11263" max="11263" width="9.42578125" style="41" customWidth="1"/>
    <col min="11264" max="11264" width="6.42578125" style="41" customWidth="1"/>
    <col min="11265" max="11265" width="11.5703125" style="41" customWidth="1"/>
    <col min="11266" max="11266" width="12.85546875" style="41" bestFit="1" customWidth="1"/>
    <col min="11267" max="11267" width="25.5703125" style="41" customWidth="1"/>
    <col min="11268" max="11515" width="9" style="41"/>
    <col min="11516" max="11516" width="8.7109375" style="41" customWidth="1"/>
    <col min="11517" max="11517" width="45.140625" style="41" customWidth="1"/>
    <col min="11518" max="11518" width="13.28515625" style="41" customWidth="1"/>
    <col min="11519" max="11519" width="9.42578125" style="41" customWidth="1"/>
    <col min="11520" max="11520" width="6.42578125" style="41" customWidth="1"/>
    <col min="11521" max="11521" width="11.5703125" style="41" customWidth="1"/>
    <col min="11522" max="11522" width="12.85546875" style="41" bestFit="1" customWidth="1"/>
    <col min="11523" max="11523" width="25.5703125" style="41" customWidth="1"/>
    <col min="11524" max="11771" width="9" style="41"/>
    <col min="11772" max="11772" width="8.7109375" style="41" customWidth="1"/>
    <col min="11773" max="11773" width="45.140625" style="41" customWidth="1"/>
    <col min="11774" max="11774" width="13.28515625" style="41" customWidth="1"/>
    <col min="11775" max="11775" width="9.42578125" style="41" customWidth="1"/>
    <col min="11776" max="11776" width="6.42578125" style="41" customWidth="1"/>
    <col min="11777" max="11777" width="11.5703125" style="41" customWidth="1"/>
    <col min="11778" max="11778" width="12.85546875" style="41" bestFit="1" customWidth="1"/>
    <col min="11779" max="11779" width="25.5703125" style="41" customWidth="1"/>
    <col min="11780" max="12027" width="9" style="41"/>
    <col min="12028" max="12028" width="8.7109375" style="41" customWidth="1"/>
    <col min="12029" max="12029" width="45.140625" style="41" customWidth="1"/>
    <col min="12030" max="12030" width="13.28515625" style="41" customWidth="1"/>
    <col min="12031" max="12031" width="9.42578125" style="41" customWidth="1"/>
    <col min="12032" max="12032" width="6.42578125" style="41" customWidth="1"/>
    <col min="12033" max="12033" width="11.5703125" style="41" customWidth="1"/>
    <col min="12034" max="12034" width="12.85546875" style="41" bestFit="1" customWidth="1"/>
    <col min="12035" max="12035" width="25.5703125" style="41" customWidth="1"/>
    <col min="12036" max="12283" width="9" style="41"/>
    <col min="12284" max="12284" width="8.7109375" style="41" customWidth="1"/>
    <col min="12285" max="12285" width="45.140625" style="41" customWidth="1"/>
    <col min="12286" max="12286" width="13.28515625" style="41" customWidth="1"/>
    <col min="12287" max="12287" width="9.42578125" style="41" customWidth="1"/>
    <col min="12288" max="12288" width="6.42578125" style="41" customWidth="1"/>
    <col min="12289" max="12289" width="11.5703125" style="41" customWidth="1"/>
    <col min="12290" max="12290" width="12.85546875" style="41" bestFit="1" customWidth="1"/>
    <col min="12291" max="12291" width="25.5703125" style="41" customWidth="1"/>
    <col min="12292" max="12539" width="9" style="41"/>
    <col min="12540" max="12540" width="8.7109375" style="41" customWidth="1"/>
    <col min="12541" max="12541" width="45.140625" style="41" customWidth="1"/>
    <col min="12542" max="12542" width="13.28515625" style="41" customWidth="1"/>
    <col min="12543" max="12543" width="9.42578125" style="41" customWidth="1"/>
    <col min="12544" max="12544" width="6.42578125" style="41" customWidth="1"/>
    <col min="12545" max="12545" width="11.5703125" style="41" customWidth="1"/>
    <col min="12546" max="12546" width="12.85546875" style="41" bestFit="1" customWidth="1"/>
    <col min="12547" max="12547" width="25.5703125" style="41" customWidth="1"/>
    <col min="12548" max="12795" width="9" style="41"/>
    <col min="12796" max="12796" width="8.7109375" style="41" customWidth="1"/>
    <col min="12797" max="12797" width="45.140625" style="41" customWidth="1"/>
    <col min="12798" max="12798" width="13.28515625" style="41" customWidth="1"/>
    <col min="12799" max="12799" width="9.42578125" style="41" customWidth="1"/>
    <col min="12800" max="12800" width="6.42578125" style="41" customWidth="1"/>
    <col min="12801" max="12801" width="11.5703125" style="41" customWidth="1"/>
    <col min="12802" max="12802" width="12.85546875" style="41" bestFit="1" customWidth="1"/>
    <col min="12803" max="12803" width="25.5703125" style="41" customWidth="1"/>
    <col min="12804" max="13051" width="9" style="41"/>
    <col min="13052" max="13052" width="8.7109375" style="41" customWidth="1"/>
    <col min="13053" max="13053" width="45.140625" style="41" customWidth="1"/>
    <col min="13054" max="13054" width="13.28515625" style="41" customWidth="1"/>
    <col min="13055" max="13055" width="9.42578125" style="41" customWidth="1"/>
    <col min="13056" max="13056" width="6.42578125" style="41" customWidth="1"/>
    <col min="13057" max="13057" width="11.5703125" style="41" customWidth="1"/>
    <col min="13058" max="13058" width="12.85546875" style="41" bestFit="1" customWidth="1"/>
    <col min="13059" max="13059" width="25.5703125" style="41" customWidth="1"/>
    <col min="13060" max="13307" width="9" style="41"/>
    <col min="13308" max="13308" width="8.7109375" style="41" customWidth="1"/>
    <col min="13309" max="13309" width="45.140625" style="41" customWidth="1"/>
    <col min="13310" max="13310" width="13.28515625" style="41" customWidth="1"/>
    <col min="13311" max="13311" width="9.42578125" style="41" customWidth="1"/>
    <col min="13312" max="13312" width="6.42578125" style="41" customWidth="1"/>
    <col min="13313" max="13313" width="11.5703125" style="41" customWidth="1"/>
    <col min="13314" max="13314" width="12.85546875" style="41" bestFit="1" customWidth="1"/>
    <col min="13315" max="13315" width="25.5703125" style="41" customWidth="1"/>
    <col min="13316" max="13563" width="9" style="41"/>
    <col min="13564" max="13564" width="8.7109375" style="41" customWidth="1"/>
    <col min="13565" max="13565" width="45.140625" style="41" customWidth="1"/>
    <col min="13566" max="13566" width="13.28515625" style="41" customWidth="1"/>
    <col min="13567" max="13567" width="9.42578125" style="41" customWidth="1"/>
    <col min="13568" max="13568" width="6.42578125" style="41" customWidth="1"/>
    <col min="13569" max="13569" width="11.5703125" style="41" customWidth="1"/>
    <col min="13570" max="13570" width="12.85546875" style="41" bestFit="1" customWidth="1"/>
    <col min="13571" max="13571" width="25.5703125" style="41" customWidth="1"/>
    <col min="13572" max="13819" width="9" style="41"/>
    <col min="13820" max="13820" width="8.7109375" style="41" customWidth="1"/>
    <col min="13821" max="13821" width="45.140625" style="41" customWidth="1"/>
    <col min="13822" max="13822" width="13.28515625" style="41" customWidth="1"/>
    <col min="13823" max="13823" width="9.42578125" style="41" customWidth="1"/>
    <col min="13824" max="13824" width="6.42578125" style="41" customWidth="1"/>
    <col min="13825" max="13825" width="11.5703125" style="41" customWidth="1"/>
    <col min="13826" max="13826" width="12.85546875" style="41" bestFit="1" customWidth="1"/>
    <col min="13827" max="13827" width="25.5703125" style="41" customWidth="1"/>
    <col min="13828" max="14075" width="9" style="41"/>
    <col min="14076" max="14076" width="8.7109375" style="41" customWidth="1"/>
    <col min="14077" max="14077" width="45.140625" style="41" customWidth="1"/>
    <col min="14078" max="14078" width="13.28515625" style="41" customWidth="1"/>
    <col min="14079" max="14079" width="9.42578125" style="41" customWidth="1"/>
    <col min="14080" max="14080" width="6.42578125" style="41" customWidth="1"/>
    <col min="14081" max="14081" width="11.5703125" style="41" customWidth="1"/>
    <col min="14082" max="14082" width="12.85546875" style="41" bestFit="1" customWidth="1"/>
    <col min="14083" max="14083" width="25.5703125" style="41" customWidth="1"/>
    <col min="14084" max="14331" width="9" style="41"/>
    <col min="14332" max="14332" width="8.7109375" style="41" customWidth="1"/>
    <col min="14333" max="14333" width="45.140625" style="41" customWidth="1"/>
    <col min="14334" max="14334" width="13.28515625" style="41" customWidth="1"/>
    <col min="14335" max="14335" width="9.42578125" style="41" customWidth="1"/>
    <col min="14336" max="14336" width="6.42578125" style="41" customWidth="1"/>
    <col min="14337" max="14337" width="11.5703125" style="41" customWidth="1"/>
    <col min="14338" max="14338" width="12.85546875" style="41" bestFit="1" customWidth="1"/>
    <col min="14339" max="14339" width="25.5703125" style="41" customWidth="1"/>
    <col min="14340" max="14587" width="9" style="41"/>
    <col min="14588" max="14588" width="8.7109375" style="41" customWidth="1"/>
    <col min="14589" max="14589" width="45.140625" style="41" customWidth="1"/>
    <col min="14590" max="14590" width="13.28515625" style="41" customWidth="1"/>
    <col min="14591" max="14591" width="9.42578125" style="41" customWidth="1"/>
    <col min="14592" max="14592" width="6.42578125" style="41" customWidth="1"/>
    <col min="14593" max="14593" width="11.5703125" style="41" customWidth="1"/>
    <col min="14594" max="14594" width="12.85546875" style="41" bestFit="1" customWidth="1"/>
    <col min="14595" max="14595" width="25.5703125" style="41" customWidth="1"/>
    <col min="14596" max="14843" width="9" style="41"/>
    <col min="14844" max="14844" width="8.7109375" style="41" customWidth="1"/>
    <col min="14845" max="14845" width="45.140625" style="41" customWidth="1"/>
    <col min="14846" max="14846" width="13.28515625" style="41" customWidth="1"/>
    <col min="14847" max="14847" width="9.42578125" style="41" customWidth="1"/>
    <col min="14848" max="14848" width="6.42578125" style="41" customWidth="1"/>
    <col min="14849" max="14849" width="11.5703125" style="41" customWidth="1"/>
    <col min="14850" max="14850" width="12.85546875" style="41" bestFit="1" customWidth="1"/>
    <col min="14851" max="14851" width="25.5703125" style="41" customWidth="1"/>
    <col min="14852" max="15099" width="9" style="41"/>
    <col min="15100" max="15100" width="8.7109375" style="41" customWidth="1"/>
    <col min="15101" max="15101" width="45.140625" style="41" customWidth="1"/>
    <col min="15102" max="15102" width="13.28515625" style="41" customWidth="1"/>
    <col min="15103" max="15103" width="9.42578125" style="41" customWidth="1"/>
    <col min="15104" max="15104" width="6.42578125" style="41" customWidth="1"/>
    <col min="15105" max="15105" width="11.5703125" style="41" customWidth="1"/>
    <col min="15106" max="15106" width="12.85546875" style="41" bestFit="1" customWidth="1"/>
    <col min="15107" max="15107" width="25.5703125" style="41" customWidth="1"/>
    <col min="15108" max="15355" width="9" style="41"/>
    <col min="15356" max="15356" width="8.7109375" style="41" customWidth="1"/>
    <col min="15357" max="15357" width="45.140625" style="41" customWidth="1"/>
    <col min="15358" max="15358" width="13.28515625" style="41" customWidth="1"/>
    <col min="15359" max="15359" width="9.42578125" style="41" customWidth="1"/>
    <col min="15360" max="15360" width="6.42578125" style="41" customWidth="1"/>
    <col min="15361" max="15361" width="11.5703125" style="41" customWidth="1"/>
    <col min="15362" max="15362" width="12.85546875" style="41" bestFit="1" customWidth="1"/>
    <col min="15363" max="15363" width="25.5703125" style="41" customWidth="1"/>
    <col min="15364" max="15611" width="9" style="41"/>
    <col min="15612" max="15612" width="8.7109375" style="41" customWidth="1"/>
    <col min="15613" max="15613" width="45.140625" style="41" customWidth="1"/>
    <col min="15614" max="15614" width="13.28515625" style="41" customWidth="1"/>
    <col min="15615" max="15615" width="9.42578125" style="41" customWidth="1"/>
    <col min="15616" max="15616" width="6.42578125" style="41" customWidth="1"/>
    <col min="15617" max="15617" width="11.5703125" style="41" customWidth="1"/>
    <col min="15618" max="15618" width="12.85546875" style="41" bestFit="1" customWidth="1"/>
    <col min="15619" max="15619" width="25.5703125" style="41" customWidth="1"/>
    <col min="15620" max="15867" width="9" style="41"/>
    <col min="15868" max="15868" width="8.7109375" style="41" customWidth="1"/>
    <col min="15869" max="15869" width="45.140625" style="41" customWidth="1"/>
    <col min="15870" max="15870" width="13.28515625" style="41" customWidth="1"/>
    <col min="15871" max="15871" width="9.42578125" style="41" customWidth="1"/>
    <col min="15872" max="15872" width="6.42578125" style="41" customWidth="1"/>
    <col min="15873" max="15873" width="11.5703125" style="41" customWidth="1"/>
    <col min="15874" max="15874" width="12.85546875" style="41" bestFit="1" customWidth="1"/>
    <col min="15875" max="15875" width="25.5703125" style="41" customWidth="1"/>
    <col min="15876" max="16123" width="9" style="41"/>
    <col min="16124" max="16124" width="8.7109375" style="41" customWidth="1"/>
    <col min="16125" max="16125" width="45.140625" style="41" customWidth="1"/>
    <col min="16126" max="16126" width="13.28515625" style="41" customWidth="1"/>
    <col min="16127" max="16127" width="9.42578125" style="41" customWidth="1"/>
    <col min="16128" max="16128" width="6.42578125" style="41" customWidth="1"/>
    <col min="16129" max="16129" width="11.5703125" style="41" customWidth="1"/>
    <col min="16130" max="16130" width="12.85546875" style="41" bestFit="1" customWidth="1"/>
    <col min="16131" max="16131" width="25.5703125" style="41" customWidth="1"/>
    <col min="16132" max="16384" width="9" style="41"/>
  </cols>
  <sheetData>
    <row r="1" spans="1:13" ht="16.5" customHeight="1"/>
    <row r="2" spans="1:13" ht="27" customHeight="1">
      <c r="A2" s="43" t="s">
        <v>68</v>
      </c>
      <c r="B2" s="43" t="str">
        <f>+'PO 1st page'!K11</f>
        <v>SAC2-DS-PO-0383</v>
      </c>
      <c r="C2" s="204" t="s">
        <v>69</v>
      </c>
      <c r="D2" s="204"/>
      <c r="E2" s="204"/>
      <c r="F2" s="204"/>
      <c r="G2" s="44"/>
      <c r="H2" s="44"/>
    </row>
    <row r="3" spans="1:13" s="50" customFormat="1" ht="28.5" customHeight="1" thickBot="1">
      <c r="A3" s="45" t="s">
        <v>70</v>
      </c>
      <c r="B3" s="46">
        <f>+'PO 1st page'!K10</f>
        <v>46235</v>
      </c>
      <c r="C3" s="47"/>
      <c r="D3" s="48"/>
      <c r="E3" s="205" t="s">
        <v>71</v>
      </c>
      <c r="F3" s="205"/>
      <c r="G3" s="205"/>
      <c r="H3" s="205"/>
      <c r="I3" s="49"/>
    </row>
    <row r="4" spans="1:13" s="51" customFormat="1" ht="28.5" customHeight="1" thickTop="1">
      <c r="A4" s="206" t="s">
        <v>72</v>
      </c>
      <c r="B4" s="208" t="s">
        <v>73</v>
      </c>
      <c r="C4" s="209"/>
      <c r="D4" s="212" t="s">
        <v>74</v>
      </c>
      <c r="E4" s="212" t="s">
        <v>75</v>
      </c>
      <c r="F4" s="214" t="str">
        <f>'PO 1st page'!C9</f>
        <v>DSGC(Desert Solution General Contracting Company LLC)</v>
      </c>
      <c r="G4" s="215"/>
      <c r="H4" s="216" t="s">
        <v>76</v>
      </c>
      <c r="K4" s="52"/>
      <c r="L4" s="52"/>
      <c r="M4" s="52"/>
    </row>
    <row r="5" spans="1:13" s="51" customFormat="1" ht="21.95" customHeight="1">
      <c r="A5" s="207"/>
      <c r="B5" s="210"/>
      <c r="C5" s="211"/>
      <c r="D5" s="213"/>
      <c r="E5" s="213"/>
      <c r="F5" s="53" t="s">
        <v>77</v>
      </c>
      <c r="G5" s="53" t="s">
        <v>43</v>
      </c>
      <c r="H5" s="217"/>
      <c r="K5" s="52"/>
      <c r="L5" s="52"/>
      <c r="M5" s="52"/>
    </row>
    <row r="6" spans="1:13" s="51" customFormat="1" ht="32.1" customHeight="1">
      <c r="A6" s="81">
        <f t="shared" ref="A6:A17" si="0">ROW(A1)</f>
        <v>1</v>
      </c>
      <c r="B6" s="218" t="str">
        <f>CONCATENATE(MRS!B6," ",MRS!D6)</f>
        <v>Toyota Hilux 4x4 pick-up with driver
 model 2023 &amp; 2024</v>
      </c>
      <c r="C6" s="219"/>
      <c r="D6" s="82" t="str">
        <f>+'MRS LIST'!G6</f>
        <v>Month</v>
      </c>
      <c r="E6" s="83">
        <f>+'MRS LIST'!H6</f>
        <v>1</v>
      </c>
      <c r="F6" s="84">
        <f>+'MRS LIST'!I6</f>
        <v>7000</v>
      </c>
      <c r="G6" s="85">
        <f>+'MRS LIST'!J6</f>
        <v>7000</v>
      </c>
      <c r="H6" s="86" t="str">
        <f>MRS!L6</f>
        <v>Monthly</v>
      </c>
      <c r="K6" s="87"/>
      <c r="L6" s="88"/>
      <c r="M6" s="52"/>
    </row>
    <row r="7" spans="1:13" s="51" customFormat="1" ht="32.1" customHeight="1">
      <c r="A7" s="81">
        <f t="shared" si="0"/>
        <v>2</v>
      </c>
      <c r="B7" s="218"/>
      <c r="C7" s="219"/>
      <c r="D7" s="82"/>
      <c r="E7" s="83"/>
      <c r="F7" s="84"/>
      <c r="G7" s="85"/>
      <c r="H7" s="86"/>
      <c r="K7" s="87"/>
      <c r="L7" s="88"/>
      <c r="M7" s="52"/>
    </row>
    <row r="8" spans="1:13" s="51" customFormat="1" ht="32.1" customHeight="1">
      <c r="A8" s="89">
        <f t="shared" si="0"/>
        <v>3</v>
      </c>
      <c r="B8" s="202"/>
      <c r="C8" s="203"/>
      <c r="D8" s="90"/>
      <c r="E8" s="91"/>
      <c r="F8" s="92"/>
      <c r="G8" s="93"/>
      <c r="H8" s="94"/>
      <c r="K8" s="52"/>
      <c r="L8" s="52"/>
      <c r="M8" s="52"/>
    </row>
    <row r="9" spans="1:13" s="51" customFormat="1" ht="32.1" customHeight="1">
      <c r="A9" s="89">
        <f t="shared" si="0"/>
        <v>4</v>
      </c>
      <c r="B9" s="202"/>
      <c r="C9" s="203"/>
      <c r="D9" s="90"/>
      <c r="E9" s="91"/>
      <c r="F9" s="92"/>
      <c r="G9" s="93"/>
      <c r="H9" s="94"/>
    </row>
    <row r="10" spans="1:13" s="51" customFormat="1" ht="32.1" customHeight="1">
      <c r="A10" s="89">
        <f t="shared" si="0"/>
        <v>5</v>
      </c>
      <c r="B10" s="202"/>
      <c r="C10" s="203"/>
      <c r="D10" s="90"/>
      <c r="E10" s="91"/>
      <c r="F10" s="92"/>
      <c r="G10" s="93"/>
      <c r="H10" s="94"/>
    </row>
    <row r="11" spans="1:13" s="51" customFormat="1" ht="32.1" customHeight="1">
      <c r="A11" s="89">
        <f t="shared" si="0"/>
        <v>6</v>
      </c>
      <c r="B11" s="202"/>
      <c r="C11" s="203"/>
      <c r="D11" s="90"/>
      <c r="E11" s="91"/>
      <c r="F11" s="92"/>
      <c r="G11" s="93"/>
      <c r="H11" s="94"/>
    </row>
    <row r="12" spans="1:13" s="51" customFormat="1" ht="32.1" customHeight="1">
      <c r="A12" s="89">
        <f t="shared" si="0"/>
        <v>7</v>
      </c>
      <c r="B12" s="202"/>
      <c r="C12" s="203"/>
      <c r="D12" s="90"/>
      <c r="E12" s="91"/>
      <c r="F12" s="92"/>
      <c r="G12" s="93"/>
      <c r="H12" s="94"/>
    </row>
    <row r="13" spans="1:13" s="51" customFormat="1" ht="32.1" customHeight="1">
      <c r="A13" s="89">
        <f t="shared" si="0"/>
        <v>8</v>
      </c>
      <c r="B13" s="202"/>
      <c r="C13" s="203"/>
      <c r="D13" s="90"/>
      <c r="E13" s="91"/>
      <c r="F13" s="92"/>
      <c r="G13" s="93"/>
      <c r="H13" s="94"/>
    </row>
    <row r="14" spans="1:13" s="51" customFormat="1" ht="32.1" customHeight="1">
      <c r="A14" s="89">
        <f t="shared" si="0"/>
        <v>9</v>
      </c>
      <c r="B14" s="202"/>
      <c r="C14" s="203"/>
      <c r="D14" s="90"/>
      <c r="E14" s="91"/>
      <c r="F14" s="95"/>
      <c r="G14" s="93"/>
      <c r="H14" s="94"/>
    </row>
    <row r="15" spans="1:13" s="51" customFormat="1" ht="32.1" customHeight="1">
      <c r="A15" s="89">
        <f t="shared" si="0"/>
        <v>10</v>
      </c>
      <c r="B15" s="202"/>
      <c r="C15" s="203"/>
      <c r="D15" s="90"/>
      <c r="E15" s="91"/>
      <c r="F15" s="95"/>
      <c r="G15" s="93"/>
      <c r="H15" s="94"/>
    </row>
    <row r="16" spans="1:13" s="51" customFormat="1" ht="32.1" customHeight="1">
      <c r="A16" s="89">
        <f t="shared" si="0"/>
        <v>11</v>
      </c>
      <c r="B16" s="202"/>
      <c r="C16" s="203"/>
      <c r="D16" s="90"/>
      <c r="E16" s="91"/>
      <c r="F16" s="92"/>
      <c r="G16" s="93"/>
      <c r="H16" s="94"/>
    </row>
    <row r="17" spans="1:13" s="51" customFormat="1" ht="32.1" customHeight="1">
      <c r="A17" s="89">
        <f t="shared" si="0"/>
        <v>12</v>
      </c>
      <c r="B17" s="202"/>
      <c r="C17" s="203"/>
      <c r="D17" s="90"/>
      <c r="E17" s="91"/>
      <c r="F17" s="92"/>
      <c r="G17" s="93"/>
      <c r="H17" s="94"/>
    </row>
    <row r="18" spans="1:13" s="51" customFormat="1" ht="23.1" customHeight="1">
      <c r="A18" s="198" t="s">
        <v>78</v>
      </c>
      <c r="B18" s="199"/>
      <c r="C18" s="199"/>
      <c r="D18" s="199"/>
      <c r="E18" s="199"/>
      <c r="F18" s="199"/>
      <c r="G18" s="54">
        <f>SUM(G6:G17)</f>
        <v>7000</v>
      </c>
      <c r="H18" s="55"/>
    </row>
    <row r="19" spans="1:13" s="51" customFormat="1" ht="23.1" customHeight="1">
      <c r="A19" s="198" t="s">
        <v>42</v>
      </c>
      <c r="B19" s="199"/>
      <c r="C19" s="199"/>
      <c r="D19" s="199"/>
      <c r="E19" s="199"/>
      <c r="F19" s="199"/>
      <c r="G19" s="54">
        <f>+G18*0.15</f>
        <v>1050</v>
      </c>
      <c r="H19" s="55"/>
    </row>
    <row r="20" spans="1:13" s="51" customFormat="1" ht="24.95" customHeight="1" thickBot="1">
      <c r="A20" s="200" t="s">
        <v>79</v>
      </c>
      <c r="B20" s="201"/>
      <c r="C20" s="201"/>
      <c r="D20" s="201"/>
      <c r="E20" s="201"/>
      <c r="F20" s="201"/>
      <c r="G20" s="56">
        <f>G19+G18</f>
        <v>8050</v>
      </c>
      <c r="H20" s="57"/>
    </row>
    <row r="21" spans="1:13" ht="15.75" thickTop="1">
      <c r="A21" s="58" t="str">
        <f>" 1) Above Price are as per your quotation with ref "&amp;'PO 1st page'!K14</f>
        <v xml:space="preserve"> 1) Above Price are as per your quotation with ref DSCE/HY/q-11148</v>
      </c>
      <c r="B21" s="59"/>
      <c r="C21" s="59"/>
      <c r="D21" s="60"/>
      <c r="E21" s="60"/>
      <c r="F21" s="60"/>
      <c r="G21" s="60"/>
      <c r="H21" s="60"/>
    </row>
    <row r="22" spans="1:13" ht="15">
      <c r="A22" s="61" t="s">
        <v>80</v>
      </c>
      <c r="B22" s="62"/>
      <c r="C22" s="62"/>
      <c r="D22" s="63"/>
      <c r="E22" s="63"/>
      <c r="F22" s="63"/>
      <c r="G22" s="63"/>
      <c r="H22" s="63"/>
      <c r="I22" s="64"/>
    </row>
    <row r="23" spans="1:13" ht="15.75">
      <c r="A23" s="65"/>
    </row>
    <row r="24" spans="1:13">
      <c r="A24" s="188" t="s">
        <v>81</v>
      </c>
      <c r="B24" s="188"/>
      <c r="C24" s="188"/>
      <c r="D24" s="188"/>
      <c r="E24" s="188"/>
      <c r="F24" s="188"/>
      <c r="G24" s="188"/>
      <c r="H24" s="188"/>
      <c r="I24" s="66"/>
      <c r="J24" s="66"/>
      <c r="K24" s="66"/>
      <c r="L24" s="66"/>
      <c r="M24" s="66"/>
    </row>
    <row r="25" spans="1:13" ht="15.75">
      <c r="A25" s="65"/>
      <c r="C25" s="67"/>
    </row>
    <row r="26" spans="1:13" ht="15.75">
      <c r="A26" s="65"/>
      <c r="C26" s="67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2026-08-05T05:13:40Z</cp:lastPrinted>
  <dcterms:created xsi:type="dcterms:W3CDTF">2024-10-20T11:50:19Z</dcterms:created>
  <dcterms:modified xsi:type="dcterms:W3CDTF">2026-08-05T05:24:17Z</dcterms:modified>
</cp:coreProperties>
</file>