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6285A12-44E3-46D1-B7F0-0254D03C5CC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D8" i="4"/>
  <c r="E8" i="4"/>
  <c r="F8" i="4"/>
  <c r="G8" i="4"/>
  <c r="D9" i="4"/>
  <c r="E9" i="4"/>
  <c r="F9" i="4"/>
  <c r="G9" i="4"/>
  <c r="E6" i="4"/>
  <c r="F6" i="4"/>
  <c r="G6" i="4"/>
  <c r="D6" i="4"/>
  <c r="B9" i="4"/>
  <c r="B8" i="4"/>
  <c r="J9" i="1"/>
  <c r="J8" i="1"/>
  <c r="B7" i="4"/>
  <c r="P54" i="3" l="1"/>
  <c r="B6" i="4" l="1"/>
  <c r="J7" i="1"/>
  <c r="J7" i="2" s="1"/>
  <c r="H6" i="4"/>
  <c r="J8" i="2"/>
  <c r="I8" i="2"/>
  <c r="H8" i="2"/>
  <c r="G8" i="2"/>
  <c r="I7" i="2"/>
  <c r="H7" i="2"/>
  <c r="G7" i="2"/>
  <c r="D8" i="2"/>
  <c r="B8" i="2"/>
  <c r="D7" i="2"/>
  <c r="B7" i="2"/>
  <c r="E3" i="1"/>
  <c r="J6" i="1" l="1"/>
  <c r="K10" i="3"/>
  <c r="A21" i="4" l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<sst xmlns="http://schemas.openxmlformats.org/spreadsheetml/2006/main" count="183" uniqueCount="136">
  <si>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</si>
  <si>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</si>
  <si>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</si>
  <si>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</si>
  <si>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</si>
  <si>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</si>
  <si>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</si>
  <si>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</si>
  <si>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</si>
  <si>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</si>
  <si>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</si>
  <si>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</si>
  <si>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</si>
  <si>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</si>
  <si>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</si>
  <si>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</si>
  <si>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</si>
  <si>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</si>
  <si>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</si>
  <si>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</si>
  <si>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</si>
  <si>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</si>
  <si>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</si>
  <si>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</si>
  <si>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</si>
  <si>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</si>
  <si>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</si>
  <si>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</si>
  <si>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</si>
  <si>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</si>
  <si>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</si>
  <si>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</si>
  <si>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</si>
  <si>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</si>
  <si>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</si>
  <si>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</si>
  <si>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</si>
  <si>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</si>
  <si>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</si>
  <si>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</si>
  <si>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</si>
  <si>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</si>
  <si>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</si>
  <si>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</si>
  <si>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</si>
  <si>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</si>
  <si>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</si>
  <si>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</si>
  <si>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</si>
  <si>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</si>
  <si>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</si>
  <si>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</si>
  <si>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</si>
  <si>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</si>
  <si>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</si>
  <si>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</si>
  <si>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</si>
  <si>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</si>
  <si>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</si>
  <si>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</si>
  <si>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</si>
  <si>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</si>
  <si>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</si>
  <si>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</si>
  <si>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</si>
  <si>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</si>
  <si>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</si>
  <si>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</si>
  <si>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</si>
  <si>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</si>
  <si>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</si>
  <si>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</si>
  <si>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</si>
  <si>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</si>
  <si>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</si>
  <si>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</si>
  <si>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</si>
  <si>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</si>
  <si>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</si>
  <si>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</si>
  <si>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</si>
  <si>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</si>
  <si>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</si>
  <si>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</si>
  <si>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</si>
  <si>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</si>
  <si>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</si>
  <si>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</si>
  <si>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</si>
  <si>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</si>
  <si>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</si>
  <si>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</si>
  <si>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</si>
  <si>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</si>
  <si>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</si>
  <si>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</si>
  <si>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</si>
  <si>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</si>
  <si>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Bldg No . 7766 Al Dana, Al Jubail 35514, Kingdom of Saudi Arabia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</si>
  <si>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</si>
  <si>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</si>
  <si>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</si>
  <si>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</si>
  <si>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</si>
  <si>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</si>
  <si>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</si>
  <si>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</si>
  <si>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</si>
  <si>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</si>
  <si>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Shahid</t>
  </si>
  <si>
    <t xml:space="preserve">+966 57 022 0960 / info@fourzonecontracting.com </t>
  </si>
  <si>
    <t>Mobile : +966 57 022 0960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</si>
  <si>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</si>
  <si>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</si>
  <si>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</si>
  <si>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</si>
  <si>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</si>
  <si>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</si>
  <si>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</si>
  <si>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</si>
  <si>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</si>
  <si>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FOUR ZONE CONTRACTING EST.</t>
  </si>
  <si>
    <t>THE SAUDI NATIONAL BANK</t>
  </si>
  <si>
    <t>NCBKSAJE</t>
  </si>
  <si>
    <t>Sales Executive</t>
  </si>
  <si>
    <t>RT Crane</t>
  </si>
  <si>
    <t>Crane Mob &amp; De-Mob. Charge</t>
  </si>
  <si>
    <t>Mob. &amp; De-Mob. / per unit - lump sum</t>
    <phoneticPr fontId="3" type="noConversion"/>
  </si>
  <si>
    <t>L / S</t>
    <phoneticPr fontId="10" type="noConversion"/>
  </si>
  <si>
    <t>01400013788710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</si>
  <si>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-MRS-0237</t>
    </r>
  </si>
  <si>
    <t>100 Ton RT Crance with Aramco Certified Operator</t>
  </si>
  <si>
    <t>SA34 1000 0001 4000 1378 8710</t>
  </si>
  <si>
    <t>110 Ton RT Crance with Aramco Certified Operator</t>
  </si>
  <si>
    <t>FZ-OFFR-2026-1792 &amp; 1793</t>
  </si>
  <si>
    <t>2/16/2026 &amp; 2/23/2026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</si>
</sst>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10" sqref="B10:C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100</v>
      </c>
      <c r="B1" s="110"/>
      <c r="C1" s="110"/>
      <c r="D1" s="110"/>
      <c r="E1" s="110"/>
      <c r="F1" s="110"/>
      <c r="G1" s="1"/>
      <c r="J1" s="127" t="s">
        <v>101</v>
      </c>
      <c r="K1" s="128"/>
      <c r="L1" s="129"/>
    </row>
    <row r="2" spans="1:19" ht="20.100000000000001" customHeight="1">
      <c r="A2" s="3" t="s">
        <v>102</v>
      </c>
      <c r="B2" s="101"/>
      <c r="C2" s="101"/>
      <c r="D2" s="3" t="s">
        <v>103</v>
      </c>
      <c r="E2" s="101"/>
      <c r="F2" s="101"/>
      <c r="G2" s="101"/>
      <c r="H2" s="101"/>
      <c r="I2" s="4"/>
      <c r="J2" s="130" t="s">
        <v>104</v>
      </c>
      <c r="K2" s="131"/>
      <c r="L2" s="132"/>
    </row>
    <row r="3" spans="1:19" ht="20.100000000000001" customHeight="1">
      <c r="A3" s="3" t="s">
        <v>130</v>
      </c>
      <c r="B3" s="101"/>
      <c r="C3" s="101"/>
      <c r="D3" s="101"/>
      <c r="E3" s="133">
        <f>+L3</f>
        <v>46085</v>
      </c>
      <c r="F3" s="133"/>
      <c r="G3" s="133"/>
      <c r="H3" s="133"/>
      <c r="I3" s="133"/>
      <c r="J3" s="101"/>
      <c r="K3" s="101"/>
      <c r="L3" s="122">
        <v>46085</v>
      </c>
      <c r="M3" s="4"/>
    </row>
    <row r="4" spans="1:19" ht="15.95" customHeight="1">
      <c r="A4" s="134" t="s">
        <v>1</v>
      </c>
      <c r="B4" s="135" t="s">
        <v>2</v>
      </c>
      <c r="C4" s="135"/>
      <c r="D4" s="136" t="s">
        <v>3</v>
      </c>
      <c r="E4" s="137"/>
      <c r="F4" s="138"/>
      <c r="G4" s="142" t="s">
        <v>4</v>
      </c>
      <c r="H4" s="144" t="s">
        <v>5</v>
      </c>
      <c r="I4" s="144" t="s">
        <v>94</v>
      </c>
      <c r="J4" s="134" t="s">
        <v>95</v>
      </c>
      <c r="K4" s="144" t="s">
        <v>0</v>
      </c>
      <c r="L4" s="135" t="s">
        <v>6</v>
      </c>
    </row>
    <row r="5" spans="1:19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9" ht="22.5" customHeight="1">
      <c r="A6" s="5">
        <f t="shared" ref="A6:A15" si="0">ROW(A1)</f>
        <v>1</v>
      </c>
      <c r="B6" s="146" t="s">
        <v>125</v>
      </c>
      <c r="C6" s="147"/>
      <c r="D6" s="148" t="s">
        <v>131</v>
      </c>
      <c r="E6" s="149"/>
      <c r="F6" s="150"/>
      <c r="G6" s="111" t="s">
        <v>89</v>
      </c>
      <c r="H6" s="112">
        <v>1</v>
      </c>
      <c r="I6" s="113">
        <v>105000</v>
      </c>
      <c r="J6" s="113">
        <f>H6*I6</f>
        <v>105000</v>
      </c>
      <c r="K6" s="114" t="s">
        <v>96</v>
      </c>
      <c r="L6" s="115" t="s">
        <v>99</v>
      </c>
      <c r="S6" s="106"/>
    </row>
    <row r="7" spans="1:19" ht="22.5" customHeight="1">
      <c r="A7" s="5">
        <f t="shared" si="0"/>
        <v>2</v>
      </c>
      <c r="B7" s="146" t="s">
        <v>126</v>
      </c>
      <c r="C7" s="147"/>
      <c r="D7" s="151" t="s">
        <v>127</v>
      </c>
      <c r="E7" s="149"/>
      <c r="F7" s="150"/>
      <c r="G7" s="111" t="s">
        <v>128</v>
      </c>
      <c r="H7" s="112">
        <v>2</v>
      </c>
      <c r="I7" s="113">
        <v>5000</v>
      </c>
      <c r="J7" s="113">
        <f>H7*I7</f>
        <v>10000</v>
      </c>
      <c r="K7" s="114"/>
      <c r="L7" s="115"/>
      <c r="S7" s="106"/>
    </row>
    <row r="8" spans="1:19" ht="22.5" customHeight="1">
      <c r="A8" s="5">
        <f t="shared" si="0"/>
        <v>3</v>
      </c>
      <c r="B8" s="146" t="s">
        <v>125</v>
      </c>
      <c r="C8" s="147"/>
      <c r="D8" s="148" t="s">
        <v>133</v>
      </c>
      <c r="E8" s="149"/>
      <c r="F8" s="150"/>
      <c r="G8" s="111" t="s">
        <v>89</v>
      </c>
      <c r="H8" s="112">
        <v>1</v>
      </c>
      <c r="I8" s="113">
        <v>105000</v>
      </c>
      <c r="J8" s="113">
        <f>H8*I8</f>
        <v>105000</v>
      </c>
      <c r="K8" s="114"/>
      <c r="L8" s="115"/>
      <c r="S8" s="106"/>
    </row>
    <row r="9" spans="1:19" ht="22.5" customHeight="1">
      <c r="A9" s="5">
        <f t="shared" si="0"/>
        <v>4</v>
      </c>
      <c r="B9" s="146" t="s">
        <v>126</v>
      </c>
      <c r="C9" s="147"/>
      <c r="D9" s="151" t="s">
        <v>127</v>
      </c>
      <c r="E9" s="149"/>
      <c r="F9" s="150"/>
      <c r="G9" s="111" t="s">
        <v>128</v>
      </c>
      <c r="H9" s="112">
        <v>2</v>
      </c>
      <c r="I9" s="113">
        <v>5000</v>
      </c>
      <c r="J9" s="113">
        <f>H9*I9</f>
        <v>10000</v>
      </c>
      <c r="K9" s="114"/>
      <c r="L9" s="115"/>
      <c r="S9" s="106"/>
    </row>
    <row r="10" spans="1:19" ht="22.5" customHeight="1">
      <c r="A10" s="5">
        <f t="shared" si="0"/>
        <v>5</v>
      </c>
      <c r="B10" s="152"/>
      <c r="C10" s="152"/>
      <c r="D10" s="153"/>
      <c r="E10" s="153"/>
      <c r="F10" s="153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6"/>
      <c r="C11" s="147"/>
      <c r="D11" s="148"/>
      <c r="E11" s="149"/>
      <c r="F11" s="150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2"/>
      <c r="C12" s="152"/>
      <c r="D12" s="153"/>
      <c r="E12" s="153"/>
      <c r="F12" s="153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6"/>
      <c r="C13" s="147"/>
      <c r="D13" s="148"/>
      <c r="E13" s="149"/>
      <c r="F13" s="150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6"/>
      <c r="C14" s="147"/>
      <c r="D14" s="148"/>
      <c r="E14" s="149"/>
      <c r="F14" s="150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6"/>
      <c r="C15" s="147"/>
      <c r="D15" s="148"/>
      <c r="E15" s="149"/>
      <c r="F15" s="150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4" t="s">
        <v>7</v>
      </c>
      <c r="B16" s="155"/>
      <c r="C16" s="117"/>
      <c r="D16" s="118"/>
      <c r="E16" s="118"/>
      <c r="F16" s="118"/>
      <c r="G16" s="119"/>
      <c r="H16" s="119"/>
      <c r="I16" s="120" t="s">
        <v>8</v>
      </c>
      <c r="J16" s="113">
        <f>SUM(J6:J15)</f>
        <v>230000</v>
      </c>
      <c r="K16" s="113"/>
      <c r="L16" s="121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6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57"/>
      <c r="T19" s="14"/>
      <c r="U19" s="15"/>
      <c r="V19" s="14"/>
    </row>
    <row r="20" spans="1:22" ht="17.100000000000001" customHeight="1">
      <c r="O20" s="11"/>
      <c r="P20" s="11"/>
      <c r="Q20" s="11"/>
      <c r="S20" s="158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59" t="s">
        <v>16</v>
      </c>
      <c r="Q21" s="159" t="s">
        <v>17</v>
      </c>
    </row>
    <row r="22" spans="1:22" ht="18" customHeight="1">
      <c r="O22" s="18" t="s">
        <v>18</v>
      </c>
      <c r="P22" s="160"/>
      <c r="Q22" s="160"/>
      <c r="S22" s="156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57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58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61"/>
      <c r="P27" s="161"/>
      <c r="Q27" s="161"/>
    </row>
    <row r="28" spans="1:22" ht="19.899999999999999" customHeight="1">
      <c r="O28" s="161"/>
      <c r="P28" s="161"/>
      <c r="Q28" s="16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9" t="s">
        <v>20</v>
      </c>
    </row>
    <row r="41" spans="15:22" ht="19.899999999999999" customHeight="1">
      <c r="T41" s="160"/>
    </row>
    <row r="42" spans="15:22" ht="64.900000000000006" customHeight="1">
      <c r="T42" s="14"/>
    </row>
    <row r="46" spans="15:22" ht="21" customHeight="1">
      <c r="O46" s="159" t="s">
        <v>20</v>
      </c>
      <c r="P46" s="159" t="s">
        <v>20</v>
      </c>
      <c r="Q46" s="159" t="s">
        <v>20</v>
      </c>
      <c r="T46" s="159" t="s">
        <v>21</v>
      </c>
      <c r="U46" s="159" t="s">
        <v>12</v>
      </c>
      <c r="V46" s="159" t="s">
        <v>20</v>
      </c>
    </row>
    <row r="47" spans="15:22" ht="21" customHeight="1">
      <c r="O47" s="160"/>
      <c r="P47" s="160"/>
      <c r="Q47" s="160"/>
      <c r="T47" s="158"/>
      <c r="U47" s="158"/>
      <c r="V47" s="16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9" t="s">
        <v>20</v>
      </c>
      <c r="P50" s="159" t="s">
        <v>20</v>
      </c>
      <c r="Q50" s="159" t="s">
        <v>20</v>
      </c>
      <c r="T50" s="159" t="s">
        <v>12</v>
      </c>
      <c r="U50" s="159" t="s">
        <v>21</v>
      </c>
      <c r="V50" s="159" t="s">
        <v>20</v>
      </c>
    </row>
    <row r="51" spans="15:22" ht="21" customHeight="1">
      <c r="O51" s="160"/>
      <c r="P51" s="160"/>
      <c r="Q51" s="160"/>
      <c r="T51" s="158"/>
      <c r="U51" s="158"/>
      <c r="V51" s="16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93</v>
      </c>
      <c r="B1" s="100"/>
      <c r="C1" s="100"/>
      <c r="D1" s="100"/>
      <c r="E1" s="100"/>
      <c r="F1" s="100"/>
      <c r="G1" s="1"/>
      <c r="J1" s="162" t="str">
        <f>+MRS!J1</f>
        <v>DAESHIN PLANT</v>
      </c>
      <c r="K1" s="16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64" t="str">
        <f>+MRS!J2</f>
        <v>Subcontract name (SAC2-SC-IK-SMP-01)</v>
      </c>
      <c r="K2" s="165"/>
    </row>
    <row r="3" spans="1:18" ht="24.95" customHeight="1">
      <c r="A3" s="3" t="str">
        <f>+MRS!A3</f>
        <v xml:space="preserve">  MRS No : SAC2-DS-MRS-0237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46085</v>
      </c>
    </row>
    <row r="4" spans="1:18" ht="15.95" customHeight="1">
      <c r="A4" s="166" t="s">
        <v>1</v>
      </c>
      <c r="B4" s="167" t="s">
        <v>22</v>
      </c>
      <c r="C4" s="167"/>
      <c r="D4" s="166" t="s">
        <v>3</v>
      </c>
      <c r="E4" s="166"/>
      <c r="F4" s="166"/>
      <c r="G4" s="167" t="s">
        <v>4</v>
      </c>
      <c r="H4" s="166" t="s">
        <v>90</v>
      </c>
      <c r="I4" s="166" t="s">
        <v>23</v>
      </c>
      <c r="J4" s="166" t="s">
        <v>24</v>
      </c>
      <c r="K4" s="167" t="s">
        <v>6</v>
      </c>
    </row>
    <row r="5" spans="1:18" ht="15.95" customHeight="1">
      <c r="A5" s="166"/>
      <c r="B5" s="167"/>
      <c r="C5" s="167"/>
      <c r="D5" s="166"/>
      <c r="E5" s="166"/>
      <c r="F5" s="166"/>
      <c r="G5" s="167"/>
      <c r="H5" s="166"/>
      <c r="I5" s="166"/>
      <c r="J5" s="166"/>
      <c r="K5" s="167"/>
    </row>
    <row r="6" spans="1:18" ht="105" customHeight="1">
      <c r="A6" s="21">
        <f>+MRS!A6</f>
        <v>1</v>
      </c>
      <c r="B6" s="168" t="str">
        <f>MRS!B6</f>
        <v>RT Crane</v>
      </c>
      <c r="C6" s="169"/>
      <c r="D6" s="170" t="str">
        <f>MRS!D6</f>
        <v>100 Ton RT Crance with Aramco Certified Operator</v>
      </c>
      <c r="E6" s="171"/>
      <c r="F6" s="172"/>
      <c r="G6" s="103" t="str">
        <f>MRS!G6</f>
        <v>Month</v>
      </c>
      <c r="H6" s="103">
        <f>MRS!H6</f>
        <v>1</v>
      </c>
      <c r="I6" s="104">
        <f>MRS!I6</f>
        <v>105000</v>
      </c>
      <c r="J6" s="104">
        <f>MRS!J6</f>
        <v>105000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8" t="str">
        <f>MRS!B7</f>
        <v>Crane Mob &amp; De-Mob. Charge</v>
      </c>
      <c r="C7" s="169"/>
      <c r="D7" s="170" t="str">
        <f>MRS!D7</f>
        <v>Mob. &amp; De-Mob. / per unit - lump sum</v>
      </c>
      <c r="E7" s="171"/>
      <c r="F7" s="172"/>
      <c r="G7" s="103" t="str">
        <f>MRS!G7</f>
        <v>L / S</v>
      </c>
      <c r="H7" s="103">
        <f>MRS!H7</f>
        <v>2</v>
      </c>
      <c r="I7" s="104">
        <f>MRS!I7</f>
        <v>5000</v>
      </c>
      <c r="J7" s="104">
        <f>MRS!J7</f>
        <v>10000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8" t="str">
        <f>MRS!B8</f>
        <v>RT Crane</v>
      </c>
      <c r="C8" s="169"/>
      <c r="D8" s="170" t="str">
        <f>MRS!D8</f>
        <v>110 Ton RT Crance with Aramco Certified Operator</v>
      </c>
      <c r="E8" s="171"/>
      <c r="F8" s="172"/>
      <c r="G8" s="103" t="str">
        <f>MRS!G8</f>
        <v>Month</v>
      </c>
      <c r="H8" s="103">
        <f>MRS!H8</f>
        <v>1</v>
      </c>
      <c r="I8" s="104">
        <f>MRS!I8</f>
        <v>105000</v>
      </c>
      <c r="J8" s="104">
        <f>MRS!J8</f>
        <v>105000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73"/>
      <c r="C9" s="174"/>
      <c r="D9" s="175"/>
      <c r="E9" s="176"/>
      <c r="F9" s="177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73"/>
      <c r="C10" s="174"/>
      <c r="D10" s="175"/>
      <c r="E10" s="176"/>
      <c r="F10" s="177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73"/>
      <c r="C11" s="174"/>
      <c r="D11" s="175"/>
      <c r="E11" s="176"/>
      <c r="F11" s="177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73"/>
      <c r="C12" s="174"/>
      <c r="D12" s="175"/>
      <c r="E12" s="176"/>
      <c r="F12" s="177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3"/>
      <c r="C13" s="174"/>
      <c r="D13" s="175"/>
      <c r="E13" s="176"/>
      <c r="F13" s="177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3"/>
      <c r="C14" s="174"/>
      <c r="D14" s="175"/>
      <c r="E14" s="176"/>
      <c r="F14" s="177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3"/>
      <c r="C15" s="174"/>
      <c r="D15" s="175"/>
      <c r="E15" s="176"/>
      <c r="F15" s="177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3"/>
      <c r="C16" s="174"/>
      <c r="D16" s="175"/>
      <c r="E16" s="176"/>
      <c r="F16" s="177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3"/>
      <c r="C17" s="174"/>
      <c r="D17" s="175"/>
      <c r="E17" s="176"/>
      <c r="F17" s="177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C28" sqref="C2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108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105</v>
      </c>
      <c r="D9" s="39"/>
      <c r="E9" s="39"/>
    </row>
    <row r="10" spans="2:13" s="39" customFormat="1">
      <c r="B10" s="72"/>
      <c r="C10" s="39" t="s">
        <v>31</v>
      </c>
      <c r="D10" s="36">
        <v>2055133627</v>
      </c>
      <c r="J10" s="39" t="s">
        <v>32</v>
      </c>
      <c r="K10" s="179">
        <f>MRS!L3</f>
        <v>46085</v>
      </c>
      <c r="L10" s="180"/>
      <c r="M10" s="180"/>
    </row>
    <row r="11" spans="2:13" s="39" customFormat="1">
      <c r="B11" s="72"/>
      <c r="C11" s="75" t="s">
        <v>33</v>
      </c>
      <c r="D11" s="76" t="s">
        <v>97</v>
      </c>
      <c r="J11" s="39" t="s">
        <v>34</v>
      </c>
      <c r="K11" s="181" t="str">
        <f>SUBSTITUTE(SUBSTITUTE(+MRS!A3,"  MRS No : ",""),"-MRS","-PO")</f>
        <v>SAC2-DS-PO-0237</v>
      </c>
      <c r="L11" s="181"/>
      <c r="M11" s="181"/>
    </row>
    <row r="12" spans="2:13" s="39" customFormat="1">
      <c r="B12" s="72"/>
      <c r="C12" s="75" t="s">
        <v>35</v>
      </c>
      <c r="D12" s="39" t="s">
        <v>109</v>
      </c>
      <c r="J12" s="39" t="s">
        <v>36</v>
      </c>
    </row>
    <row r="13" spans="2:13" s="39" customFormat="1">
      <c r="B13" s="72"/>
      <c r="C13" s="77"/>
      <c r="D13" s="76" t="s">
        <v>110</v>
      </c>
      <c r="J13" s="39" t="s">
        <v>37</v>
      </c>
    </row>
    <row r="14" spans="2:13" s="39" customFormat="1">
      <c r="B14" s="72"/>
      <c r="C14" s="77" t="s">
        <v>98</v>
      </c>
      <c r="J14" s="39" t="s">
        <v>38</v>
      </c>
      <c r="K14" s="39" t="s">
        <v>134</v>
      </c>
    </row>
    <row r="15" spans="2:13" s="39" customFormat="1">
      <c r="B15" s="72"/>
      <c r="C15" s="77" t="s">
        <v>111</v>
      </c>
      <c r="J15" s="39" t="s">
        <v>39</v>
      </c>
      <c r="K15" s="78" t="s">
        <v>135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2" t="s">
        <v>40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</row>
    <row r="19" spans="2:13" ht="12" customHeight="1"/>
    <row r="20" spans="2:13" s="31" customFormat="1" ht="12" customHeight="1">
      <c r="B20" s="183" t="s">
        <v>41</v>
      </c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</row>
    <row r="21" spans="2:13" s="31" customFormat="1" ht="12" customHeight="1">
      <c r="B21" s="183" t="s">
        <v>42</v>
      </c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</row>
    <row r="22" spans="2:13" s="31" customFormat="1" ht="12" customHeight="1">
      <c r="B22" s="183" t="s">
        <v>43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</row>
    <row r="23" spans="2:13" ht="6.95" customHeight="1"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</row>
    <row r="24" spans="2:13" ht="6.95" customHeight="1"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124" t="s">
        <v>131</v>
      </c>
      <c r="M26" s="79" t="s">
        <v>45</v>
      </c>
    </row>
    <row r="27" spans="2:13" ht="11.1" customHeight="1">
      <c r="B27" s="32"/>
      <c r="C27" s="126" t="s">
        <v>133</v>
      </c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186" t="s">
        <v>99</v>
      </c>
      <c r="G29" s="186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186"/>
      <c r="G30" s="186"/>
    </row>
    <row r="31" spans="2:13" ht="12" customHeight="1">
      <c r="B31" s="32"/>
      <c r="C31" s="26" t="s">
        <v>50</v>
      </c>
      <c r="D31" s="35"/>
      <c r="E31" s="26" t="s">
        <v>48</v>
      </c>
      <c r="F31" s="186"/>
      <c r="G31" s="186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11.1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11.1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80" t="s">
        <v>64</v>
      </c>
      <c r="C49" s="81" t="s">
        <v>106</v>
      </c>
      <c r="P49" s="82"/>
    </row>
    <row r="50" spans="2:16" s="83" customFormat="1" ht="12" customHeight="1">
      <c r="B50" s="84" t="s">
        <v>64</v>
      </c>
      <c r="C50" s="81" t="s">
        <v>92</v>
      </c>
    </row>
    <row r="51" spans="2:16" s="83" customFormat="1" ht="12" customHeight="1">
      <c r="B51" s="84" t="s">
        <v>64</v>
      </c>
      <c r="C51" s="81" t="s">
        <v>91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112</v>
      </c>
    </row>
    <row r="54" spans="2:16" ht="12" customHeight="1">
      <c r="B54" s="84" t="s">
        <v>64</v>
      </c>
      <c r="C54" s="125" t="s">
        <v>113</v>
      </c>
      <c r="F54" s="26" t="s">
        <v>121</v>
      </c>
      <c r="P54" s="26" t="str">
        <f>UPPER(F54)</f>
        <v>FOUR ZONE CONTRACTING EST.</v>
      </c>
    </row>
    <row r="55" spans="2:16" ht="12" customHeight="1">
      <c r="B55" s="84" t="s">
        <v>64</v>
      </c>
      <c r="C55" s="125" t="s">
        <v>114</v>
      </c>
      <c r="F55" s="126" t="s">
        <v>129</v>
      </c>
    </row>
    <row r="56" spans="2:16" ht="12" customHeight="1">
      <c r="B56" s="84" t="s">
        <v>64</v>
      </c>
      <c r="C56" s="125" t="s">
        <v>115</v>
      </c>
      <c r="F56" s="126" t="s">
        <v>132</v>
      </c>
    </row>
    <row r="57" spans="2:16" ht="12" customHeight="1">
      <c r="B57" s="84" t="s">
        <v>64</v>
      </c>
      <c r="C57" s="125" t="s">
        <v>116</v>
      </c>
      <c r="F57" s="26" t="s">
        <v>122</v>
      </c>
    </row>
    <row r="58" spans="2:16" ht="12" customHeight="1">
      <c r="B58" s="84" t="s">
        <v>64</v>
      </c>
      <c r="C58" s="125" t="s">
        <v>117</v>
      </c>
      <c r="F58" s="26" t="s">
        <v>123</v>
      </c>
    </row>
    <row r="59" spans="2:16" ht="12" customHeight="1">
      <c r="B59" s="84" t="s">
        <v>64</v>
      </c>
      <c r="C59" s="125" t="s">
        <v>118</v>
      </c>
      <c r="F59" s="26" t="s">
        <v>119</v>
      </c>
    </row>
    <row r="60" spans="2:16" ht="12" customHeight="1">
      <c r="B60" s="84"/>
      <c r="C60" s="125" t="s">
        <v>120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7.5" customHeight="1">
      <c r="B63" s="42"/>
    </row>
    <row r="64" spans="2:16">
      <c r="B64" s="32" t="s">
        <v>65</v>
      </c>
      <c r="J64" s="32" t="s">
        <v>66</v>
      </c>
    </row>
    <row r="65" spans="1:13" ht="42.75" customHeight="1"/>
    <row r="66" spans="1:13" ht="18" customHeight="1">
      <c r="B66" s="26" t="s">
        <v>67</v>
      </c>
      <c r="J66" s="26" t="s">
        <v>67</v>
      </c>
    </row>
    <row r="67" spans="1:13" ht="18" customHeight="1">
      <c r="B67" s="26" t="s">
        <v>68</v>
      </c>
      <c r="J67" s="26" t="s">
        <v>69</v>
      </c>
      <c r="K67" s="22" t="str">
        <f>UPPER(D12)</f>
        <v>SHAHID</v>
      </c>
    </row>
    <row r="68" spans="1:13" ht="18" customHeight="1">
      <c r="B68" s="26" t="s">
        <v>70</v>
      </c>
      <c r="J68" s="26" t="s">
        <v>71</v>
      </c>
      <c r="K68" s="22" t="s">
        <v>124</v>
      </c>
    </row>
    <row r="69" spans="1:13" ht="15" customHeight="1">
      <c r="B69" s="26" t="s">
        <v>72</v>
      </c>
      <c r="J69" s="26" t="s">
        <v>73</v>
      </c>
    </row>
    <row r="70" spans="1:13" s="28" customFormat="1" ht="15" customHeight="1">
      <c r="B70" s="25" t="s">
        <v>107</v>
      </c>
      <c r="J70" s="25" t="str">
        <f>C9</f>
        <v>FZCE(Four Zone Contracting Est.)</v>
      </c>
    </row>
    <row r="71" spans="1:13" ht="27.95" customHeight="1">
      <c r="A71" s="178" t="s">
        <v>74</v>
      </c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9" sqref="B9:C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SAC2-DS-PO-0237</v>
      </c>
      <c r="C2" s="189" t="s">
        <v>76</v>
      </c>
      <c r="D2" s="189"/>
      <c r="E2" s="189"/>
      <c r="F2" s="189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46085</v>
      </c>
      <c r="C3" s="51"/>
      <c r="D3" s="52"/>
      <c r="E3" s="190" t="s">
        <v>78</v>
      </c>
      <c r="F3" s="190"/>
      <c r="G3" s="190"/>
      <c r="H3" s="190"/>
      <c r="I3" s="53"/>
    </row>
    <row r="4" spans="1:13" s="55" customFormat="1" ht="28.5" customHeight="1" thickTop="1">
      <c r="A4" s="191" t="s">
        <v>79</v>
      </c>
      <c r="B4" s="193" t="s">
        <v>80</v>
      </c>
      <c r="C4" s="194"/>
      <c r="D4" s="197" t="s">
        <v>81</v>
      </c>
      <c r="E4" s="197" t="s">
        <v>82</v>
      </c>
      <c r="F4" s="199" t="str">
        <f>'PO 1st page'!C9</f>
        <v>FZCE(Four Zone Contracting Est.)</v>
      </c>
      <c r="G4" s="200"/>
      <c r="H4" s="201" t="s">
        <v>83</v>
      </c>
      <c r="K4" s="56"/>
      <c r="L4" s="56"/>
      <c r="M4" s="56"/>
    </row>
    <row r="5" spans="1:13" s="55" customFormat="1" ht="21.95" customHeight="1">
      <c r="A5" s="192"/>
      <c r="B5" s="195"/>
      <c r="C5" s="196"/>
      <c r="D5" s="198"/>
      <c r="E5" s="198"/>
      <c r="F5" s="57" t="s">
        <v>84</v>
      </c>
      <c r="G5" s="57" t="s">
        <v>50</v>
      </c>
      <c r="H5" s="202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3" t="str">
        <f>CONCATENATE(MRS!B6," ",MRS!D6)</f>
        <v>RT Crane 100 Ton RT Crance with Aramco Certified Operator</v>
      </c>
      <c r="C6" s="204"/>
      <c r="D6" s="86" t="str">
        <f>MRS!G6</f>
        <v>Month</v>
      </c>
      <c r="E6" s="86">
        <f>MRS!H6</f>
        <v>1</v>
      </c>
      <c r="F6" s="87">
        <f>MRS!I6</f>
        <v>105000</v>
      </c>
      <c r="G6" s="88">
        <f>MRS!J6</f>
        <v>105000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203" t="str">
        <f>CONCATENATE(MRS!B7," ",MRS!D7)</f>
        <v>Crane Mob &amp; De-Mob. Charge Mob. &amp; De-Mob. / per unit - lump sum</v>
      </c>
      <c r="C7" s="204"/>
      <c r="D7" s="86" t="str">
        <f>MRS!G7</f>
        <v>L / S</v>
      </c>
      <c r="E7" s="86">
        <f>MRS!H7</f>
        <v>2</v>
      </c>
      <c r="F7" s="87">
        <f>MRS!I7</f>
        <v>5000</v>
      </c>
      <c r="G7" s="88">
        <f>MRS!J7</f>
        <v>10000</v>
      </c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203" t="str">
        <f>CONCATENATE(MRS!B8," ",MRS!D8)</f>
        <v>RT Crane 110 Ton RT Crance with Aramco Certified Operator</v>
      </c>
      <c r="C8" s="204"/>
      <c r="D8" s="86" t="str">
        <f>MRS!G8</f>
        <v>Month</v>
      </c>
      <c r="E8" s="86">
        <f>MRS!H8</f>
        <v>1</v>
      </c>
      <c r="F8" s="87">
        <f>MRS!I8</f>
        <v>105000</v>
      </c>
      <c r="G8" s="88">
        <f>MRS!J8</f>
        <v>105000</v>
      </c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203" t="str">
        <f>CONCATENATE(MRS!B9," ",MRS!D9)</f>
        <v>Crane Mob &amp; De-Mob. Charge Mob. &amp; De-Mob. / per unit - lump sum</v>
      </c>
      <c r="C9" s="204"/>
      <c r="D9" s="86" t="str">
        <f>MRS!G9</f>
        <v>L / S</v>
      </c>
      <c r="E9" s="86">
        <f>MRS!H9</f>
        <v>2</v>
      </c>
      <c r="F9" s="87">
        <f>MRS!I9</f>
        <v>5000</v>
      </c>
      <c r="G9" s="88">
        <f>MRS!J9</f>
        <v>10000</v>
      </c>
      <c r="H9" s="97"/>
    </row>
    <row r="10" spans="1:13" s="55" customFormat="1" ht="32.1" customHeight="1">
      <c r="A10" s="92">
        <f t="shared" si="0"/>
        <v>5</v>
      </c>
      <c r="B10" s="187"/>
      <c r="C10" s="188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87"/>
      <c r="C11" s="188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87"/>
      <c r="C12" s="188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7"/>
      <c r="C13" s="188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7"/>
      <c r="C14" s="188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7"/>
      <c r="C15" s="188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7"/>
      <c r="C16" s="188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7"/>
      <c r="C17" s="188"/>
      <c r="D17" s="93"/>
      <c r="E17" s="94"/>
      <c r="F17" s="95"/>
      <c r="G17" s="96"/>
      <c r="H17" s="97"/>
    </row>
    <row r="18" spans="1:13" s="55" customFormat="1" ht="23.1" customHeight="1">
      <c r="A18" s="205" t="s">
        <v>85</v>
      </c>
      <c r="B18" s="206"/>
      <c r="C18" s="206"/>
      <c r="D18" s="206"/>
      <c r="E18" s="206"/>
      <c r="F18" s="206"/>
      <c r="G18" s="58">
        <f>SUM(G6:G17)</f>
        <v>230000</v>
      </c>
      <c r="H18" s="59"/>
    </row>
    <row r="19" spans="1:13" s="55" customFormat="1" ht="23.1" customHeight="1">
      <c r="A19" s="205" t="s">
        <v>49</v>
      </c>
      <c r="B19" s="206"/>
      <c r="C19" s="206"/>
      <c r="D19" s="206"/>
      <c r="E19" s="206"/>
      <c r="F19" s="206"/>
      <c r="G19" s="58">
        <f>+G18*0.15</f>
        <v>34500</v>
      </c>
      <c r="H19" s="59"/>
    </row>
    <row r="20" spans="1:13" s="55" customFormat="1" ht="24.95" customHeight="1" thickBot="1">
      <c r="A20" s="207" t="s">
        <v>86</v>
      </c>
      <c r="B20" s="208"/>
      <c r="C20" s="208"/>
      <c r="D20" s="208"/>
      <c r="E20" s="208"/>
      <c r="F20" s="208"/>
      <c r="G20" s="60">
        <f>G19+G18</f>
        <v>264500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FZ-OFFR-2026-1792 &amp; 1793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8" t="s">
        <v>88</v>
      </c>
      <c r="B24" s="178"/>
      <c r="C24" s="178"/>
      <c r="D24" s="178"/>
      <c r="E24" s="178"/>
      <c r="F24" s="178"/>
      <c r="G24" s="178"/>
      <c r="H24" s="178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2026-03-04T08:52:08Z</cp:lastPrinted>
  <dcterms:created xsi:type="dcterms:W3CDTF">2024-10-20T11:50:19Z</dcterms:created>
  <dcterms:modified xsi:type="dcterms:W3CDTF">2026-03-04T08:52:11Z</dcterms:modified>
</cp:coreProperties>
</file>