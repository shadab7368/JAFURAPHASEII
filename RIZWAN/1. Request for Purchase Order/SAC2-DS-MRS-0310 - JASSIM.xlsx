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FAFF8D4-DC1F-4859-AA2F-29D19C23613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MRS!$A$1:$L$158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page'!$A$1:$H$155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G6" i="4"/>
  <c r="F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6" i="4"/>
  <c r="A17" i="4"/>
  <c r="A18" i="4"/>
  <c r="A19" i="4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B8" i="4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2"/>
  <c r="A15" i="2"/>
  <c r="J15" i="2"/>
  <c r="J14" i="2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49" i="1" l="1"/>
  <c r="K67" i="3"/>
  <c r="E3" i="1"/>
  <c r="K10" i="3" l="1"/>
  <c r="A152" i="4" l="1"/>
  <c r="I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149" i="4" l="1"/>
  <c r="F29" i="3" s="1"/>
  <c r="G150" i="4" l="1"/>
  <c r="F30" i="3" s="1"/>
  <c r="G151" i="4" l="1"/>
  <c r="F31" i="3" s="1"/>
</calcChain>
</file>

<file path=xl/sharedStrings.xml><?xml version="1.0" encoding="utf-8"?>
<sst xmlns="http://schemas.openxmlformats.org/spreadsheetml/2006/main" count="439" uniqueCount="275">
  <si>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</si>
  <si>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</si>
  <si>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</si>
  <si>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</si>
  <si>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</si>
  <si>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</si>
  <si>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</si>
  <si>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</si>
  <si>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</si>
  <si>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</si>
  <si>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</si>
  <si>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</si>
  <si>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</si>
  <si>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</si>
  <si>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</si>
  <si>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</si>
  <si>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</si>
  <si>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</si>
  <si>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</si>
  <si>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</si>
  <si>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</si>
  <si>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</si>
  <si>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</si>
  <si>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</si>
  <si>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</si>
  <si>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</si>
  <si>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</si>
  <si>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</si>
  <si>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</si>
  <si>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</si>
  <si>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</si>
  <si>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</si>
  <si>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</si>
  <si>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</si>
  <si>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</si>
  <si>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</si>
  <si>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</si>
  <si>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</si>
  <si>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</si>
  <si>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</si>
  <si>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</si>
  <si>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</si>
  <si>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</si>
  <si>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</si>
  <si>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</si>
  <si>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</si>
  <si>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</si>
  <si>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</si>
  <si>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</si>
  <si>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</si>
  <si>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</si>
  <si>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</si>
  <si>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</si>
  <si>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</si>
  <si>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</si>
  <si>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</si>
  <si>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</si>
  <si>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</si>
  <si>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</si>
  <si>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</si>
  <si>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</si>
  <si>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</si>
  <si>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</si>
  <si>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</si>
  <si>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</si>
  <si>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</si>
  <si>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</si>
  <si>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</si>
  <si>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</si>
  <si>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</si>
  <si>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</si>
  <si>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</si>
  <si>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</si>
  <si>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</si>
  <si>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</si>
  <si>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</si>
  <si>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</si>
  <si>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</si>
  <si>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</si>
  <si>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</si>
  <si>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</si>
  <si>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</si>
  <si>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</si>
  <si>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</si>
  <si>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</si>
  <si>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</si>
  <si>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</si>
  <si>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</si>
  <si>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</si>
  <si>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</si>
  <si>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</si>
  <si>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</si>
  <si>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</si>
  <si>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</si>
  <si>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</si>
  <si>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</si>
  <si>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</si>
  <si>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</si>
  <si>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</si>
  <si>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</si>
  <si>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</si>
  <si>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</si>
  <si>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</si>
  <si>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</si>
  <si>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</si>
  <si>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</si>
  <si>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</si>
  <si>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</si>
  <si>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</si>
  <si>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</si>
  <si>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</si>
  <si>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</si>
  <si>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</si>
  <si>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</si>
  <si>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</si>
  <si>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</si>
  <si>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</si>
  <si>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</si>
  <si>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</si>
  <si>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</si>
  <si>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</si>
  <si>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</si>
  <si>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</si>
  <si>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</si>
  <si>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-MRS-0310</t>
    </r>
  </si>
  <si>
    <t>A/C Copper Tube Set 1/4"x15mtr</t>
  </si>
  <si>
    <t>A/C Copper Tube Set 5/8"x15mtr</t>
  </si>
  <si>
    <t>AC Gas R410A 11.6kg</t>
  </si>
  <si>
    <t>Allen Key Set 10-50mm</t>
  </si>
  <si>
    <t>Aluminum Foil Insulation 1x50mtr x 10mm thickness</t>
  </si>
  <si>
    <t>Anchor Rod HAS-U 5.8 M12x110 Hilti</t>
  </si>
  <si>
    <t>Anti Slip Utility Knife 18mm</t>
  </si>
  <si>
    <t>Argon Flow Meter</t>
  </si>
  <si>
    <t>Argon Regulator Connector Nut &amp; Nipple 9/16"-1/4"</t>
  </si>
  <si>
    <t>Auto Darkening Welding Goggles Solar Power Kastwave</t>
  </si>
  <si>
    <t>Auto Darkening Welding Goggles Solar Power Walfront</t>
  </si>
  <si>
    <t>Bridge Cam Gauge</t>
  </si>
  <si>
    <t>Ceramic Nozzle 250A #5 Normal</t>
  </si>
  <si>
    <t>Ceramic Nozzle 250A #6 Normal</t>
  </si>
  <si>
    <t>Ceramic Nozzle 250A #7 Normal</t>
  </si>
  <si>
    <t>Ceramic Nozzle 250A #8 Normal</t>
  </si>
  <si>
    <t>Ceramic Nozzle 350A #5</t>
  </si>
  <si>
    <t>Ceramic Nozzle 350A #6</t>
  </si>
  <si>
    <t>Ceramic Nozzle 350A #7</t>
  </si>
  <si>
    <t>Ceramic Nozzle 350A #8</t>
  </si>
  <si>
    <t>Coated Plywood 4'x8'x18mm</t>
  </si>
  <si>
    <t>Combination Spanner 10mm</t>
  </si>
  <si>
    <t>Cordless Angle Grinder 5" Paddle SW with 2-Battery &amp; Charger Dewalt</t>
  </si>
  <si>
    <t>Corrugated Sheet White 0.32mmx1mtrx3mtr</t>
  </si>
  <si>
    <t>Cotton Rags Mixed Color 10Kg</t>
  </si>
  <si>
    <t>Cotton Rags White 10Kg</t>
  </si>
  <si>
    <t>Crowfoot Spanner 1/2"drive 24-32mm Set</t>
  </si>
  <si>
    <t>Crowfoot Wernch 1/2"dr 24mm</t>
  </si>
  <si>
    <t>Crowfoot Wernch 1/2"dr 25mm</t>
  </si>
  <si>
    <t>Crowfoot Wernch 1/2"dr 26mm</t>
  </si>
  <si>
    <t>Crowfoot Wernch 1/2"dr 27mm</t>
  </si>
  <si>
    <t>Crowfoot Wernch 1/2"dr 28mm</t>
  </si>
  <si>
    <t>Crowfoot Wernch 1/2"dr 29mm</t>
  </si>
  <si>
    <t>Crowfoot Wernch 1/2"dr 32mm</t>
  </si>
  <si>
    <t>CS Angle 50x50x5mm, 6mtr</t>
  </si>
  <si>
    <t>CS Round Bar 10mm x 6mtr</t>
  </si>
  <si>
    <t>CS Square Tube 20x20x2mm, 6mtr</t>
  </si>
  <si>
    <t>Cup Brush S/S Crimped M10x75mm</t>
  </si>
  <si>
    <t>Dehumidifier 12 ltr 220V</t>
  </si>
  <si>
    <t>Dial Indicator 0-10mm/0.01mm 2046A Mitutoyo</t>
  </si>
  <si>
    <t>Diamond Grinding Wheel 4"</t>
  </si>
  <si>
    <t>Digital Clamp Meter 600VAC/DC AC400A True RMS 323 Fluke</t>
  </si>
  <si>
    <t>Digital Hygrometer 3.05" LCD Doqaus</t>
  </si>
  <si>
    <t>Drill Bit HSS Cobalt (S/S) 10mm</t>
  </si>
  <si>
    <t>Drill Bit HSS Cobalt (S/S) 12mm</t>
  </si>
  <si>
    <t>Drill Bit HSS Cobalt (S/S) 13mm</t>
  </si>
  <si>
    <t>Drill Bit HSS Cobalt (S/S) 4mm</t>
  </si>
  <si>
    <t>Drill Bit HSS Cobalt (S/S) 5mm</t>
  </si>
  <si>
    <t>Drill Bit HSS Cobalt (S/S) 6mm</t>
  </si>
  <si>
    <t>Drill Bit HSS Cobalt (S/S) 8mm</t>
  </si>
  <si>
    <t>Drill Machine 13mm in Steel Makita HP1604K</t>
  </si>
  <si>
    <t>Drill Machine 16mm in Steel 1050W Boscch GBM 16-2RE</t>
  </si>
  <si>
    <t>Drill Machine 6.5mm in Steel Makita M6501B</t>
  </si>
  <si>
    <t>Dust Mask N95 Venus</t>
  </si>
  <si>
    <t>Ear Plug with Corded</t>
  </si>
  <si>
    <t>Electric Insulation Tape Green</t>
  </si>
  <si>
    <t>Flap Disc S/S 4" 80 Grit</t>
  </si>
  <si>
    <t>Grease Nipple 1/4"</t>
  </si>
  <si>
    <t>Half Face Reusable Respirator 3M 6200</t>
  </si>
  <si>
    <t>Half Round File C/S 12"</t>
  </si>
  <si>
    <t>Hammer Drill Bit SDS Plus 20x260mm</t>
  </si>
  <si>
    <t>Hammer Drill Bit SDS Plus 20x300mm</t>
  </si>
  <si>
    <t>Hammer Drill Machine SDS Plus GBH 2-24 DRE Bosch</t>
  </si>
  <si>
    <t>Hand Tap Set 3/4" NPT</t>
  </si>
  <si>
    <t>Hand Test Pump 300bar TG-300 Max Germany</t>
  </si>
  <si>
    <t>Hand Test Pump 50bar TB-72076 Taiwan</t>
  </si>
  <si>
    <t>Heat Stress Prevention Flag 1x1mtr Green</t>
  </si>
  <si>
    <t>Heat Stress Prevention Flag 1x1mtr Orange</t>
  </si>
  <si>
    <t>Heat Stress Prevention Flag 1x1mtr Red</t>
  </si>
  <si>
    <t>Heat Stress Prevention Flag 1x1mtr Yellow</t>
  </si>
  <si>
    <t>Hex Nipple 3/4" NPT</t>
  </si>
  <si>
    <t>Hex Nipple 3/4" NPT Male &amp; Female</t>
  </si>
  <si>
    <t>High Pressure Hose 215bar 3/4" 20mtr Female Fittings Both End</t>
  </si>
  <si>
    <t>High Pressure Hose 215bar 3/4" 50mtr Female Fittings Both End</t>
  </si>
  <si>
    <t>Hi-Lo Welding Gauge</t>
  </si>
  <si>
    <t>Industrial Mist Fan 26" 220V</t>
  </si>
  <si>
    <t>Injectable Mortar HIT-RE 500 V4/500 Hilti</t>
  </si>
  <si>
    <t>Inspection Mirror Round 1.25" Extendable</t>
  </si>
  <si>
    <t>Insulation Copper Pipe 1/4" x 15mtr</t>
  </si>
  <si>
    <t>Insulation Copper Pipe 5/8" x 15mtr</t>
  </si>
  <si>
    <t>Insulation Tape Black 2"</t>
  </si>
  <si>
    <t>LED Ceiling Light 12" 30W</t>
  </si>
  <si>
    <t>LED Torch Light Rechargeable G1000 Gerarlite</t>
  </si>
  <si>
    <t>LED Torch Light Rechargeable GFL4658Z Geepas</t>
  </si>
  <si>
    <t>Loctite 577 50ml</t>
  </si>
  <si>
    <t>Low Chloride Paint Marker Blue Markal</t>
  </si>
  <si>
    <t>Low Chloride Paint Marker Red Markal</t>
  </si>
  <si>
    <t>Magnetic Base Stand 7010S-10 Mitutoyo</t>
  </si>
  <si>
    <t>Magnetic Nut Socket 10mm</t>
  </si>
  <si>
    <t>Magnetic Nut Socket 6mm</t>
  </si>
  <si>
    <t>Magnetic Nut Socket 8mm</t>
  </si>
  <si>
    <t>Magnetic Split Level 230mm</t>
  </si>
  <si>
    <t>Magnetic Split Level 300mm</t>
  </si>
  <si>
    <t>Magnifying Glass</t>
  </si>
  <si>
    <t>Measuring Tape 5mtr</t>
  </si>
  <si>
    <t>Metal Tool Box 53x20x20cm</t>
  </si>
  <si>
    <t>Mounted Stone C/S A2 (25x35x6mm)</t>
  </si>
  <si>
    <t>Mounted Stone S/S A2 (25x35x6mm)</t>
  </si>
  <si>
    <t>Ordinary Plywood 4'x8'x6mm Indonesia</t>
  </si>
  <si>
    <t>Paint Scraper 2"</t>
  </si>
  <si>
    <t>Permanent Marker Pen Twin Tip Blue 1.0x0.5mm</t>
  </si>
  <si>
    <t>Pipe Bench Vice 4"</t>
  </si>
  <si>
    <t>Plastic Sandbag Heavy Duty (Gunny Sack) 50kg</t>
  </si>
  <si>
    <t>Pressure Gauge SS Body &amp; Connection 2.5" Dial 1/4" NPT 0-11bar with SS Bushing 1/4"F x 1/2"M NPT</t>
  </si>
  <si>
    <t>Pressure Gauge SS Body &amp; Connection 2.5" Dial 1/4" NPT 0-200bar with SS Bushing 1/4"F x 1/2"M NPT</t>
  </si>
  <si>
    <t>Pressure Gauge SS Body &amp; Connection 2.5" Dial 1/4" NPT 0-20bar with SS Bushing 1/4"F x 1/2"M NPT</t>
  </si>
  <si>
    <t>Pressure Gauge SS Body &amp; Connection 2.5" Dial 1/4" NPT 0-275bar with SS Bushing 1/4"F x 1/2"M NPT</t>
  </si>
  <si>
    <t>Pressure Gauge SS Body &amp; Connection 2.5" Dial 1/4" NPT 0-400bar</t>
  </si>
  <si>
    <t>Pressure Gauge SS Body &amp; Connection 2.5" Dial 1/4" NPT 0-40bar with SS Bushing 1/4"F x 1/2"M NPT</t>
  </si>
  <si>
    <t>PVC Bucket Heavy Duty 20Ltr White</t>
  </si>
  <si>
    <t>PVC Coated Orange Fire Blanket 1x50mtr</t>
  </si>
  <si>
    <t>PVC Flooring Sheet 4x30mtr 2mmt</t>
  </si>
  <si>
    <t>Pyrometer Infrared Thermometer</t>
  </si>
  <si>
    <t>REC Tube 100x50x5mm, 6mtr</t>
  </si>
  <si>
    <t>REC Tube 50x25x2mm, 6mtr</t>
  </si>
  <si>
    <t>Ring Hammer Wrench 60mm</t>
  </si>
  <si>
    <t>Screwdriver Bit Phillips Head (+/-) 6mm</t>
  </si>
  <si>
    <t>Soluble Cutting Oil 5ltr Super Ego Spain</t>
  </si>
  <si>
    <t>Split A/C 1.5Ton Heat &amp; Cooling Inverter Zamil</t>
  </si>
  <si>
    <t>Split Level 300mm</t>
  </si>
  <si>
    <t>Taper Gauge 15mm</t>
  </si>
  <si>
    <t>Teflon Tape 19mm x 40yard</t>
  </si>
  <si>
    <t>Thread Dies 1"-2" NPT 89102 Asada</t>
  </si>
  <si>
    <t>Thread Dies 1/2"-3/4" NPT 89101 Asada</t>
  </si>
  <si>
    <t>Tig Collet Body 250A 2.4mm</t>
  </si>
  <si>
    <t>Tig Collet Body 350A 2.4mm</t>
  </si>
  <si>
    <t>Tig Collet Pin 250A 2.4mm</t>
  </si>
  <si>
    <t>Tig Torch Back Cap Long (57Y02)</t>
  </si>
  <si>
    <t>Tig Torch Back Cap Short (57Y04)</t>
  </si>
  <si>
    <t>Tig Torch Head with Handle</t>
  </si>
  <si>
    <t>Tig Torch Set Fixed Type 10mtr</t>
  </si>
  <si>
    <t>Tig Torch Set Fixed Type 5mtr</t>
  </si>
  <si>
    <t>Tungsten Electrode 2.4mm</t>
  </si>
  <si>
    <t>Tungsten Electrode 3.2mm</t>
  </si>
  <si>
    <t>Utility Knife Blade 18mm (10ea/pkt)</t>
  </si>
  <si>
    <t>VD-40 Spray</t>
  </si>
  <si>
    <t>WD-40 330ml</t>
  </si>
  <si>
    <t>Welding Cable Connector 50-70mm2 Male &amp; Female</t>
  </si>
  <si>
    <t>Welding Glass Dark #10</t>
  </si>
  <si>
    <t>Welding Glass Dark #11</t>
  </si>
  <si>
    <t>Window A/C 2Ton Super General</t>
  </si>
  <si>
    <t>Wrapping Film Roll 50cm 50mtr 3Kg</t>
  </si>
  <si>
    <t>Zinc Spray Paint</t>
  </si>
  <si>
    <t>Nos</t>
  </si>
  <si>
    <t>Set</t>
  </si>
  <si>
    <t>Pair</t>
  </si>
  <si>
    <t>Roll</t>
  </si>
  <si>
    <t>Pkt</t>
  </si>
  <si>
    <t>Site Materials</t>
  </si>
  <si>
    <t>Q-20263207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</si>
</sst>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150</xdr:row>
          <xdr:rowOff>20054</xdr:rowOff>
        </xdr:from>
        <xdr:to>
          <xdr:col>12</xdr:col>
          <xdr:colOff>499</xdr:colOff>
          <xdr:row>157</xdr:row>
          <xdr:rowOff>30081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51:$S$157" spid="_x0000_s12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185"/>
  <sheetViews>
    <sheetView showGridLines="0" tabSelected="1" view="pageBreakPreview" topLeftCell="A102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4.7109375" style="2" customWidth="1"/>
    <col min="2" max="2" width="33.5703125" style="2" customWidth="1"/>
    <col min="3" max="3" width="30.140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6" t="s">
        <v>96</v>
      </c>
      <c r="B1" s="98"/>
      <c r="C1" s="98"/>
      <c r="D1" s="98"/>
      <c r="E1" s="98"/>
      <c r="F1" s="98"/>
      <c r="G1" s="1"/>
      <c r="J1" s="125" t="s">
        <v>87</v>
      </c>
      <c r="K1" s="126"/>
      <c r="L1" s="127"/>
    </row>
    <row r="2" spans="1:18" ht="20.100000000000001" customHeight="1">
      <c r="A2" s="3" t="s">
        <v>1</v>
      </c>
      <c r="B2" s="92"/>
      <c r="C2" s="92"/>
      <c r="D2" s="3" t="s">
        <v>95</v>
      </c>
      <c r="E2" s="92"/>
      <c r="F2" s="92"/>
      <c r="G2" s="92"/>
      <c r="H2" s="92"/>
      <c r="I2" s="4"/>
      <c r="J2" s="128" t="s">
        <v>94</v>
      </c>
      <c r="K2" s="129"/>
      <c r="L2" s="130"/>
    </row>
    <row r="3" spans="1:18" ht="20.100000000000001" customHeight="1">
      <c r="A3" s="3" t="s">
        <v>124</v>
      </c>
      <c r="B3" s="92"/>
      <c r="C3" s="92"/>
      <c r="D3" s="92"/>
      <c r="E3" s="131">
        <f>+L3</f>
        <v>46157</v>
      </c>
      <c r="F3" s="131"/>
      <c r="G3" s="131"/>
      <c r="H3" s="131"/>
      <c r="I3" s="131"/>
      <c r="J3" s="92"/>
      <c r="K3" s="92"/>
      <c r="L3" s="104">
        <v>46157</v>
      </c>
      <c r="M3" s="4"/>
    </row>
    <row r="4" spans="1:18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32" t="s">
        <v>6</v>
      </c>
      <c r="I4" s="132" t="s">
        <v>91</v>
      </c>
      <c r="J4" s="134" t="s">
        <v>92</v>
      </c>
      <c r="K4" s="132" t="s">
        <v>0</v>
      </c>
      <c r="L4" s="135" t="s">
        <v>7</v>
      </c>
    </row>
    <row r="5" spans="1:18" ht="15.95" customHeight="1">
      <c r="A5" s="134"/>
      <c r="B5" s="135"/>
      <c r="C5" s="135"/>
      <c r="D5" s="139"/>
      <c r="E5" s="140"/>
      <c r="F5" s="141"/>
      <c r="G5" s="143"/>
      <c r="H5" s="133"/>
      <c r="I5" s="133"/>
      <c r="J5" s="134"/>
      <c r="K5" s="133"/>
      <c r="L5" s="135"/>
    </row>
    <row r="6" spans="1:18" ht="17.25" customHeight="1">
      <c r="A6" s="5">
        <f t="shared" ref="A6:A69" si="0">ROW(A1)</f>
        <v>1</v>
      </c>
      <c r="B6" s="120" t="s">
        <v>125</v>
      </c>
      <c r="C6" s="121"/>
      <c r="D6" s="122"/>
      <c r="E6" s="123"/>
      <c r="F6" s="124"/>
      <c r="G6" s="111" t="s">
        <v>268</v>
      </c>
      <c r="H6" s="111">
        <v>4</v>
      </c>
      <c r="I6" s="112">
        <v>143</v>
      </c>
      <c r="J6" s="99">
        <f>H6*I6</f>
        <v>572</v>
      </c>
      <c r="K6" s="100" t="s">
        <v>98</v>
      </c>
      <c r="L6" s="101" t="s">
        <v>106</v>
      </c>
      <c r="R6" s="97"/>
    </row>
    <row r="7" spans="1:18" ht="17.25" customHeight="1">
      <c r="A7" s="5">
        <f t="shared" si="0"/>
        <v>2</v>
      </c>
      <c r="B7" s="120" t="s">
        <v>126</v>
      </c>
      <c r="C7" s="121"/>
      <c r="D7" s="122"/>
      <c r="E7" s="123"/>
      <c r="F7" s="124"/>
      <c r="G7" s="111" t="s">
        <v>268</v>
      </c>
      <c r="H7" s="111">
        <v>4</v>
      </c>
      <c r="I7" s="112">
        <v>430</v>
      </c>
      <c r="J7" s="99">
        <f t="shared" ref="J7:J148" si="1">H7*I7</f>
        <v>1720</v>
      </c>
      <c r="K7" s="100"/>
      <c r="L7" s="101"/>
      <c r="R7" s="97"/>
    </row>
    <row r="8" spans="1:18" ht="17.25" customHeight="1">
      <c r="A8" s="5">
        <f t="shared" si="0"/>
        <v>3</v>
      </c>
      <c r="B8" s="120" t="s">
        <v>127</v>
      </c>
      <c r="C8" s="121"/>
      <c r="D8" s="122"/>
      <c r="E8" s="123"/>
      <c r="F8" s="124"/>
      <c r="G8" s="111" t="s">
        <v>268</v>
      </c>
      <c r="H8" s="111">
        <v>2</v>
      </c>
      <c r="I8" s="112">
        <v>612</v>
      </c>
      <c r="J8" s="99">
        <f t="shared" si="1"/>
        <v>1224</v>
      </c>
      <c r="K8" s="100"/>
      <c r="L8" s="101"/>
      <c r="R8" s="97"/>
    </row>
    <row r="9" spans="1:18" ht="17.25" customHeight="1">
      <c r="A9" s="5">
        <f t="shared" si="0"/>
        <v>4</v>
      </c>
      <c r="B9" s="120" t="s">
        <v>128</v>
      </c>
      <c r="C9" s="121"/>
      <c r="D9" s="122"/>
      <c r="E9" s="123"/>
      <c r="F9" s="124"/>
      <c r="G9" s="111" t="s">
        <v>269</v>
      </c>
      <c r="H9" s="111">
        <v>10</v>
      </c>
      <c r="I9" s="112">
        <v>13.4</v>
      </c>
      <c r="J9" s="99">
        <f t="shared" si="1"/>
        <v>134</v>
      </c>
      <c r="K9" s="100"/>
      <c r="L9" s="101"/>
      <c r="R9" s="97"/>
    </row>
    <row r="10" spans="1:18" ht="17.25" customHeight="1">
      <c r="A10" s="5">
        <f t="shared" si="0"/>
        <v>5</v>
      </c>
      <c r="B10" s="120" t="s">
        <v>129</v>
      </c>
      <c r="C10" s="121"/>
      <c r="D10" s="122"/>
      <c r="E10" s="123"/>
      <c r="F10" s="124"/>
      <c r="G10" s="111" t="s">
        <v>268</v>
      </c>
      <c r="H10" s="111">
        <v>13</v>
      </c>
      <c r="I10" s="112">
        <v>306</v>
      </c>
      <c r="J10" s="99">
        <f t="shared" si="1"/>
        <v>3978</v>
      </c>
      <c r="K10" s="100"/>
      <c r="L10" s="101"/>
      <c r="R10" s="97"/>
    </row>
    <row r="11" spans="1:18" ht="17.25" customHeight="1">
      <c r="A11" s="5">
        <f t="shared" si="0"/>
        <v>6</v>
      </c>
      <c r="B11" s="120" t="s">
        <v>130</v>
      </c>
      <c r="C11" s="121"/>
      <c r="D11" s="122"/>
      <c r="E11" s="123"/>
      <c r="F11" s="124"/>
      <c r="G11" s="111" t="s">
        <v>268</v>
      </c>
      <c r="H11" s="111">
        <v>700</v>
      </c>
      <c r="I11" s="112">
        <v>8.6</v>
      </c>
      <c r="J11" s="99">
        <f t="shared" si="1"/>
        <v>6020</v>
      </c>
      <c r="K11" s="100"/>
      <c r="L11" s="101"/>
      <c r="R11" s="97"/>
    </row>
    <row r="12" spans="1:18" ht="17.25" customHeight="1">
      <c r="A12" s="5">
        <f t="shared" si="0"/>
        <v>7</v>
      </c>
      <c r="B12" s="120" t="s">
        <v>131</v>
      </c>
      <c r="C12" s="121"/>
      <c r="D12" s="122"/>
      <c r="E12" s="123"/>
      <c r="F12" s="124"/>
      <c r="G12" s="111" t="s">
        <v>268</v>
      </c>
      <c r="H12" s="111">
        <v>8</v>
      </c>
      <c r="I12" s="112">
        <v>6</v>
      </c>
      <c r="J12" s="99">
        <f t="shared" si="1"/>
        <v>48</v>
      </c>
      <c r="K12" s="100"/>
      <c r="L12" s="101"/>
      <c r="R12" s="97"/>
    </row>
    <row r="13" spans="1:18" ht="17.25" customHeight="1">
      <c r="A13" s="5">
        <f t="shared" si="0"/>
        <v>8</v>
      </c>
      <c r="B13" s="120" t="s">
        <v>132</v>
      </c>
      <c r="C13" s="121"/>
      <c r="D13" s="122"/>
      <c r="E13" s="123"/>
      <c r="F13" s="124"/>
      <c r="G13" s="111" t="s">
        <v>268</v>
      </c>
      <c r="H13" s="111">
        <v>45</v>
      </c>
      <c r="I13" s="112">
        <v>73</v>
      </c>
      <c r="J13" s="99">
        <f t="shared" si="1"/>
        <v>3285</v>
      </c>
      <c r="K13" s="100"/>
      <c r="L13" s="101"/>
      <c r="R13" s="97"/>
    </row>
    <row r="14" spans="1:18" ht="17.25" customHeight="1">
      <c r="A14" s="5">
        <f t="shared" si="0"/>
        <v>9</v>
      </c>
      <c r="B14" s="120" t="s">
        <v>133</v>
      </c>
      <c r="C14" s="121"/>
      <c r="D14" s="122"/>
      <c r="E14" s="123"/>
      <c r="F14" s="124"/>
      <c r="G14" s="111" t="s">
        <v>268</v>
      </c>
      <c r="H14" s="111">
        <v>650</v>
      </c>
      <c r="I14" s="112">
        <v>9.8000000000000007</v>
      </c>
      <c r="J14" s="99">
        <f t="shared" si="1"/>
        <v>6370.0000000000009</v>
      </c>
      <c r="K14" s="100"/>
      <c r="L14" s="101"/>
      <c r="R14" s="97"/>
    </row>
    <row r="15" spans="1:18" ht="17.25" customHeight="1">
      <c r="A15" s="5">
        <f t="shared" si="0"/>
        <v>10</v>
      </c>
      <c r="B15" s="120" t="s">
        <v>134</v>
      </c>
      <c r="C15" s="121"/>
      <c r="D15" s="122"/>
      <c r="E15" s="123"/>
      <c r="F15" s="124"/>
      <c r="G15" s="111" t="s">
        <v>268</v>
      </c>
      <c r="H15" s="111">
        <v>3</v>
      </c>
      <c r="I15" s="112">
        <v>65</v>
      </c>
      <c r="J15" s="99">
        <f t="shared" si="1"/>
        <v>195</v>
      </c>
      <c r="K15" s="100"/>
      <c r="L15" s="101"/>
      <c r="R15" s="97"/>
    </row>
    <row r="16" spans="1:18" ht="17.25" customHeight="1">
      <c r="A16" s="5">
        <f t="shared" si="0"/>
        <v>11</v>
      </c>
      <c r="B16" s="120" t="s">
        <v>135</v>
      </c>
      <c r="C16" s="121"/>
      <c r="D16" s="122"/>
      <c r="E16" s="123"/>
      <c r="F16" s="124"/>
      <c r="G16" s="111" t="s">
        <v>268</v>
      </c>
      <c r="H16" s="111">
        <v>3</v>
      </c>
      <c r="I16" s="112">
        <v>34</v>
      </c>
      <c r="J16" s="99">
        <f t="shared" si="1"/>
        <v>102</v>
      </c>
      <c r="K16" s="100"/>
      <c r="L16" s="101"/>
      <c r="R16" s="97"/>
    </row>
    <row r="17" spans="1:18" ht="17.25" customHeight="1">
      <c r="A17" s="5">
        <f t="shared" si="0"/>
        <v>12</v>
      </c>
      <c r="B17" s="120" t="s">
        <v>136</v>
      </c>
      <c r="C17" s="121"/>
      <c r="D17" s="122"/>
      <c r="E17" s="123"/>
      <c r="F17" s="124"/>
      <c r="G17" s="111" t="s">
        <v>268</v>
      </c>
      <c r="H17" s="111">
        <v>4</v>
      </c>
      <c r="I17" s="112">
        <v>130</v>
      </c>
      <c r="J17" s="99">
        <f t="shared" si="1"/>
        <v>520</v>
      </c>
      <c r="K17" s="100"/>
      <c r="L17" s="101"/>
      <c r="R17" s="97"/>
    </row>
    <row r="18" spans="1:18" ht="17.25" customHeight="1">
      <c r="A18" s="5">
        <f t="shared" si="0"/>
        <v>13</v>
      </c>
      <c r="B18" s="120" t="s">
        <v>137</v>
      </c>
      <c r="C18" s="121"/>
      <c r="D18" s="122"/>
      <c r="E18" s="123"/>
      <c r="F18" s="124"/>
      <c r="G18" s="111" t="s">
        <v>268</v>
      </c>
      <c r="H18" s="111">
        <v>150</v>
      </c>
      <c r="I18" s="112">
        <v>2.2000000000000002</v>
      </c>
      <c r="J18" s="99">
        <f t="shared" si="1"/>
        <v>330</v>
      </c>
      <c r="K18" s="100"/>
      <c r="L18" s="101"/>
      <c r="R18" s="97"/>
    </row>
    <row r="19" spans="1:18" ht="17.25" customHeight="1">
      <c r="A19" s="5">
        <f t="shared" si="0"/>
        <v>14</v>
      </c>
      <c r="B19" s="120" t="s">
        <v>138</v>
      </c>
      <c r="C19" s="121"/>
      <c r="D19" s="122"/>
      <c r="E19" s="123"/>
      <c r="F19" s="124"/>
      <c r="G19" s="111" t="s">
        <v>268</v>
      </c>
      <c r="H19" s="111">
        <v>150</v>
      </c>
      <c r="I19" s="112">
        <v>2.2000000000000002</v>
      </c>
      <c r="J19" s="99">
        <f t="shared" si="1"/>
        <v>330</v>
      </c>
      <c r="K19" s="100"/>
      <c r="L19" s="101"/>
      <c r="R19" s="97"/>
    </row>
    <row r="20" spans="1:18" ht="17.25" customHeight="1">
      <c r="A20" s="5">
        <f t="shared" si="0"/>
        <v>15</v>
      </c>
      <c r="B20" s="120" t="s">
        <v>139</v>
      </c>
      <c r="C20" s="121"/>
      <c r="D20" s="122"/>
      <c r="E20" s="123"/>
      <c r="F20" s="124"/>
      <c r="G20" s="111" t="s">
        <v>268</v>
      </c>
      <c r="H20" s="111">
        <v>250</v>
      </c>
      <c r="I20" s="112">
        <v>2.2000000000000002</v>
      </c>
      <c r="J20" s="99">
        <f t="shared" si="1"/>
        <v>550</v>
      </c>
      <c r="K20" s="100"/>
      <c r="L20" s="101"/>
      <c r="R20" s="97"/>
    </row>
    <row r="21" spans="1:18" ht="17.25" customHeight="1">
      <c r="A21" s="5">
        <f t="shared" si="0"/>
        <v>16</v>
      </c>
      <c r="B21" s="120" t="s">
        <v>140</v>
      </c>
      <c r="C21" s="121"/>
      <c r="D21" s="122"/>
      <c r="E21" s="123"/>
      <c r="F21" s="124"/>
      <c r="G21" s="111" t="s">
        <v>268</v>
      </c>
      <c r="H21" s="111">
        <v>150</v>
      </c>
      <c r="I21" s="112">
        <v>2.2000000000000002</v>
      </c>
      <c r="J21" s="99">
        <f t="shared" si="1"/>
        <v>330</v>
      </c>
      <c r="K21" s="100"/>
      <c r="L21" s="101"/>
      <c r="R21" s="97"/>
    </row>
    <row r="22" spans="1:18" ht="17.25" customHeight="1">
      <c r="A22" s="5">
        <f t="shared" si="0"/>
        <v>17</v>
      </c>
      <c r="B22" s="120" t="s">
        <v>141</v>
      </c>
      <c r="C22" s="121"/>
      <c r="D22" s="122"/>
      <c r="E22" s="123"/>
      <c r="F22" s="124"/>
      <c r="G22" s="111" t="s">
        <v>268</v>
      </c>
      <c r="H22" s="111">
        <v>150</v>
      </c>
      <c r="I22" s="112">
        <v>12</v>
      </c>
      <c r="J22" s="99">
        <f t="shared" si="1"/>
        <v>1800</v>
      </c>
      <c r="K22" s="100"/>
      <c r="L22" s="101"/>
      <c r="R22" s="97"/>
    </row>
    <row r="23" spans="1:18" ht="17.25" customHeight="1">
      <c r="A23" s="5">
        <f t="shared" si="0"/>
        <v>18</v>
      </c>
      <c r="B23" s="120" t="s">
        <v>142</v>
      </c>
      <c r="C23" s="121"/>
      <c r="D23" s="122"/>
      <c r="E23" s="123"/>
      <c r="F23" s="124"/>
      <c r="G23" s="111" t="s">
        <v>268</v>
      </c>
      <c r="H23" s="111">
        <v>550</v>
      </c>
      <c r="I23" s="112">
        <v>12</v>
      </c>
      <c r="J23" s="99">
        <f t="shared" si="1"/>
        <v>6600</v>
      </c>
      <c r="K23" s="100"/>
      <c r="L23" s="101"/>
      <c r="R23" s="97"/>
    </row>
    <row r="24" spans="1:18" ht="17.25" customHeight="1">
      <c r="A24" s="5">
        <f t="shared" si="0"/>
        <v>19</v>
      </c>
      <c r="B24" s="120" t="s">
        <v>143</v>
      </c>
      <c r="C24" s="121"/>
      <c r="D24" s="122"/>
      <c r="E24" s="123"/>
      <c r="F24" s="124"/>
      <c r="G24" s="111" t="s">
        <v>268</v>
      </c>
      <c r="H24" s="111">
        <v>310</v>
      </c>
      <c r="I24" s="112">
        <v>12</v>
      </c>
      <c r="J24" s="99">
        <f t="shared" si="1"/>
        <v>3720</v>
      </c>
      <c r="K24" s="100"/>
      <c r="L24" s="101"/>
      <c r="R24" s="97"/>
    </row>
    <row r="25" spans="1:18" ht="17.25" customHeight="1">
      <c r="A25" s="5">
        <f t="shared" si="0"/>
        <v>20</v>
      </c>
      <c r="B25" s="120" t="s">
        <v>144</v>
      </c>
      <c r="C25" s="121"/>
      <c r="D25" s="122"/>
      <c r="E25" s="123"/>
      <c r="F25" s="124"/>
      <c r="G25" s="111" t="s">
        <v>268</v>
      </c>
      <c r="H25" s="111">
        <v>450</v>
      </c>
      <c r="I25" s="112">
        <v>12</v>
      </c>
      <c r="J25" s="99">
        <f t="shared" si="1"/>
        <v>5400</v>
      </c>
      <c r="K25" s="100"/>
      <c r="L25" s="101"/>
      <c r="R25" s="97"/>
    </row>
    <row r="26" spans="1:18" ht="17.25" customHeight="1">
      <c r="A26" s="5">
        <f t="shared" si="0"/>
        <v>21</v>
      </c>
      <c r="B26" s="120" t="s">
        <v>145</v>
      </c>
      <c r="C26" s="121"/>
      <c r="D26" s="122"/>
      <c r="E26" s="123"/>
      <c r="F26" s="124"/>
      <c r="G26" s="111" t="s">
        <v>268</v>
      </c>
      <c r="H26" s="111">
        <v>130</v>
      </c>
      <c r="I26" s="112">
        <v>112</v>
      </c>
      <c r="J26" s="99">
        <f t="shared" si="1"/>
        <v>14560</v>
      </c>
      <c r="K26" s="100"/>
      <c r="L26" s="101"/>
      <c r="R26" s="97"/>
    </row>
    <row r="27" spans="1:18" ht="17.25" customHeight="1">
      <c r="A27" s="5">
        <f t="shared" si="0"/>
        <v>22</v>
      </c>
      <c r="B27" s="120" t="s">
        <v>146</v>
      </c>
      <c r="C27" s="121"/>
      <c r="D27" s="122"/>
      <c r="E27" s="123"/>
      <c r="F27" s="124"/>
      <c r="G27" s="111" t="s">
        <v>268</v>
      </c>
      <c r="H27" s="111">
        <v>15</v>
      </c>
      <c r="I27" s="112">
        <v>10</v>
      </c>
      <c r="J27" s="99">
        <f t="shared" si="1"/>
        <v>150</v>
      </c>
      <c r="K27" s="100"/>
      <c r="L27" s="101"/>
      <c r="R27" s="97"/>
    </row>
    <row r="28" spans="1:18" ht="17.25" customHeight="1">
      <c r="A28" s="5">
        <f t="shared" si="0"/>
        <v>23</v>
      </c>
      <c r="B28" s="120" t="s">
        <v>147</v>
      </c>
      <c r="C28" s="121"/>
      <c r="D28" s="122"/>
      <c r="E28" s="123"/>
      <c r="F28" s="124"/>
      <c r="G28" s="111" t="s">
        <v>268</v>
      </c>
      <c r="H28" s="111">
        <v>3</v>
      </c>
      <c r="I28" s="112">
        <v>1842</v>
      </c>
      <c r="J28" s="99">
        <f t="shared" si="1"/>
        <v>5526</v>
      </c>
      <c r="K28" s="100"/>
      <c r="L28" s="101"/>
      <c r="R28" s="97"/>
    </row>
    <row r="29" spans="1:18" ht="17.25" customHeight="1">
      <c r="A29" s="5">
        <f t="shared" si="0"/>
        <v>24</v>
      </c>
      <c r="B29" s="120" t="s">
        <v>148</v>
      </c>
      <c r="C29" s="121"/>
      <c r="D29" s="122"/>
      <c r="E29" s="123"/>
      <c r="F29" s="124"/>
      <c r="G29" s="111" t="s">
        <v>268</v>
      </c>
      <c r="H29" s="111">
        <v>150</v>
      </c>
      <c r="I29" s="112">
        <v>51</v>
      </c>
      <c r="J29" s="99">
        <f t="shared" si="1"/>
        <v>7650</v>
      </c>
      <c r="K29" s="100"/>
      <c r="L29" s="101"/>
      <c r="R29" s="97"/>
    </row>
    <row r="30" spans="1:18" ht="17.25" customHeight="1">
      <c r="A30" s="5">
        <f t="shared" si="0"/>
        <v>25</v>
      </c>
      <c r="B30" s="120" t="s">
        <v>149</v>
      </c>
      <c r="C30" s="121"/>
      <c r="D30" s="122"/>
      <c r="E30" s="123"/>
      <c r="F30" s="124"/>
      <c r="G30" s="111" t="s">
        <v>268</v>
      </c>
      <c r="H30" s="111">
        <v>20</v>
      </c>
      <c r="I30" s="112">
        <v>38</v>
      </c>
      <c r="J30" s="99">
        <f t="shared" si="1"/>
        <v>760</v>
      </c>
      <c r="K30" s="100"/>
      <c r="L30" s="101"/>
      <c r="R30" s="97"/>
    </row>
    <row r="31" spans="1:18" ht="17.25" customHeight="1">
      <c r="A31" s="5">
        <f t="shared" si="0"/>
        <v>26</v>
      </c>
      <c r="B31" s="120" t="s">
        <v>150</v>
      </c>
      <c r="C31" s="121"/>
      <c r="D31" s="122"/>
      <c r="E31" s="123"/>
      <c r="F31" s="124"/>
      <c r="G31" s="111" t="s">
        <v>268</v>
      </c>
      <c r="H31" s="111">
        <v>20</v>
      </c>
      <c r="I31" s="112">
        <v>85</v>
      </c>
      <c r="J31" s="99">
        <f t="shared" si="1"/>
        <v>1700</v>
      </c>
      <c r="K31" s="100"/>
      <c r="L31" s="101"/>
      <c r="R31" s="97"/>
    </row>
    <row r="32" spans="1:18" ht="17.25" customHeight="1">
      <c r="A32" s="5">
        <f t="shared" si="0"/>
        <v>27</v>
      </c>
      <c r="B32" s="120" t="s">
        <v>151</v>
      </c>
      <c r="C32" s="121"/>
      <c r="D32" s="122"/>
      <c r="E32" s="123"/>
      <c r="F32" s="124"/>
      <c r="G32" s="111" t="s">
        <v>268</v>
      </c>
      <c r="H32" s="111">
        <v>4</v>
      </c>
      <c r="I32" s="112">
        <v>440</v>
      </c>
      <c r="J32" s="99">
        <f t="shared" si="1"/>
        <v>1760</v>
      </c>
      <c r="K32" s="100"/>
      <c r="L32" s="101"/>
      <c r="R32" s="97"/>
    </row>
    <row r="33" spans="1:18" ht="17.25" customHeight="1">
      <c r="A33" s="5">
        <f t="shared" si="0"/>
        <v>28</v>
      </c>
      <c r="B33" s="120" t="s">
        <v>152</v>
      </c>
      <c r="C33" s="121"/>
      <c r="D33" s="122"/>
      <c r="E33" s="123"/>
      <c r="F33" s="124"/>
      <c r="G33" s="111" t="s">
        <v>268</v>
      </c>
      <c r="H33" s="111">
        <v>6</v>
      </c>
      <c r="I33" s="112">
        <v>69.5</v>
      </c>
      <c r="J33" s="99">
        <f t="shared" si="1"/>
        <v>417</v>
      </c>
      <c r="K33" s="100"/>
      <c r="L33" s="101"/>
      <c r="R33" s="97"/>
    </row>
    <row r="34" spans="1:18" ht="17.25" customHeight="1">
      <c r="A34" s="5">
        <f t="shared" si="0"/>
        <v>29</v>
      </c>
      <c r="B34" s="120" t="s">
        <v>153</v>
      </c>
      <c r="C34" s="121"/>
      <c r="D34" s="122"/>
      <c r="E34" s="123"/>
      <c r="F34" s="124"/>
      <c r="G34" s="111" t="s">
        <v>268</v>
      </c>
      <c r="H34" s="111">
        <v>3</v>
      </c>
      <c r="I34" s="112">
        <v>71</v>
      </c>
      <c r="J34" s="99">
        <f t="shared" si="1"/>
        <v>213</v>
      </c>
      <c r="K34" s="100"/>
      <c r="L34" s="101"/>
      <c r="R34" s="97"/>
    </row>
    <row r="35" spans="1:18" ht="17.25" customHeight="1">
      <c r="A35" s="5">
        <f t="shared" si="0"/>
        <v>30</v>
      </c>
      <c r="B35" s="120" t="s">
        <v>154</v>
      </c>
      <c r="C35" s="121"/>
      <c r="D35" s="122"/>
      <c r="E35" s="123"/>
      <c r="F35" s="124"/>
      <c r="G35" s="111" t="s">
        <v>268</v>
      </c>
      <c r="H35" s="111">
        <v>3</v>
      </c>
      <c r="I35" s="112">
        <v>73</v>
      </c>
      <c r="J35" s="99">
        <f t="shared" si="1"/>
        <v>219</v>
      </c>
      <c r="K35" s="100"/>
      <c r="L35" s="101"/>
      <c r="R35" s="97"/>
    </row>
    <row r="36" spans="1:18" ht="17.25" customHeight="1">
      <c r="A36" s="5">
        <f t="shared" si="0"/>
        <v>31</v>
      </c>
      <c r="B36" s="120" t="s">
        <v>155</v>
      </c>
      <c r="C36" s="121"/>
      <c r="D36" s="122"/>
      <c r="E36" s="123"/>
      <c r="F36" s="124"/>
      <c r="G36" s="111" t="s">
        <v>268</v>
      </c>
      <c r="H36" s="111">
        <v>3</v>
      </c>
      <c r="I36" s="112">
        <v>76</v>
      </c>
      <c r="J36" s="99">
        <f t="shared" si="1"/>
        <v>228</v>
      </c>
      <c r="K36" s="100"/>
      <c r="L36" s="101"/>
      <c r="R36" s="97"/>
    </row>
    <row r="37" spans="1:18" ht="17.25" customHeight="1">
      <c r="A37" s="5">
        <f t="shared" si="0"/>
        <v>32</v>
      </c>
      <c r="B37" s="120" t="s">
        <v>156</v>
      </c>
      <c r="C37" s="121"/>
      <c r="D37" s="122"/>
      <c r="E37" s="123"/>
      <c r="F37" s="124"/>
      <c r="G37" s="111" t="s">
        <v>268</v>
      </c>
      <c r="H37" s="111">
        <v>3</v>
      </c>
      <c r="I37" s="112">
        <v>81</v>
      </c>
      <c r="J37" s="99">
        <f t="shared" si="1"/>
        <v>243</v>
      </c>
      <c r="K37" s="100"/>
      <c r="L37" s="101"/>
      <c r="R37" s="97"/>
    </row>
    <row r="38" spans="1:18" ht="17.25" customHeight="1">
      <c r="A38" s="5">
        <f t="shared" si="0"/>
        <v>33</v>
      </c>
      <c r="B38" s="120" t="s">
        <v>157</v>
      </c>
      <c r="C38" s="121"/>
      <c r="D38" s="122"/>
      <c r="E38" s="123"/>
      <c r="F38" s="124"/>
      <c r="G38" s="111" t="s">
        <v>268</v>
      </c>
      <c r="H38" s="111">
        <v>3</v>
      </c>
      <c r="I38" s="112">
        <v>90</v>
      </c>
      <c r="J38" s="99">
        <f t="shared" si="1"/>
        <v>270</v>
      </c>
      <c r="K38" s="100"/>
      <c r="L38" s="101"/>
      <c r="R38" s="97"/>
    </row>
    <row r="39" spans="1:18" ht="17.25" customHeight="1">
      <c r="A39" s="5">
        <f t="shared" si="0"/>
        <v>34</v>
      </c>
      <c r="B39" s="120" t="s">
        <v>158</v>
      </c>
      <c r="C39" s="121"/>
      <c r="D39" s="122"/>
      <c r="E39" s="123"/>
      <c r="F39" s="124"/>
      <c r="G39" s="111" t="s">
        <v>268</v>
      </c>
      <c r="H39" s="111">
        <v>3</v>
      </c>
      <c r="I39" s="112">
        <v>158</v>
      </c>
      <c r="J39" s="99">
        <f t="shared" si="1"/>
        <v>474</v>
      </c>
      <c r="K39" s="100"/>
      <c r="L39" s="101"/>
      <c r="R39" s="97"/>
    </row>
    <row r="40" spans="1:18" ht="17.25" customHeight="1">
      <c r="A40" s="5">
        <f t="shared" si="0"/>
        <v>35</v>
      </c>
      <c r="B40" s="120" t="s">
        <v>159</v>
      </c>
      <c r="C40" s="121"/>
      <c r="D40" s="122"/>
      <c r="E40" s="123"/>
      <c r="F40" s="124"/>
      <c r="G40" s="111" t="s">
        <v>268</v>
      </c>
      <c r="H40" s="111">
        <v>65</v>
      </c>
      <c r="I40" s="112">
        <v>82</v>
      </c>
      <c r="J40" s="99">
        <f t="shared" si="1"/>
        <v>5330</v>
      </c>
      <c r="K40" s="100"/>
      <c r="L40" s="101"/>
      <c r="R40" s="97"/>
    </row>
    <row r="41" spans="1:18" ht="17.25" customHeight="1">
      <c r="A41" s="5">
        <f t="shared" si="0"/>
        <v>36</v>
      </c>
      <c r="B41" s="120" t="s">
        <v>160</v>
      </c>
      <c r="C41" s="121"/>
      <c r="D41" s="122"/>
      <c r="E41" s="123"/>
      <c r="F41" s="124"/>
      <c r="G41" s="111" t="s">
        <v>268</v>
      </c>
      <c r="H41" s="111">
        <v>190</v>
      </c>
      <c r="I41" s="112">
        <v>17</v>
      </c>
      <c r="J41" s="99">
        <f t="shared" si="1"/>
        <v>3230</v>
      </c>
      <c r="K41" s="100"/>
      <c r="L41" s="101"/>
      <c r="R41" s="97"/>
    </row>
    <row r="42" spans="1:18" ht="17.25" customHeight="1">
      <c r="A42" s="5">
        <f t="shared" si="0"/>
        <v>37</v>
      </c>
      <c r="B42" s="120" t="s">
        <v>161</v>
      </c>
      <c r="C42" s="121"/>
      <c r="D42" s="122"/>
      <c r="E42" s="123"/>
      <c r="F42" s="124"/>
      <c r="G42" s="111" t="s">
        <v>268</v>
      </c>
      <c r="H42" s="111">
        <v>250</v>
      </c>
      <c r="I42" s="112">
        <v>30.5</v>
      </c>
      <c r="J42" s="99">
        <f t="shared" si="1"/>
        <v>7625</v>
      </c>
      <c r="K42" s="100"/>
      <c r="L42" s="101"/>
      <c r="R42" s="97"/>
    </row>
    <row r="43" spans="1:18" ht="17.25" customHeight="1">
      <c r="A43" s="5">
        <f t="shared" si="0"/>
        <v>38</v>
      </c>
      <c r="B43" s="120" t="s">
        <v>162</v>
      </c>
      <c r="C43" s="121"/>
      <c r="D43" s="122"/>
      <c r="E43" s="123"/>
      <c r="F43" s="124"/>
      <c r="G43" s="111" t="s">
        <v>268</v>
      </c>
      <c r="H43" s="111">
        <v>1500</v>
      </c>
      <c r="I43" s="112">
        <v>18.5</v>
      </c>
      <c r="J43" s="99">
        <f t="shared" si="1"/>
        <v>27750</v>
      </c>
      <c r="K43" s="100"/>
      <c r="L43" s="101"/>
      <c r="R43" s="97"/>
    </row>
    <row r="44" spans="1:18" ht="17.25" customHeight="1">
      <c r="A44" s="5">
        <f t="shared" si="0"/>
        <v>39</v>
      </c>
      <c r="B44" s="120" t="s">
        <v>163</v>
      </c>
      <c r="C44" s="121"/>
      <c r="D44" s="122"/>
      <c r="E44" s="123"/>
      <c r="F44" s="124"/>
      <c r="G44" s="111" t="s">
        <v>268</v>
      </c>
      <c r="H44" s="111">
        <v>1</v>
      </c>
      <c r="I44" s="112">
        <v>870</v>
      </c>
      <c r="J44" s="99">
        <f t="shared" si="1"/>
        <v>870</v>
      </c>
      <c r="K44" s="100"/>
      <c r="L44" s="101"/>
      <c r="R44" s="97"/>
    </row>
    <row r="45" spans="1:18" ht="17.25" customHeight="1">
      <c r="A45" s="5">
        <f t="shared" si="0"/>
        <v>40</v>
      </c>
      <c r="B45" s="120" t="s">
        <v>164</v>
      </c>
      <c r="C45" s="121"/>
      <c r="D45" s="122"/>
      <c r="E45" s="123"/>
      <c r="F45" s="124"/>
      <c r="G45" s="111" t="s">
        <v>268</v>
      </c>
      <c r="H45" s="111">
        <v>4</v>
      </c>
      <c r="I45" s="112">
        <v>235</v>
      </c>
      <c r="J45" s="99">
        <f t="shared" si="1"/>
        <v>940</v>
      </c>
      <c r="K45" s="100"/>
      <c r="L45" s="101"/>
      <c r="R45" s="97"/>
    </row>
    <row r="46" spans="1:18" ht="17.25" customHeight="1">
      <c r="A46" s="5">
        <f t="shared" si="0"/>
        <v>41</v>
      </c>
      <c r="B46" s="120" t="s">
        <v>165</v>
      </c>
      <c r="C46" s="121"/>
      <c r="D46" s="122"/>
      <c r="E46" s="123"/>
      <c r="F46" s="124"/>
      <c r="G46" s="111" t="s">
        <v>268</v>
      </c>
      <c r="H46" s="111">
        <v>65</v>
      </c>
      <c r="I46" s="112">
        <v>29</v>
      </c>
      <c r="J46" s="99">
        <f t="shared" si="1"/>
        <v>1885</v>
      </c>
      <c r="K46" s="100"/>
      <c r="L46" s="101"/>
      <c r="R46" s="97"/>
    </row>
    <row r="47" spans="1:18" ht="17.25" customHeight="1">
      <c r="A47" s="5">
        <f t="shared" si="0"/>
        <v>42</v>
      </c>
      <c r="B47" s="120" t="s">
        <v>166</v>
      </c>
      <c r="C47" s="121"/>
      <c r="D47" s="122"/>
      <c r="E47" s="123"/>
      <c r="F47" s="124"/>
      <c r="G47" s="111" t="s">
        <v>268</v>
      </c>
      <c r="H47" s="111">
        <v>3</v>
      </c>
      <c r="I47" s="112">
        <v>943</v>
      </c>
      <c r="J47" s="99">
        <f t="shared" si="1"/>
        <v>2829</v>
      </c>
      <c r="K47" s="100"/>
      <c r="L47" s="101"/>
      <c r="R47" s="97"/>
    </row>
    <row r="48" spans="1:18" ht="17.25" customHeight="1">
      <c r="A48" s="5">
        <f t="shared" si="0"/>
        <v>43</v>
      </c>
      <c r="B48" s="120" t="s">
        <v>167</v>
      </c>
      <c r="C48" s="121"/>
      <c r="D48" s="122"/>
      <c r="E48" s="123"/>
      <c r="F48" s="124"/>
      <c r="G48" s="111" t="s">
        <v>268</v>
      </c>
      <c r="H48" s="111">
        <v>4</v>
      </c>
      <c r="I48" s="112">
        <v>66</v>
      </c>
      <c r="J48" s="99">
        <f t="shared" si="1"/>
        <v>264</v>
      </c>
      <c r="K48" s="100"/>
      <c r="L48" s="101"/>
      <c r="R48" s="97"/>
    </row>
    <row r="49" spans="1:18" ht="17.25" customHeight="1">
      <c r="A49" s="5">
        <f t="shared" si="0"/>
        <v>44</v>
      </c>
      <c r="B49" s="120" t="s">
        <v>168</v>
      </c>
      <c r="C49" s="121"/>
      <c r="D49" s="122"/>
      <c r="E49" s="123"/>
      <c r="F49" s="124"/>
      <c r="G49" s="111" t="s">
        <v>268</v>
      </c>
      <c r="H49" s="111">
        <v>80</v>
      </c>
      <c r="I49" s="112">
        <v>13</v>
      </c>
      <c r="J49" s="99">
        <f t="shared" si="1"/>
        <v>1040</v>
      </c>
      <c r="K49" s="100"/>
      <c r="L49" s="101"/>
      <c r="R49" s="97"/>
    </row>
    <row r="50" spans="1:18" ht="17.25" customHeight="1">
      <c r="A50" s="5">
        <f t="shared" si="0"/>
        <v>45</v>
      </c>
      <c r="B50" s="120" t="s">
        <v>169</v>
      </c>
      <c r="C50" s="121"/>
      <c r="D50" s="122"/>
      <c r="E50" s="123"/>
      <c r="F50" s="124"/>
      <c r="G50" s="111" t="s">
        <v>268</v>
      </c>
      <c r="H50" s="111">
        <v>80</v>
      </c>
      <c r="I50" s="112">
        <v>23</v>
      </c>
      <c r="J50" s="99">
        <f t="shared" si="1"/>
        <v>1840</v>
      </c>
      <c r="K50" s="100"/>
      <c r="L50" s="101"/>
      <c r="R50" s="97"/>
    </row>
    <row r="51" spans="1:18" ht="17.25" customHeight="1">
      <c r="A51" s="5">
        <f t="shared" si="0"/>
        <v>46</v>
      </c>
      <c r="B51" s="120" t="s">
        <v>170</v>
      </c>
      <c r="C51" s="121"/>
      <c r="D51" s="122"/>
      <c r="E51" s="123"/>
      <c r="F51" s="124"/>
      <c r="G51" s="111" t="s">
        <v>268</v>
      </c>
      <c r="H51" s="111">
        <v>61</v>
      </c>
      <c r="I51" s="112">
        <v>26</v>
      </c>
      <c r="J51" s="99">
        <f t="shared" si="1"/>
        <v>1586</v>
      </c>
      <c r="K51" s="100"/>
      <c r="L51" s="101"/>
      <c r="R51" s="97"/>
    </row>
    <row r="52" spans="1:18" ht="17.25" customHeight="1">
      <c r="A52" s="5">
        <f t="shared" si="0"/>
        <v>47</v>
      </c>
      <c r="B52" s="120" t="s">
        <v>171</v>
      </c>
      <c r="C52" s="121"/>
      <c r="D52" s="122"/>
      <c r="E52" s="123"/>
      <c r="F52" s="124"/>
      <c r="G52" s="111" t="s">
        <v>268</v>
      </c>
      <c r="H52" s="111">
        <v>40</v>
      </c>
      <c r="I52" s="112">
        <v>3.4</v>
      </c>
      <c r="J52" s="99">
        <f t="shared" si="1"/>
        <v>136</v>
      </c>
      <c r="K52" s="100"/>
      <c r="L52" s="101"/>
      <c r="R52" s="97"/>
    </row>
    <row r="53" spans="1:18" ht="17.25" customHeight="1">
      <c r="A53" s="5">
        <f t="shared" si="0"/>
        <v>48</v>
      </c>
      <c r="B53" s="120" t="s">
        <v>172</v>
      </c>
      <c r="C53" s="121"/>
      <c r="D53" s="122"/>
      <c r="E53" s="123"/>
      <c r="F53" s="124"/>
      <c r="G53" s="111" t="s">
        <v>268</v>
      </c>
      <c r="H53" s="111">
        <v>20</v>
      </c>
      <c r="I53" s="112">
        <v>4.3</v>
      </c>
      <c r="J53" s="99">
        <f t="shared" si="1"/>
        <v>86</v>
      </c>
      <c r="K53" s="100"/>
      <c r="L53" s="101"/>
      <c r="R53" s="97"/>
    </row>
    <row r="54" spans="1:18" ht="17.25" customHeight="1">
      <c r="A54" s="5">
        <f t="shared" si="0"/>
        <v>49</v>
      </c>
      <c r="B54" s="120" t="s">
        <v>173</v>
      </c>
      <c r="C54" s="121"/>
      <c r="D54" s="122"/>
      <c r="E54" s="123"/>
      <c r="F54" s="124"/>
      <c r="G54" s="111" t="s">
        <v>268</v>
      </c>
      <c r="H54" s="111">
        <v>38</v>
      </c>
      <c r="I54" s="112">
        <v>5.5</v>
      </c>
      <c r="J54" s="99">
        <f t="shared" si="1"/>
        <v>209</v>
      </c>
      <c r="K54" s="100"/>
      <c r="L54" s="101"/>
      <c r="R54" s="97"/>
    </row>
    <row r="55" spans="1:18" ht="17.25" customHeight="1">
      <c r="A55" s="5">
        <f t="shared" si="0"/>
        <v>50</v>
      </c>
      <c r="B55" s="120" t="s">
        <v>174</v>
      </c>
      <c r="C55" s="121"/>
      <c r="D55" s="122"/>
      <c r="E55" s="123"/>
      <c r="F55" s="124"/>
      <c r="G55" s="111" t="s">
        <v>268</v>
      </c>
      <c r="H55" s="111">
        <v>55</v>
      </c>
      <c r="I55" s="112">
        <v>9</v>
      </c>
      <c r="J55" s="99">
        <f t="shared" si="1"/>
        <v>495</v>
      </c>
      <c r="K55" s="100"/>
      <c r="L55" s="101"/>
      <c r="R55" s="97"/>
    </row>
    <row r="56" spans="1:18" ht="17.25" customHeight="1">
      <c r="A56" s="5">
        <f t="shared" si="0"/>
        <v>51</v>
      </c>
      <c r="B56" s="120" t="s">
        <v>175</v>
      </c>
      <c r="C56" s="121"/>
      <c r="D56" s="122"/>
      <c r="E56" s="123"/>
      <c r="F56" s="124"/>
      <c r="G56" s="111" t="s">
        <v>268</v>
      </c>
      <c r="H56" s="111">
        <v>2</v>
      </c>
      <c r="I56" s="112">
        <v>438</v>
      </c>
      <c r="J56" s="99">
        <f t="shared" si="1"/>
        <v>876</v>
      </c>
      <c r="K56" s="100"/>
      <c r="L56" s="101"/>
      <c r="R56" s="97"/>
    </row>
    <row r="57" spans="1:18" ht="17.25" customHeight="1">
      <c r="A57" s="5">
        <f t="shared" si="0"/>
        <v>52</v>
      </c>
      <c r="B57" s="120" t="s">
        <v>176</v>
      </c>
      <c r="C57" s="121"/>
      <c r="D57" s="122"/>
      <c r="E57" s="123"/>
      <c r="F57" s="124"/>
      <c r="G57" s="111" t="s">
        <v>268</v>
      </c>
      <c r="H57" s="111">
        <v>2</v>
      </c>
      <c r="I57" s="112">
        <v>628</v>
      </c>
      <c r="J57" s="99">
        <f t="shared" si="1"/>
        <v>1256</v>
      </c>
      <c r="K57" s="100"/>
      <c r="L57" s="101"/>
      <c r="R57" s="97"/>
    </row>
    <row r="58" spans="1:18" ht="17.25" customHeight="1">
      <c r="A58" s="5">
        <f t="shared" si="0"/>
        <v>53</v>
      </c>
      <c r="B58" s="120" t="s">
        <v>177</v>
      </c>
      <c r="C58" s="121"/>
      <c r="D58" s="122"/>
      <c r="E58" s="123"/>
      <c r="F58" s="124"/>
      <c r="G58" s="111" t="s">
        <v>268</v>
      </c>
      <c r="H58" s="111">
        <v>2</v>
      </c>
      <c r="I58" s="112">
        <v>205</v>
      </c>
      <c r="J58" s="99">
        <f t="shared" si="1"/>
        <v>410</v>
      </c>
      <c r="K58" s="100"/>
      <c r="L58" s="101"/>
      <c r="R58" s="97"/>
    </row>
    <row r="59" spans="1:18" ht="17.25" customHeight="1">
      <c r="A59" s="5">
        <f t="shared" si="0"/>
        <v>54</v>
      </c>
      <c r="B59" s="120" t="s">
        <v>178</v>
      </c>
      <c r="C59" s="121"/>
      <c r="D59" s="122"/>
      <c r="E59" s="123"/>
      <c r="F59" s="124"/>
      <c r="G59" s="111" t="s">
        <v>268</v>
      </c>
      <c r="H59" s="111">
        <v>4000</v>
      </c>
      <c r="I59" s="112">
        <v>1.5</v>
      </c>
      <c r="J59" s="99">
        <f t="shared" si="1"/>
        <v>6000</v>
      </c>
      <c r="K59" s="100"/>
      <c r="L59" s="101"/>
      <c r="R59" s="97"/>
    </row>
    <row r="60" spans="1:18" ht="17.25" customHeight="1">
      <c r="A60" s="5">
        <f t="shared" si="0"/>
        <v>55</v>
      </c>
      <c r="B60" s="120" t="s">
        <v>179</v>
      </c>
      <c r="C60" s="121"/>
      <c r="D60" s="122"/>
      <c r="E60" s="123"/>
      <c r="F60" s="124"/>
      <c r="G60" s="111" t="s">
        <v>270</v>
      </c>
      <c r="H60" s="111">
        <v>6200</v>
      </c>
      <c r="I60" s="112">
        <v>0.55000000000000004</v>
      </c>
      <c r="J60" s="99">
        <f t="shared" si="1"/>
        <v>3410.0000000000005</v>
      </c>
      <c r="K60" s="100"/>
      <c r="L60" s="101"/>
      <c r="R60" s="97"/>
    </row>
    <row r="61" spans="1:18" ht="17.25" customHeight="1">
      <c r="A61" s="5">
        <f t="shared" si="0"/>
        <v>56</v>
      </c>
      <c r="B61" s="120" t="s">
        <v>180</v>
      </c>
      <c r="C61" s="121"/>
      <c r="D61" s="122"/>
      <c r="E61" s="123"/>
      <c r="F61" s="124"/>
      <c r="G61" s="111" t="s">
        <v>268</v>
      </c>
      <c r="H61" s="111">
        <v>366</v>
      </c>
      <c r="I61" s="112">
        <v>2</v>
      </c>
      <c r="J61" s="99">
        <f t="shared" si="1"/>
        <v>732</v>
      </c>
      <c r="K61" s="100"/>
      <c r="L61" s="101"/>
      <c r="R61" s="97"/>
    </row>
    <row r="62" spans="1:18" ht="17.25" customHeight="1">
      <c r="A62" s="5">
        <f t="shared" si="0"/>
        <v>57</v>
      </c>
      <c r="B62" s="120" t="s">
        <v>181</v>
      </c>
      <c r="C62" s="121"/>
      <c r="D62" s="122"/>
      <c r="E62" s="123"/>
      <c r="F62" s="124"/>
      <c r="G62" s="111" t="s">
        <v>268</v>
      </c>
      <c r="H62" s="111">
        <v>4700</v>
      </c>
      <c r="I62" s="112">
        <v>4.5</v>
      </c>
      <c r="J62" s="99">
        <f t="shared" si="1"/>
        <v>21150</v>
      </c>
      <c r="K62" s="100"/>
      <c r="L62" s="101"/>
      <c r="R62" s="97"/>
    </row>
    <row r="63" spans="1:18" ht="17.25" customHeight="1">
      <c r="A63" s="5">
        <f t="shared" si="0"/>
        <v>58</v>
      </c>
      <c r="B63" s="120" t="s">
        <v>182</v>
      </c>
      <c r="C63" s="121"/>
      <c r="D63" s="122"/>
      <c r="E63" s="123"/>
      <c r="F63" s="124"/>
      <c r="G63" s="111" t="s">
        <v>268</v>
      </c>
      <c r="H63" s="111">
        <v>65</v>
      </c>
      <c r="I63" s="112">
        <v>7</v>
      </c>
      <c r="J63" s="99">
        <f t="shared" si="1"/>
        <v>455</v>
      </c>
      <c r="K63" s="100"/>
      <c r="L63" s="101"/>
      <c r="R63" s="97"/>
    </row>
    <row r="64" spans="1:18" ht="17.25" customHeight="1">
      <c r="A64" s="5">
        <f t="shared" si="0"/>
        <v>59</v>
      </c>
      <c r="B64" s="120" t="s">
        <v>183</v>
      </c>
      <c r="C64" s="121"/>
      <c r="D64" s="122"/>
      <c r="E64" s="123"/>
      <c r="F64" s="124"/>
      <c r="G64" s="111" t="s">
        <v>268</v>
      </c>
      <c r="H64" s="111">
        <v>65</v>
      </c>
      <c r="I64" s="112">
        <v>46</v>
      </c>
      <c r="J64" s="99">
        <f t="shared" si="1"/>
        <v>2990</v>
      </c>
      <c r="K64" s="100"/>
      <c r="L64" s="101"/>
      <c r="R64" s="97"/>
    </row>
    <row r="65" spans="1:18" ht="17.25" customHeight="1">
      <c r="A65" s="5">
        <f t="shared" si="0"/>
        <v>60</v>
      </c>
      <c r="B65" s="120" t="s">
        <v>184</v>
      </c>
      <c r="C65" s="121"/>
      <c r="D65" s="122"/>
      <c r="E65" s="123"/>
      <c r="F65" s="124"/>
      <c r="G65" s="111" t="s">
        <v>268</v>
      </c>
      <c r="H65" s="111">
        <v>15</v>
      </c>
      <c r="I65" s="112">
        <v>10</v>
      </c>
      <c r="J65" s="99">
        <f t="shared" si="1"/>
        <v>150</v>
      </c>
      <c r="K65" s="100"/>
      <c r="L65" s="101"/>
      <c r="R65" s="97"/>
    </row>
    <row r="66" spans="1:18" ht="17.25" customHeight="1">
      <c r="A66" s="5">
        <f t="shared" si="0"/>
        <v>61</v>
      </c>
      <c r="B66" s="120" t="s">
        <v>185</v>
      </c>
      <c r="C66" s="121"/>
      <c r="D66" s="122"/>
      <c r="E66" s="123"/>
      <c r="F66" s="124"/>
      <c r="G66" s="111" t="s">
        <v>268</v>
      </c>
      <c r="H66" s="111">
        <v>20</v>
      </c>
      <c r="I66" s="112">
        <v>21</v>
      </c>
      <c r="J66" s="99">
        <f t="shared" si="1"/>
        <v>420</v>
      </c>
      <c r="K66" s="100"/>
      <c r="L66" s="101"/>
      <c r="R66" s="97"/>
    </row>
    <row r="67" spans="1:18" ht="17.25" customHeight="1">
      <c r="A67" s="5">
        <f t="shared" si="0"/>
        <v>62</v>
      </c>
      <c r="B67" s="120" t="s">
        <v>186</v>
      </c>
      <c r="C67" s="121"/>
      <c r="D67" s="122"/>
      <c r="E67" s="123"/>
      <c r="F67" s="124"/>
      <c r="G67" s="111" t="s">
        <v>268</v>
      </c>
      <c r="H67" s="111">
        <v>10</v>
      </c>
      <c r="I67" s="112">
        <v>21</v>
      </c>
      <c r="J67" s="99">
        <f t="shared" si="1"/>
        <v>210</v>
      </c>
      <c r="K67" s="100"/>
      <c r="L67" s="101"/>
      <c r="R67" s="97"/>
    </row>
    <row r="68" spans="1:18" ht="17.25" customHeight="1">
      <c r="A68" s="5">
        <f t="shared" si="0"/>
        <v>63</v>
      </c>
      <c r="B68" s="120" t="s">
        <v>187</v>
      </c>
      <c r="C68" s="121"/>
      <c r="D68" s="122"/>
      <c r="E68" s="123"/>
      <c r="F68" s="124"/>
      <c r="G68" s="111" t="s">
        <v>268</v>
      </c>
      <c r="H68" s="111">
        <v>1</v>
      </c>
      <c r="I68" s="112">
        <v>887</v>
      </c>
      <c r="J68" s="99">
        <f t="shared" si="1"/>
        <v>887</v>
      </c>
      <c r="K68" s="100"/>
      <c r="L68" s="101"/>
      <c r="R68" s="97"/>
    </row>
    <row r="69" spans="1:18" ht="17.25" customHeight="1">
      <c r="A69" s="5">
        <f t="shared" si="0"/>
        <v>64</v>
      </c>
      <c r="B69" s="120" t="s">
        <v>188</v>
      </c>
      <c r="C69" s="121"/>
      <c r="D69" s="122"/>
      <c r="E69" s="123"/>
      <c r="F69" s="124"/>
      <c r="G69" s="111" t="s">
        <v>269</v>
      </c>
      <c r="H69" s="111">
        <v>4</v>
      </c>
      <c r="I69" s="112">
        <v>98</v>
      </c>
      <c r="J69" s="99">
        <f t="shared" si="1"/>
        <v>392</v>
      </c>
      <c r="K69" s="100"/>
      <c r="L69" s="101"/>
      <c r="R69" s="97"/>
    </row>
    <row r="70" spans="1:18" ht="17.25" customHeight="1">
      <c r="A70" s="5">
        <f t="shared" ref="A70:A133" si="2">ROW(A65)</f>
        <v>65</v>
      </c>
      <c r="B70" s="120" t="s">
        <v>189</v>
      </c>
      <c r="C70" s="121"/>
      <c r="D70" s="122"/>
      <c r="E70" s="123"/>
      <c r="F70" s="124"/>
      <c r="G70" s="111" t="s">
        <v>268</v>
      </c>
      <c r="H70" s="111">
        <v>10</v>
      </c>
      <c r="I70" s="112">
        <v>1290</v>
      </c>
      <c r="J70" s="99">
        <f t="shared" si="1"/>
        <v>12900</v>
      </c>
      <c r="K70" s="100"/>
      <c r="L70" s="101"/>
      <c r="R70" s="97"/>
    </row>
    <row r="71" spans="1:18" ht="17.25" customHeight="1">
      <c r="A71" s="5">
        <f t="shared" si="2"/>
        <v>66</v>
      </c>
      <c r="B71" s="120" t="s">
        <v>190</v>
      </c>
      <c r="C71" s="121"/>
      <c r="D71" s="122"/>
      <c r="E71" s="123"/>
      <c r="F71" s="124"/>
      <c r="G71" s="111" t="s">
        <v>268</v>
      </c>
      <c r="H71" s="111">
        <v>10</v>
      </c>
      <c r="I71" s="112">
        <v>530</v>
      </c>
      <c r="J71" s="99">
        <f t="shared" si="1"/>
        <v>5300</v>
      </c>
      <c r="K71" s="100"/>
      <c r="L71" s="101"/>
      <c r="R71" s="97"/>
    </row>
    <row r="72" spans="1:18" ht="17.25" customHeight="1">
      <c r="A72" s="5">
        <f t="shared" si="2"/>
        <v>67</v>
      </c>
      <c r="B72" s="120" t="s">
        <v>191</v>
      </c>
      <c r="C72" s="121"/>
      <c r="D72" s="122"/>
      <c r="E72" s="123"/>
      <c r="F72" s="124"/>
      <c r="G72" s="111" t="s">
        <v>268</v>
      </c>
      <c r="H72" s="111">
        <v>25</v>
      </c>
      <c r="I72" s="112">
        <v>17</v>
      </c>
      <c r="J72" s="99">
        <f t="shared" si="1"/>
        <v>425</v>
      </c>
      <c r="K72" s="100"/>
      <c r="L72" s="101"/>
      <c r="R72" s="97"/>
    </row>
    <row r="73" spans="1:18" ht="17.25" customHeight="1">
      <c r="A73" s="5">
        <f t="shared" si="2"/>
        <v>68</v>
      </c>
      <c r="B73" s="120" t="s">
        <v>192</v>
      </c>
      <c r="C73" s="121"/>
      <c r="D73" s="122"/>
      <c r="E73" s="123"/>
      <c r="F73" s="124"/>
      <c r="G73" s="111" t="s">
        <v>268</v>
      </c>
      <c r="H73" s="111">
        <v>25</v>
      </c>
      <c r="I73" s="112">
        <v>17</v>
      </c>
      <c r="J73" s="99">
        <f t="shared" si="1"/>
        <v>425</v>
      </c>
      <c r="K73" s="100"/>
      <c r="L73" s="101"/>
      <c r="R73" s="97"/>
    </row>
    <row r="74" spans="1:18" ht="17.25" customHeight="1">
      <c r="A74" s="5">
        <f t="shared" si="2"/>
        <v>69</v>
      </c>
      <c r="B74" s="120" t="s">
        <v>193</v>
      </c>
      <c r="C74" s="121"/>
      <c r="D74" s="122"/>
      <c r="E74" s="123"/>
      <c r="F74" s="124"/>
      <c r="G74" s="111" t="s">
        <v>268</v>
      </c>
      <c r="H74" s="111">
        <v>25</v>
      </c>
      <c r="I74" s="112">
        <v>17</v>
      </c>
      <c r="J74" s="99">
        <f t="shared" si="1"/>
        <v>425</v>
      </c>
      <c r="K74" s="100"/>
      <c r="L74" s="101"/>
      <c r="R74" s="97"/>
    </row>
    <row r="75" spans="1:18" ht="17.25" customHeight="1">
      <c r="A75" s="5">
        <f t="shared" si="2"/>
        <v>70</v>
      </c>
      <c r="B75" s="120" t="s">
        <v>194</v>
      </c>
      <c r="C75" s="121"/>
      <c r="D75" s="122"/>
      <c r="E75" s="123"/>
      <c r="F75" s="124"/>
      <c r="G75" s="111" t="s">
        <v>268</v>
      </c>
      <c r="H75" s="111">
        <v>25</v>
      </c>
      <c r="I75" s="112">
        <v>17</v>
      </c>
      <c r="J75" s="99">
        <f t="shared" si="1"/>
        <v>425</v>
      </c>
      <c r="K75" s="100"/>
      <c r="L75" s="101"/>
      <c r="R75" s="97"/>
    </row>
    <row r="76" spans="1:18" ht="17.25" customHeight="1">
      <c r="A76" s="5">
        <f t="shared" si="2"/>
        <v>71</v>
      </c>
      <c r="B76" s="120" t="s">
        <v>195</v>
      </c>
      <c r="C76" s="121"/>
      <c r="D76" s="122"/>
      <c r="E76" s="123"/>
      <c r="F76" s="124"/>
      <c r="G76" s="111" t="s">
        <v>268</v>
      </c>
      <c r="H76" s="111">
        <v>65</v>
      </c>
      <c r="I76" s="112">
        <v>16</v>
      </c>
      <c r="J76" s="99">
        <f t="shared" si="1"/>
        <v>1040</v>
      </c>
      <c r="K76" s="100"/>
      <c r="L76" s="101"/>
      <c r="R76" s="97"/>
    </row>
    <row r="77" spans="1:18" ht="17.25" customHeight="1">
      <c r="A77" s="5">
        <f t="shared" si="2"/>
        <v>72</v>
      </c>
      <c r="B77" s="120" t="s">
        <v>196</v>
      </c>
      <c r="C77" s="121"/>
      <c r="D77" s="122"/>
      <c r="E77" s="123"/>
      <c r="F77" s="124"/>
      <c r="G77" s="111" t="s">
        <v>268</v>
      </c>
      <c r="H77" s="111">
        <v>40</v>
      </c>
      <c r="I77" s="112">
        <v>16</v>
      </c>
      <c r="J77" s="99">
        <f t="shared" si="1"/>
        <v>640</v>
      </c>
      <c r="K77" s="100"/>
      <c r="L77" s="101"/>
      <c r="R77" s="97"/>
    </row>
    <row r="78" spans="1:18" ht="17.25" customHeight="1">
      <c r="A78" s="5">
        <f t="shared" si="2"/>
        <v>73</v>
      </c>
      <c r="B78" s="120" t="s">
        <v>197</v>
      </c>
      <c r="C78" s="121"/>
      <c r="D78" s="122"/>
      <c r="E78" s="123"/>
      <c r="F78" s="124"/>
      <c r="G78" s="111" t="s">
        <v>268</v>
      </c>
      <c r="H78" s="111">
        <v>25</v>
      </c>
      <c r="I78" s="112">
        <v>575</v>
      </c>
      <c r="J78" s="99">
        <f t="shared" si="1"/>
        <v>14375</v>
      </c>
      <c r="K78" s="100"/>
      <c r="L78" s="101"/>
      <c r="R78" s="97"/>
    </row>
    <row r="79" spans="1:18" ht="17.25" customHeight="1">
      <c r="A79" s="5">
        <f t="shared" si="2"/>
        <v>74</v>
      </c>
      <c r="B79" s="120" t="s">
        <v>198</v>
      </c>
      <c r="C79" s="121"/>
      <c r="D79" s="122"/>
      <c r="E79" s="123"/>
      <c r="F79" s="124"/>
      <c r="G79" s="111" t="s">
        <v>268</v>
      </c>
      <c r="H79" s="111">
        <v>15</v>
      </c>
      <c r="I79" s="112">
        <v>1335</v>
      </c>
      <c r="J79" s="99">
        <f t="shared" si="1"/>
        <v>20025</v>
      </c>
      <c r="K79" s="100"/>
      <c r="L79" s="101"/>
      <c r="R79" s="97"/>
    </row>
    <row r="80" spans="1:18" ht="17.25" customHeight="1">
      <c r="A80" s="5">
        <f t="shared" si="2"/>
        <v>75</v>
      </c>
      <c r="B80" s="120" t="s">
        <v>199</v>
      </c>
      <c r="C80" s="121"/>
      <c r="D80" s="122"/>
      <c r="E80" s="123"/>
      <c r="F80" s="124"/>
      <c r="G80" s="111" t="s">
        <v>268</v>
      </c>
      <c r="H80" s="111">
        <v>3</v>
      </c>
      <c r="I80" s="112">
        <v>163</v>
      </c>
      <c r="J80" s="99">
        <f t="shared" si="1"/>
        <v>489</v>
      </c>
      <c r="K80" s="100"/>
      <c r="L80" s="101"/>
      <c r="R80" s="97"/>
    </row>
    <row r="81" spans="1:18" ht="17.25" customHeight="1">
      <c r="A81" s="5">
        <f t="shared" si="2"/>
        <v>76</v>
      </c>
      <c r="B81" s="120" t="s">
        <v>200</v>
      </c>
      <c r="C81" s="121"/>
      <c r="D81" s="122"/>
      <c r="E81" s="123"/>
      <c r="F81" s="124"/>
      <c r="G81" s="111" t="s">
        <v>268</v>
      </c>
      <c r="H81" s="111">
        <v>5</v>
      </c>
      <c r="I81" s="112">
        <v>700</v>
      </c>
      <c r="J81" s="99">
        <f t="shared" si="1"/>
        <v>3500</v>
      </c>
      <c r="K81" s="100"/>
      <c r="L81" s="101"/>
      <c r="R81" s="97"/>
    </row>
    <row r="82" spans="1:18" ht="17.25" customHeight="1">
      <c r="A82" s="5">
        <f t="shared" si="2"/>
        <v>77</v>
      </c>
      <c r="B82" s="120" t="s">
        <v>201</v>
      </c>
      <c r="C82" s="121"/>
      <c r="D82" s="122"/>
      <c r="E82" s="123"/>
      <c r="F82" s="124"/>
      <c r="G82" s="111" t="s">
        <v>268</v>
      </c>
      <c r="H82" s="111">
        <v>35</v>
      </c>
      <c r="I82" s="112">
        <v>258</v>
      </c>
      <c r="J82" s="99">
        <f t="shared" si="1"/>
        <v>9030</v>
      </c>
      <c r="K82" s="100"/>
      <c r="L82" s="101"/>
      <c r="R82" s="97"/>
    </row>
    <row r="83" spans="1:18" ht="17.25" customHeight="1">
      <c r="A83" s="5">
        <f t="shared" si="2"/>
        <v>78</v>
      </c>
      <c r="B83" s="120" t="s">
        <v>202</v>
      </c>
      <c r="C83" s="121"/>
      <c r="D83" s="122"/>
      <c r="E83" s="123"/>
      <c r="F83" s="124"/>
      <c r="G83" s="111" t="s">
        <v>268</v>
      </c>
      <c r="H83" s="111">
        <v>2</v>
      </c>
      <c r="I83" s="112">
        <v>10</v>
      </c>
      <c r="J83" s="99">
        <f t="shared" si="1"/>
        <v>20</v>
      </c>
      <c r="K83" s="100"/>
      <c r="L83" s="101"/>
      <c r="R83" s="97"/>
    </row>
    <row r="84" spans="1:18" ht="17.25" customHeight="1">
      <c r="A84" s="5">
        <f t="shared" si="2"/>
        <v>79</v>
      </c>
      <c r="B84" s="120" t="s">
        <v>203</v>
      </c>
      <c r="C84" s="121"/>
      <c r="D84" s="122"/>
      <c r="E84" s="123"/>
      <c r="F84" s="124"/>
      <c r="G84" s="111" t="s">
        <v>268</v>
      </c>
      <c r="H84" s="111">
        <v>25</v>
      </c>
      <c r="I84" s="112">
        <v>12</v>
      </c>
      <c r="J84" s="99">
        <f t="shared" si="1"/>
        <v>300</v>
      </c>
      <c r="K84" s="100"/>
      <c r="L84" s="101"/>
      <c r="R84" s="97"/>
    </row>
    <row r="85" spans="1:18" ht="17.25" customHeight="1">
      <c r="A85" s="5">
        <f t="shared" si="2"/>
        <v>80</v>
      </c>
      <c r="B85" s="120" t="s">
        <v>204</v>
      </c>
      <c r="C85" s="121"/>
      <c r="D85" s="122"/>
      <c r="E85" s="123"/>
      <c r="F85" s="124"/>
      <c r="G85" s="111" t="s">
        <v>268</v>
      </c>
      <c r="H85" s="111">
        <v>25</v>
      </c>
      <c r="I85" s="112">
        <v>18</v>
      </c>
      <c r="J85" s="99">
        <f t="shared" si="1"/>
        <v>450</v>
      </c>
      <c r="K85" s="100"/>
      <c r="L85" s="101"/>
      <c r="R85" s="97"/>
    </row>
    <row r="86" spans="1:18" ht="17.25" customHeight="1">
      <c r="A86" s="5">
        <f t="shared" si="2"/>
        <v>81</v>
      </c>
      <c r="B86" s="120" t="s">
        <v>205</v>
      </c>
      <c r="C86" s="121"/>
      <c r="D86" s="122"/>
      <c r="E86" s="123"/>
      <c r="F86" s="124"/>
      <c r="G86" s="111" t="s">
        <v>268</v>
      </c>
      <c r="H86" s="111">
        <v>16</v>
      </c>
      <c r="I86" s="112">
        <v>3.5</v>
      </c>
      <c r="J86" s="99">
        <f t="shared" si="1"/>
        <v>56</v>
      </c>
      <c r="K86" s="100"/>
      <c r="L86" s="101"/>
      <c r="R86" s="97"/>
    </row>
    <row r="87" spans="1:18" ht="17.25" customHeight="1">
      <c r="A87" s="5">
        <f t="shared" si="2"/>
        <v>82</v>
      </c>
      <c r="B87" s="120" t="s">
        <v>206</v>
      </c>
      <c r="C87" s="121"/>
      <c r="D87" s="122"/>
      <c r="E87" s="123"/>
      <c r="F87" s="124"/>
      <c r="G87" s="111" t="s">
        <v>268</v>
      </c>
      <c r="H87" s="111">
        <v>20</v>
      </c>
      <c r="I87" s="112">
        <v>14</v>
      </c>
      <c r="J87" s="99">
        <f t="shared" si="1"/>
        <v>280</v>
      </c>
      <c r="K87" s="100"/>
      <c r="L87" s="101"/>
      <c r="R87" s="97"/>
    </row>
    <row r="88" spans="1:18" ht="17.25" customHeight="1">
      <c r="A88" s="5">
        <f t="shared" si="2"/>
        <v>83</v>
      </c>
      <c r="B88" s="120" t="s">
        <v>207</v>
      </c>
      <c r="C88" s="121"/>
      <c r="D88" s="122"/>
      <c r="E88" s="123"/>
      <c r="F88" s="124"/>
      <c r="G88" s="111" t="s">
        <v>268</v>
      </c>
      <c r="H88" s="111">
        <v>2</v>
      </c>
      <c r="I88" s="112">
        <v>52</v>
      </c>
      <c r="J88" s="99">
        <f t="shared" si="1"/>
        <v>104</v>
      </c>
      <c r="K88" s="100"/>
      <c r="L88" s="101"/>
      <c r="R88" s="97"/>
    </row>
    <row r="89" spans="1:18" ht="17.25" customHeight="1">
      <c r="A89" s="5">
        <f t="shared" si="2"/>
        <v>84</v>
      </c>
      <c r="B89" s="120" t="s">
        <v>208</v>
      </c>
      <c r="C89" s="121"/>
      <c r="D89" s="122"/>
      <c r="E89" s="123"/>
      <c r="F89" s="124"/>
      <c r="G89" s="111" t="s">
        <v>268</v>
      </c>
      <c r="H89" s="111">
        <v>21</v>
      </c>
      <c r="I89" s="112">
        <v>48</v>
      </c>
      <c r="J89" s="99">
        <f t="shared" si="1"/>
        <v>1008</v>
      </c>
      <c r="K89" s="100"/>
      <c r="L89" s="101"/>
      <c r="R89" s="97"/>
    </row>
    <row r="90" spans="1:18" ht="17.25" customHeight="1">
      <c r="A90" s="5">
        <f t="shared" si="2"/>
        <v>85</v>
      </c>
      <c r="B90" s="120" t="s">
        <v>209</v>
      </c>
      <c r="C90" s="121"/>
      <c r="D90" s="122"/>
      <c r="E90" s="123"/>
      <c r="F90" s="124"/>
      <c r="G90" s="111" t="s">
        <v>268</v>
      </c>
      <c r="H90" s="111">
        <v>100</v>
      </c>
      <c r="I90" s="112">
        <v>98</v>
      </c>
      <c r="J90" s="99">
        <f t="shared" si="1"/>
        <v>9800</v>
      </c>
      <c r="K90" s="100"/>
      <c r="L90" s="101"/>
      <c r="R90" s="97"/>
    </row>
    <row r="91" spans="1:18" ht="17.25" customHeight="1">
      <c r="A91" s="5">
        <f t="shared" si="2"/>
        <v>86</v>
      </c>
      <c r="B91" s="120" t="s">
        <v>210</v>
      </c>
      <c r="C91" s="121"/>
      <c r="D91" s="122"/>
      <c r="E91" s="123"/>
      <c r="F91" s="124"/>
      <c r="G91" s="111" t="s">
        <v>268</v>
      </c>
      <c r="H91" s="111">
        <v>240</v>
      </c>
      <c r="I91" s="112">
        <v>14.5</v>
      </c>
      <c r="J91" s="99">
        <f t="shared" si="1"/>
        <v>3480</v>
      </c>
      <c r="K91" s="100"/>
      <c r="L91" s="101"/>
      <c r="R91" s="97"/>
    </row>
    <row r="92" spans="1:18" ht="17.25" customHeight="1">
      <c r="A92" s="5">
        <f t="shared" si="2"/>
        <v>87</v>
      </c>
      <c r="B92" s="120" t="s">
        <v>211</v>
      </c>
      <c r="C92" s="121"/>
      <c r="D92" s="122"/>
      <c r="E92" s="123"/>
      <c r="F92" s="124"/>
      <c r="G92" s="111" t="s">
        <v>268</v>
      </c>
      <c r="H92" s="111">
        <v>46</v>
      </c>
      <c r="I92" s="112">
        <v>14.5</v>
      </c>
      <c r="J92" s="99">
        <f t="shared" si="1"/>
        <v>667</v>
      </c>
      <c r="K92" s="100"/>
      <c r="L92" s="101"/>
      <c r="R92" s="97"/>
    </row>
    <row r="93" spans="1:18" ht="17.25" customHeight="1">
      <c r="A93" s="5">
        <f t="shared" si="2"/>
        <v>88</v>
      </c>
      <c r="B93" s="120" t="s">
        <v>212</v>
      </c>
      <c r="C93" s="121"/>
      <c r="D93" s="122"/>
      <c r="E93" s="123"/>
      <c r="F93" s="124"/>
      <c r="G93" s="111" t="s">
        <v>268</v>
      </c>
      <c r="H93" s="111">
        <v>4</v>
      </c>
      <c r="I93" s="112">
        <v>420</v>
      </c>
      <c r="J93" s="99">
        <f t="shared" si="1"/>
        <v>1680</v>
      </c>
      <c r="K93" s="100"/>
      <c r="L93" s="101"/>
      <c r="R93" s="97"/>
    </row>
    <row r="94" spans="1:18" ht="17.25" customHeight="1">
      <c r="A94" s="5">
        <f t="shared" si="2"/>
        <v>89</v>
      </c>
      <c r="B94" s="120" t="s">
        <v>213</v>
      </c>
      <c r="C94" s="121"/>
      <c r="D94" s="122"/>
      <c r="E94" s="123"/>
      <c r="F94" s="124"/>
      <c r="G94" s="111" t="s">
        <v>268</v>
      </c>
      <c r="H94" s="111">
        <v>4</v>
      </c>
      <c r="I94" s="112">
        <v>5.5</v>
      </c>
      <c r="J94" s="99">
        <f t="shared" si="1"/>
        <v>22</v>
      </c>
      <c r="K94" s="100"/>
      <c r="L94" s="101"/>
      <c r="R94" s="97"/>
    </row>
    <row r="95" spans="1:18" ht="17.25" customHeight="1">
      <c r="A95" s="5">
        <f t="shared" si="2"/>
        <v>90</v>
      </c>
      <c r="B95" s="120" t="s">
        <v>214</v>
      </c>
      <c r="C95" s="121"/>
      <c r="D95" s="122"/>
      <c r="E95" s="123"/>
      <c r="F95" s="124"/>
      <c r="G95" s="111" t="s">
        <v>268</v>
      </c>
      <c r="H95" s="111">
        <v>3</v>
      </c>
      <c r="I95" s="112">
        <v>4</v>
      </c>
      <c r="J95" s="99">
        <f t="shared" si="1"/>
        <v>12</v>
      </c>
      <c r="K95" s="100"/>
      <c r="L95" s="101"/>
      <c r="R95" s="97"/>
    </row>
    <row r="96" spans="1:18" ht="17.25" customHeight="1">
      <c r="A96" s="5">
        <f t="shared" si="2"/>
        <v>91</v>
      </c>
      <c r="B96" s="120" t="s">
        <v>215</v>
      </c>
      <c r="C96" s="121"/>
      <c r="D96" s="122"/>
      <c r="E96" s="123"/>
      <c r="F96" s="124"/>
      <c r="G96" s="111" t="s">
        <v>268</v>
      </c>
      <c r="H96" s="111">
        <v>4</v>
      </c>
      <c r="I96" s="112">
        <v>4.5</v>
      </c>
      <c r="J96" s="99">
        <f t="shared" si="1"/>
        <v>18</v>
      </c>
      <c r="K96" s="100"/>
      <c r="L96" s="101"/>
      <c r="R96" s="97"/>
    </row>
    <row r="97" spans="1:18" ht="17.25" customHeight="1">
      <c r="A97" s="5">
        <f t="shared" si="2"/>
        <v>92</v>
      </c>
      <c r="B97" s="120" t="s">
        <v>216</v>
      </c>
      <c r="C97" s="121"/>
      <c r="D97" s="122"/>
      <c r="E97" s="123"/>
      <c r="F97" s="124"/>
      <c r="G97" s="111" t="s">
        <v>268</v>
      </c>
      <c r="H97" s="111">
        <v>26</v>
      </c>
      <c r="I97" s="112">
        <v>9.5</v>
      </c>
      <c r="J97" s="99">
        <f t="shared" si="1"/>
        <v>247</v>
      </c>
      <c r="K97" s="100"/>
      <c r="L97" s="101"/>
      <c r="R97" s="97"/>
    </row>
    <row r="98" spans="1:18" ht="17.25" customHeight="1">
      <c r="A98" s="5">
        <f t="shared" si="2"/>
        <v>93</v>
      </c>
      <c r="B98" s="120" t="s">
        <v>217</v>
      </c>
      <c r="C98" s="121"/>
      <c r="D98" s="122"/>
      <c r="E98" s="123"/>
      <c r="F98" s="124"/>
      <c r="G98" s="111" t="s">
        <v>268</v>
      </c>
      <c r="H98" s="111">
        <v>30</v>
      </c>
      <c r="I98" s="112">
        <v>23</v>
      </c>
      <c r="J98" s="99">
        <f t="shared" si="1"/>
        <v>690</v>
      </c>
      <c r="K98" s="100"/>
      <c r="L98" s="101"/>
      <c r="R98" s="97"/>
    </row>
    <row r="99" spans="1:18" ht="17.25" customHeight="1">
      <c r="A99" s="5">
        <f t="shared" si="2"/>
        <v>94</v>
      </c>
      <c r="B99" s="120" t="s">
        <v>218</v>
      </c>
      <c r="C99" s="121"/>
      <c r="D99" s="122"/>
      <c r="E99" s="123"/>
      <c r="F99" s="124"/>
      <c r="G99" s="111" t="s">
        <v>268</v>
      </c>
      <c r="H99" s="111">
        <v>1</v>
      </c>
      <c r="I99" s="112">
        <v>56</v>
      </c>
      <c r="J99" s="99">
        <f t="shared" si="1"/>
        <v>56</v>
      </c>
      <c r="K99" s="100"/>
      <c r="L99" s="101"/>
      <c r="R99" s="97"/>
    </row>
    <row r="100" spans="1:18" ht="17.25" customHeight="1">
      <c r="A100" s="5">
        <f t="shared" si="2"/>
        <v>95</v>
      </c>
      <c r="B100" s="120" t="s">
        <v>219</v>
      </c>
      <c r="C100" s="121"/>
      <c r="D100" s="122"/>
      <c r="E100" s="123"/>
      <c r="F100" s="124"/>
      <c r="G100" s="111" t="s">
        <v>268</v>
      </c>
      <c r="H100" s="111">
        <v>25</v>
      </c>
      <c r="I100" s="112">
        <v>6</v>
      </c>
      <c r="J100" s="99">
        <f t="shared" si="1"/>
        <v>150</v>
      </c>
      <c r="K100" s="100"/>
      <c r="L100" s="101"/>
      <c r="R100" s="97"/>
    </row>
    <row r="101" spans="1:18" ht="17.25" customHeight="1">
      <c r="A101" s="5">
        <f t="shared" si="2"/>
        <v>96</v>
      </c>
      <c r="B101" s="120" t="s">
        <v>220</v>
      </c>
      <c r="C101" s="121"/>
      <c r="D101" s="122"/>
      <c r="E101" s="123"/>
      <c r="F101" s="124"/>
      <c r="G101" s="111" t="s">
        <v>268</v>
      </c>
      <c r="H101" s="111">
        <v>3</v>
      </c>
      <c r="I101" s="112">
        <v>70</v>
      </c>
      <c r="J101" s="99">
        <f t="shared" si="1"/>
        <v>210</v>
      </c>
      <c r="K101" s="100"/>
      <c r="L101" s="101"/>
      <c r="R101" s="97"/>
    </row>
    <row r="102" spans="1:18" ht="17.25" customHeight="1">
      <c r="A102" s="5">
        <f t="shared" si="2"/>
        <v>97</v>
      </c>
      <c r="B102" s="120" t="s">
        <v>221</v>
      </c>
      <c r="C102" s="121"/>
      <c r="D102" s="122"/>
      <c r="E102" s="123"/>
      <c r="F102" s="124"/>
      <c r="G102" s="111" t="s">
        <v>268</v>
      </c>
      <c r="H102" s="111">
        <v>250</v>
      </c>
      <c r="I102" s="112">
        <v>2.8</v>
      </c>
      <c r="J102" s="99">
        <f t="shared" si="1"/>
        <v>700</v>
      </c>
      <c r="K102" s="100"/>
      <c r="L102" s="101"/>
      <c r="R102" s="97"/>
    </row>
    <row r="103" spans="1:18" ht="17.25" customHeight="1">
      <c r="A103" s="5">
        <f t="shared" si="2"/>
        <v>98</v>
      </c>
      <c r="B103" s="120" t="s">
        <v>222</v>
      </c>
      <c r="C103" s="121"/>
      <c r="D103" s="122"/>
      <c r="E103" s="123"/>
      <c r="F103" s="124"/>
      <c r="G103" s="111" t="s">
        <v>268</v>
      </c>
      <c r="H103" s="111">
        <v>250</v>
      </c>
      <c r="I103" s="112">
        <v>4.7</v>
      </c>
      <c r="J103" s="99">
        <f t="shared" si="1"/>
        <v>1175</v>
      </c>
      <c r="K103" s="100"/>
      <c r="L103" s="101"/>
      <c r="R103" s="97"/>
    </row>
    <row r="104" spans="1:18" ht="17.25" customHeight="1">
      <c r="A104" s="5">
        <f t="shared" si="2"/>
        <v>99</v>
      </c>
      <c r="B104" s="120" t="s">
        <v>223</v>
      </c>
      <c r="C104" s="121"/>
      <c r="D104" s="122"/>
      <c r="E104" s="123"/>
      <c r="F104" s="124"/>
      <c r="G104" s="111" t="s">
        <v>268</v>
      </c>
      <c r="H104" s="111">
        <v>200</v>
      </c>
      <c r="I104" s="112">
        <v>56</v>
      </c>
      <c r="J104" s="99">
        <f t="shared" si="1"/>
        <v>11200</v>
      </c>
      <c r="K104" s="100"/>
      <c r="L104" s="101"/>
      <c r="R104" s="97"/>
    </row>
    <row r="105" spans="1:18" ht="17.25" customHeight="1">
      <c r="A105" s="5">
        <f t="shared" si="2"/>
        <v>100</v>
      </c>
      <c r="B105" s="120" t="s">
        <v>224</v>
      </c>
      <c r="C105" s="121"/>
      <c r="D105" s="122"/>
      <c r="E105" s="123"/>
      <c r="F105" s="124"/>
      <c r="G105" s="111" t="s">
        <v>268</v>
      </c>
      <c r="H105" s="111">
        <v>10</v>
      </c>
      <c r="I105" s="112">
        <v>5</v>
      </c>
      <c r="J105" s="99">
        <f t="shared" si="1"/>
        <v>50</v>
      </c>
      <c r="K105" s="100"/>
      <c r="L105" s="101"/>
      <c r="R105" s="97"/>
    </row>
    <row r="106" spans="1:18" ht="17.25" customHeight="1">
      <c r="A106" s="5">
        <f t="shared" si="2"/>
        <v>101</v>
      </c>
      <c r="B106" s="120" t="s">
        <v>225</v>
      </c>
      <c r="C106" s="121"/>
      <c r="D106" s="122"/>
      <c r="E106" s="123"/>
      <c r="F106" s="124"/>
      <c r="G106" s="111" t="s">
        <v>268</v>
      </c>
      <c r="H106" s="111">
        <v>100</v>
      </c>
      <c r="I106" s="112">
        <v>1.84</v>
      </c>
      <c r="J106" s="99">
        <f t="shared" si="1"/>
        <v>184</v>
      </c>
      <c r="K106" s="100"/>
      <c r="L106" s="101"/>
      <c r="R106" s="97"/>
    </row>
    <row r="107" spans="1:18" ht="17.25" customHeight="1">
      <c r="A107" s="5">
        <f t="shared" si="2"/>
        <v>102</v>
      </c>
      <c r="B107" s="120" t="s">
        <v>226</v>
      </c>
      <c r="C107" s="121"/>
      <c r="D107" s="122"/>
      <c r="E107" s="123"/>
      <c r="F107" s="124"/>
      <c r="G107" s="111" t="s">
        <v>268</v>
      </c>
      <c r="H107" s="111">
        <v>5</v>
      </c>
      <c r="I107" s="112">
        <v>470</v>
      </c>
      <c r="J107" s="99">
        <f t="shared" si="1"/>
        <v>2350</v>
      </c>
      <c r="K107" s="100"/>
      <c r="L107" s="101"/>
      <c r="R107" s="97"/>
    </row>
    <row r="108" spans="1:18" ht="17.25" customHeight="1">
      <c r="A108" s="5">
        <f t="shared" si="2"/>
        <v>103</v>
      </c>
      <c r="B108" s="120" t="s">
        <v>227</v>
      </c>
      <c r="C108" s="121"/>
      <c r="D108" s="122"/>
      <c r="E108" s="123"/>
      <c r="F108" s="124"/>
      <c r="G108" s="111" t="s">
        <v>268</v>
      </c>
      <c r="H108" s="111">
        <v>1000</v>
      </c>
      <c r="I108" s="112">
        <v>2.8</v>
      </c>
      <c r="J108" s="99">
        <f t="shared" si="1"/>
        <v>2800</v>
      </c>
      <c r="K108" s="100"/>
      <c r="L108" s="101"/>
      <c r="R108" s="97"/>
    </row>
    <row r="109" spans="1:18" ht="27.75" customHeight="1">
      <c r="A109" s="5">
        <f t="shared" si="2"/>
        <v>104</v>
      </c>
      <c r="B109" s="120" t="s">
        <v>228</v>
      </c>
      <c r="C109" s="121"/>
      <c r="D109" s="122"/>
      <c r="E109" s="123"/>
      <c r="F109" s="124"/>
      <c r="G109" s="111" t="s">
        <v>268</v>
      </c>
      <c r="H109" s="111">
        <v>6</v>
      </c>
      <c r="I109" s="112">
        <v>145</v>
      </c>
      <c r="J109" s="99">
        <f t="shared" si="1"/>
        <v>870</v>
      </c>
      <c r="K109" s="100"/>
      <c r="L109" s="101"/>
      <c r="R109" s="97"/>
    </row>
    <row r="110" spans="1:18" ht="27.75" customHeight="1">
      <c r="A110" s="5">
        <f t="shared" si="2"/>
        <v>105</v>
      </c>
      <c r="B110" s="120" t="s">
        <v>229</v>
      </c>
      <c r="C110" s="121"/>
      <c r="D110" s="122"/>
      <c r="E110" s="123"/>
      <c r="F110" s="124"/>
      <c r="G110" s="111" t="s">
        <v>268</v>
      </c>
      <c r="H110" s="111">
        <v>10</v>
      </c>
      <c r="I110" s="112">
        <v>164</v>
      </c>
      <c r="J110" s="99">
        <f t="shared" si="1"/>
        <v>1640</v>
      </c>
      <c r="K110" s="100"/>
      <c r="L110" s="101"/>
      <c r="R110" s="97"/>
    </row>
    <row r="111" spans="1:18" ht="27.75" customHeight="1">
      <c r="A111" s="5">
        <f t="shared" si="2"/>
        <v>106</v>
      </c>
      <c r="B111" s="120" t="s">
        <v>230</v>
      </c>
      <c r="C111" s="121"/>
      <c r="D111" s="122"/>
      <c r="E111" s="123"/>
      <c r="F111" s="124"/>
      <c r="G111" s="111" t="s">
        <v>268</v>
      </c>
      <c r="H111" s="111">
        <v>4</v>
      </c>
      <c r="I111" s="112">
        <v>145</v>
      </c>
      <c r="J111" s="99">
        <f t="shared" si="1"/>
        <v>580</v>
      </c>
      <c r="K111" s="100"/>
      <c r="L111" s="101"/>
      <c r="R111" s="97"/>
    </row>
    <row r="112" spans="1:18" ht="27.75" customHeight="1">
      <c r="A112" s="5">
        <f t="shared" si="2"/>
        <v>107</v>
      </c>
      <c r="B112" s="120" t="s">
        <v>231</v>
      </c>
      <c r="C112" s="121"/>
      <c r="D112" s="122"/>
      <c r="E112" s="123"/>
      <c r="F112" s="124"/>
      <c r="G112" s="111" t="s">
        <v>268</v>
      </c>
      <c r="H112" s="111">
        <v>6</v>
      </c>
      <c r="I112" s="112">
        <v>190</v>
      </c>
      <c r="J112" s="99">
        <f t="shared" si="1"/>
        <v>1140</v>
      </c>
      <c r="K112" s="100"/>
      <c r="L112" s="101"/>
      <c r="R112" s="97"/>
    </row>
    <row r="113" spans="1:18" ht="17.25" customHeight="1">
      <c r="A113" s="5">
        <f t="shared" si="2"/>
        <v>108</v>
      </c>
      <c r="B113" s="120" t="s">
        <v>232</v>
      </c>
      <c r="C113" s="121"/>
      <c r="D113" s="122"/>
      <c r="E113" s="123"/>
      <c r="F113" s="124"/>
      <c r="G113" s="111" t="s">
        <v>268</v>
      </c>
      <c r="H113" s="111">
        <v>3</v>
      </c>
      <c r="I113" s="112">
        <v>164</v>
      </c>
      <c r="J113" s="99">
        <f t="shared" si="1"/>
        <v>492</v>
      </c>
      <c r="K113" s="100"/>
      <c r="L113" s="101"/>
      <c r="R113" s="97"/>
    </row>
    <row r="114" spans="1:18" ht="27.75" customHeight="1">
      <c r="A114" s="5">
        <f t="shared" si="2"/>
        <v>109</v>
      </c>
      <c r="B114" s="120" t="s">
        <v>233</v>
      </c>
      <c r="C114" s="121"/>
      <c r="D114" s="122"/>
      <c r="E114" s="123"/>
      <c r="F114" s="124"/>
      <c r="G114" s="111" t="s">
        <v>268</v>
      </c>
      <c r="H114" s="111">
        <v>3</v>
      </c>
      <c r="I114" s="112">
        <v>145</v>
      </c>
      <c r="J114" s="99">
        <f t="shared" si="1"/>
        <v>435</v>
      </c>
      <c r="K114" s="100"/>
      <c r="L114" s="101"/>
      <c r="R114" s="97"/>
    </row>
    <row r="115" spans="1:18" ht="17.25" customHeight="1">
      <c r="A115" s="5">
        <f t="shared" si="2"/>
        <v>110</v>
      </c>
      <c r="B115" s="120" t="s">
        <v>234</v>
      </c>
      <c r="C115" s="121"/>
      <c r="D115" s="122"/>
      <c r="E115" s="123"/>
      <c r="F115" s="124"/>
      <c r="G115" s="111" t="s">
        <v>268</v>
      </c>
      <c r="H115" s="111">
        <v>15</v>
      </c>
      <c r="I115" s="112">
        <v>38</v>
      </c>
      <c r="J115" s="99">
        <f t="shared" si="1"/>
        <v>570</v>
      </c>
      <c r="K115" s="100"/>
      <c r="L115" s="101"/>
      <c r="R115" s="97"/>
    </row>
    <row r="116" spans="1:18" ht="17.25" customHeight="1">
      <c r="A116" s="5">
        <f t="shared" si="2"/>
        <v>111</v>
      </c>
      <c r="B116" s="120" t="s">
        <v>235</v>
      </c>
      <c r="C116" s="121"/>
      <c r="D116" s="122"/>
      <c r="E116" s="123"/>
      <c r="F116" s="124"/>
      <c r="G116" s="111" t="s">
        <v>271</v>
      </c>
      <c r="H116" s="111">
        <v>50</v>
      </c>
      <c r="I116" s="112">
        <v>450</v>
      </c>
      <c r="J116" s="99">
        <f t="shared" si="1"/>
        <v>22500</v>
      </c>
      <c r="K116" s="100"/>
      <c r="L116" s="101"/>
      <c r="R116" s="97"/>
    </row>
    <row r="117" spans="1:18" ht="17.25" customHeight="1">
      <c r="A117" s="5">
        <f t="shared" si="2"/>
        <v>112</v>
      </c>
      <c r="B117" s="120" t="s">
        <v>236</v>
      </c>
      <c r="C117" s="121"/>
      <c r="D117" s="122"/>
      <c r="E117" s="123"/>
      <c r="F117" s="124"/>
      <c r="G117" s="111" t="s">
        <v>271</v>
      </c>
      <c r="H117" s="111">
        <v>3</v>
      </c>
      <c r="I117" s="112">
        <v>2985</v>
      </c>
      <c r="J117" s="99">
        <f t="shared" si="1"/>
        <v>8955</v>
      </c>
      <c r="K117" s="100"/>
      <c r="L117" s="101"/>
      <c r="R117" s="97"/>
    </row>
    <row r="118" spans="1:18" ht="17.25" customHeight="1">
      <c r="A118" s="5">
        <f t="shared" si="2"/>
        <v>113</v>
      </c>
      <c r="B118" s="120" t="s">
        <v>237</v>
      </c>
      <c r="C118" s="121"/>
      <c r="D118" s="122"/>
      <c r="E118" s="123"/>
      <c r="F118" s="124"/>
      <c r="G118" s="111" t="s">
        <v>268</v>
      </c>
      <c r="H118" s="111">
        <v>4</v>
      </c>
      <c r="I118" s="112">
        <v>95</v>
      </c>
      <c r="J118" s="99">
        <f t="shared" si="1"/>
        <v>380</v>
      </c>
      <c r="K118" s="100"/>
      <c r="L118" s="101"/>
      <c r="R118" s="97"/>
    </row>
    <row r="119" spans="1:18" ht="17.25" customHeight="1">
      <c r="A119" s="5">
        <f t="shared" si="2"/>
        <v>114</v>
      </c>
      <c r="B119" s="120" t="s">
        <v>238</v>
      </c>
      <c r="C119" s="121"/>
      <c r="D119" s="122"/>
      <c r="E119" s="123"/>
      <c r="F119" s="124"/>
      <c r="G119" s="111" t="s">
        <v>268</v>
      </c>
      <c r="H119" s="111">
        <v>25</v>
      </c>
      <c r="I119" s="112">
        <v>64</v>
      </c>
      <c r="J119" s="99">
        <f t="shared" si="1"/>
        <v>1600</v>
      </c>
      <c r="K119" s="100"/>
      <c r="L119" s="101"/>
      <c r="R119" s="97"/>
    </row>
    <row r="120" spans="1:18" ht="17.25" customHeight="1">
      <c r="A120" s="5">
        <f t="shared" si="2"/>
        <v>115</v>
      </c>
      <c r="B120" s="120" t="s">
        <v>239</v>
      </c>
      <c r="C120" s="121"/>
      <c r="D120" s="122"/>
      <c r="E120" s="123"/>
      <c r="F120" s="124"/>
      <c r="G120" s="111" t="s">
        <v>268</v>
      </c>
      <c r="H120" s="111">
        <v>50</v>
      </c>
      <c r="I120" s="112">
        <v>64</v>
      </c>
      <c r="J120" s="99">
        <f t="shared" si="1"/>
        <v>3200</v>
      </c>
      <c r="K120" s="100"/>
      <c r="L120" s="101"/>
      <c r="R120" s="97"/>
    </row>
    <row r="121" spans="1:18" ht="17.25" customHeight="1">
      <c r="A121" s="5">
        <f t="shared" si="2"/>
        <v>116</v>
      </c>
      <c r="B121" s="120" t="s">
        <v>240</v>
      </c>
      <c r="C121" s="121"/>
      <c r="D121" s="122"/>
      <c r="E121" s="123"/>
      <c r="F121" s="124"/>
      <c r="G121" s="111" t="s">
        <v>268</v>
      </c>
      <c r="H121" s="111">
        <v>2</v>
      </c>
      <c r="I121" s="112">
        <v>120</v>
      </c>
      <c r="J121" s="99">
        <f t="shared" si="1"/>
        <v>240</v>
      </c>
      <c r="K121" s="100"/>
      <c r="L121" s="101"/>
      <c r="R121" s="97"/>
    </row>
    <row r="122" spans="1:18" ht="17.25" customHeight="1">
      <c r="A122" s="5">
        <f t="shared" si="2"/>
        <v>117</v>
      </c>
      <c r="B122" s="120" t="s">
        <v>241</v>
      </c>
      <c r="C122" s="121"/>
      <c r="D122" s="122"/>
      <c r="E122" s="123"/>
      <c r="F122" s="124"/>
      <c r="G122" s="111" t="s">
        <v>268</v>
      </c>
      <c r="H122" s="111">
        <v>12</v>
      </c>
      <c r="I122" s="112">
        <v>2</v>
      </c>
      <c r="J122" s="99">
        <f t="shared" si="1"/>
        <v>24</v>
      </c>
      <c r="K122" s="100"/>
      <c r="L122" s="101"/>
      <c r="R122" s="97"/>
    </row>
    <row r="123" spans="1:18" ht="17.25" customHeight="1">
      <c r="A123" s="5">
        <f t="shared" si="2"/>
        <v>118</v>
      </c>
      <c r="B123" s="120" t="s">
        <v>242</v>
      </c>
      <c r="C123" s="121"/>
      <c r="D123" s="122"/>
      <c r="E123" s="123"/>
      <c r="F123" s="124"/>
      <c r="G123" s="111" t="s">
        <v>268</v>
      </c>
      <c r="H123" s="111">
        <v>3</v>
      </c>
      <c r="I123" s="112">
        <v>216</v>
      </c>
      <c r="J123" s="99">
        <f t="shared" si="1"/>
        <v>648</v>
      </c>
      <c r="K123" s="100"/>
      <c r="L123" s="101"/>
      <c r="R123" s="97"/>
    </row>
    <row r="124" spans="1:18" ht="17.25" customHeight="1">
      <c r="A124" s="5">
        <f t="shared" si="2"/>
        <v>119</v>
      </c>
      <c r="B124" s="120" t="s">
        <v>243</v>
      </c>
      <c r="C124" s="121"/>
      <c r="D124" s="122"/>
      <c r="E124" s="123"/>
      <c r="F124" s="124"/>
      <c r="G124" s="111" t="s">
        <v>268</v>
      </c>
      <c r="H124" s="111">
        <v>2</v>
      </c>
      <c r="I124" s="112">
        <v>2240</v>
      </c>
      <c r="J124" s="99">
        <f t="shared" si="1"/>
        <v>4480</v>
      </c>
      <c r="K124" s="100"/>
      <c r="L124" s="101"/>
      <c r="R124" s="97"/>
    </row>
    <row r="125" spans="1:18" ht="17.25" customHeight="1">
      <c r="A125" s="5">
        <f t="shared" si="2"/>
        <v>120</v>
      </c>
      <c r="B125" s="120" t="s">
        <v>244</v>
      </c>
      <c r="C125" s="121"/>
      <c r="D125" s="122"/>
      <c r="E125" s="123"/>
      <c r="F125" s="124"/>
      <c r="G125" s="111" t="s">
        <v>268</v>
      </c>
      <c r="H125" s="111">
        <v>30</v>
      </c>
      <c r="I125" s="112">
        <v>18</v>
      </c>
      <c r="J125" s="99">
        <f t="shared" si="1"/>
        <v>540</v>
      </c>
      <c r="K125" s="100"/>
      <c r="L125" s="101"/>
      <c r="R125" s="97"/>
    </row>
    <row r="126" spans="1:18" ht="17.25" customHeight="1">
      <c r="A126" s="5">
        <f t="shared" si="2"/>
        <v>121</v>
      </c>
      <c r="B126" s="120" t="s">
        <v>245</v>
      </c>
      <c r="C126" s="121"/>
      <c r="D126" s="122"/>
      <c r="E126" s="123"/>
      <c r="F126" s="124"/>
      <c r="G126" s="111" t="s">
        <v>268</v>
      </c>
      <c r="H126" s="111">
        <v>5</v>
      </c>
      <c r="I126" s="112">
        <v>25</v>
      </c>
      <c r="J126" s="99">
        <f t="shared" si="1"/>
        <v>125</v>
      </c>
      <c r="K126" s="100"/>
      <c r="L126" s="101"/>
      <c r="R126" s="97"/>
    </row>
    <row r="127" spans="1:18" ht="17.25" customHeight="1">
      <c r="A127" s="5">
        <f t="shared" si="2"/>
        <v>122</v>
      </c>
      <c r="B127" s="120" t="s">
        <v>246</v>
      </c>
      <c r="C127" s="121"/>
      <c r="D127" s="122"/>
      <c r="E127" s="123"/>
      <c r="F127" s="124"/>
      <c r="G127" s="111" t="s">
        <v>268</v>
      </c>
      <c r="H127" s="111">
        <v>1000</v>
      </c>
      <c r="I127" s="112">
        <v>1.8</v>
      </c>
      <c r="J127" s="99">
        <f t="shared" si="1"/>
        <v>1800</v>
      </c>
      <c r="K127" s="100"/>
      <c r="L127" s="101"/>
      <c r="R127" s="97"/>
    </row>
    <row r="128" spans="1:18" ht="17.25" customHeight="1">
      <c r="A128" s="5">
        <f t="shared" si="2"/>
        <v>123</v>
      </c>
      <c r="B128" s="120" t="s">
        <v>247</v>
      </c>
      <c r="C128" s="121"/>
      <c r="D128" s="122"/>
      <c r="E128" s="123"/>
      <c r="F128" s="124"/>
      <c r="G128" s="111" t="s">
        <v>269</v>
      </c>
      <c r="H128" s="111">
        <v>4</v>
      </c>
      <c r="I128" s="112">
        <v>715</v>
      </c>
      <c r="J128" s="99">
        <f t="shared" si="1"/>
        <v>2860</v>
      </c>
      <c r="K128" s="100"/>
      <c r="L128" s="101"/>
      <c r="R128" s="97"/>
    </row>
    <row r="129" spans="1:18" ht="17.25" customHeight="1">
      <c r="A129" s="5">
        <f t="shared" si="2"/>
        <v>124</v>
      </c>
      <c r="B129" s="120" t="s">
        <v>248</v>
      </c>
      <c r="C129" s="121"/>
      <c r="D129" s="122"/>
      <c r="E129" s="123"/>
      <c r="F129" s="124"/>
      <c r="G129" s="111" t="s">
        <v>269</v>
      </c>
      <c r="H129" s="111">
        <v>4</v>
      </c>
      <c r="I129" s="112">
        <v>673</v>
      </c>
      <c r="J129" s="99">
        <f t="shared" si="1"/>
        <v>2692</v>
      </c>
      <c r="K129" s="100"/>
      <c r="L129" s="101"/>
      <c r="R129" s="97"/>
    </row>
    <row r="130" spans="1:18" ht="17.25" customHeight="1">
      <c r="A130" s="5">
        <f t="shared" si="2"/>
        <v>125</v>
      </c>
      <c r="B130" s="120" t="s">
        <v>249</v>
      </c>
      <c r="C130" s="121"/>
      <c r="D130" s="122"/>
      <c r="E130" s="123"/>
      <c r="F130" s="124"/>
      <c r="G130" s="111" t="s">
        <v>268</v>
      </c>
      <c r="H130" s="111">
        <v>300</v>
      </c>
      <c r="I130" s="112">
        <v>13</v>
      </c>
      <c r="J130" s="99">
        <f t="shared" si="1"/>
        <v>3900</v>
      </c>
      <c r="K130" s="100"/>
      <c r="L130" s="101"/>
      <c r="R130" s="97"/>
    </row>
    <row r="131" spans="1:18" ht="17.25" customHeight="1">
      <c r="A131" s="5">
        <f t="shared" si="2"/>
        <v>126</v>
      </c>
      <c r="B131" s="120" t="s">
        <v>250</v>
      </c>
      <c r="C131" s="121"/>
      <c r="D131" s="122"/>
      <c r="E131" s="123"/>
      <c r="F131" s="124"/>
      <c r="G131" s="111" t="s">
        <v>268</v>
      </c>
      <c r="H131" s="111">
        <v>250</v>
      </c>
      <c r="I131" s="112">
        <v>13</v>
      </c>
      <c r="J131" s="99">
        <f t="shared" si="1"/>
        <v>3250</v>
      </c>
      <c r="K131" s="100"/>
      <c r="L131" s="101"/>
      <c r="R131" s="97"/>
    </row>
    <row r="132" spans="1:18" ht="17.25" customHeight="1">
      <c r="A132" s="5">
        <f t="shared" si="2"/>
        <v>127</v>
      </c>
      <c r="B132" s="120" t="s">
        <v>251</v>
      </c>
      <c r="C132" s="121"/>
      <c r="D132" s="122"/>
      <c r="E132" s="123"/>
      <c r="F132" s="124"/>
      <c r="G132" s="111" t="s">
        <v>268</v>
      </c>
      <c r="H132" s="111">
        <v>350</v>
      </c>
      <c r="I132" s="112">
        <v>5.9</v>
      </c>
      <c r="J132" s="99">
        <f t="shared" si="1"/>
        <v>2065</v>
      </c>
      <c r="K132" s="100"/>
      <c r="L132" s="101"/>
      <c r="R132" s="97"/>
    </row>
    <row r="133" spans="1:18" ht="17.25" customHeight="1">
      <c r="A133" s="5">
        <f t="shared" si="2"/>
        <v>128</v>
      </c>
      <c r="B133" s="120" t="s">
        <v>252</v>
      </c>
      <c r="C133" s="121"/>
      <c r="D133" s="122"/>
      <c r="E133" s="123"/>
      <c r="F133" s="124"/>
      <c r="G133" s="111" t="s">
        <v>268</v>
      </c>
      <c r="H133" s="111">
        <v>150</v>
      </c>
      <c r="I133" s="112">
        <v>4.2</v>
      </c>
      <c r="J133" s="99">
        <f t="shared" si="1"/>
        <v>630</v>
      </c>
      <c r="K133" s="100"/>
      <c r="L133" s="101"/>
      <c r="R133" s="97"/>
    </row>
    <row r="134" spans="1:18" ht="17.25" customHeight="1">
      <c r="A134" s="5">
        <f t="shared" ref="A134:A148" si="3">ROW(A129)</f>
        <v>129</v>
      </c>
      <c r="B134" s="120" t="s">
        <v>253</v>
      </c>
      <c r="C134" s="121"/>
      <c r="D134" s="122"/>
      <c r="E134" s="123"/>
      <c r="F134" s="124"/>
      <c r="G134" s="111" t="s">
        <v>268</v>
      </c>
      <c r="H134" s="111">
        <v>150</v>
      </c>
      <c r="I134" s="112">
        <v>3.5</v>
      </c>
      <c r="J134" s="99">
        <f t="shared" si="1"/>
        <v>525</v>
      </c>
      <c r="K134" s="100"/>
      <c r="L134" s="101"/>
      <c r="R134" s="97"/>
    </row>
    <row r="135" spans="1:18" ht="17.25" customHeight="1">
      <c r="A135" s="5">
        <f t="shared" si="3"/>
        <v>130</v>
      </c>
      <c r="B135" s="120" t="s">
        <v>254</v>
      </c>
      <c r="C135" s="121"/>
      <c r="D135" s="122"/>
      <c r="E135" s="123"/>
      <c r="F135" s="124"/>
      <c r="G135" s="111" t="s">
        <v>268</v>
      </c>
      <c r="H135" s="111">
        <v>50</v>
      </c>
      <c r="I135" s="112">
        <v>55</v>
      </c>
      <c r="J135" s="99">
        <f t="shared" si="1"/>
        <v>2750</v>
      </c>
      <c r="K135" s="100"/>
      <c r="L135" s="101"/>
      <c r="R135" s="97"/>
    </row>
    <row r="136" spans="1:18" ht="17.25" customHeight="1">
      <c r="A136" s="5">
        <f t="shared" si="3"/>
        <v>131</v>
      </c>
      <c r="B136" s="120" t="s">
        <v>255</v>
      </c>
      <c r="C136" s="121"/>
      <c r="D136" s="122"/>
      <c r="E136" s="123"/>
      <c r="F136" s="124"/>
      <c r="G136" s="111" t="s">
        <v>269</v>
      </c>
      <c r="H136" s="111">
        <v>25</v>
      </c>
      <c r="I136" s="112">
        <v>600</v>
      </c>
      <c r="J136" s="99">
        <f t="shared" si="1"/>
        <v>15000</v>
      </c>
      <c r="K136" s="100"/>
      <c r="L136" s="101"/>
      <c r="R136" s="97"/>
    </row>
    <row r="137" spans="1:18" ht="17.25" customHeight="1">
      <c r="A137" s="5">
        <f t="shared" si="3"/>
        <v>132</v>
      </c>
      <c r="B137" s="120" t="s">
        <v>256</v>
      </c>
      <c r="C137" s="121"/>
      <c r="D137" s="122"/>
      <c r="E137" s="123"/>
      <c r="F137" s="124"/>
      <c r="G137" s="111" t="s">
        <v>269</v>
      </c>
      <c r="H137" s="111">
        <v>35</v>
      </c>
      <c r="I137" s="112">
        <v>415</v>
      </c>
      <c r="J137" s="99">
        <f t="shared" si="1"/>
        <v>14525</v>
      </c>
      <c r="K137" s="100"/>
      <c r="L137" s="101"/>
      <c r="R137" s="97"/>
    </row>
    <row r="138" spans="1:18" ht="17.25" customHeight="1">
      <c r="A138" s="5">
        <f t="shared" si="3"/>
        <v>133</v>
      </c>
      <c r="B138" s="120" t="s">
        <v>257</v>
      </c>
      <c r="C138" s="121"/>
      <c r="D138" s="122"/>
      <c r="E138" s="123"/>
      <c r="F138" s="124"/>
      <c r="G138" s="111" t="s">
        <v>268</v>
      </c>
      <c r="H138" s="111">
        <v>1000</v>
      </c>
      <c r="I138" s="112">
        <v>21</v>
      </c>
      <c r="J138" s="99">
        <f t="shared" si="1"/>
        <v>21000</v>
      </c>
      <c r="K138" s="100"/>
      <c r="L138" s="101"/>
      <c r="R138" s="97"/>
    </row>
    <row r="139" spans="1:18" ht="17.25" customHeight="1">
      <c r="A139" s="5">
        <f t="shared" si="3"/>
        <v>134</v>
      </c>
      <c r="B139" s="120" t="s">
        <v>258</v>
      </c>
      <c r="C139" s="121"/>
      <c r="D139" s="122"/>
      <c r="E139" s="123"/>
      <c r="F139" s="124"/>
      <c r="G139" s="111" t="s">
        <v>268</v>
      </c>
      <c r="H139" s="111">
        <v>500</v>
      </c>
      <c r="I139" s="112">
        <v>25</v>
      </c>
      <c r="J139" s="99">
        <f t="shared" si="1"/>
        <v>12500</v>
      </c>
      <c r="K139" s="100"/>
      <c r="L139" s="101"/>
      <c r="R139" s="97"/>
    </row>
    <row r="140" spans="1:18" ht="17.25" customHeight="1">
      <c r="A140" s="5">
        <f t="shared" si="3"/>
        <v>135</v>
      </c>
      <c r="B140" s="120" t="s">
        <v>259</v>
      </c>
      <c r="C140" s="121"/>
      <c r="D140" s="122"/>
      <c r="E140" s="123"/>
      <c r="F140" s="124"/>
      <c r="G140" s="111" t="s">
        <v>272</v>
      </c>
      <c r="H140" s="111">
        <v>10</v>
      </c>
      <c r="I140" s="112">
        <v>8</v>
      </c>
      <c r="J140" s="99">
        <f t="shared" si="1"/>
        <v>80</v>
      </c>
      <c r="K140" s="100"/>
      <c r="L140" s="101"/>
      <c r="R140" s="97"/>
    </row>
    <row r="141" spans="1:18" ht="17.25" customHeight="1">
      <c r="A141" s="5">
        <f t="shared" si="3"/>
        <v>136</v>
      </c>
      <c r="B141" s="120" t="s">
        <v>260</v>
      </c>
      <c r="C141" s="121"/>
      <c r="D141" s="122"/>
      <c r="E141" s="123"/>
      <c r="F141" s="124"/>
      <c r="G141" s="111" t="s">
        <v>268</v>
      </c>
      <c r="H141" s="111">
        <v>400</v>
      </c>
      <c r="I141" s="112">
        <v>5</v>
      </c>
      <c r="J141" s="99">
        <f t="shared" si="1"/>
        <v>2000</v>
      </c>
      <c r="K141" s="100"/>
      <c r="L141" s="101"/>
      <c r="R141" s="97"/>
    </row>
    <row r="142" spans="1:18" ht="17.25" customHeight="1">
      <c r="A142" s="5">
        <f t="shared" si="3"/>
        <v>137</v>
      </c>
      <c r="B142" s="120" t="s">
        <v>261</v>
      </c>
      <c r="C142" s="121"/>
      <c r="D142" s="122"/>
      <c r="E142" s="123"/>
      <c r="F142" s="124"/>
      <c r="G142" s="111" t="s">
        <v>268</v>
      </c>
      <c r="H142" s="111">
        <v>150</v>
      </c>
      <c r="I142" s="112">
        <v>18</v>
      </c>
      <c r="J142" s="99">
        <f t="shared" si="1"/>
        <v>2700</v>
      </c>
      <c r="K142" s="100"/>
      <c r="L142" s="101"/>
      <c r="R142" s="97"/>
    </row>
    <row r="143" spans="1:18" ht="17.25" customHeight="1">
      <c r="A143" s="5">
        <f t="shared" si="3"/>
        <v>138</v>
      </c>
      <c r="B143" s="120" t="s">
        <v>262</v>
      </c>
      <c r="C143" s="121"/>
      <c r="D143" s="122"/>
      <c r="E143" s="123"/>
      <c r="F143" s="124"/>
      <c r="G143" s="111" t="s">
        <v>269</v>
      </c>
      <c r="H143" s="111">
        <v>550</v>
      </c>
      <c r="I143" s="112">
        <v>24.5</v>
      </c>
      <c r="J143" s="99">
        <f t="shared" si="1"/>
        <v>13475</v>
      </c>
      <c r="K143" s="100"/>
      <c r="L143" s="101"/>
      <c r="R143" s="97"/>
    </row>
    <row r="144" spans="1:18" ht="17.25" customHeight="1">
      <c r="A144" s="5">
        <f t="shared" si="3"/>
        <v>139</v>
      </c>
      <c r="B144" s="120" t="s">
        <v>263</v>
      </c>
      <c r="C144" s="121"/>
      <c r="D144" s="122"/>
      <c r="E144" s="123"/>
      <c r="F144" s="124"/>
      <c r="G144" s="111" t="s">
        <v>268</v>
      </c>
      <c r="H144" s="111">
        <v>100</v>
      </c>
      <c r="I144" s="112">
        <v>0.95</v>
      </c>
      <c r="J144" s="99">
        <f t="shared" si="1"/>
        <v>95</v>
      </c>
      <c r="K144" s="100"/>
      <c r="L144" s="101"/>
      <c r="R144" s="97"/>
    </row>
    <row r="145" spans="1:19" ht="17.25" customHeight="1">
      <c r="A145" s="5">
        <f t="shared" si="3"/>
        <v>140</v>
      </c>
      <c r="B145" s="120" t="s">
        <v>264</v>
      </c>
      <c r="C145" s="121"/>
      <c r="D145" s="122"/>
      <c r="E145" s="123"/>
      <c r="F145" s="124"/>
      <c r="G145" s="111" t="s">
        <v>268</v>
      </c>
      <c r="H145" s="111">
        <v>100</v>
      </c>
      <c r="I145" s="112">
        <v>0.95</v>
      </c>
      <c r="J145" s="99">
        <f t="shared" si="1"/>
        <v>95</v>
      </c>
      <c r="K145" s="100"/>
      <c r="L145" s="101"/>
      <c r="R145" s="97"/>
    </row>
    <row r="146" spans="1:19" ht="17.25" customHeight="1">
      <c r="A146" s="5">
        <f t="shared" si="3"/>
        <v>141</v>
      </c>
      <c r="B146" s="120" t="s">
        <v>265</v>
      </c>
      <c r="C146" s="121"/>
      <c r="D146" s="122"/>
      <c r="E146" s="123"/>
      <c r="F146" s="124"/>
      <c r="G146" s="111" t="s">
        <v>268</v>
      </c>
      <c r="H146" s="111">
        <v>5</v>
      </c>
      <c r="I146" s="112">
        <v>1753</v>
      </c>
      <c r="J146" s="99">
        <f t="shared" si="1"/>
        <v>8765</v>
      </c>
      <c r="K146" s="100"/>
      <c r="L146" s="101"/>
      <c r="R146" s="97"/>
    </row>
    <row r="147" spans="1:19" ht="17.25" customHeight="1">
      <c r="A147" s="5">
        <f t="shared" si="3"/>
        <v>142</v>
      </c>
      <c r="B147" s="120" t="s">
        <v>266</v>
      </c>
      <c r="C147" s="121"/>
      <c r="D147" s="122"/>
      <c r="E147" s="123"/>
      <c r="F147" s="124"/>
      <c r="G147" s="111" t="s">
        <v>271</v>
      </c>
      <c r="H147" s="111">
        <v>30</v>
      </c>
      <c r="I147" s="112">
        <v>23</v>
      </c>
      <c r="J147" s="99">
        <f t="shared" si="1"/>
        <v>690</v>
      </c>
      <c r="K147" s="100"/>
      <c r="L147" s="101"/>
      <c r="R147" s="97"/>
    </row>
    <row r="148" spans="1:19" ht="17.25" customHeight="1">
      <c r="A148" s="5">
        <f t="shared" si="3"/>
        <v>143</v>
      </c>
      <c r="B148" s="120" t="s">
        <v>267</v>
      </c>
      <c r="C148" s="121"/>
      <c r="D148" s="122"/>
      <c r="E148" s="123"/>
      <c r="F148" s="124"/>
      <c r="G148" s="111" t="s">
        <v>268</v>
      </c>
      <c r="H148" s="111">
        <v>60</v>
      </c>
      <c r="I148" s="112">
        <v>35</v>
      </c>
      <c r="J148" s="99">
        <f t="shared" si="1"/>
        <v>2100</v>
      </c>
      <c r="K148" s="100"/>
      <c r="L148" s="101"/>
      <c r="R148" s="97"/>
    </row>
    <row r="149" spans="1:19" ht="23.25" customHeight="1">
      <c r="A149" s="144" t="s">
        <v>8</v>
      </c>
      <c r="B149" s="145"/>
      <c r="C149" s="102"/>
      <c r="D149" s="108"/>
      <c r="E149" s="108"/>
      <c r="F149" s="108"/>
      <c r="G149" s="109"/>
      <c r="H149" s="109"/>
      <c r="I149" s="110" t="s">
        <v>9</v>
      </c>
      <c r="J149" s="99">
        <f>SUM(J6:J148)</f>
        <v>441475</v>
      </c>
      <c r="K149" s="99"/>
      <c r="L149" s="103"/>
    </row>
    <row r="150" spans="1:19" ht="20.100000000000001" customHeight="1">
      <c r="A150" s="6" t="s">
        <v>10</v>
      </c>
      <c r="B150" s="7"/>
      <c r="C150" s="7"/>
      <c r="D150" s="7"/>
      <c r="E150" s="7"/>
      <c r="F150" s="7"/>
      <c r="G150" s="7"/>
      <c r="H150" s="7"/>
      <c r="I150" s="7"/>
      <c r="J150" s="7"/>
      <c r="K150" s="8"/>
      <c r="L150" s="9"/>
    </row>
    <row r="151" spans="1:19" ht="18" customHeight="1">
      <c r="A151" s="10"/>
      <c r="J151" s="1"/>
      <c r="K151" s="1"/>
      <c r="O151" s="11"/>
      <c r="P151" s="11"/>
      <c r="R151" s="146" t="s">
        <v>11</v>
      </c>
      <c r="S151" s="13" t="s">
        <v>12</v>
      </c>
    </row>
    <row r="152" spans="1:19" ht="48.75" customHeight="1">
      <c r="R152" s="147"/>
      <c r="S152" s="15"/>
    </row>
    <row r="153" spans="1:19" ht="17.100000000000001" customHeight="1">
      <c r="O153" s="11"/>
      <c r="P153" s="11"/>
      <c r="R153" s="148"/>
      <c r="S153" s="15" t="s">
        <v>13</v>
      </c>
    </row>
    <row r="154" spans="1:19" ht="15" customHeight="1">
      <c r="O154" s="17" t="s">
        <v>14</v>
      </c>
      <c r="P154" s="149" t="s">
        <v>15</v>
      </c>
    </row>
    <row r="155" spans="1:19" ht="18" customHeight="1">
      <c r="O155" s="18" t="s">
        <v>16</v>
      </c>
      <c r="P155" s="150"/>
      <c r="R155" s="146" t="s">
        <v>17</v>
      </c>
      <c r="S155" s="12" t="s">
        <v>12</v>
      </c>
    </row>
    <row r="156" spans="1:19" ht="50.1" customHeight="1">
      <c r="O156" s="14"/>
      <c r="P156" s="14"/>
      <c r="R156" s="147"/>
      <c r="S156" s="19"/>
    </row>
    <row r="157" spans="1:19" ht="17.100000000000001" customHeight="1">
      <c r="O157" s="16" t="s">
        <v>13</v>
      </c>
      <c r="P157" s="16" t="s">
        <v>13</v>
      </c>
      <c r="R157" s="148"/>
      <c r="S157" s="15" t="s">
        <v>13</v>
      </c>
    </row>
    <row r="158" spans="1:19" ht="9.9499999999999993" customHeight="1"/>
    <row r="159" spans="1:19" ht="19.899999999999999" customHeight="1"/>
    <row r="160" spans="1:19" ht="17.45" customHeight="1">
      <c r="O160" s="151"/>
      <c r="P160" s="151"/>
    </row>
    <row r="161" spans="15:16" ht="19.899999999999999" customHeight="1">
      <c r="O161" s="151"/>
      <c r="P161" s="151"/>
    </row>
    <row r="162" spans="15:16" ht="14.25">
      <c r="O162" s="11"/>
      <c r="P162" s="11"/>
    </row>
    <row r="163" spans="15:16" ht="65.099999999999994" customHeight="1"/>
    <row r="164" spans="15:16" ht="14.25">
      <c r="O164" s="11"/>
      <c r="P164" s="11"/>
    </row>
    <row r="165" spans="15:16" ht="19.899999999999999" customHeight="1"/>
    <row r="166" spans="15:16" ht="14.25"/>
    <row r="167" spans="15:16" ht="19.899999999999999" customHeight="1"/>
    <row r="168" spans="15:16" ht="14.25"/>
    <row r="169" spans="15:16" ht="19.899999999999999" customHeight="1"/>
    <row r="170" spans="15:16" ht="19.899999999999999" customHeight="1"/>
    <row r="171" spans="15:16" ht="64.900000000000006" customHeight="1"/>
    <row r="173" spans="15:16" ht="19.899999999999999" customHeight="1"/>
    <row r="174" spans="15:16" ht="19.899999999999999" customHeight="1"/>
    <row r="175" spans="15:16" ht="64.900000000000006" customHeight="1"/>
    <row r="179" spans="15:19" ht="21" customHeight="1">
      <c r="O179" s="149" t="s">
        <v>18</v>
      </c>
      <c r="P179" s="149" t="s">
        <v>18</v>
      </c>
      <c r="S179" s="149" t="s">
        <v>12</v>
      </c>
    </row>
    <row r="180" spans="15:19" ht="21" customHeight="1">
      <c r="O180" s="150"/>
      <c r="P180" s="150"/>
      <c r="S180" s="148"/>
    </row>
    <row r="181" spans="15:19" ht="64.900000000000006" customHeight="1">
      <c r="O181" s="14"/>
      <c r="P181" s="14"/>
      <c r="S181" s="15"/>
    </row>
    <row r="182" spans="15:19" ht="7.15" customHeight="1"/>
    <row r="183" spans="15:19" ht="21" customHeight="1">
      <c r="O183" s="149" t="s">
        <v>18</v>
      </c>
      <c r="P183" s="149" t="s">
        <v>18</v>
      </c>
      <c r="S183" s="149" t="s">
        <v>19</v>
      </c>
    </row>
    <row r="184" spans="15:19" ht="21" customHeight="1">
      <c r="O184" s="150"/>
      <c r="P184" s="150"/>
      <c r="S184" s="148"/>
    </row>
    <row r="185" spans="15:19" ht="64.900000000000006" customHeight="1">
      <c r="O185" s="14"/>
      <c r="P185" s="14"/>
      <c r="S185" s="14"/>
    </row>
  </sheetData>
  <mergeCells count="310">
    <mergeCell ref="D142:F142"/>
    <mergeCell ref="D143:F143"/>
    <mergeCell ref="D144:F144"/>
    <mergeCell ref="D145:F145"/>
    <mergeCell ref="D146:F146"/>
    <mergeCell ref="D137:F137"/>
    <mergeCell ref="D138:F138"/>
    <mergeCell ref="D139:F139"/>
    <mergeCell ref="D140:F140"/>
    <mergeCell ref="D141:F141"/>
    <mergeCell ref="D132:F132"/>
    <mergeCell ref="D133:F133"/>
    <mergeCell ref="D134:F134"/>
    <mergeCell ref="D135:F135"/>
    <mergeCell ref="D136:F136"/>
    <mergeCell ref="D127:F127"/>
    <mergeCell ref="D128:F128"/>
    <mergeCell ref="D129:F129"/>
    <mergeCell ref="D130:F130"/>
    <mergeCell ref="D131:F131"/>
    <mergeCell ref="D122:F122"/>
    <mergeCell ref="D123:F123"/>
    <mergeCell ref="D124:F124"/>
    <mergeCell ref="D125:F125"/>
    <mergeCell ref="D126:F126"/>
    <mergeCell ref="D117:F117"/>
    <mergeCell ref="D118:F118"/>
    <mergeCell ref="D119:F119"/>
    <mergeCell ref="D120:F120"/>
    <mergeCell ref="D121:F121"/>
    <mergeCell ref="D112:F112"/>
    <mergeCell ref="D113:F113"/>
    <mergeCell ref="D114:F114"/>
    <mergeCell ref="D115:F115"/>
    <mergeCell ref="D116:F116"/>
    <mergeCell ref="D107:F107"/>
    <mergeCell ref="D108:F108"/>
    <mergeCell ref="D109:F109"/>
    <mergeCell ref="D110:F110"/>
    <mergeCell ref="D111:F111"/>
    <mergeCell ref="D102:F102"/>
    <mergeCell ref="D103:F103"/>
    <mergeCell ref="D104:F104"/>
    <mergeCell ref="D105:F105"/>
    <mergeCell ref="D106:F106"/>
    <mergeCell ref="D97:F97"/>
    <mergeCell ref="D98:F98"/>
    <mergeCell ref="D99:F99"/>
    <mergeCell ref="D100:F100"/>
    <mergeCell ref="D101:F101"/>
    <mergeCell ref="D92:F92"/>
    <mergeCell ref="D93:F93"/>
    <mergeCell ref="D94:F94"/>
    <mergeCell ref="D95:F95"/>
    <mergeCell ref="D96:F96"/>
    <mergeCell ref="D87:F87"/>
    <mergeCell ref="D88:F88"/>
    <mergeCell ref="D89:F89"/>
    <mergeCell ref="D90:F90"/>
    <mergeCell ref="D91:F91"/>
    <mergeCell ref="D82:F82"/>
    <mergeCell ref="D83:F83"/>
    <mergeCell ref="D84:F84"/>
    <mergeCell ref="D85:F85"/>
    <mergeCell ref="D86:F86"/>
    <mergeCell ref="D77:F77"/>
    <mergeCell ref="D78:F78"/>
    <mergeCell ref="D79:F79"/>
    <mergeCell ref="D80:F80"/>
    <mergeCell ref="D81:F81"/>
    <mergeCell ref="D72:F72"/>
    <mergeCell ref="D73:F73"/>
    <mergeCell ref="D74:F74"/>
    <mergeCell ref="D75:F75"/>
    <mergeCell ref="D76:F76"/>
    <mergeCell ref="D67:F67"/>
    <mergeCell ref="D68:F68"/>
    <mergeCell ref="D69:F69"/>
    <mergeCell ref="D70:F70"/>
    <mergeCell ref="D71:F71"/>
    <mergeCell ref="D62:F62"/>
    <mergeCell ref="D63:F63"/>
    <mergeCell ref="D64:F64"/>
    <mergeCell ref="D65:F65"/>
    <mergeCell ref="D66:F66"/>
    <mergeCell ref="D57:F57"/>
    <mergeCell ref="D58:F58"/>
    <mergeCell ref="D59:F59"/>
    <mergeCell ref="D60:F60"/>
    <mergeCell ref="D61:F61"/>
    <mergeCell ref="D52:F52"/>
    <mergeCell ref="D53:F53"/>
    <mergeCell ref="D54:F54"/>
    <mergeCell ref="D55:F55"/>
    <mergeCell ref="D56:F56"/>
    <mergeCell ref="D47:F47"/>
    <mergeCell ref="D48:F48"/>
    <mergeCell ref="D49:F49"/>
    <mergeCell ref="D50:F50"/>
    <mergeCell ref="D51:F51"/>
    <mergeCell ref="D42:F42"/>
    <mergeCell ref="D43:F43"/>
    <mergeCell ref="D44:F44"/>
    <mergeCell ref="D45:F45"/>
    <mergeCell ref="D46:F46"/>
    <mergeCell ref="D37:F37"/>
    <mergeCell ref="D38:F38"/>
    <mergeCell ref="D39:F39"/>
    <mergeCell ref="D40:F40"/>
    <mergeCell ref="D41:F41"/>
    <mergeCell ref="D32:F32"/>
    <mergeCell ref="D33:F33"/>
    <mergeCell ref="D34:F34"/>
    <mergeCell ref="D35:F35"/>
    <mergeCell ref="D36:F36"/>
    <mergeCell ref="D27:F27"/>
    <mergeCell ref="D28:F28"/>
    <mergeCell ref="D29:F29"/>
    <mergeCell ref="D30:F30"/>
    <mergeCell ref="D31:F31"/>
    <mergeCell ref="B146:C146"/>
    <mergeCell ref="B147:C147"/>
    <mergeCell ref="B148:C148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S179:S180"/>
    <mergeCell ref="O183:O184"/>
    <mergeCell ref="P183:P184"/>
    <mergeCell ref="S183:S184"/>
    <mergeCell ref="O160:O161"/>
    <mergeCell ref="P160:P161"/>
    <mergeCell ref="O179:O180"/>
    <mergeCell ref="P179:P180"/>
    <mergeCell ref="A149:B149"/>
    <mergeCell ref="R151:R153"/>
    <mergeCell ref="P154:P155"/>
    <mergeCell ref="R155:R157"/>
    <mergeCell ref="B9:C9"/>
    <mergeCell ref="D9:F9"/>
    <mergeCell ref="B13:C13"/>
    <mergeCell ref="D13:F13"/>
    <mergeCell ref="B14:C14"/>
    <mergeCell ref="D147:F147"/>
    <mergeCell ref="B15:C15"/>
    <mergeCell ref="D148:F148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5" t="s">
        <v>93</v>
      </c>
      <c r="B1" s="91"/>
      <c r="C1" s="91"/>
      <c r="D1" s="91"/>
      <c r="E1" s="91"/>
      <c r="F1" s="91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SAC2-DS-MRS-0310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46157</v>
      </c>
    </row>
    <row r="4" spans="1:18" ht="15.95" customHeight="1">
      <c r="A4" s="157" t="s">
        <v>2</v>
      </c>
      <c r="B4" s="158" t="s">
        <v>20</v>
      </c>
      <c r="C4" s="158"/>
      <c r="D4" s="157" t="s">
        <v>4</v>
      </c>
      <c r="E4" s="157"/>
      <c r="F4" s="157"/>
      <c r="G4" s="158" t="s">
        <v>5</v>
      </c>
      <c r="H4" s="157" t="s">
        <v>88</v>
      </c>
      <c r="I4" s="157" t="s">
        <v>21</v>
      </c>
      <c r="J4" s="157" t="s">
        <v>22</v>
      </c>
      <c r="K4" s="158" t="s">
        <v>7</v>
      </c>
    </row>
    <row r="5" spans="1:18" ht="15.95" customHeight="1">
      <c r="A5" s="157"/>
      <c r="B5" s="158"/>
      <c r="C5" s="158"/>
      <c r="D5" s="157"/>
      <c r="E5" s="157"/>
      <c r="F5" s="157"/>
      <c r="G5" s="158"/>
      <c r="H5" s="157"/>
      <c r="I5" s="157"/>
      <c r="J5" s="157"/>
      <c r="K5" s="158"/>
    </row>
    <row r="6" spans="1:18" ht="105" customHeight="1">
      <c r="A6" s="21">
        <f>+MRS!A6</f>
        <v>1</v>
      </c>
      <c r="B6" s="152" t="str">
        <f>MRS!B6</f>
        <v>A/C Copper Tube Set 1/4"x15mtr</v>
      </c>
      <c r="C6" s="153"/>
      <c r="D6" s="154">
        <f>MRS!D6</f>
        <v>0</v>
      </c>
      <c r="E6" s="155"/>
      <c r="F6" s="156"/>
      <c r="G6" s="94" t="str">
        <f>MRS!G6</f>
        <v>Nos</v>
      </c>
      <c r="H6" s="94">
        <f>MRS!H6</f>
        <v>4</v>
      </c>
      <c r="I6" s="95">
        <f>MRS!I6</f>
        <v>143</v>
      </c>
      <c r="J6" s="95">
        <f>MRS!J6</f>
        <v>572</v>
      </c>
      <c r="K6" s="96"/>
      <c r="O6" s="97"/>
      <c r="P6" s="97"/>
      <c r="R6" s="97"/>
    </row>
    <row r="7" spans="1:18" ht="105" customHeight="1">
      <c r="A7" s="21">
        <f>+MRS!A7</f>
        <v>2</v>
      </c>
      <c r="B7" s="152" t="str">
        <f>MRS!B7</f>
        <v>A/C Copper Tube Set 5/8"x15mtr</v>
      </c>
      <c r="C7" s="153"/>
      <c r="D7" s="154">
        <f>MRS!D7</f>
        <v>0</v>
      </c>
      <c r="E7" s="155"/>
      <c r="F7" s="156"/>
      <c r="G7" s="94" t="str">
        <f>MRS!G7</f>
        <v>Nos</v>
      </c>
      <c r="H7" s="94">
        <f>MRS!H7</f>
        <v>4</v>
      </c>
      <c r="I7" s="95">
        <f>MRS!I7</f>
        <v>430</v>
      </c>
      <c r="J7" s="95">
        <f>MRS!J7</f>
        <v>1720</v>
      </c>
      <c r="K7" s="96"/>
      <c r="O7" s="97"/>
      <c r="P7" s="97"/>
      <c r="R7" s="97"/>
    </row>
    <row r="8" spans="1:18" ht="105" customHeight="1">
      <c r="A8" s="21">
        <f>+MRS!A8</f>
        <v>3</v>
      </c>
      <c r="B8" s="152" t="str">
        <f>MRS!B8</f>
        <v>AC Gas R410A 11.6kg</v>
      </c>
      <c r="C8" s="153"/>
      <c r="D8" s="154">
        <f>MRS!D8</f>
        <v>0</v>
      </c>
      <c r="E8" s="155"/>
      <c r="F8" s="156"/>
      <c r="G8" s="94" t="str">
        <f>MRS!G8</f>
        <v>Nos</v>
      </c>
      <c r="H8" s="94">
        <f>MRS!H8</f>
        <v>2</v>
      </c>
      <c r="I8" s="95">
        <f>MRS!I8</f>
        <v>612</v>
      </c>
      <c r="J8" s="95">
        <f>MRS!J8</f>
        <v>1224</v>
      </c>
      <c r="K8" s="96"/>
      <c r="O8" s="97"/>
      <c r="P8" s="97"/>
      <c r="R8" s="97"/>
    </row>
    <row r="9" spans="1:18" ht="105" customHeight="1">
      <c r="A9" s="21">
        <f>+MRS!A9</f>
        <v>4</v>
      </c>
      <c r="B9" s="152" t="str">
        <f>MRS!B9</f>
        <v>Allen Key Set 10-50mm</v>
      </c>
      <c r="C9" s="153"/>
      <c r="D9" s="154">
        <f>MRS!D9</f>
        <v>0</v>
      </c>
      <c r="E9" s="155"/>
      <c r="F9" s="156"/>
      <c r="G9" s="94" t="str">
        <f>MRS!G9</f>
        <v>Set</v>
      </c>
      <c r="H9" s="94">
        <f>MRS!H9</f>
        <v>10</v>
      </c>
      <c r="I9" s="95">
        <f>MRS!I9</f>
        <v>13.4</v>
      </c>
      <c r="J9" s="95">
        <f>MRS!J9</f>
        <v>134</v>
      </c>
      <c r="K9" s="96"/>
      <c r="O9" s="97"/>
      <c r="P9" s="97"/>
      <c r="R9" s="97"/>
    </row>
    <row r="10" spans="1:18" ht="105" customHeight="1">
      <c r="A10" s="21">
        <f>+MRS!A10</f>
        <v>5</v>
      </c>
      <c r="B10" s="152" t="str">
        <f>MRS!B10</f>
        <v>Aluminum Foil Insulation 1x50mtr x 10mm thickness</v>
      </c>
      <c r="C10" s="153"/>
      <c r="D10" s="154">
        <f>MRS!D10</f>
        <v>0</v>
      </c>
      <c r="E10" s="155"/>
      <c r="F10" s="156"/>
      <c r="G10" s="94" t="str">
        <f>MRS!G10</f>
        <v>Nos</v>
      </c>
      <c r="H10" s="94">
        <f>MRS!H10</f>
        <v>13</v>
      </c>
      <c r="I10" s="95">
        <f>MRS!I10</f>
        <v>306</v>
      </c>
      <c r="J10" s="95">
        <f>MRS!J10</f>
        <v>3978</v>
      </c>
      <c r="K10" s="96"/>
      <c r="O10" s="97"/>
      <c r="P10" s="97"/>
      <c r="R10" s="97"/>
    </row>
    <row r="11" spans="1:18" ht="105" customHeight="1">
      <c r="A11" s="21">
        <f>+MRS!A11</f>
        <v>6</v>
      </c>
      <c r="B11" s="152" t="str">
        <f>MRS!B11</f>
        <v>Anchor Rod HAS-U 5.8 M12x110 Hilti</v>
      </c>
      <c r="C11" s="153"/>
      <c r="D11" s="154">
        <f>MRS!D11</f>
        <v>0</v>
      </c>
      <c r="E11" s="155"/>
      <c r="F11" s="156"/>
      <c r="G11" s="94" t="str">
        <f>MRS!G11</f>
        <v>Nos</v>
      </c>
      <c r="H11" s="94">
        <f>MRS!H11</f>
        <v>700</v>
      </c>
      <c r="I11" s="95">
        <f>MRS!I11</f>
        <v>8.6</v>
      </c>
      <c r="J11" s="95">
        <f>MRS!J11</f>
        <v>6020</v>
      </c>
      <c r="K11" s="96"/>
      <c r="O11" s="97"/>
      <c r="P11" s="97"/>
      <c r="R11" s="97"/>
    </row>
    <row r="12" spans="1:18" ht="105" customHeight="1">
      <c r="A12" s="21">
        <f>+MRS!A12</f>
        <v>7</v>
      </c>
      <c r="B12" s="152" t="str">
        <f>MRS!B12</f>
        <v>Anti Slip Utility Knife 18mm</v>
      </c>
      <c r="C12" s="153"/>
      <c r="D12" s="154">
        <f>MRS!D12</f>
        <v>0</v>
      </c>
      <c r="E12" s="155"/>
      <c r="F12" s="156"/>
      <c r="G12" s="94" t="str">
        <f>MRS!G12</f>
        <v>Nos</v>
      </c>
      <c r="H12" s="94">
        <f>MRS!H12</f>
        <v>8</v>
      </c>
      <c r="I12" s="95">
        <f>MRS!I12</f>
        <v>6</v>
      </c>
      <c r="J12" s="95">
        <f>MRS!J12</f>
        <v>48</v>
      </c>
      <c r="K12" s="96"/>
      <c r="O12" s="97"/>
      <c r="P12" s="97"/>
      <c r="R12" s="97"/>
    </row>
    <row r="13" spans="1:18" ht="105" customHeight="1">
      <c r="A13" s="21">
        <f>+MRS!A13</f>
        <v>8</v>
      </c>
      <c r="B13" s="152" t="str">
        <f>MRS!B13</f>
        <v>Argon Flow Meter</v>
      </c>
      <c r="C13" s="153"/>
      <c r="D13" s="154">
        <f>MRS!D13</f>
        <v>0</v>
      </c>
      <c r="E13" s="155"/>
      <c r="F13" s="156"/>
      <c r="G13" s="94" t="str">
        <f>MRS!G13</f>
        <v>Nos</v>
      </c>
      <c r="H13" s="94">
        <f>MRS!H13</f>
        <v>45</v>
      </c>
      <c r="I13" s="95">
        <f>MRS!I13</f>
        <v>73</v>
      </c>
      <c r="J13" s="95">
        <f>MRS!J13</f>
        <v>3285</v>
      </c>
      <c r="K13" s="96"/>
      <c r="O13" s="97"/>
      <c r="P13" s="97"/>
      <c r="R13" s="97"/>
    </row>
    <row r="14" spans="1:18" ht="105" customHeight="1">
      <c r="A14" s="21">
        <f>+MRS!A147</f>
        <v>142</v>
      </c>
      <c r="B14" s="152" t="str">
        <f>MRS!B147</f>
        <v>Wrapping Film Roll 50cm 50mtr 3Kg</v>
      </c>
      <c r="C14" s="153"/>
      <c r="D14" s="154">
        <f>MRS!D147</f>
        <v>0</v>
      </c>
      <c r="E14" s="155"/>
      <c r="F14" s="156"/>
      <c r="G14" s="94" t="str">
        <f>MRS!G147</f>
        <v>Roll</v>
      </c>
      <c r="H14" s="94">
        <f>MRS!H147</f>
        <v>30</v>
      </c>
      <c r="I14" s="95">
        <f>MRS!I147</f>
        <v>23</v>
      </c>
      <c r="J14" s="95">
        <f>MRS!J147</f>
        <v>690</v>
      </c>
      <c r="K14" s="96"/>
      <c r="O14" s="97"/>
      <c r="P14" s="97"/>
      <c r="R14" s="97"/>
    </row>
    <row r="15" spans="1:18" ht="105" customHeight="1">
      <c r="A15" s="21">
        <f>+MRS!A148</f>
        <v>143</v>
      </c>
      <c r="B15" s="152" t="str">
        <f>MRS!B148</f>
        <v>Zinc Spray Paint</v>
      </c>
      <c r="C15" s="153"/>
      <c r="D15" s="154">
        <f>MRS!D148</f>
        <v>0</v>
      </c>
      <c r="E15" s="155"/>
      <c r="F15" s="156"/>
      <c r="G15" s="94" t="str">
        <f>MRS!G148</f>
        <v>Nos</v>
      </c>
      <c r="H15" s="94">
        <f>MRS!H148</f>
        <v>60</v>
      </c>
      <c r="I15" s="95">
        <f>MRS!I148</f>
        <v>35</v>
      </c>
      <c r="J15" s="95">
        <f>MRS!J148</f>
        <v>2100</v>
      </c>
      <c r="K15" s="96"/>
      <c r="O15" s="97"/>
      <c r="P15" s="97"/>
      <c r="R15" s="97"/>
    </row>
    <row r="16" spans="1:18" ht="105" customHeight="1">
      <c r="A16" s="21"/>
      <c r="B16" s="152"/>
      <c r="C16" s="153"/>
      <c r="D16" s="154"/>
      <c r="E16" s="155"/>
      <c r="F16" s="156"/>
      <c r="G16" s="94"/>
      <c r="H16" s="94"/>
      <c r="I16" s="95"/>
      <c r="J16" s="95"/>
      <c r="K16" s="96"/>
      <c r="O16" s="97"/>
      <c r="P16" s="97"/>
      <c r="R16" s="97"/>
    </row>
    <row r="17" spans="1:18" ht="105" customHeight="1">
      <c r="A17" s="21"/>
      <c r="B17" s="152"/>
      <c r="C17" s="153"/>
      <c r="D17" s="154"/>
      <c r="E17" s="155"/>
      <c r="F17" s="156"/>
      <c r="G17" s="94"/>
      <c r="H17" s="94"/>
      <c r="I17" s="95"/>
      <c r="J17" s="95"/>
      <c r="K17" s="96"/>
      <c r="O17" s="97"/>
      <c r="P17" s="97"/>
      <c r="R17" s="97"/>
    </row>
    <row r="18" spans="1:18" ht="105" customHeight="1">
      <c r="A18" s="21"/>
      <c r="B18" s="152"/>
      <c r="C18" s="153"/>
      <c r="D18" s="154"/>
      <c r="E18" s="155"/>
      <c r="F18" s="156"/>
      <c r="G18" s="94"/>
      <c r="H18" s="94"/>
      <c r="I18" s="95"/>
      <c r="J18" s="95"/>
      <c r="K18" s="96"/>
      <c r="O18" s="97"/>
      <c r="P18" s="97"/>
      <c r="R18" s="97"/>
    </row>
    <row r="19" spans="1:18" ht="105" customHeight="1">
      <c r="A19" s="21"/>
      <c r="B19" s="152"/>
      <c r="C19" s="153"/>
      <c r="D19" s="154"/>
      <c r="E19" s="155"/>
      <c r="F19" s="156"/>
      <c r="G19" s="94"/>
      <c r="H19" s="94"/>
      <c r="I19" s="95"/>
      <c r="J19" s="95"/>
      <c r="K19" s="96"/>
      <c r="O19" s="97"/>
      <c r="P19" s="97"/>
      <c r="R19" s="97"/>
    </row>
    <row r="20" spans="1:18" ht="105" customHeight="1">
      <c r="A20" s="21"/>
      <c r="B20" s="152"/>
      <c r="C20" s="153"/>
      <c r="D20" s="154"/>
      <c r="E20" s="155"/>
      <c r="F20" s="156"/>
      <c r="G20" s="94"/>
      <c r="H20" s="94"/>
      <c r="I20" s="95"/>
      <c r="J20" s="95"/>
      <c r="K20" s="96"/>
      <c r="O20" s="97"/>
      <c r="P20" s="97"/>
      <c r="R20" s="97"/>
    </row>
    <row r="21" spans="1:18" ht="105" customHeight="1">
      <c r="A21" s="21"/>
      <c r="B21" s="152"/>
      <c r="C21" s="153"/>
      <c r="D21" s="154"/>
      <c r="E21" s="155"/>
      <c r="F21" s="156"/>
      <c r="G21" s="94"/>
      <c r="H21" s="94"/>
      <c r="I21" s="95"/>
      <c r="J21" s="95"/>
      <c r="K21" s="96"/>
      <c r="O21" s="97"/>
      <c r="P21" s="97"/>
      <c r="R21" s="97"/>
    </row>
    <row r="23" spans="1:18" ht="21" customHeight="1">
      <c r="J23" s="113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60">
        <f>MRS!L3</f>
        <v>46157</v>
      </c>
      <c r="L10" s="161"/>
      <c r="M10" s="161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62" t="str">
        <f>SUBSTITUTE(SUBSTITUTE(+MRS!A3,"  MRS No : ",""),"-MRS","-PO")</f>
        <v>SAC2-DS-PO-0310</v>
      </c>
      <c r="L11" s="162"/>
      <c r="M11" s="162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4" t="s">
        <v>108</v>
      </c>
      <c r="J14" s="38" t="s">
        <v>36</v>
      </c>
      <c r="K14" s="38" t="s">
        <v>274</v>
      </c>
    </row>
    <row r="15" spans="2:13" s="38" customFormat="1">
      <c r="B15" s="69"/>
      <c r="C15" s="72" t="s">
        <v>104</v>
      </c>
      <c r="J15" s="38" t="s">
        <v>37</v>
      </c>
      <c r="K15" s="75">
        <v>46154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3" t="s">
        <v>38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</row>
    <row r="19" spans="2:13" ht="12" customHeight="1"/>
    <row r="20" spans="2:13" s="31" customFormat="1" ht="12" customHeight="1">
      <c r="B20" s="164" t="s">
        <v>39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</row>
    <row r="21" spans="2:13" s="31" customFormat="1" ht="12" customHeight="1">
      <c r="B21" s="164" t="s">
        <v>40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</row>
    <row r="22" spans="2:13" s="31" customFormat="1" ht="12" customHeight="1">
      <c r="B22" s="164" t="s">
        <v>41</v>
      </c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</row>
    <row r="23" spans="2:13" ht="3.75" customHeight="1"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2:13" ht="6.95" customHeight="1"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273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5">
        <f>'PO 2nd page'!G149</f>
        <v>441475</v>
      </c>
      <c r="G29" s="107"/>
      <c r="H29" s="107"/>
      <c r="M29" s="33"/>
    </row>
    <row r="30" spans="2:13" ht="15" customHeight="1">
      <c r="B30" s="32"/>
      <c r="C30" s="26" t="s">
        <v>47</v>
      </c>
      <c r="E30" s="26" t="s">
        <v>46</v>
      </c>
      <c r="F30" s="115">
        <f>'PO 2nd page'!G150</f>
        <v>66221.25</v>
      </c>
      <c r="G30" s="107"/>
      <c r="H30" s="107"/>
    </row>
    <row r="31" spans="2:13" ht="15" customHeight="1">
      <c r="B31" s="32"/>
      <c r="C31" s="26" t="s">
        <v>48</v>
      </c>
      <c r="D31" s="34"/>
      <c r="E31" s="26" t="s">
        <v>46</v>
      </c>
      <c r="F31" s="115">
        <f>'PO 2nd page'!G151</f>
        <v>507696.25</v>
      </c>
      <c r="G31" s="107"/>
      <c r="H31" s="107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110</v>
      </c>
    </row>
    <row r="54" spans="2:16" ht="12" customHeight="1">
      <c r="B54" s="81" t="s">
        <v>62</v>
      </c>
      <c r="C54" s="116" t="s">
        <v>116</v>
      </c>
      <c r="F54" s="26" t="s">
        <v>111</v>
      </c>
    </row>
    <row r="55" spans="2:16" ht="12" customHeight="1">
      <c r="B55" s="81" t="s">
        <v>62</v>
      </c>
      <c r="C55" s="116" t="s">
        <v>117</v>
      </c>
      <c r="F55" s="117" t="s">
        <v>112</v>
      </c>
    </row>
    <row r="56" spans="2:16" ht="12" customHeight="1">
      <c r="B56" s="81" t="s">
        <v>62</v>
      </c>
      <c r="C56" s="116" t="s">
        <v>118</v>
      </c>
      <c r="F56" s="26" t="s">
        <v>123</v>
      </c>
    </row>
    <row r="57" spans="2:16" ht="12" customHeight="1">
      <c r="B57" s="81" t="s">
        <v>62</v>
      </c>
      <c r="C57" s="116" t="s">
        <v>119</v>
      </c>
      <c r="F57" s="26" t="s">
        <v>113</v>
      </c>
    </row>
    <row r="58" spans="2:16" ht="12" customHeight="1">
      <c r="B58" s="81" t="s">
        <v>62</v>
      </c>
      <c r="C58" s="116" t="s">
        <v>120</v>
      </c>
      <c r="F58" s="26" t="s">
        <v>114</v>
      </c>
    </row>
    <row r="59" spans="2:16" ht="12" customHeight="1">
      <c r="B59" s="81" t="s">
        <v>62</v>
      </c>
      <c r="C59" s="116" t="s">
        <v>121</v>
      </c>
      <c r="F59" s="26" t="s">
        <v>115</v>
      </c>
    </row>
    <row r="60" spans="2:16" ht="12" customHeight="1">
      <c r="B60" s="81"/>
      <c r="C60" s="116" t="s">
        <v>122</v>
      </c>
    </row>
    <row r="61" spans="2:16" ht="6.75" customHeight="1">
      <c r="B61" s="81"/>
      <c r="C61" s="116"/>
    </row>
    <row r="62" spans="2:16" ht="6" customHeight="1">
      <c r="B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67" t="str">
        <f>C9</f>
        <v>JSAJ(Jassim Saif Amer Aljaberi Trading Est.)</v>
      </c>
      <c r="K70" s="167"/>
      <c r="L70" s="167"/>
      <c r="M70" s="167"/>
    </row>
    <row r="71" spans="1:13" ht="27.95" customHeight="1">
      <c r="A71" s="159" t="s">
        <v>72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59"/>
  <sheetViews>
    <sheetView showGridLines="0" view="pageBreakPreview" zoomScaleSheetLayoutView="100" zoomScalePageLayoutView="55" workbookViewId="0">
      <selection activeCell="B110" sqref="B110:C110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9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SAC2-DS-PO-0310</v>
      </c>
      <c r="C2" s="170" t="s">
        <v>74</v>
      </c>
      <c r="D2" s="170"/>
      <c r="E2" s="170"/>
      <c r="F2" s="170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46157</v>
      </c>
      <c r="C3" s="48"/>
      <c r="D3" s="49"/>
      <c r="E3" s="171" t="s">
        <v>76</v>
      </c>
      <c r="F3" s="171"/>
      <c r="G3" s="171"/>
      <c r="H3" s="171"/>
      <c r="I3" s="50"/>
    </row>
    <row r="4" spans="1:13" s="52" customFormat="1" ht="28.5" customHeight="1" thickTop="1">
      <c r="A4" s="172" t="s">
        <v>77</v>
      </c>
      <c r="B4" s="174" t="s">
        <v>78</v>
      </c>
      <c r="C4" s="175"/>
      <c r="D4" s="178" t="s">
        <v>79</v>
      </c>
      <c r="E4" s="178" t="s">
        <v>80</v>
      </c>
      <c r="F4" s="180" t="str">
        <f>'PO 1st page'!C9</f>
        <v>JSAJ(Jassim Saif Amer Aljaberi Trading Est.)</v>
      </c>
      <c r="G4" s="181"/>
      <c r="H4" s="182" t="s">
        <v>81</v>
      </c>
      <c r="K4" s="53"/>
      <c r="L4" s="53"/>
      <c r="M4" s="53"/>
    </row>
    <row r="5" spans="1:13" s="52" customFormat="1" ht="21.95" customHeight="1">
      <c r="A5" s="173"/>
      <c r="B5" s="176"/>
      <c r="C5" s="177"/>
      <c r="D5" s="179"/>
      <c r="E5" s="179"/>
      <c r="F5" s="54" t="s">
        <v>82</v>
      </c>
      <c r="G5" s="54" t="s">
        <v>48</v>
      </c>
      <c r="H5" s="183"/>
      <c r="K5" s="53"/>
      <c r="L5" s="53"/>
      <c r="M5" s="53"/>
    </row>
    <row r="6" spans="1:13" s="52" customFormat="1" ht="18.75" customHeight="1">
      <c r="A6" s="82">
        <f t="shared" ref="A6:A69" si="0">ROW(A1)</f>
        <v>1</v>
      </c>
      <c r="B6" s="168" t="str">
        <f>MRS!B6&amp;" "&amp;MRS!D6</f>
        <v xml:space="preserve">A/C Copper Tube Set 1/4"x15mtr </v>
      </c>
      <c r="C6" s="169"/>
      <c r="D6" s="83" t="str">
        <f>MRS!G6</f>
        <v>Nos</v>
      </c>
      <c r="E6" s="84">
        <f>MRS!H6</f>
        <v>4</v>
      </c>
      <c r="F6" s="85">
        <f>MRS!I6</f>
        <v>143</v>
      </c>
      <c r="G6" s="85">
        <f>MRS!J6</f>
        <v>572</v>
      </c>
      <c r="H6" s="86" t="s">
        <v>106</v>
      </c>
      <c r="K6" s="87"/>
      <c r="L6" s="88"/>
      <c r="M6" s="53"/>
    </row>
    <row r="7" spans="1:13" s="52" customFormat="1" ht="18.75" customHeight="1">
      <c r="A7" s="82">
        <f t="shared" si="0"/>
        <v>2</v>
      </c>
      <c r="B7" s="168" t="str">
        <f>MRS!B7&amp;" "&amp;MRS!D7</f>
        <v xml:space="preserve">A/C Copper Tube Set 5/8"x15mtr </v>
      </c>
      <c r="C7" s="169"/>
      <c r="D7" s="83" t="str">
        <f>MRS!G7</f>
        <v>Nos</v>
      </c>
      <c r="E7" s="84">
        <f>MRS!H7</f>
        <v>4</v>
      </c>
      <c r="F7" s="85">
        <f>MRS!I7</f>
        <v>430</v>
      </c>
      <c r="G7" s="85">
        <f>MRS!J7</f>
        <v>1720</v>
      </c>
      <c r="H7" s="86"/>
      <c r="K7" s="87"/>
      <c r="L7" s="88"/>
      <c r="M7" s="53"/>
    </row>
    <row r="8" spans="1:13" s="52" customFormat="1" ht="18.75" customHeight="1">
      <c r="A8" s="89">
        <f t="shared" si="0"/>
        <v>3</v>
      </c>
      <c r="B8" s="168" t="str">
        <f>MRS!B8&amp;" "&amp;MRS!D8</f>
        <v xml:space="preserve">AC Gas R410A 11.6kg </v>
      </c>
      <c r="C8" s="169"/>
      <c r="D8" s="83" t="str">
        <f>MRS!G8</f>
        <v>Nos</v>
      </c>
      <c r="E8" s="84">
        <f>MRS!H8</f>
        <v>2</v>
      </c>
      <c r="F8" s="85">
        <f>MRS!I8</f>
        <v>612</v>
      </c>
      <c r="G8" s="85">
        <f>MRS!J8</f>
        <v>1224</v>
      </c>
      <c r="H8" s="86"/>
      <c r="K8" s="53"/>
      <c r="L8" s="53"/>
      <c r="M8" s="53"/>
    </row>
    <row r="9" spans="1:13" s="52" customFormat="1" ht="18.75" customHeight="1">
      <c r="A9" s="89">
        <f t="shared" si="0"/>
        <v>4</v>
      </c>
      <c r="B9" s="168" t="str">
        <f>MRS!B9&amp;" "&amp;MRS!D9</f>
        <v xml:space="preserve">Allen Key Set 10-50mm </v>
      </c>
      <c r="C9" s="169"/>
      <c r="D9" s="83" t="str">
        <f>MRS!G9</f>
        <v>Set</v>
      </c>
      <c r="E9" s="84">
        <f>MRS!H9</f>
        <v>10</v>
      </c>
      <c r="F9" s="85">
        <f>MRS!I9</f>
        <v>13.4</v>
      </c>
      <c r="G9" s="85">
        <f>MRS!J9</f>
        <v>134</v>
      </c>
      <c r="H9" s="90"/>
    </row>
    <row r="10" spans="1:13" s="52" customFormat="1" ht="18.75" customHeight="1">
      <c r="A10" s="89">
        <f t="shared" si="0"/>
        <v>5</v>
      </c>
      <c r="B10" s="168" t="str">
        <f>MRS!B10&amp;" "&amp;MRS!D10</f>
        <v xml:space="preserve">Aluminum Foil Insulation 1x50mtr x 10mm thickness </v>
      </c>
      <c r="C10" s="169"/>
      <c r="D10" s="83" t="str">
        <f>MRS!G10</f>
        <v>Nos</v>
      </c>
      <c r="E10" s="84">
        <f>MRS!H10</f>
        <v>13</v>
      </c>
      <c r="F10" s="85">
        <f>MRS!I10</f>
        <v>306</v>
      </c>
      <c r="G10" s="85">
        <f>MRS!J10</f>
        <v>3978</v>
      </c>
      <c r="H10" s="90"/>
    </row>
    <row r="11" spans="1:13" s="52" customFormat="1" ht="18.75" customHeight="1">
      <c r="A11" s="89">
        <f t="shared" si="0"/>
        <v>6</v>
      </c>
      <c r="B11" s="168" t="str">
        <f>MRS!B11&amp;" "&amp;MRS!D11</f>
        <v xml:space="preserve">Anchor Rod HAS-U 5.8 M12x110 Hilti </v>
      </c>
      <c r="C11" s="169"/>
      <c r="D11" s="83" t="str">
        <f>MRS!G11</f>
        <v>Nos</v>
      </c>
      <c r="E11" s="84">
        <f>MRS!H11</f>
        <v>700</v>
      </c>
      <c r="F11" s="85">
        <f>MRS!I11</f>
        <v>8.6</v>
      </c>
      <c r="G11" s="85">
        <f>MRS!J11</f>
        <v>6020</v>
      </c>
      <c r="H11" s="90"/>
    </row>
    <row r="12" spans="1:13" s="52" customFormat="1" ht="18.75" customHeight="1">
      <c r="A12" s="89">
        <f t="shared" si="0"/>
        <v>7</v>
      </c>
      <c r="B12" s="168" t="str">
        <f>MRS!B12&amp;" "&amp;MRS!D12</f>
        <v xml:space="preserve">Anti Slip Utility Knife 18mm </v>
      </c>
      <c r="C12" s="169"/>
      <c r="D12" s="83" t="str">
        <f>MRS!G12</f>
        <v>Nos</v>
      </c>
      <c r="E12" s="84">
        <f>MRS!H12</f>
        <v>8</v>
      </c>
      <c r="F12" s="85">
        <f>MRS!I12</f>
        <v>6</v>
      </c>
      <c r="G12" s="85">
        <f>MRS!J12</f>
        <v>48</v>
      </c>
      <c r="H12" s="90"/>
    </row>
    <row r="13" spans="1:13" s="52" customFormat="1" ht="18.75" customHeight="1">
      <c r="A13" s="89">
        <f t="shared" si="0"/>
        <v>8</v>
      </c>
      <c r="B13" s="168" t="str">
        <f>MRS!B13&amp;" "&amp;MRS!D13</f>
        <v xml:space="preserve">Argon Flow Meter </v>
      </c>
      <c r="C13" s="169"/>
      <c r="D13" s="83" t="str">
        <f>MRS!G13</f>
        <v>Nos</v>
      </c>
      <c r="E13" s="84">
        <f>MRS!H13</f>
        <v>45</v>
      </c>
      <c r="F13" s="85">
        <f>MRS!I13</f>
        <v>73</v>
      </c>
      <c r="G13" s="85">
        <f>MRS!J13</f>
        <v>3285</v>
      </c>
      <c r="H13" s="90"/>
    </row>
    <row r="14" spans="1:13" s="52" customFormat="1" ht="18.75" customHeight="1">
      <c r="A14" s="89">
        <f t="shared" si="0"/>
        <v>9</v>
      </c>
      <c r="B14" s="168" t="str">
        <f>MRS!B14&amp;" "&amp;MRS!D14</f>
        <v xml:space="preserve">Argon Regulator Connector Nut &amp; Nipple 9/16"-1/4" </v>
      </c>
      <c r="C14" s="169"/>
      <c r="D14" s="83" t="str">
        <f>MRS!G14</f>
        <v>Nos</v>
      </c>
      <c r="E14" s="84">
        <f>MRS!H14</f>
        <v>650</v>
      </c>
      <c r="F14" s="85">
        <f>MRS!I14</f>
        <v>9.8000000000000007</v>
      </c>
      <c r="G14" s="85">
        <f>MRS!J14</f>
        <v>6370.0000000000009</v>
      </c>
      <c r="H14" s="90"/>
    </row>
    <row r="15" spans="1:13" s="52" customFormat="1" ht="18.75" customHeight="1">
      <c r="A15" s="89">
        <f t="shared" si="0"/>
        <v>10</v>
      </c>
      <c r="B15" s="168" t="str">
        <f>MRS!B15&amp;" "&amp;MRS!D15</f>
        <v xml:space="preserve">Auto Darkening Welding Goggles Solar Power Kastwave </v>
      </c>
      <c r="C15" s="169"/>
      <c r="D15" s="83" t="str">
        <f>MRS!G15</f>
        <v>Nos</v>
      </c>
      <c r="E15" s="84">
        <f>MRS!H15</f>
        <v>3</v>
      </c>
      <c r="F15" s="85">
        <f>MRS!I15</f>
        <v>65</v>
      </c>
      <c r="G15" s="85">
        <f>MRS!J15</f>
        <v>195</v>
      </c>
      <c r="H15" s="90"/>
    </row>
    <row r="16" spans="1:13" s="52" customFormat="1" ht="18.75" customHeight="1">
      <c r="A16" s="89">
        <f t="shared" si="0"/>
        <v>11</v>
      </c>
      <c r="B16" s="168" t="str">
        <f>MRS!B16&amp;" "&amp;MRS!D16</f>
        <v xml:space="preserve">Auto Darkening Welding Goggles Solar Power Walfront </v>
      </c>
      <c r="C16" s="169"/>
      <c r="D16" s="83" t="str">
        <f>MRS!G16</f>
        <v>Nos</v>
      </c>
      <c r="E16" s="84">
        <f>MRS!H16</f>
        <v>3</v>
      </c>
      <c r="F16" s="85">
        <f>MRS!I16</f>
        <v>34</v>
      </c>
      <c r="G16" s="85">
        <f>MRS!J16</f>
        <v>102</v>
      </c>
      <c r="H16" s="90"/>
    </row>
    <row r="17" spans="1:8" s="52" customFormat="1" ht="18.75" customHeight="1">
      <c r="A17" s="89">
        <f t="shared" si="0"/>
        <v>12</v>
      </c>
      <c r="B17" s="168" t="str">
        <f>MRS!B17&amp;" "&amp;MRS!D17</f>
        <v xml:space="preserve">Bridge Cam Gauge </v>
      </c>
      <c r="C17" s="169"/>
      <c r="D17" s="83" t="str">
        <f>MRS!G17</f>
        <v>Nos</v>
      </c>
      <c r="E17" s="84">
        <f>MRS!H17</f>
        <v>4</v>
      </c>
      <c r="F17" s="85">
        <f>MRS!I17</f>
        <v>130</v>
      </c>
      <c r="G17" s="85">
        <f>MRS!J17</f>
        <v>520</v>
      </c>
      <c r="H17" s="90"/>
    </row>
    <row r="18" spans="1:8" s="52" customFormat="1" ht="18.75" customHeight="1">
      <c r="A18" s="89">
        <f t="shared" si="0"/>
        <v>13</v>
      </c>
      <c r="B18" s="168" t="str">
        <f>MRS!B18&amp;" "&amp;MRS!D18</f>
        <v xml:space="preserve">Ceramic Nozzle 250A #5 Normal </v>
      </c>
      <c r="C18" s="169"/>
      <c r="D18" s="83" t="str">
        <f>MRS!G18</f>
        <v>Nos</v>
      </c>
      <c r="E18" s="84">
        <f>MRS!H18</f>
        <v>150</v>
      </c>
      <c r="F18" s="85">
        <f>MRS!I18</f>
        <v>2.2000000000000002</v>
      </c>
      <c r="G18" s="85">
        <f>MRS!J18</f>
        <v>330</v>
      </c>
      <c r="H18" s="90"/>
    </row>
    <row r="19" spans="1:8" s="52" customFormat="1" ht="18.75" customHeight="1">
      <c r="A19" s="89">
        <f t="shared" si="0"/>
        <v>14</v>
      </c>
      <c r="B19" s="168" t="str">
        <f>MRS!B19&amp;" "&amp;MRS!D19</f>
        <v xml:space="preserve">Ceramic Nozzle 250A #6 Normal </v>
      </c>
      <c r="C19" s="169"/>
      <c r="D19" s="83" t="str">
        <f>MRS!G19</f>
        <v>Nos</v>
      </c>
      <c r="E19" s="84">
        <f>MRS!H19</f>
        <v>150</v>
      </c>
      <c r="F19" s="85">
        <f>MRS!I19</f>
        <v>2.2000000000000002</v>
      </c>
      <c r="G19" s="85">
        <f>MRS!J19</f>
        <v>330</v>
      </c>
      <c r="H19" s="90"/>
    </row>
    <row r="20" spans="1:8" s="52" customFormat="1" ht="18.75" customHeight="1">
      <c r="A20" s="89">
        <f t="shared" si="0"/>
        <v>15</v>
      </c>
      <c r="B20" s="168" t="str">
        <f>MRS!B20&amp;" "&amp;MRS!D20</f>
        <v xml:space="preserve">Ceramic Nozzle 250A #7 Normal </v>
      </c>
      <c r="C20" s="169"/>
      <c r="D20" s="83" t="str">
        <f>MRS!G20</f>
        <v>Nos</v>
      </c>
      <c r="E20" s="84">
        <f>MRS!H20</f>
        <v>250</v>
      </c>
      <c r="F20" s="85">
        <f>MRS!I20</f>
        <v>2.2000000000000002</v>
      </c>
      <c r="G20" s="85">
        <f>MRS!J20</f>
        <v>550</v>
      </c>
      <c r="H20" s="90"/>
    </row>
    <row r="21" spans="1:8" s="52" customFormat="1" ht="18.75" customHeight="1">
      <c r="A21" s="89">
        <f t="shared" si="0"/>
        <v>16</v>
      </c>
      <c r="B21" s="168" t="str">
        <f>MRS!B21&amp;" "&amp;MRS!D21</f>
        <v xml:space="preserve">Ceramic Nozzle 250A #8 Normal </v>
      </c>
      <c r="C21" s="169"/>
      <c r="D21" s="83" t="str">
        <f>MRS!G21</f>
        <v>Nos</v>
      </c>
      <c r="E21" s="84">
        <f>MRS!H21</f>
        <v>150</v>
      </c>
      <c r="F21" s="85">
        <f>MRS!I21</f>
        <v>2.2000000000000002</v>
      </c>
      <c r="G21" s="85">
        <f>MRS!J21</f>
        <v>330</v>
      </c>
      <c r="H21" s="90"/>
    </row>
    <row r="22" spans="1:8" s="52" customFormat="1" ht="18.75" customHeight="1">
      <c r="A22" s="89">
        <f t="shared" si="0"/>
        <v>17</v>
      </c>
      <c r="B22" s="168" t="str">
        <f>MRS!B22&amp;" "&amp;MRS!D22</f>
        <v xml:space="preserve">Ceramic Nozzle 350A #5 </v>
      </c>
      <c r="C22" s="169"/>
      <c r="D22" s="83" t="str">
        <f>MRS!G22</f>
        <v>Nos</v>
      </c>
      <c r="E22" s="84">
        <f>MRS!H22</f>
        <v>150</v>
      </c>
      <c r="F22" s="85">
        <f>MRS!I22</f>
        <v>12</v>
      </c>
      <c r="G22" s="85">
        <f>MRS!J22</f>
        <v>1800</v>
      </c>
      <c r="H22" s="90"/>
    </row>
    <row r="23" spans="1:8" s="52" customFormat="1" ht="18.75" customHeight="1">
      <c r="A23" s="89">
        <f t="shared" si="0"/>
        <v>18</v>
      </c>
      <c r="B23" s="168" t="str">
        <f>MRS!B23&amp;" "&amp;MRS!D23</f>
        <v xml:space="preserve">Ceramic Nozzle 350A #6 </v>
      </c>
      <c r="C23" s="169"/>
      <c r="D23" s="83" t="str">
        <f>MRS!G23</f>
        <v>Nos</v>
      </c>
      <c r="E23" s="84">
        <f>MRS!H23</f>
        <v>550</v>
      </c>
      <c r="F23" s="85">
        <f>MRS!I23</f>
        <v>12</v>
      </c>
      <c r="G23" s="85">
        <f>MRS!J23</f>
        <v>6600</v>
      </c>
      <c r="H23" s="90"/>
    </row>
    <row r="24" spans="1:8" s="52" customFormat="1" ht="18.75" customHeight="1">
      <c r="A24" s="89">
        <f t="shared" si="0"/>
        <v>19</v>
      </c>
      <c r="B24" s="168" t="str">
        <f>MRS!B24&amp;" "&amp;MRS!D24</f>
        <v xml:space="preserve">Ceramic Nozzle 350A #7 </v>
      </c>
      <c r="C24" s="169"/>
      <c r="D24" s="83" t="str">
        <f>MRS!G24</f>
        <v>Nos</v>
      </c>
      <c r="E24" s="84">
        <f>MRS!H24</f>
        <v>310</v>
      </c>
      <c r="F24" s="85">
        <f>MRS!I24</f>
        <v>12</v>
      </c>
      <c r="G24" s="85">
        <f>MRS!J24</f>
        <v>3720</v>
      </c>
      <c r="H24" s="90"/>
    </row>
    <row r="25" spans="1:8" s="52" customFormat="1" ht="18.75" customHeight="1">
      <c r="A25" s="89">
        <f t="shared" si="0"/>
        <v>20</v>
      </c>
      <c r="B25" s="168" t="str">
        <f>MRS!B25&amp;" "&amp;MRS!D25</f>
        <v xml:space="preserve">Ceramic Nozzle 350A #8 </v>
      </c>
      <c r="C25" s="169"/>
      <c r="D25" s="83" t="str">
        <f>MRS!G25</f>
        <v>Nos</v>
      </c>
      <c r="E25" s="84">
        <f>MRS!H25</f>
        <v>450</v>
      </c>
      <c r="F25" s="85">
        <f>MRS!I25</f>
        <v>12</v>
      </c>
      <c r="G25" s="85">
        <f>MRS!J25</f>
        <v>5400</v>
      </c>
      <c r="H25" s="90"/>
    </row>
    <row r="26" spans="1:8" s="52" customFormat="1" ht="18.75" customHeight="1">
      <c r="A26" s="89">
        <f t="shared" si="0"/>
        <v>21</v>
      </c>
      <c r="B26" s="168" t="str">
        <f>MRS!B26&amp;" "&amp;MRS!D26</f>
        <v xml:space="preserve">Coated Plywood 4'x8'x18mm </v>
      </c>
      <c r="C26" s="169"/>
      <c r="D26" s="83" t="str">
        <f>MRS!G26</f>
        <v>Nos</v>
      </c>
      <c r="E26" s="84">
        <f>MRS!H26</f>
        <v>130</v>
      </c>
      <c r="F26" s="85">
        <f>MRS!I26</f>
        <v>112</v>
      </c>
      <c r="G26" s="85">
        <f>MRS!J26</f>
        <v>14560</v>
      </c>
      <c r="H26" s="90"/>
    </row>
    <row r="27" spans="1:8" s="52" customFormat="1" ht="18.75" customHeight="1">
      <c r="A27" s="89">
        <f t="shared" si="0"/>
        <v>22</v>
      </c>
      <c r="B27" s="168" t="str">
        <f>MRS!B27&amp;" "&amp;MRS!D27</f>
        <v xml:space="preserve">Combination Spanner 10mm </v>
      </c>
      <c r="C27" s="169"/>
      <c r="D27" s="83" t="str">
        <f>MRS!G27</f>
        <v>Nos</v>
      </c>
      <c r="E27" s="84">
        <f>MRS!H27</f>
        <v>15</v>
      </c>
      <c r="F27" s="85">
        <f>MRS!I27</f>
        <v>10</v>
      </c>
      <c r="G27" s="85">
        <f>MRS!J27</f>
        <v>150</v>
      </c>
      <c r="H27" s="90"/>
    </row>
    <row r="28" spans="1:8" s="52" customFormat="1" ht="18.75" customHeight="1">
      <c r="A28" s="89">
        <f t="shared" si="0"/>
        <v>23</v>
      </c>
      <c r="B28" s="168" t="str">
        <f>MRS!B28&amp;" "&amp;MRS!D28</f>
        <v xml:space="preserve">Cordless Angle Grinder 5" Paddle SW with 2-Battery &amp; Charger Dewalt </v>
      </c>
      <c r="C28" s="169"/>
      <c r="D28" s="83" t="str">
        <f>MRS!G28</f>
        <v>Nos</v>
      </c>
      <c r="E28" s="84">
        <f>MRS!H28</f>
        <v>3</v>
      </c>
      <c r="F28" s="85">
        <f>MRS!I28</f>
        <v>1842</v>
      </c>
      <c r="G28" s="85">
        <f>MRS!J28</f>
        <v>5526</v>
      </c>
      <c r="H28" s="90"/>
    </row>
    <row r="29" spans="1:8" s="52" customFormat="1" ht="18.75" customHeight="1">
      <c r="A29" s="89">
        <f t="shared" si="0"/>
        <v>24</v>
      </c>
      <c r="B29" s="168" t="str">
        <f>MRS!B29&amp;" "&amp;MRS!D29</f>
        <v xml:space="preserve">Corrugated Sheet White 0.32mmx1mtrx3mtr </v>
      </c>
      <c r="C29" s="169"/>
      <c r="D29" s="83" t="str">
        <f>MRS!G29</f>
        <v>Nos</v>
      </c>
      <c r="E29" s="84">
        <f>MRS!H29</f>
        <v>150</v>
      </c>
      <c r="F29" s="85">
        <f>MRS!I29</f>
        <v>51</v>
      </c>
      <c r="G29" s="85">
        <f>MRS!J29</f>
        <v>7650</v>
      </c>
      <c r="H29" s="90"/>
    </row>
    <row r="30" spans="1:8" s="52" customFormat="1" ht="18.75" customHeight="1">
      <c r="A30" s="89">
        <f t="shared" si="0"/>
        <v>25</v>
      </c>
      <c r="B30" s="168" t="str">
        <f>MRS!B30&amp;" "&amp;MRS!D30</f>
        <v xml:space="preserve">Cotton Rags Mixed Color 10Kg </v>
      </c>
      <c r="C30" s="169"/>
      <c r="D30" s="83" t="str">
        <f>MRS!G30</f>
        <v>Nos</v>
      </c>
      <c r="E30" s="84">
        <f>MRS!H30</f>
        <v>20</v>
      </c>
      <c r="F30" s="85">
        <f>MRS!I30</f>
        <v>38</v>
      </c>
      <c r="G30" s="85">
        <f>MRS!J30</f>
        <v>760</v>
      </c>
      <c r="H30" s="90"/>
    </row>
    <row r="31" spans="1:8" s="52" customFormat="1" ht="18.75" customHeight="1">
      <c r="A31" s="89">
        <f t="shared" si="0"/>
        <v>26</v>
      </c>
      <c r="B31" s="168" t="str">
        <f>MRS!B31&amp;" "&amp;MRS!D31</f>
        <v xml:space="preserve">Cotton Rags White 10Kg </v>
      </c>
      <c r="C31" s="169"/>
      <c r="D31" s="83" t="str">
        <f>MRS!G31</f>
        <v>Nos</v>
      </c>
      <c r="E31" s="84">
        <f>MRS!H31</f>
        <v>20</v>
      </c>
      <c r="F31" s="85">
        <f>MRS!I31</f>
        <v>85</v>
      </c>
      <c r="G31" s="85">
        <f>MRS!J31</f>
        <v>1700</v>
      </c>
      <c r="H31" s="90"/>
    </row>
    <row r="32" spans="1:8" s="52" customFormat="1" ht="18.75" customHeight="1">
      <c r="A32" s="89">
        <f t="shared" si="0"/>
        <v>27</v>
      </c>
      <c r="B32" s="168" t="str">
        <f>MRS!B32&amp;" "&amp;MRS!D32</f>
        <v xml:space="preserve">Crowfoot Spanner 1/2"drive 24-32mm Set </v>
      </c>
      <c r="C32" s="169"/>
      <c r="D32" s="83" t="str">
        <f>MRS!G32</f>
        <v>Nos</v>
      </c>
      <c r="E32" s="84">
        <f>MRS!H32</f>
        <v>4</v>
      </c>
      <c r="F32" s="85">
        <f>MRS!I32</f>
        <v>440</v>
      </c>
      <c r="G32" s="85">
        <f>MRS!J32</f>
        <v>1760</v>
      </c>
      <c r="H32" s="90"/>
    </row>
    <row r="33" spans="1:8" s="52" customFormat="1" ht="18.75" customHeight="1">
      <c r="A33" s="89">
        <f t="shared" si="0"/>
        <v>28</v>
      </c>
      <c r="B33" s="168" t="str">
        <f>MRS!B33&amp;" "&amp;MRS!D33</f>
        <v xml:space="preserve">Crowfoot Wernch 1/2"dr 24mm </v>
      </c>
      <c r="C33" s="169"/>
      <c r="D33" s="83" t="str">
        <f>MRS!G33</f>
        <v>Nos</v>
      </c>
      <c r="E33" s="84">
        <f>MRS!H33</f>
        <v>6</v>
      </c>
      <c r="F33" s="85">
        <f>MRS!I33</f>
        <v>69.5</v>
      </c>
      <c r="G33" s="85">
        <f>MRS!J33</f>
        <v>417</v>
      </c>
      <c r="H33" s="90"/>
    </row>
    <row r="34" spans="1:8" s="52" customFormat="1" ht="18.75" customHeight="1">
      <c r="A34" s="89">
        <f t="shared" si="0"/>
        <v>29</v>
      </c>
      <c r="B34" s="168" t="str">
        <f>MRS!B34&amp;" "&amp;MRS!D34</f>
        <v xml:space="preserve">Crowfoot Wernch 1/2"dr 25mm </v>
      </c>
      <c r="C34" s="169"/>
      <c r="D34" s="83" t="str">
        <f>MRS!G34</f>
        <v>Nos</v>
      </c>
      <c r="E34" s="84">
        <f>MRS!H34</f>
        <v>3</v>
      </c>
      <c r="F34" s="85">
        <f>MRS!I34</f>
        <v>71</v>
      </c>
      <c r="G34" s="85">
        <f>MRS!J34</f>
        <v>213</v>
      </c>
      <c r="H34" s="90"/>
    </row>
    <row r="35" spans="1:8" s="52" customFormat="1" ht="18.75" customHeight="1">
      <c r="A35" s="89">
        <f t="shared" si="0"/>
        <v>30</v>
      </c>
      <c r="B35" s="168" t="str">
        <f>MRS!B35&amp;" "&amp;MRS!D35</f>
        <v xml:space="preserve">Crowfoot Wernch 1/2"dr 26mm </v>
      </c>
      <c r="C35" s="169"/>
      <c r="D35" s="83" t="str">
        <f>MRS!G35</f>
        <v>Nos</v>
      </c>
      <c r="E35" s="84">
        <f>MRS!H35</f>
        <v>3</v>
      </c>
      <c r="F35" s="85">
        <f>MRS!I35</f>
        <v>73</v>
      </c>
      <c r="G35" s="85">
        <f>MRS!J35</f>
        <v>219</v>
      </c>
      <c r="H35" s="90"/>
    </row>
    <row r="36" spans="1:8" s="52" customFormat="1" ht="18.75" customHeight="1">
      <c r="A36" s="89">
        <f t="shared" si="0"/>
        <v>31</v>
      </c>
      <c r="B36" s="168" t="str">
        <f>MRS!B36&amp;" "&amp;MRS!D36</f>
        <v xml:space="preserve">Crowfoot Wernch 1/2"dr 27mm </v>
      </c>
      <c r="C36" s="169"/>
      <c r="D36" s="83" t="str">
        <f>MRS!G36</f>
        <v>Nos</v>
      </c>
      <c r="E36" s="84">
        <f>MRS!H36</f>
        <v>3</v>
      </c>
      <c r="F36" s="85">
        <f>MRS!I36</f>
        <v>76</v>
      </c>
      <c r="G36" s="85">
        <f>MRS!J36</f>
        <v>228</v>
      </c>
      <c r="H36" s="90"/>
    </row>
    <row r="37" spans="1:8" s="52" customFormat="1" ht="18.75" customHeight="1">
      <c r="A37" s="89">
        <f t="shared" si="0"/>
        <v>32</v>
      </c>
      <c r="B37" s="168" t="str">
        <f>MRS!B37&amp;" "&amp;MRS!D37</f>
        <v xml:space="preserve">Crowfoot Wernch 1/2"dr 28mm </v>
      </c>
      <c r="C37" s="169"/>
      <c r="D37" s="83" t="str">
        <f>MRS!G37</f>
        <v>Nos</v>
      </c>
      <c r="E37" s="84">
        <f>MRS!H37</f>
        <v>3</v>
      </c>
      <c r="F37" s="85">
        <f>MRS!I37</f>
        <v>81</v>
      </c>
      <c r="G37" s="85">
        <f>MRS!J37</f>
        <v>243</v>
      </c>
      <c r="H37" s="90"/>
    </row>
    <row r="38" spans="1:8" s="52" customFormat="1" ht="18.75" customHeight="1">
      <c r="A38" s="89">
        <f t="shared" si="0"/>
        <v>33</v>
      </c>
      <c r="B38" s="168" t="str">
        <f>MRS!B38&amp;" "&amp;MRS!D38</f>
        <v xml:space="preserve">Crowfoot Wernch 1/2"dr 29mm </v>
      </c>
      <c r="C38" s="169"/>
      <c r="D38" s="83" t="str">
        <f>MRS!G38</f>
        <v>Nos</v>
      </c>
      <c r="E38" s="84">
        <f>MRS!H38</f>
        <v>3</v>
      </c>
      <c r="F38" s="85">
        <f>MRS!I38</f>
        <v>90</v>
      </c>
      <c r="G38" s="85">
        <f>MRS!J38</f>
        <v>270</v>
      </c>
      <c r="H38" s="90"/>
    </row>
    <row r="39" spans="1:8" s="52" customFormat="1" ht="18.75" customHeight="1">
      <c r="A39" s="89">
        <f t="shared" si="0"/>
        <v>34</v>
      </c>
      <c r="B39" s="168" t="str">
        <f>MRS!B39&amp;" "&amp;MRS!D39</f>
        <v xml:space="preserve">Crowfoot Wernch 1/2"dr 32mm </v>
      </c>
      <c r="C39" s="169"/>
      <c r="D39" s="83" t="str">
        <f>MRS!G39</f>
        <v>Nos</v>
      </c>
      <c r="E39" s="84">
        <f>MRS!H39</f>
        <v>3</v>
      </c>
      <c r="F39" s="85">
        <f>MRS!I39</f>
        <v>158</v>
      </c>
      <c r="G39" s="85">
        <f>MRS!J39</f>
        <v>474</v>
      </c>
      <c r="H39" s="90"/>
    </row>
    <row r="40" spans="1:8" s="52" customFormat="1" ht="18.75" customHeight="1">
      <c r="A40" s="89">
        <f t="shared" si="0"/>
        <v>35</v>
      </c>
      <c r="B40" s="168" t="str">
        <f>MRS!B40&amp;" "&amp;MRS!D40</f>
        <v xml:space="preserve">CS Angle 50x50x5mm, 6mtr </v>
      </c>
      <c r="C40" s="169"/>
      <c r="D40" s="83" t="str">
        <f>MRS!G40</f>
        <v>Nos</v>
      </c>
      <c r="E40" s="84">
        <f>MRS!H40</f>
        <v>65</v>
      </c>
      <c r="F40" s="85">
        <f>MRS!I40</f>
        <v>82</v>
      </c>
      <c r="G40" s="85">
        <f>MRS!J40</f>
        <v>5330</v>
      </c>
      <c r="H40" s="90"/>
    </row>
    <row r="41" spans="1:8" s="52" customFormat="1" ht="18.75" customHeight="1">
      <c r="A41" s="89">
        <f t="shared" si="0"/>
        <v>36</v>
      </c>
      <c r="B41" s="168" t="str">
        <f>MRS!B41&amp;" "&amp;MRS!D41</f>
        <v xml:space="preserve">CS Round Bar 10mm x 6mtr </v>
      </c>
      <c r="C41" s="169"/>
      <c r="D41" s="83" t="str">
        <f>MRS!G41</f>
        <v>Nos</v>
      </c>
      <c r="E41" s="84">
        <f>MRS!H41</f>
        <v>190</v>
      </c>
      <c r="F41" s="85">
        <f>MRS!I41</f>
        <v>17</v>
      </c>
      <c r="G41" s="85">
        <f>MRS!J41</f>
        <v>3230</v>
      </c>
      <c r="H41" s="90"/>
    </row>
    <row r="42" spans="1:8" s="52" customFormat="1" ht="18.75" customHeight="1">
      <c r="A42" s="89">
        <f t="shared" si="0"/>
        <v>37</v>
      </c>
      <c r="B42" s="168" t="str">
        <f>MRS!B42&amp;" "&amp;MRS!D42</f>
        <v xml:space="preserve">CS Square Tube 20x20x2mm, 6mtr </v>
      </c>
      <c r="C42" s="169"/>
      <c r="D42" s="83" t="str">
        <f>MRS!G42</f>
        <v>Nos</v>
      </c>
      <c r="E42" s="84">
        <f>MRS!H42</f>
        <v>250</v>
      </c>
      <c r="F42" s="85">
        <f>MRS!I42</f>
        <v>30.5</v>
      </c>
      <c r="G42" s="85">
        <f>MRS!J42</f>
        <v>7625</v>
      </c>
      <c r="H42" s="90"/>
    </row>
    <row r="43" spans="1:8" s="52" customFormat="1" ht="18.75" customHeight="1">
      <c r="A43" s="89">
        <f t="shared" si="0"/>
        <v>38</v>
      </c>
      <c r="B43" s="168" t="str">
        <f>MRS!B43&amp;" "&amp;MRS!D43</f>
        <v xml:space="preserve">Cup Brush S/S Crimped M10x75mm </v>
      </c>
      <c r="C43" s="169"/>
      <c r="D43" s="83" t="str">
        <f>MRS!G43</f>
        <v>Nos</v>
      </c>
      <c r="E43" s="84">
        <f>MRS!H43</f>
        <v>1500</v>
      </c>
      <c r="F43" s="85">
        <f>MRS!I43</f>
        <v>18.5</v>
      </c>
      <c r="G43" s="85">
        <f>MRS!J43</f>
        <v>27750</v>
      </c>
      <c r="H43" s="90"/>
    </row>
    <row r="44" spans="1:8" s="52" customFormat="1" ht="18.75" customHeight="1">
      <c r="A44" s="89">
        <f t="shared" si="0"/>
        <v>39</v>
      </c>
      <c r="B44" s="168" t="str">
        <f>MRS!B44&amp;" "&amp;MRS!D44</f>
        <v xml:space="preserve">Dehumidifier 12 ltr 220V </v>
      </c>
      <c r="C44" s="169"/>
      <c r="D44" s="83" t="str">
        <f>MRS!G44</f>
        <v>Nos</v>
      </c>
      <c r="E44" s="84">
        <f>MRS!H44</f>
        <v>1</v>
      </c>
      <c r="F44" s="85">
        <f>MRS!I44</f>
        <v>870</v>
      </c>
      <c r="G44" s="85">
        <f>MRS!J44</f>
        <v>870</v>
      </c>
      <c r="H44" s="90"/>
    </row>
    <row r="45" spans="1:8" s="52" customFormat="1" ht="18.75" customHeight="1">
      <c r="A45" s="89">
        <f t="shared" si="0"/>
        <v>40</v>
      </c>
      <c r="B45" s="168" t="str">
        <f>MRS!B45&amp;" "&amp;MRS!D45</f>
        <v xml:space="preserve">Dial Indicator 0-10mm/0.01mm 2046A Mitutoyo </v>
      </c>
      <c r="C45" s="169"/>
      <c r="D45" s="83" t="str">
        <f>MRS!G45</f>
        <v>Nos</v>
      </c>
      <c r="E45" s="84">
        <f>MRS!H45</f>
        <v>4</v>
      </c>
      <c r="F45" s="85">
        <f>MRS!I45</f>
        <v>235</v>
      </c>
      <c r="G45" s="85">
        <f>MRS!J45</f>
        <v>940</v>
      </c>
      <c r="H45" s="90"/>
    </row>
    <row r="46" spans="1:8" s="52" customFormat="1" ht="18.75" customHeight="1">
      <c r="A46" s="89">
        <f t="shared" si="0"/>
        <v>41</v>
      </c>
      <c r="B46" s="168" t="str">
        <f>MRS!B46&amp;" "&amp;MRS!D46</f>
        <v xml:space="preserve">Diamond Grinding Wheel 4" </v>
      </c>
      <c r="C46" s="169"/>
      <c r="D46" s="83" t="str">
        <f>MRS!G46</f>
        <v>Nos</v>
      </c>
      <c r="E46" s="84">
        <f>MRS!H46</f>
        <v>65</v>
      </c>
      <c r="F46" s="85">
        <f>MRS!I46</f>
        <v>29</v>
      </c>
      <c r="G46" s="85">
        <f>MRS!J46</f>
        <v>1885</v>
      </c>
      <c r="H46" s="90"/>
    </row>
    <row r="47" spans="1:8" s="52" customFormat="1" ht="18.75" customHeight="1">
      <c r="A47" s="89">
        <f t="shared" si="0"/>
        <v>42</v>
      </c>
      <c r="B47" s="168" t="str">
        <f>MRS!B47&amp;" "&amp;MRS!D47</f>
        <v xml:space="preserve">Digital Clamp Meter 600VAC/DC AC400A True RMS 323 Fluke </v>
      </c>
      <c r="C47" s="169"/>
      <c r="D47" s="83" t="str">
        <f>MRS!G47</f>
        <v>Nos</v>
      </c>
      <c r="E47" s="84">
        <f>MRS!H47</f>
        <v>3</v>
      </c>
      <c r="F47" s="85">
        <f>MRS!I47</f>
        <v>943</v>
      </c>
      <c r="G47" s="85">
        <f>MRS!J47</f>
        <v>2829</v>
      </c>
      <c r="H47" s="90"/>
    </row>
    <row r="48" spans="1:8" s="52" customFormat="1" ht="18.75" customHeight="1">
      <c r="A48" s="89">
        <f t="shared" si="0"/>
        <v>43</v>
      </c>
      <c r="B48" s="168" t="str">
        <f>MRS!B48&amp;" "&amp;MRS!D48</f>
        <v xml:space="preserve">Digital Hygrometer 3.05" LCD Doqaus </v>
      </c>
      <c r="C48" s="169"/>
      <c r="D48" s="83" t="str">
        <f>MRS!G48</f>
        <v>Nos</v>
      </c>
      <c r="E48" s="84">
        <f>MRS!H48</f>
        <v>4</v>
      </c>
      <c r="F48" s="85">
        <f>MRS!I48</f>
        <v>66</v>
      </c>
      <c r="G48" s="85">
        <f>MRS!J48</f>
        <v>264</v>
      </c>
      <c r="H48" s="90"/>
    </row>
    <row r="49" spans="1:8" s="52" customFormat="1" ht="18.75" customHeight="1">
      <c r="A49" s="89">
        <f t="shared" si="0"/>
        <v>44</v>
      </c>
      <c r="B49" s="168" t="str">
        <f>MRS!B49&amp;" "&amp;MRS!D49</f>
        <v xml:space="preserve">Drill Bit HSS Cobalt (S/S) 10mm </v>
      </c>
      <c r="C49" s="169"/>
      <c r="D49" s="83" t="str">
        <f>MRS!G49</f>
        <v>Nos</v>
      </c>
      <c r="E49" s="84">
        <f>MRS!H49</f>
        <v>80</v>
      </c>
      <c r="F49" s="85">
        <f>MRS!I49</f>
        <v>13</v>
      </c>
      <c r="G49" s="85">
        <f>MRS!J49</f>
        <v>1040</v>
      </c>
      <c r="H49" s="90"/>
    </row>
    <row r="50" spans="1:8" s="52" customFormat="1" ht="18.75" customHeight="1">
      <c r="A50" s="89">
        <f t="shared" si="0"/>
        <v>45</v>
      </c>
      <c r="B50" s="168" t="str">
        <f>MRS!B50&amp;" "&amp;MRS!D50</f>
        <v xml:space="preserve">Drill Bit HSS Cobalt (S/S) 12mm </v>
      </c>
      <c r="C50" s="169"/>
      <c r="D50" s="83" t="str">
        <f>MRS!G50</f>
        <v>Nos</v>
      </c>
      <c r="E50" s="84">
        <f>MRS!H50</f>
        <v>80</v>
      </c>
      <c r="F50" s="85">
        <f>MRS!I50</f>
        <v>23</v>
      </c>
      <c r="G50" s="85">
        <f>MRS!J50</f>
        <v>1840</v>
      </c>
      <c r="H50" s="90"/>
    </row>
    <row r="51" spans="1:8" s="52" customFormat="1" ht="18.75" customHeight="1">
      <c r="A51" s="89">
        <f t="shared" si="0"/>
        <v>46</v>
      </c>
      <c r="B51" s="168" t="str">
        <f>MRS!B51&amp;" "&amp;MRS!D51</f>
        <v xml:space="preserve">Drill Bit HSS Cobalt (S/S) 13mm </v>
      </c>
      <c r="C51" s="169"/>
      <c r="D51" s="83" t="str">
        <f>MRS!G51</f>
        <v>Nos</v>
      </c>
      <c r="E51" s="84">
        <f>MRS!H51</f>
        <v>61</v>
      </c>
      <c r="F51" s="85">
        <f>MRS!I51</f>
        <v>26</v>
      </c>
      <c r="G51" s="85">
        <f>MRS!J51</f>
        <v>1586</v>
      </c>
      <c r="H51" s="90"/>
    </row>
    <row r="52" spans="1:8" s="52" customFormat="1" ht="18.75" customHeight="1">
      <c r="A52" s="89">
        <f t="shared" si="0"/>
        <v>47</v>
      </c>
      <c r="B52" s="168" t="str">
        <f>MRS!B52&amp;" "&amp;MRS!D52</f>
        <v xml:space="preserve">Drill Bit HSS Cobalt (S/S) 4mm </v>
      </c>
      <c r="C52" s="169"/>
      <c r="D52" s="83" t="str">
        <f>MRS!G52</f>
        <v>Nos</v>
      </c>
      <c r="E52" s="84">
        <f>MRS!H52</f>
        <v>40</v>
      </c>
      <c r="F52" s="85">
        <f>MRS!I52</f>
        <v>3.4</v>
      </c>
      <c r="G52" s="85">
        <f>MRS!J52</f>
        <v>136</v>
      </c>
      <c r="H52" s="90"/>
    </row>
    <row r="53" spans="1:8" s="52" customFormat="1" ht="18.75" customHeight="1">
      <c r="A53" s="89">
        <f t="shared" si="0"/>
        <v>48</v>
      </c>
      <c r="B53" s="168" t="str">
        <f>MRS!B53&amp;" "&amp;MRS!D53</f>
        <v xml:space="preserve">Drill Bit HSS Cobalt (S/S) 5mm </v>
      </c>
      <c r="C53" s="169"/>
      <c r="D53" s="83" t="str">
        <f>MRS!G53</f>
        <v>Nos</v>
      </c>
      <c r="E53" s="84">
        <f>MRS!H53</f>
        <v>20</v>
      </c>
      <c r="F53" s="85">
        <f>MRS!I53</f>
        <v>4.3</v>
      </c>
      <c r="G53" s="85">
        <f>MRS!J53</f>
        <v>86</v>
      </c>
      <c r="H53" s="90"/>
    </row>
    <row r="54" spans="1:8" s="52" customFormat="1" ht="18.75" customHeight="1">
      <c r="A54" s="89">
        <f t="shared" si="0"/>
        <v>49</v>
      </c>
      <c r="B54" s="168" t="str">
        <f>MRS!B54&amp;" "&amp;MRS!D54</f>
        <v xml:space="preserve">Drill Bit HSS Cobalt (S/S) 6mm </v>
      </c>
      <c r="C54" s="169"/>
      <c r="D54" s="83" t="str">
        <f>MRS!G54</f>
        <v>Nos</v>
      </c>
      <c r="E54" s="84">
        <f>MRS!H54</f>
        <v>38</v>
      </c>
      <c r="F54" s="85">
        <f>MRS!I54</f>
        <v>5.5</v>
      </c>
      <c r="G54" s="85">
        <f>MRS!J54</f>
        <v>209</v>
      </c>
      <c r="H54" s="90"/>
    </row>
    <row r="55" spans="1:8" s="52" customFormat="1" ht="18.75" customHeight="1">
      <c r="A55" s="89">
        <f t="shared" si="0"/>
        <v>50</v>
      </c>
      <c r="B55" s="168" t="str">
        <f>MRS!B55&amp;" "&amp;MRS!D55</f>
        <v xml:space="preserve">Drill Bit HSS Cobalt (S/S) 8mm </v>
      </c>
      <c r="C55" s="169"/>
      <c r="D55" s="83" t="str">
        <f>MRS!G55</f>
        <v>Nos</v>
      </c>
      <c r="E55" s="84">
        <f>MRS!H55</f>
        <v>55</v>
      </c>
      <c r="F55" s="85">
        <f>MRS!I55</f>
        <v>9</v>
      </c>
      <c r="G55" s="85">
        <f>MRS!J55</f>
        <v>495</v>
      </c>
      <c r="H55" s="90"/>
    </row>
    <row r="56" spans="1:8" s="52" customFormat="1" ht="18.75" customHeight="1">
      <c r="A56" s="89">
        <f t="shared" si="0"/>
        <v>51</v>
      </c>
      <c r="B56" s="168" t="str">
        <f>MRS!B56&amp;" "&amp;MRS!D56</f>
        <v xml:space="preserve">Drill Machine 13mm in Steel Makita HP1604K </v>
      </c>
      <c r="C56" s="169"/>
      <c r="D56" s="83" t="str">
        <f>MRS!G56</f>
        <v>Nos</v>
      </c>
      <c r="E56" s="84">
        <f>MRS!H56</f>
        <v>2</v>
      </c>
      <c r="F56" s="85">
        <f>MRS!I56</f>
        <v>438</v>
      </c>
      <c r="G56" s="85">
        <f>MRS!J56</f>
        <v>876</v>
      </c>
      <c r="H56" s="90"/>
    </row>
    <row r="57" spans="1:8" s="52" customFormat="1" ht="18.75" customHeight="1">
      <c r="A57" s="89">
        <f t="shared" si="0"/>
        <v>52</v>
      </c>
      <c r="B57" s="168" t="str">
        <f>MRS!B57&amp;" "&amp;MRS!D57</f>
        <v xml:space="preserve">Drill Machine 16mm in Steel 1050W Boscch GBM 16-2RE </v>
      </c>
      <c r="C57" s="169"/>
      <c r="D57" s="83" t="str">
        <f>MRS!G57</f>
        <v>Nos</v>
      </c>
      <c r="E57" s="84">
        <f>MRS!H57</f>
        <v>2</v>
      </c>
      <c r="F57" s="85">
        <f>MRS!I57</f>
        <v>628</v>
      </c>
      <c r="G57" s="85">
        <f>MRS!J57</f>
        <v>1256</v>
      </c>
      <c r="H57" s="90"/>
    </row>
    <row r="58" spans="1:8" s="52" customFormat="1" ht="18.75" customHeight="1">
      <c r="A58" s="89">
        <f t="shared" si="0"/>
        <v>53</v>
      </c>
      <c r="B58" s="168" t="str">
        <f>MRS!B58&amp;" "&amp;MRS!D58</f>
        <v xml:space="preserve">Drill Machine 6.5mm in Steel Makita M6501B </v>
      </c>
      <c r="C58" s="169"/>
      <c r="D58" s="83" t="str">
        <f>MRS!G58</f>
        <v>Nos</v>
      </c>
      <c r="E58" s="84">
        <f>MRS!H58</f>
        <v>2</v>
      </c>
      <c r="F58" s="85">
        <f>MRS!I58</f>
        <v>205</v>
      </c>
      <c r="G58" s="85">
        <f>MRS!J58</f>
        <v>410</v>
      </c>
      <c r="H58" s="90"/>
    </row>
    <row r="59" spans="1:8" s="52" customFormat="1" ht="18.75" customHeight="1">
      <c r="A59" s="89">
        <f t="shared" si="0"/>
        <v>54</v>
      </c>
      <c r="B59" s="168" t="str">
        <f>MRS!B59&amp;" "&amp;MRS!D59</f>
        <v xml:space="preserve">Dust Mask N95 Venus </v>
      </c>
      <c r="C59" s="169"/>
      <c r="D59" s="83" t="str">
        <f>MRS!G59</f>
        <v>Nos</v>
      </c>
      <c r="E59" s="84">
        <f>MRS!H59</f>
        <v>4000</v>
      </c>
      <c r="F59" s="85">
        <f>MRS!I59</f>
        <v>1.5</v>
      </c>
      <c r="G59" s="85">
        <f>MRS!J59</f>
        <v>6000</v>
      </c>
      <c r="H59" s="90"/>
    </row>
    <row r="60" spans="1:8" s="52" customFormat="1" ht="18.75" customHeight="1">
      <c r="A60" s="89">
        <f t="shared" si="0"/>
        <v>55</v>
      </c>
      <c r="B60" s="168" t="str">
        <f>MRS!B60&amp;" "&amp;MRS!D60</f>
        <v xml:space="preserve">Ear Plug with Corded </v>
      </c>
      <c r="C60" s="169"/>
      <c r="D60" s="83" t="str">
        <f>MRS!G60</f>
        <v>Pair</v>
      </c>
      <c r="E60" s="84">
        <f>MRS!H60</f>
        <v>6200</v>
      </c>
      <c r="F60" s="85">
        <f>MRS!I60</f>
        <v>0.55000000000000004</v>
      </c>
      <c r="G60" s="85">
        <f>MRS!J60</f>
        <v>3410.0000000000005</v>
      </c>
      <c r="H60" s="90"/>
    </row>
    <row r="61" spans="1:8" s="52" customFormat="1" ht="18.75" customHeight="1">
      <c r="A61" s="89">
        <f t="shared" si="0"/>
        <v>56</v>
      </c>
      <c r="B61" s="168" t="str">
        <f>MRS!B61&amp;" "&amp;MRS!D61</f>
        <v xml:space="preserve">Electric Insulation Tape Green </v>
      </c>
      <c r="C61" s="169"/>
      <c r="D61" s="83" t="str">
        <f>MRS!G61</f>
        <v>Nos</v>
      </c>
      <c r="E61" s="84">
        <f>MRS!H61</f>
        <v>366</v>
      </c>
      <c r="F61" s="85">
        <f>MRS!I61</f>
        <v>2</v>
      </c>
      <c r="G61" s="85">
        <f>MRS!J61</f>
        <v>732</v>
      </c>
      <c r="H61" s="90"/>
    </row>
    <row r="62" spans="1:8" s="52" customFormat="1" ht="18.75" customHeight="1">
      <c r="A62" s="89">
        <f t="shared" si="0"/>
        <v>57</v>
      </c>
      <c r="B62" s="168" t="str">
        <f>MRS!B62&amp;" "&amp;MRS!D62</f>
        <v xml:space="preserve">Flap Disc S/S 4" 80 Grit </v>
      </c>
      <c r="C62" s="169"/>
      <c r="D62" s="83" t="str">
        <f>MRS!G62</f>
        <v>Nos</v>
      </c>
      <c r="E62" s="84">
        <f>MRS!H62</f>
        <v>4700</v>
      </c>
      <c r="F62" s="85">
        <f>MRS!I62</f>
        <v>4.5</v>
      </c>
      <c r="G62" s="85">
        <f>MRS!J62</f>
        <v>21150</v>
      </c>
      <c r="H62" s="90"/>
    </row>
    <row r="63" spans="1:8" s="52" customFormat="1" ht="18.75" customHeight="1">
      <c r="A63" s="89">
        <f t="shared" si="0"/>
        <v>58</v>
      </c>
      <c r="B63" s="168" t="str">
        <f>MRS!B63&amp;" "&amp;MRS!D63</f>
        <v xml:space="preserve">Grease Nipple 1/4" </v>
      </c>
      <c r="C63" s="169"/>
      <c r="D63" s="83" t="str">
        <f>MRS!G63</f>
        <v>Nos</v>
      </c>
      <c r="E63" s="84">
        <f>MRS!H63</f>
        <v>65</v>
      </c>
      <c r="F63" s="85">
        <f>MRS!I63</f>
        <v>7</v>
      </c>
      <c r="G63" s="85">
        <f>MRS!J63</f>
        <v>455</v>
      </c>
      <c r="H63" s="90"/>
    </row>
    <row r="64" spans="1:8" s="52" customFormat="1" ht="18.75" customHeight="1">
      <c r="A64" s="89">
        <f t="shared" si="0"/>
        <v>59</v>
      </c>
      <c r="B64" s="168" t="str">
        <f>MRS!B64&amp;" "&amp;MRS!D64</f>
        <v xml:space="preserve">Half Face Reusable Respirator 3M 6200 </v>
      </c>
      <c r="C64" s="169"/>
      <c r="D64" s="83" t="str">
        <f>MRS!G64</f>
        <v>Nos</v>
      </c>
      <c r="E64" s="84">
        <f>MRS!H64</f>
        <v>65</v>
      </c>
      <c r="F64" s="85">
        <f>MRS!I64</f>
        <v>46</v>
      </c>
      <c r="G64" s="85">
        <f>MRS!J64</f>
        <v>2990</v>
      </c>
      <c r="H64" s="90"/>
    </row>
    <row r="65" spans="1:8" s="52" customFormat="1" ht="18.75" customHeight="1">
      <c r="A65" s="89">
        <f t="shared" si="0"/>
        <v>60</v>
      </c>
      <c r="B65" s="168" t="str">
        <f>MRS!B65&amp;" "&amp;MRS!D65</f>
        <v xml:space="preserve">Half Round File C/S 12" </v>
      </c>
      <c r="C65" s="169"/>
      <c r="D65" s="83" t="str">
        <f>MRS!G65</f>
        <v>Nos</v>
      </c>
      <c r="E65" s="84">
        <f>MRS!H65</f>
        <v>15</v>
      </c>
      <c r="F65" s="85">
        <f>MRS!I65</f>
        <v>10</v>
      </c>
      <c r="G65" s="85">
        <f>MRS!J65</f>
        <v>150</v>
      </c>
      <c r="H65" s="90"/>
    </row>
    <row r="66" spans="1:8" s="52" customFormat="1" ht="18.75" customHeight="1">
      <c r="A66" s="89">
        <f t="shared" si="0"/>
        <v>61</v>
      </c>
      <c r="B66" s="168" t="str">
        <f>MRS!B66&amp;" "&amp;MRS!D66</f>
        <v xml:space="preserve">Hammer Drill Bit SDS Plus 20x260mm </v>
      </c>
      <c r="C66" s="169"/>
      <c r="D66" s="83" t="str">
        <f>MRS!G66</f>
        <v>Nos</v>
      </c>
      <c r="E66" s="84">
        <f>MRS!H66</f>
        <v>20</v>
      </c>
      <c r="F66" s="85">
        <f>MRS!I66</f>
        <v>21</v>
      </c>
      <c r="G66" s="85">
        <f>MRS!J66</f>
        <v>420</v>
      </c>
      <c r="H66" s="90"/>
    </row>
    <row r="67" spans="1:8" s="52" customFormat="1" ht="18.75" customHeight="1">
      <c r="A67" s="89">
        <f t="shared" si="0"/>
        <v>62</v>
      </c>
      <c r="B67" s="168" t="str">
        <f>MRS!B67&amp;" "&amp;MRS!D67</f>
        <v xml:space="preserve">Hammer Drill Bit SDS Plus 20x300mm </v>
      </c>
      <c r="C67" s="169"/>
      <c r="D67" s="83" t="str">
        <f>MRS!G67</f>
        <v>Nos</v>
      </c>
      <c r="E67" s="84">
        <f>MRS!H67</f>
        <v>10</v>
      </c>
      <c r="F67" s="85">
        <f>MRS!I67</f>
        <v>21</v>
      </c>
      <c r="G67" s="85">
        <f>MRS!J67</f>
        <v>210</v>
      </c>
      <c r="H67" s="90"/>
    </row>
    <row r="68" spans="1:8" s="52" customFormat="1" ht="18.75" customHeight="1">
      <c r="A68" s="89">
        <f t="shared" si="0"/>
        <v>63</v>
      </c>
      <c r="B68" s="168" t="str">
        <f>MRS!B68&amp;" "&amp;MRS!D68</f>
        <v xml:space="preserve">Hammer Drill Machine SDS Plus GBH 2-24 DRE Bosch </v>
      </c>
      <c r="C68" s="169"/>
      <c r="D68" s="83" t="str">
        <f>MRS!G68</f>
        <v>Nos</v>
      </c>
      <c r="E68" s="84">
        <f>MRS!H68</f>
        <v>1</v>
      </c>
      <c r="F68" s="85">
        <f>MRS!I68</f>
        <v>887</v>
      </c>
      <c r="G68" s="85">
        <f>MRS!J68</f>
        <v>887</v>
      </c>
      <c r="H68" s="90"/>
    </row>
    <row r="69" spans="1:8" s="52" customFormat="1" ht="18.75" customHeight="1">
      <c r="A69" s="89">
        <f t="shared" si="0"/>
        <v>64</v>
      </c>
      <c r="B69" s="168" t="str">
        <f>MRS!B69&amp;" "&amp;MRS!D69</f>
        <v xml:space="preserve">Hand Tap Set 3/4" NPT </v>
      </c>
      <c r="C69" s="169"/>
      <c r="D69" s="83" t="str">
        <f>MRS!G69</f>
        <v>Set</v>
      </c>
      <c r="E69" s="84">
        <f>MRS!H69</f>
        <v>4</v>
      </c>
      <c r="F69" s="85">
        <f>MRS!I69</f>
        <v>98</v>
      </c>
      <c r="G69" s="85">
        <f>MRS!J69</f>
        <v>392</v>
      </c>
      <c r="H69" s="90"/>
    </row>
    <row r="70" spans="1:8" s="52" customFormat="1" ht="18.75" customHeight="1">
      <c r="A70" s="89">
        <f t="shared" ref="A70:A133" si="1">ROW(A65)</f>
        <v>65</v>
      </c>
      <c r="B70" s="168" t="str">
        <f>MRS!B70&amp;" "&amp;MRS!D70</f>
        <v xml:space="preserve">Hand Test Pump 300bar TG-300 Max Germany </v>
      </c>
      <c r="C70" s="169"/>
      <c r="D70" s="83" t="str">
        <f>MRS!G70</f>
        <v>Nos</v>
      </c>
      <c r="E70" s="84">
        <f>MRS!H70</f>
        <v>10</v>
      </c>
      <c r="F70" s="85">
        <f>MRS!I70</f>
        <v>1290</v>
      </c>
      <c r="G70" s="85">
        <f>MRS!J70</f>
        <v>12900</v>
      </c>
      <c r="H70" s="90"/>
    </row>
    <row r="71" spans="1:8" s="52" customFormat="1" ht="18.75" customHeight="1">
      <c r="A71" s="89">
        <f t="shared" si="1"/>
        <v>66</v>
      </c>
      <c r="B71" s="168" t="str">
        <f>MRS!B71&amp;" "&amp;MRS!D71</f>
        <v xml:space="preserve">Hand Test Pump 50bar TB-72076 Taiwan </v>
      </c>
      <c r="C71" s="169"/>
      <c r="D71" s="83" t="str">
        <f>MRS!G71</f>
        <v>Nos</v>
      </c>
      <c r="E71" s="84">
        <f>MRS!H71</f>
        <v>10</v>
      </c>
      <c r="F71" s="85">
        <f>MRS!I71</f>
        <v>530</v>
      </c>
      <c r="G71" s="85">
        <f>MRS!J71</f>
        <v>5300</v>
      </c>
      <c r="H71" s="90"/>
    </row>
    <row r="72" spans="1:8" s="52" customFormat="1" ht="18.75" customHeight="1">
      <c r="A72" s="89">
        <f t="shared" si="1"/>
        <v>67</v>
      </c>
      <c r="B72" s="168" t="str">
        <f>MRS!B72&amp;" "&amp;MRS!D72</f>
        <v xml:space="preserve">Heat Stress Prevention Flag 1x1mtr Green </v>
      </c>
      <c r="C72" s="169"/>
      <c r="D72" s="83" t="str">
        <f>MRS!G72</f>
        <v>Nos</v>
      </c>
      <c r="E72" s="84">
        <f>MRS!H72</f>
        <v>25</v>
      </c>
      <c r="F72" s="85">
        <f>MRS!I72</f>
        <v>17</v>
      </c>
      <c r="G72" s="85">
        <f>MRS!J72</f>
        <v>425</v>
      </c>
      <c r="H72" s="90"/>
    </row>
    <row r="73" spans="1:8" s="52" customFormat="1" ht="18.75" customHeight="1">
      <c r="A73" s="89">
        <f t="shared" si="1"/>
        <v>68</v>
      </c>
      <c r="B73" s="168" t="str">
        <f>MRS!B73&amp;" "&amp;MRS!D73</f>
        <v xml:space="preserve">Heat Stress Prevention Flag 1x1mtr Orange </v>
      </c>
      <c r="C73" s="169"/>
      <c r="D73" s="83" t="str">
        <f>MRS!G73</f>
        <v>Nos</v>
      </c>
      <c r="E73" s="84">
        <f>MRS!H73</f>
        <v>25</v>
      </c>
      <c r="F73" s="85">
        <f>MRS!I73</f>
        <v>17</v>
      </c>
      <c r="G73" s="85">
        <f>MRS!J73</f>
        <v>425</v>
      </c>
      <c r="H73" s="90"/>
    </row>
    <row r="74" spans="1:8" s="52" customFormat="1" ht="18.75" customHeight="1">
      <c r="A74" s="89">
        <f t="shared" si="1"/>
        <v>69</v>
      </c>
      <c r="B74" s="168" t="str">
        <f>MRS!B74&amp;" "&amp;MRS!D74</f>
        <v xml:space="preserve">Heat Stress Prevention Flag 1x1mtr Red </v>
      </c>
      <c r="C74" s="169"/>
      <c r="D74" s="83" t="str">
        <f>MRS!G74</f>
        <v>Nos</v>
      </c>
      <c r="E74" s="84">
        <f>MRS!H74</f>
        <v>25</v>
      </c>
      <c r="F74" s="85">
        <f>MRS!I74</f>
        <v>17</v>
      </c>
      <c r="G74" s="85">
        <f>MRS!J74</f>
        <v>425</v>
      </c>
      <c r="H74" s="90"/>
    </row>
    <row r="75" spans="1:8" s="52" customFormat="1" ht="18.75" customHeight="1">
      <c r="A75" s="89">
        <f t="shared" si="1"/>
        <v>70</v>
      </c>
      <c r="B75" s="168" t="str">
        <f>MRS!B75&amp;" "&amp;MRS!D75</f>
        <v xml:space="preserve">Heat Stress Prevention Flag 1x1mtr Yellow </v>
      </c>
      <c r="C75" s="169"/>
      <c r="D75" s="83" t="str">
        <f>MRS!G75</f>
        <v>Nos</v>
      </c>
      <c r="E75" s="84">
        <f>MRS!H75</f>
        <v>25</v>
      </c>
      <c r="F75" s="85">
        <f>MRS!I75</f>
        <v>17</v>
      </c>
      <c r="G75" s="85">
        <f>MRS!J75</f>
        <v>425</v>
      </c>
      <c r="H75" s="90"/>
    </row>
    <row r="76" spans="1:8" s="52" customFormat="1" ht="18.75" customHeight="1">
      <c r="A76" s="89">
        <f t="shared" si="1"/>
        <v>71</v>
      </c>
      <c r="B76" s="168" t="str">
        <f>MRS!B76&amp;" "&amp;MRS!D76</f>
        <v xml:space="preserve">Hex Nipple 3/4" NPT </v>
      </c>
      <c r="C76" s="169"/>
      <c r="D76" s="83" t="str">
        <f>MRS!G76</f>
        <v>Nos</v>
      </c>
      <c r="E76" s="84">
        <f>MRS!H76</f>
        <v>65</v>
      </c>
      <c r="F76" s="85">
        <f>MRS!I76</f>
        <v>16</v>
      </c>
      <c r="G76" s="85">
        <f>MRS!J76</f>
        <v>1040</v>
      </c>
      <c r="H76" s="90"/>
    </row>
    <row r="77" spans="1:8" s="52" customFormat="1" ht="18.75" customHeight="1">
      <c r="A77" s="89">
        <f t="shared" si="1"/>
        <v>72</v>
      </c>
      <c r="B77" s="168" t="str">
        <f>MRS!B77&amp;" "&amp;MRS!D77</f>
        <v xml:space="preserve">Hex Nipple 3/4" NPT Male &amp; Female </v>
      </c>
      <c r="C77" s="169"/>
      <c r="D77" s="83" t="str">
        <f>MRS!G77</f>
        <v>Nos</v>
      </c>
      <c r="E77" s="84">
        <f>MRS!H77</f>
        <v>40</v>
      </c>
      <c r="F77" s="85">
        <f>MRS!I77</f>
        <v>16</v>
      </c>
      <c r="G77" s="85">
        <f>MRS!J77</f>
        <v>640</v>
      </c>
      <c r="H77" s="90"/>
    </row>
    <row r="78" spans="1:8" s="52" customFormat="1" ht="18.75" customHeight="1">
      <c r="A78" s="89">
        <f t="shared" si="1"/>
        <v>73</v>
      </c>
      <c r="B78" s="168" t="str">
        <f>MRS!B78&amp;" "&amp;MRS!D78</f>
        <v xml:space="preserve">High Pressure Hose 215bar 3/4" 20mtr Female Fittings Both End </v>
      </c>
      <c r="C78" s="169"/>
      <c r="D78" s="83" t="str">
        <f>MRS!G78</f>
        <v>Nos</v>
      </c>
      <c r="E78" s="84">
        <f>MRS!H78</f>
        <v>25</v>
      </c>
      <c r="F78" s="85">
        <f>MRS!I78</f>
        <v>575</v>
      </c>
      <c r="G78" s="85">
        <f>MRS!J78</f>
        <v>14375</v>
      </c>
      <c r="H78" s="90"/>
    </row>
    <row r="79" spans="1:8" s="52" customFormat="1" ht="18.75" customHeight="1">
      <c r="A79" s="89">
        <f t="shared" si="1"/>
        <v>74</v>
      </c>
      <c r="B79" s="168" t="str">
        <f>MRS!B79&amp;" "&amp;MRS!D79</f>
        <v xml:space="preserve">High Pressure Hose 215bar 3/4" 50mtr Female Fittings Both End </v>
      </c>
      <c r="C79" s="169"/>
      <c r="D79" s="83" t="str">
        <f>MRS!G79</f>
        <v>Nos</v>
      </c>
      <c r="E79" s="84">
        <f>MRS!H79</f>
        <v>15</v>
      </c>
      <c r="F79" s="85">
        <f>MRS!I79</f>
        <v>1335</v>
      </c>
      <c r="G79" s="85">
        <f>MRS!J79</f>
        <v>20025</v>
      </c>
      <c r="H79" s="90"/>
    </row>
    <row r="80" spans="1:8" s="52" customFormat="1" ht="18.75" customHeight="1">
      <c r="A80" s="89">
        <f t="shared" si="1"/>
        <v>75</v>
      </c>
      <c r="B80" s="168" t="str">
        <f>MRS!B80&amp;" "&amp;MRS!D80</f>
        <v xml:space="preserve">Hi-Lo Welding Gauge </v>
      </c>
      <c r="C80" s="169"/>
      <c r="D80" s="83" t="str">
        <f>MRS!G80</f>
        <v>Nos</v>
      </c>
      <c r="E80" s="84">
        <f>MRS!H80</f>
        <v>3</v>
      </c>
      <c r="F80" s="85">
        <f>MRS!I80</f>
        <v>163</v>
      </c>
      <c r="G80" s="85">
        <f>MRS!J80</f>
        <v>489</v>
      </c>
      <c r="H80" s="90"/>
    </row>
    <row r="81" spans="1:8" s="52" customFormat="1" ht="18.75" customHeight="1">
      <c r="A81" s="89">
        <f t="shared" si="1"/>
        <v>76</v>
      </c>
      <c r="B81" s="168" t="str">
        <f>MRS!B81&amp;" "&amp;MRS!D81</f>
        <v xml:space="preserve">Industrial Mist Fan 26" 220V </v>
      </c>
      <c r="C81" s="169"/>
      <c r="D81" s="83" t="str">
        <f>MRS!G81</f>
        <v>Nos</v>
      </c>
      <c r="E81" s="84">
        <f>MRS!H81</f>
        <v>5</v>
      </c>
      <c r="F81" s="85">
        <f>MRS!I81</f>
        <v>700</v>
      </c>
      <c r="G81" s="85">
        <f>MRS!J81</f>
        <v>3500</v>
      </c>
      <c r="H81" s="90"/>
    </row>
    <row r="82" spans="1:8" s="52" customFormat="1" ht="18.75" customHeight="1">
      <c r="A82" s="89">
        <f t="shared" si="1"/>
        <v>77</v>
      </c>
      <c r="B82" s="168" t="str">
        <f>MRS!B82&amp;" "&amp;MRS!D82</f>
        <v xml:space="preserve">Injectable Mortar HIT-RE 500 V4/500 Hilti </v>
      </c>
      <c r="C82" s="169"/>
      <c r="D82" s="83" t="str">
        <f>MRS!G82</f>
        <v>Nos</v>
      </c>
      <c r="E82" s="84">
        <f>MRS!H82</f>
        <v>35</v>
      </c>
      <c r="F82" s="85">
        <f>MRS!I82</f>
        <v>258</v>
      </c>
      <c r="G82" s="85">
        <f>MRS!J82</f>
        <v>9030</v>
      </c>
      <c r="H82" s="90"/>
    </row>
    <row r="83" spans="1:8" s="52" customFormat="1" ht="18.75" customHeight="1">
      <c r="A83" s="89">
        <f t="shared" si="1"/>
        <v>78</v>
      </c>
      <c r="B83" s="168" t="str">
        <f>MRS!B83&amp;" "&amp;MRS!D83</f>
        <v xml:space="preserve">Inspection Mirror Round 1.25" Extendable </v>
      </c>
      <c r="C83" s="169"/>
      <c r="D83" s="83" t="str">
        <f>MRS!G83</f>
        <v>Nos</v>
      </c>
      <c r="E83" s="84">
        <f>MRS!H83</f>
        <v>2</v>
      </c>
      <c r="F83" s="85">
        <f>MRS!I83</f>
        <v>10</v>
      </c>
      <c r="G83" s="85">
        <f>MRS!J83</f>
        <v>20</v>
      </c>
      <c r="H83" s="90"/>
    </row>
    <row r="84" spans="1:8" s="52" customFormat="1" ht="18.75" customHeight="1">
      <c r="A84" s="89">
        <f t="shared" si="1"/>
        <v>79</v>
      </c>
      <c r="B84" s="168" t="str">
        <f>MRS!B84&amp;" "&amp;MRS!D84</f>
        <v xml:space="preserve">Insulation Copper Pipe 1/4" x 15mtr </v>
      </c>
      <c r="C84" s="169"/>
      <c r="D84" s="83" t="str">
        <f>MRS!G84</f>
        <v>Nos</v>
      </c>
      <c r="E84" s="84">
        <f>MRS!H84</f>
        <v>25</v>
      </c>
      <c r="F84" s="85">
        <f>MRS!I84</f>
        <v>12</v>
      </c>
      <c r="G84" s="85">
        <f>MRS!J84</f>
        <v>300</v>
      </c>
      <c r="H84" s="90"/>
    </row>
    <row r="85" spans="1:8" s="52" customFormat="1" ht="18.75" customHeight="1">
      <c r="A85" s="89">
        <f t="shared" si="1"/>
        <v>80</v>
      </c>
      <c r="B85" s="168" t="str">
        <f>MRS!B85&amp;" "&amp;MRS!D85</f>
        <v xml:space="preserve">Insulation Copper Pipe 5/8" x 15mtr </v>
      </c>
      <c r="C85" s="169"/>
      <c r="D85" s="83" t="str">
        <f>MRS!G85</f>
        <v>Nos</v>
      </c>
      <c r="E85" s="84">
        <f>MRS!H85</f>
        <v>25</v>
      </c>
      <c r="F85" s="85">
        <f>MRS!I85</f>
        <v>18</v>
      </c>
      <c r="G85" s="85">
        <f>MRS!J85</f>
        <v>450</v>
      </c>
      <c r="H85" s="90"/>
    </row>
    <row r="86" spans="1:8" s="52" customFormat="1" ht="18.75" customHeight="1">
      <c r="A86" s="89">
        <f t="shared" si="1"/>
        <v>81</v>
      </c>
      <c r="B86" s="168" t="str">
        <f>MRS!B86&amp;" "&amp;MRS!D86</f>
        <v xml:space="preserve">Insulation Tape Black 2" </v>
      </c>
      <c r="C86" s="169"/>
      <c r="D86" s="83" t="str">
        <f>MRS!G86</f>
        <v>Nos</v>
      </c>
      <c r="E86" s="84">
        <f>MRS!H86</f>
        <v>16</v>
      </c>
      <c r="F86" s="85">
        <f>MRS!I86</f>
        <v>3.5</v>
      </c>
      <c r="G86" s="85">
        <f>MRS!J86</f>
        <v>56</v>
      </c>
      <c r="H86" s="90"/>
    </row>
    <row r="87" spans="1:8" s="52" customFormat="1" ht="18.75" customHeight="1">
      <c r="A87" s="89">
        <f t="shared" si="1"/>
        <v>82</v>
      </c>
      <c r="B87" s="168" t="str">
        <f>MRS!B87&amp;" "&amp;MRS!D87</f>
        <v xml:space="preserve">LED Ceiling Light 12" 30W </v>
      </c>
      <c r="C87" s="169"/>
      <c r="D87" s="83" t="str">
        <f>MRS!G87</f>
        <v>Nos</v>
      </c>
      <c r="E87" s="84">
        <f>MRS!H87</f>
        <v>20</v>
      </c>
      <c r="F87" s="85">
        <f>MRS!I87</f>
        <v>14</v>
      </c>
      <c r="G87" s="85">
        <f>MRS!J87</f>
        <v>280</v>
      </c>
      <c r="H87" s="90"/>
    </row>
    <row r="88" spans="1:8" s="52" customFormat="1" ht="18.75" customHeight="1">
      <c r="A88" s="89">
        <f t="shared" si="1"/>
        <v>83</v>
      </c>
      <c r="B88" s="168" t="str">
        <f>MRS!B88&amp;" "&amp;MRS!D88</f>
        <v xml:space="preserve">LED Torch Light Rechargeable G1000 Gerarlite </v>
      </c>
      <c r="C88" s="169"/>
      <c r="D88" s="83" t="str">
        <f>MRS!G88</f>
        <v>Nos</v>
      </c>
      <c r="E88" s="84">
        <f>MRS!H88</f>
        <v>2</v>
      </c>
      <c r="F88" s="85">
        <f>MRS!I88</f>
        <v>52</v>
      </c>
      <c r="G88" s="85">
        <f>MRS!J88</f>
        <v>104</v>
      </c>
      <c r="H88" s="90"/>
    </row>
    <row r="89" spans="1:8" s="52" customFormat="1" ht="18.75" customHeight="1">
      <c r="A89" s="89">
        <f t="shared" si="1"/>
        <v>84</v>
      </c>
      <c r="B89" s="168" t="str">
        <f>MRS!B89&amp;" "&amp;MRS!D89</f>
        <v xml:space="preserve">LED Torch Light Rechargeable GFL4658Z Geepas </v>
      </c>
      <c r="C89" s="169"/>
      <c r="D89" s="83" t="str">
        <f>MRS!G89</f>
        <v>Nos</v>
      </c>
      <c r="E89" s="84">
        <f>MRS!H89</f>
        <v>21</v>
      </c>
      <c r="F89" s="85">
        <f>MRS!I89</f>
        <v>48</v>
      </c>
      <c r="G89" s="85">
        <f>MRS!J89</f>
        <v>1008</v>
      </c>
      <c r="H89" s="90"/>
    </row>
    <row r="90" spans="1:8" s="52" customFormat="1" ht="18.75" customHeight="1">
      <c r="A90" s="89">
        <f t="shared" si="1"/>
        <v>85</v>
      </c>
      <c r="B90" s="168" t="str">
        <f>MRS!B90&amp;" "&amp;MRS!D90</f>
        <v xml:space="preserve">Loctite 577 50ml </v>
      </c>
      <c r="C90" s="169"/>
      <c r="D90" s="83" t="str">
        <f>MRS!G90</f>
        <v>Nos</v>
      </c>
      <c r="E90" s="84">
        <f>MRS!H90</f>
        <v>100</v>
      </c>
      <c r="F90" s="85">
        <f>MRS!I90</f>
        <v>98</v>
      </c>
      <c r="G90" s="85">
        <f>MRS!J90</f>
        <v>9800</v>
      </c>
      <c r="H90" s="90"/>
    </row>
    <row r="91" spans="1:8" s="52" customFormat="1" ht="18.75" customHeight="1">
      <c r="A91" s="89">
        <f t="shared" si="1"/>
        <v>86</v>
      </c>
      <c r="B91" s="168" t="str">
        <f>MRS!B91&amp;" "&amp;MRS!D91</f>
        <v xml:space="preserve">Low Chloride Paint Marker Blue Markal </v>
      </c>
      <c r="C91" s="169"/>
      <c r="D91" s="83" t="str">
        <f>MRS!G91</f>
        <v>Nos</v>
      </c>
      <c r="E91" s="84">
        <f>MRS!H91</f>
        <v>240</v>
      </c>
      <c r="F91" s="85">
        <f>MRS!I91</f>
        <v>14.5</v>
      </c>
      <c r="G91" s="85">
        <f>MRS!J91</f>
        <v>3480</v>
      </c>
      <c r="H91" s="90"/>
    </row>
    <row r="92" spans="1:8" s="52" customFormat="1" ht="18.75" customHeight="1">
      <c r="A92" s="89">
        <f t="shared" si="1"/>
        <v>87</v>
      </c>
      <c r="B92" s="168" t="str">
        <f>MRS!B92&amp;" "&amp;MRS!D92</f>
        <v xml:space="preserve">Low Chloride Paint Marker Red Markal </v>
      </c>
      <c r="C92" s="169"/>
      <c r="D92" s="83" t="str">
        <f>MRS!G92</f>
        <v>Nos</v>
      </c>
      <c r="E92" s="84">
        <f>MRS!H92</f>
        <v>46</v>
      </c>
      <c r="F92" s="85">
        <f>MRS!I92</f>
        <v>14.5</v>
      </c>
      <c r="G92" s="85">
        <f>MRS!J92</f>
        <v>667</v>
      </c>
      <c r="H92" s="90"/>
    </row>
    <row r="93" spans="1:8" s="52" customFormat="1" ht="18.75" customHeight="1">
      <c r="A93" s="89">
        <f t="shared" si="1"/>
        <v>88</v>
      </c>
      <c r="B93" s="168" t="str">
        <f>MRS!B93&amp;" "&amp;MRS!D93</f>
        <v xml:space="preserve">Magnetic Base Stand 7010S-10 Mitutoyo </v>
      </c>
      <c r="C93" s="169"/>
      <c r="D93" s="83" t="str">
        <f>MRS!G93</f>
        <v>Nos</v>
      </c>
      <c r="E93" s="84">
        <f>MRS!H93</f>
        <v>4</v>
      </c>
      <c r="F93" s="85">
        <f>MRS!I93</f>
        <v>420</v>
      </c>
      <c r="G93" s="85">
        <f>MRS!J93</f>
        <v>1680</v>
      </c>
      <c r="H93" s="90"/>
    </row>
    <row r="94" spans="1:8" s="52" customFormat="1" ht="18.75" customHeight="1">
      <c r="A94" s="89">
        <f t="shared" si="1"/>
        <v>89</v>
      </c>
      <c r="B94" s="168" t="str">
        <f>MRS!B94&amp;" "&amp;MRS!D94</f>
        <v xml:space="preserve">Magnetic Nut Socket 10mm </v>
      </c>
      <c r="C94" s="169"/>
      <c r="D94" s="83" t="str">
        <f>MRS!G94</f>
        <v>Nos</v>
      </c>
      <c r="E94" s="84">
        <f>MRS!H94</f>
        <v>4</v>
      </c>
      <c r="F94" s="85">
        <f>MRS!I94</f>
        <v>5.5</v>
      </c>
      <c r="G94" s="85">
        <f>MRS!J94</f>
        <v>22</v>
      </c>
      <c r="H94" s="90"/>
    </row>
    <row r="95" spans="1:8" s="52" customFormat="1" ht="18.75" customHeight="1">
      <c r="A95" s="89">
        <f t="shared" si="1"/>
        <v>90</v>
      </c>
      <c r="B95" s="168" t="str">
        <f>MRS!B95&amp;" "&amp;MRS!D95</f>
        <v xml:space="preserve">Magnetic Nut Socket 6mm </v>
      </c>
      <c r="C95" s="169"/>
      <c r="D95" s="83" t="str">
        <f>MRS!G95</f>
        <v>Nos</v>
      </c>
      <c r="E95" s="84">
        <f>MRS!H95</f>
        <v>3</v>
      </c>
      <c r="F95" s="85">
        <f>MRS!I95</f>
        <v>4</v>
      </c>
      <c r="G95" s="85">
        <f>MRS!J95</f>
        <v>12</v>
      </c>
      <c r="H95" s="90"/>
    </row>
    <row r="96" spans="1:8" s="52" customFormat="1" ht="18.75" customHeight="1">
      <c r="A96" s="89">
        <f t="shared" si="1"/>
        <v>91</v>
      </c>
      <c r="B96" s="168" t="str">
        <f>MRS!B96&amp;" "&amp;MRS!D96</f>
        <v xml:space="preserve">Magnetic Nut Socket 8mm </v>
      </c>
      <c r="C96" s="169"/>
      <c r="D96" s="83" t="str">
        <f>MRS!G96</f>
        <v>Nos</v>
      </c>
      <c r="E96" s="84">
        <f>MRS!H96</f>
        <v>4</v>
      </c>
      <c r="F96" s="85">
        <f>MRS!I96</f>
        <v>4.5</v>
      </c>
      <c r="G96" s="85">
        <f>MRS!J96</f>
        <v>18</v>
      </c>
      <c r="H96" s="90"/>
    </row>
    <row r="97" spans="1:8" s="52" customFormat="1" ht="18.75" customHeight="1">
      <c r="A97" s="89">
        <f t="shared" si="1"/>
        <v>92</v>
      </c>
      <c r="B97" s="168" t="str">
        <f>MRS!B97&amp;" "&amp;MRS!D97</f>
        <v xml:space="preserve">Magnetic Split Level 230mm </v>
      </c>
      <c r="C97" s="169"/>
      <c r="D97" s="83" t="str">
        <f>MRS!G97</f>
        <v>Nos</v>
      </c>
      <c r="E97" s="84">
        <f>MRS!H97</f>
        <v>26</v>
      </c>
      <c r="F97" s="85">
        <f>MRS!I97</f>
        <v>9.5</v>
      </c>
      <c r="G97" s="85">
        <f>MRS!J97</f>
        <v>247</v>
      </c>
      <c r="H97" s="90"/>
    </row>
    <row r="98" spans="1:8" s="52" customFormat="1" ht="18.75" customHeight="1">
      <c r="A98" s="89">
        <f t="shared" si="1"/>
        <v>93</v>
      </c>
      <c r="B98" s="168" t="str">
        <f>MRS!B98&amp;" "&amp;MRS!D98</f>
        <v xml:space="preserve">Magnetic Split Level 300mm </v>
      </c>
      <c r="C98" s="169"/>
      <c r="D98" s="83" t="str">
        <f>MRS!G98</f>
        <v>Nos</v>
      </c>
      <c r="E98" s="84">
        <f>MRS!H98</f>
        <v>30</v>
      </c>
      <c r="F98" s="85">
        <f>MRS!I98</f>
        <v>23</v>
      </c>
      <c r="G98" s="85">
        <f>MRS!J98</f>
        <v>690</v>
      </c>
      <c r="H98" s="90"/>
    </row>
    <row r="99" spans="1:8" s="52" customFormat="1" ht="18.75" customHeight="1">
      <c r="A99" s="89">
        <f t="shared" si="1"/>
        <v>94</v>
      </c>
      <c r="B99" s="168" t="str">
        <f>MRS!B99&amp;" "&amp;MRS!D99</f>
        <v xml:space="preserve">Magnifying Glass </v>
      </c>
      <c r="C99" s="169"/>
      <c r="D99" s="83" t="str">
        <f>MRS!G99</f>
        <v>Nos</v>
      </c>
      <c r="E99" s="84">
        <f>MRS!H99</f>
        <v>1</v>
      </c>
      <c r="F99" s="85">
        <f>MRS!I99</f>
        <v>56</v>
      </c>
      <c r="G99" s="85">
        <f>MRS!J99</f>
        <v>56</v>
      </c>
      <c r="H99" s="90"/>
    </row>
    <row r="100" spans="1:8" s="52" customFormat="1" ht="18.75" customHeight="1">
      <c r="A100" s="89">
        <f t="shared" si="1"/>
        <v>95</v>
      </c>
      <c r="B100" s="168" t="str">
        <f>MRS!B100&amp;" "&amp;MRS!D100</f>
        <v xml:space="preserve">Measuring Tape 5mtr </v>
      </c>
      <c r="C100" s="169"/>
      <c r="D100" s="83" t="str">
        <f>MRS!G100</f>
        <v>Nos</v>
      </c>
      <c r="E100" s="84">
        <f>MRS!H100</f>
        <v>25</v>
      </c>
      <c r="F100" s="85">
        <f>MRS!I100</f>
        <v>6</v>
      </c>
      <c r="G100" s="85">
        <f>MRS!J100</f>
        <v>150</v>
      </c>
      <c r="H100" s="90"/>
    </row>
    <row r="101" spans="1:8" s="52" customFormat="1" ht="18.75" customHeight="1">
      <c r="A101" s="89">
        <f t="shared" si="1"/>
        <v>96</v>
      </c>
      <c r="B101" s="168" t="str">
        <f>MRS!B101&amp;" "&amp;MRS!D101</f>
        <v xml:space="preserve">Metal Tool Box 53x20x20cm </v>
      </c>
      <c r="C101" s="169"/>
      <c r="D101" s="83" t="str">
        <f>MRS!G101</f>
        <v>Nos</v>
      </c>
      <c r="E101" s="84">
        <f>MRS!H101</f>
        <v>3</v>
      </c>
      <c r="F101" s="85">
        <f>MRS!I101</f>
        <v>70</v>
      </c>
      <c r="G101" s="85">
        <f>MRS!J101</f>
        <v>210</v>
      </c>
      <c r="H101" s="90"/>
    </row>
    <row r="102" spans="1:8" s="52" customFormat="1" ht="18.75" customHeight="1">
      <c r="A102" s="89">
        <f t="shared" si="1"/>
        <v>97</v>
      </c>
      <c r="B102" s="168" t="str">
        <f>MRS!B102&amp;" "&amp;MRS!D102</f>
        <v xml:space="preserve">Mounted Stone C/S A2 (25x35x6mm) </v>
      </c>
      <c r="C102" s="169"/>
      <c r="D102" s="83" t="str">
        <f>MRS!G102</f>
        <v>Nos</v>
      </c>
      <c r="E102" s="84">
        <f>MRS!H102</f>
        <v>250</v>
      </c>
      <c r="F102" s="85">
        <f>MRS!I102</f>
        <v>2.8</v>
      </c>
      <c r="G102" s="85">
        <f>MRS!J102</f>
        <v>700</v>
      </c>
      <c r="H102" s="90"/>
    </row>
    <row r="103" spans="1:8" s="52" customFormat="1" ht="18.75" customHeight="1">
      <c r="A103" s="89">
        <f t="shared" si="1"/>
        <v>98</v>
      </c>
      <c r="B103" s="168" t="str">
        <f>MRS!B103&amp;" "&amp;MRS!D103</f>
        <v xml:space="preserve">Mounted Stone S/S A2 (25x35x6mm) </v>
      </c>
      <c r="C103" s="169"/>
      <c r="D103" s="83" t="str">
        <f>MRS!G103</f>
        <v>Nos</v>
      </c>
      <c r="E103" s="84">
        <f>MRS!H103</f>
        <v>250</v>
      </c>
      <c r="F103" s="85">
        <f>MRS!I103</f>
        <v>4.7</v>
      </c>
      <c r="G103" s="85">
        <f>MRS!J103</f>
        <v>1175</v>
      </c>
      <c r="H103" s="90"/>
    </row>
    <row r="104" spans="1:8" s="52" customFormat="1" ht="18.75" customHeight="1">
      <c r="A104" s="89">
        <f t="shared" si="1"/>
        <v>99</v>
      </c>
      <c r="B104" s="168" t="str">
        <f>MRS!B104&amp;" "&amp;MRS!D104</f>
        <v xml:space="preserve">Ordinary Plywood 4'x8'x6mm Indonesia </v>
      </c>
      <c r="C104" s="169"/>
      <c r="D104" s="83" t="str">
        <f>MRS!G104</f>
        <v>Nos</v>
      </c>
      <c r="E104" s="84">
        <f>MRS!H104</f>
        <v>200</v>
      </c>
      <c r="F104" s="85">
        <f>MRS!I104</f>
        <v>56</v>
      </c>
      <c r="G104" s="85">
        <f>MRS!J104</f>
        <v>11200</v>
      </c>
      <c r="H104" s="90"/>
    </row>
    <row r="105" spans="1:8" s="52" customFormat="1" ht="18.75" customHeight="1">
      <c r="A105" s="89">
        <f t="shared" si="1"/>
        <v>100</v>
      </c>
      <c r="B105" s="168" t="str">
        <f>MRS!B105&amp;" "&amp;MRS!D105</f>
        <v xml:space="preserve">Paint Scraper 2" </v>
      </c>
      <c r="C105" s="169"/>
      <c r="D105" s="83" t="str">
        <f>MRS!G105</f>
        <v>Nos</v>
      </c>
      <c r="E105" s="84">
        <f>MRS!H105</f>
        <v>10</v>
      </c>
      <c r="F105" s="85">
        <f>MRS!I105</f>
        <v>5</v>
      </c>
      <c r="G105" s="85">
        <f>MRS!J105</f>
        <v>50</v>
      </c>
      <c r="H105" s="90"/>
    </row>
    <row r="106" spans="1:8" s="52" customFormat="1" ht="18.75" customHeight="1">
      <c r="A106" s="89">
        <f t="shared" si="1"/>
        <v>101</v>
      </c>
      <c r="B106" s="168" t="str">
        <f>MRS!B106&amp;" "&amp;MRS!D106</f>
        <v xml:space="preserve">Permanent Marker Pen Twin Tip Blue 1.0x0.5mm </v>
      </c>
      <c r="C106" s="169"/>
      <c r="D106" s="83" t="str">
        <f>MRS!G106</f>
        <v>Nos</v>
      </c>
      <c r="E106" s="84">
        <f>MRS!H106</f>
        <v>100</v>
      </c>
      <c r="F106" s="85">
        <f>MRS!I106</f>
        <v>1.84</v>
      </c>
      <c r="G106" s="85">
        <f>MRS!J106</f>
        <v>184</v>
      </c>
      <c r="H106" s="90"/>
    </row>
    <row r="107" spans="1:8" s="52" customFormat="1" ht="18.75" customHeight="1">
      <c r="A107" s="89">
        <f t="shared" si="1"/>
        <v>102</v>
      </c>
      <c r="B107" s="168" t="str">
        <f>MRS!B107&amp;" "&amp;MRS!D107</f>
        <v xml:space="preserve">Pipe Bench Vice 4" </v>
      </c>
      <c r="C107" s="169"/>
      <c r="D107" s="83" t="str">
        <f>MRS!G107</f>
        <v>Nos</v>
      </c>
      <c r="E107" s="84">
        <f>MRS!H107</f>
        <v>5</v>
      </c>
      <c r="F107" s="85">
        <f>MRS!I107</f>
        <v>470</v>
      </c>
      <c r="G107" s="85">
        <f>MRS!J107</f>
        <v>2350</v>
      </c>
      <c r="H107" s="90"/>
    </row>
    <row r="108" spans="1:8" s="52" customFormat="1" ht="18.75" customHeight="1">
      <c r="A108" s="89">
        <f t="shared" si="1"/>
        <v>103</v>
      </c>
      <c r="B108" s="168" t="str">
        <f>MRS!B108&amp;" "&amp;MRS!D108</f>
        <v xml:space="preserve">Plastic Sandbag Heavy Duty (Gunny Sack) 50kg </v>
      </c>
      <c r="C108" s="169"/>
      <c r="D108" s="83" t="str">
        <f>MRS!G108</f>
        <v>Nos</v>
      </c>
      <c r="E108" s="84">
        <f>MRS!H108</f>
        <v>1000</v>
      </c>
      <c r="F108" s="85">
        <f>MRS!I108</f>
        <v>2.8</v>
      </c>
      <c r="G108" s="85">
        <f>MRS!J108</f>
        <v>2800</v>
      </c>
      <c r="H108" s="90"/>
    </row>
    <row r="109" spans="1:8" s="52" customFormat="1" ht="26.25" customHeight="1">
      <c r="A109" s="89">
        <f t="shared" si="1"/>
        <v>104</v>
      </c>
      <c r="B109" s="168" t="str">
        <f>MRS!B109&amp;" "&amp;MRS!D109</f>
        <v xml:space="preserve">Pressure Gauge SS Body &amp; Connection 2.5" Dial 1/4" NPT 0-11bar with SS Bushing 1/4"F x 1/2"M NPT </v>
      </c>
      <c r="C109" s="169"/>
      <c r="D109" s="83" t="str">
        <f>MRS!G109</f>
        <v>Nos</v>
      </c>
      <c r="E109" s="84">
        <f>MRS!H109</f>
        <v>6</v>
      </c>
      <c r="F109" s="85">
        <f>MRS!I109</f>
        <v>145</v>
      </c>
      <c r="G109" s="85">
        <f>MRS!J109</f>
        <v>870</v>
      </c>
      <c r="H109" s="90"/>
    </row>
    <row r="110" spans="1:8" s="52" customFormat="1" ht="26.25" customHeight="1">
      <c r="A110" s="89">
        <f t="shared" si="1"/>
        <v>105</v>
      </c>
      <c r="B110" s="168" t="str">
        <f>MRS!B110&amp;" "&amp;MRS!D110</f>
        <v xml:space="preserve">Pressure Gauge SS Body &amp; Connection 2.5" Dial 1/4" NPT 0-200bar with SS Bushing 1/4"F x 1/2"M NPT </v>
      </c>
      <c r="C110" s="169"/>
      <c r="D110" s="83" t="str">
        <f>MRS!G110</f>
        <v>Nos</v>
      </c>
      <c r="E110" s="84">
        <f>MRS!H110</f>
        <v>10</v>
      </c>
      <c r="F110" s="85">
        <f>MRS!I110</f>
        <v>164</v>
      </c>
      <c r="G110" s="85">
        <f>MRS!J110</f>
        <v>1640</v>
      </c>
      <c r="H110" s="90"/>
    </row>
    <row r="111" spans="1:8" s="52" customFormat="1" ht="26.25" customHeight="1">
      <c r="A111" s="89">
        <f t="shared" si="1"/>
        <v>106</v>
      </c>
      <c r="B111" s="168" t="str">
        <f>MRS!B111&amp;" "&amp;MRS!D111</f>
        <v xml:space="preserve">Pressure Gauge SS Body &amp; Connection 2.5" Dial 1/4" NPT 0-20bar with SS Bushing 1/4"F x 1/2"M NPT </v>
      </c>
      <c r="C111" s="169"/>
      <c r="D111" s="83" t="str">
        <f>MRS!G111</f>
        <v>Nos</v>
      </c>
      <c r="E111" s="84">
        <f>MRS!H111</f>
        <v>4</v>
      </c>
      <c r="F111" s="85">
        <f>MRS!I111</f>
        <v>145</v>
      </c>
      <c r="G111" s="85">
        <f>MRS!J111</f>
        <v>580</v>
      </c>
      <c r="H111" s="90"/>
    </row>
    <row r="112" spans="1:8" s="52" customFormat="1" ht="26.25" customHeight="1">
      <c r="A112" s="89">
        <f t="shared" si="1"/>
        <v>107</v>
      </c>
      <c r="B112" s="168" t="str">
        <f>MRS!B112&amp;" "&amp;MRS!D112</f>
        <v xml:space="preserve">Pressure Gauge SS Body &amp; Connection 2.5" Dial 1/4" NPT 0-275bar with SS Bushing 1/4"F x 1/2"M NPT </v>
      </c>
      <c r="C112" s="169"/>
      <c r="D112" s="83" t="str">
        <f>MRS!G112</f>
        <v>Nos</v>
      </c>
      <c r="E112" s="84">
        <f>MRS!H112</f>
        <v>6</v>
      </c>
      <c r="F112" s="85">
        <f>MRS!I112</f>
        <v>190</v>
      </c>
      <c r="G112" s="85">
        <f>MRS!J112</f>
        <v>1140</v>
      </c>
      <c r="H112" s="90"/>
    </row>
    <row r="113" spans="1:8" s="52" customFormat="1" ht="26.25" customHeight="1">
      <c r="A113" s="89">
        <f t="shared" si="1"/>
        <v>108</v>
      </c>
      <c r="B113" s="168" t="str">
        <f>MRS!B113&amp;" "&amp;MRS!D113</f>
        <v xml:space="preserve">Pressure Gauge SS Body &amp; Connection 2.5" Dial 1/4" NPT 0-400bar </v>
      </c>
      <c r="C113" s="169"/>
      <c r="D113" s="83" t="str">
        <f>MRS!G113</f>
        <v>Nos</v>
      </c>
      <c r="E113" s="84">
        <f>MRS!H113</f>
        <v>3</v>
      </c>
      <c r="F113" s="85">
        <f>MRS!I113</f>
        <v>164</v>
      </c>
      <c r="G113" s="85">
        <f>MRS!J113</f>
        <v>492</v>
      </c>
      <c r="H113" s="90"/>
    </row>
    <row r="114" spans="1:8" s="52" customFormat="1" ht="26.25" customHeight="1">
      <c r="A114" s="89">
        <f t="shared" si="1"/>
        <v>109</v>
      </c>
      <c r="B114" s="168" t="str">
        <f>MRS!B114&amp;" "&amp;MRS!D114</f>
        <v xml:space="preserve">Pressure Gauge SS Body &amp; Connection 2.5" Dial 1/4" NPT 0-40bar with SS Bushing 1/4"F x 1/2"M NPT </v>
      </c>
      <c r="C114" s="169"/>
      <c r="D114" s="83" t="str">
        <f>MRS!G114</f>
        <v>Nos</v>
      </c>
      <c r="E114" s="84">
        <f>MRS!H114</f>
        <v>3</v>
      </c>
      <c r="F114" s="85">
        <f>MRS!I114</f>
        <v>145</v>
      </c>
      <c r="G114" s="85">
        <f>MRS!J114</f>
        <v>435</v>
      </c>
      <c r="H114" s="90"/>
    </row>
    <row r="115" spans="1:8" s="52" customFormat="1" ht="18.75" customHeight="1">
      <c r="A115" s="89">
        <f t="shared" si="1"/>
        <v>110</v>
      </c>
      <c r="B115" s="168" t="str">
        <f>MRS!B115&amp;" "&amp;MRS!D115</f>
        <v xml:space="preserve">PVC Bucket Heavy Duty 20Ltr White </v>
      </c>
      <c r="C115" s="169"/>
      <c r="D115" s="83" t="str">
        <f>MRS!G115</f>
        <v>Nos</v>
      </c>
      <c r="E115" s="84">
        <f>MRS!H115</f>
        <v>15</v>
      </c>
      <c r="F115" s="85">
        <f>MRS!I115</f>
        <v>38</v>
      </c>
      <c r="G115" s="85">
        <f>MRS!J115</f>
        <v>570</v>
      </c>
      <c r="H115" s="90"/>
    </row>
    <row r="116" spans="1:8" s="52" customFormat="1" ht="18.75" customHeight="1">
      <c r="A116" s="89">
        <f t="shared" si="1"/>
        <v>111</v>
      </c>
      <c r="B116" s="168" t="str">
        <f>MRS!B116&amp;" "&amp;MRS!D116</f>
        <v xml:space="preserve">PVC Coated Orange Fire Blanket 1x50mtr </v>
      </c>
      <c r="C116" s="169"/>
      <c r="D116" s="83" t="str">
        <f>MRS!G116</f>
        <v>Roll</v>
      </c>
      <c r="E116" s="84">
        <f>MRS!H116</f>
        <v>50</v>
      </c>
      <c r="F116" s="85">
        <f>MRS!I116</f>
        <v>450</v>
      </c>
      <c r="G116" s="85">
        <f>MRS!J116</f>
        <v>22500</v>
      </c>
      <c r="H116" s="90"/>
    </row>
    <row r="117" spans="1:8" s="52" customFormat="1" ht="18.75" customHeight="1">
      <c r="A117" s="89">
        <f t="shared" si="1"/>
        <v>112</v>
      </c>
      <c r="B117" s="168" t="str">
        <f>MRS!B117&amp;" "&amp;MRS!D117</f>
        <v xml:space="preserve">PVC Flooring Sheet 4x30mtr 2mmt </v>
      </c>
      <c r="C117" s="169"/>
      <c r="D117" s="83" t="str">
        <f>MRS!G117</f>
        <v>Roll</v>
      </c>
      <c r="E117" s="84">
        <f>MRS!H117</f>
        <v>3</v>
      </c>
      <c r="F117" s="85">
        <f>MRS!I117</f>
        <v>2985</v>
      </c>
      <c r="G117" s="85">
        <f>MRS!J117</f>
        <v>8955</v>
      </c>
      <c r="H117" s="90"/>
    </row>
    <row r="118" spans="1:8" s="52" customFormat="1" ht="18.75" customHeight="1">
      <c r="A118" s="89">
        <f t="shared" si="1"/>
        <v>113</v>
      </c>
      <c r="B118" s="168" t="str">
        <f>MRS!B118&amp;" "&amp;MRS!D118</f>
        <v xml:space="preserve">Pyrometer Infrared Thermometer </v>
      </c>
      <c r="C118" s="169"/>
      <c r="D118" s="83" t="str">
        <f>MRS!G118</f>
        <v>Nos</v>
      </c>
      <c r="E118" s="84">
        <f>MRS!H118</f>
        <v>4</v>
      </c>
      <c r="F118" s="85">
        <f>MRS!I118</f>
        <v>95</v>
      </c>
      <c r="G118" s="85">
        <f>MRS!J118</f>
        <v>380</v>
      </c>
      <c r="H118" s="90"/>
    </row>
    <row r="119" spans="1:8" s="52" customFormat="1" ht="18.75" customHeight="1">
      <c r="A119" s="89">
        <f t="shared" si="1"/>
        <v>114</v>
      </c>
      <c r="B119" s="168" t="str">
        <f>MRS!B119&amp;" "&amp;MRS!D119</f>
        <v xml:space="preserve">REC Tube 100x50x5mm, 6mtr </v>
      </c>
      <c r="C119" s="169"/>
      <c r="D119" s="83" t="str">
        <f>MRS!G119</f>
        <v>Nos</v>
      </c>
      <c r="E119" s="84">
        <f>MRS!H119</f>
        <v>25</v>
      </c>
      <c r="F119" s="85">
        <f>MRS!I119</f>
        <v>64</v>
      </c>
      <c r="G119" s="85">
        <f>MRS!J119</f>
        <v>1600</v>
      </c>
      <c r="H119" s="90"/>
    </row>
    <row r="120" spans="1:8" s="52" customFormat="1" ht="18.75" customHeight="1">
      <c r="A120" s="89">
        <f t="shared" si="1"/>
        <v>115</v>
      </c>
      <c r="B120" s="168" t="str">
        <f>MRS!B120&amp;" "&amp;MRS!D120</f>
        <v xml:space="preserve">REC Tube 50x25x2mm, 6mtr </v>
      </c>
      <c r="C120" s="169"/>
      <c r="D120" s="83" t="str">
        <f>MRS!G120</f>
        <v>Nos</v>
      </c>
      <c r="E120" s="84">
        <f>MRS!H120</f>
        <v>50</v>
      </c>
      <c r="F120" s="85">
        <f>MRS!I120</f>
        <v>64</v>
      </c>
      <c r="G120" s="85">
        <f>MRS!J120</f>
        <v>3200</v>
      </c>
      <c r="H120" s="90"/>
    </row>
    <row r="121" spans="1:8" s="52" customFormat="1" ht="18.75" customHeight="1">
      <c r="A121" s="89">
        <f t="shared" si="1"/>
        <v>116</v>
      </c>
      <c r="B121" s="168" t="str">
        <f>MRS!B121&amp;" "&amp;MRS!D121</f>
        <v xml:space="preserve">Ring Hammer Wrench 60mm </v>
      </c>
      <c r="C121" s="169"/>
      <c r="D121" s="83" t="str">
        <f>MRS!G121</f>
        <v>Nos</v>
      </c>
      <c r="E121" s="84">
        <f>MRS!H121</f>
        <v>2</v>
      </c>
      <c r="F121" s="85">
        <f>MRS!I121</f>
        <v>120</v>
      </c>
      <c r="G121" s="85">
        <f>MRS!J121</f>
        <v>240</v>
      </c>
      <c r="H121" s="90"/>
    </row>
    <row r="122" spans="1:8" s="52" customFormat="1" ht="18.75" customHeight="1">
      <c r="A122" s="89">
        <f t="shared" si="1"/>
        <v>117</v>
      </c>
      <c r="B122" s="168" t="str">
        <f>MRS!B122&amp;" "&amp;MRS!D122</f>
        <v xml:space="preserve">Screwdriver Bit Phillips Head (+/-) 6mm </v>
      </c>
      <c r="C122" s="169"/>
      <c r="D122" s="83" t="str">
        <f>MRS!G122</f>
        <v>Nos</v>
      </c>
      <c r="E122" s="84">
        <f>MRS!H122</f>
        <v>12</v>
      </c>
      <c r="F122" s="85">
        <f>MRS!I122</f>
        <v>2</v>
      </c>
      <c r="G122" s="85">
        <f>MRS!J122</f>
        <v>24</v>
      </c>
      <c r="H122" s="90"/>
    </row>
    <row r="123" spans="1:8" s="52" customFormat="1" ht="18.75" customHeight="1">
      <c r="A123" s="89">
        <f t="shared" si="1"/>
        <v>118</v>
      </c>
      <c r="B123" s="168" t="str">
        <f>MRS!B123&amp;" "&amp;MRS!D123</f>
        <v xml:space="preserve">Soluble Cutting Oil 5ltr Super Ego Spain </v>
      </c>
      <c r="C123" s="169"/>
      <c r="D123" s="83" t="str">
        <f>MRS!G123</f>
        <v>Nos</v>
      </c>
      <c r="E123" s="84">
        <f>MRS!H123</f>
        <v>3</v>
      </c>
      <c r="F123" s="85">
        <f>MRS!I123</f>
        <v>216</v>
      </c>
      <c r="G123" s="85">
        <f>MRS!J123</f>
        <v>648</v>
      </c>
      <c r="H123" s="90"/>
    </row>
    <row r="124" spans="1:8" s="52" customFormat="1" ht="18.75" customHeight="1">
      <c r="A124" s="89">
        <f t="shared" si="1"/>
        <v>119</v>
      </c>
      <c r="B124" s="168" t="str">
        <f>MRS!B124&amp;" "&amp;MRS!D124</f>
        <v xml:space="preserve">Split A/C 1.5Ton Heat &amp; Cooling Inverter Zamil </v>
      </c>
      <c r="C124" s="169"/>
      <c r="D124" s="83" t="str">
        <f>MRS!G124</f>
        <v>Nos</v>
      </c>
      <c r="E124" s="84">
        <f>MRS!H124</f>
        <v>2</v>
      </c>
      <c r="F124" s="85">
        <f>MRS!I124</f>
        <v>2240</v>
      </c>
      <c r="G124" s="85">
        <f>MRS!J124</f>
        <v>4480</v>
      </c>
      <c r="H124" s="90"/>
    </row>
    <row r="125" spans="1:8" s="52" customFormat="1" ht="18.75" customHeight="1">
      <c r="A125" s="89">
        <f t="shared" si="1"/>
        <v>120</v>
      </c>
      <c r="B125" s="168" t="str">
        <f>MRS!B125&amp;" "&amp;MRS!D125</f>
        <v xml:space="preserve">Split Level 300mm </v>
      </c>
      <c r="C125" s="169"/>
      <c r="D125" s="83" t="str">
        <f>MRS!G125</f>
        <v>Nos</v>
      </c>
      <c r="E125" s="84">
        <f>MRS!H125</f>
        <v>30</v>
      </c>
      <c r="F125" s="85">
        <f>MRS!I125</f>
        <v>18</v>
      </c>
      <c r="G125" s="85">
        <f>MRS!J125</f>
        <v>540</v>
      </c>
      <c r="H125" s="90"/>
    </row>
    <row r="126" spans="1:8" s="52" customFormat="1" ht="18.75" customHeight="1">
      <c r="A126" s="89">
        <f t="shared" si="1"/>
        <v>121</v>
      </c>
      <c r="B126" s="168" t="str">
        <f>MRS!B126&amp;" "&amp;MRS!D126</f>
        <v xml:space="preserve">Taper Gauge 15mm </v>
      </c>
      <c r="C126" s="169"/>
      <c r="D126" s="83" t="str">
        <f>MRS!G126</f>
        <v>Nos</v>
      </c>
      <c r="E126" s="84">
        <f>MRS!H126</f>
        <v>5</v>
      </c>
      <c r="F126" s="85">
        <f>MRS!I126</f>
        <v>25</v>
      </c>
      <c r="G126" s="85">
        <f>MRS!J126</f>
        <v>125</v>
      </c>
      <c r="H126" s="90"/>
    </row>
    <row r="127" spans="1:8" s="52" customFormat="1" ht="18.75" customHeight="1">
      <c r="A127" s="89">
        <f t="shared" si="1"/>
        <v>122</v>
      </c>
      <c r="B127" s="168" t="str">
        <f>MRS!B127&amp;" "&amp;MRS!D127</f>
        <v xml:space="preserve">Teflon Tape 19mm x 40yard </v>
      </c>
      <c r="C127" s="169"/>
      <c r="D127" s="83" t="str">
        <f>MRS!G127</f>
        <v>Nos</v>
      </c>
      <c r="E127" s="84">
        <f>MRS!H127</f>
        <v>1000</v>
      </c>
      <c r="F127" s="85">
        <f>MRS!I127</f>
        <v>1.8</v>
      </c>
      <c r="G127" s="85">
        <f>MRS!J127</f>
        <v>1800</v>
      </c>
      <c r="H127" s="90"/>
    </row>
    <row r="128" spans="1:8" s="52" customFormat="1" ht="18.75" customHeight="1">
      <c r="A128" s="89">
        <f t="shared" si="1"/>
        <v>123</v>
      </c>
      <c r="B128" s="168" t="str">
        <f>MRS!B128&amp;" "&amp;MRS!D128</f>
        <v xml:space="preserve">Thread Dies 1"-2" NPT 89102 Asada </v>
      </c>
      <c r="C128" s="169"/>
      <c r="D128" s="83" t="str">
        <f>MRS!G128</f>
        <v>Set</v>
      </c>
      <c r="E128" s="84">
        <f>MRS!H128</f>
        <v>4</v>
      </c>
      <c r="F128" s="85">
        <f>MRS!I128</f>
        <v>715</v>
      </c>
      <c r="G128" s="85">
        <f>MRS!J128</f>
        <v>2860</v>
      </c>
      <c r="H128" s="90"/>
    </row>
    <row r="129" spans="1:8" s="52" customFormat="1" ht="18.75" customHeight="1">
      <c r="A129" s="89">
        <f t="shared" si="1"/>
        <v>124</v>
      </c>
      <c r="B129" s="168" t="str">
        <f>MRS!B129&amp;" "&amp;MRS!D129</f>
        <v xml:space="preserve">Thread Dies 1/2"-3/4" NPT 89101 Asada </v>
      </c>
      <c r="C129" s="169"/>
      <c r="D129" s="83" t="str">
        <f>MRS!G129</f>
        <v>Set</v>
      </c>
      <c r="E129" s="84">
        <f>MRS!H129</f>
        <v>4</v>
      </c>
      <c r="F129" s="85">
        <f>MRS!I129</f>
        <v>673</v>
      </c>
      <c r="G129" s="85">
        <f>MRS!J129</f>
        <v>2692</v>
      </c>
      <c r="H129" s="90"/>
    </row>
    <row r="130" spans="1:8" s="52" customFormat="1" ht="18.75" customHeight="1">
      <c r="A130" s="89">
        <f t="shared" si="1"/>
        <v>125</v>
      </c>
      <c r="B130" s="168" t="str">
        <f>MRS!B130&amp;" "&amp;MRS!D130</f>
        <v xml:space="preserve">Tig Collet Body 250A 2.4mm </v>
      </c>
      <c r="C130" s="169"/>
      <c r="D130" s="83" t="str">
        <f>MRS!G130</f>
        <v>Nos</v>
      </c>
      <c r="E130" s="84">
        <f>MRS!H130</f>
        <v>300</v>
      </c>
      <c r="F130" s="85">
        <f>MRS!I130</f>
        <v>13</v>
      </c>
      <c r="G130" s="85">
        <f>MRS!J130</f>
        <v>3900</v>
      </c>
      <c r="H130" s="90"/>
    </row>
    <row r="131" spans="1:8" s="52" customFormat="1" ht="18.75" customHeight="1">
      <c r="A131" s="89">
        <f t="shared" si="1"/>
        <v>126</v>
      </c>
      <c r="B131" s="168" t="str">
        <f>MRS!B131&amp;" "&amp;MRS!D131</f>
        <v xml:space="preserve">Tig Collet Body 350A 2.4mm </v>
      </c>
      <c r="C131" s="169"/>
      <c r="D131" s="83" t="str">
        <f>MRS!G131</f>
        <v>Nos</v>
      </c>
      <c r="E131" s="84">
        <f>MRS!H131</f>
        <v>250</v>
      </c>
      <c r="F131" s="85">
        <f>MRS!I131</f>
        <v>13</v>
      </c>
      <c r="G131" s="85">
        <f>MRS!J131</f>
        <v>3250</v>
      </c>
      <c r="H131" s="90"/>
    </row>
    <row r="132" spans="1:8" s="52" customFormat="1" ht="18.75" customHeight="1">
      <c r="A132" s="89">
        <f t="shared" si="1"/>
        <v>127</v>
      </c>
      <c r="B132" s="168" t="str">
        <f>MRS!B132&amp;" "&amp;MRS!D132</f>
        <v xml:space="preserve">Tig Collet Pin 250A 2.4mm </v>
      </c>
      <c r="C132" s="169"/>
      <c r="D132" s="83" t="str">
        <f>MRS!G132</f>
        <v>Nos</v>
      </c>
      <c r="E132" s="84">
        <f>MRS!H132</f>
        <v>350</v>
      </c>
      <c r="F132" s="85">
        <f>MRS!I132</f>
        <v>5.9</v>
      </c>
      <c r="G132" s="85">
        <f>MRS!J132</f>
        <v>2065</v>
      </c>
      <c r="H132" s="90"/>
    </row>
    <row r="133" spans="1:8" s="52" customFormat="1" ht="18.75" customHeight="1">
      <c r="A133" s="89">
        <f t="shared" si="1"/>
        <v>128</v>
      </c>
      <c r="B133" s="168" t="str">
        <f>MRS!B133&amp;" "&amp;MRS!D133</f>
        <v xml:space="preserve">Tig Torch Back Cap Long (57Y02) </v>
      </c>
      <c r="C133" s="169"/>
      <c r="D133" s="83" t="str">
        <f>MRS!G133</f>
        <v>Nos</v>
      </c>
      <c r="E133" s="84">
        <f>MRS!H133</f>
        <v>150</v>
      </c>
      <c r="F133" s="85">
        <f>MRS!I133</f>
        <v>4.2</v>
      </c>
      <c r="G133" s="85">
        <f>MRS!J133</f>
        <v>630</v>
      </c>
      <c r="H133" s="90"/>
    </row>
    <row r="134" spans="1:8" s="52" customFormat="1" ht="18.75" customHeight="1">
      <c r="A134" s="89">
        <f t="shared" ref="A134:A148" si="2">ROW(A129)</f>
        <v>129</v>
      </c>
      <c r="B134" s="168" t="str">
        <f>MRS!B134&amp;" "&amp;MRS!D134</f>
        <v xml:space="preserve">Tig Torch Back Cap Short (57Y04) </v>
      </c>
      <c r="C134" s="169"/>
      <c r="D134" s="83" t="str">
        <f>MRS!G134</f>
        <v>Nos</v>
      </c>
      <c r="E134" s="84">
        <f>MRS!H134</f>
        <v>150</v>
      </c>
      <c r="F134" s="85">
        <f>MRS!I134</f>
        <v>3.5</v>
      </c>
      <c r="G134" s="85">
        <f>MRS!J134</f>
        <v>525</v>
      </c>
      <c r="H134" s="90"/>
    </row>
    <row r="135" spans="1:8" s="52" customFormat="1" ht="18.75" customHeight="1">
      <c r="A135" s="89">
        <f t="shared" si="2"/>
        <v>130</v>
      </c>
      <c r="B135" s="168" t="str">
        <f>MRS!B135&amp;" "&amp;MRS!D135</f>
        <v xml:space="preserve">Tig Torch Head with Handle </v>
      </c>
      <c r="C135" s="169"/>
      <c r="D135" s="83" t="str">
        <f>MRS!G135</f>
        <v>Nos</v>
      </c>
      <c r="E135" s="84">
        <f>MRS!H135</f>
        <v>50</v>
      </c>
      <c r="F135" s="85">
        <f>MRS!I135</f>
        <v>55</v>
      </c>
      <c r="G135" s="85">
        <f>MRS!J135</f>
        <v>2750</v>
      </c>
      <c r="H135" s="90"/>
    </row>
    <row r="136" spans="1:8" s="52" customFormat="1" ht="18.75" customHeight="1">
      <c r="A136" s="89">
        <f t="shared" si="2"/>
        <v>131</v>
      </c>
      <c r="B136" s="168" t="str">
        <f>MRS!B136&amp;" "&amp;MRS!D136</f>
        <v xml:space="preserve">Tig Torch Set Fixed Type 10mtr </v>
      </c>
      <c r="C136" s="169"/>
      <c r="D136" s="83" t="str">
        <f>MRS!G136</f>
        <v>Set</v>
      </c>
      <c r="E136" s="84">
        <f>MRS!H136</f>
        <v>25</v>
      </c>
      <c r="F136" s="85">
        <f>MRS!I136</f>
        <v>600</v>
      </c>
      <c r="G136" s="85">
        <f>MRS!J136</f>
        <v>15000</v>
      </c>
      <c r="H136" s="90"/>
    </row>
    <row r="137" spans="1:8" s="52" customFormat="1" ht="18.75" customHeight="1">
      <c r="A137" s="89">
        <f t="shared" si="2"/>
        <v>132</v>
      </c>
      <c r="B137" s="168" t="str">
        <f>MRS!B137&amp;" "&amp;MRS!D137</f>
        <v xml:space="preserve">Tig Torch Set Fixed Type 5mtr </v>
      </c>
      <c r="C137" s="169"/>
      <c r="D137" s="83" t="str">
        <f>MRS!G137</f>
        <v>Set</v>
      </c>
      <c r="E137" s="84">
        <f>MRS!H137</f>
        <v>35</v>
      </c>
      <c r="F137" s="85">
        <f>MRS!I137</f>
        <v>415</v>
      </c>
      <c r="G137" s="85">
        <f>MRS!J137</f>
        <v>14525</v>
      </c>
      <c r="H137" s="90"/>
    </row>
    <row r="138" spans="1:8" s="52" customFormat="1" ht="18.75" customHeight="1">
      <c r="A138" s="89">
        <f t="shared" si="2"/>
        <v>133</v>
      </c>
      <c r="B138" s="168" t="str">
        <f>MRS!B138&amp;" "&amp;MRS!D138</f>
        <v xml:space="preserve">Tungsten Electrode 2.4mm </v>
      </c>
      <c r="C138" s="169"/>
      <c r="D138" s="83" t="str">
        <f>MRS!G138</f>
        <v>Nos</v>
      </c>
      <c r="E138" s="84">
        <f>MRS!H138</f>
        <v>1000</v>
      </c>
      <c r="F138" s="85">
        <f>MRS!I138</f>
        <v>21</v>
      </c>
      <c r="G138" s="85">
        <f>MRS!J138</f>
        <v>21000</v>
      </c>
      <c r="H138" s="90"/>
    </row>
    <row r="139" spans="1:8" s="52" customFormat="1" ht="18.75" customHeight="1">
      <c r="A139" s="89">
        <f t="shared" si="2"/>
        <v>134</v>
      </c>
      <c r="B139" s="168" t="str">
        <f>MRS!B139&amp;" "&amp;MRS!D139</f>
        <v xml:space="preserve">Tungsten Electrode 3.2mm </v>
      </c>
      <c r="C139" s="169"/>
      <c r="D139" s="83" t="str">
        <f>MRS!G139</f>
        <v>Nos</v>
      </c>
      <c r="E139" s="84">
        <f>MRS!H139</f>
        <v>500</v>
      </c>
      <c r="F139" s="85">
        <f>MRS!I139</f>
        <v>25</v>
      </c>
      <c r="G139" s="85">
        <f>MRS!J139</f>
        <v>12500</v>
      </c>
      <c r="H139" s="90"/>
    </row>
    <row r="140" spans="1:8" s="52" customFormat="1" ht="18.75" customHeight="1">
      <c r="A140" s="89">
        <f t="shared" si="2"/>
        <v>135</v>
      </c>
      <c r="B140" s="168" t="str">
        <f>MRS!B140&amp;" "&amp;MRS!D140</f>
        <v xml:space="preserve">Utility Knife Blade 18mm (10ea/pkt) </v>
      </c>
      <c r="C140" s="169"/>
      <c r="D140" s="83" t="str">
        <f>MRS!G140</f>
        <v>Pkt</v>
      </c>
      <c r="E140" s="84">
        <f>MRS!H140</f>
        <v>10</v>
      </c>
      <c r="F140" s="85">
        <f>MRS!I140</f>
        <v>8</v>
      </c>
      <c r="G140" s="85">
        <f>MRS!J140</f>
        <v>80</v>
      </c>
      <c r="H140" s="90"/>
    </row>
    <row r="141" spans="1:8" s="52" customFormat="1" ht="18.75" customHeight="1">
      <c r="A141" s="89">
        <f t="shared" si="2"/>
        <v>136</v>
      </c>
      <c r="B141" s="168" t="str">
        <f>MRS!B141&amp;" "&amp;MRS!D141</f>
        <v xml:space="preserve">VD-40 Spray </v>
      </c>
      <c r="C141" s="169"/>
      <c r="D141" s="83" t="str">
        <f>MRS!G141</f>
        <v>Nos</v>
      </c>
      <c r="E141" s="84">
        <f>MRS!H141</f>
        <v>400</v>
      </c>
      <c r="F141" s="85">
        <f>MRS!I141</f>
        <v>5</v>
      </c>
      <c r="G141" s="85">
        <f>MRS!J141</f>
        <v>2000</v>
      </c>
      <c r="H141" s="90"/>
    </row>
    <row r="142" spans="1:8" s="52" customFormat="1" ht="18.75" customHeight="1">
      <c r="A142" s="89">
        <f t="shared" si="2"/>
        <v>137</v>
      </c>
      <c r="B142" s="168" t="str">
        <f>MRS!B142&amp;" "&amp;MRS!D142</f>
        <v xml:space="preserve">WD-40 330ml </v>
      </c>
      <c r="C142" s="169"/>
      <c r="D142" s="83" t="str">
        <f>MRS!G142</f>
        <v>Nos</v>
      </c>
      <c r="E142" s="84">
        <f>MRS!H142</f>
        <v>150</v>
      </c>
      <c r="F142" s="85">
        <f>MRS!I142</f>
        <v>18</v>
      </c>
      <c r="G142" s="85">
        <f>MRS!J142</f>
        <v>2700</v>
      </c>
      <c r="H142" s="90"/>
    </row>
    <row r="143" spans="1:8" s="52" customFormat="1" ht="26.25" customHeight="1">
      <c r="A143" s="89">
        <f t="shared" si="2"/>
        <v>138</v>
      </c>
      <c r="B143" s="168" t="str">
        <f>MRS!B143&amp;" "&amp;MRS!D143</f>
        <v xml:space="preserve">Welding Cable Connector 50-70mm2 Male &amp; Female </v>
      </c>
      <c r="C143" s="169"/>
      <c r="D143" s="83" t="str">
        <f>MRS!G143</f>
        <v>Set</v>
      </c>
      <c r="E143" s="84">
        <f>MRS!H143</f>
        <v>550</v>
      </c>
      <c r="F143" s="85">
        <f>MRS!I143</f>
        <v>24.5</v>
      </c>
      <c r="G143" s="85">
        <f>MRS!J143</f>
        <v>13475</v>
      </c>
      <c r="H143" s="90"/>
    </row>
    <row r="144" spans="1:8" s="52" customFormat="1" ht="18.75" customHeight="1">
      <c r="A144" s="89">
        <f t="shared" si="2"/>
        <v>139</v>
      </c>
      <c r="B144" s="168" t="str">
        <f>MRS!B144&amp;" "&amp;MRS!D144</f>
        <v xml:space="preserve">Welding Glass Dark #10 </v>
      </c>
      <c r="C144" s="169"/>
      <c r="D144" s="83" t="str">
        <f>MRS!G144</f>
        <v>Nos</v>
      </c>
      <c r="E144" s="84">
        <f>MRS!H144</f>
        <v>100</v>
      </c>
      <c r="F144" s="85">
        <f>MRS!I144</f>
        <v>0.95</v>
      </c>
      <c r="G144" s="85">
        <f>MRS!J144</f>
        <v>95</v>
      </c>
      <c r="H144" s="90"/>
    </row>
    <row r="145" spans="1:13" s="52" customFormat="1" ht="18.75" customHeight="1">
      <c r="A145" s="89">
        <f t="shared" si="2"/>
        <v>140</v>
      </c>
      <c r="B145" s="168" t="str">
        <f>MRS!B145&amp;" "&amp;MRS!D145</f>
        <v xml:space="preserve">Welding Glass Dark #11 </v>
      </c>
      <c r="C145" s="169"/>
      <c r="D145" s="83" t="str">
        <f>MRS!G145</f>
        <v>Nos</v>
      </c>
      <c r="E145" s="84">
        <f>MRS!H145</f>
        <v>100</v>
      </c>
      <c r="F145" s="85">
        <f>MRS!I145</f>
        <v>0.95</v>
      </c>
      <c r="G145" s="85">
        <f>MRS!J145</f>
        <v>95</v>
      </c>
      <c r="H145" s="90"/>
    </row>
    <row r="146" spans="1:13" s="52" customFormat="1" ht="18.75" customHeight="1">
      <c r="A146" s="89">
        <f t="shared" si="2"/>
        <v>141</v>
      </c>
      <c r="B146" s="168" t="str">
        <f>MRS!B146&amp;" "&amp;MRS!D146</f>
        <v xml:space="preserve">Window A/C 2Ton Super General </v>
      </c>
      <c r="C146" s="169"/>
      <c r="D146" s="83" t="str">
        <f>MRS!G146</f>
        <v>Nos</v>
      </c>
      <c r="E146" s="84">
        <f>MRS!H146</f>
        <v>5</v>
      </c>
      <c r="F146" s="85">
        <f>MRS!I146</f>
        <v>1753</v>
      </c>
      <c r="G146" s="85">
        <f>MRS!J146</f>
        <v>8765</v>
      </c>
      <c r="H146" s="90"/>
    </row>
    <row r="147" spans="1:13" s="52" customFormat="1" ht="18.75" customHeight="1">
      <c r="A147" s="89">
        <f t="shared" si="2"/>
        <v>142</v>
      </c>
      <c r="B147" s="168" t="str">
        <f>MRS!B147&amp;" "&amp;MRS!D147</f>
        <v xml:space="preserve">Wrapping Film Roll 50cm 50mtr 3Kg </v>
      </c>
      <c r="C147" s="169"/>
      <c r="D147" s="83" t="str">
        <f>MRS!G147</f>
        <v>Roll</v>
      </c>
      <c r="E147" s="84">
        <f>MRS!H147</f>
        <v>30</v>
      </c>
      <c r="F147" s="85">
        <f>MRS!I147</f>
        <v>23</v>
      </c>
      <c r="G147" s="85">
        <f>MRS!J147</f>
        <v>690</v>
      </c>
      <c r="H147" s="90"/>
    </row>
    <row r="148" spans="1:13" s="52" customFormat="1" ht="18.75" customHeight="1">
      <c r="A148" s="89">
        <f t="shared" si="2"/>
        <v>143</v>
      </c>
      <c r="B148" s="168" t="str">
        <f>MRS!B148&amp;" "&amp;MRS!D148</f>
        <v xml:space="preserve">Zinc Spray Paint </v>
      </c>
      <c r="C148" s="169"/>
      <c r="D148" s="83" t="str">
        <f>MRS!G148</f>
        <v>Nos</v>
      </c>
      <c r="E148" s="84">
        <f>MRS!H148</f>
        <v>60</v>
      </c>
      <c r="F148" s="85">
        <f>MRS!I148</f>
        <v>35</v>
      </c>
      <c r="G148" s="85">
        <f>MRS!J148</f>
        <v>2100</v>
      </c>
      <c r="H148" s="90"/>
    </row>
    <row r="149" spans="1:13" s="52" customFormat="1" ht="23.1" customHeight="1">
      <c r="A149" s="184" t="s">
        <v>83</v>
      </c>
      <c r="B149" s="185"/>
      <c r="C149" s="185"/>
      <c r="D149" s="185"/>
      <c r="E149" s="185"/>
      <c r="F149" s="185"/>
      <c r="G149" s="55">
        <f>SUM(G6:G148)</f>
        <v>441475</v>
      </c>
      <c r="H149" s="56"/>
    </row>
    <row r="150" spans="1:13" s="52" customFormat="1" ht="23.1" customHeight="1">
      <c r="A150" s="184" t="s">
        <v>47</v>
      </c>
      <c r="B150" s="185"/>
      <c r="C150" s="185"/>
      <c r="D150" s="185"/>
      <c r="E150" s="185"/>
      <c r="F150" s="185"/>
      <c r="G150" s="55">
        <f>+G149*0.15</f>
        <v>66221.25</v>
      </c>
      <c r="H150" s="56"/>
    </row>
    <row r="151" spans="1:13" s="52" customFormat="1" ht="24.95" customHeight="1" thickBot="1">
      <c r="A151" s="186" t="s">
        <v>84</v>
      </c>
      <c r="B151" s="187"/>
      <c r="C151" s="187"/>
      <c r="D151" s="187"/>
      <c r="E151" s="187"/>
      <c r="F151" s="187"/>
      <c r="G151" s="57">
        <f>G150+G149</f>
        <v>507696.25</v>
      </c>
      <c r="H151" s="58"/>
    </row>
    <row r="152" spans="1:13" ht="15.75" thickTop="1">
      <c r="A152" s="59" t="str">
        <f>" 1) Above Price are as per your quotation with ref "&amp;'PO 1st page'!K14</f>
        <v xml:space="preserve"> 1) Above Price are as per your quotation with ref Q-20263207</v>
      </c>
      <c r="B152" s="60"/>
      <c r="C152" s="60"/>
      <c r="D152" s="61"/>
      <c r="E152" s="61"/>
      <c r="F152" s="61"/>
      <c r="G152" s="61"/>
      <c r="H152" s="61"/>
    </row>
    <row r="153" spans="1:13" ht="15">
      <c r="A153" s="62" t="s">
        <v>85</v>
      </c>
      <c r="B153" s="63"/>
      <c r="C153" s="63"/>
      <c r="D153" s="64"/>
      <c r="E153" s="64"/>
      <c r="F153" s="64"/>
      <c r="G153" s="64"/>
      <c r="H153" s="64"/>
      <c r="I153" s="65"/>
    </row>
    <row r="154" spans="1:13" ht="15.75">
      <c r="A154" s="66"/>
    </row>
    <row r="155" spans="1:13">
      <c r="A155" s="159" t="s">
        <v>86</v>
      </c>
      <c r="B155" s="159"/>
      <c r="C155" s="159"/>
      <c r="D155" s="159"/>
      <c r="E155" s="159"/>
      <c r="F155" s="159"/>
      <c r="G155" s="159"/>
      <c r="H155" s="159"/>
      <c r="I155" s="67"/>
      <c r="J155" s="67"/>
      <c r="K155" s="67"/>
      <c r="L155" s="67"/>
      <c r="M155" s="67"/>
    </row>
    <row r="156" spans="1:13" ht="15.75">
      <c r="A156" s="66"/>
      <c r="C156" s="68"/>
    </row>
    <row r="157" spans="1:13" ht="15.75">
      <c r="A157" s="66"/>
      <c r="C157" s="68"/>
    </row>
    <row r="159" spans="1:13" ht="12" customHeight="1"/>
  </sheetData>
  <mergeCells count="155"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A149:F149"/>
    <mergeCell ref="A150:F150"/>
    <mergeCell ref="A151:F151"/>
    <mergeCell ref="A155:H155"/>
    <mergeCell ref="B12:C12"/>
    <mergeCell ref="B14:C14"/>
    <mergeCell ref="B15:C15"/>
    <mergeCell ref="B20:C20"/>
    <mergeCell ref="B148:C148"/>
    <mergeCell ref="B16:C16"/>
    <mergeCell ref="B17:C17"/>
    <mergeCell ref="B19:C19"/>
    <mergeCell ref="B18:C18"/>
    <mergeCell ref="B13:C13"/>
    <mergeCell ref="B21:C21"/>
    <mergeCell ref="B22:C22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0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2026-05-15T03:06:49Z</cp:lastPrinted>
  <dcterms:created xsi:type="dcterms:W3CDTF">2024-10-20T11:50:19Z</dcterms:created>
  <dcterms:modified xsi:type="dcterms:W3CDTF">2026-05-15T03:06:53Z</dcterms:modified>
</cp:coreProperties>
</file>