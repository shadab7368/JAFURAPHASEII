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5697A4B6-2458-4932-AA2C-EB632ACB9037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MRS!$A$1:$L$47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page'!$A$1:$H$45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4" l="1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J39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E3" i="1"/>
  <c r="J15" i="1" l="1"/>
  <c r="J14" i="1"/>
  <c r="G14" i="4" s="1"/>
  <c r="J13" i="1"/>
  <c r="J12" i="1"/>
  <c r="G12" i="4" s="1"/>
  <c r="J11" i="1"/>
  <c r="J11" i="2" s="1"/>
  <c r="J10" i="1"/>
  <c r="J9" i="1"/>
  <c r="J8" i="1"/>
  <c r="J7" i="1"/>
  <c r="J6" i="1"/>
  <c r="J6" i="2" s="1"/>
  <c r="A18" i="2"/>
  <c r="A15" i="1"/>
  <c r="A15" i="2" s="1"/>
  <c r="A14" i="1"/>
  <c r="A13" i="1"/>
  <c r="A13" i="2" s="1"/>
  <c r="A12" i="1"/>
  <c r="A11" i="1"/>
  <c r="A11" i="2" s="1"/>
  <c r="A10" i="1"/>
  <c r="A10" i="2" s="1"/>
  <c r="A9" i="1"/>
  <c r="A9" i="2" s="1"/>
  <c r="A8" i="1"/>
  <c r="F11" i="4"/>
  <c r="E11" i="4"/>
  <c r="D11" i="4"/>
  <c r="B11" i="4"/>
  <c r="F10" i="4"/>
  <c r="E10" i="4"/>
  <c r="D10" i="4"/>
  <c r="B10" i="4"/>
  <c r="F9" i="4"/>
  <c r="E9" i="4"/>
  <c r="D9" i="4"/>
  <c r="B9" i="4"/>
  <c r="F8" i="4"/>
  <c r="E8" i="4"/>
  <c r="D8" i="4"/>
  <c r="B8" i="4"/>
  <c r="F7" i="4"/>
  <c r="E7" i="4"/>
  <c r="D7" i="4"/>
  <c r="B7" i="4"/>
  <c r="I18" i="2"/>
  <c r="H18" i="2"/>
  <c r="G18" i="2"/>
  <c r="D18" i="2"/>
  <c r="B18" i="2"/>
  <c r="I17" i="2"/>
  <c r="H17" i="2"/>
  <c r="G17" i="2"/>
  <c r="D17" i="2"/>
  <c r="B17" i="2"/>
  <c r="A17" i="2"/>
  <c r="I16" i="2"/>
  <c r="H16" i="2"/>
  <c r="G16" i="2"/>
  <c r="D16" i="2"/>
  <c r="B16" i="2"/>
  <c r="A16" i="2"/>
  <c r="I15" i="2"/>
  <c r="H15" i="2"/>
  <c r="G15" i="2"/>
  <c r="D15" i="2"/>
  <c r="B15" i="2"/>
  <c r="I14" i="2"/>
  <c r="H14" i="2"/>
  <c r="G14" i="2"/>
  <c r="D14" i="2"/>
  <c r="B14" i="2"/>
  <c r="A14" i="2"/>
  <c r="I13" i="2"/>
  <c r="H13" i="2"/>
  <c r="G13" i="2"/>
  <c r="D13" i="2"/>
  <c r="B13" i="2"/>
  <c r="I12" i="2"/>
  <c r="H12" i="2"/>
  <c r="G12" i="2"/>
  <c r="D12" i="2"/>
  <c r="B12" i="2"/>
  <c r="A12" i="2"/>
  <c r="E12" i="4"/>
  <c r="F12" i="4"/>
  <c r="E13" i="4"/>
  <c r="F13" i="4"/>
  <c r="E14" i="4"/>
  <c r="F14" i="4"/>
  <c r="E15" i="4"/>
  <c r="F15" i="4"/>
  <c r="D12" i="4"/>
  <c r="D13" i="4"/>
  <c r="D14" i="4"/>
  <c r="D15" i="4"/>
  <c r="B12" i="4"/>
  <c r="B13" i="4"/>
  <c r="B14" i="4"/>
  <c r="B6" i="4"/>
  <c r="F6" i="4"/>
  <c r="A11" i="4"/>
  <c r="A12" i="4"/>
  <c r="A13" i="4"/>
  <c r="A14" i="4"/>
  <c r="A15" i="4"/>
  <c r="J18" i="2"/>
  <c r="G15" i="4"/>
  <c r="G13" i="4"/>
  <c r="P54" i="3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1" i="2"/>
  <c r="D10" i="2"/>
  <c r="D9" i="2"/>
  <c r="D8" i="2"/>
  <c r="D7" i="2"/>
  <c r="B11" i="2"/>
  <c r="B10" i="2"/>
  <c r="B9" i="2"/>
  <c r="B8" i="2"/>
  <c r="B7" i="2"/>
  <c r="B6" i="2"/>
  <c r="E6" i="4"/>
  <c r="D6" i="4"/>
  <c r="J10" i="2"/>
  <c r="J9" i="2"/>
  <c r="J8" i="2"/>
  <c r="J7" i="2"/>
  <c r="J17" i="2" l="1"/>
  <c r="J13" i="2"/>
  <c r="J15" i="2"/>
  <c r="G9" i="4"/>
  <c r="G7" i="4"/>
  <c r="J12" i="2"/>
  <c r="J14" i="2"/>
  <c r="G10" i="4"/>
  <c r="J16" i="2"/>
  <c r="G8" i="4"/>
  <c r="G11" i="4"/>
  <c r="G6" i="4"/>
  <c r="K67" i="3"/>
  <c r="K10" i="3" l="1"/>
  <c r="A42" i="4" l="1"/>
  <c r="I6" i="2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F29" i="3" l="1"/>
  <c r="G40" i="4" l="1"/>
  <c r="F30" i="3" s="1"/>
  <c r="G41" i="4" l="1"/>
  <c r="F31" i="3" s="1"/>
</calcChain>
</file>

<file path=xl/sharedStrings.xml><?xml version="1.0" encoding="utf-8"?>
<sst xmlns="http://schemas.openxmlformats.org/spreadsheetml/2006/main" count="256" uniqueCount="167">
  <si>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</si>
  <si>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</si>
  <si>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</si>
  <si>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</si>
  <si>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</si>
  <si>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</si>
  <si>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</si>
  <si>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</si>
  <si>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</si>
  <si>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</si>
  <si>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</si>
  <si>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</si>
  <si>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</si>
  <si>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</si>
  <si>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</si>
  <si>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</si>
  <si>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</si>
  <si>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</si>
  <si>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</si>
  <si>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</si>
  <si>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</si>
  <si>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</si>
  <si>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</si>
  <si>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</si>
  <si>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</si>
  <si>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</si>
  <si>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</si>
  <si>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</si>
  <si>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</si>
  <si>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</si>
  <si>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</si>
  <si>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</si>
  <si>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</si>
  <si>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</si>
  <si>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</si>
  <si>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</si>
  <si>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</si>
  <si>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</si>
  <si>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</si>
  <si>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</si>
  <si>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</si>
  <si>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</si>
  <si>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</si>
  <si>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</si>
  <si>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</si>
  <si>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</si>
  <si>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</si>
  <si>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</si>
  <si>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</si>
  <si>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</si>
  <si>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</si>
  <si>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</si>
  <si>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</si>
  <si>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</si>
  <si>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</si>
  <si>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</si>
  <si>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</si>
  <si>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</si>
  <si>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</si>
  <si>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</si>
  <si>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</si>
  <si>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</si>
  <si>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</si>
  <si>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</si>
  <si>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</si>
  <si>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</si>
  <si>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</si>
  <si>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</si>
  <si>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</si>
  <si>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</si>
  <si>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</si>
  <si>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</si>
  <si>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</si>
  <si>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</si>
  <si>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</si>
  <si>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</si>
  <si>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</si>
  <si>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</si>
  <si>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</si>
  <si>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</si>
  <si>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</si>
  <si>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</si>
  <si>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</si>
  <si>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</si>
  <si>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</si>
  <si>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</si>
  <si>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</si>
  <si>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</si>
  <si>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</si>
  <si>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</si>
  <si>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</si>
  <si>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</si>
  <si>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</si>
  <si>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</si>
  <si>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</si>
  <si>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</si>
  <si>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</si>
  <si>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</si>
  <si>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</si>
  <si>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</si>
  <si>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</si>
  <si>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Site Materials</t>
  </si>
  <si>
    <t>AMT(Alam Alamani Trading Company)</t>
  </si>
  <si>
    <t>2051229875</t>
  </si>
  <si>
    <t>311236644400003</t>
  </si>
  <si>
    <t>Building No. 3345,Ath Thuqbah Dist. Al Khobar 34623, KSA</t>
  </si>
  <si>
    <t>ALAM ALAMANI TRADING COMPANY</t>
  </si>
  <si>
    <t>353387194001</t>
  </si>
  <si>
    <t>SA76 4500 0000 3533 8719 4001</t>
  </si>
  <si>
    <t>SAUDI BRITISH BANK</t>
  </si>
  <si>
    <t>SABBSARI</t>
  </si>
  <si>
    <t>AMT</t>
  </si>
  <si>
    <t>+966 56 482 5879 / Email: sales@alamaniya.com</t>
  </si>
  <si>
    <t>Mobile:</t>
  </si>
  <si>
    <t>+966 56 482 5879</t>
  </si>
  <si>
    <t xml:space="preserve"> In Charge :</t>
  </si>
  <si>
    <t>Rafeeq Kotyadi</t>
  </si>
  <si>
    <t>Marketing Manager</t>
  </si>
  <si>
    <t>EA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</si>
  <si>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</si>
  <si>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</si>
  <si>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</si>
  <si>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</si>
  <si>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</si>
  <si>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</si>
  <si>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</si>
  <si>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</si>
  <si>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</si>
  <si>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</si>
  <si>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</si>
  <si>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</si>
  <si>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</si>
  <si>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</si>
  <si>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-MRS-0463</t>
    </r>
  </si>
  <si>
    <t xml:space="preserve">BOW SHACKLE </t>
  </si>
  <si>
    <t>CHAIN BLOCK</t>
  </si>
  <si>
    <t>DIE LEVER BLOCK</t>
  </si>
  <si>
    <t xml:space="preserve">WEB SLING BELT </t>
  </si>
  <si>
    <t>SAFETY HARNESS BELT WITH LANYARD (Double)</t>
  </si>
  <si>
    <t>1 1/2"X17TON</t>
  </si>
  <si>
    <t>1 1/4"X12TON</t>
  </si>
  <si>
    <t>1 3/4"X25TON</t>
  </si>
  <si>
    <t>1"X8.5TON</t>
  </si>
  <si>
    <t>1/2"X2TON</t>
  </si>
  <si>
    <t>2"X35TON</t>
  </si>
  <si>
    <t>3/4"X4.75TON</t>
  </si>
  <si>
    <t>7/8"X6.5TON</t>
  </si>
  <si>
    <t>1.5TONX3MTR</t>
  </si>
  <si>
    <t>2TONX3MTR</t>
  </si>
  <si>
    <t>3TONX3MTR</t>
  </si>
  <si>
    <t>1.5TON</t>
  </si>
  <si>
    <t>2TON</t>
  </si>
  <si>
    <t>1"X1MTR</t>
  </si>
  <si>
    <t>1"X2MTR</t>
  </si>
  <si>
    <t>2"X2MTR</t>
  </si>
  <si>
    <t>2"X3MTR</t>
  </si>
  <si>
    <t>2"X6MTR</t>
  </si>
  <si>
    <t>2"X8MTR</t>
  </si>
  <si>
    <t>3"X6MTR</t>
  </si>
  <si>
    <t>3"X8MTR</t>
  </si>
  <si>
    <t>4"X10MTR</t>
  </si>
  <si>
    <t>4"X4MTR</t>
  </si>
  <si>
    <t>4"X6MTR</t>
  </si>
  <si>
    <t>4"X8MTR</t>
  </si>
  <si>
    <t>6"X10MTR</t>
  </si>
  <si>
    <t>ANSI Z 3591</t>
  </si>
  <si>
    <t>QT26-1931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</si>
</sst>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8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3" fontId="38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9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9" xfId="6" applyFont="1" applyFill="1" applyBorder="1" applyAlignment="1">
      <alignment horizontal="center" vertical="center" wrapText="1"/>
    </xf>
    <xf numFmtId="43" fontId="12" fillId="0" borderId="19" xfId="6" quotePrefix="1" applyNumberFormat="1" applyFont="1" applyBorder="1" applyAlignment="1">
      <alignment vertical="center" wrapText="1"/>
    </xf>
    <xf numFmtId="0" fontId="7" fillId="0" borderId="33" xfId="6" applyFont="1" applyBorder="1"/>
    <xf numFmtId="170" fontId="9" fillId="0" borderId="40" xfId="6" applyNumberFormat="1" applyFont="1" applyBorder="1" applyAlignment="1">
      <alignment horizontal="center" vertical="center" wrapText="1"/>
    </xf>
    <xf numFmtId="0" fontId="7" fillId="0" borderId="41" xfId="6" applyFont="1" applyBorder="1"/>
    <xf numFmtId="0" fontId="9" fillId="0" borderId="0" xfId="6" applyFont="1" applyAlignment="1">
      <alignment vertical="center"/>
    </xf>
    <xf numFmtId="0" fontId="25" fillId="0" borderId="42" xfId="6" applyFont="1" applyBorder="1" applyAlignment="1">
      <alignment vertical="center"/>
    </xf>
    <xf numFmtId="0" fontId="25" fillId="0" borderId="42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4" xfId="6" quotePrefix="1" applyFont="1" applyBorder="1" applyAlignment="1">
      <alignment horizontal="center" vertical="center"/>
    </xf>
    <xf numFmtId="0" fontId="5" fillId="2" borderId="37" xfId="7" applyFont="1" applyFill="1" applyBorder="1" applyAlignment="1">
      <alignment horizontal="center" vertical="center" wrapText="1"/>
    </xf>
    <xf numFmtId="0" fontId="5" fillId="2" borderId="37" xfId="8" applyFont="1" applyFill="1" applyBorder="1" applyAlignment="1">
      <alignment horizontal="center" vertical="center"/>
    </xf>
    <xf numFmtId="43" fontId="5" fillId="0" borderId="37" xfId="9" quotePrefix="1" applyFont="1" applyFill="1" applyBorder="1" applyAlignment="1">
      <alignment vertical="center"/>
    </xf>
    <xf numFmtId="43" fontId="5" fillId="0" borderId="37" xfId="6" applyNumberFormat="1" applyFont="1" applyBorder="1" applyAlignment="1">
      <alignment vertical="center"/>
    </xf>
    <xf numFmtId="0" fontId="2" fillId="0" borderId="38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2" xfId="6" quotePrefix="1" applyFont="1" applyBorder="1" applyAlignment="1">
      <alignment horizontal="center" vertical="center"/>
    </xf>
    <xf numFmtId="0" fontId="2" fillId="0" borderId="33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9" xfId="0" applyFont="1" applyBorder="1" applyAlignment="1">
      <alignment horizontal="center" vertical="center"/>
    </xf>
    <xf numFmtId="172" fontId="41" fillId="0" borderId="19" xfId="10" applyNumberFormat="1" applyFont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172" fontId="5" fillId="2" borderId="0" xfId="1" applyNumberFormat="1" applyFont="1" applyFill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3" xfId="5" applyFont="1" applyFill="1" applyBorder="1"/>
    <xf numFmtId="0" fontId="17" fillId="3" borderId="43" xfId="5" applyFont="1" applyFill="1" applyBorder="1"/>
    <xf numFmtId="0" fontId="5" fillId="2" borderId="18" xfId="1" applyFont="1" applyFill="1" applyBorder="1" applyAlignment="1">
      <alignment horizontal="center" vertical="center"/>
    </xf>
    <xf numFmtId="0" fontId="2" fillId="2" borderId="8" xfId="4" applyNumberFormat="1" applyFont="1" applyFill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8" xfId="0" quotePrefix="1" applyFont="1" applyBorder="1" applyAlignment="1">
      <alignment horizontal="center" vertical="center" wrapText="1"/>
    </xf>
    <xf numFmtId="0" fontId="5" fillId="2" borderId="0" xfId="1" applyFont="1" applyFill="1" applyAlignment="1">
      <alignment vertical="center" wrapText="1"/>
    </xf>
    <xf numFmtId="0" fontId="5" fillId="2" borderId="1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vertical="center"/>
    </xf>
    <xf numFmtId="0" fontId="5" fillId="2" borderId="16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4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7" fillId="2" borderId="47" xfId="1" quotePrefix="1" applyFont="1" applyFill="1" applyBorder="1" applyAlignment="1">
      <alignment vertical="center"/>
    </xf>
    <xf numFmtId="0" fontId="2" fillId="2" borderId="7" xfId="1" applyFill="1" applyBorder="1" applyAlignment="1">
      <alignment vertical="center"/>
    </xf>
    <xf numFmtId="0" fontId="2" fillId="2" borderId="7" xfId="1" applyFill="1" applyBorder="1" applyAlignment="1">
      <alignment vertical="center" wrapText="1"/>
    </xf>
    <xf numFmtId="0" fontId="2" fillId="2" borderId="14" xfId="1" applyFill="1" applyBorder="1" applyAlignment="1">
      <alignment horizontal="center" vertical="center"/>
    </xf>
    <xf numFmtId="167" fontId="2" fillId="0" borderId="13" xfId="0" applyNumberFormat="1" applyFont="1" applyBorder="1" applyAlignment="1">
      <alignment horizontal="right" vertical="center" wrapText="1"/>
    </xf>
    <xf numFmtId="0" fontId="2" fillId="2" borderId="14" xfId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 applyAlignment="1">
      <alignment horizontal="center" vertical="center"/>
    </xf>
    <xf numFmtId="43" fontId="2" fillId="0" borderId="8" xfId="27" applyFont="1" applyBorder="1" applyAlignment="1">
      <alignment horizontal="lef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167" fontId="2" fillId="0" borderId="8" xfId="0" applyNumberFormat="1" applyFont="1" applyBorder="1" applyAlignment="1">
      <alignment horizontal="left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vertical="center"/>
    </xf>
    <xf numFmtId="0" fontId="5" fillId="2" borderId="14" xfId="1" applyFont="1" applyFill="1" applyBorder="1" applyAlignment="1">
      <alignment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3" xfId="1" applyFill="1" applyBorder="1" applyAlignment="1">
      <alignment horizontal="center" vertical="center" wrapText="1"/>
    </xf>
    <xf numFmtId="0" fontId="2" fillId="2" borderId="46" xfId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45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/>
    </xf>
    <xf numFmtId="0" fontId="7" fillId="2" borderId="18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41" fillId="0" borderId="20" xfId="0" applyFont="1" applyBorder="1" applyAlignment="1">
      <alignment horizontal="left" vertical="center" wrapText="1"/>
    </xf>
    <xf numFmtId="0" fontId="41" fillId="0" borderId="21" xfId="0" applyFont="1" applyBorder="1" applyAlignment="1">
      <alignment horizontal="left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22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14" fillId="2" borderId="19" xfId="1" applyFont="1" applyFill="1" applyBorder="1" applyAlignment="1">
      <alignment horizontal="center" vertical="center" wrapText="1"/>
    </xf>
    <xf numFmtId="0" fontId="14" fillId="2" borderId="19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3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12" fillId="0" borderId="32" xfId="6" quotePrefix="1" applyFont="1" applyBorder="1" applyAlignment="1">
      <alignment horizontal="right" vertical="center"/>
    </xf>
    <xf numFmtId="0" fontId="12" fillId="0" borderId="19" xfId="6" quotePrefix="1" applyFont="1" applyBorder="1" applyAlignment="1">
      <alignment horizontal="right" vertical="center"/>
    </xf>
    <xf numFmtId="0" fontId="9" fillId="0" borderId="39" xfId="6" quotePrefix="1" applyFont="1" applyBorder="1" applyAlignment="1">
      <alignment horizontal="right" vertical="center"/>
    </xf>
    <xf numFmtId="0" fontId="9" fillId="0" borderId="40" xfId="6" quotePrefix="1" applyFont="1" applyBorder="1" applyAlignment="1">
      <alignment horizontal="right" vertical="center"/>
    </xf>
    <xf numFmtId="0" fontId="2" fillId="3" borderId="35" xfId="5" applyFont="1" applyFill="1" applyBorder="1" applyAlignment="1">
      <alignment horizontal="left" vertical="center" wrapText="1"/>
    </xf>
    <xf numFmtId="0" fontId="2" fillId="3" borderId="36" xfId="5" applyFont="1" applyFill="1" applyBorder="1" applyAlignment="1">
      <alignment horizontal="left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29" fillId="0" borderId="0" xfId="6" applyFont="1" applyAlignment="1">
      <alignment horizontal="center" vertical="center"/>
    </xf>
    <xf numFmtId="0" fontId="32" fillId="0" borderId="24" xfId="6" applyFont="1" applyBorder="1" applyAlignment="1">
      <alignment horizontal="right" vertical="center"/>
    </xf>
    <xf numFmtId="0" fontId="7" fillId="4" borderId="31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16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center" vertical="center" wrapText="1"/>
    </xf>
  </cellXfs>
  <cellStyles count="28">
    <cellStyle name="Comma" xfId="27" builtinId="3"/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1816768</xdr:colOff>
          <xdr:row>40</xdr:row>
          <xdr:rowOff>99761</xdr:rowOff>
        </xdr:from>
        <xdr:to>
          <xdr:col>11</xdr:col>
          <xdr:colOff>1586664</xdr:colOff>
          <xdr:row>46</xdr:row>
          <xdr:rowOff>337885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3558B7CB-00D6-AEA3-D5F2-1845BCAA5C5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43:$Y$48" spid="_x0000_s13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120189" y="5894972"/>
              <a:ext cx="8452686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75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15.7109375" style="2" customWidth="1"/>
    <col min="3" max="3" width="34.28515625" style="2" customWidth="1"/>
    <col min="4" max="4" width="11.28515625" style="2" customWidth="1"/>
    <col min="5" max="5" width="9.5703125" style="2" customWidth="1"/>
    <col min="6" max="6" width="13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8" t="s">
        <v>131</v>
      </c>
      <c r="B1" s="119"/>
      <c r="C1" s="94"/>
      <c r="D1" s="94"/>
      <c r="E1" s="94"/>
      <c r="F1" s="94"/>
      <c r="G1" s="1"/>
      <c r="J1" s="162" t="s">
        <v>80</v>
      </c>
      <c r="K1" s="163"/>
      <c r="L1" s="164"/>
    </row>
    <row r="2" spans="1:18" ht="20.100000000000001" customHeight="1">
      <c r="A2" s="3" t="s">
        <v>1</v>
      </c>
      <c r="B2" s="88"/>
      <c r="C2" s="88"/>
      <c r="D2" s="3" t="s">
        <v>132</v>
      </c>
      <c r="E2" s="88"/>
      <c r="F2" s="88"/>
      <c r="G2" s="88"/>
      <c r="H2" s="88"/>
      <c r="I2" s="4"/>
      <c r="J2" s="165" t="s">
        <v>87</v>
      </c>
      <c r="K2" s="166"/>
      <c r="L2" s="167"/>
    </row>
    <row r="3" spans="1:18" ht="20.100000000000001" customHeight="1">
      <c r="A3" s="3" t="s">
        <v>133</v>
      </c>
      <c r="B3" s="88"/>
      <c r="C3" s="88"/>
      <c r="D3" s="88"/>
      <c r="E3" s="168">
        <f>+L3+3</f>
        <v>46283</v>
      </c>
      <c r="F3" s="168"/>
      <c r="G3" s="168"/>
      <c r="H3" s="168"/>
      <c r="I3" s="168"/>
      <c r="J3" s="88"/>
      <c r="K3" s="88"/>
      <c r="L3" s="120">
        <v>46280</v>
      </c>
      <c r="M3" s="4"/>
    </row>
    <row r="4" spans="1:18" ht="15.95" customHeight="1">
      <c r="A4" s="150" t="s">
        <v>2</v>
      </c>
      <c r="B4" s="152" t="s">
        <v>3</v>
      </c>
      <c r="C4" s="152"/>
      <c r="D4" s="154" t="s">
        <v>4</v>
      </c>
      <c r="E4" s="155"/>
      <c r="F4" s="156"/>
      <c r="G4" s="153" t="s">
        <v>5</v>
      </c>
      <c r="H4" s="151" t="s">
        <v>6</v>
      </c>
      <c r="I4" s="151" t="s">
        <v>84</v>
      </c>
      <c r="J4" s="150" t="s">
        <v>85</v>
      </c>
      <c r="K4" s="151" t="s">
        <v>0</v>
      </c>
      <c r="L4" s="152" t="s">
        <v>7</v>
      </c>
    </row>
    <row r="5" spans="1:18" ht="15.95" customHeight="1">
      <c r="A5" s="151"/>
      <c r="B5" s="153"/>
      <c r="C5" s="153"/>
      <c r="D5" s="157"/>
      <c r="E5" s="158"/>
      <c r="F5" s="159"/>
      <c r="G5" s="160"/>
      <c r="H5" s="161"/>
      <c r="I5" s="161"/>
      <c r="J5" s="151"/>
      <c r="K5" s="161"/>
      <c r="L5" s="153"/>
    </row>
    <row r="6" spans="1:18" s="107" customFormat="1" ht="29.25" customHeight="1">
      <c r="A6" s="105">
        <f t="shared" ref="A6:A38" si="0">ROW(A1)</f>
        <v>1</v>
      </c>
      <c r="B6" s="207" t="s">
        <v>134</v>
      </c>
      <c r="C6" s="208"/>
      <c r="D6" s="205" t="s">
        <v>139</v>
      </c>
      <c r="E6" s="209"/>
      <c r="F6" s="206"/>
      <c r="G6" s="127" t="s">
        <v>118</v>
      </c>
      <c r="H6" s="127">
        <v>4</v>
      </c>
      <c r="I6" s="128">
        <v>110</v>
      </c>
      <c r="J6" s="129">
        <f>+H6*I6</f>
        <v>440</v>
      </c>
      <c r="K6" s="130" t="s">
        <v>111</v>
      </c>
      <c r="L6" s="109" t="s">
        <v>89</v>
      </c>
      <c r="R6" s="108"/>
    </row>
    <row r="7" spans="1:18" s="107" customFormat="1" ht="29.25" customHeight="1">
      <c r="A7" s="105">
        <f t="shared" si="0"/>
        <v>2</v>
      </c>
      <c r="B7" s="207" t="s">
        <v>134</v>
      </c>
      <c r="C7" s="208"/>
      <c r="D7" s="205" t="s">
        <v>140</v>
      </c>
      <c r="E7" s="209"/>
      <c r="F7" s="206"/>
      <c r="G7" s="127" t="s">
        <v>118</v>
      </c>
      <c r="H7" s="127">
        <v>4</v>
      </c>
      <c r="I7" s="128">
        <v>70</v>
      </c>
      <c r="J7" s="129">
        <f t="shared" ref="J7:J38" si="1">+H7*I7</f>
        <v>280</v>
      </c>
      <c r="K7" s="131"/>
      <c r="L7" s="106"/>
      <c r="R7" s="108"/>
    </row>
    <row r="8" spans="1:18" s="107" customFormat="1" ht="29.25" customHeight="1">
      <c r="A8" s="105">
        <f t="shared" si="0"/>
        <v>3</v>
      </c>
      <c r="B8" s="207" t="s">
        <v>134</v>
      </c>
      <c r="C8" s="208"/>
      <c r="D8" s="205" t="s">
        <v>141</v>
      </c>
      <c r="E8" s="209"/>
      <c r="F8" s="206"/>
      <c r="G8" s="127" t="s">
        <v>118</v>
      </c>
      <c r="H8" s="127">
        <v>4</v>
      </c>
      <c r="I8" s="128">
        <v>210</v>
      </c>
      <c r="J8" s="129">
        <f t="shared" si="1"/>
        <v>840</v>
      </c>
      <c r="K8" s="131"/>
      <c r="L8" s="106"/>
      <c r="R8" s="108"/>
    </row>
    <row r="9" spans="1:18" s="107" customFormat="1" ht="29.25" customHeight="1">
      <c r="A9" s="105">
        <f t="shared" si="0"/>
        <v>4</v>
      </c>
      <c r="B9" s="207" t="s">
        <v>134</v>
      </c>
      <c r="C9" s="208"/>
      <c r="D9" s="205" t="s">
        <v>142</v>
      </c>
      <c r="E9" s="209"/>
      <c r="F9" s="206"/>
      <c r="G9" s="127" t="s">
        <v>118</v>
      </c>
      <c r="H9" s="127">
        <v>4</v>
      </c>
      <c r="I9" s="128">
        <v>34</v>
      </c>
      <c r="J9" s="129">
        <f t="shared" si="1"/>
        <v>136</v>
      </c>
      <c r="K9" s="131"/>
      <c r="L9" s="106"/>
      <c r="R9" s="108"/>
    </row>
    <row r="10" spans="1:18" s="107" customFormat="1" ht="29.25" customHeight="1">
      <c r="A10" s="105">
        <f t="shared" si="0"/>
        <v>5</v>
      </c>
      <c r="B10" s="207" t="s">
        <v>134</v>
      </c>
      <c r="C10" s="208"/>
      <c r="D10" s="205" t="s">
        <v>142</v>
      </c>
      <c r="E10" s="209"/>
      <c r="F10" s="206"/>
      <c r="G10" s="127" t="s">
        <v>118</v>
      </c>
      <c r="H10" s="127">
        <v>100</v>
      </c>
      <c r="I10" s="128">
        <v>34</v>
      </c>
      <c r="J10" s="129">
        <f t="shared" si="1"/>
        <v>3400</v>
      </c>
      <c r="K10" s="131"/>
      <c r="L10" s="106"/>
      <c r="R10" s="108"/>
    </row>
    <row r="11" spans="1:18" s="107" customFormat="1" ht="29.25" customHeight="1">
      <c r="A11" s="105">
        <f t="shared" si="0"/>
        <v>6</v>
      </c>
      <c r="B11" s="207" t="s">
        <v>134</v>
      </c>
      <c r="C11" s="208"/>
      <c r="D11" s="205" t="s">
        <v>143</v>
      </c>
      <c r="E11" s="209"/>
      <c r="F11" s="206"/>
      <c r="G11" s="127" t="s">
        <v>118</v>
      </c>
      <c r="H11" s="127">
        <v>24</v>
      </c>
      <c r="I11" s="128">
        <v>10</v>
      </c>
      <c r="J11" s="129">
        <f t="shared" si="1"/>
        <v>240</v>
      </c>
      <c r="K11" s="131"/>
      <c r="L11" s="106"/>
      <c r="R11" s="108"/>
    </row>
    <row r="12" spans="1:18" s="107" customFormat="1" ht="29.25" customHeight="1">
      <c r="A12" s="105">
        <f t="shared" si="0"/>
        <v>7</v>
      </c>
      <c r="B12" s="207" t="s">
        <v>134</v>
      </c>
      <c r="C12" s="208"/>
      <c r="D12" s="205" t="s">
        <v>144</v>
      </c>
      <c r="E12" s="209"/>
      <c r="F12" s="206"/>
      <c r="G12" s="127" t="s">
        <v>118</v>
      </c>
      <c r="H12" s="127">
        <v>2</v>
      </c>
      <c r="I12" s="128">
        <v>320</v>
      </c>
      <c r="J12" s="129">
        <f t="shared" si="1"/>
        <v>640</v>
      </c>
      <c r="K12" s="131"/>
      <c r="L12" s="106"/>
      <c r="R12" s="108"/>
    </row>
    <row r="13" spans="1:18" s="107" customFormat="1" ht="29.25" customHeight="1">
      <c r="A13" s="105">
        <f t="shared" si="0"/>
        <v>8</v>
      </c>
      <c r="B13" s="207" t="s">
        <v>134</v>
      </c>
      <c r="C13" s="208"/>
      <c r="D13" s="205" t="s">
        <v>145</v>
      </c>
      <c r="E13" s="209"/>
      <c r="F13" s="206"/>
      <c r="G13" s="127" t="s">
        <v>118</v>
      </c>
      <c r="H13" s="127">
        <v>24</v>
      </c>
      <c r="I13" s="128">
        <v>20</v>
      </c>
      <c r="J13" s="129">
        <f t="shared" si="1"/>
        <v>480</v>
      </c>
      <c r="K13" s="131"/>
      <c r="L13" s="106"/>
      <c r="R13" s="108"/>
    </row>
    <row r="14" spans="1:18" s="107" customFormat="1" ht="29.25" customHeight="1">
      <c r="A14" s="105">
        <f t="shared" si="0"/>
        <v>9</v>
      </c>
      <c r="B14" s="207" t="s">
        <v>134</v>
      </c>
      <c r="C14" s="208"/>
      <c r="D14" s="205" t="s">
        <v>145</v>
      </c>
      <c r="E14" s="209"/>
      <c r="F14" s="206"/>
      <c r="G14" s="127" t="s">
        <v>118</v>
      </c>
      <c r="H14" s="127">
        <v>200</v>
      </c>
      <c r="I14" s="128">
        <v>20</v>
      </c>
      <c r="J14" s="129">
        <f t="shared" si="1"/>
        <v>4000</v>
      </c>
      <c r="K14" s="131"/>
      <c r="L14" s="106"/>
      <c r="R14" s="108"/>
    </row>
    <row r="15" spans="1:18" s="107" customFormat="1" ht="29.25" customHeight="1">
      <c r="A15" s="105">
        <f t="shared" si="0"/>
        <v>10</v>
      </c>
      <c r="B15" s="207" t="s">
        <v>134</v>
      </c>
      <c r="C15" s="208"/>
      <c r="D15" s="205" t="s">
        <v>146</v>
      </c>
      <c r="E15" s="209"/>
      <c r="F15" s="206"/>
      <c r="G15" s="127" t="s">
        <v>118</v>
      </c>
      <c r="H15" s="127">
        <v>24</v>
      </c>
      <c r="I15" s="128">
        <v>25</v>
      </c>
      <c r="J15" s="129">
        <f t="shared" si="1"/>
        <v>600</v>
      </c>
      <c r="K15" s="131"/>
      <c r="L15" s="106"/>
      <c r="R15" s="108"/>
    </row>
    <row r="16" spans="1:18" s="107" customFormat="1" ht="29.25" customHeight="1">
      <c r="A16" s="105">
        <f t="shared" si="0"/>
        <v>11</v>
      </c>
      <c r="B16" s="207" t="s">
        <v>134</v>
      </c>
      <c r="C16" s="208"/>
      <c r="D16" s="205" t="s">
        <v>146</v>
      </c>
      <c r="E16" s="209"/>
      <c r="F16" s="206"/>
      <c r="G16" s="127" t="s">
        <v>118</v>
      </c>
      <c r="H16" s="127">
        <v>200</v>
      </c>
      <c r="I16" s="128">
        <v>25</v>
      </c>
      <c r="J16" s="129">
        <f t="shared" si="1"/>
        <v>5000</v>
      </c>
      <c r="K16" s="131"/>
      <c r="L16" s="106"/>
      <c r="R16" s="108"/>
    </row>
    <row r="17" spans="1:18" s="107" customFormat="1" ht="29.25" customHeight="1">
      <c r="A17" s="105">
        <f t="shared" si="0"/>
        <v>12</v>
      </c>
      <c r="B17" s="207" t="s">
        <v>135</v>
      </c>
      <c r="C17" s="208"/>
      <c r="D17" s="205" t="s">
        <v>147</v>
      </c>
      <c r="E17" s="209"/>
      <c r="F17" s="206"/>
      <c r="G17" s="127" t="s">
        <v>118</v>
      </c>
      <c r="H17" s="127">
        <v>10</v>
      </c>
      <c r="I17" s="128">
        <v>240</v>
      </c>
      <c r="J17" s="129">
        <f t="shared" si="1"/>
        <v>2400</v>
      </c>
      <c r="K17" s="131"/>
      <c r="L17" s="106"/>
      <c r="R17" s="108"/>
    </row>
    <row r="18" spans="1:18" s="107" customFormat="1" ht="29.25" customHeight="1">
      <c r="A18" s="105">
        <f t="shared" si="0"/>
        <v>13</v>
      </c>
      <c r="B18" s="207" t="s">
        <v>135</v>
      </c>
      <c r="C18" s="208"/>
      <c r="D18" s="205" t="s">
        <v>148</v>
      </c>
      <c r="E18" s="209"/>
      <c r="F18" s="206"/>
      <c r="G18" s="127" t="s">
        <v>118</v>
      </c>
      <c r="H18" s="127">
        <v>10</v>
      </c>
      <c r="I18" s="128">
        <v>280</v>
      </c>
      <c r="J18" s="129">
        <f t="shared" si="1"/>
        <v>2800</v>
      </c>
      <c r="K18" s="131"/>
      <c r="L18" s="106"/>
      <c r="R18" s="108"/>
    </row>
    <row r="19" spans="1:18" s="107" customFormat="1" ht="29.25" customHeight="1">
      <c r="A19" s="105">
        <f t="shared" si="0"/>
        <v>14</v>
      </c>
      <c r="B19" s="207" t="s">
        <v>135</v>
      </c>
      <c r="C19" s="208"/>
      <c r="D19" s="205" t="s">
        <v>149</v>
      </c>
      <c r="E19" s="209"/>
      <c r="F19" s="206"/>
      <c r="G19" s="127" t="s">
        <v>118</v>
      </c>
      <c r="H19" s="127">
        <v>10</v>
      </c>
      <c r="I19" s="128">
        <v>340</v>
      </c>
      <c r="J19" s="129">
        <f t="shared" si="1"/>
        <v>3400</v>
      </c>
      <c r="K19" s="131"/>
      <c r="L19" s="106"/>
      <c r="R19" s="108"/>
    </row>
    <row r="20" spans="1:18" s="107" customFormat="1" ht="29.25" customHeight="1">
      <c r="A20" s="105">
        <f t="shared" si="0"/>
        <v>15</v>
      </c>
      <c r="B20" s="207" t="s">
        <v>136</v>
      </c>
      <c r="C20" s="208"/>
      <c r="D20" s="205" t="s">
        <v>150</v>
      </c>
      <c r="E20" s="209"/>
      <c r="F20" s="206"/>
      <c r="G20" s="127" t="s">
        <v>118</v>
      </c>
      <c r="H20" s="127">
        <v>10</v>
      </c>
      <c r="I20" s="128">
        <v>280</v>
      </c>
      <c r="J20" s="129">
        <f t="shared" si="1"/>
        <v>2800</v>
      </c>
      <c r="K20" s="131"/>
      <c r="L20" s="106"/>
      <c r="R20" s="108"/>
    </row>
    <row r="21" spans="1:18" s="107" customFormat="1" ht="29.25" customHeight="1">
      <c r="A21" s="105">
        <f t="shared" si="0"/>
        <v>16</v>
      </c>
      <c r="B21" s="207" t="s">
        <v>136</v>
      </c>
      <c r="C21" s="208"/>
      <c r="D21" s="205" t="s">
        <v>151</v>
      </c>
      <c r="E21" s="209"/>
      <c r="F21" s="206"/>
      <c r="G21" s="127" t="s">
        <v>118</v>
      </c>
      <c r="H21" s="127">
        <v>10</v>
      </c>
      <c r="I21" s="128">
        <v>290</v>
      </c>
      <c r="J21" s="129">
        <f t="shared" si="1"/>
        <v>2900</v>
      </c>
      <c r="K21" s="131"/>
      <c r="L21" s="106"/>
      <c r="R21" s="108"/>
    </row>
    <row r="22" spans="1:18" s="107" customFormat="1" ht="29.25" customHeight="1">
      <c r="A22" s="105">
        <f t="shared" si="0"/>
        <v>17</v>
      </c>
      <c r="B22" s="207" t="s">
        <v>137</v>
      </c>
      <c r="C22" s="208"/>
      <c r="D22" s="205" t="s">
        <v>152</v>
      </c>
      <c r="E22" s="209"/>
      <c r="F22" s="206"/>
      <c r="G22" s="127" t="s">
        <v>118</v>
      </c>
      <c r="H22" s="127">
        <v>30</v>
      </c>
      <c r="I22" s="128">
        <v>5</v>
      </c>
      <c r="J22" s="129">
        <f t="shared" si="1"/>
        <v>150</v>
      </c>
      <c r="K22" s="131"/>
      <c r="L22" s="106"/>
      <c r="R22" s="108"/>
    </row>
    <row r="23" spans="1:18" s="107" customFormat="1" ht="29.25" customHeight="1">
      <c r="A23" s="105">
        <f t="shared" si="0"/>
        <v>18</v>
      </c>
      <c r="B23" s="207" t="s">
        <v>137</v>
      </c>
      <c r="C23" s="208"/>
      <c r="D23" s="205" t="s">
        <v>153</v>
      </c>
      <c r="E23" s="209"/>
      <c r="F23" s="206"/>
      <c r="G23" s="127" t="s">
        <v>118</v>
      </c>
      <c r="H23" s="127">
        <v>30</v>
      </c>
      <c r="I23" s="128">
        <v>10</v>
      </c>
      <c r="J23" s="129">
        <f t="shared" si="1"/>
        <v>300</v>
      </c>
      <c r="K23" s="131"/>
      <c r="L23" s="106"/>
      <c r="R23" s="108"/>
    </row>
    <row r="24" spans="1:18" s="107" customFormat="1" ht="29.25" customHeight="1">
      <c r="A24" s="105">
        <f t="shared" si="0"/>
        <v>19</v>
      </c>
      <c r="B24" s="207" t="s">
        <v>137</v>
      </c>
      <c r="C24" s="208"/>
      <c r="D24" s="205" t="s">
        <v>154</v>
      </c>
      <c r="E24" s="209"/>
      <c r="F24" s="206"/>
      <c r="G24" s="127" t="s">
        <v>118</v>
      </c>
      <c r="H24" s="127">
        <v>24</v>
      </c>
      <c r="I24" s="128">
        <v>14</v>
      </c>
      <c r="J24" s="129">
        <f t="shared" si="1"/>
        <v>336</v>
      </c>
      <c r="K24" s="131"/>
      <c r="L24" s="106"/>
      <c r="R24" s="108"/>
    </row>
    <row r="25" spans="1:18" s="107" customFormat="1" ht="29.25" customHeight="1">
      <c r="A25" s="105">
        <f t="shared" si="0"/>
        <v>20</v>
      </c>
      <c r="B25" s="207" t="s">
        <v>137</v>
      </c>
      <c r="C25" s="208"/>
      <c r="D25" s="205" t="s">
        <v>154</v>
      </c>
      <c r="E25" s="209"/>
      <c r="F25" s="206"/>
      <c r="G25" s="127" t="s">
        <v>118</v>
      </c>
      <c r="H25" s="127">
        <v>200</v>
      </c>
      <c r="I25" s="128">
        <v>14</v>
      </c>
      <c r="J25" s="129">
        <f t="shared" si="1"/>
        <v>2800</v>
      </c>
      <c r="K25" s="131"/>
      <c r="L25" s="106"/>
      <c r="R25" s="108"/>
    </row>
    <row r="26" spans="1:18" s="107" customFormat="1" ht="29.25" customHeight="1">
      <c r="A26" s="105">
        <f t="shared" si="0"/>
        <v>21</v>
      </c>
      <c r="B26" s="207" t="s">
        <v>137</v>
      </c>
      <c r="C26" s="208"/>
      <c r="D26" s="205" t="s">
        <v>155</v>
      </c>
      <c r="E26" s="209"/>
      <c r="F26" s="206"/>
      <c r="G26" s="127" t="s">
        <v>118</v>
      </c>
      <c r="H26" s="127">
        <v>200</v>
      </c>
      <c r="I26" s="128">
        <v>20</v>
      </c>
      <c r="J26" s="129">
        <f t="shared" si="1"/>
        <v>4000</v>
      </c>
      <c r="K26" s="131"/>
      <c r="L26" s="106"/>
      <c r="R26" s="108"/>
    </row>
    <row r="27" spans="1:18" s="107" customFormat="1" ht="29.25" customHeight="1">
      <c r="A27" s="105">
        <f t="shared" si="0"/>
        <v>22</v>
      </c>
      <c r="B27" s="207" t="s">
        <v>137</v>
      </c>
      <c r="C27" s="208"/>
      <c r="D27" s="205" t="s">
        <v>156</v>
      </c>
      <c r="E27" s="209"/>
      <c r="F27" s="206"/>
      <c r="G27" s="127" t="s">
        <v>118</v>
      </c>
      <c r="H27" s="127">
        <v>24</v>
      </c>
      <c r="I27" s="128">
        <v>32</v>
      </c>
      <c r="J27" s="129">
        <f t="shared" si="1"/>
        <v>768</v>
      </c>
      <c r="K27" s="131"/>
      <c r="L27" s="106"/>
      <c r="R27" s="108"/>
    </row>
    <row r="28" spans="1:18" s="107" customFormat="1" ht="29.25" customHeight="1">
      <c r="A28" s="105">
        <f t="shared" si="0"/>
        <v>23</v>
      </c>
      <c r="B28" s="207" t="s">
        <v>137</v>
      </c>
      <c r="C28" s="208"/>
      <c r="D28" s="205" t="s">
        <v>157</v>
      </c>
      <c r="E28" s="209"/>
      <c r="F28" s="206"/>
      <c r="G28" s="127" t="s">
        <v>118</v>
      </c>
      <c r="H28" s="127">
        <v>24</v>
      </c>
      <c r="I28" s="128">
        <v>40</v>
      </c>
      <c r="J28" s="129">
        <f t="shared" si="1"/>
        <v>960</v>
      </c>
      <c r="K28" s="131"/>
      <c r="L28" s="106"/>
      <c r="R28" s="108"/>
    </row>
    <row r="29" spans="1:18" s="107" customFormat="1" ht="29.25" customHeight="1">
      <c r="A29" s="105">
        <f t="shared" si="0"/>
        <v>24</v>
      </c>
      <c r="B29" s="207" t="s">
        <v>137</v>
      </c>
      <c r="C29" s="208"/>
      <c r="D29" s="205" t="s">
        <v>157</v>
      </c>
      <c r="E29" s="209"/>
      <c r="F29" s="206"/>
      <c r="G29" s="127" t="s">
        <v>118</v>
      </c>
      <c r="H29" s="127">
        <v>50</v>
      </c>
      <c r="I29" s="128">
        <v>40</v>
      </c>
      <c r="J29" s="129">
        <f t="shared" si="1"/>
        <v>2000</v>
      </c>
      <c r="K29" s="131"/>
      <c r="L29" s="106"/>
      <c r="R29" s="108"/>
    </row>
    <row r="30" spans="1:18" s="107" customFormat="1" ht="29.25" customHeight="1">
      <c r="A30" s="105">
        <f t="shared" si="0"/>
        <v>25</v>
      </c>
      <c r="B30" s="207" t="s">
        <v>137</v>
      </c>
      <c r="C30" s="208"/>
      <c r="D30" s="205" t="s">
        <v>158</v>
      </c>
      <c r="E30" s="209"/>
      <c r="F30" s="206"/>
      <c r="G30" s="127" t="s">
        <v>118</v>
      </c>
      <c r="H30" s="127">
        <v>30</v>
      </c>
      <c r="I30" s="128">
        <v>56</v>
      </c>
      <c r="J30" s="129">
        <f t="shared" si="1"/>
        <v>1680</v>
      </c>
      <c r="K30" s="131"/>
      <c r="L30" s="106"/>
      <c r="R30" s="108"/>
    </row>
    <row r="31" spans="1:18" s="107" customFormat="1" ht="29.25" customHeight="1">
      <c r="A31" s="105">
        <f t="shared" si="0"/>
        <v>26</v>
      </c>
      <c r="B31" s="207" t="s">
        <v>137</v>
      </c>
      <c r="C31" s="208"/>
      <c r="D31" s="205" t="s">
        <v>159</v>
      </c>
      <c r="E31" s="209"/>
      <c r="F31" s="206"/>
      <c r="G31" s="127" t="s">
        <v>118</v>
      </c>
      <c r="H31" s="127">
        <v>50</v>
      </c>
      <c r="I31" s="128">
        <v>70</v>
      </c>
      <c r="J31" s="129">
        <f t="shared" si="1"/>
        <v>3500</v>
      </c>
      <c r="K31" s="131"/>
      <c r="L31" s="106"/>
      <c r="R31" s="108"/>
    </row>
    <row r="32" spans="1:18" s="107" customFormat="1" ht="29.25" customHeight="1">
      <c r="A32" s="105">
        <f t="shared" si="0"/>
        <v>27</v>
      </c>
      <c r="B32" s="207" t="s">
        <v>137</v>
      </c>
      <c r="C32" s="208"/>
      <c r="D32" s="205" t="s">
        <v>160</v>
      </c>
      <c r="E32" s="209"/>
      <c r="F32" s="206"/>
      <c r="G32" s="127" t="s">
        <v>118</v>
      </c>
      <c r="H32" s="127">
        <v>24</v>
      </c>
      <c r="I32" s="128">
        <v>95</v>
      </c>
      <c r="J32" s="129">
        <f t="shared" si="1"/>
        <v>2280</v>
      </c>
      <c r="K32" s="131"/>
      <c r="L32" s="106"/>
      <c r="R32" s="108"/>
    </row>
    <row r="33" spans="1:26" s="107" customFormat="1" ht="29.25" customHeight="1">
      <c r="A33" s="105">
        <f t="shared" si="0"/>
        <v>28</v>
      </c>
      <c r="B33" s="207" t="s">
        <v>137</v>
      </c>
      <c r="C33" s="208"/>
      <c r="D33" s="205" t="s">
        <v>161</v>
      </c>
      <c r="E33" s="209"/>
      <c r="F33" s="206"/>
      <c r="G33" s="127" t="s">
        <v>118</v>
      </c>
      <c r="H33" s="127">
        <v>24</v>
      </c>
      <c r="I33" s="128">
        <v>45</v>
      </c>
      <c r="J33" s="129">
        <f t="shared" si="1"/>
        <v>1080</v>
      </c>
      <c r="K33" s="131"/>
      <c r="L33" s="106"/>
      <c r="R33" s="108"/>
    </row>
    <row r="34" spans="1:26" s="107" customFormat="1" ht="29.25" customHeight="1">
      <c r="A34" s="105">
        <f t="shared" si="0"/>
        <v>29</v>
      </c>
      <c r="B34" s="207" t="s">
        <v>137</v>
      </c>
      <c r="C34" s="208"/>
      <c r="D34" s="205" t="s">
        <v>162</v>
      </c>
      <c r="E34" s="209"/>
      <c r="F34" s="206"/>
      <c r="G34" s="127" t="s">
        <v>118</v>
      </c>
      <c r="H34" s="127">
        <v>24</v>
      </c>
      <c r="I34" s="128">
        <v>66</v>
      </c>
      <c r="J34" s="129">
        <f t="shared" si="1"/>
        <v>1584</v>
      </c>
      <c r="K34" s="131"/>
      <c r="L34" s="106"/>
      <c r="R34" s="108"/>
    </row>
    <row r="35" spans="1:26" s="107" customFormat="1" ht="29.25" customHeight="1">
      <c r="A35" s="105">
        <f t="shared" si="0"/>
        <v>30</v>
      </c>
      <c r="B35" s="207" t="s">
        <v>137</v>
      </c>
      <c r="C35" s="208"/>
      <c r="D35" s="205" t="s">
        <v>163</v>
      </c>
      <c r="E35" s="209"/>
      <c r="F35" s="206"/>
      <c r="G35" s="127" t="s">
        <v>118</v>
      </c>
      <c r="H35" s="127">
        <v>24</v>
      </c>
      <c r="I35" s="128">
        <v>84</v>
      </c>
      <c r="J35" s="129">
        <f t="shared" si="1"/>
        <v>2016</v>
      </c>
      <c r="K35" s="131"/>
      <c r="L35" s="106"/>
      <c r="R35" s="108"/>
    </row>
    <row r="36" spans="1:26" s="107" customFormat="1" ht="29.25" customHeight="1">
      <c r="A36" s="105">
        <f t="shared" si="0"/>
        <v>31</v>
      </c>
      <c r="B36" s="207" t="s">
        <v>137</v>
      </c>
      <c r="C36" s="208"/>
      <c r="D36" s="205" t="s">
        <v>163</v>
      </c>
      <c r="E36" s="209"/>
      <c r="F36" s="206"/>
      <c r="G36" s="127" t="s">
        <v>118</v>
      </c>
      <c r="H36" s="127">
        <v>50</v>
      </c>
      <c r="I36" s="128">
        <v>84</v>
      </c>
      <c r="J36" s="129">
        <f t="shared" si="1"/>
        <v>4200</v>
      </c>
      <c r="K36" s="131"/>
      <c r="L36" s="106"/>
      <c r="R36" s="108"/>
    </row>
    <row r="37" spans="1:26" s="107" customFormat="1" ht="29.25" customHeight="1">
      <c r="A37" s="105">
        <f t="shared" si="0"/>
        <v>32</v>
      </c>
      <c r="B37" s="207" t="s">
        <v>137</v>
      </c>
      <c r="C37" s="208"/>
      <c r="D37" s="205" t="s">
        <v>164</v>
      </c>
      <c r="E37" s="209"/>
      <c r="F37" s="206"/>
      <c r="G37" s="127" t="s">
        <v>118</v>
      </c>
      <c r="H37" s="127">
        <v>20</v>
      </c>
      <c r="I37" s="128">
        <v>165</v>
      </c>
      <c r="J37" s="129">
        <f t="shared" si="1"/>
        <v>3300</v>
      </c>
      <c r="K37" s="131"/>
      <c r="L37" s="106"/>
      <c r="R37" s="108"/>
    </row>
    <row r="38" spans="1:26" s="107" customFormat="1" ht="29.25" customHeight="1">
      <c r="A38" s="105">
        <f t="shared" si="0"/>
        <v>33</v>
      </c>
      <c r="B38" s="207" t="s">
        <v>138</v>
      </c>
      <c r="C38" s="208"/>
      <c r="D38" s="205" t="s">
        <v>165</v>
      </c>
      <c r="E38" s="209"/>
      <c r="F38" s="206"/>
      <c r="G38" s="127" t="s">
        <v>118</v>
      </c>
      <c r="H38" s="127">
        <v>20</v>
      </c>
      <c r="I38" s="128">
        <v>110</v>
      </c>
      <c r="J38" s="129">
        <f t="shared" si="1"/>
        <v>2200</v>
      </c>
      <c r="K38" s="131"/>
      <c r="L38" s="106"/>
      <c r="R38" s="108"/>
    </row>
    <row r="39" spans="1:26" ht="24" customHeight="1">
      <c r="A39" s="148" t="s">
        <v>8</v>
      </c>
      <c r="B39" s="149"/>
      <c r="C39" s="121"/>
      <c r="D39" s="122"/>
      <c r="E39" s="122"/>
      <c r="F39" s="122"/>
      <c r="G39" s="123"/>
      <c r="H39" s="123"/>
      <c r="I39" s="124" t="s">
        <v>9</v>
      </c>
      <c r="J39" s="125">
        <f>SUM(J6:J38)</f>
        <v>63510</v>
      </c>
      <c r="K39" s="125"/>
      <c r="L39" s="126"/>
    </row>
    <row r="40" spans="1:26" ht="20.100000000000001" customHeight="1">
      <c r="A40" s="5" t="s">
        <v>10</v>
      </c>
      <c r="B40" s="6"/>
      <c r="C40" s="6"/>
      <c r="D40" s="6"/>
      <c r="E40" s="6"/>
      <c r="F40" s="6"/>
      <c r="G40" s="6"/>
      <c r="H40" s="6"/>
      <c r="I40" s="6"/>
      <c r="J40" s="6"/>
      <c r="K40" s="7"/>
      <c r="L40" s="8"/>
    </row>
    <row r="41" spans="1:26" ht="18" customHeight="1">
      <c r="A41" s="9"/>
      <c r="J41" s="1"/>
      <c r="K41" s="1"/>
      <c r="O41" s="110"/>
      <c r="P41" s="10"/>
      <c r="Q41" s="10"/>
      <c r="R41" s="10"/>
      <c r="S41" s="10"/>
      <c r="T41" s="10"/>
      <c r="U41" s="10"/>
      <c r="V41" s="10"/>
      <c r="W41" s="10"/>
      <c r="Y41" s="136"/>
      <c r="Z41" s="10"/>
    </row>
    <row r="42" spans="1:26" ht="50.1" customHeight="1">
      <c r="O42" s="1"/>
      <c r="Y42" s="137"/>
    </row>
    <row r="43" spans="1:26" ht="15" customHeight="1">
      <c r="O43" s="132" t="s">
        <v>119</v>
      </c>
      <c r="P43" s="138"/>
      <c r="Q43" s="138"/>
      <c r="R43" s="133"/>
      <c r="S43" s="104"/>
      <c r="T43" s="132" t="s">
        <v>120</v>
      </c>
      <c r="U43" s="138"/>
      <c r="V43" s="138"/>
      <c r="W43" s="138"/>
      <c r="X43" s="138"/>
      <c r="Y43" s="133"/>
    </row>
    <row r="44" spans="1:26" ht="15" customHeight="1">
      <c r="O44" s="139" t="s">
        <v>121</v>
      </c>
      <c r="P44" s="143" t="s">
        <v>122</v>
      </c>
      <c r="Q44" s="141" t="s">
        <v>123</v>
      </c>
      <c r="R44" s="143" t="s">
        <v>124</v>
      </c>
      <c r="S44" s="104"/>
      <c r="T44" s="141" t="s">
        <v>125</v>
      </c>
      <c r="U44" s="143" t="s">
        <v>126</v>
      </c>
      <c r="V44" s="132" t="s">
        <v>127</v>
      </c>
      <c r="W44" s="138"/>
      <c r="X44" s="133"/>
      <c r="Y44" s="143" t="s">
        <v>128</v>
      </c>
    </row>
    <row r="45" spans="1:26" ht="18" customHeight="1">
      <c r="O45" s="140"/>
      <c r="P45" s="144"/>
      <c r="Q45" s="142"/>
      <c r="R45" s="144"/>
      <c r="S45" s="111"/>
      <c r="T45" s="142"/>
      <c r="U45" s="144"/>
      <c r="V45" s="12" t="s">
        <v>121</v>
      </c>
      <c r="W45" s="145" t="s">
        <v>129</v>
      </c>
      <c r="X45" s="146"/>
      <c r="Y45" s="144"/>
    </row>
    <row r="46" spans="1:26" ht="50.1" customHeight="1">
      <c r="O46" s="112"/>
      <c r="P46" s="13"/>
      <c r="Q46" s="13"/>
      <c r="R46" s="13"/>
      <c r="S46" s="104"/>
      <c r="T46" s="13"/>
      <c r="U46" s="13"/>
      <c r="V46" s="13"/>
      <c r="W46" s="132"/>
      <c r="X46" s="133"/>
      <c r="Y46" s="113"/>
    </row>
    <row r="47" spans="1:26" ht="36" customHeight="1">
      <c r="O47" s="1"/>
      <c r="W47" s="114"/>
      <c r="X47" s="134" t="s">
        <v>130</v>
      </c>
      <c r="Y47" s="11" t="s">
        <v>128</v>
      </c>
    </row>
    <row r="48" spans="1:26" ht="50.1" customHeight="1">
      <c r="O48" s="115"/>
      <c r="P48" s="115"/>
      <c r="Q48" s="115"/>
      <c r="R48" s="115"/>
      <c r="S48" s="115"/>
      <c r="T48" s="115"/>
      <c r="U48" s="115"/>
      <c r="V48" s="115"/>
      <c r="W48" s="116"/>
      <c r="X48" s="135"/>
      <c r="Y48" s="117"/>
    </row>
    <row r="49" spans="15:16" ht="19.899999999999999" customHeight="1">
      <c r="O49" s="1"/>
    </row>
    <row r="50" spans="15:16" ht="17.45" customHeight="1">
      <c r="O50" s="147"/>
      <c r="P50" s="147"/>
    </row>
    <row r="51" spans="15:16" ht="19.899999999999999" customHeight="1">
      <c r="O51" s="147"/>
      <c r="P51" s="147"/>
    </row>
    <row r="52" spans="15:16" ht="14.25">
      <c r="O52" s="10"/>
      <c r="P52" s="10"/>
    </row>
    <row r="53" spans="15:16" ht="65.099999999999994" customHeight="1"/>
    <row r="54" spans="15:16" ht="14.25">
      <c r="O54" s="10"/>
      <c r="P54" s="10"/>
    </row>
    <row r="55" spans="15:16" ht="19.899999999999999" customHeight="1"/>
    <row r="56" spans="15:16" ht="14.25"/>
    <row r="57" spans="15:16" ht="19.899999999999999" customHeight="1"/>
    <row r="58" spans="15:16" ht="14.25"/>
    <row r="59" spans="15:16" ht="19.899999999999999" customHeight="1"/>
    <row r="60" spans="15:16" ht="19.899999999999999" customHeight="1"/>
    <row r="61" spans="15:16" ht="64.900000000000006" customHeight="1"/>
    <row r="63" spans="15:16" ht="19.899999999999999" customHeight="1"/>
    <row r="64" spans="15:16" ht="19.899999999999999" customHeight="1"/>
    <row r="65" spans="15:19" ht="64.900000000000006" customHeight="1"/>
    <row r="69" spans="15:19" ht="21" customHeight="1">
      <c r="O69" s="143" t="s">
        <v>12</v>
      </c>
      <c r="P69" s="143" t="s">
        <v>12</v>
      </c>
      <c r="S69" s="143" t="s">
        <v>11</v>
      </c>
    </row>
    <row r="70" spans="15:19" ht="21" customHeight="1">
      <c r="O70" s="144"/>
      <c r="P70" s="144"/>
      <c r="S70" s="142"/>
    </row>
    <row r="71" spans="15:19" ht="64.900000000000006" customHeight="1">
      <c r="O71" s="13"/>
      <c r="P71" s="13"/>
      <c r="S71" s="14"/>
    </row>
    <row r="72" spans="15:19" ht="7.15" customHeight="1"/>
    <row r="73" spans="15:19" ht="21" customHeight="1">
      <c r="O73" s="143" t="s">
        <v>12</v>
      </c>
      <c r="P73" s="143" t="s">
        <v>12</v>
      </c>
      <c r="S73" s="143" t="s">
        <v>13</v>
      </c>
    </row>
    <row r="74" spans="15:19" ht="21" customHeight="1">
      <c r="O74" s="144"/>
      <c r="P74" s="144"/>
      <c r="S74" s="142"/>
    </row>
    <row r="75" spans="15:19" ht="64.900000000000006" customHeight="1">
      <c r="O75" s="13"/>
      <c r="P75" s="13"/>
      <c r="S75" s="13"/>
    </row>
  </sheetData>
  <mergeCells count="101">
    <mergeCell ref="D35:F35"/>
    <mergeCell ref="D36:F36"/>
    <mergeCell ref="D37:F37"/>
    <mergeCell ref="D38:F38"/>
    <mergeCell ref="D30:F30"/>
    <mergeCell ref="D31:F31"/>
    <mergeCell ref="D32:F32"/>
    <mergeCell ref="D33:F33"/>
    <mergeCell ref="D34:F34"/>
    <mergeCell ref="B37:C37"/>
    <mergeCell ref="B38:C38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D7:F7"/>
    <mergeCell ref="B8:C8"/>
    <mergeCell ref="D8:F8"/>
    <mergeCell ref="B7:C7"/>
    <mergeCell ref="B16:C16"/>
    <mergeCell ref="G4:G5"/>
    <mergeCell ref="H4:H5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D6:F6"/>
    <mergeCell ref="B6:C6"/>
    <mergeCell ref="A39:B39"/>
    <mergeCell ref="P44:P45"/>
    <mergeCell ref="B9:C9"/>
    <mergeCell ref="D9:F9"/>
    <mergeCell ref="B10:C10"/>
    <mergeCell ref="D10:F10"/>
    <mergeCell ref="B11:C11"/>
    <mergeCell ref="D11:F11"/>
    <mergeCell ref="D12:F12"/>
    <mergeCell ref="B13:C13"/>
    <mergeCell ref="D13:F13"/>
    <mergeCell ref="B14:C14"/>
    <mergeCell ref="D14:F14"/>
    <mergeCell ref="B12:C12"/>
    <mergeCell ref="B15:C15"/>
    <mergeCell ref="D15:F15"/>
    <mergeCell ref="S69:S70"/>
    <mergeCell ref="O73:O74"/>
    <mergeCell ref="P73:P74"/>
    <mergeCell ref="S73:S74"/>
    <mergeCell ref="O50:O51"/>
    <mergeCell ref="P50:P51"/>
    <mergeCell ref="O69:O70"/>
    <mergeCell ref="P69:P70"/>
    <mergeCell ref="W46:X46"/>
    <mergeCell ref="X47:X48"/>
    <mergeCell ref="Y41:Y42"/>
    <mergeCell ref="O43:R43"/>
    <mergeCell ref="T43:Y43"/>
    <mergeCell ref="O44:O45"/>
    <mergeCell ref="Q44:Q45"/>
    <mergeCell ref="R44:R45"/>
    <mergeCell ref="T44:T45"/>
    <mergeCell ref="U44:U45"/>
    <mergeCell ref="V44:X44"/>
    <mergeCell ref="Y44:Y45"/>
    <mergeCell ref="W45:X45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7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12" activePane="bottomLeft" state="frozen"/>
      <selection activeCell="D30" sqref="D30"/>
      <selection pane="bottomLeft" activeCell="J18" sqref="J1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5" t="s">
        <v>86</v>
      </c>
      <c r="B1" s="87"/>
      <c r="C1" s="87"/>
      <c r="D1" s="87"/>
      <c r="E1" s="87"/>
      <c r="F1" s="87"/>
      <c r="G1" s="1"/>
      <c r="J1" s="162" t="str">
        <f>+MRS!J1</f>
        <v>DAESHIN PLANT</v>
      </c>
      <c r="K1" s="164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5"/>
      <c r="H2" s="15"/>
      <c r="I2" s="15"/>
      <c r="J2" s="165" t="str">
        <f>+MRS!J2</f>
        <v>Subcontract name (SAC2-SC-IK-SMP-01)</v>
      </c>
      <c r="K2" s="167"/>
    </row>
    <row r="3" spans="1:18" ht="24.95" customHeight="1">
      <c r="A3" s="3" t="str">
        <f>+MRS!A3</f>
        <v xml:space="preserve">  MRS No : SAC2-DS-MRS-0463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46280</v>
      </c>
    </row>
    <row r="4" spans="1:18" ht="15.95" customHeight="1">
      <c r="A4" s="174" t="s">
        <v>2</v>
      </c>
      <c r="B4" s="175" t="s">
        <v>14</v>
      </c>
      <c r="C4" s="175"/>
      <c r="D4" s="174" t="s">
        <v>4</v>
      </c>
      <c r="E4" s="174"/>
      <c r="F4" s="174"/>
      <c r="G4" s="175" t="s">
        <v>5</v>
      </c>
      <c r="H4" s="174" t="s">
        <v>81</v>
      </c>
      <c r="I4" s="174" t="s">
        <v>15</v>
      </c>
      <c r="J4" s="174" t="s">
        <v>16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16">
        <f>+MRS!A6</f>
        <v>1</v>
      </c>
      <c r="B6" s="169" t="str">
        <f>MRS!B6</f>
        <v xml:space="preserve">BOW SHACKLE </v>
      </c>
      <c r="C6" s="170"/>
      <c r="D6" s="171" t="str">
        <f>MRS!D6</f>
        <v>1 1/2"X17TON</v>
      </c>
      <c r="E6" s="172"/>
      <c r="F6" s="173"/>
      <c r="G6" s="90" t="str">
        <f>MRS!G6</f>
        <v>EA</v>
      </c>
      <c r="H6" s="90">
        <f>MRS!H6</f>
        <v>4</v>
      </c>
      <c r="I6" s="91">
        <f>MRS!I6</f>
        <v>110</v>
      </c>
      <c r="J6" s="91">
        <f>MRS!J6</f>
        <v>440</v>
      </c>
      <c r="K6" s="92"/>
      <c r="O6" s="93"/>
      <c r="P6" s="93"/>
      <c r="R6" s="93"/>
    </row>
    <row r="7" spans="1:18" ht="105" customHeight="1">
      <c r="A7" s="16">
        <f>+MRS!A7</f>
        <v>2</v>
      </c>
      <c r="B7" s="169" t="str">
        <f>MRS!B7</f>
        <v xml:space="preserve">BOW SHACKLE </v>
      </c>
      <c r="C7" s="170"/>
      <c r="D7" s="171" t="str">
        <f>MRS!D7</f>
        <v>1 1/4"X12TON</v>
      </c>
      <c r="E7" s="172"/>
      <c r="F7" s="173"/>
      <c r="G7" s="90" t="str">
        <f>MRS!G7</f>
        <v>EA</v>
      </c>
      <c r="H7" s="90">
        <f>MRS!H7</f>
        <v>4</v>
      </c>
      <c r="I7" s="91">
        <f>MRS!I7</f>
        <v>70</v>
      </c>
      <c r="J7" s="91">
        <f>MRS!J7</f>
        <v>280</v>
      </c>
      <c r="K7" s="92"/>
      <c r="O7" s="93"/>
      <c r="P7" s="93"/>
      <c r="R7" s="93"/>
    </row>
    <row r="8" spans="1:18" ht="105" customHeight="1">
      <c r="A8" s="16">
        <f>+MRS!A8</f>
        <v>3</v>
      </c>
      <c r="B8" s="169" t="str">
        <f>MRS!B8</f>
        <v xml:space="preserve">BOW SHACKLE </v>
      </c>
      <c r="C8" s="170"/>
      <c r="D8" s="171" t="str">
        <f>MRS!D8</f>
        <v>1 3/4"X25TON</v>
      </c>
      <c r="E8" s="172"/>
      <c r="F8" s="173"/>
      <c r="G8" s="90" t="str">
        <f>MRS!G8</f>
        <v>EA</v>
      </c>
      <c r="H8" s="90">
        <f>MRS!H8</f>
        <v>4</v>
      </c>
      <c r="I8" s="91">
        <f>MRS!I8</f>
        <v>210</v>
      </c>
      <c r="J8" s="91">
        <f>MRS!J8</f>
        <v>840</v>
      </c>
      <c r="K8" s="92"/>
      <c r="O8" s="93"/>
      <c r="P8" s="93"/>
      <c r="R8" s="93"/>
    </row>
    <row r="9" spans="1:18" ht="105" customHeight="1">
      <c r="A9" s="16">
        <f>+MRS!A9</f>
        <v>4</v>
      </c>
      <c r="B9" s="169" t="str">
        <f>MRS!B9</f>
        <v xml:space="preserve">BOW SHACKLE </v>
      </c>
      <c r="C9" s="170"/>
      <c r="D9" s="171" t="str">
        <f>MRS!D9</f>
        <v>1"X8.5TON</v>
      </c>
      <c r="E9" s="172"/>
      <c r="F9" s="173"/>
      <c r="G9" s="90" t="str">
        <f>MRS!G9</f>
        <v>EA</v>
      </c>
      <c r="H9" s="90">
        <f>MRS!H9</f>
        <v>4</v>
      </c>
      <c r="I9" s="91">
        <f>MRS!I9</f>
        <v>34</v>
      </c>
      <c r="J9" s="91">
        <f>MRS!J9</f>
        <v>136</v>
      </c>
      <c r="K9" s="92"/>
      <c r="O9" s="93"/>
      <c r="P9" s="93"/>
      <c r="R9" s="93"/>
    </row>
    <row r="10" spans="1:18" ht="105" customHeight="1">
      <c r="A10" s="16">
        <f>+MRS!A10</f>
        <v>5</v>
      </c>
      <c r="B10" s="169" t="str">
        <f>MRS!B10</f>
        <v xml:space="preserve">BOW SHACKLE </v>
      </c>
      <c r="C10" s="170"/>
      <c r="D10" s="171" t="str">
        <f>MRS!D10</f>
        <v>1"X8.5TON</v>
      </c>
      <c r="E10" s="172"/>
      <c r="F10" s="173"/>
      <c r="G10" s="90" t="str">
        <f>MRS!G10</f>
        <v>EA</v>
      </c>
      <c r="H10" s="90">
        <f>MRS!H10</f>
        <v>100</v>
      </c>
      <c r="I10" s="91">
        <f>MRS!I10</f>
        <v>34</v>
      </c>
      <c r="J10" s="91">
        <f>MRS!J10</f>
        <v>3400</v>
      </c>
      <c r="K10" s="92"/>
      <c r="O10" s="93"/>
      <c r="P10" s="93"/>
      <c r="R10" s="93"/>
    </row>
    <row r="11" spans="1:18" ht="105" customHeight="1">
      <c r="A11" s="16">
        <f>+MRS!A11</f>
        <v>6</v>
      </c>
      <c r="B11" s="169" t="str">
        <f>MRS!B11</f>
        <v xml:space="preserve">BOW SHACKLE </v>
      </c>
      <c r="C11" s="170"/>
      <c r="D11" s="171" t="str">
        <f>MRS!D11</f>
        <v>1/2"X2TON</v>
      </c>
      <c r="E11" s="172"/>
      <c r="F11" s="173"/>
      <c r="G11" s="90" t="str">
        <f>MRS!G11</f>
        <v>EA</v>
      </c>
      <c r="H11" s="90">
        <f>MRS!H11</f>
        <v>24</v>
      </c>
      <c r="I11" s="91">
        <f>MRS!I11</f>
        <v>10</v>
      </c>
      <c r="J11" s="91">
        <f>MRS!J11</f>
        <v>240</v>
      </c>
      <c r="K11" s="92"/>
      <c r="O11" s="93"/>
      <c r="P11" s="93"/>
      <c r="R11" s="93"/>
    </row>
    <row r="12" spans="1:18" ht="105" customHeight="1">
      <c r="A12" s="16">
        <f>+MRS!A12</f>
        <v>7</v>
      </c>
      <c r="B12" s="169" t="str">
        <f>MRS!B12</f>
        <v xml:space="preserve">BOW SHACKLE </v>
      </c>
      <c r="C12" s="170"/>
      <c r="D12" s="171" t="str">
        <f>MRS!D12</f>
        <v>2"X35TON</v>
      </c>
      <c r="E12" s="172"/>
      <c r="F12" s="173"/>
      <c r="G12" s="90" t="str">
        <f>MRS!G12</f>
        <v>EA</v>
      </c>
      <c r="H12" s="90">
        <f>MRS!H12</f>
        <v>2</v>
      </c>
      <c r="I12" s="91">
        <f>MRS!I12</f>
        <v>320</v>
      </c>
      <c r="J12" s="91">
        <f>MRS!J12</f>
        <v>640</v>
      </c>
      <c r="K12" s="92"/>
      <c r="O12" s="93"/>
      <c r="P12" s="93"/>
      <c r="R12" s="93"/>
    </row>
    <row r="13" spans="1:18" ht="105" customHeight="1">
      <c r="A13" s="16">
        <f>+MRS!A13</f>
        <v>8</v>
      </c>
      <c r="B13" s="169" t="str">
        <f>MRS!B13</f>
        <v xml:space="preserve">BOW SHACKLE </v>
      </c>
      <c r="C13" s="170"/>
      <c r="D13" s="171" t="str">
        <f>MRS!D13</f>
        <v>3/4"X4.75TON</v>
      </c>
      <c r="E13" s="172"/>
      <c r="F13" s="173"/>
      <c r="G13" s="90" t="str">
        <f>MRS!G13</f>
        <v>EA</v>
      </c>
      <c r="H13" s="90">
        <f>MRS!H13</f>
        <v>24</v>
      </c>
      <c r="I13" s="91">
        <f>MRS!I13</f>
        <v>20</v>
      </c>
      <c r="J13" s="91">
        <f>MRS!J13</f>
        <v>480</v>
      </c>
      <c r="K13" s="92"/>
      <c r="O13" s="93"/>
      <c r="P13" s="93"/>
      <c r="R13" s="93"/>
    </row>
    <row r="14" spans="1:18" ht="105" customHeight="1">
      <c r="A14" s="16">
        <f>+MRS!A14</f>
        <v>9</v>
      </c>
      <c r="B14" s="169" t="str">
        <f>MRS!B14</f>
        <v xml:space="preserve">BOW SHACKLE </v>
      </c>
      <c r="C14" s="170"/>
      <c r="D14" s="171" t="str">
        <f>MRS!D14</f>
        <v>3/4"X4.75TON</v>
      </c>
      <c r="E14" s="172"/>
      <c r="F14" s="173"/>
      <c r="G14" s="90" t="str">
        <f>MRS!G14</f>
        <v>EA</v>
      </c>
      <c r="H14" s="90">
        <f>MRS!H14</f>
        <v>200</v>
      </c>
      <c r="I14" s="91">
        <f>MRS!I14</f>
        <v>20</v>
      </c>
      <c r="J14" s="91">
        <f>MRS!J14</f>
        <v>4000</v>
      </c>
      <c r="K14" s="92"/>
      <c r="O14" s="93"/>
      <c r="P14" s="93"/>
      <c r="R14" s="93"/>
    </row>
    <row r="15" spans="1:18" ht="105" customHeight="1">
      <c r="A15" s="16">
        <f>+MRS!A15</f>
        <v>10</v>
      </c>
      <c r="B15" s="169" t="str">
        <f>MRS!B15</f>
        <v xml:space="preserve">BOW SHACKLE </v>
      </c>
      <c r="C15" s="170"/>
      <c r="D15" s="171">
        <f>MRS!E15</f>
        <v>0</v>
      </c>
      <c r="E15" s="172"/>
      <c r="F15" s="173"/>
      <c r="G15" s="90" t="str">
        <f>MRS!G15</f>
        <v>EA</v>
      </c>
      <c r="H15" s="90">
        <f>MRS!H15</f>
        <v>24</v>
      </c>
      <c r="I15" s="91">
        <f>MRS!I15</f>
        <v>25</v>
      </c>
      <c r="J15" s="91">
        <f>MRS!J15</f>
        <v>600</v>
      </c>
      <c r="K15" s="92"/>
      <c r="O15" s="93"/>
      <c r="P15" s="93"/>
      <c r="R15" s="93"/>
    </row>
    <row r="16" spans="1:18" ht="105" customHeight="1">
      <c r="A16" s="16" t="e">
        <f>+MRS!#REF!</f>
        <v>#REF!</v>
      </c>
      <c r="B16" s="169" t="e">
        <f>MRS!#REF!</f>
        <v>#REF!</v>
      </c>
      <c r="C16" s="170"/>
      <c r="D16" s="171" t="e">
        <f>MRS!#REF!</f>
        <v>#REF!</v>
      </c>
      <c r="E16" s="172"/>
      <c r="F16" s="173"/>
      <c r="G16" s="90" t="e">
        <f>MRS!#REF!</f>
        <v>#REF!</v>
      </c>
      <c r="H16" s="90" t="e">
        <f>MRS!#REF!</f>
        <v>#REF!</v>
      </c>
      <c r="I16" s="91" t="e">
        <f>MRS!#REF!</f>
        <v>#REF!</v>
      </c>
      <c r="J16" s="91" t="e">
        <f>MRS!#REF!</f>
        <v>#REF!</v>
      </c>
      <c r="K16" s="92"/>
      <c r="O16" s="93"/>
      <c r="P16" s="93"/>
      <c r="R16" s="93"/>
    </row>
    <row r="17" spans="1:18" ht="105" customHeight="1">
      <c r="A17" s="16" t="e">
        <f>+MRS!#REF!</f>
        <v>#REF!</v>
      </c>
      <c r="B17" s="169" t="e">
        <f>MRS!#REF!</f>
        <v>#REF!</v>
      </c>
      <c r="C17" s="170"/>
      <c r="D17" s="171" t="e">
        <f>MRS!#REF!</f>
        <v>#REF!</v>
      </c>
      <c r="E17" s="172"/>
      <c r="F17" s="173"/>
      <c r="G17" s="90" t="e">
        <f>MRS!#REF!</f>
        <v>#REF!</v>
      </c>
      <c r="H17" s="90" t="e">
        <f>MRS!#REF!</f>
        <v>#REF!</v>
      </c>
      <c r="I17" s="91" t="e">
        <f>MRS!#REF!</f>
        <v>#REF!</v>
      </c>
      <c r="J17" s="91" t="e">
        <f>MRS!#REF!</f>
        <v>#REF!</v>
      </c>
      <c r="K17" s="92"/>
      <c r="O17" s="93"/>
      <c r="P17" s="93"/>
      <c r="R17" s="93"/>
    </row>
    <row r="18" spans="1:18" ht="105" customHeight="1">
      <c r="A18" s="16" t="e">
        <f>+MRS!#REF!</f>
        <v>#REF!</v>
      </c>
      <c r="B18" s="169" t="e">
        <f>MRS!#REF!</f>
        <v>#REF!</v>
      </c>
      <c r="C18" s="170"/>
      <c r="D18" s="171" t="e">
        <f>MRS!#REF!</f>
        <v>#REF!</v>
      </c>
      <c r="E18" s="172"/>
      <c r="F18" s="173"/>
      <c r="G18" s="90" t="e">
        <f>MRS!#REF!</f>
        <v>#REF!</v>
      </c>
      <c r="H18" s="90" t="e">
        <f>MRS!#REF!</f>
        <v>#REF!</v>
      </c>
      <c r="I18" s="91" t="e">
        <f>MRS!#REF!</f>
        <v>#REF!</v>
      </c>
      <c r="J18" s="91" t="e">
        <f>MRS!#REF!</f>
        <v>#REF!</v>
      </c>
      <c r="K18" s="92"/>
      <c r="O18" s="93"/>
      <c r="P18" s="93"/>
      <c r="R18" s="93"/>
    </row>
    <row r="19" spans="1:18" ht="105" customHeight="1">
      <c r="A19" s="16"/>
      <c r="B19" s="169"/>
      <c r="C19" s="170"/>
      <c r="D19" s="171"/>
      <c r="E19" s="172"/>
      <c r="F19" s="173"/>
      <c r="G19" s="90"/>
      <c r="H19" s="90"/>
      <c r="I19" s="91"/>
      <c r="J19" s="91"/>
      <c r="K19" s="92"/>
      <c r="O19" s="93"/>
      <c r="P19" s="93"/>
      <c r="R19" s="93"/>
    </row>
    <row r="20" spans="1:18" ht="105" customHeight="1">
      <c r="A20" s="16"/>
      <c r="B20" s="169"/>
      <c r="C20" s="170"/>
      <c r="D20" s="171"/>
      <c r="E20" s="172"/>
      <c r="F20" s="173"/>
      <c r="G20" s="90"/>
      <c r="H20" s="90"/>
      <c r="I20" s="91"/>
      <c r="J20" s="91"/>
      <c r="K20" s="92"/>
      <c r="O20" s="93"/>
      <c r="P20" s="93"/>
      <c r="R20" s="93"/>
    </row>
    <row r="21" spans="1:18" ht="105" customHeight="1">
      <c r="A21" s="16"/>
      <c r="B21" s="169"/>
      <c r="C21" s="170"/>
      <c r="D21" s="171"/>
      <c r="E21" s="172"/>
      <c r="F21" s="173"/>
      <c r="G21" s="90"/>
      <c r="H21" s="90"/>
      <c r="I21" s="91"/>
      <c r="J21" s="91"/>
      <c r="K21" s="92"/>
      <c r="O21" s="93"/>
      <c r="P21" s="93"/>
      <c r="R21" s="93"/>
    </row>
    <row r="23" spans="1:18" ht="21" customHeight="1">
      <c r="J23" s="97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29" sqref="F29"/>
    </sheetView>
  </sheetViews>
  <sheetFormatPr defaultColWidth="9.140625" defaultRowHeight="12.75"/>
  <cols>
    <col min="1" max="1" width="1.5703125" style="21" customWidth="1"/>
    <col min="2" max="2" width="4.28515625" style="21" customWidth="1"/>
    <col min="3" max="3" width="9.140625" style="21" customWidth="1"/>
    <col min="4" max="4" width="12.42578125" style="21" bestFit="1" customWidth="1"/>
    <col min="5" max="5" width="2.5703125" style="21" customWidth="1"/>
    <col min="6" max="6" width="14" style="21" customWidth="1"/>
    <col min="7" max="7" width="6.5703125" style="21" customWidth="1"/>
    <col min="8" max="10" width="9.140625" style="21"/>
    <col min="11" max="11" width="9.7109375" style="21" bestFit="1" customWidth="1"/>
    <col min="12" max="13" width="9.140625" style="21"/>
    <col min="14" max="14" width="1.5703125" style="21" customWidth="1"/>
    <col min="15" max="16384" width="9.140625" style="21"/>
  </cols>
  <sheetData>
    <row r="2" spans="2:13" s="17" customFormat="1" ht="13.5">
      <c r="M2" s="18" t="s">
        <v>91</v>
      </c>
    </row>
    <row r="3" spans="2:13" s="17" customFormat="1">
      <c r="M3" s="19" t="s">
        <v>17</v>
      </c>
    </row>
    <row r="4" spans="2:13" s="17" customFormat="1">
      <c r="M4" s="19" t="s">
        <v>18</v>
      </c>
    </row>
    <row r="5" spans="2:13" s="17" customFormat="1">
      <c r="B5" s="20" t="s">
        <v>19</v>
      </c>
      <c r="M5" s="19" t="s">
        <v>20</v>
      </c>
    </row>
    <row r="6" spans="2:13" s="17" customFormat="1">
      <c r="M6" s="19" t="s">
        <v>21</v>
      </c>
    </row>
    <row r="7" spans="2:13">
      <c r="M7" s="22"/>
    </row>
    <row r="8" spans="2:13">
      <c r="M8" s="22"/>
    </row>
    <row r="9" spans="2:13" s="66" customFormat="1" ht="13.5">
      <c r="B9" s="64" t="s">
        <v>22</v>
      </c>
      <c r="C9" s="65" t="s">
        <v>102</v>
      </c>
      <c r="D9" s="33"/>
      <c r="E9" s="33"/>
    </row>
    <row r="10" spans="2:13" s="33" customFormat="1">
      <c r="B10" s="64"/>
      <c r="C10" s="33" t="s">
        <v>23</v>
      </c>
      <c r="D10" s="68" t="s">
        <v>103</v>
      </c>
      <c r="J10" s="33" t="s">
        <v>24</v>
      </c>
      <c r="K10" s="177">
        <f>MRS!L3</f>
        <v>46280</v>
      </c>
      <c r="L10" s="178"/>
      <c r="M10" s="178"/>
    </row>
    <row r="11" spans="2:13" s="33" customFormat="1">
      <c r="B11" s="64"/>
      <c r="C11" s="67" t="s">
        <v>25</v>
      </c>
      <c r="D11" s="68" t="s">
        <v>104</v>
      </c>
      <c r="J11" s="33" t="s">
        <v>26</v>
      </c>
      <c r="K11" s="179" t="str">
        <f>SUBSTITUTE(SUBSTITUTE(+MRS!A3,"  MRS No : ",""),"-MRS","-PO")</f>
        <v>SAC2-DS-PO-0463</v>
      </c>
      <c r="L11" s="179"/>
      <c r="M11" s="179"/>
    </row>
    <row r="12" spans="2:13" s="33" customFormat="1">
      <c r="B12" s="64"/>
      <c r="C12" s="67" t="s">
        <v>115</v>
      </c>
      <c r="D12" s="33" t="s">
        <v>116</v>
      </c>
      <c r="J12" s="33" t="s">
        <v>27</v>
      </c>
    </row>
    <row r="13" spans="2:13" s="33" customFormat="1">
      <c r="B13" s="64"/>
      <c r="C13" s="69"/>
      <c r="D13" s="68" t="s">
        <v>112</v>
      </c>
      <c r="J13" s="33" t="s">
        <v>28</v>
      </c>
    </row>
    <row r="14" spans="2:13" s="33" customFormat="1">
      <c r="B14" s="64"/>
      <c r="C14" s="98" t="s">
        <v>105</v>
      </c>
      <c r="J14" s="33" t="s">
        <v>29</v>
      </c>
      <c r="K14" s="33" t="s">
        <v>166</v>
      </c>
    </row>
    <row r="15" spans="2:13" s="33" customFormat="1">
      <c r="B15" s="64"/>
      <c r="C15" s="67" t="s">
        <v>113</v>
      </c>
      <c r="D15" s="68" t="s">
        <v>114</v>
      </c>
      <c r="J15" s="33" t="s">
        <v>30</v>
      </c>
      <c r="K15" s="70">
        <v>46279</v>
      </c>
    </row>
    <row r="16" spans="2:13" s="33" customFormat="1">
      <c r="C16" s="69"/>
      <c r="K16" s="70"/>
    </row>
    <row r="17" spans="2:13" ht="6" customHeight="1">
      <c r="C17" s="24"/>
      <c r="K17" s="25"/>
    </row>
    <row r="18" spans="2:13" ht="20.25">
      <c r="B18" s="180" t="s">
        <v>31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26" customFormat="1" ht="12" customHeight="1">
      <c r="B20" s="181" t="s">
        <v>32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26" customFormat="1" ht="12" customHeight="1">
      <c r="B21" s="181" t="s">
        <v>33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26" customFormat="1" ht="12" customHeight="1">
      <c r="B22" s="181" t="s">
        <v>34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3.7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27" customFormat="1" ht="15" customHeight="1">
      <c r="B25" s="27">
        <v>1</v>
      </c>
      <c r="C25" s="27" t="s">
        <v>35</v>
      </c>
    </row>
    <row r="26" spans="2:13" s="33" customFormat="1" ht="15" customHeight="1">
      <c r="B26" s="65"/>
      <c r="C26" s="68" t="s">
        <v>101</v>
      </c>
      <c r="M26" s="71" t="s">
        <v>36</v>
      </c>
    </row>
    <row r="27" spans="2:13" ht="11.1" customHeight="1">
      <c r="B27" s="27"/>
    </row>
    <row r="28" spans="2:13" ht="15" customHeight="1">
      <c r="B28" s="27">
        <v>2</v>
      </c>
      <c r="C28" s="27" t="s">
        <v>37</v>
      </c>
    </row>
    <row r="29" spans="2:13" ht="15" customHeight="1">
      <c r="B29" s="27"/>
      <c r="C29" s="21" t="s">
        <v>38</v>
      </c>
      <c r="E29" s="21" t="s">
        <v>39</v>
      </c>
      <c r="F29" s="99">
        <f>'PO 2nd page'!G39</f>
        <v>63510</v>
      </c>
      <c r="G29" s="96"/>
      <c r="H29" s="96"/>
      <c r="M29" s="28"/>
    </row>
    <row r="30" spans="2:13" ht="15" customHeight="1">
      <c r="B30" s="27"/>
      <c r="C30" s="21" t="s">
        <v>40</v>
      </c>
      <c r="E30" s="21" t="s">
        <v>39</v>
      </c>
      <c r="F30" s="99">
        <f>'PO 2nd page'!G40</f>
        <v>9526.5</v>
      </c>
      <c r="G30" s="96"/>
      <c r="H30" s="96"/>
    </row>
    <row r="31" spans="2:13" ht="15" customHeight="1">
      <c r="B31" s="27"/>
      <c r="C31" s="21" t="s">
        <v>41</v>
      </c>
      <c r="D31" s="29"/>
      <c r="E31" s="21" t="s">
        <v>39</v>
      </c>
      <c r="F31" s="99">
        <f>'PO 2nd page'!G41</f>
        <v>73036.5</v>
      </c>
      <c r="G31" s="96"/>
      <c r="H31" s="96"/>
    </row>
    <row r="32" spans="2:13" ht="11.1" customHeight="1">
      <c r="B32" s="27"/>
    </row>
    <row r="33" spans="2:13" ht="15" customHeight="1">
      <c r="B33" s="27">
        <v>3</v>
      </c>
      <c r="C33" s="27" t="s">
        <v>42</v>
      </c>
    </row>
    <row r="34" spans="2:13" ht="12" customHeight="1">
      <c r="B34" s="27"/>
      <c r="C34" s="17" t="s">
        <v>43</v>
      </c>
    </row>
    <row r="35" spans="2:13" ht="12" customHeight="1">
      <c r="B35" s="27"/>
      <c r="C35" s="17" t="s">
        <v>44</v>
      </c>
    </row>
    <row r="36" spans="2:13" ht="12" customHeight="1">
      <c r="B36" s="27"/>
      <c r="C36" s="17" t="s">
        <v>45</v>
      </c>
    </row>
    <row r="37" spans="2:13" ht="6" customHeight="1">
      <c r="B37" s="27"/>
    </row>
    <row r="38" spans="2:13" ht="15" customHeight="1">
      <c r="B38" s="27">
        <v>4</v>
      </c>
      <c r="C38" s="27" t="s">
        <v>46</v>
      </c>
    </row>
    <row r="39" spans="2:13" ht="12" customHeight="1">
      <c r="B39" s="27"/>
      <c r="C39" s="21" t="s">
        <v>47</v>
      </c>
    </row>
    <row r="40" spans="2:13" ht="6" customHeight="1">
      <c r="B40" s="27"/>
    </row>
    <row r="41" spans="2:13" ht="15" customHeight="1">
      <c r="B41" s="27">
        <v>5</v>
      </c>
      <c r="C41" s="27" t="s">
        <v>48</v>
      </c>
    </row>
    <row r="42" spans="2:13" ht="12" customHeight="1">
      <c r="B42" s="27"/>
      <c r="C42" s="30" t="s">
        <v>49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3" ht="12" customHeight="1">
      <c r="B43" s="27"/>
      <c r="C43" s="30" t="s">
        <v>50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12" customHeight="1">
      <c r="B44" s="27"/>
      <c r="C44" s="30" t="s">
        <v>51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3" ht="12" customHeight="1">
      <c r="B45" s="27"/>
      <c r="C45" s="30" t="s">
        <v>52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</row>
    <row r="46" spans="2:13" ht="12" customHeight="1">
      <c r="B46" s="27"/>
      <c r="C46" s="33" t="s">
        <v>53</v>
      </c>
      <c r="D46" s="34"/>
      <c r="E46" s="35"/>
      <c r="F46" s="35"/>
      <c r="G46" s="35"/>
      <c r="H46" s="35"/>
      <c r="I46" s="35"/>
      <c r="J46" s="35"/>
      <c r="K46" s="35"/>
      <c r="L46" s="35"/>
      <c r="M46" s="35"/>
    </row>
    <row r="47" spans="2:13" ht="6" customHeight="1">
      <c r="B47" s="27"/>
    </row>
    <row r="48" spans="2:13" ht="15" customHeight="1">
      <c r="B48" s="27">
        <v>6</v>
      </c>
      <c r="C48" s="27" t="s">
        <v>54</v>
      </c>
    </row>
    <row r="49" spans="2:16" s="33" customFormat="1" ht="12" customHeight="1">
      <c r="B49" s="72" t="s">
        <v>55</v>
      </c>
      <c r="C49" s="73" t="s">
        <v>88</v>
      </c>
      <c r="P49" s="74"/>
    </row>
    <row r="50" spans="2:16" s="75" customFormat="1" ht="12" customHeight="1">
      <c r="B50" s="76" t="s">
        <v>55</v>
      </c>
      <c r="C50" s="73" t="s">
        <v>83</v>
      </c>
    </row>
    <row r="51" spans="2:16" s="75" customFormat="1" ht="12" customHeight="1">
      <c r="B51" s="76" t="s">
        <v>55</v>
      </c>
      <c r="C51" s="73" t="s">
        <v>82</v>
      </c>
    </row>
    <row r="52" spans="2:16" s="75" customFormat="1" ht="6" customHeight="1">
      <c r="B52" s="76"/>
      <c r="C52" s="73"/>
    </row>
    <row r="53" spans="2:16" ht="15" customHeight="1">
      <c r="B53" s="36">
        <v>7</v>
      </c>
      <c r="C53" s="27" t="s">
        <v>92</v>
      </c>
    </row>
    <row r="54" spans="2:16" ht="12" customHeight="1">
      <c r="B54" s="76" t="s">
        <v>55</v>
      </c>
      <c r="C54" s="100" t="s">
        <v>94</v>
      </c>
      <c r="F54" s="101" t="s">
        <v>106</v>
      </c>
      <c r="P54" s="21" t="str">
        <f>UPPER(F54)</f>
        <v>ALAM ALAMANI TRADING COMPANY</v>
      </c>
    </row>
    <row r="55" spans="2:16" ht="12" customHeight="1">
      <c r="B55" s="76" t="s">
        <v>55</v>
      </c>
      <c r="C55" s="100" t="s">
        <v>95</v>
      </c>
      <c r="F55" s="101" t="s">
        <v>107</v>
      </c>
    </row>
    <row r="56" spans="2:16" ht="12" customHeight="1">
      <c r="B56" s="76" t="s">
        <v>55</v>
      </c>
      <c r="C56" s="100" t="s">
        <v>96</v>
      </c>
      <c r="F56" s="21" t="s">
        <v>108</v>
      </c>
    </row>
    <row r="57" spans="2:16" ht="12" customHeight="1">
      <c r="B57" s="76" t="s">
        <v>55</v>
      </c>
      <c r="C57" s="100" t="s">
        <v>97</v>
      </c>
      <c r="F57" s="21" t="s">
        <v>109</v>
      </c>
    </row>
    <row r="58" spans="2:16" ht="12" customHeight="1">
      <c r="B58" s="76" t="s">
        <v>55</v>
      </c>
      <c r="C58" s="100" t="s">
        <v>98</v>
      </c>
      <c r="F58" s="21" t="s">
        <v>110</v>
      </c>
    </row>
    <row r="59" spans="2:16" ht="12" customHeight="1">
      <c r="B59" s="76" t="s">
        <v>55</v>
      </c>
      <c r="C59" s="100" t="s">
        <v>99</v>
      </c>
      <c r="F59" s="21" t="s">
        <v>93</v>
      </c>
    </row>
    <row r="60" spans="2:16" ht="12" customHeight="1">
      <c r="B60" s="76"/>
      <c r="C60" s="100" t="s">
        <v>100</v>
      </c>
    </row>
    <row r="61" spans="2:16" ht="6.75" customHeight="1">
      <c r="B61" s="76"/>
      <c r="C61" s="100"/>
    </row>
    <row r="62" spans="2:16" ht="6" customHeight="1">
      <c r="B62" s="102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2:16" ht="11.1" customHeight="1">
      <c r="B63" s="36"/>
    </row>
    <row r="64" spans="2:16">
      <c r="B64" s="27" t="s">
        <v>56</v>
      </c>
      <c r="J64" s="27" t="s">
        <v>57</v>
      </c>
    </row>
    <row r="65" spans="1:13" ht="41.25" customHeight="1"/>
    <row r="66" spans="1:13" ht="13.5" customHeight="1">
      <c r="B66" s="21" t="s">
        <v>58</v>
      </c>
      <c r="J66" s="21" t="s">
        <v>58</v>
      </c>
    </row>
    <row r="67" spans="1:13" ht="13.5" customHeight="1">
      <c r="B67" s="21" t="s">
        <v>59</v>
      </c>
      <c r="J67" s="21" t="s">
        <v>60</v>
      </c>
      <c r="K67" s="17" t="str">
        <f>D12</f>
        <v>Rafeeq Kotyadi</v>
      </c>
    </row>
    <row r="68" spans="1:13" ht="13.5" customHeight="1">
      <c r="B68" s="21" t="s">
        <v>61</v>
      </c>
      <c r="J68" s="21" t="s">
        <v>62</v>
      </c>
      <c r="K68" s="17" t="s">
        <v>117</v>
      </c>
    </row>
    <row r="69" spans="1:13" ht="13.5" customHeight="1">
      <c r="B69" s="21" t="s">
        <v>63</v>
      </c>
      <c r="J69" s="21" t="s">
        <v>64</v>
      </c>
    </row>
    <row r="70" spans="1:13" s="23" customFormat="1" ht="24.75" customHeight="1">
      <c r="B70" s="20" t="s">
        <v>90</v>
      </c>
      <c r="J70" s="184" t="str">
        <f>C9</f>
        <v>AMT(Alam Alamani Trading Company)</v>
      </c>
      <c r="K70" s="184"/>
      <c r="L70" s="184"/>
      <c r="M70" s="184"/>
    </row>
    <row r="71" spans="1:13" ht="27.95" customHeight="1">
      <c r="A71" s="176" t="s">
        <v>65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27"/>
    </row>
    <row r="79" spans="1:13">
      <c r="B79" s="27"/>
    </row>
    <row r="80" spans="1:13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9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37" customWidth="1"/>
    <col min="2" max="3" width="27.425781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66</v>
      </c>
      <c r="B2" s="39" t="str">
        <f>+'PO 1st page'!K11</f>
        <v>SAC2-DS-PO-0463</v>
      </c>
      <c r="C2" s="201" t="s">
        <v>67</v>
      </c>
      <c r="D2" s="201"/>
      <c r="E2" s="201"/>
      <c r="F2" s="201"/>
      <c r="G2" s="40"/>
      <c r="H2" s="40"/>
    </row>
    <row r="3" spans="1:13" s="46" customFormat="1" ht="28.5" customHeight="1" thickBot="1">
      <c r="A3" s="41" t="s">
        <v>68</v>
      </c>
      <c r="B3" s="42">
        <f>+'PO 1st page'!K10</f>
        <v>46280</v>
      </c>
      <c r="C3" s="43"/>
      <c r="D3" s="44"/>
      <c r="E3" s="202" t="s">
        <v>69</v>
      </c>
      <c r="F3" s="202"/>
      <c r="G3" s="202"/>
      <c r="H3" s="202"/>
      <c r="I3" s="45"/>
    </row>
    <row r="4" spans="1:13" s="47" customFormat="1" ht="28.5" customHeight="1" thickTop="1">
      <c r="A4" s="191" t="s">
        <v>70</v>
      </c>
      <c r="B4" s="193" t="s">
        <v>71</v>
      </c>
      <c r="C4" s="194"/>
      <c r="D4" s="197" t="s">
        <v>72</v>
      </c>
      <c r="E4" s="197" t="s">
        <v>73</v>
      </c>
      <c r="F4" s="199" t="str">
        <f>'PO 1st page'!C9</f>
        <v>AMT(Alam Alamani Trading Company)</v>
      </c>
      <c r="G4" s="200"/>
      <c r="H4" s="203" t="s">
        <v>74</v>
      </c>
      <c r="K4" s="48"/>
      <c r="L4" s="48"/>
      <c r="M4" s="48"/>
    </row>
    <row r="5" spans="1:13" s="47" customFormat="1" ht="21.95" customHeight="1">
      <c r="A5" s="192"/>
      <c r="B5" s="195"/>
      <c r="C5" s="196"/>
      <c r="D5" s="198"/>
      <c r="E5" s="198"/>
      <c r="F5" s="49" t="s">
        <v>75</v>
      </c>
      <c r="G5" s="49" t="s">
        <v>41</v>
      </c>
      <c r="H5" s="204"/>
      <c r="K5" s="48"/>
      <c r="L5" s="48"/>
      <c r="M5" s="48"/>
    </row>
    <row r="6" spans="1:13" s="47" customFormat="1" ht="26.25" customHeight="1">
      <c r="A6" s="77">
        <f t="shared" ref="A6:A38" si="0">ROW(A1)</f>
        <v>1</v>
      </c>
      <c r="B6" s="189" t="str">
        <f>_xlfn.CONCAT(MRS!B6," ",MRS!D6)</f>
        <v>BOW SHACKLE  1 1/2"X17TON</v>
      </c>
      <c r="C6" s="190"/>
      <c r="D6" s="78" t="str">
        <f>MRS!G6</f>
        <v>EA</v>
      </c>
      <c r="E6" s="79">
        <f>MRS!H6</f>
        <v>4</v>
      </c>
      <c r="F6" s="80">
        <f>MRS!I6</f>
        <v>110</v>
      </c>
      <c r="G6" s="81">
        <f>MRS!J6</f>
        <v>440</v>
      </c>
      <c r="H6" s="82" t="s">
        <v>89</v>
      </c>
      <c r="K6" s="83"/>
      <c r="L6" s="84"/>
      <c r="M6" s="48"/>
    </row>
    <row r="7" spans="1:13" s="47" customFormat="1" ht="26.25" customHeight="1">
      <c r="A7" s="77">
        <f t="shared" si="0"/>
        <v>2</v>
      </c>
      <c r="B7" s="189" t="str">
        <f>_xlfn.CONCAT(MRS!B7," ",MRS!D7)</f>
        <v>BOW SHACKLE  1 1/4"X12TON</v>
      </c>
      <c r="C7" s="190"/>
      <c r="D7" s="78" t="str">
        <f>MRS!G7</f>
        <v>EA</v>
      </c>
      <c r="E7" s="79">
        <f>MRS!H7</f>
        <v>4</v>
      </c>
      <c r="F7" s="80">
        <f>MRS!I7</f>
        <v>70</v>
      </c>
      <c r="G7" s="81">
        <f>MRS!J7</f>
        <v>280</v>
      </c>
      <c r="H7" s="82"/>
      <c r="K7" s="83"/>
      <c r="L7" s="84"/>
      <c r="M7" s="48"/>
    </row>
    <row r="8" spans="1:13" s="47" customFormat="1" ht="26.25" customHeight="1">
      <c r="A8" s="85">
        <f t="shared" si="0"/>
        <v>3</v>
      </c>
      <c r="B8" s="189" t="str">
        <f>_xlfn.CONCAT(MRS!B8," ",MRS!D8)</f>
        <v>BOW SHACKLE  1 3/4"X25TON</v>
      </c>
      <c r="C8" s="190"/>
      <c r="D8" s="78" t="str">
        <f>MRS!G8</f>
        <v>EA</v>
      </c>
      <c r="E8" s="79">
        <f>MRS!H8</f>
        <v>4</v>
      </c>
      <c r="F8" s="80">
        <f>MRS!I8</f>
        <v>210</v>
      </c>
      <c r="G8" s="81">
        <f>MRS!J8</f>
        <v>840</v>
      </c>
      <c r="H8" s="82"/>
      <c r="K8" s="48"/>
      <c r="L8" s="48"/>
      <c r="M8" s="48"/>
    </row>
    <row r="9" spans="1:13" s="47" customFormat="1" ht="26.25" customHeight="1">
      <c r="A9" s="85">
        <f t="shared" si="0"/>
        <v>4</v>
      </c>
      <c r="B9" s="189" t="str">
        <f>_xlfn.CONCAT(MRS!B9," ",MRS!D9)</f>
        <v>BOW SHACKLE  1"X8.5TON</v>
      </c>
      <c r="C9" s="190"/>
      <c r="D9" s="78" t="str">
        <f>MRS!G9</f>
        <v>EA</v>
      </c>
      <c r="E9" s="79">
        <f>MRS!H9</f>
        <v>4</v>
      </c>
      <c r="F9" s="80">
        <f>MRS!I9</f>
        <v>34</v>
      </c>
      <c r="G9" s="81">
        <f>MRS!J9</f>
        <v>136</v>
      </c>
      <c r="H9" s="86"/>
    </row>
    <row r="10" spans="1:13" s="47" customFormat="1" ht="26.25" customHeight="1">
      <c r="A10" s="85">
        <f t="shared" si="0"/>
        <v>5</v>
      </c>
      <c r="B10" s="189" t="str">
        <f>_xlfn.CONCAT(MRS!B10," ",MRS!D10)</f>
        <v>BOW SHACKLE  1"X8.5TON</v>
      </c>
      <c r="C10" s="190"/>
      <c r="D10" s="78" t="str">
        <f>MRS!G10</f>
        <v>EA</v>
      </c>
      <c r="E10" s="79">
        <f>MRS!H10</f>
        <v>100</v>
      </c>
      <c r="F10" s="80">
        <f>MRS!I10</f>
        <v>34</v>
      </c>
      <c r="G10" s="81">
        <f>MRS!J10</f>
        <v>3400</v>
      </c>
      <c r="H10" s="86"/>
    </row>
    <row r="11" spans="1:13" s="47" customFormat="1" ht="26.25" customHeight="1">
      <c r="A11" s="85">
        <f t="shared" si="0"/>
        <v>6</v>
      </c>
      <c r="B11" s="189" t="str">
        <f>_xlfn.CONCAT(MRS!B11," ",MRS!D11)</f>
        <v>BOW SHACKLE  1/2"X2TON</v>
      </c>
      <c r="C11" s="190"/>
      <c r="D11" s="78" t="str">
        <f>MRS!G11</f>
        <v>EA</v>
      </c>
      <c r="E11" s="79">
        <f>MRS!H11</f>
        <v>24</v>
      </c>
      <c r="F11" s="80">
        <f>MRS!I11</f>
        <v>10</v>
      </c>
      <c r="G11" s="81">
        <f>MRS!J11</f>
        <v>240</v>
      </c>
      <c r="H11" s="86"/>
    </row>
    <row r="12" spans="1:13" s="47" customFormat="1" ht="26.25" customHeight="1">
      <c r="A12" s="85">
        <f t="shared" si="0"/>
        <v>7</v>
      </c>
      <c r="B12" s="189" t="str">
        <f>_xlfn.CONCAT(MRS!B12," ",MRS!D12)</f>
        <v>BOW SHACKLE  2"X35TON</v>
      </c>
      <c r="C12" s="190"/>
      <c r="D12" s="78" t="str">
        <f>MRS!G12</f>
        <v>EA</v>
      </c>
      <c r="E12" s="79">
        <f>MRS!H12</f>
        <v>2</v>
      </c>
      <c r="F12" s="80">
        <f>MRS!I12</f>
        <v>320</v>
      </c>
      <c r="G12" s="81">
        <f>MRS!J12</f>
        <v>640</v>
      </c>
      <c r="H12" s="86"/>
    </row>
    <row r="13" spans="1:13" s="47" customFormat="1" ht="26.25" customHeight="1">
      <c r="A13" s="85">
        <f t="shared" si="0"/>
        <v>8</v>
      </c>
      <c r="B13" s="189" t="str">
        <f>_xlfn.CONCAT(MRS!B13," ",MRS!D13)</f>
        <v>BOW SHACKLE  3/4"X4.75TON</v>
      </c>
      <c r="C13" s="190"/>
      <c r="D13" s="78" t="str">
        <f>MRS!G13</f>
        <v>EA</v>
      </c>
      <c r="E13" s="79">
        <f>MRS!H13</f>
        <v>24</v>
      </c>
      <c r="F13" s="80">
        <f>MRS!I13</f>
        <v>20</v>
      </c>
      <c r="G13" s="81">
        <f>MRS!J13</f>
        <v>480</v>
      </c>
      <c r="H13" s="86"/>
    </row>
    <row r="14" spans="1:13" s="47" customFormat="1" ht="26.25" customHeight="1">
      <c r="A14" s="85">
        <f t="shared" si="0"/>
        <v>9</v>
      </c>
      <c r="B14" s="189" t="str">
        <f>_xlfn.CONCAT(MRS!B14," ",MRS!D14)</f>
        <v>BOW SHACKLE  3/4"X4.75TON</v>
      </c>
      <c r="C14" s="190"/>
      <c r="D14" s="78" t="str">
        <f>MRS!G14</f>
        <v>EA</v>
      </c>
      <c r="E14" s="79">
        <f>MRS!H14</f>
        <v>200</v>
      </c>
      <c r="F14" s="80">
        <f>MRS!I14</f>
        <v>20</v>
      </c>
      <c r="G14" s="81">
        <f>MRS!J14</f>
        <v>4000</v>
      </c>
      <c r="H14" s="86"/>
    </row>
    <row r="15" spans="1:13" s="47" customFormat="1" ht="26.25" customHeight="1">
      <c r="A15" s="85">
        <f t="shared" si="0"/>
        <v>10</v>
      </c>
      <c r="B15" s="189" t="str">
        <f>_xlfn.CONCAT(MRS!B15," ",MRS!D15)</f>
        <v>BOW SHACKLE  7/8"X6.5TON</v>
      </c>
      <c r="C15" s="190"/>
      <c r="D15" s="78" t="str">
        <f>MRS!G15</f>
        <v>EA</v>
      </c>
      <c r="E15" s="79">
        <f>MRS!H15</f>
        <v>24</v>
      </c>
      <c r="F15" s="80">
        <f>MRS!I15</f>
        <v>25</v>
      </c>
      <c r="G15" s="81">
        <f>MRS!J15</f>
        <v>600</v>
      </c>
      <c r="H15" s="86"/>
    </row>
    <row r="16" spans="1:13" s="47" customFormat="1" ht="26.25" customHeight="1">
      <c r="A16" s="85">
        <f t="shared" si="0"/>
        <v>11</v>
      </c>
      <c r="B16" s="189" t="str">
        <f>_xlfn.CONCAT(MRS!B16," ",MRS!D16)</f>
        <v>BOW SHACKLE  7/8"X6.5TON</v>
      </c>
      <c r="C16" s="190"/>
      <c r="D16" s="78" t="str">
        <f>MRS!G16</f>
        <v>EA</v>
      </c>
      <c r="E16" s="79">
        <f>MRS!H16</f>
        <v>200</v>
      </c>
      <c r="F16" s="80">
        <f>MRS!I16</f>
        <v>25</v>
      </c>
      <c r="G16" s="81">
        <f>MRS!J16</f>
        <v>5000</v>
      </c>
      <c r="H16" s="86"/>
    </row>
    <row r="17" spans="1:8" s="47" customFormat="1" ht="26.25" customHeight="1">
      <c r="A17" s="85">
        <f t="shared" si="0"/>
        <v>12</v>
      </c>
      <c r="B17" s="189" t="str">
        <f>_xlfn.CONCAT(MRS!B17," ",MRS!D17)</f>
        <v>CHAIN BLOCK 1.5TONX3MTR</v>
      </c>
      <c r="C17" s="190"/>
      <c r="D17" s="78" t="str">
        <f>MRS!G17</f>
        <v>EA</v>
      </c>
      <c r="E17" s="79">
        <f>MRS!H17</f>
        <v>10</v>
      </c>
      <c r="F17" s="80">
        <f>MRS!I17</f>
        <v>240</v>
      </c>
      <c r="G17" s="81">
        <f>MRS!J17</f>
        <v>2400</v>
      </c>
      <c r="H17" s="86"/>
    </row>
    <row r="18" spans="1:8" s="47" customFormat="1" ht="26.25" customHeight="1">
      <c r="A18" s="85">
        <f t="shared" si="0"/>
        <v>13</v>
      </c>
      <c r="B18" s="189" t="str">
        <f>_xlfn.CONCAT(MRS!B18," ",MRS!D18)</f>
        <v>CHAIN BLOCK 2TONX3MTR</v>
      </c>
      <c r="C18" s="190"/>
      <c r="D18" s="78" t="str">
        <f>MRS!G18</f>
        <v>EA</v>
      </c>
      <c r="E18" s="79">
        <f>MRS!H18</f>
        <v>10</v>
      </c>
      <c r="F18" s="80">
        <f>MRS!I18</f>
        <v>280</v>
      </c>
      <c r="G18" s="81">
        <f>MRS!J18</f>
        <v>2800</v>
      </c>
      <c r="H18" s="86"/>
    </row>
    <row r="19" spans="1:8" s="47" customFormat="1" ht="26.25" customHeight="1">
      <c r="A19" s="85">
        <f t="shared" si="0"/>
        <v>14</v>
      </c>
      <c r="B19" s="189" t="str">
        <f>_xlfn.CONCAT(MRS!B19," ",MRS!D19)</f>
        <v>CHAIN BLOCK 3TONX3MTR</v>
      </c>
      <c r="C19" s="190"/>
      <c r="D19" s="78" t="str">
        <f>MRS!G19</f>
        <v>EA</v>
      </c>
      <c r="E19" s="79">
        <f>MRS!H19</f>
        <v>10</v>
      </c>
      <c r="F19" s="80">
        <f>MRS!I19</f>
        <v>340</v>
      </c>
      <c r="G19" s="81">
        <f>MRS!J19</f>
        <v>3400</v>
      </c>
      <c r="H19" s="86"/>
    </row>
    <row r="20" spans="1:8" s="47" customFormat="1" ht="26.25" customHeight="1">
      <c r="A20" s="85">
        <f t="shared" si="0"/>
        <v>15</v>
      </c>
      <c r="B20" s="189" t="str">
        <f>_xlfn.CONCAT(MRS!B20," ",MRS!D20)</f>
        <v>DIE LEVER BLOCK 1.5TON</v>
      </c>
      <c r="C20" s="190"/>
      <c r="D20" s="78" t="str">
        <f>MRS!G20</f>
        <v>EA</v>
      </c>
      <c r="E20" s="79">
        <f>MRS!H20</f>
        <v>10</v>
      </c>
      <c r="F20" s="80">
        <f>MRS!I20</f>
        <v>280</v>
      </c>
      <c r="G20" s="81">
        <f>MRS!J20</f>
        <v>2800</v>
      </c>
      <c r="H20" s="86"/>
    </row>
    <row r="21" spans="1:8" s="47" customFormat="1" ht="26.25" customHeight="1">
      <c r="A21" s="85">
        <f t="shared" si="0"/>
        <v>16</v>
      </c>
      <c r="B21" s="189" t="str">
        <f>_xlfn.CONCAT(MRS!B21," ",MRS!D21)</f>
        <v>DIE LEVER BLOCK 2TON</v>
      </c>
      <c r="C21" s="190"/>
      <c r="D21" s="78" t="str">
        <f>MRS!G21</f>
        <v>EA</v>
      </c>
      <c r="E21" s="79">
        <f>MRS!H21</f>
        <v>10</v>
      </c>
      <c r="F21" s="80">
        <f>MRS!I21</f>
        <v>290</v>
      </c>
      <c r="G21" s="81">
        <f>MRS!J21</f>
        <v>2900</v>
      </c>
      <c r="H21" s="86"/>
    </row>
    <row r="22" spans="1:8" s="47" customFormat="1" ht="26.25" customHeight="1">
      <c r="A22" s="85">
        <f t="shared" si="0"/>
        <v>17</v>
      </c>
      <c r="B22" s="189" t="str">
        <f>_xlfn.CONCAT(MRS!B22," ",MRS!D22)</f>
        <v>WEB SLING BELT  1"X1MTR</v>
      </c>
      <c r="C22" s="190"/>
      <c r="D22" s="78" t="str">
        <f>MRS!G22</f>
        <v>EA</v>
      </c>
      <c r="E22" s="79">
        <f>MRS!H22</f>
        <v>30</v>
      </c>
      <c r="F22" s="80">
        <f>MRS!I22</f>
        <v>5</v>
      </c>
      <c r="G22" s="81">
        <f>MRS!J22</f>
        <v>150</v>
      </c>
      <c r="H22" s="86"/>
    </row>
    <row r="23" spans="1:8" s="47" customFormat="1" ht="26.25" customHeight="1">
      <c r="A23" s="85">
        <f t="shared" si="0"/>
        <v>18</v>
      </c>
      <c r="B23" s="189" t="str">
        <f>_xlfn.CONCAT(MRS!B23," ",MRS!D23)</f>
        <v>WEB SLING BELT  1"X2MTR</v>
      </c>
      <c r="C23" s="190"/>
      <c r="D23" s="78" t="str">
        <f>MRS!G23</f>
        <v>EA</v>
      </c>
      <c r="E23" s="79">
        <f>MRS!H23</f>
        <v>30</v>
      </c>
      <c r="F23" s="80">
        <f>MRS!I23</f>
        <v>10</v>
      </c>
      <c r="G23" s="81">
        <f>MRS!J23</f>
        <v>300</v>
      </c>
      <c r="H23" s="86"/>
    </row>
    <row r="24" spans="1:8" s="47" customFormat="1" ht="26.25" customHeight="1">
      <c r="A24" s="85">
        <f t="shared" si="0"/>
        <v>19</v>
      </c>
      <c r="B24" s="189" t="str">
        <f>_xlfn.CONCAT(MRS!B24," ",MRS!D24)</f>
        <v>WEB SLING BELT  2"X2MTR</v>
      </c>
      <c r="C24" s="190"/>
      <c r="D24" s="78" t="str">
        <f>MRS!G24</f>
        <v>EA</v>
      </c>
      <c r="E24" s="79">
        <f>MRS!H24</f>
        <v>24</v>
      </c>
      <c r="F24" s="80">
        <f>MRS!I24</f>
        <v>14</v>
      </c>
      <c r="G24" s="81">
        <f>MRS!J24</f>
        <v>336</v>
      </c>
      <c r="H24" s="86"/>
    </row>
    <row r="25" spans="1:8" s="47" customFormat="1" ht="26.25" customHeight="1">
      <c r="A25" s="85">
        <f t="shared" si="0"/>
        <v>20</v>
      </c>
      <c r="B25" s="189" t="str">
        <f>_xlfn.CONCAT(MRS!B25," ",MRS!D25)</f>
        <v>WEB SLING BELT  2"X2MTR</v>
      </c>
      <c r="C25" s="190"/>
      <c r="D25" s="78" t="str">
        <f>MRS!G25</f>
        <v>EA</v>
      </c>
      <c r="E25" s="79">
        <f>MRS!H25</f>
        <v>200</v>
      </c>
      <c r="F25" s="80">
        <f>MRS!I25</f>
        <v>14</v>
      </c>
      <c r="G25" s="81">
        <f>MRS!J25</f>
        <v>2800</v>
      </c>
      <c r="H25" s="86"/>
    </row>
    <row r="26" spans="1:8" s="47" customFormat="1" ht="26.25" customHeight="1">
      <c r="A26" s="85">
        <f t="shared" si="0"/>
        <v>21</v>
      </c>
      <c r="B26" s="189" t="str">
        <f>_xlfn.CONCAT(MRS!B26," ",MRS!D26)</f>
        <v>WEB SLING BELT  2"X3MTR</v>
      </c>
      <c r="C26" s="190"/>
      <c r="D26" s="78" t="str">
        <f>MRS!G26</f>
        <v>EA</v>
      </c>
      <c r="E26" s="79">
        <f>MRS!H26</f>
        <v>200</v>
      </c>
      <c r="F26" s="80">
        <f>MRS!I26</f>
        <v>20</v>
      </c>
      <c r="G26" s="81">
        <f>MRS!J26</f>
        <v>4000</v>
      </c>
      <c r="H26" s="86"/>
    </row>
    <row r="27" spans="1:8" s="47" customFormat="1" ht="26.25" customHeight="1">
      <c r="A27" s="85">
        <f t="shared" si="0"/>
        <v>22</v>
      </c>
      <c r="B27" s="189" t="str">
        <f>_xlfn.CONCAT(MRS!B27," ",MRS!D27)</f>
        <v>WEB SLING BELT  2"X6MTR</v>
      </c>
      <c r="C27" s="190"/>
      <c r="D27" s="78" t="str">
        <f>MRS!G27</f>
        <v>EA</v>
      </c>
      <c r="E27" s="79">
        <f>MRS!H27</f>
        <v>24</v>
      </c>
      <c r="F27" s="80">
        <f>MRS!I27</f>
        <v>32</v>
      </c>
      <c r="G27" s="81">
        <f>MRS!J27</f>
        <v>768</v>
      </c>
      <c r="H27" s="86"/>
    </row>
    <row r="28" spans="1:8" s="47" customFormat="1" ht="26.25" customHeight="1">
      <c r="A28" s="85">
        <f t="shared" si="0"/>
        <v>23</v>
      </c>
      <c r="B28" s="189" t="str">
        <f>_xlfn.CONCAT(MRS!B28," ",MRS!D28)</f>
        <v>WEB SLING BELT  2"X8MTR</v>
      </c>
      <c r="C28" s="190"/>
      <c r="D28" s="78" t="str">
        <f>MRS!G28</f>
        <v>EA</v>
      </c>
      <c r="E28" s="79">
        <f>MRS!H28</f>
        <v>24</v>
      </c>
      <c r="F28" s="80">
        <f>MRS!I28</f>
        <v>40</v>
      </c>
      <c r="G28" s="81">
        <f>MRS!J28</f>
        <v>960</v>
      </c>
      <c r="H28" s="86"/>
    </row>
    <row r="29" spans="1:8" s="47" customFormat="1" ht="26.25" customHeight="1">
      <c r="A29" s="85">
        <f t="shared" si="0"/>
        <v>24</v>
      </c>
      <c r="B29" s="189" t="str">
        <f>_xlfn.CONCAT(MRS!B29," ",MRS!D29)</f>
        <v>WEB SLING BELT  2"X8MTR</v>
      </c>
      <c r="C29" s="190"/>
      <c r="D29" s="78" t="str">
        <f>MRS!G29</f>
        <v>EA</v>
      </c>
      <c r="E29" s="79">
        <f>MRS!H29</f>
        <v>50</v>
      </c>
      <c r="F29" s="80">
        <f>MRS!I29</f>
        <v>40</v>
      </c>
      <c r="G29" s="81">
        <f>MRS!J29</f>
        <v>2000</v>
      </c>
      <c r="H29" s="86"/>
    </row>
    <row r="30" spans="1:8" s="47" customFormat="1" ht="26.25" customHeight="1">
      <c r="A30" s="85">
        <f t="shared" si="0"/>
        <v>25</v>
      </c>
      <c r="B30" s="189" t="str">
        <f>_xlfn.CONCAT(MRS!B30," ",MRS!D30)</f>
        <v>WEB SLING BELT  3"X6MTR</v>
      </c>
      <c r="C30" s="190"/>
      <c r="D30" s="78" t="str">
        <f>MRS!G30</f>
        <v>EA</v>
      </c>
      <c r="E30" s="79">
        <f>MRS!H30</f>
        <v>30</v>
      </c>
      <c r="F30" s="80">
        <f>MRS!I30</f>
        <v>56</v>
      </c>
      <c r="G30" s="81">
        <f>MRS!J30</f>
        <v>1680</v>
      </c>
      <c r="H30" s="86"/>
    </row>
    <row r="31" spans="1:8" s="47" customFormat="1" ht="26.25" customHeight="1">
      <c r="A31" s="85">
        <f t="shared" si="0"/>
        <v>26</v>
      </c>
      <c r="B31" s="189" t="str">
        <f>_xlfn.CONCAT(MRS!B31," ",MRS!D31)</f>
        <v>WEB SLING BELT  3"X8MTR</v>
      </c>
      <c r="C31" s="190"/>
      <c r="D31" s="78" t="str">
        <f>MRS!G31</f>
        <v>EA</v>
      </c>
      <c r="E31" s="79">
        <f>MRS!H31</f>
        <v>50</v>
      </c>
      <c r="F31" s="80">
        <f>MRS!I31</f>
        <v>70</v>
      </c>
      <c r="G31" s="81">
        <f>MRS!J31</f>
        <v>3500</v>
      </c>
      <c r="H31" s="86"/>
    </row>
    <row r="32" spans="1:8" s="47" customFormat="1" ht="26.25" customHeight="1">
      <c r="A32" s="85">
        <f t="shared" si="0"/>
        <v>27</v>
      </c>
      <c r="B32" s="189" t="str">
        <f>_xlfn.CONCAT(MRS!B32," ",MRS!D32)</f>
        <v>WEB SLING BELT  4"X10MTR</v>
      </c>
      <c r="C32" s="190"/>
      <c r="D32" s="78" t="str">
        <f>MRS!G32</f>
        <v>EA</v>
      </c>
      <c r="E32" s="79">
        <f>MRS!H32</f>
        <v>24</v>
      </c>
      <c r="F32" s="80">
        <f>MRS!I32</f>
        <v>95</v>
      </c>
      <c r="G32" s="81">
        <f>MRS!J32</f>
        <v>2280</v>
      </c>
      <c r="H32" s="86"/>
    </row>
    <row r="33" spans="1:13" s="47" customFormat="1" ht="26.25" customHeight="1">
      <c r="A33" s="85">
        <f t="shared" si="0"/>
        <v>28</v>
      </c>
      <c r="B33" s="189" t="str">
        <f>_xlfn.CONCAT(MRS!B33," ",MRS!D33)</f>
        <v>WEB SLING BELT  4"X4MTR</v>
      </c>
      <c r="C33" s="190"/>
      <c r="D33" s="78" t="str">
        <f>MRS!G33</f>
        <v>EA</v>
      </c>
      <c r="E33" s="79">
        <f>MRS!H33</f>
        <v>24</v>
      </c>
      <c r="F33" s="80">
        <f>MRS!I33</f>
        <v>45</v>
      </c>
      <c r="G33" s="81">
        <f>MRS!J33</f>
        <v>1080</v>
      </c>
      <c r="H33" s="86"/>
    </row>
    <row r="34" spans="1:13" s="47" customFormat="1" ht="26.25" customHeight="1">
      <c r="A34" s="85">
        <f t="shared" si="0"/>
        <v>29</v>
      </c>
      <c r="B34" s="189" t="str">
        <f>_xlfn.CONCAT(MRS!B34," ",MRS!D34)</f>
        <v>WEB SLING BELT  4"X6MTR</v>
      </c>
      <c r="C34" s="190"/>
      <c r="D34" s="78" t="str">
        <f>MRS!G34</f>
        <v>EA</v>
      </c>
      <c r="E34" s="79">
        <f>MRS!H34</f>
        <v>24</v>
      </c>
      <c r="F34" s="80">
        <f>MRS!I34</f>
        <v>66</v>
      </c>
      <c r="G34" s="81">
        <f>MRS!J34</f>
        <v>1584</v>
      </c>
      <c r="H34" s="86"/>
    </row>
    <row r="35" spans="1:13" s="47" customFormat="1" ht="26.25" customHeight="1">
      <c r="A35" s="85">
        <f t="shared" si="0"/>
        <v>30</v>
      </c>
      <c r="B35" s="189" t="str">
        <f>_xlfn.CONCAT(MRS!B35," ",MRS!D35)</f>
        <v>WEB SLING BELT  4"X8MTR</v>
      </c>
      <c r="C35" s="190"/>
      <c r="D35" s="78" t="str">
        <f>MRS!G35</f>
        <v>EA</v>
      </c>
      <c r="E35" s="79">
        <f>MRS!H35</f>
        <v>24</v>
      </c>
      <c r="F35" s="80">
        <f>MRS!I35</f>
        <v>84</v>
      </c>
      <c r="G35" s="81">
        <f>MRS!J35</f>
        <v>2016</v>
      </c>
      <c r="H35" s="86"/>
    </row>
    <row r="36" spans="1:13" s="47" customFormat="1" ht="26.25" customHeight="1">
      <c r="A36" s="85">
        <f t="shared" si="0"/>
        <v>31</v>
      </c>
      <c r="B36" s="189" t="str">
        <f>_xlfn.CONCAT(MRS!B36," ",MRS!D36)</f>
        <v>WEB SLING BELT  4"X8MTR</v>
      </c>
      <c r="C36" s="190"/>
      <c r="D36" s="78" t="str">
        <f>MRS!G36</f>
        <v>EA</v>
      </c>
      <c r="E36" s="79">
        <f>MRS!H36</f>
        <v>50</v>
      </c>
      <c r="F36" s="80">
        <f>MRS!I36</f>
        <v>84</v>
      </c>
      <c r="G36" s="81">
        <f>MRS!J36</f>
        <v>4200</v>
      </c>
      <c r="H36" s="86"/>
    </row>
    <row r="37" spans="1:13" s="47" customFormat="1" ht="26.25" customHeight="1">
      <c r="A37" s="85">
        <f t="shared" si="0"/>
        <v>32</v>
      </c>
      <c r="B37" s="189" t="str">
        <f>_xlfn.CONCAT(MRS!B37," ",MRS!D37)</f>
        <v>WEB SLING BELT  6"X10MTR</v>
      </c>
      <c r="C37" s="190"/>
      <c r="D37" s="78" t="str">
        <f>MRS!G37</f>
        <v>EA</v>
      </c>
      <c r="E37" s="79">
        <f>MRS!H37</f>
        <v>20</v>
      </c>
      <c r="F37" s="80">
        <f>MRS!I37</f>
        <v>165</v>
      </c>
      <c r="G37" s="81">
        <f>MRS!J37</f>
        <v>3300</v>
      </c>
      <c r="H37" s="86"/>
    </row>
    <row r="38" spans="1:13" s="47" customFormat="1" ht="26.25" customHeight="1">
      <c r="A38" s="85">
        <f t="shared" si="0"/>
        <v>33</v>
      </c>
      <c r="B38" s="189" t="str">
        <f>_xlfn.CONCAT(MRS!B38," ",MRS!D38)</f>
        <v>SAFETY HARNESS BELT WITH LANYARD (Double) ANSI Z 3591</v>
      </c>
      <c r="C38" s="190"/>
      <c r="D38" s="78" t="str">
        <f>MRS!G38</f>
        <v>EA</v>
      </c>
      <c r="E38" s="79">
        <f>MRS!H38</f>
        <v>20</v>
      </c>
      <c r="F38" s="80">
        <f>MRS!I38</f>
        <v>110</v>
      </c>
      <c r="G38" s="81">
        <f>MRS!J38</f>
        <v>2200</v>
      </c>
      <c r="H38" s="86"/>
    </row>
    <row r="39" spans="1:13" s="47" customFormat="1" ht="23.1" customHeight="1">
      <c r="A39" s="185" t="s">
        <v>76</v>
      </c>
      <c r="B39" s="186"/>
      <c r="C39" s="186"/>
      <c r="D39" s="186"/>
      <c r="E39" s="186"/>
      <c r="F39" s="186"/>
      <c r="G39" s="50">
        <f>SUM(G6:G38)</f>
        <v>63510</v>
      </c>
      <c r="H39" s="51"/>
    </row>
    <row r="40" spans="1:13" s="47" customFormat="1" ht="23.1" customHeight="1">
      <c r="A40" s="185" t="s">
        <v>40</v>
      </c>
      <c r="B40" s="186"/>
      <c r="C40" s="186"/>
      <c r="D40" s="186"/>
      <c r="E40" s="186"/>
      <c r="F40" s="186"/>
      <c r="G40" s="50">
        <f>+G39*0.15</f>
        <v>9526.5</v>
      </c>
    </row>
    <row r="41" spans="1:13" s="47" customFormat="1" ht="24.95" customHeight="1" thickBot="1">
      <c r="A41" s="187" t="s">
        <v>77</v>
      </c>
      <c r="B41" s="188"/>
      <c r="C41" s="188"/>
      <c r="D41" s="188"/>
      <c r="E41" s="188"/>
      <c r="F41" s="188"/>
      <c r="G41" s="52">
        <f>G40+G39</f>
        <v>73036.5</v>
      </c>
      <c r="H41" s="53"/>
    </row>
    <row r="42" spans="1:13" ht="15.75" thickTop="1">
      <c r="A42" s="54" t="str">
        <f>" 1) Above Price are as per your quotation with ref "&amp;'PO 1st page'!K14</f>
        <v xml:space="preserve"> 1) Above Price are as per your quotation with ref QT26-1931</v>
      </c>
      <c r="B42" s="55"/>
      <c r="C42" s="55"/>
      <c r="D42" s="56"/>
      <c r="E42" s="56"/>
      <c r="F42" s="56"/>
      <c r="G42" s="56"/>
      <c r="H42" s="56"/>
    </row>
    <row r="43" spans="1:13" ht="15">
      <c r="A43" s="57" t="s">
        <v>78</v>
      </c>
      <c r="B43" s="58"/>
      <c r="C43" s="58"/>
      <c r="D43" s="59"/>
      <c r="E43" s="59"/>
      <c r="F43" s="59"/>
      <c r="G43" s="59"/>
      <c r="H43" s="59"/>
      <c r="I43" s="60"/>
    </row>
    <row r="44" spans="1:13" ht="15.75">
      <c r="A44" s="61"/>
    </row>
    <row r="45" spans="1:13">
      <c r="A45" s="176" t="s">
        <v>79</v>
      </c>
      <c r="B45" s="176"/>
      <c r="C45" s="176"/>
      <c r="D45" s="176"/>
      <c r="E45" s="176"/>
      <c r="F45" s="176"/>
      <c r="G45" s="176"/>
      <c r="H45" s="176"/>
      <c r="I45" s="62"/>
      <c r="J45" s="62"/>
      <c r="K45" s="62"/>
      <c r="L45" s="62"/>
      <c r="M45" s="62"/>
    </row>
    <row r="46" spans="1:13" ht="15.75">
      <c r="A46" s="61"/>
      <c r="C46" s="63"/>
    </row>
    <row r="47" spans="1:13" ht="15.75">
      <c r="A47" s="61"/>
      <c r="C47" s="63"/>
    </row>
    <row r="49" ht="12" customHeight="1"/>
  </sheetData>
  <mergeCells count="45"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1:C11"/>
    <mergeCell ref="C2:F2"/>
    <mergeCell ref="E3:H3"/>
    <mergeCell ref="H4:H5"/>
    <mergeCell ref="B6:C6"/>
    <mergeCell ref="B7:C7"/>
    <mergeCell ref="B8:C8"/>
    <mergeCell ref="B9:C9"/>
    <mergeCell ref="B10:C10"/>
    <mergeCell ref="A4:A5"/>
    <mergeCell ref="B4:C5"/>
    <mergeCell ref="D4:D5"/>
    <mergeCell ref="E4:E5"/>
    <mergeCell ref="F4:G4"/>
    <mergeCell ref="A39:F39"/>
    <mergeCell ref="A40:F40"/>
    <mergeCell ref="A41:F41"/>
    <mergeCell ref="A45:H45"/>
    <mergeCell ref="B12:C12"/>
    <mergeCell ref="B14:C14"/>
    <mergeCell ref="B15:C15"/>
    <mergeCell ref="B13:C13"/>
    <mergeCell ref="B16:C16"/>
    <mergeCell ref="B17:C17"/>
    <mergeCell ref="B18:C18"/>
    <mergeCell ref="B19:C19"/>
    <mergeCell ref="B20:C20"/>
    <mergeCell ref="B21:C21"/>
    <mergeCell ref="B22:C22"/>
    <mergeCell ref="B23:C2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0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2026-09-15T05:19:28Z</cp:lastPrinted>
  <dcterms:created xsi:type="dcterms:W3CDTF">2024-10-20T11:50:19Z</dcterms:created>
  <dcterms:modified xsi:type="dcterms:W3CDTF">2026-09-15T05:22:02Z</dcterms:modified>
</cp:coreProperties>
</file>