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FB0B9EB-D35C-40E2-8967-8AC5D801352E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<sst xmlns="http://schemas.openxmlformats.org/spreadsheetml/2006/main" count="171" uniqueCount="131">
  <si>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</si>
  <si>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</si>
  <si>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</si>
  <si>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</si>
  <si>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</si>
  <si>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</si>
  <si>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</si>
  <si>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</si>
  <si>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</si>
  <si>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</si>
  <si>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</si>
  <si>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</si>
  <si>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</si>
  <si>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</si>
  <si>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</si>
  <si>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</si>
  <si>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</si>
  <si>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</si>
  <si>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</si>
  <si>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</si>
  <si>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</si>
  <si>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</si>
  <si>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</si>
  <si>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</si>
  <si>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</si>
  <si>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</si>
  <si>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</si>
  <si>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</si>
  <si>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</si>
  <si>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</si>
  <si>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</si>
  <si>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</si>
  <si>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</si>
  <si>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</si>
  <si>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</si>
  <si>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</si>
  <si>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</si>
  <si>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</si>
  <si>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</si>
  <si>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</si>
  <si>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</si>
  <si>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</si>
  <si>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</si>
  <si>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</si>
  <si>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</si>
  <si>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</si>
  <si>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</si>
  <si>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</si>
  <si>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</si>
  <si>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</si>
  <si>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</si>
  <si>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</si>
  <si>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</si>
  <si>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</si>
  <si>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</si>
  <si>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</si>
  <si>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</si>
  <si>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</si>
  <si>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</si>
  <si>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</si>
  <si>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</si>
  <si>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</si>
  <si>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</si>
  <si>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</si>
  <si>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</si>
  <si>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</si>
  <si>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</si>
  <si>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</si>
  <si>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</si>
  <si>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</si>
  <si>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</si>
  <si>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</si>
  <si>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</si>
  <si>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</si>
  <si>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</si>
  <si>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</si>
  <si>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</si>
  <si>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</si>
  <si>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</si>
  <si>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</si>
  <si>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</si>
  <si>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</si>
  <si>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</si>
  <si>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</si>
  <si>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</si>
  <si>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</si>
  <si>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</si>
  <si>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</si>
  <si>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</si>
  <si>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</si>
  <si>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</si>
  <si>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</si>
  <si>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</si>
  <si>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</si>
  <si>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</si>
  <si>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</si>
  <si>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</si>
  <si>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</si>
  <si>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</si>
  <si>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</si>
  <si>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</si>
  <si>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</si>
  <si>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</si>
  <si>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</si>
  <si>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</si>
  <si>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</si>
  <si>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</si>
  <si>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</si>
  <si>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</si>
  <si>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</si>
  <si>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</si>
  <si>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</si>
  <si>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</si>
  <si>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BUS</t>
  </si>
  <si>
    <t>Ashok Leyland 64 Seater with driver model 2026</t>
  </si>
  <si>
    <t>JSC</t>
  </si>
  <si>
    <t>JSC(Jaffar Mohammed Al-Subaiti &amp; Partner Co.</t>
  </si>
  <si>
    <t xml:space="preserve"> CR No. :</t>
    <phoneticPr fontId="5" type="noConversion"/>
  </si>
  <si>
    <t>310191470100003</t>
  </si>
  <si>
    <t>+966 552860452  / Email:info@jscontractingsa.com</t>
  </si>
  <si>
    <t>Bldg 8771 King Faisal Ibn Abdulaziz Branch Al-Jubail</t>
  </si>
  <si>
    <t>Mobile : +966 552860452</t>
  </si>
  <si>
    <t>JSC-9001</t>
  </si>
  <si>
    <t>Bus 64 Seater</t>
  </si>
  <si>
    <t>JAFFAR MOHAMMED AL SUBAITI &amp; PARTNER CO.</t>
  </si>
  <si>
    <t>04100000309106</t>
  </si>
  <si>
    <t>SA48 1000 0004 1000 0030 9106</t>
  </si>
  <si>
    <t>NATIONAL COMMERCIAL BANK</t>
  </si>
  <si>
    <t>NCBKSAJE</t>
  </si>
  <si>
    <t>Hameed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</si>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</sst>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15" fontId="26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12" sqref="P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100</v>
      </c>
      <c r="B1" s="110"/>
      <c r="C1" s="110"/>
      <c r="D1" s="110"/>
      <c r="E1" s="110"/>
      <c r="F1" s="110"/>
      <c r="G1" s="1"/>
      <c r="J1" s="130" t="s">
        <v>89</v>
      </c>
      <c r="K1" s="131"/>
      <c r="L1" s="132"/>
    </row>
    <row r="2" spans="1:19" ht="20.100000000000001" customHeight="1">
      <c r="A2" s="3" t="s">
        <v>1</v>
      </c>
      <c r="B2" s="101"/>
      <c r="C2" s="101"/>
      <c r="D2" s="3" t="s">
        <v>97</v>
      </c>
      <c r="E2" s="101"/>
      <c r="F2" s="101"/>
      <c r="G2" s="101"/>
      <c r="H2" s="101"/>
      <c r="I2" s="4"/>
      <c r="J2" s="133" t="s">
        <v>99</v>
      </c>
      <c r="K2" s="134"/>
      <c r="L2" s="135"/>
    </row>
    <row r="3" spans="1:19" ht="20.100000000000001" customHeight="1">
      <c r="A3" s="3" t="s">
        <v>130</v>
      </c>
      <c r="B3" s="101"/>
      <c r="C3" s="101"/>
      <c r="D3" s="101"/>
      <c r="E3" s="136">
        <f>+L3</f>
        <v>46210</v>
      </c>
      <c r="F3" s="136"/>
      <c r="G3" s="136"/>
      <c r="H3" s="136"/>
      <c r="I3" s="136"/>
      <c r="J3" s="101"/>
      <c r="K3" s="101"/>
      <c r="L3" s="122">
        <v>46210</v>
      </c>
      <c r="M3" s="4"/>
    </row>
    <row r="4" spans="1:19" ht="15.95" customHeight="1">
      <c r="A4" s="137" t="s">
        <v>2</v>
      </c>
      <c r="B4" s="138" t="s">
        <v>3</v>
      </c>
      <c r="C4" s="138"/>
      <c r="D4" s="139" t="s">
        <v>4</v>
      </c>
      <c r="E4" s="140"/>
      <c r="F4" s="141"/>
      <c r="G4" s="145" t="s">
        <v>5</v>
      </c>
      <c r="H4" s="147" t="s">
        <v>6</v>
      </c>
      <c r="I4" s="147" t="s">
        <v>94</v>
      </c>
      <c r="J4" s="137" t="s">
        <v>95</v>
      </c>
      <c r="K4" s="147" t="s">
        <v>0</v>
      </c>
      <c r="L4" s="138" t="s">
        <v>7</v>
      </c>
    </row>
    <row r="5" spans="1:19" ht="15.95" customHeight="1">
      <c r="A5" s="137"/>
      <c r="B5" s="138"/>
      <c r="C5" s="138"/>
      <c r="D5" s="142"/>
      <c r="E5" s="143"/>
      <c r="F5" s="144"/>
      <c r="G5" s="146"/>
      <c r="H5" s="148"/>
      <c r="I5" s="148"/>
      <c r="J5" s="137"/>
      <c r="K5" s="148"/>
      <c r="L5" s="138"/>
    </row>
    <row r="6" spans="1:19" ht="46.5" customHeight="1">
      <c r="A6" s="5">
        <f t="shared" ref="A6:A15" si="0">ROW(A1)</f>
        <v>1</v>
      </c>
      <c r="B6" s="149" t="s">
        <v>113</v>
      </c>
      <c r="C6" s="150"/>
      <c r="D6" s="151" t="s">
        <v>114</v>
      </c>
      <c r="E6" s="152"/>
      <c r="F6" s="153"/>
      <c r="G6" s="111" t="s">
        <v>98</v>
      </c>
      <c r="H6" s="112">
        <v>1</v>
      </c>
      <c r="I6" s="113">
        <v>11000</v>
      </c>
      <c r="J6" s="113">
        <f>H6*I6</f>
        <v>11000</v>
      </c>
      <c r="K6" s="114" t="s">
        <v>115</v>
      </c>
      <c r="L6" s="115" t="s">
        <v>101</v>
      </c>
      <c r="S6" s="106"/>
    </row>
    <row r="7" spans="1:19" ht="22.5" customHeight="1">
      <c r="A7" s="5">
        <f t="shared" si="0"/>
        <v>2</v>
      </c>
      <c r="B7" s="149"/>
      <c r="C7" s="150"/>
      <c r="D7" s="154"/>
      <c r="E7" s="152"/>
      <c r="F7" s="15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9"/>
      <c r="C8" s="150"/>
      <c r="D8" s="151"/>
      <c r="E8" s="152"/>
      <c r="F8" s="15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9"/>
      <c r="C9" s="150"/>
      <c r="D9" s="151"/>
      <c r="E9" s="152"/>
      <c r="F9" s="15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5"/>
      <c r="C10" s="155"/>
      <c r="D10" s="156"/>
      <c r="E10" s="156"/>
      <c r="F10" s="156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9"/>
      <c r="C11" s="150"/>
      <c r="D11" s="151"/>
      <c r="E11" s="152"/>
      <c r="F11" s="15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5"/>
      <c r="C12" s="155"/>
      <c r="D12" s="156"/>
      <c r="E12" s="156"/>
      <c r="F12" s="156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9"/>
      <c r="C13" s="150"/>
      <c r="D13" s="151"/>
      <c r="E13" s="152"/>
      <c r="F13" s="15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9"/>
      <c r="C14" s="150"/>
      <c r="D14" s="151"/>
      <c r="E14" s="152"/>
      <c r="F14" s="15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9"/>
      <c r="C15" s="150"/>
      <c r="D15" s="151"/>
      <c r="E15" s="152"/>
      <c r="F15" s="15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7" t="s">
        <v>8</v>
      </c>
      <c r="B16" s="158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9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0"/>
      <c r="T19" s="14"/>
      <c r="U19" s="15"/>
      <c r="V19" s="14"/>
    </row>
    <row r="20" spans="1:22" ht="17.100000000000001" customHeight="1">
      <c r="O20" s="11"/>
      <c r="P20" s="11"/>
      <c r="Q20" s="11"/>
      <c r="S20" s="161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2" t="s">
        <v>17</v>
      </c>
      <c r="Q21" s="162" t="s">
        <v>18</v>
      </c>
    </row>
    <row r="22" spans="1:22" ht="18" customHeight="1">
      <c r="O22" s="18" t="s">
        <v>19</v>
      </c>
      <c r="P22" s="163"/>
      <c r="Q22" s="163"/>
      <c r="S22" s="159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0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1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4"/>
      <c r="P27" s="164"/>
      <c r="Q27" s="164"/>
    </row>
    <row r="28" spans="1:22" ht="19.899999999999999" customHeight="1">
      <c r="O28" s="164"/>
      <c r="P28" s="164"/>
      <c r="Q28" s="16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2" t="s">
        <v>21</v>
      </c>
    </row>
    <row r="41" spans="15:22" ht="19.899999999999999" customHeight="1">
      <c r="T41" s="163"/>
    </row>
    <row r="42" spans="15:22" ht="64.900000000000006" customHeight="1">
      <c r="T42" s="14"/>
    </row>
    <row r="46" spans="15:22" ht="21" customHeight="1">
      <c r="O46" s="162" t="s">
        <v>21</v>
      </c>
      <c r="P46" s="162" t="s">
        <v>21</v>
      </c>
      <c r="Q46" s="162" t="s">
        <v>21</v>
      </c>
      <c r="T46" s="162" t="s">
        <v>22</v>
      </c>
      <c r="U46" s="162" t="s">
        <v>13</v>
      </c>
      <c r="V46" s="162" t="s">
        <v>21</v>
      </c>
    </row>
    <row r="47" spans="15:22" ht="21" customHeight="1">
      <c r="O47" s="163"/>
      <c r="P47" s="163"/>
      <c r="Q47" s="163"/>
      <c r="T47" s="161"/>
      <c r="U47" s="161"/>
      <c r="V47" s="16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2" t="s">
        <v>21</v>
      </c>
      <c r="P50" s="162" t="s">
        <v>21</v>
      </c>
      <c r="Q50" s="162" t="s">
        <v>21</v>
      </c>
      <c r="T50" s="162" t="s">
        <v>13</v>
      </c>
      <c r="U50" s="162" t="s">
        <v>22</v>
      </c>
      <c r="V50" s="162" t="s">
        <v>21</v>
      </c>
    </row>
    <row r="51" spans="15:22" ht="21" customHeight="1">
      <c r="O51" s="163"/>
      <c r="P51" s="163"/>
      <c r="Q51" s="163"/>
      <c r="T51" s="161"/>
      <c r="U51" s="161"/>
      <c r="V51" s="16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30" t="str">
        <f>+MRS!J1</f>
        <v>DAESHIN PLANT</v>
      </c>
      <c r="K1" s="13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3" t="str">
        <f>+MRS!J2</f>
        <v>Subcontract name (SAC2-SC-IK-SMP-01)</v>
      </c>
      <c r="K2" s="135"/>
    </row>
    <row r="3" spans="1:18" ht="24.95" customHeight="1">
      <c r="A3" s="3" t="str">
        <f>+MRS!A3</f>
        <v xml:space="preserve">  MRS No : SAC2-DS-MRS-0350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46210</v>
      </c>
    </row>
    <row r="4" spans="1:18" ht="15.95" customHeight="1">
      <c r="A4" s="165" t="s">
        <v>2</v>
      </c>
      <c r="B4" s="166" t="s">
        <v>23</v>
      </c>
      <c r="C4" s="166"/>
      <c r="D4" s="165" t="s">
        <v>4</v>
      </c>
      <c r="E4" s="165"/>
      <c r="F4" s="165"/>
      <c r="G4" s="166" t="s">
        <v>5</v>
      </c>
      <c r="H4" s="165" t="s">
        <v>90</v>
      </c>
      <c r="I4" s="165" t="s">
        <v>24</v>
      </c>
      <c r="J4" s="165" t="s">
        <v>25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21">
        <f>+MRS!A6</f>
        <v>1</v>
      </c>
      <c r="B6" s="167" t="str">
        <f>MRS!B6</f>
        <v>BUS</v>
      </c>
      <c r="C6" s="168"/>
      <c r="D6" s="169" t="str">
        <f>MRS!D6</f>
        <v>Ashok Leyland 64 Seater with driver model 2026</v>
      </c>
      <c r="E6" s="170"/>
      <c r="F6" s="171"/>
      <c r="G6" s="103" t="str">
        <f>MRS!G6</f>
        <v>Hour</v>
      </c>
      <c r="H6" s="103">
        <f>MRS!H6</f>
        <v>1</v>
      </c>
      <c r="I6" s="104">
        <f>MRS!I6</f>
        <v>11000</v>
      </c>
      <c r="J6" s="104">
        <f>MRS!J6</f>
        <v>11000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2"/>
      <c r="C12" s="173"/>
      <c r="D12" s="174"/>
      <c r="E12" s="175"/>
      <c r="F12" s="176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2"/>
      <c r="C13" s="173"/>
      <c r="D13" s="174"/>
      <c r="E13" s="175"/>
      <c r="F13" s="176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2"/>
      <c r="C14" s="173"/>
      <c r="D14" s="174"/>
      <c r="E14" s="175"/>
      <c r="F14" s="176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2"/>
      <c r="C15" s="173"/>
      <c r="D15" s="174"/>
      <c r="E15" s="175"/>
      <c r="F15" s="176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2"/>
      <c r="C16" s="173"/>
      <c r="D16" s="174"/>
      <c r="E16" s="175"/>
      <c r="F16" s="176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2"/>
      <c r="C17" s="173"/>
      <c r="D17" s="174"/>
      <c r="E17" s="175"/>
      <c r="F17" s="176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R22" sqref="R2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116</v>
      </c>
      <c r="D9" s="39"/>
      <c r="E9" s="39"/>
    </row>
    <row r="10" spans="2:13" s="39" customFormat="1">
      <c r="B10" s="72"/>
      <c r="C10" s="39" t="s">
        <v>117</v>
      </c>
      <c r="D10" s="76">
        <v>2055123095</v>
      </c>
      <c r="J10" s="39" t="s">
        <v>32</v>
      </c>
      <c r="K10" s="178">
        <f>MRS!L3</f>
        <v>46210</v>
      </c>
      <c r="L10" s="179"/>
      <c r="M10" s="179"/>
    </row>
    <row r="11" spans="2:13" s="39" customFormat="1">
      <c r="B11" s="72"/>
      <c r="C11" s="75" t="s">
        <v>33</v>
      </c>
      <c r="D11" s="76" t="s">
        <v>118</v>
      </c>
      <c r="J11" s="39" t="s">
        <v>34</v>
      </c>
      <c r="K11" s="180" t="str">
        <f>SUBSTITUTE(SUBSTITUTE(+MRS!A3,"  MRS No : ",""),"-MRS","-PO")</f>
        <v>SAC2-DS-PO-0350</v>
      </c>
      <c r="L11" s="180"/>
      <c r="M11" s="180"/>
    </row>
    <row r="12" spans="2:13" s="39" customFormat="1">
      <c r="B12" s="72"/>
      <c r="C12" s="75" t="s">
        <v>35</v>
      </c>
      <c r="D12" s="39" t="s">
        <v>129</v>
      </c>
      <c r="J12" s="39" t="s">
        <v>36</v>
      </c>
    </row>
    <row r="13" spans="2:13" s="39" customFormat="1">
      <c r="B13" s="72"/>
      <c r="C13" s="77"/>
      <c r="D13" s="76" t="s">
        <v>119</v>
      </c>
      <c r="J13" s="39" t="s">
        <v>37</v>
      </c>
    </row>
    <row r="14" spans="2:13" s="39" customFormat="1">
      <c r="B14" s="72"/>
      <c r="C14" s="77" t="s">
        <v>120</v>
      </c>
      <c r="J14" s="39" t="s">
        <v>38</v>
      </c>
      <c r="K14" s="39" t="s">
        <v>122</v>
      </c>
    </row>
    <row r="15" spans="2:13" s="39" customFormat="1">
      <c r="B15" s="72"/>
      <c r="C15" s="77" t="s">
        <v>121</v>
      </c>
      <c r="J15" s="39" t="s">
        <v>39</v>
      </c>
      <c r="K15" s="78">
        <v>46195</v>
      </c>
      <c r="L15" s="129"/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1" t="s">
        <v>40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</row>
    <row r="19" spans="2:13" ht="12" customHeight="1"/>
    <row r="20" spans="2:13" s="31" customFormat="1" ht="12" customHeight="1">
      <c r="B20" s="182" t="s">
        <v>41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</row>
    <row r="21" spans="2:13" s="31" customFormat="1" ht="12" customHeight="1">
      <c r="B21" s="182" t="s">
        <v>42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</row>
    <row r="22" spans="2:13" s="31" customFormat="1" ht="12" customHeight="1">
      <c r="B22" s="182" t="s">
        <v>43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</row>
    <row r="23" spans="2:13" ht="6.95" customHeight="1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</row>
    <row r="24" spans="2:13" ht="6.95" customHeight="1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76" t="s">
        <v>123</v>
      </c>
      <c r="M26" s="79" t="s">
        <v>45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5" t="s">
        <v>101</v>
      </c>
      <c r="G29" s="185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5"/>
      <c r="G30" s="185"/>
    </row>
    <row r="31" spans="2:13" ht="12" customHeight="1">
      <c r="B31" s="32"/>
      <c r="C31" s="26" t="s">
        <v>50</v>
      </c>
      <c r="D31" s="35"/>
      <c r="E31" s="26" t="s">
        <v>48</v>
      </c>
      <c r="F31" s="185"/>
      <c r="G31" s="185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6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6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92</v>
      </c>
      <c r="P49" s="82"/>
    </row>
    <row r="50" spans="2:16" s="83" customFormat="1" ht="12" customHeight="1">
      <c r="B50" s="84" t="s">
        <v>64</v>
      </c>
      <c r="C50" s="81" t="s">
        <v>93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104</v>
      </c>
    </row>
    <row r="54" spans="2:16" ht="12" customHeight="1">
      <c r="B54" s="84" t="s">
        <v>64</v>
      </c>
      <c r="C54" s="126" t="s">
        <v>105</v>
      </c>
      <c r="F54" s="127" t="s">
        <v>124</v>
      </c>
      <c r="P54" s="26" t="str">
        <f>UPPER(F54)</f>
        <v>JAFFAR MOHAMMED AL SUBAITI &amp; PARTNER CO.</v>
      </c>
    </row>
    <row r="55" spans="2:16" ht="12" customHeight="1">
      <c r="B55" s="84" t="s">
        <v>64</v>
      </c>
      <c r="C55" s="126" t="s">
        <v>106</v>
      </c>
      <c r="F55" s="127" t="s">
        <v>125</v>
      </c>
    </row>
    <row r="56" spans="2:16" ht="12" customHeight="1">
      <c r="B56" s="84" t="s">
        <v>64</v>
      </c>
      <c r="C56" s="126" t="s">
        <v>107</v>
      </c>
      <c r="F56" s="127" t="s">
        <v>126</v>
      </c>
    </row>
    <row r="57" spans="2:16" ht="12" customHeight="1">
      <c r="B57" s="84" t="s">
        <v>64</v>
      </c>
      <c r="C57" s="126" t="s">
        <v>108</v>
      </c>
      <c r="F57" s="26" t="s">
        <v>127</v>
      </c>
    </row>
    <row r="58" spans="2:16" ht="12" customHeight="1">
      <c r="B58" s="84" t="s">
        <v>64</v>
      </c>
      <c r="C58" s="126" t="s">
        <v>109</v>
      </c>
      <c r="F58" s="26" t="s">
        <v>128</v>
      </c>
    </row>
    <row r="59" spans="2:16" ht="12" customHeight="1">
      <c r="B59" s="84" t="s">
        <v>64</v>
      </c>
      <c r="C59" s="126" t="s">
        <v>110</v>
      </c>
      <c r="F59" s="26" t="s">
        <v>111</v>
      </c>
    </row>
    <row r="60" spans="2:16" ht="12" customHeight="1">
      <c r="B60" s="84"/>
      <c r="C60" s="128" t="s">
        <v>112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65</v>
      </c>
      <c r="J64" s="32" t="s">
        <v>66</v>
      </c>
    </row>
    <row r="65" spans="1:13" ht="50.1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D12</f>
        <v>Hameed</v>
      </c>
    </row>
    <row r="68" spans="1:13" ht="18" customHeight="1">
      <c r="B68" s="26" t="s">
        <v>70</v>
      </c>
      <c r="J68" s="26" t="s">
        <v>71</v>
      </c>
      <c r="K68" s="22"/>
    </row>
    <row r="69" spans="1:13" ht="15" customHeight="1">
      <c r="B69" s="26" t="s">
        <v>72</v>
      </c>
      <c r="J69" s="26" t="s">
        <v>73</v>
      </c>
    </row>
    <row r="70" spans="1:13" s="28" customFormat="1" ht="24.75" customHeight="1">
      <c r="B70" s="25" t="s">
        <v>102</v>
      </c>
      <c r="J70" s="186" t="str">
        <f>C9</f>
        <v>JSC(Jaffar Mohammed Al-Subaiti &amp; Partner Co.</v>
      </c>
      <c r="K70" s="186"/>
      <c r="L70" s="186"/>
      <c r="M70" s="186"/>
    </row>
    <row r="71" spans="1:13" ht="27.95" customHeight="1">
      <c r="A71" s="177" t="s">
        <v>74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5" zoomScaleSheetLayoutView="100" zoomScalePageLayoutView="55" workbookViewId="0">
      <selection activeCell="K10" sqref="K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SAC2-DS-PO-0350</v>
      </c>
      <c r="C2" s="189" t="s">
        <v>76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46210</v>
      </c>
      <c r="C3" s="51"/>
      <c r="D3" s="52"/>
      <c r="E3" s="190" t="s">
        <v>78</v>
      </c>
      <c r="F3" s="190"/>
      <c r="G3" s="190"/>
      <c r="H3" s="190"/>
      <c r="I3" s="53"/>
    </row>
    <row r="4" spans="1:13" s="55" customFormat="1" ht="28.5" customHeight="1" thickTop="1">
      <c r="A4" s="191" t="s">
        <v>79</v>
      </c>
      <c r="B4" s="193" t="s">
        <v>80</v>
      </c>
      <c r="C4" s="194"/>
      <c r="D4" s="197" t="s">
        <v>81</v>
      </c>
      <c r="E4" s="197" t="s">
        <v>82</v>
      </c>
      <c r="F4" s="199" t="str">
        <f>'PO 1st page'!C9</f>
        <v>JSC(Jaffar Mohammed Al-Subaiti &amp; Partner Co.</v>
      </c>
      <c r="G4" s="200"/>
      <c r="H4" s="201" t="s">
        <v>83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84</v>
      </c>
      <c r="G5" s="57" t="s">
        <v>50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7" t="str">
        <f>CONCATENATE(MRS!B6," ",MRS!D6)</f>
        <v>BUS Ashok Leyland 64 Seater with driver model 2026</v>
      </c>
      <c r="C6" s="188"/>
      <c r="D6" s="86" t="str">
        <f>+'MRS LIST'!G6</f>
        <v>Hour</v>
      </c>
      <c r="E6" s="87">
        <f>+'MRS LIST'!H6</f>
        <v>1</v>
      </c>
      <c r="F6" s="88">
        <f>+'MRS LIST'!I6</f>
        <v>11000</v>
      </c>
      <c r="G6" s="89">
        <f>+'MRS LIST'!J6</f>
        <v>11000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7"/>
      <c r="C7" s="188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7" t="str">
        <f>CONCATENATE(MRS!B8," ",MRS!D8)</f>
        <v xml:space="preserve"> </v>
      </c>
      <c r="C8" s="188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7"/>
      <c r="C9" s="188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7"/>
      <c r="C10" s="188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7"/>
      <c r="C12" s="20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7"/>
      <c r="C13" s="20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7"/>
      <c r="C14" s="20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7"/>
      <c r="C15" s="20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7"/>
      <c r="C16" s="20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7"/>
      <c r="C17" s="208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11000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1650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12650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JSC-9001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7" t="s">
        <v>88</v>
      </c>
      <c r="B24" s="177"/>
      <c r="C24" s="177"/>
      <c r="D24" s="177"/>
      <c r="E24" s="177"/>
      <c r="F24" s="177"/>
      <c r="G24" s="177"/>
      <c r="H24" s="177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2026-07-08T03:47:30Z</cp:lastPrinted>
  <dcterms:created xsi:type="dcterms:W3CDTF">2024-10-20T11:50:19Z</dcterms:created>
  <dcterms:modified xsi:type="dcterms:W3CDTF">2026-07-08T03:56:06Z</dcterms:modified>
</cp:coreProperties>
</file>