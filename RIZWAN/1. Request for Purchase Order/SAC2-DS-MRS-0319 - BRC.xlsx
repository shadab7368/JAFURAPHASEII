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18F231F-6D58-416C-9C5B-7EDA1038EFB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B7" i="4" s="1"/>
  <c r="C26" i="3"/>
  <c r="H6" i="4"/>
  <c r="J7" i="1" l="1"/>
  <c r="P54" i="3"/>
  <c r="B6" i="4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 s="1"/>
  <c r="G20" i="4" s="1"/>
</calcChain>
</file>

<file path=xl/sharedStrings.xml><?xml version="1.0" encoding="utf-8"?>
<sst xmlns="http://schemas.openxmlformats.org/spreadsheetml/2006/main" count="154" uniqueCount="128">
  <si>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</si>
  <si>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</si>
  <si>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</si>
  <si>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</si>
  <si>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</si>
  <si>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</si>
  <si>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</si>
  <si>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</si>
  <si>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</si>
  <si>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</si>
  <si>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</si>
  <si>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</si>
  <si>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</si>
  <si>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</si>
  <si>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</si>
  <si>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</si>
  <si>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</si>
  <si>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</si>
  <si>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</si>
  <si>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</si>
  <si>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</si>
  <si>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</si>
  <si>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</si>
  <si>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</si>
  <si>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</si>
  <si>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</si>
  <si>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</si>
  <si>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</si>
  <si>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</si>
  <si>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</si>
  <si>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</si>
  <si>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</si>
  <si>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</si>
  <si>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</si>
  <si>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</si>
  <si>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</si>
  <si>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</si>
  <si>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</si>
  <si>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</si>
  <si>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</si>
  <si>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</si>
  <si>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</si>
  <si>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</si>
  <si>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</si>
  <si>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</si>
  <si>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</si>
  <si>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</si>
  <si>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</si>
  <si>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</si>
  <si>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</si>
  <si>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</si>
  <si>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</si>
  <si>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</si>
  <si>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</si>
  <si>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</si>
  <si>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</si>
  <si>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</si>
  <si>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</si>
  <si>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</si>
  <si>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</si>
  <si>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</si>
  <si>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</si>
  <si>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</si>
  <si>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</si>
  <si>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</si>
  <si>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</si>
  <si>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</si>
  <si>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</si>
  <si>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</si>
  <si>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</si>
  <si>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</si>
  <si>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</si>
  <si>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</si>
  <si>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</si>
  <si>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</si>
  <si>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</si>
  <si>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</si>
  <si>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</si>
  <si>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</si>
  <si>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</si>
  <si>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</si>
  <si>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</si>
  <si>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</si>
  <si>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</si>
  <si>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</si>
  <si>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</si>
  <si>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</si>
  <si>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</si>
  <si>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</si>
  <si>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</si>
  <si>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</si>
  <si>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</si>
  <si>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</si>
  <si>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</si>
  <si>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</si>
  <si>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</si>
  <si>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</si>
  <si>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</si>
  <si>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</si>
  <si>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</si>
  <si>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</si>
  <si>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</si>
  <si>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</si>
  <si>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</si>
  <si>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</si>
  <si>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</si>
  <si>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</si>
  <si>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</si>
  <si>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</si>
  <si>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</si>
  <si>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Monthly Based</t>
  </si>
  <si>
    <t>BRC (Basmat Rose Contracting Co.)</t>
  </si>
  <si>
    <t>2055160805</t>
  </si>
  <si>
    <t>312830898400003</t>
  </si>
  <si>
    <t>Raj Hussain Ansari</t>
  </si>
  <si>
    <t>+966 56 265 7314 / Email:info@brccksa.com</t>
  </si>
  <si>
    <t>P.O. Box 4381, Al Jubail 35514, KSA</t>
  </si>
  <si>
    <t>Mobile : +966 56 265 7314</t>
  </si>
  <si>
    <t>BASMAT ROSE CONTRACTING CO.</t>
  </si>
  <si>
    <t>SA68 1000 0040 9000 0053 0200</t>
  </si>
  <si>
    <t>SAUDI NATIONAL BANK</t>
  </si>
  <si>
    <t>NCBKSAJE</t>
  </si>
  <si>
    <t>Marketing Executive</t>
  </si>
  <si>
    <t>BRC</t>
  </si>
  <si>
    <t>40900000530200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</si>
  <si>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-MRS-0319</t>
    </r>
  </si>
  <si>
    <t>Light Driver</t>
  </si>
  <si>
    <t>BRC-QT-000102-135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</si>
</sst>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521369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95211" y="4983079"/>
              <a:ext cx="4311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94</v>
      </c>
      <c r="B1" s="110"/>
      <c r="C1" s="110"/>
      <c r="D1" s="110"/>
      <c r="E1" s="110"/>
      <c r="F1" s="110"/>
      <c r="G1" s="1"/>
      <c r="J1" s="129" t="s">
        <v>87</v>
      </c>
      <c r="K1" s="130"/>
      <c r="L1" s="131"/>
    </row>
    <row r="2" spans="1:18" ht="20.100000000000001" customHeight="1">
      <c r="A2" s="3" t="s">
        <v>1</v>
      </c>
      <c r="B2" s="101"/>
      <c r="C2" s="101"/>
      <c r="D2" s="3" t="s">
        <v>95</v>
      </c>
      <c r="E2" s="101"/>
      <c r="F2" s="101"/>
      <c r="G2" s="101"/>
      <c r="H2" s="101"/>
      <c r="I2" s="4"/>
      <c r="J2" s="145" t="s">
        <v>96</v>
      </c>
      <c r="K2" s="146"/>
      <c r="L2" s="147"/>
    </row>
    <row r="3" spans="1:18" ht="20.100000000000001" customHeight="1">
      <c r="A3" s="3" t="s">
        <v>125</v>
      </c>
      <c r="B3" s="101"/>
      <c r="C3" s="101"/>
      <c r="D3" s="101"/>
      <c r="E3" s="132">
        <f>+L3</f>
        <v>46161</v>
      </c>
      <c r="F3" s="132"/>
      <c r="G3" s="132"/>
      <c r="H3" s="132"/>
      <c r="I3" s="132"/>
      <c r="J3" s="101"/>
      <c r="K3" s="101"/>
      <c r="L3" s="122">
        <v>46161</v>
      </c>
      <c r="M3" s="4"/>
    </row>
    <row r="4" spans="1:18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91</v>
      </c>
      <c r="J4" s="133" t="s">
        <v>92</v>
      </c>
      <c r="K4" s="143" t="s">
        <v>0</v>
      </c>
      <c r="L4" s="134" t="s">
        <v>7</v>
      </c>
    </row>
    <row r="5" spans="1:18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8" ht="22.5" customHeight="1">
      <c r="A6" s="5">
        <f t="shared" ref="A6:A15" si="0">ROW(A1)</f>
        <v>1</v>
      </c>
      <c r="B6" s="148" t="s">
        <v>126</v>
      </c>
      <c r="C6" s="149"/>
      <c r="D6" s="150"/>
      <c r="E6" s="151"/>
      <c r="F6" s="152"/>
      <c r="G6" s="111" t="s">
        <v>98</v>
      </c>
      <c r="H6" s="112">
        <v>1</v>
      </c>
      <c r="I6" s="113">
        <v>15</v>
      </c>
      <c r="J6" s="113">
        <f>H6*I6</f>
        <v>15</v>
      </c>
      <c r="K6" s="114" t="s">
        <v>123</v>
      </c>
      <c r="L6" s="115" t="s">
        <v>110</v>
      </c>
      <c r="R6" s="106"/>
    </row>
    <row r="7" spans="1:18" ht="22.5" customHeight="1">
      <c r="A7" s="5">
        <f t="shared" si="0"/>
        <v>2</v>
      </c>
      <c r="B7" s="148"/>
      <c r="C7" s="149"/>
      <c r="D7" s="153"/>
      <c r="E7" s="151"/>
      <c r="F7" s="152"/>
      <c r="G7" s="111"/>
      <c r="H7" s="112"/>
      <c r="I7" s="113"/>
      <c r="J7" s="113">
        <f>H7*I7</f>
        <v>0</v>
      </c>
      <c r="K7" s="114"/>
      <c r="L7" s="115"/>
      <c r="R7" s="106"/>
    </row>
    <row r="8" spans="1:18" ht="22.5" customHeight="1">
      <c r="A8" s="5">
        <f t="shared" si="0"/>
        <v>3</v>
      </c>
      <c r="B8" s="148"/>
      <c r="C8" s="149"/>
      <c r="D8" s="150"/>
      <c r="E8" s="151"/>
      <c r="F8" s="152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48"/>
      <c r="C9" s="149"/>
      <c r="D9" s="150"/>
      <c r="E9" s="151"/>
      <c r="F9" s="152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54"/>
      <c r="C10" s="154"/>
      <c r="D10" s="155"/>
      <c r="E10" s="155"/>
      <c r="F10" s="155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48"/>
      <c r="C11" s="149"/>
      <c r="D11" s="150"/>
      <c r="E11" s="151"/>
      <c r="F11" s="152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54"/>
      <c r="C12" s="154"/>
      <c r="D12" s="155"/>
      <c r="E12" s="155"/>
      <c r="F12" s="155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48"/>
      <c r="C13" s="149"/>
      <c r="D13" s="150"/>
      <c r="E13" s="151"/>
      <c r="F13" s="152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48"/>
      <c r="C14" s="149"/>
      <c r="D14" s="150"/>
      <c r="E14" s="151"/>
      <c r="F14" s="152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48"/>
      <c r="C15" s="149"/>
      <c r="D15" s="150"/>
      <c r="E15" s="151"/>
      <c r="F15" s="152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6" t="s">
        <v>8</v>
      </c>
      <c r="B16" s="157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15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8" t="s">
        <v>11</v>
      </c>
      <c r="S18" s="13" t="s">
        <v>12</v>
      </c>
    </row>
    <row r="19" spans="1:19" ht="50.1" customHeight="1">
      <c r="R19" s="159"/>
      <c r="S19" s="15"/>
    </row>
    <row r="20" spans="1:19" ht="17.100000000000001" customHeight="1">
      <c r="O20" s="11"/>
      <c r="P20" s="11"/>
      <c r="R20" s="160"/>
      <c r="S20" s="15" t="s">
        <v>13</v>
      </c>
    </row>
    <row r="21" spans="1:19" ht="15" customHeight="1">
      <c r="O21" s="17" t="s">
        <v>14</v>
      </c>
      <c r="P21" s="161" t="s">
        <v>15</v>
      </c>
    </row>
    <row r="22" spans="1:19" ht="18" customHeight="1">
      <c r="O22" s="18" t="s">
        <v>16</v>
      </c>
      <c r="P22" s="162"/>
      <c r="R22" s="158" t="s">
        <v>17</v>
      </c>
      <c r="S22" s="12" t="s">
        <v>12</v>
      </c>
    </row>
    <row r="23" spans="1:19" ht="50.1" customHeight="1">
      <c r="O23" s="14"/>
      <c r="P23" s="14"/>
      <c r="R23" s="159"/>
      <c r="S23" s="19"/>
    </row>
    <row r="24" spans="1:19" ht="17.100000000000001" customHeight="1">
      <c r="O24" s="16" t="s">
        <v>13</v>
      </c>
      <c r="P24" s="16" t="s">
        <v>13</v>
      </c>
      <c r="R24" s="16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3"/>
      <c r="P27" s="163"/>
    </row>
    <row r="28" spans="1:19" ht="19.899999999999999" customHeight="1">
      <c r="O28" s="163"/>
      <c r="P28" s="163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1" t="s">
        <v>18</v>
      </c>
      <c r="P46" s="161" t="s">
        <v>18</v>
      </c>
      <c r="S46" s="161" t="s">
        <v>12</v>
      </c>
    </row>
    <row r="47" spans="15:19" ht="21" customHeight="1">
      <c r="O47" s="162"/>
      <c r="P47" s="162"/>
      <c r="S47" s="16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1" t="s">
        <v>18</v>
      </c>
      <c r="P50" s="161" t="s">
        <v>18</v>
      </c>
      <c r="S50" s="161" t="s">
        <v>19</v>
      </c>
    </row>
    <row r="51" spans="15:19" ht="21" customHeight="1">
      <c r="O51" s="162"/>
      <c r="P51" s="162"/>
      <c r="S51" s="160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93</v>
      </c>
      <c r="B1" s="100"/>
      <c r="C1" s="100"/>
      <c r="D1" s="100"/>
      <c r="E1" s="100"/>
      <c r="F1" s="100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SAC2-DS-MRS-0319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46161</v>
      </c>
    </row>
    <row r="4" spans="1:18" ht="15.95" customHeight="1">
      <c r="A4" s="164" t="s">
        <v>2</v>
      </c>
      <c r="B4" s="165" t="s">
        <v>20</v>
      </c>
      <c r="C4" s="165"/>
      <c r="D4" s="164" t="s">
        <v>4</v>
      </c>
      <c r="E4" s="164"/>
      <c r="F4" s="164"/>
      <c r="G4" s="165" t="s">
        <v>5</v>
      </c>
      <c r="H4" s="164" t="s">
        <v>88</v>
      </c>
      <c r="I4" s="164" t="s">
        <v>21</v>
      </c>
      <c r="J4" s="164" t="s">
        <v>22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Light Driver</v>
      </c>
      <c r="C6" s="167"/>
      <c r="D6" s="168">
        <f>MRS!D6</f>
        <v>0</v>
      </c>
      <c r="E6" s="169"/>
      <c r="F6" s="170"/>
      <c r="G6" s="103" t="str">
        <f>MRS!G6</f>
        <v>Hour</v>
      </c>
      <c r="H6" s="103">
        <f>MRS!H6</f>
        <v>1</v>
      </c>
      <c r="I6" s="104">
        <f>MRS!I6</f>
        <v>15</v>
      </c>
      <c r="J6" s="104">
        <f>MRS!J6</f>
        <v>15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9.42578125" style="26" bestFit="1" customWidth="1"/>
    <col min="7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4" customFormat="1" ht="13.5">
      <c r="B9" s="72" t="s">
        <v>28</v>
      </c>
      <c r="C9" s="73" t="s">
        <v>111</v>
      </c>
      <c r="D9" s="39"/>
      <c r="E9" s="39"/>
    </row>
    <row r="10" spans="2:13" s="39" customFormat="1">
      <c r="B10" s="72"/>
      <c r="C10" s="39" t="s">
        <v>29</v>
      </c>
      <c r="D10" s="76" t="s">
        <v>112</v>
      </c>
      <c r="J10" s="39" t="s">
        <v>30</v>
      </c>
      <c r="K10" s="177">
        <f>MRS!L3</f>
        <v>46161</v>
      </c>
      <c r="L10" s="178"/>
      <c r="M10" s="178"/>
    </row>
    <row r="11" spans="2:13" s="39" customFormat="1">
      <c r="B11" s="72"/>
      <c r="C11" s="75" t="s">
        <v>31</v>
      </c>
      <c r="D11" s="76" t="s">
        <v>113</v>
      </c>
      <c r="J11" s="39" t="s">
        <v>32</v>
      </c>
      <c r="K11" s="179" t="str">
        <f>SUBSTITUTE(SUBSTITUTE(+MRS!A3,"  MRS No : ",""),"-MRS","-PO")</f>
        <v>SAC2-DS-PO-0319</v>
      </c>
      <c r="L11" s="179"/>
      <c r="M11" s="179"/>
    </row>
    <row r="12" spans="2:13" s="39" customFormat="1">
      <c r="B12" s="72"/>
      <c r="C12" s="75" t="s">
        <v>33</v>
      </c>
      <c r="D12" s="39" t="s">
        <v>114</v>
      </c>
      <c r="J12" s="39" t="s">
        <v>34</v>
      </c>
    </row>
    <row r="13" spans="2:13" s="39" customFormat="1">
      <c r="B13" s="72"/>
      <c r="C13" s="77"/>
      <c r="D13" s="76" t="s">
        <v>115</v>
      </c>
      <c r="J13" s="39" t="s">
        <v>35</v>
      </c>
    </row>
    <row r="14" spans="2:13" s="39" customFormat="1">
      <c r="B14" s="72"/>
      <c r="C14" s="77" t="s">
        <v>116</v>
      </c>
      <c r="J14" s="39" t="s">
        <v>36</v>
      </c>
      <c r="K14" s="39" t="s">
        <v>127</v>
      </c>
    </row>
    <row r="15" spans="2:13" s="39" customFormat="1">
      <c r="B15" s="72"/>
      <c r="C15" s="77" t="s">
        <v>117</v>
      </c>
      <c r="J15" s="39" t="s">
        <v>37</v>
      </c>
      <c r="K15" s="78">
        <v>46137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38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39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40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41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42</v>
      </c>
    </row>
    <row r="26" spans="2:13" s="39" customFormat="1" ht="12" customHeight="1">
      <c r="B26" s="73"/>
      <c r="C26" s="127" t="str">
        <f>_xlfn.CONCAT(MRS!B6)</f>
        <v>Light Driver</v>
      </c>
      <c r="M26" s="79" t="s">
        <v>43</v>
      </c>
    </row>
    <row r="27" spans="2:13" ht="11.1" customHeight="1">
      <c r="B27" s="32"/>
      <c r="C27" s="127" t="str">
        <f>_xlfn.CONCAT(MRS!B7)</f>
        <v/>
      </c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84" t="s">
        <v>110</v>
      </c>
      <c r="G29" s="184"/>
      <c r="H29" s="33"/>
      <c r="M29" s="34"/>
    </row>
    <row r="30" spans="2:13" ht="12" customHeight="1">
      <c r="B30" s="32"/>
      <c r="C30" s="26" t="s">
        <v>47</v>
      </c>
      <c r="E30" s="26" t="s">
        <v>46</v>
      </c>
      <c r="F30" s="184"/>
      <c r="G30" s="184"/>
    </row>
    <row r="31" spans="2:13" ht="12" customHeight="1">
      <c r="B31" s="32"/>
      <c r="C31" s="26" t="s">
        <v>48</v>
      </c>
      <c r="D31" s="35"/>
      <c r="E31" s="26" t="s">
        <v>46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9" customFormat="1" ht="12" customHeight="1">
      <c r="B49" s="80" t="s">
        <v>62</v>
      </c>
      <c r="C49" s="81" t="s">
        <v>97</v>
      </c>
      <c r="P49" s="82"/>
    </row>
    <row r="50" spans="2:16" s="83" customFormat="1" ht="12" customHeight="1">
      <c r="B50" s="84" t="s">
        <v>62</v>
      </c>
      <c r="C50" s="81" t="s">
        <v>90</v>
      </c>
    </row>
    <row r="51" spans="2:16" s="83" customFormat="1" ht="12" customHeight="1">
      <c r="B51" s="84" t="s">
        <v>62</v>
      </c>
      <c r="C51" s="81" t="s">
        <v>89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99</v>
      </c>
    </row>
    <row r="54" spans="2:16" ht="12" customHeight="1">
      <c r="B54" s="84" t="s">
        <v>62</v>
      </c>
      <c r="C54" s="125" t="s">
        <v>100</v>
      </c>
      <c r="F54" s="126" t="s">
        <v>118</v>
      </c>
      <c r="P54" s="26" t="str">
        <f>UPPER(F54)</f>
        <v>BASMAT ROSE CONTRACTING CO.</v>
      </c>
    </row>
    <row r="55" spans="2:16" ht="12" customHeight="1">
      <c r="B55" s="84" t="s">
        <v>62</v>
      </c>
      <c r="C55" s="125" t="s">
        <v>101</v>
      </c>
      <c r="F55" s="126" t="s">
        <v>124</v>
      </c>
    </row>
    <row r="56" spans="2:16" ht="12" customHeight="1">
      <c r="B56" s="84" t="s">
        <v>62</v>
      </c>
      <c r="C56" s="125" t="s">
        <v>102</v>
      </c>
      <c r="F56" s="126" t="s">
        <v>119</v>
      </c>
    </row>
    <row r="57" spans="2:16" ht="12" customHeight="1">
      <c r="B57" s="84" t="s">
        <v>62</v>
      </c>
      <c r="C57" s="125" t="s">
        <v>103</v>
      </c>
      <c r="F57" s="26" t="s">
        <v>120</v>
      </c>
    </row>
    <row r="58" spans="2:16" ht="12" customHeight="1">
      <c r="B58" s="84" t="s">
        <v>62</v>
      </c>
      <c r="C58" s="125" t="s">
        <v>104</v>
      </c>
      <c r="F58" s="26" t="s">
        <v>121</v>
      </c>
    </row>
    <row r="59" spans="2:16" ht="12" customHeight="1">
      <c r="B59" s="84" t="s">
        <v>62</v>
      </c>
      <c r="C59" s="125" t="s">
        <v>105</v>
      </c>
      <c r="F59" s="26" t="s">
        <v>106</v>
      </c>
    </row>
    <row r="60" spans="2:16" ht="12" customHeight="1">
      <c r="B60" s="84"/>
      <c r="C60" s="128" t="s">
        <v>107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Raj Hussain Ansari</v>
      </c>
    </row>
    <row r="68" spans="1:13" ht="18" customHeight="1">
      <c r="B68" s="26" t="s">
        <v>68</v>
      </c>
      <c r="J68" s="26" t="s">
        <v>69</v>
      </c>
      <c r="K68" s="22" t="s">
        <v>122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108</v>
      </c>
      <c r="J70" s="185" t="str">
        <f>C9</f>
        <v>BRC (Basmat Rose Contracting Co.)</v>
      </c>
      <c r="K70" s="185"/>
      <c r="L70" s="185"/>
      <c r="M70" s="185"/>
    </row>
    <row r="71" spans="1:13" ht="27.95" customHeight="1">
      <c r="A71" s="176" t="s">
        <v>72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SAC2-DS-PO-0319</v>
      </c>
      <c r="C2" s="188" t="s">
        <v>74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46161</v>
      </c>
      <c r="C3" s="51"/>
      <c r="D3" s="52"/>
      <c r="E3" s="189" t="s">
        <v>76</v>
      </c>
      <c r="F3" s="189"/>
      <c r="G3" s="189"/>
      <c r="H3" s="189"/>
      <c r="I3" s="53"/>
    </row>
    <row r="4" spans="1:13" s="55" customFormat="1" ht="28.5" customHeight="1" thickTop="1">
      <c r="A4" s="190" t="s">
        <v>77</v>
      </c>
      <c r="B4" s="192" t="s">
        <v>78</v>
      </c>
      <c r="C4" s="193"/>
      <c r="D4" s="196" t="s">
        <v>79</v>
      </c>
      <c r="E4" s="196" t="s">
        <v>80</v>
      </c>
      <c r="F4" s="198" t="str">
        <f>'PO 1st page'!C9</f>
        <v>BRC (Basmat Rose Contracting Co.)</v>
      </c>
      <c r="G4" s="199"/>
      <c r="H4" s="200" t="s">
        <v>81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82</v>
      </c>
      <c r="G5" s="57" t="s">
        <v>48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6" t="str">
        <f>'PO 1st page'!C26</f>
        <v>Light Driver</v>
      </c>
      <c r="C6" s="187"/>
      <c r="D6" s="86" t="str">
        <f>+'MRS LIST'!G6</f>
        <v>Hour</v>
      </c>
      <c r="E6" s="87">
        <f>+'MRS LIST'!H6</f>
        <v>1</v>
      </c>
      <c r="F6" s="88">
        <f>+'MRS LIST'!I6</f>
        <v>15</v>
      </c>
      <c r="G6" s="89">
        <f>+'MRS LIST'!J6</f>
        <v>15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6" t="str">
        <f>'PO 1st page'!C27</f>
        <v/>
      </c>
      <c r="C7" s="187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6"/>
      <c r="C10" s="187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6"/>
      <c r="C12" s="20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6"/>
      <c r="C13" s="20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6"/>
      <c r="C14" s="20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6"/>
      <c r="C15" s="20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6"/>
      <c r="C16" s="20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6"/>
      <c r="C17" s="207"/>
      <c r="D17" s="94"/>
      <c r="E17" s="95"/>
      <c r="F17" s="96"/>
      <c r="G17" s="97"/>
      <c r="H17" s="98"/>
    </row>
    <row r="18" spans="1:13" s="55" customFormat="1" ht="23.1" customHeight="1">
      <c r="A18" s="202" t="s">
        <v>83</v>
      </c>
      <c r="B18" s="203"/>
      <c r="C18" s="203"/>
      <c r="D18" s="203"/>
      <c r="E18" s="203"/>
      <c r="F18" s="203"/>
      <c r="G18" s="58">
        <f>SUM(G6:G17)</f>
        <v>15</v>
      </c>
      <c r="H18" s="59"/>
    </row>
    <row r="19" spans="1:13" s="55" customFormat="1" ht="23.1" customHeight="1">
      <c r="A19" s="202" t="s">
        <v>47</v>
      </c>
      <c r="B19" s="203"/>
      <c r="C19" s="203"/>
      <c r="D19" s="203"/>
      <c r="E19" s="203"/>
      <c r="F19" s="203"/>
      <c r="G19" s="58">
        <f>+G18*0.15</f>
        <v>2.25</v>
      </c>
      <c r="H19" s="59"/>
    </row>
    <row r="20" spans="1:13" s="55" customFormat="1" ht="24.95" customHeight="1" thickBot="1">
      <c r="A20" s="204" t="s">
        <v>84</v>
      </c>
      <c r="B20" s="205"/>
      <c r="C20" s="205"/>
      <c r="D20" s="205"/>
      <c r="E20" s="205"/>
      <c r="F20" s="205"/>
      <c r="G20" s="60">
        <f>G19+G18</f>
        <v>17.25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BRC-QT-000102-135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85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86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2026-05-19T06:51:57Z</cp:lastPrinted>
  <dcterms:created xsi:type="dcterms:W3CDTF">2024-10-20T11:50:19Z</dcterms:created>
  <dcterms:modified xsi:type="dcterms:W3CDTF">2026-05-19T06:52:00Z</dcterms:modified>
</cp:coreProperties>
</file>