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BBDCF324-10D4-4C3A-954F-BF70A5EE907D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G8" i="4"/>
  <c r="F8" i="4"/>
  <c r="E8" i="4"/>
  <c r="D8" i="4"/>
  <c r="B8" i="4"/>
  <c r="G7" i="4"/>
  <c r="F7" i="4"/>
  <c r="E7" i="4"/>
  <c r="D7" i="4"/>
  <c r="B7" i="4"/>
  <c r="J8" i="2"/>
  <c r="I8" i="2"/>
  <c r="H8" i="2"/>
  <c r="G8" i="2"/>
  <c r="J7" i="2"/>
  <c r="I7" i="2"/>
  <c r="H7" i="2"/>
  <c r="G7" i="2"/>
  <c r="D8" i="2"/>
  <c r="B8" i="2"/>
  <c r="D7" i="2"/>
  <c r="B7" i="2"/>
  <c r="E3" i="1"/>
  <c r="J8" i="1" l="1"/>
  <c r="J7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<sst xmlns="http://schemas.openxmlformats.org/spreadsheetml/2006/main" count="162" uniqueCount="123">
  <si>
    <t>Vendor Name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</si>
  <si>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</si>
  <si>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</si>
  <si>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</si>
  <si>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</si>
  <si>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</si>
  <si>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</si>
  <si>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</si>
  <si>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</si>
  <si>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</si>
  <si>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</si>
  <si>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</si>
  <si>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</si>
  <si>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</si>
  <si>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</si>
  <si>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</si>
  <si>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</si>
  <si>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</si>
  <si>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</si>
  <si>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</si>
  <si>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</si>
  <si>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</si>
  <si>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</si>
  <si>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</si>
  <si>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</si>
  <si>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</si>
  <si>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</si>
  <si>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</si>
  <si>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</si>
  <si>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</si>
  <si>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</si>
  <si>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</si>
  <si>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</si>
  <si>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</si>
  <si>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</si>
  <si>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</si>
  <si>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</si>
  <si>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</si>
  <si>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</si>
  <si>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</si>
  <si>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</si>
  <si>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</si>
  <si>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</si>
  <si>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</si>
  <si>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</si>
  <si>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</si>
  <si>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</si>
  <si>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</si>
  <si>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</si>
  <si>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</si>
  <si>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</si>
  <si>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</si>
  <si>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</si>
  <si>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</si>
  <si>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</si>
  <si>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</si>
  <si>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</si>
  <si>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</si>
  <si>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</si>
  <si>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</si>
  <si>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</si>
  <si>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</si>
  <si>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</si>
  <si>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</si>
  <si>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</si>
  <si>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</si>
  <si>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</si>
  <si>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</si>
  <si>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</si>
  <si>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</si>
  <si>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</si>
  <si>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</si>
  <si>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</si>
  <si>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</si>
  <si>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</si>
  <si>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</si>
  <si>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</si>
  <si>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</si>
  <si>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</si>
  <si>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</si>
  <si>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</si>
  <si>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</si>
  <si>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</si>
  <si>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</si>
  <si>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</si>
  <si>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</si>
  <si>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</si>
  <si>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</si>
  <si>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</si>
  <si>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</si>
  <si>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</si>
  <si>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</si>
  <si>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</si>
  <si>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</si>
  <si>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</si>
  <si>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</si>
  <si>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</si>
  <si>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</si>
  <si>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</si>
  <si>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</si>
  <si>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</si>
  <si>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</si>
  <si>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</si>
  <si>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</si>
  <si>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</si>
  <si>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Mob. &amp; De-Mob. / per unit - lump sum</t>
    <phoneticPr fontId="3" type="noConversion"/>
  </si>
  <si>
    <t>L / S</t>
    <phoneticPr fontId="10" type="noConversion"/>
  </si>
  <si>
    <t>Manlift</t>
  </si>
  <si>
    <t>Manlift Mob &amp; De-Mob. Charge</t>
  </si>
  <si>
    <t>Telescopic 38Mtr</t>
  </si>
  <si>
    <t>Articulated 40 Mtr</t>
  </si>
  <si>
    <t>Monthly Based</t>
  </si>
  <si>
    <t>One Time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</si>
  <si>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</si>
  <si>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6" type="noConversion"/>
  </si>
  <si>
    <t xml:space="preserve">  PJT :  SACE2           </t>
    <phoneticPr fontId="6" type="noConversion"/>
  </si>
  <si>
    <t>Division (In charge Name) : ADMIN MANAGER (Dong Chang Kim)</t>
  </si>
  <si>
    <t>Subcontract name (SAC2-SC-IK-SMP-01)</t>
  </si>
  <si>
    <t>FZCE(Four Zone Contracting Est.)</t>
  </si>
  <si>
    <t>FZ-OFFR-2025-1599</t>
  </si>
  <si>
    <t>Manlift 38 Mtr Telescopic &amp; 40 Mtr Articulated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</si>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</sst>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7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51" fillId="2" borderId="1" xfId="1" applyFont="1" applyFill="1" applyBorder="1" applyAlignment="1">
      <alignment horizontal="center" vertical="center"/>
    </xf>
    <xf numFmtId="0" fontId="51" fillId="2" borderId="2" xfId="1" applyFont="1" applyFill="1" applyBorder="1" applyAlignment="1">
      <alignment horizontal="center" vertical="center"/>
    </xf>
    <xf numFmtId="0" fontId="51" fillId="2" borderId="3" xfId="1" applyFont="1" applyFill="1" applyBorder="1" applyAlignment="1">
      <alignment horizontal="center" vertical="center"/>
    </xf>
    <xf numFmtId="0" fontId="52" fillId="2" borderId="4" xfId="1" applyFont="1" applyFill="1" applyBorder="1" applyAlignment="1">
      <alignment horizontal="center" vertical="center"/>
    </xf>
    <xf numFmtId="0" fontId="52" fillId="2" borderId="5" xfId="1" applyFont="1" applyFill="1" applyBorder="1" applyAlignment="1">
      <alignment horizontal="center" vertical="center"/>
    </xf>
    <xf numFmtId="0" fontId="52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/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113</v>
      </c>
      <c r="B1" s="111"/>
      <c r="C1" s="111"/>
      <c r="D1" s="111"/>
      <c r="E1" s="111"/>
      <c r="F1" s="111"/>
      <c r="G1" s="1"/>
      <c r="J1" s="141" t="s">
        <v>114</v>
      </c>
      <c r="K1" s="142"/>
      <c r="L1" s="143"/>
    </row>
    <row r="2" spans="1:19" ht="20.100000000000001" customHeight="1">
      <c r="A2" s="3" t="s">
        <v>115</v>
      </c>
      <c r="B2" s="102"/>
      <c r="C2" s="102"/>
      <c r="D2" s="3" t="s">
        <v>116</v>
      </c>
      <c r="E2" s="102"/>
      <c r="F2" s="102"/>
      <c r="G2" s="102"/>
      <c r="H2" s="102"/>
      <c r="I2" s="4"/>
      <c r="J2" s="144" t="s">
        <v>117</v>
      </c>
      <c r="K2" s="145"/>
      <c r="L2" s="146"/>
    </row>
    <row r="3" spans="1:19" ht="20.100000000000001" customHeight="1">
      <c r="A3" s="3" t="s">
        <v>122</v>
      </c>
      <c r="B3" s="102"/>
      <c r="C3" s="102"/>
      <c r="D3" s="102"/>
      <c r="E3" s="147">
        <f>+L3</f>
        <v>45693</v>
      </c>
      <c r="F3" s="147"/>
      <c r="G3" s="147"/>
      <c r="H3" s="147"/>
      <c r="I3" s="147"/>
      <c r="J3" s="102"/>
      <c r="K3" s="102"/>
      <c r="L3" s="123">
        <v>45693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96</v>
      </c>
      <c r="J4" s="148" t="s">
        <v>97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107</v>
      </c>
      <c r="C6" s="130"/>
      <c r="D6" s="131" t="s">
        <v>109</v>
      </c>
      <c r="E6" s="132"/>
      <c r="F6" s="133"/>
      <c r="G6" s="112" t="s">
        <v>91</v>
      </c>
      <c r="H6" s="113">
        <v>1</v>
      </c>
      <c r="I6" s="114">
        <v>31000</v>
      </c>
      <c r="J6" s="114">
        <f>H6*I6</f>
        <v>31000</v>
      </c>
      <c r="K6" s="115" t="s">
        <v>98</v>
      </c>
      <c r="L6" s="116" t="s">
        <v>111</v>
      </c>
      <c r="S6" s="107"/>
    </row>
    <row r="7" spans="1:19" ht="22.5" customHeight="1">
      <c r="A7" s="5">
        <f t="shared" si="0"/>
        <v>2</v>
      </c>
      <c r="B7" s="129" t="s">
        <v>107</v>
      </c>
      <c r="C7" s="130"/>
      <c r="D7" s="140" t="s">
        <v>110</v>
      </c>
      <c r="E7" s="132"/>
      <c r="F7" s="133"/>
      <c r="G7" s="112" t="s">
        <v>91</v>
      </c>
      <c r="H7" s="113">
        <v>1</v>
      </c>
      <c r="I7" s="114">
        <v>31000</v>
      </c>
      <c r="J7" s="114">
        <f t="shared" ref="J7:J8" si="1">H7*I7</f>
        <v>31000</v>
      </c>
      <c r="K7" s="115" t="s">
        <v>98</v>
      </c>
      <c r="L7" s="116" t="s">
        <v>111</v>
      </c>
      <c r="S7" s="107"/>
    </row>
    <row r="8" spans="1:19" ht="22.5" customHeight="1">
      <c r="A8" s="5">
        <f t="shared" si="0"/>
        <v>3</v>
      </c>
      <c r="B8" s="129" t="s">
        <v>108</v>
      </c>
      <c r="C8" s="130"/>
      <c r="D8" s="140" t="s">
        <v>105</v>
      </c>
      <c r="E8" s="132"/>
      <c r="F8" s="133"/>
      <c r="G8" s="112" t="s">
        <v>106</v>
      </c>
      <c r="H8" s="113">
        <v>2</v>
      </c>
      <c r="I8" s="114">
        <v>4000</v>
      </c>
      <c r="J8" s="114">
        <f t="shared" si="1"/>
        <v>8000</v>
      </c>
      <c r="K8" s="115" t="s">
        <v>98</v>
      </c>
      <c r="L8" s="116" t="s">
        <v>112</v>
      </c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70000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8" sqref="G8: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SAC2-DS-MRS-0029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45693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92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Manlift</v>
      </c>
      <c r="C6" s="166"/>
      <c r="D6" s="167" t="str">
        <f>MRS!D6</f>
        <v>Telescopic 38Mtr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31000</v>
      </c>
      <c r="J6" s="105">
        <f>MRS!J6</f>
        <v>31000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Manlift</v>
      </c>
      <c r="C7" s="166"/>
      <c r="D7" s="167" t="str">
        <f>MRS!D7</f>
        <v>Articulated 40 Mtr</v>
      </c>
      <c r="E7" s="168"/>
      <c r="F7" s="169"/>
      <c r="G7" s="104" t="str">
        <f>MRS!G7</f>
        <v>Month</v>
      </c>
      <c r="H7" s="104">
        <f>MRS!H7</f>
        <v>1</v>
      </c>
      <c r="I7" s="105">
        <f>MRS!I7</f>
        <v>31000</v>
      </c>
      <c r="J7" s="105">
        <f>MRS!J7</f>
        <v>31000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 t="str">
        <f>MRS!B8</f>
        <v>Manlift Mob &amp; De-Mob. Charge</v>
      </c>
      <c r="C8" s="166"/>
      <c r="D8" s="167" t="str">
        <f>MRS!D8</f>
        <v>Mob. &amp; De-Mob. / per unit - lump sum</v>
      </c>
      <c r="E8" s="168"/>
      <c r="F8" s="169"/>
      <c r="G8" s="104" t="str">
        <f>MRS!G8</f>
        <v>L / S</v>
      </c>
      <c r="H8" s="104">
        <f>MRS!H8</f>
        <v>2</v>
      </c>
      <c r="I8" s="105">
        <f>MRS!I8</f>
        <v>4000</v>
      </c>
      <c r="J8" s="105">
        <f>MRS!J8</f>
        <v>8000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4" zoomScale="130" zoomScaleSheetLayoutView="130" workbookViewId="0">
      <selection activeCell="C49" sqref="C4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118</v>
      </c>
      <c r="D9" s="39"/>
      <c r="E9" s="39"/>
    </row>
    <row r="10" spans="2:13" s="39" customFormat="1">
      <c r="B10" s="72"/>
      <c r="C10" s="39" t="s">
        <v>32</v>
      </c>
      <c r="D10" s="39">
        <v>2055133627</v>
      </c>
      <c r="J10" s="39" t="s">
        <v>33</v>
      </c>
      <c r="K10" s="177">
        <f>MRS!L3</f>
        <v>45693</v>
      </c>
      <c r="L10" s="178"/>
      <c r="M10" s="178"/>
    </row>
    <row r="11" spans="2:13" s="39" customFormat="1">
      <c r="B11" s="72"/>
      <c r="C11" s="75" t="s">
        <v>34</v>
      </c>
      <c r="D11" s="76" t="s">
        <v>99</v>
      </c>
      <c r="J11" s="39" t="s">
        <v>35</v>
      </c>
      <c r="K11" s="179" t="str">
        <f>SUBSTITUTE(SUBSTITUTE(+MRS!A3,"  MRS No : ",""),"-MRS","-PO")</f>
        <v>SAC2-DS-PO-0029</v>
      </c>
      <c r="L11" s="179"/>
      <c r="M11" s="179"/>
    </row>
    <row r="12" spans="2:13" s="39" customFormat="1">
      <c r="B12" s="72"/>
      <c r="C12" s="75" t="s">
        <v>36</v>
      </c>
      <c r="D12" s="39" t="s">
        <v>100</v>
      </c>
      <c r="J12" s="39" t="s">
        <v>37</v>
      </c>
    </row>
    <row r="13" spans="2:13" s="39" customFormat="1">
      <c r="B13" s="72"/>
      <c r="C13" s="77"/>
      <c r="D13" s="76" t="s">
        <v>101</v>
      </c>
      <c r="J13" s="39" t="s">
        <v>38</v>
      </c>
    </row>
    <row r="14" spans="2:13" s="39" customFormat="1">
      <c r="B14" s="72"/>
      <c r="C14" s="77" t="s">
        <v>102</v>
      </c>
      <c r="J14" s="39" t="s">
        <v>39</v>
      </c>
      <c r="K14" s="39" t="s">
        <v>119</v>
      </c>
    </row>
    <row r="15" spans="2:13" s="39" customFormat="1">
      <c r="B15" s="72"/>
      <c r="C15" s="77" t="s">
        <v>103</v>
      </c>
      <c r="J15" s="39" t="s">
        <v>40</v>
      </c>
      <c r="K15" s="78">
        <v>45691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42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43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44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120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4" t="s">
        <v>111</v>
      </c>
      <c r="G29" s="184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4"/>
      <c r="G30" s="184"/>
    </row>
    <row r="31" spans="2:13" ht="15" customHeight="1">
      <c r="B31" s="32"/>
      <c r="C31" s="26" t="s">
        <v>51</v>
      </c>
      <c r="D31" s="35"/>
      <c r="E31" s="26" t="s">
        <v>49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121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UPPER(D12)</f>
        <v>SHAKEEL KHADER</v>
      </c>
    </row>
    <row r="60" spans="1:16" ht="18" customHeight="1">
      <c r="B60" s="26" t="s">
        <v>71</v>
      </c>
      <c r="J60" s="26" t="s">
        <v>72</v>
      </c>
      <c r="K60" s="22" t="s">
        <v>104</v>
      </c>
    </row>
    <row r="61" spans="1:16" ht="15" customHeight="1">
      <c r="B61" s="26" t="s">
        <v>73</v>
      </c>
      <c r="J61" s="26" t="s">
        <v>74</v>
      </c>
    </row>
    <row r="62" spans="1:16" s="28" customFormat="1" ht="15" customHeight="1">
      <c r="B62" s="25" t="s">
        <v>75</v>
      </c>
      <c r="J62" s="25" t="str">
        <f>C9</f>
        <v>FZCE(Four Zone Contracting Est.)</v>
      </c>
    </row>
    <row r="63" spans="1:16" ht="27.95" customHeight="1">
      <c r="A63" s="176" t="s">
        <v>76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G20" sqref="G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SAC2-DS-PO-0029</v>
      </c>
      <c r="C2" s="191" t="s">
        <v>78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45693</v>
      </c>
      <c r="C3" s="51"/>
      <c r="D3" s="52"/>
      <c r="E3" s="192" t="s">
        <v>80</v>
      </c>
      <c r="F3" s="192"/>
      <c r="G3" s="192"/>
      <c r="H3" s="192"/>
      <c r="I3" s="53"/>
    </row>
    <row r="4" spans="1:13" s="55" customFormat="1" ht="28.5" customHeight="1" thickTop="1">
      <c r="A4" s="193" t="s">
        <v>81</v>
      </c>
      <c r="B4" s="195" t="s">
        <v>82</v>
      </c>
      <c r="C4" s="196"/>
      <c r="D4" s="199" t="s">
        <v>83</v>
      </c>
      <c r="E4" s="199" t="s">
        <v>84</v>
      </c>
      <c r="F4" s="201" t="str">
        <f>'PO 1st page'!C9</f>
        <v>FZCE(Four Zone Contracting Est.)</v>
      </c>
      <c r="G4" s="202"/>
      <c r="H4" s="203" t="s">
        <v>85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86</v>
      </c>
      <c r="G5" s="57" t="s">
        <v>51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+'MRS LIST'!B6</f>
        <v>Manlift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31000</v>
      </c>
      <c r="G6" s="89">
        <f>+'MRS LIST'!J6</f>
        <v>31000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Manlift</v>
      </c>
      <c r="C7" s="206"/>
      <c r="D7" s="86" t="str">
        <f>+'MRS LIST'!G7</f>
        <v>Month</v>
      </c>
      <c r="E7" s="87">
        <f>+'MRS LIST'!H7</f>
        <v>1</v>
      </c>
      <c r="F7" s="88">
        <f>+'MRS LIST'!I7</f>
        <v>31000</v>
      </c>
      <c r="G7" s="89">
        <f>+'MRS LIST'!J7</f>
        <v>31000</v>
      </c>
      <c r="H7" s="90" t="str">
        <f>MRS!L7</f>
        <v>Monthly Based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 t="str">
        <f>+'MRS LIST'!B8</f>
        <v>Manlift Mob &amp; De-Mob. Charge</v>
      </c>
      <c r="C8" s="206"/>
      <c r="D8" s="86" t="str">
        <f>+'MRS LIST'!G8</f>
        <v>L / S</v>
      </c>
      <c r="E8" s="87">
        <f>+'MRS LIST'!H8</f>
        <v>2</v>
      </c>
      <c r="F8" s="88">
        <f>+'MRS LIST'!I8</f>
        <v>4000</v>
      </c>
      <c r="G8" s="89">
        <f>+'MRS LIST'!J8</f>
        <v>8000</v>
      </c>
      <c r="H8" s="90" t="str">
        <f>MRS!L8</f>
        <v>One Time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87</v>
      </c>
      <c r="B18" s="186"/>
      <c r="C18" s="186"/>
      <c r="D18" s="186"/>
      <c r="E18" s="186"/>
      <c r="F18" s="186"/>
      <c r="G18" s="58">
        <f>SUM(G6:G17)</f>
        <v>70000</v>
      </c>
      <c r="H18" s="59"/>
    </row>
    <row r="19" spans="1:13" s="55" customFormat="1" ht="23.1" customHeight="1">
      <c r="A19" s="185" t="s">
        <v>50</v>
      </c>
      <c r="B19" s="186"/>
      <c r="C19" s="186"/>
      <c r="D19" s="186"/>
      <c r="E19" s="186"/>
      <c r="F19" s="186"/>
      <c r="G19" s="58">
        <f>+G18*0.15</f>
        <v>10500</v>
      </c>
      <c r="H19" s="59"/>
    </row>
    <row r="20" spans="1:13" s="55" customFormat="1" ht="24.95" customHeight="1" thickBot="1">
      <c r="A20" s="187" t="s">
        <v>88</v>
      </c>
      <c r="B20" s="188"/>
      <c r="C20" s="188"/>
      <c r="D20" s="188"/>
      <c r="E20" s="188"/>
      <c r="F20" s="188"/>
      <c r="G20" s="60">
        <f>G19+G18</f>
        <v>80500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FZ-OFFR-2025-1599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90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2025-02-06T11:39:28Z</cp:lastPrinted>
  <dcterms:created xsi:type="dcterms:W3CDTF">2024-10-20T11:50:19Z</dcterms:created>
  <dcterms:modified xsi:type="dcterms:W3CDTF">2025-03-23T15:10:32Z</dcterms:modified>
</cp:coreProperties>
</file>