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F0ECDFF3-CBB4-4F3B-93F9-36918A275FB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MRS!$A$1:$L$39</definedName>
    <definedName name="_xlnm.Print_Area" localSheetId="1">'MRS LIST'!$A$1:$K$30</definedName>
    <definedName name="_xlnm.Print_Area" localSheetId="2">'PO 1st page'!$A$1:$N$71</definedName>
    <definedName name="_xlnm.Print_Area" localSheetId="3">'PO 2nd page'!$A$1:$H$37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6" i="4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D30" i="2"/>
  <c r="D29" i="2"/>
  <c r="D28" i="2"/>
  <c r="D27" i="2"/>
  <c r="D26" i="2"/>
  <c r="D22" i="2"/>
  <c r="D23" i="2"/>
  <c r="D24" i="2"/>
  <c r="D25" i="2"/>
  <c r="D21" i="2"/>
  <c r="D19" i="2"/>
  <c r="D20" i="2"/>
  <c r="D18" i="2"/>
  <c r="D17" i="2"/>
  <c r="D16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B30" i="2"/>
  <c r="B29" i="2"/>
  <c r="B28" i="2"/>
  <c r="B27" i="2"/>
  <c r="B16" i="2"/>
  <c r="B17" i="2"/>
  <c r="B18" i="2"/>
  <c r="B19" i="2"/>
  <c r="B20" i="2"/>
  <c r="B21" i="2"/>
  <c r="B22" i="2"/>
  <c r="B23" i="2"/>
  <c r="B24" i="2"/>
  <c r="B25" i="2"/>
  <c r="B26" i="2"/>
  <c r="A26" i="4"/>
  <c r="A27" i="4"/>
  <c r="A28" i="4"/>
  <c r="A29" i="4"/>
  <c r="A30" i="4"/>
  <c r="A17" i="4"/>
  <c r="A18" i="4"/>
  <c r="A19" i="4"/>
  <c r="A20" i="4"/>
  <c r="A21" i="4"/>
  <c r="A22" i="4"/>
  <c r="A23" i="4"/>
  <c r="A24" i="4"/>
  <c r="A25" i="4"/>
  <c r="P54" i="3"/>
  <c r="J29" i="1" l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13" i="4"/>
  <c r="A14" i="4"/>
  <c r="A15" i="4"/>
  <c r="A16" i="4"/>
  <c r="H7" i="2"/>
  <c r="H8" i="2"/>
  <c r="H9" i="2"/>
  <c r="H10" i="2"/>
  <c r="H11" i="2"/>
  <c r="H12" i="2"/>
  <c r="G7" i="2"/>
  <c r="G8" i="2"/>
  <c r="G9" i="2"/>
  <c r="G10" i="2"/>
  <c r="G11" i="2"/>
  <c r="G12" i="2"/>
  <c r="G13" i="2"/>
  <c r="D7" i="2"/>
  <c r="D8" i="2"/>
  <c r="D9" i="2"/>
  <c r="D10" i="2"/>
  <c r="D11" i="2"/>
  <c r="D12" i="2"/>
  <c r="D13" i="2"/>
  <c r="D14" i="2"/>
  <c r="D15" i="2"/>
  <c r="B7" i="2"/>
  <c r="B8" i="2"/>
  <c r="B9" i="2"/>
  <c r="B10" i="2"/>
  <c r="B11" i="2"/>
  <c r="B12" i="2"/>
  <c r="B13" i="2"/>
  <c r="B14" i="2"/>
  <c r="B15" i="2"/>
  <c r="A8" i="1"/>
  <c r="A9" i="1"/>
  <c r="A10" i="1"/>
  <c r="A11" i="1"/>
  <c r="A12" i="1"/>
  <c r="A13" i="1"/>
  <c r="A14" i="1"/>
  <c r="A15" i="1"/>
  <c r="A12" i="4"/>
  <c r="J12" i="1"/>
  <c r="J13" i="1"/>
  <c r="J14" i="1"/>
  <c r="J15" i="1"/>
  <c r="J30" i="1"/>
  <c r="J10" i="1" l="1"/>
  <c r="J9" i="1"/>
  <c r="J8" i="1"/>
  <c r="J7" i="1"/>
  <c r="J11" i="1" l="1"/>
  <c r="K67" i="3"/>
  <c r="E3" i="1"/>
  <c r="J6" i="1" l="1"/>
  <c r="K10" i="3"/>
  <c r="A34" i="4" l="1"/>
  <c r="I6" i="2"/>
  <c r="H6" i="2"/>
  <c r="G6" i="2"/>
  <c r="D6" i="2"/>
  <c r="B6" i="2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J31" i="1" l="1"/>
  <c r="J6" i="2"/>
  <c r="G31" i="4" l="1"/>
  <c r="F29" i="3" s="1"/>
  <c r="G32" i="4" l="1"/>
  <c r="G33" i="4" s="1"/>
  <c r="F31" i="3" s="1"/>
  <c r="F30" i="3" l="1"/>
</calcChain>
</file>

<file path=xl/sharedStrings.xml><?xml version="1.0" encoding="utf-8"?>
<sst xmlns="http://schemas.openxmlformats.org/spreadsheetml/2006/main" count="237" uniqueCount="171">
  <si>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</si>
  <si>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</si>
  <si>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</si>
  <si>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</si>
  <si>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</si>
  <si>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</si>
  <si>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</si>
  <si>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</si>
  <si>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</si>
  <si>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</si>
  <si>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</si>
  <si>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</si>
  <si>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</si>
  <si>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</si>
  <si>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</si>
  <si>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</si>
  <si>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</si>
  <si>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</si>
  <si>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</si>
  <si>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</si>
  <si>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</si>
  <si>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</si>
  <si>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</si>
  <si>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</si>
  <si>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</si>
  <si>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</si>
  <si>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</si>
  <si>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</si>
  <si>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</si>
  <si>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</si>
  <si>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</si>
  <si>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</si>
  <si>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</si>
  <si>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</si>
  <si>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</si>
  <si>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</si>
  <si>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</si>
  <si>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</si>
  <si>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</si>
  <si>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</si>
  <si>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</si>
  <si>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</si>
  <si>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</si>
  <si>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</si>
  <si>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</si>
  <si>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</si>
  <si>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</si>
  <si>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</si>
  <si>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</si>
  <si>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</si>
  <si>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</si>
  <si>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</si>
  <si>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</si>
  <si>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</si>
  <si>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</si>
  <si>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</si>
  <si>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</si>
  <si>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</si>
  <si>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</si>
  <si>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</si>
  <si>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</si>
  <si>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</si>
  <si>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</si>
  <si>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</si>
  <si>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</si>
  <si>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</si>
  <si>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</si>
  <si>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</si>
  <si>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</si>
  <si>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</si>
  <si>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</si>
  <si>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</si>
  <si>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</si>
  <si>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</si>
  <si>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</si>
  <si>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</si>
  <si>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</si>
  <si>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</si>
  <si>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</si>
  <si>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</si>
  <si>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</si>
  <si>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</si>
  <si>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</si>
  <si>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</si>
  <si>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</si>
  <si>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</si>
  <si>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</si>
  <si>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</si>
  <si>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</si>
  <si>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</si>
  <si>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</si>
  <si>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</si>
  <si>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</si>
  <si>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</si>
  <si>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</si>
  <si>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</si>
  <si>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</si>
  <si>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</si>
  <si>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ATGC</t>
  </si>
  <si>
    <t>300900558400003</t>
  </si>
  <si>
    <t>P.O. Box 2746, Al-Jubail 31951</t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</si>
  <si>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</si>
  <si>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</si>
  <si>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</si>
  <si>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</si>
  <si>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</si>
  <si>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Muhammed Rafi</t>
  </si>
  <si>
    <t>+966 57 5956527 / Email:info@alrmoozsa.com</t>
  </si>
  <si>
    <t>Landline : +99 13 8022775. : Mobile : +966 583694645</t>
  </si>
  <si>
    <t>Office Materials</t>
  </si>
  <si>
    <t>Senior Project Coordinator</t>
  </si>
  <si>
    <t>Branch of Hyundai Engineering and Const. Co., Ltd. (HDEC)</t>
  </si>
  <si>
    <t>ATGC(Alrmooz Technical for General Contracting Est.)</t>
  </si>
  <si>
    <t>BRANCH OF HYUNDAI ENG. &amp; CONST. CO., LTD.</t>
  </si>
  <si>
    <t>Box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</si>
  <si>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-MRS-0184</t>
    </r>
  </si>
  <si>
    <t>Paper Tray</t>
  </si>
  <si>
    <t>Ice Box</t>
  </si>
  <si>
    <t>120 ltr</t>
  </si>
  <si>
    <t>Fine Deluc Toilet Paper</t>
  </si>
  <si>
    <t>12 Rolls 4*1bdl</t>
  </si>
  <si>
    <t>BDL</t>
  </si>
  <si>
    <t>Office Chair</t>
  </si>
  <si>
    <t>Neckless</t>
  </si>
  <si>
    <t>SSD Internal Drive</t>
  </si>
  <si>
    <t>1TB, SATA 3</t>
  </si>
  <si>
    <t>Spray Paint</t>
  </si>
  <si>
    <t>Black</t>
  </si>
  <si>
    <t>DAC Disinfectant</t>
  </si>
  <si>
    <t>3 ltr</t>
  </si>
  <si>
    <t>Clorox Bleach</t>
  </si>
  <si>
    <t>3.78 ltr</t>
  </si>
  <si>
    <t>Xerox Toner C 7100</t>
  </si>
  <si>
    <t>Cyan-3/Magenta-3/Yellow-3</t>
  </si>
  <si>
    <t>Office Table with attached Drawer</t>
  </si>
  <si>
    <t>120*75*70</t>
  </si>
  <si>
    <t>Stamp Pad Ink</t>
  </si>
  <si>
    <t>Blue, 28ml</t>
  </si>
  <si>
    <t>Red, 28ml</t>
  </si>
  <si>
    <t>DP to HDMI Cable</t>
  </si>
  <si>
    <t>1.8mtr</t>
  </si>
  <si>
    <t>Water Bottle</t>
  </si>
  <si>
    <t>1050ml,HI-TEX,1*48pcs</t>
  </si>
  <si>
    <t>Gum Boot</t>
  </si>
  <si>
    <t>41-7/42-1/40-1</t>
  </si>
  <si>
    <t>PAIR</t>
  </si>
  <si>
    <t>Round Sticker</t>
  </si>
  <si>
    <t>Router</t>
  </si>
  <si>
    <t>TP Link Router</t>
  </si>
  <si>
    <t>4Port</t>
  </si>
  <si>
    <t>8Port</t>
  </si>
  <si>
    <t>70 ltr</t>
  </si>
  <si>
    <t>Paper Cone Cup</t>
  </si>
  <si>
    <t>Hand Wash Liquid</t>
  </si>
  <si>
    <t>20 ltr</t>
  </si>
  <si>
    <t>Broom Brush</t>
  </si>
  <si>
    <t>Mat Mop</t>
  </si>
  <si>
    <t>QUO-MAT-2512148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</si>
  <si>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</si>
  <si>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</si>
  <si>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</si>
  <si>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</si>
  <si>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</si>
  <si>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</si>
  <si>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</si>
  <si>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</si>
  <si>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</si>
  <si>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</si>
  <si>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ALRMOOZ TECHNICAL FOR GENERAL CONTRACTING EST.</t>
  </si>
  <si>
    <t>SA6110000004161114000110</t>
  </si>
  <si>
    <t>THE NATIONAL COMMERCIAL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</si>
</sst>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  <numFmt numFmtId="173" formatCode="_-* #,##0.00_-;\-* #,##0.00_-;_-* &quot;-&quot;_-;_-@_-"/>
  </numFmts>
  <fonts count="56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72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0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16" xfId="5" applyFont="1" applyFill="1" applyBorder="1"/>
    <xf numFmtId="0" fontId="18" fillId="3" borderId="1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9" fontId="7" fillId="0" borderId="0" xfId="6" quotePrefix="1" applyNumberFormat="1" applyFont="1" applyAlignment="1">
      <alignment horizontal="left" vertical="top"/>
    </xf>
    <xf numFmtId="172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12" xfId="6" applyFont="1" applyFill="1" applyBorder="1" applyAlignment="1">
      <alignment horizontal="center" vertical="center" wrapText="1"/>
    </xf>
    <xf numFmtId="43" fontId="12" fillId="0" borderId="12" xfId="6" quotePrefix="1" applyNumberFormat="1" applyFont="1" applyBorder="1" applyAlignment="1">
      <alignment vertical="center" wrapText="1"/>
    </xf>
    <xf numFmtId="0" fontId="7" fillId="0" borderId="26" xfId="6" applyFont="1" applyBorder="1"/>
    <xf numFmtId="171" fontId="9" fillId="0" borderId="33" xfId="6" applyNumberFormat="1" applyFont="1" applyBorder="1" applyAlignment="1">
      <alignment horizontal="center" vertical="center" wrapText="1"/>
    </xf>
    <xf numFmtId="0" fontId="7" fillId="0" borderId="34" xfId="6" applyFont="1" applyBorder="1"/>
    <xf numFmtId="0" fontId="9" fillId="0" borderId="0" xfId="6" applyFont="1" applyAlignment="1">
      <alignment vertical="center"/>
    </xf>
    <xf numFmtId="0" fontId="26" fillId="0" borderId="35" xfId="6" applyFont="1" applyBorder="1" applyAlignment="1">
      <alignment vertical="center"/>
    </xf>
    <xf numFmtId="0" fontId="26" fillId="0" borderId="3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27" xfId="6" quotePrefix="1" applyFont="1" applyBorder="1" applyAlignment="1">
      <alignment horizontal="center" vertical="center"/>
    </xf>
    <xf numFmtId="0" fontId="5" fillId="2" borderId="30" xfId="7" applyFont="1" applyFill="1" applyBorder="1" applyAlignment="1">
      <alignment horizontal="center" vertical="center" wrapText="1"/>
    </xf>
    <xf numFmtId="0" fontId="5" fillId="2" borderId="30" xfId="8" applyFont="1" applyFill="1" applyBorder="1" applyAlignment="1">
      <alignment horizontal="center" vertical="center"/>
    </xf>
    <xf numFmtId="43" fontId="5" fillId="0" borderId="30" xfId="9" quotePrefix="1" applyFont="1" applyFill="1" applyBorder="1" applyAlignment="1">
      <alignment vertical="center"/>
    </xf>
    <xf numFmtId="43" fontId="5" fillId="0" borderId="30" xfId="6" applyNumberFormat="1" applyFont="1" applyBorder="1" applyAlignment="1">
      <alignment vertical="center"/>
    </xf>
    <xf numFmtId="0" fontId="2" fillId="0" borderId="3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25" xfId="6" quotePrefix="1" applyFont="1" applyBorder="1" applyAlignment="1">
      <alignment horizontal="center" vertical="center"/>
    </xf>
    <xf numFmtId="0" fontId="2" fillId="0" borderId="2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12" xfId="0" applyFont="1" applyBorder="1" applyAlignment="1">
      <alignment horizontal="center" vertical="center"/>
    </xf>
    <xf numFmtId="173" fontId="42" fillId="0" borderId="12" xfId="10" applyNumberFormat="1" applyFont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1" fontId="18" fillId="3" borderId="0" xfId="5" applyNumberFormat="1" applyFont="1" applyFill="1"/>
    <xf numFmtId="169" fontId="9" fillId="0" borderId="0" xfId="3" applyNumberFormat="1" applyFont="1" applyAlignment="1">
      <alignment horizontal="right"/>
    </xf>
    <xf numFmtId="0" fontId="2" fillId="2" borderId="0" xfId="1" applyFill="1" applyAlignment="1">
      <alignment vertical="center"/>
    </xf>
    <xf numFmtId="0" fontId="2" fillId="2" borderId="12" xfId="4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167" fontId="2" fillId="0" borderId="12" xfId="0" applyNumberFormat="1" applyFont="1" applyBorder="1" applyAlignment="1">
      <alignment horizontal="center" vertical="center"/>
    </xf>
    <xf numFmtId="168" fontId="2" fillId="0" borderId="12" xfId="0" applyNumberFormat="1" applyFont="1" applyBorder="1" applyAlignment="1">
      <alignment horizontal="right" vertical="center" wrapText="1"/>
    </xf>
    <xf numFmtId="168" fontId="2" fillId="0" borderId="12" xfId="0" applyNumberFormat="1" applyFont="1" applyBorder="1" applyAlignment="1">
      <alignment horizontal="center" vertical="center" wrapText="1"/>
    </xf>
    <xf numFmtId="0" fontId="2" fillId="0" borderId="12" xfId="0" quotePrefix="1" applyFont="1" applyBorder="1" applyAlignment="1">
      <alignment vertical="center" wrapText="1"/>
    </xf>
    <xf numFmtId="0" fontId="2" fillId="2" borderId="12" xfId="1" applyFill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/>
    </xf>
    <xf numFmtId="0" fontId="7" fillId="2" borderId="13" xfId="1" quotePrefix="1" applyFont="1" applyFill="1" applyBorder="1" applyAlignment="1">
      <alignment vertical="center"/>
    </xf>
    <xf numFmtId="0" fontId="2" fillId="2" borderId="15" xfId="1" applyFill="1" applyBorder="1" applyAlignment="1">
      <alignment vertical="center"/>
    </xf>
    <xf numFmtId="0" fontId="2" fillId="2" borderId="15" xfId="1" applyFill="1" applyBorder="1" applyAlignment="1">
      <alignment vertical="center" wrapText="1"/>
    </xf>
    <xf numFmtId="0" fontId="2" fillId="2" borderId="14" xfId="1" applyFill="1" applyBorder="1" applyAlignment="1">
      <alignment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13" fillId="0" borderId="12" xfId="0" applyFont="1" applyBorder="1" applyAlignment="1">
      <alignment horizontal="left" vertical="center"/>
    </xf>
    <xf numFmtId="0" fontId="53" fillId="0" borderId="12" xfId="0" applyFont="1" applyBorder="1" applyAlignment="1">
      <alignment horizontal="center" vertical="center" wrapText="1"/>
    </xf>
    <xf numFmtId="0" fontId="2" fillId="2" borderId="12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13" xfId="0" applyFont="1" applyBorder="1" applyAlignment="1">
      <alignment horizontal="left" vertical="center" wrapText="1"/>
    </xf>
    <xf numFmtId="0" fontId="42" fillId="0" borderId="14" xfId="0" applyFont="1" applyBorder="1" applyAlignment="1">
      <alignment horizontal="left" vertical="center" wrapText="1"/>
    </xf>
    <xf numFmtId="0" fontId="42" fillId="3" borderId="13" xfId="0" applyFont="1" applyFill="1" applyBorder="1" applyAlignment="1">
      <alignment horizontal="center" vertical="center" wrapText="1"/>
    </xf>
    <xf numFmtId="0" fontId="42" fillId="3" borderId="15" xfId="0" applyFont="1" applyFill="1" applyBorder="1" applyAlignment="1">
      <alignment horizontal="center" vertical="center" wrapText="1"/>
    </xf>
    <xf numFmtId="0" fontId="42" fillId="3" borderId="14" xfId="0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 wrapText="1"/>
    </xf>
    <xf numFmtId="0" fontId="15" fillId="2" borderId="1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9" fontId="32" fillId="3" borderId="0" xfId="5" quotePrefix="1" applyNumberFormat="1" applyFont="1" applyFill="1" applyAlignment="1">
      <alignment horizontal="left" vertical="center"/>
    </xf>
    <xf numFmtId="169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1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2" fillId="3" borderId="28" xfId="5" applyFont="1" applyFill="1" applyBorder="1" applyAlignment="1">
      <alignment horizontal="left" vertical="center" wrapText="1"/>
    </xf>
    <xf numFmtId="0" fontId="42" fillId="3" borderId="2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17" xfId="6" applyFont="1" applyBorder="1" applyAlignment="1">
      <alignment horizontal="right" vertical="center"/>
    </xf>
    <xf numFmtId="0" fontId="7" fillId="4" borderId="18" xfId="6" applyFont="1" applyFill="1" applyBorder="1" applyAlignment="1">
      <alignment horizontal="center" vertical="center" wrapText="1"/>
    </xf>
    <xf numFmtId="0" fontId="7" fillId="4" borderId="25" xfId="6" applyFont="1" applyFill="1" applyBorder="1" applyAlignment="1">
      <alignment horizontal="center" vertical="center" wrapText="1"/>
    </xf>
    <xf numFmtId="0" fontId="7" fillId="4" borderId="1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1" xfId="6" applyFont="1" applyFill="1" applyBorder="1" applyAlignment="1">
      <alignment horizontal="center" vertical="center" wrapText="1"/>
    </xf>
    <xf numFmtId="0" fontId="7" fillId="4" borderId="12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23" xfId="6" applyFont="1" applyFill="1" applyBorder="1" applyAlignment="1">
      <alignment horizontal="center" vertical="center" wrapText="1"/>
    </xf>
    <xf numFmtId="0" fontId="7" fillId="4" borderId="24" xfId="6" applyFont="1" applyFill="1" applyBorder="1" applyAlignment="1">
      <alignment horizontal="center" vertical="center" wrapText="1"/>
    </xf>
    <xf numFmtId="0" fontId="7" fillId="4" borderId="26" xfId="6" applyFont="1" applyFill="1" applyBorder="1" applyAlignment="1">
      <alignment horizontal="center" vertical="center" wrapText="1"/>
    </xf>
    <xf numFmtId="0" fontId="12" fillId="0" borderId="25" xfId="6" quotePrefix="1" applyFont="1" applyBorder="1" applyAlignment="1">
      <alignment horizontal="right" vertical="center"/>
    </xf>
    <xf numFmtId="0" fontId="12" fillId="0" borderId="12" xfId="6" quotePrefix="1" applyFont="1" applyBorder="1" applyAlignment="1">
      <alignment horizontal="right" vertical="center"/>
    </xf>
    <xf numFmtId="0" fontId="9" fillId="0" borderId="32" xfId="6" quotePrefix="1" applyFont="1" applyBorder="1" applyAlignment="1">
      <alignment horizontal="right" vertical="center"/>
    </xf>
    <xf numFmtId="0" fontId="9" fillId="0" borderId="33" xfId="6" quotePrefix="1" applyFont="1" applyBorder="1" applyAlignment="1">
      <alignment horizontal="right" vertical="center"/>
    </xf>
    <xf numFmtId="0" fontId="54" fillId="3" borderId="0" xfId="5" applyFont="1" applyFill="1"/>
    <xf numFmtId="0" fontId="18" fillId="3" borderId="0" xfId="5" quotePrefix="1" applyFont="1" applyFill="1"/>
    <xf numFmtId="0" fontId="55" fillId="3" borderId="0" xfId="5" applyFont="1" applyFill="1" applyAlignment="1">
      <alignment horizontal="left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32</xdr:row>
          <xdr:rowOff>0</xdr:rowOff>
        </xdr:from>
        <xdr:to>
          <xdr:col>12</xdr:col>
          <xdr:colOff>502</xdr:colOff>
          <xdr:row>39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33:$V$39" spid="_x0000_s124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16579" y="5855368"/>
              <a:ext cx="3790449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17</xdr:row>
      <xdr:rowOff>822627</xdr:rowOff>
    </xdr:from>
    <xdr:to>
      <xdr:col>15</xdr:col>
      <xdr:colOff>543942</xdr:colOff>
      <xdr:row>18</xdr:row>
      <xdr:rowOff>102126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9</xdr:row>
      <xdr:rowOff>136356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67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00" t="s">
        <v>103</v>
      </c>
      <c r="B1" s="98"/>
      <c r="C1" s="98"/>
      <c r="D1" s="98"/>
      <c r="E1" s="98"/>
      <c r="F1" s="98"/>
      <c r="G1" s="1"/>
      <c r="J1" s="116" t="s">
        <v>90</v>
      </c>
      <c r="K1" s="117"/>
      <c r="L1" s="118"/>
    </row>
    <row r="2" spans="1:19" ht="20.100000000000001" customHeight="1">
      <c r="A2" s="3" t="s">
        <v>1</v>
      </c>
      <c r="B2" s="92"/>
      <c r="C2" s="92"/>
      <c r="D2" s="3" t="s">
        <v>102</v>
      </c>
      <c r="E2" s="92"/>
      <c r="F2" s="92"/>
      <c r="G2" s="92"/>
      <c r="H2" s="92"/>
      <c r="I2" s="4"/>
      <c r="J2" s="119" t="s">
        <v>101</v>
      </c>
      <c r="K2" s="120"/>
      <c r="L2" s="121"/>
    </row>
    <row r="3" spans="1:19" ht="20.100000000000001" customHeight="1">
      <c r="A3" s="3" t="s">
        <v>115</v>
      </c>
      <c r="B3" s="92"/>
      <c r="C3" s="92"/>
      <c r="D3" s="92"/>
      <c r="E3" s="122">
        <f>+L3</f>
        <v>46006</v>
      </c>
      <c r="F3" s="122"/>
      <c r="G3" s="122"/>
      <c r="H3" s="122"/>
      <c r="I3" s="122"/>
      <c r="J3" s="92"/>
      <c r="K3" s="92"/>
      <c r="L3" s="102">
        <v>46006</v>
      </c>
      <c r="M3" s="4"/>
    </row>
    <row r="4" spans="1:19" ht="15.95" customHeight="1">
      <c r="A4" s="123" t="s">
        <v>2</v>
      </c>
      <c r="B4" s="124" t="s">
        <v>3</v>
      </c>
      <c r="C4" s="124"/>
      <c r="D4" s="123" t="s">
        <v>4</v>
      </c>
      <c r="E4" s="123"/>
      <c r="F4" s="123"/>
      <c r="G4" s="124" t="s">
        <v>5</v>
      </c>
      <c r="H4" s="123" t="s">
        <v>6</v>
      </c>
      <c r="I4" s="123" t="s">
        <v>94</v>
      </c>
      <c r="J4" s="123" t="s">
        <v>95</v>
      </c>
      <c r="K4" s="123" t="s">
        <v>0</v>
      </c>
      <c r="L4" s="124" t="s">
        <v>7</v>
      </c>
    </row>
    <row r="5" spans="1:19" ht="15.95" customHeight="1">
      <c r="A5" s="123"/>
      <c r="B5" s="124"/>
      <c r="C5" s="124"/>
      <c r="D5" s="123"/>
      <c r="E5" s="123"/>
      <c r="F5" s="123"/>
      <c r="G5" s="124"/>
      <c r="H5" s="123"/>
      <c r="I5" s="123"/>
      <c r="J5" s="123"/>
      <c r="K5" s="123"/>
      <c r="L5" s="124"/>
    </row>
    <row r="6" spans="1:19" ht="22.5" customHeight="1">
      <c r="A6" s="104">
        <f t="shared" ref="A6:A30" si="0">ROW(A1)</f>
        <v>1</v>
      </c>
      <c r="B6" s="125" t="s">
        <v>116</v>
      </c>
      <c r="C6" s="125"/>
      <c r="D6" s="126"/>
      <c r="E6" s="126"/>
      <c r="F6" s="126"/>
      <c r="G6" s="105" t="s">
        <v>97</v>
      </c>
      <c r="H6" s="106">
        <v>2</v>
      </c>
      <c r="I6" s="107">
        <v>26</v>
      </c>
      <c r="J6" s="107">
        <f>H6*I6</f>
        <v>52</v>
      </c>
      <c r="K6" s="108" t="s">
        <v>98</v>
      </c>
      <c r="L6" s="109" t="s">
        <v>105</v>
      </c>
      <c r="S6" s="97"/>
    </row>
    <row r="7" spans="1:19" ht="22.5" customHeight="1">
      <c r="A7" s="104">
        <f t="shared" si="0"/>
        <v>2</v>
      </c>
      <c r="B7" s="125" t="s">
        <v>117</v>
      </c>
      <c r="C7" s="125"/>
      <c r="D7" s="126" t="s">
        <v>118</v>
      </c>
      <c r="E7" s="126"/>
      <c r="F7" s="126"/>
      <c r="G7" s="105" t="s">
        <v>97</v>
      </c>
      <c r="H7" s="106">
        <v>4</v>
      </c>
      <c r="I7" s="107">
        <v>370</v>
      </c>
      <c r="J7" s="107">
        <f t="shared" ref="J7:J10" si="1">H7*I7</f>
        <v>1480</v>
      </c>
      <c r="K7" s="108"/>
      <c r="L7" s="109"/>
      <c r="S7" s="97"/>
    </row>
    <row r="8" spans="1:19" ht="22.5" customHeight="1">
      <c r="A8" s="104">
        <f t="shared" si="0"/>
        <v>3</v>
      </c>
      <c r="B8" s="125" t="s">
        <v>119</v>
      </c>
      <c r="C8" s="125"/>
      <c r="D8" s="126" t="s">
        <v>120</v>
      </c>
      <c r="E8" s="126"/>
      <c r="F8" s="126"/>
      <c r="G8" s="105" t="s">
        <v>121</v>
      </c>
      <c r="H8" s="106">
        <v>20</v>
      </c>
      <c r="I8" s="107">
        <v>27</v>
      </c>
      <c r="J8" s="107">
        <f t="shared" si="1"/>
        <v>540</v>
      </c>
      <c r="K8" s="108"/>
      <c r="L8" s="109"/>
      <c r="S8" s="97"/>
    </row>
    <row r="9" spans="1:19" ht="22.5" customHeight="1">
      <c r="A9" s="104">
        <f t="shared" si="0"/>
        <v>4</v>
      </c>
      <c r="B9" s="125" t="s">
        <v>122</v>
      </c>
      <c r="C9" s="125"/>
      <c r="D9" s="126" t="s">
        <v>123</v>
      </c>
      <c r="E9" s="126"/>
      <c r="F9" s="126"/>
      <c r="G9" s="105" t="s">
        <v>97</v>
      </c>
      <c r="H9" s="106">
        <v>5</v>
      </c>
      <c r="I9" s="107">
        <v>156</v>
      </c>
      <c r="J9" s="107">
        <f t="shared" si="1"/>
        <v>780</v>
      </c>
      <c r="K9" s="108"/>
      <c r="L9" s="109"/>
      <c r="S9" s="97"/>
    </row>
    <row r="10" spans="1:19" ht="22.5" customHeight="1">
      <c r="A10" s="104">
        <f t="shared" si="0"/>
        <v>5</v>
      </c>
      <c r="B10" s="125" t="s">
        <v>126</v>
      </c>
      <c r="C10" s="125"/>
      <c r="D10" s="126" t="s">
        <v>127</v>
      </c>
      <c r="E10" s="126"/>
      <c r="F10" s="126"/>
      <c r="G10" s="105" t="s">
        <v>114</v>
      </c>
      <c r="H10" s="106">
        <v>5</v>
      </c>
      <c r="I10" s="107">
        <v>56</v>
      </c>
      <c r="J10" s="107">
        <f t="shared" si="1"/>
        <v>280</v>
      </c>
      <c r="K10" s="108"/>
      <c r="L10" s="105"/>
      <c r="S10" s="97"/>
    </row>
    <row r="11" spans="1:19" ht="22.5" customHeight="1">
      <c r="A11" s="104">
        <f t="shared" si="0"/>
        <v>6</v>
      </c>
      <c r="B11" s="125" t="s">
        <v>124</v>
      </c>
      <c r="C11" s="125"/>
      <c r="D11" s="126" t="s">
        <v>125</v>
      </c>
      <c r="E11" s="126"/>
      <c r="F11" s="126"/>
      <c r="G11" s="105" t="s">
        <v>97</v>
      </c>
      <c r="H11" s="106">
        <v>1</v>
      </c>
      <c r="I11" s="107">
        <v>331</v>
      </c>
      <c r="J11" s="107">
        <f t="shared" ref="J11:J30" si="2">H11*I11</f>
        <v>331</v>
      </c>
      <c r="K11" s="108"/>
      <c r="L11" s="109"/>
      <c r="S11" s="97"/>
    </row>
    <row r="12" spans="1:19" ht="22.5" customHeight="1">
      <c r="A12" s="104">
        <f t="shared" si="0"/>
        <v>7</v>
      </c>
      <c r="B12" s="125" t="s">
        <v>128</v>
      </c>
      <c r="C12" s="125"/>
      <c r="D12" s="126" t="s">
        <v>129</v>
      </c>
      <c r="E12" s="126"/>
      <c r="F12" s="126"/>
      <c r="G12" s="105" t="s">
        <v>97</v>
      </c>
      <c r="H12" s="106">
        <v>6</v>
      </c>
      <c r="I12" s="107">
        <v>20</v>
      </c>
      <c r="J12" s="107">
        <f t="shared" si="2"/>
        <v>120</v>
      </c>
      <c r="K12" s="108"/>
      <c r="L12" s="109"/>
      <c r="S12" s="97"/>
    </row>
    <row r="13" spans="1:19" ht="22.5" customHeight="1">
      <c r="A13" s="104">
        <f t="shared" si="0"/>
        <v>8</v>
      </c>
      <c r="B13" s="125" t="s">
        <v>130</v>
      </c>
      <c r="C13" s="125"/>
      <c r="D13" s="126" t="s">
        <v>131</v>
      </c>
      <c r="E13" s="126"/>
      <c r="F13" s="126"/>
      <c r="G13" s="105" t="s">
        <v>97</v>
      </c>
      <c r="H13" s="106">
        <v>4</v>
      </c>
      <c r="I13" s="107">
        <v>25</v>
      </c>
      <c r="J13" s="107">
        <f t="shared" si="2"/>
        <v>100</v>
      </c>
      <c r="K13" s="108"/>
      <c r="L13" s="109"/>
      <c r="S13" s="97"/>
    </row>
    <row r="14" spans="1:19" ht="22.5" customHeight="1">
      <c r="A14" s="104">
        <f t="shared" si="0"/>
        <v>9</v>
      </c>
      <c r="B14" s="125" t="s">
        <v>132</v>
      </c>
      <c r="C14" s="125"/>
      <c r="D14" s="126" t="s">
        <v>127</v>
      </c>
      <c r="E14" s="126"/>
      <c r="F14" s="126"/>
      <c r="G14" s="105" t="s">
        <v>97</v>
      </c>
      <c r="H14" s="106">
        <v>5</v>
      </c>
      <c r="I14" s="107">
        <v>350</v>
      </c>
      <c r="J14" s="107">
        <f t="shared" si="2"/>
        <v>1750</v>
      </c>
      <c r="K14" s="108"/>
      <c r="L14" s="109"/>
      <c r="S14" s="97"/>
    </row>
    <row r="15" spans="1:19" ht="22.5" customHeight="1">
      <c r="A15" s="104">
        <f t="shared" si="0"/>
        <v>10</v>
      </c>
      <c r="B15" s="125" t="s">
        <v>132</v>
      </c>
      <c r="C15" s="125"/>
      <c r="D15" s="126" t="s">
        <v>133</v>
      </c>
      <c r="E15" s="126"/>
      <c r="F15" s="126"/>
      <c r="G15" s="105" t="s">
        <v>97</v>
      </c>
      <c r="H15" s="106">
        <v>9</v>
      </c>
      <c r="I15" s="107">
        <v>450</v>
      </c>
      <c r="J15" s="107">
        <f t="shared" si="2"/>
        <v>4050</v>
      </c>
      <c r="K15" s="108"/>
      <c r="L15" s="105"/>
      <c r="S15" s="97"/>
    </row>
    <row r="16" spans="1:19" ht="22.5" customHeight="1">
      <c r="A16" s="104">
        <f t="shared" si="0"/>
        <v>11</v>
      </c>
      <c r="B16" s="125" t="s">
        <v>134</v>
      </c>
      <c r="C16" s="125"/>
      <c r="D16" s="126" t="s">
        <v>135</v>
      </c>
      <c r="E16" s="126"/>
      <c r="F16" s="126"/>
      <c r="G16" s="105" t="s">
        <v>97</v>
      </c>
      <c r="H16" s="106">
        <v>5</v>
      </c>
      <c r="I16" s="107">
        <v>400</v>
      </c>
      <c r="J16" s="107">
        <f t="shared" si="2"/>
        <v>2000</v>
      </c>
      <c r="K16" s="108"/>
      <c r="L16" s="105"/>
      <c r="S16" s="97"/>
    </row>
    <row r="17" spans="1:19" ht="22.5" customHeight="1">
      <c r="A17" s="104">
        <f t="shared" si="0"/>
        <v>12</v>
      </c>
      <c r="B17" s="125" t="s">
        <v>136</v>
      </c>
      <c r="C17" s="125"/>
      <c r="D17" s="126" t="s">
        <v>137</v>
      </c>
      <c r="E17" s="126"/>
      <c r="F17" s="126"/>
      <c r="G17" s="105" t="s">
        <v>97</v>
      </c>
      <c r="H17" s="106">
        <v>3</v>
      </c>
      <c r="I17" s="107">
        <v>19</v>
      </c>
      <c r="J17" s="107">
        <f t="shared" si="2"/>
        <v>57</v>
      </c>
      <c r="K17" s="108"/>
      <c r="L17" s="105"/>
      <c r="S17" s="97"/>
    </row>
    <row r="18" spans="1:19" ht="22.5" customHeight="1">
      <c r="A18" s="104">
        <f t="shared" si="0"/>
        <v>13</v>
      </c>
      <c r="B18" s="125" t="s">
        <v>136</v>
      </c>
      <c r="C18" s="125"/>
      <c r="D18" s="126" t="s">
        <v>138</v>
      </c>
      <c r="E18" s="126"/>
      <c r="F18" s="126"/>
      <c r="G18" s="105" t="s">
        <v>97</v>
      </c>
      <c r="H18" s="106">
        <v>3</v>
      </c>
      <c r="I18" s="107">
        <v>19</v>
      </c>
      <c r="J18" s="107">
        <f t="shared" si="2"/>
        <v>57</v>
      </c>
      <c r="K18" s="108"/>
      <c r="L18" s="105"/>
      <c r="S18" s="97"/>
    </row>
    <row r="19" spans="1:19" ht="22.5" customHeight="1">
      <c r="A19" s="104">
        <f t="shared" si="0"/>
        <v>14</v>
      </c>
      <c r="B19" s="125" t="s">
        <v>139</v>
      </c>
      <c r="C19" s="125"/>
      <c r="D19" s="126" t="s">
        <v>140</v>
      </c>
      <c r="E19" s="126"/>
      <c r="F19" s="126"/>
      <c r="G19" s="105" t="s">
        <v>97</v>
      </c>
      <c r="H19" s="106">
        <v>2</v>
      </c>
      <c r="I19" s="107">
        <v>62</v>
      </c>
      <c r="J19" s="107">
        <f t="shared" si="2"/>
        <v>124</v>
      </c>
      <c r="K19" s="108"/>
      <c r="L19" s="105"/>
      <c r="S19" s="97"/>
    </row>
    <row r="20" spans="1:19" ht="22.5" customHeight="1">
      <c r="A20" s="104">
        <f t="shared" si="0"/>
        <v>15</v>
      </c>
      <c r="B20" s="125" t="s">
        <v>141</v>
      </c>
      <c r="C20" s="125"/>
      <c r="D20" s="126" t="s">
        <v>142</v>
      </c>
      <c r="E20" s="126"/>
      <c r="F20" s="126"/>
      <c r="G20" s="105" t="s">
        <v>97</v>
      </c>
      <c r="H20" s="106">
        <v>48</v>
      </c>
      <c r="I20" s="107">
        <v>11.2</v>
      </c>
      <c r="J20" s="107">
        <f t="shared" si="2"/>
        <v>537.59999999999991</v>
      </c>
      <c r="K20" s="108"/>
      <c r="L20" s="105"/>
      <c r="S20" s="97"/>
    </row>
    <row r="21" spans="1:19" ht="22.5" customHeight="1">
      <c r="A21" s="104">
        <f t="shared" si="0"/>
        <v>16</v>
      </c>
      <c r="B21" s="125" t="s">
        <v>143</v>
      </c>
      <c r="C21" s="125"/>
      <c r="D21" s="126" t="s">
        <v>144</v>
      </c>
      <c r="E21" s="126"/>
      <c r="F21" s="126"/>
      <c r="G21" s="105" t="s">
        <v>145</v>
      </c>
      <c r="H21" s="106">
        <v>2</v>
      </c>
      <c r="I21" s="107">
        <v>30</v>
      </c>
      <c r="J21" s="107">
        <f t="shared" si="2"/>
        <v>60</v>
      </c>
      <c r="K21" s="108"/>
      <c r="L21" s="105"/>
      <c r="S21" s="97"/>
    </row>
    <row r="22" spans="1:19" ht="22.5" customHeight="1">
      <c r="A22" s="104">
        <f t="shared" si="0"/>
        <v>17</v>
      </c>
      <c r="B22" s="125" t="s">
        <v>146</v>
      </c>
      <c r="C22" s="125"/>
      <c r="D22" s="126"/>
      <c r="E22" s="126"/>
      <c r="F22" s="126"/>
      <c r="G22" s="105" t="s">
        <v>97</v>
      </c>
      <c r="H22" s="106">
        <v>1000</v>
      </c>
      <c r="I22" s="107">
        <v>1</v>
      </c>
      <c r="J22" s="107">
        <f t="shared" si="2"/>
        <v>1000</v>
      </c>
      <c r="K22" s="108"/>
      <c r="L22" s="105"/>
      <c r="S22" s="97"/>
    </row>
    <row r="23" spans="1:19" ht="22.5" customHeight="1">
      <c r="A23" s="104">
        <f t="shared" si="0"/>
        <v>18</v>
      </c>
      <c r="B23" s="125" t="s">
        <v>147</v>
      </c>
      <c r="C23" s="125"/>
      <c r="D23" s="126"/>
      <c r="E23" s="126"/>
      <c r="F23" s="126"/>
      <c r="G23" s="105" t="s">
        <v>97</v>
      </c>
      <c r="H23" s="106">
        <v>1</v>
      </c>
      <c r="I23" s="107">
        <v>106</v>
      </c>
      <c r="J23" s="107">
        <f t="shared" si="2"/>
        <v>106</v>
      </c>
      <c r="K23" s="108"/>
      <c r="L23" s="105"/>
      <c r="S23" s="97"/>
    </row>
    <row r="24" spans="1:19" ht="22.5" customHeight="1">
      <c r="A24" s="104">
        <f t="shared" si="0"/>
        <v>19</v>
      </c>
      <c r="B24" s="125" t="s">
        <v>148</v>
      </c>
      <c r="C24" s="125"/>
      <c r="D24" s="126" t="s">
        <v>149</v>
      </c>
      <c r="E24" s="126"/>
      <c r="F24" s="126"/>
      <c r="G24" s="105" t="s">
        <v>97</v>
      </c>
      <c r="H24" s="106">
        <v>1</v>
      </c>
      <c r="I24" s="107">
        <v>50</v>
      </c>
      <c r="J24" s="107">
        <f t="shared" si="2"/>
        <v>50</v>
      </c>
      <c r="K24" s="108"/>
      <c r="L24" s="105"/>
      <c r="S24" s="97"/>
    </row>
    <row r="25" spans="1:19" ht="22.5" customHeight="1">
      <c r="A25" s="104">
        <f t="shared" si="0"/>
        <v>20</v>
      </c>
      <c r="B25" s="125" t="s">
        <v>148</v>
      </c>
      <c r="C25" s="125"/>
      <c r="D25" s="126" t="s">
        <v>150</v>
      </c>
      <c r="E25" s="126"/>
      <c r="F25" s="126"/>
      <c r="G25" s="105" t="s">
        <v>97</v>
      </c>
      <c r="H25" s="106">
        <v>2</v>
      </c>
      <c r="I25" s="107">
        <v>55</v>
      </c>
      <c r="J25" s="107">
        <f t="shared" si="2"/>
        <v>110</v>
      </c>
      <c r="K25" s="108"/>
      <c r="L25" s="105"/>
      <c r="S25" s="97"/>
    </row>
    <row r="26" spans="1:19" ht="22.5" customHeight="1">
      <c r="A26" s="104">
        <f t="shared" si="0"/>
        <v>21</v>
      </c>
      <c r="B26" s="125" t="s">
        <v>117</v>
      </c>
      <c r="C26" s="125"/>
      <c r="D26" s="126" t="s">
        <v>151</v>
      </c>
      <c r="E26" s="126"/>
      <c r="F26" s="126"/>
      <c r="G26" s="105" t="s">
        <v>97</v>
      </c>
      <c r="H26" s="106">
        <v>2</v>
      </c>
      <c r="I26" s="107">
        <v>235</v>
      </c>
      <c r="J26" s="107">
        <f t="shared" si="2"/>
        <v>470</v>
      </c>
      <c r="K26" s="108"/>
      <c r="L26" s="105"/>
      <c r="S26" s="97"/>
    </row>
    <row r="27" spans="1:19" ht="22.5" customHeight="1">
      <c r="A27" s="104">
        <f t="shared" si="0"/>
        <v>22</v>
      </c>
      <c r="B27" s="125" t="s">
        <v>152</v>
      </c>
      <c r="C27" s="125"/>
      <c r="D27" s="126"/>
      <c r="E27" s="126"/>
      <c r="F27" s="126"/>
      <c r="G27" s="105" t="s">
        <v>114</v>
      </c>
      <c r="H27" s="106">
        <v>1</v>
      </c>
      <c r="I27" s="107">
        <v>181</v>
      </c>
      <c r="J27" s="107">
        <f t="shared" si="2"/>
        <v>181</v>
      </c>
      <c r="K27" s="108"/>
      <c r="L27" s="105"/>
      <c r="S27" s="97"/>
    </row>
    <row r="28" spans="1:19" ht="22.5" customHeight="1">
      <c r="A28" s="104">
        <f t="shared" si="0"/>
        <v>23</v>
      </c>
      <c r="B28" s="125" t="s">
        <v>153</v>
      </c>
      <c r="C28" s="125"/>
      <c r="D28" s="126" t="s">
        <v>154</v>
      </c>
      <c r="E28" s="126"/>
      <c r="F28" s="126"/>
      <c r="G28" s="105" t="s">
        <v>97</v>
      </c>
      <c r="H28" s="106">
        <v>1</v>
      </c>
      <c r="I28" s="107">
        <v>44</v>
      </c>
      <c r="J28" s="107">
        <f t="shared" si="2"/>
        <v>44</v>
      </c>
      <c r="K28" s="108"/>
      <c r="L28" s="105"/>
      <c r="S28" s="97"/>
    </row>
    <row r="29" spans="1:19" ht="22.5" customHeight="1">
      <c r="A29" s="104">
        <f t="shared" si="0"/>
        <v>24</v>
      </c>
      <c r="B29" s="125" t="s">
        <v>155</v>
      </c>
      <c r="C29" s="125"/>
      <c r="D29" s="126"/>
      <c r="E29" s="126"/>
      <c r="F29" s="126"/>
      <c r="G29" s="105" t="s">
        <v>97</v>
      </c>
      <c r="H29" s="106">
        <v>10</v>
      </c>
      <c r="I29" s="107">
        <v>15</v>
      </c>
      <c r="J29" s="107">
        <f t="shared" si="2"/>
        <v>150</v>
      </c>
      <c r="K29" s="108"/>
      <c r="L29" s="105"/>
      <c r="S29" s="97"/>
    </row>
    <row r="30" spans="1:19" ht="22.5" customHeight="1">
      <c r="A30" s="104">
        <f t="shared" si="0"/>
        <v>25</v>
      </c>
      <c r="B30" s="125" t="s">
        <v>156</v>
      </c>
      <c r="C30" s="125"/>
      <c r="D30" s="126"/>
      <c r="E30" s="126"/>
      <c r="F30" s="126"/>
      <c r="G30" s="105" t="s">
        <v>97</v>
      </c>
      <c r="H30" s="106">
        <v>2</v>
      </c>
      <c r="I30" s="107">
        <v>35</v>
      </c>
      <c r="J30" s="107">
        <f t="shared" si="2"/>
        <v>70</v>
      </c>
      <c r="K30" s="108"/>
      <c r="L30" s="105"/>
      <c r="S30" s="97"/>
    </row>
    <row r="31" spans="1:19" ht="26.25" customHeight="1">
      <c r="A31" s="127" t="s">
        <v>8</v>
      </c>
      <c r="B31" s="127"/>
      <c r="C31" s="112"/>
      <c r="D31" s="113"/>
      <c r="E31" s="113"/>
      <c r="F31" s="113"/>
      <c r="G31" s="114"/>
      <c r="H31" s="115"/>
      <c r="I31" s="111" t="s">
        <v>9</v>
      </c>
      <c r="J31" s="107">
        <f>SUM(J6:J30)</f>
        <v>14499.6</v>
      </c>
      <c r="K31" s="107"/>
      <c r="L31" s="110"/>
    </row>
    <row r="32" spans="1:19" ht="30" customHeight="1">
      <c r="A32" s="103" t="s">
        <v>10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6"/>
    </row>
    <row r="33" spans="1:22" ht="18" customHeight="1">
      <c r="A33" s="7"/>
      <c r="J33" s="1"/>
      <c r="K33" s="1"/>
      <c r="O33" s="8"/>
      <c r="P33" s="8"/>
      <c r="Q33" s="8"/>
      <c r="S33" s="128" t="s">
        <v>11</v>
      </c>
      <c r="T33" s="9" t="s">
        <v>12</v>
      </c>
      <c r="U33" s="10" t="s">
        <v>13</v>
      </c>
      <c r="V33" s="9" t="s">
        <v>14</v>
      </c>
    </row>
    <row r="34" spans="1:22" ht="50.1" customHeight="1">
      <c r="S34" s="129"/>
      <c r="T34" s="11"/>
      <c r="U34" s="12"/>
      <c r="V34" s="11"/>
    </row>
    <row r="35" spans="1:22" ht="17.100000000000001" customHeight="1">
      <c r="O35" s="8"/>
      <c r="P35" s="8"/>
      <c r="Q35" s="8"/>
      <c r="S35" s="130"/>
      <c r="T35" s="12" t="s">
        <v>15</v>
      </c>
      <c r="U35" s="12" t="s">
        <v>15</v>
      </c>
      <c r="V35" s="13" t="s">
        <v>15</v>
      </c>
    </row>
    <row r="36" spans="1:22" ht="15" customHeight="1">
      <c r="O36" s="14" t="s">
        <v>16</v>
      </c>
      <c r="P36" s="131" t="s">
        <v>17</v>
      </c>
      <c r="Q36" s="131" t="s">
        <v>18</v>
      </c>
    </row>
    <row r="37" spans="1:22" ht="18" customHeight="1">
      <c r="O37" s="15" t="s">
        <v>19</v>
      </c>
      <c r="P37" s="132"/>
      <c r="Q37" s="132"/>
      <c r="S37" s="128" t="s">
        <v>20</v>
      </c>
      <c r="T37" s="9" t="s">
        <v>12</v>
      </c>
      <c r="U37" s="9" t="s">
        <v>13</v>
      </c>
      <c r="V37" s="9" t="s">
        <v>14</v>
      </c>
    </row>
    <row r="38" spans="1:22" ht="50.1" customHeight="1">
      <c r="O38" s="11"/>
      <c r="P38" s="11"/>
      <c r="Q38" s="11"/>
      <c r="S38" s="129"/>
      <c r="T38" s="16"/>
      <c r="U38" s="16"/>
      <c r="V38" s="11"/>
    </row>
    <row r="39" spans="1:22" ht="17.100000000000001" customHeight="1">
      <c r="O39" s="13" t="s">
        <v>15</v>
      </c>
      <c r="P39" s="13" t="s">
        <v>15</v>
      </c>
      <c r="Q39" s="13" t="s">
        <v>15</v>
      </c>
      <c r="S39" s="130"/>
      <c r="T39" s="12" t="s">
        <v>15</v>
      </c>
      <c r="U39" s="12" t="s">
        <v>15</v>
      </c>
      <c r="V39" s="13" t="s">
        <v>15</v>
      </c>
    </row>
    <row r="40" spans="1:22" ht="9.9499999999999993" customHeight="1"/>
    <row r="41" spans="1:22" ht="19.899999999999999" customHeight="1"/>
    <row r="42" spans="1:22" ht="17.45" customHeight="1">
      <c r="O42" s="133"/>
      <c r="P42" s="133"/>
      <c r="Q42" s="133"/>
    </row>
    <row r="43" spans="1:22" ht="19.899999999999999" customHeight="1">
      <c r="O43" s="133"/>
      <c r="P43" s="133"/>
      <c r="Q43" s="133"/>
    </row>
    <row r="44" spans="1:22" ht="14.25">
      <c r="O44" s="8"/>
      <c r="P44" s="8"/>
      <c r="Q44" s="8"/>
    </row>
    <row r="45" spans="1:22" ht="65.099999999999994" customHeight="1"/>
    <row r="46" spans="1:22" ht="14.25">
      <c r="O46" s="8"/>
      <c r="P46" s="8"/>
      <c r="Q46" s="8"/>
    </row>
    <row r="47" spans="1:22" ht="19.899999999999999" customHeight="1"/>
    <row r="48" spans="1:22" ht="14.25"/>
    <row r="49" spans="15:22" ht="19.899999999999999" customHeight="1"/>
    <row r="50" spans="15:22" ht="14.25"/>
    <row r="51" spans="15:22" ht="19.899999999999999" customHeight="1"/>
    <row r="52" spans="15:22" ht="19.899999999999999" customHeight="1"/>
    <row r="53" spans="15:22" ht="64.900000000000006" customHeight="1"/>
    <row r="55" spans="15:22" ht="19.899999999999999" customHeight="1">
      <c r="T55" s="131" t="s">
        <v>21</v>
      </c>
    </row>
    <row r="56" spans="15:22" ht="19.899999999999999" customHeight="1">
      <c r="T56" s="132"/>
    </row>
    <row r="57" spans="15:22" ht="64.900000000000006" customHeight="1">
      <c r="T57" s="11"/>
    </row>
    <row r="61" spans="15:22" ht="21" customHeight="1">
      <c r="O61" s="131" t="s">
        <v>21</v>
      </c>
      <c r="P61" s="131" t="s">
        <v>21</v>
      </c>
      <c r="Q61" s="131" t="s">
        <v>21</v>
      </c>
      <c r="T61" s="131" t="s">
        <v>22</v>
      </c>
      <c r="U61" s="131" t="s">
        <v>13</v>
      </c>
      <c r="V61" s="131" t="s">
        <v>21</v>
      </c>
    </row>
    <row r="62" spans="15:22" ht="21" customHeight="1">
      <c r="O62" s="132"/>
      <c r="P62" s="132"/>
      <c r="Q62" s="132"/>
      <c r="T62" s="130"/>
      <c r="U62" s="130"/>
      <c r="V62" s="132"/>
    </row>
    <row r="63" spans="15:22" ht="64.900000000000006" customHeight="1">
      <c r="O63" s="11"/>
      <c r="P63" s="11"/>
      <c r="Q63" s="11"/>
      <c r="T63" s="11"/>
      <c r="U63" s="12"/>
      <c r="V63" s="11"/>
    </row>
    <row r="64" spans="15:22" ht="7.15" customHeight="1"/>
    <row r="65" spans="15:22" ht="21" customHeight="1">
      <c r="O65" s="131" t="s">
        <v>21</v>
      </c>
      <c r="P65" s="131" t="s">
        <v>21</v>
      </c>
      <c r="Q65" s="131" t="s">
        <v>21</v>
      </c>
      <c r="T65" s="131" t="s">
        <v>13</v>
      </c>
      <c r="U65" s="131" t="s">
        <v>22</v>
      </c>
      <c r="V65" s="131" t="s">
        <v>21</v>
      </c>
    </row>
    <row r="66" spans="15:22" ht="21" customHeight="1">
      <c r="O66" s="132"/>
      <c r="P66" s="132"/>
      <c r="Q66" s="132"/>
      <c r="T66" s="130"/>
      <c r="U66" s="130"/>
      <c r="V66" s="132"/>
    </row>
    <row r="67" spans="15:22" ht="64.900000000000006" customHeight="1">
      <c r="O67" s="11"/>
      <c r="P67" s="11"/>
      <c r="Q67" s="11"/>
      <c r="T67" s="12"/>
      <c r="U67" s="11"/>
      <c r="V67" s="11"/>
    </row>
  </sheetData>
  <mergeCells count="83"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D21:F21"/>
    <mergeCell ref="B22:C22"/>
    <mergeCell ref="D22:F22"/>
    <mergeCell ref="B23:C23"/>
    <mergeCell ref="D23:F23"/>
    <mergeCell ref="B12:C12"/>
    <mergeCell ref="B13:C13"/>
    <mergeCell ref="B14:C14"/>
    <mergeCell ref="D12:F12"/>
    <mergeCell ref="D13:F13"/>
    <mergeCell ref="D14:F14"/>
    <mergeCell ref="U61:U62"/>
    <mergeCell ref="V61:V62"/>
    <mergeCell ref="O65:O66"/>
    <mergeCell ref="P65:P66"/>
    <mergeCell ref="Q65:Q66"/>
    <mergeCell ref="T65:T66"/>
    <mergeCell ref="U65:U66"/>
    <mergeCell ref="V65:V66"/>
    <mergeCell ref="T55:T56"/>
    <mergeCell ref="O61:O62"/>
    <mergeCell ref="P61:P62"/>
    <mergeCell ref="Q61:Q62"/>
    <mergeCell ref="T61:T62"/>
    <mergeCell ref="S33:S35"/>
    <mergeCell ref="P36:P37"/>
    <mergeCell ref="Q36:Q37"/>
    <mergeCell ref="S37:S39"/>
    <mergeCell ref="O42:O43"/>
    <mergeCell ref="P42:P43"/>
    <mergeCell ref="Q42:Q43"/>
    <mergeCell ref="B15:C15"/>
    <mergeCell ref="D15:F15"/>
    <mergeCell ref="B30:C30"/>
    <mergeCell ref="D30:F30"/>
    <mergeCell ref="A31:B31"/>
    <mergeCell ref="B16:C16"/>
    <mergeCell ref="D16:F16"/>
    <mergeCell ref="B17:C17"/>
    <mergeCell ref="D17:F17"/>
    <mergeCell ref="B18:C18"/>
    <mergeCell ref="D18:F18"/>
    <mergeCell ref="B19:C19"/>
    <mergeCell ref="D19:F19"/>
    <mergeCell ref="B20:C20"/>
    <mergeCell ref="D20:F20"/>
    <mergeCell ref="B21:C21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30"/>
  <sheetViews>
    <sheetView showGridLines="0" view="pageBreakPreview" zoomScale="70" zoomScaleNormal="95" zoomScaleSheetLayoutView="70" workbookViewId="0">
      <pane ySplit="5" topLeftCell="A23" activePane="bottomLeft" state="frozen"/>
      <selection activeCell="D30" sqref="D30"/>
      <selection pane="bottomLeft" activeCell="D25" sqref="D25:F25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9" t="s">
        <v>96</v>
      </c>
      <c r="B1" s="91"/>
      <c r="C1" s="91"/>
      <c r="D1" s="91"/>
      <c r="E1" s="91"/>
      <c r="F1" s="91"/>
      <c r="G1" s="1"/>
      <c r="J1" s="116" t="str">
        <f>+MRS!J1</f>
        <v>DAESHIN PLANT</v>
      </c>
      <c r="K1" s="118"/>
    </row>
    <row r="2" spans="1:18" ht="24.95" customHeight="1">
      <c r="A2" s="3" t="str">
        <f>+MRS!A2</f>
        <v xml:space="preserve">  PJT :  SACE2           </v>
      </c>
      <c r="B2" s="92"/>
      <c r="C2" s="92"/>
      <c r="D2" s="3" t="str">
        <f>+MRS!D2</f>
        <v>Division (In charge Name) : ADMIN MANAGER (Dong Chang Kim)</v>
      </c>
      <c r="E2" s="92"/>
      <c r="F2" s="92"/>
      <c r="G2" s="17"/>
      <c r="H2" s="17"/>
      <c r="I2" s="17"/>
      <c r="J2" s="119" t="str">
        <f>+MRS!J2</f>
        <v>Subcontract name (SAC2-SC-IK-SMP-01)</v>
      </c>
      <c r="K2" s="121"/>
    </row>
    <row r="3" spans="1:18" ht="24.95" customHeight="1">
      <c r="A3" s="3" t="str">
        <f>+MRS!A3</f>
        <v xml:space="preserve">  MRS No : SAC2-DS-MRS-0184</v>
      </c>
      <c r="B3" s="92"/>
      <c r="C3" s="92"/>
      <c r="D3" s="92"/>
      <c r="E3" s="92"/>
      <c r="F3" s="92"/>
      <c r="G3" s="92"/>
      <c r="H3" s="92"/>
      <c r="I3" s="92"/>
      <c r="J3" s="92"/>
      <c r="K3" s="93">
        <f>+MRS!L3</f>
        <v>46006</v>
      </c>
    </row>
    <row r="4" spans="1:18" ht="15.95" customHeight="1">
      <c r="A4" s="139" t="s">
        <v>2</v>
      </c>
      <c r="B4" s="140" t="s">
        <v>23</v>
      </c>
      <c r="C4" s="140"/>
      <c r="D4" s="139" t="s">
        <v>4</v>
      </c>
      <c r="E4" s="139"/>
      <c r="F4" s="139"/>
      <c r="G4" s="140" t="s">
        <v>5</v>
      </c>
      <c r="H4" s="139" t="s">
        <v>91</v>
      </c>
      <c r="I4" s="139" t="s">
        <v>24</v>
      </c>
      <c r="J4" s="139" t="s">
        <v>25</v>
      </c>
      <c r="K4" s="140" t="s">
        <v>7</v>
      </c>
    </row>
    <row r="5" spans="1:18" ht="15.95" customHeight="1">
      <c r="A5" s="139"/>
      <c r="B5" s="140"/>
      <c r="C5" s="140"/>
      <c r="D5" s="139"/>
      <c r="E5" s="139"/>
      <c r="F5" s="139"/>
      <c r="G5" s="140"/>
      <c r="H5" s="139"/>
      <c r="I5" s="139"/>
      <c r="J5" s="139"/>
      <c r="K5" s="140"/>
    </row>
    <row r="6" spans="1:18" ht="74.25" customHeight="1">
      <c r="A6" s="18">
        <f>+MRS!A6</f>
        <v>1</v>
      </c>
      <c r="B6" s="134" t="str">
        <f>MRS!B6</f>
        <v>Paper Tray</v>
      </c>
      <c r="C6" s="135"/>
      <c r="D6" s="136">
        <f>MRS!D6</f>
        <v>0</v>
      </c>
      <c r="E6" s="137"/>
      <c r="F6" s="138"/>
      <c r="G6" s="94" t="str">
        <f>MRS!G6</f>
        <v>EA</v>
      </c>
      <c r="H6" s="94">
        <f>MRS!H6</f>
        <v>2</v>
      </c>
      <c r="I6" s="95">
        <f>MRS!I6</f>
        <v>26</v>
      </c>
      <c r="J6" s="95">
        <f>MRS!J6</f>
        <v>52</v>
      </c>
      <c r="K6" s="96"/>
      <c r="O6" s="97"/>
      <c r="P6" s="97"/>
      <c r="R6" s="97"/>
    </row>
    <row r="7" spans="1:18" ht="74.25" customHeight="1">
      <c r="A7" s="18">
        <f>+MRS!A7</f>
        <v>2</v>
      </c>
      <c r="B7" s="134" t="str">
        <f>MRS!B7</f>
        <v>Ice Box</v>
      </c>
      <c r="C7" s="135"/>
      <c r="D7" s="136" t="str">
        <f>MRS!D7</f>
        <v>120 ltr</v>
      </c>
      <c r="E7" s="137"/>
      <c r="F7" s="138"/>
      <c r="G7" s="94" t="str">
        <f>MRS!G7</f>
        <v>EA</v>
      </c>
      <c r="H7" s="94">
        <f>MRS!H7</f>
        <v>4</v>
      </c>
      <c r="I7" s="95">
        <f>MRS!I7</f>
        <v>370</v>
      </c>
      <c r="J7" s="95">
        <f>MRS!J7</f>
        <v>1480</v>
      </c>
      <c r="K7" s="96"/>
      <c r="O7" s="97"/>
      <c r="P7" s="97"/>
      <c r="R7" s="97"/>
    </row>
    <row r="8" spans="1:18" ht="74.25" customHeight="1">
      <c r="A8" s="18">
        <f>+MRS!A8</f>
        <v>3</v>
      </c>
      <c r="B8" s="134" t="str">
        <f>MRS!B8</f>
        <v>Fine Deluc Toilet Paper</v>
      </c>
      <c r="C8" s="135"/>
      <c r="D8" s="136" t="str">
        <f>MRS!D8</f>
        <v>12 Rolls 4*1bdl</v>
      </c>
      <c r="E8" s="137"/>
      <c r="F8" s="138"/>
      <c r="G8" s="94" t="str">
        <f>MRS!G8</f>
        <v>BDL</v>
      </c>
      <c r="H8" s="94">
        <f>MRS!H8</f>
        <v>20</v>
      </c>
      <c r="I8" s="95">
        <f>MRS!I8</f>
        <v>27</v>
      </c>
      <c r="J8" s="95">
        <f>MRS!J8</f>
        <v>540</v>
      </c>
      <c r="K8" s="96"/>
      <c r="O8" s="97"/>
      <c r="P8" s="97"/>
      <c r="R8" s="97"/>
    </row>
    <row r="9" spans="1:18" ht="74.25" customHeight="1">
      <c r="A9" s="18">
        <f>+MRS!A9</f>
        <v>4</v>
      </c>
      <c r="B9" s="134" t="str">
        <f>MRS!B9</f>
        <v>Office Chair</v>
      </c>
      <c r="C9" s="135"/>
      <c r="D9" s="136" t="str">
        <f>MRS!D9</f>
        <v>Neckless</v>
      </c>
      <c r="E9" s="137"/>
      <c r="F9" s="138"/>
      <c r="G9" s="94" t="str">
        <f>MRS!G9</f>
        <v>EA</v>
      </c>
      <c r="H9" s="94">
        <f>MRS!H9</f>
        <v>5</v>
      </c>
      <c r="I9" s="95">
        <f>MRS!I9</f>
        <v>156</v>
      </c>
      <c r="J9" s="95">
        <f>MRS!J9</f>
        <v>780</v>
      </c>
      <c r="K9" s="96"/>
      <c r="O9" s="97"/>
      <c r="P9" s="97"/>
      <c r="R9" s="97"/>
    </row>
    <row r="10" spans="1:18" ht="74.25" customHeight="1">
      <c r="A10" s="18">
        <f>+MRS!A10</f>
        <v>5</v>
      </c>
      <c r="B10" s="134" t="str">
        <f>MRS!B10</f>
        <v>Spray Paint</v>
      </c>
      <c r="C10" s="135"/>
      <c r="D10" s="136" t="str">
        <f>MRS!D10</f>
        <v>Black</v>
      </c>
      <c r="E10" s="137"/>
      <c r="F10" s="138"/>
      <c r="G10" s="94" t="str">
        <f>MRS!G10</f>
        <v>Box</v>
      </c>
      <c r="H10" s="94">
        <f>MRS!H10</f>
        <v>5</v>
      </c>
      <c r="I10" s="95">
        <f>MRS!I10</f>
        <v>56</v>
      </c>
      <c r="J10" s="95">
        <f>MRS!J10</f>
        <v>280</v>
      </c>
      <c r="K10" s="96"/>
      <c r="O10" s="97"/>
      <c r="P10" s="97"/>
      <c r="R10" s="97"/>
    </row>
    <row r="11" spans="1:18" ht="74.25" customHeight="1">
      <c r="A11" s="18">
        <f>+MRS!A11</f>
        <v>6</v>
      </c>
      <c r="B11" s="134" t="str">
        <f>MRS!B11</f>
        <v>SSD Internal Drive</v>
      </c>
      <c r="C11" s="135"/>
      <c r="D11" s="136" t="str">
        <f>MRS!D11</f>
        <v>1TB, SATA 3</v>
      </c>
      <c r="E11" s="137"/>
      <c r="F11" s="138"/>
      <c r="G11" s="94" t="str">
        <f>MRS!G11</f>
        <v>EA</v>
      </c>
      <c r="H11" s="94">
        <f>MRS!H11</f>
        <v>1</v>
      </c>
      <c r="I11" s="95">
        <f>MRS!I11</f>
        <v>331</v>
      </c>
      <c r="J11" s="95">
        <f>MRS!J11</f>
        <v>331</v>
      </c>
      <c r="K11" s="96"/>
      <c r="O11" s="97"/>
      <c r="P11" s="97"/>
      <c r="R11" s="97"/>
    </row>
    <row r="12" spans="1:18" ht="74.25" customHeight="1">
      <c r="A12" s="18">
        <f>+MRS!A12</f>
        <v>7</v>
      </c>
      <c r="B12" s="134" t="str">
        <f>MRS!B12</f>
        <v>DAC Disinfectant</v>
      </c>
      <c r="C12" s="135"/>
      <c r="D12" s="136" t="str">
        <f>MRS!D12</f>
        <v>3 ltr</v>
      </c>
      <c r="E12" s="137"/>
      <c r="F12" s="138"/>
      <c r="G12" s="94" t="str">
        <f>MRS!G12</f>
        <v>EA</v>
      </c>
      <c r="H12" s="94">
        <f>MRS!H12</f>
        <v>6</v>
      </c>
      <c r="I12" s="95">
        <f>MRS!I12</f>
        <v>20</v>
      </c>
      <c r="J12" s="95">
        <f>MRS!J12</f>
        <v>120</v>
      </c>
      <c r="K12" s="96"/>
      <c r="O12" s="97"/>
      <c r="P12" s="97"/>
      <c r="R12" s="97"/>
    </row>
    <row r="13" spans="1:18" ht="74.25" customHeight="1">
      <c r="A13" s="18">
        <f>+MRS!A13</f>
        <v>8</v>
      </c>
      <c r="B13" s="134" t="str">
        <f>MRS!B13</f>
        <v>Clorox Bleach</v>
      </c>
      <c r="C13" s="135"/>
      <c r="D13" s="136" t="str">
        <f>MRS!D13</f>
        <v>3.78 ltr</v>
      </c>
      <c r="E13" s="137"/>
      <c r="F13" s="138"/>
      <c r="G13" s="94" t="str">
        <f>MRS!G13</f>
        <v>EA</v>
      </c>
      <c r="H13" s="94">
        <f>MRS!H13</f>
        <v>4</v>
      </c>
      <c r="I13" s="95">
        <f>MRS!I13</f>
        <v>25</v>
      </c>
      <c r="J13" s="95">
        <f>MRS!J13</f>
        <v>100</v>
      </c>
      <c r="K13" s="96"/>
      <c r="O13" s="97"/>
      <c r="P13" s="97"/>
      <c r="R13" s="97"/>
    </row>
    <row r="14" spans="1:18" ht="74.25" customHeight="1">
      <c r="A14" s="18">
        <f>+MRS!A14</f>
        <v>9</v>
      </c>
      <c r="B14" s="134" t="str">
        <f>MRS!B14</f>
        <v>Xerox Toner C 7100</v>
      </c>
      <c r="C14" s="135"/>
      <c r="D14" s="136" t="str">
        <f>MRS!D14</f>
        <v>Black</v>
      </c>
      <c r="E14" s="137"/>
      <c r="F14" s="138"/>
      <c r="G14" s="94" t="str">
        <f>MRS!G14</f>
        <v>EA</v>
      </c>
      <c r="H14" s="94">
        <f>MRS!H14</f>
        <v>5</v>
      </c>
      <c r="I14" s="95">
        <f>MRS!I14</f>
        <v>350</v>
      </c>
      <c r="J14" s="95">
        <f>MRS!J14</f>
        <v>1750</v>
      </c>
      <c r="K14" s="96"/>
      <c r="O14" s="97"/>
      <c r="P14" s="97"/>
      <c r="R14" s="97"/>
    </row>
    <row r="15" spans="1:18" ht="74.25" customHeight="1">
      <c r="A15" s="18">
        <f>+MRS!A15</f>
        <v>10</v>
      </c>
      <c r="B15" s="134" t="str">
        <f>MRS!B15</f>
        <v>Xerox Toner C 7100</v>
      </c>
      <c r="C15" s="135"/>
      <c r="D15" s="136" t="str">
        <f>MRS!D15</f>
        <v>Cyan-3/Magenta-3/Yellow-3</v>
      </c>
      <c r="E15" s="137"/>
      <c r="F15" s="138"/>
      <c r="G15" s="94" t="str">
        <f>MRS!G15</f>
        <v>EA</v>
      </c>
      <c r="H15" s="94">
        <f>MRS!H15</f>
        <v>9</v>
      </c>
      <c r="I15" s="95">
        <f>MRS!I15</f>
        <v>450</v>
      </c>
      <c r="J15" s="95">
        <f>MRS!J15</f>
        <v>4050</v>
      </c>
      <c r="K15" s="96"/>
      <c r="O15" s="97"/>
      <c r="P15" s="97"/>
      <c r="R15" s="97"/>
    </row>
    <row r="16" spans="1:18" ht="74.25" customHeight="1">
      <c r="A16" s="18">
        <f>+MRS!A16</f>
        <v>11</v>
      </c>
      <c r="B16" s="134" t="str">
        <f>MRS!B16</f>
        <v>Office Table with attached Drawer</v>
      </c>
      <c r="C16" s="135"/>
      <c r="D16" s="136" t="str">
        <f>MRS!D16</f>
        <v>120*75*70</v>
      </c>
      <c r="E16" s="137"/>
      <c r="F16" s="138"/>
      <c r="G16" s="94" t="str">
        <f>MRS!G16</f>
        <v>EA</v>
      </c>
      <c r="H16" s="94">
        <f>MRS!H16</f>
        <v>5</v>
      </c>
      <c r="I16" s="95">
        <f>MRS!I16</f>
        <v>400</v>
      </c>
      <c r="J16" s="95">
        <f>MRS!J16</f>
        <v>2000</v>
      </c>
      <c r="K16" s="96"/>
      <c r="O16" s="97"/>
      <c r="P16" s="97"/>
      <c r="R16" s="97"/>
    </row>
    <row r="17" spans="1:18" ht="74.25" customHeight="1">
      <c r="A17" s="18">
        <f>+MRS!A17</f>
        <v>12</v>
      </c>
      <c r="B17" s="134" t="str">
        <f>MRS!B17</f>
        <v>Stamp Pad Ink</v>
      </c>
      <c r="C17" s="135"/>
      <c r="D17" s="136" t="str">
        <f>MRS!D17</f>
        <v>Blue, 28ml</v>
      </c>
      <c r="E17" s="137"/>
      <c r="F17" s="138"/>
      <c r="G17" s="94" t="str">
        <f>MRS!G17</f>
        <v>EA</v>
      </c>
      <c r="H17" s="94">
        <f>MRS!H17</f>
        <v>3</v>
      </c>
      <c r="I17" s="95">
        <f>MRS!I17</f>
        <v>19</v>
      </c>
      <c r="J17" s="95">
        <f>MRS!J17</f>
        <v>57</v>
      </c>
      <c r="K17" s="96"/>
      <c r="O17" s="97"/>
      <c r="P17" s="97"/>
      <c r="R17" s="97"/>
    </row>
    <row r="18" spans="1:18" ht="74.25" customHeight="1">
      <c r="A18" s="18">
        <f>+MRS!A18</f>
        <v>13</v>
      </c>
      <c r="B18" s="134" t="str">
        <f>MRS!B18</f>
        <v>Stamp Pad Ink</v>
      </c>
      <c r="C18" s="135"/>
      <c r="D18" s="136" t="str">
        <f>MRS!D18</f>
        <v>Red, 28ml</v>
      </c>
      <c r="E18" s="137"/>
      <c r="F18" s="138"/>
      <c r="G18" s="94" t="str">
        <f>MRS!G18</f>
        <v>EA</v>
      </c>
      <c r="H18" s="94">
        <f>MRS!H18</f>
        <v>3</v>
      </c>
      <c r="I18" s="95">
        <f>MRS!I18</f>
        <v>19</v>
      </c>
      <c r="J18" s="95">
        <f>MRS!J18</f>
        <v>57</v>
      </c>
      <c r="K18" s="96"/>
      <c r="O18" s="97"/>
      <c r="P18" s="97"/>
      <c r="R18" s="97"/>
    </row>
    <row r="19" spans="1:18" ht="74.25" customHeight="1">
      <c r="A19" s="18">
        <f>+MRS!A19</f>
        <v>14</v>
      </c>
      <c r="B19" s="134" t="str">
        <f>MRS!B19</f>
        <v>DP to HDMI Cable</v>
      </c>
      <c r="C19" s="135"/>
      <c r="D19" s="136" t="str">
        <f>MRS!D19</f>
        <v>1.8mtr</v>
      </c>
      <c r="E19" s="137"/>
      <c r="F19" s="138"/>
      <c r="G19" s="94" t="str">
        <f>MRS!G19</f>
        <v>EA</v>
      </c>
      <c r="H19" s="94">
        <f>MRS!H19</f>
        <v>2</v>
      </c>
      <c r="I19" s="95">
        <f>MRS!I19</f>
        <v>62</v>
      </c>
      <c r="J19" s="95">
        <f>MRS!J19</f>
        <v>124</v>
      </c>
      <c r="K19" s="96"/>
      <c r="O19" s="97"/>
      <c r="P19" s="97"/>
      <c r="R19" s="97"/>
    </row>
    <row r="20" spans="1:18" ht="74.25" customHeight="1">
      <c r="A20" s="18">
        <f>+MRS!A20</f>
        <v>15</v>
      </c>
      <c r="B20" s="134" t="str">
        <f>MRS!B20</f>
        <v>Water Bottle</v>
      </c>
      <c r="C20" s="135"/>
      <c r="D20" s="136" t="str">
        <f>MRS!D20</f>
        <v>1050ml,HI-TEX,1*48pcs</v>
      </c>
      <c r="E20" s="137"/>
      <c r="F20" s="138"/>
      <c r="G20" s="94" t="str">
        <f>MRS!G20</f>
        <v>EA</v>
      </c>
      <c r="H20" s="94">
        <f>MRS!H20</f>
        <v>48</v>
      </c>
      <c r="I20" s="95">
        <f>MRS!I20</f>
        <v>11.2</v>
      </c>
      <c r="J20" s="95">
        <f>MRS!J20</f>
        <v>537.59999999999991</v>
      </c>
      <c r="K20" s="96"/>
      <c r="O20" s="97"/>
      <c r="P20" s="97"/>
      <c r="R20" s="97"/>
    </row>
    <row r="21" spans="1:18" ht="74.25" customHeight="1">
      <c r="A21" s="18">
        <f>+MRS!A21</f>
        <v>16</v>
      </c>
      <c r="B21" s="134" t="str">
        <f>MRS!B21</f>
        <v>Gum Boot</v>
      </c>
      <c r="C21" s="135"/>
      <c r="D21" s="136" t="str">
        <f>MRS!D21</f>
        <v>41-7/42-1/40-1</v>
      </c>
      <c r="E21" s="137"/>
      <c r="F21" s="138"/>
      <c r="G21" s="94" t="str">
        <f>MRS!G21</f>
        <v>PAIR</v>
      </c>
      <c r="H21" s="94">
        <f>MRS!H21</f>
        <v>2</v>
      </c>
      <c r="I21" s="95">
        <f>MRS!I21</f>
        <v>30</v>
      </c>
      <c r="J21" s="95">
        <f>MRS!J21</f>
        <v>60</v>
      </c>
      <c r="K21" s="96"/>
      <c r="O21" s="97"/>
      <c r="P21" s="97"/>
      <c r="R21" s="97"/>
    </row>
    <row r="22" spans="1:18" ht="74.25" customHeight="1">
      <c r="A22" s="18">
        <f>+MRS!A22</f>
        <v>17</v>
      </c>
      <c r="B22" s="134" t="str">
        <f>MRS!B22</f>
        <v>Round Sticker</v>
      </c>
      <c r="C22" s="135"/>
      <c r="D22" s="136">
        <f>MRS!D22</f>
        <v>0</v>
      </c>
      <c r="E22" s="137"/>
      <c r="F22" s="138"/>
      <c r="G22" s="94" t="str">
        <f>MRS!G22</f>
        <v>EA</v>
      </c>
      <c r="H22" s="94">
        <f>MRS!H22</f>
        <v>1000</v>
      </c>
      <c r="I22" s="95">
        <f>MRS!I22</f>
        <v>1</v>
      </c>
      <c r="J22" s="95">
        <f>MRS!J22</f>
        <v>1000</v>
      </c>
      <c r="K22" s="96"/>
      <c r="O22" s="97"/>
      <c r="P22" s="97"/>
      <c r="R22" s="97"/>
    </row>
    <row r="23" spans="1:18" ht="74.25" customHeight="1">
      <c r="A23" s="18">
        <f>+MRS!A23</f>
        <v>18</v>
      </c>
      <c r="B23" s="134" t="str">
        <f>MRS!B23</f>
        <v>Router</v>
      </c>
      <c r="C23" s="135"/>
      <c r="D23" s="136">
        <f>MRS!D23</f>
        <v>0</v>
      </c>
      <c r="E23" s="137"/>
      <c r="F23" s="138"/>
      <c r="G23" s="94" t="str">
        <f>MRS!G23</f>
        <v>EA</v>
      </c>
      <c r="H23" s="94">
        <f>MRS!H23</f>
        <v>1</v>
      </c>
      <c r="I23" s="95">
        <f>MRS!I23</f>
        <v>106</v>
      </c>
      <c r="J23" s="95">
        <f>MRS!J23</f>
        <v>106</v>
      </c>
      <c r="K23" s="96"/>
      <c r="O23" s="97"/>
      <c r="P23" s="97"/>
      <c r="R23" s="97"/>
    </row>
    <row r="24" spans="1:18" ht="74.25" customHeight="1">
      <c r="A24" s="18">
        <f>+MRS!A24</f>
        <v>19</v>
      </c>
      <c r="B24" s="134" t="str">
        <f>MRS!B24</f>
        <v>TP Link Router</v>
      </c>
      <c r="C24" s="135"/>
      <c r="D24" s="136" t="str">
        <f>MRS!D24</f>
        <v>4Port</v>
      </c>
      <c r="E24" s="137"/>
      <c r="F24" s="138"/>
      <c r="G24" s="94" t="str">
        <f>MRS!G24</f>
        <v>EA</v>
      </c>
      <c r="H24" s="94">
        <f>MRS!H24</f>
        <v>1</v>
      </c>
      <c r="I24" s="95">
        <f>MRS!I24</f>
        <v>50</v>
      </c>
      <c r="J24" s="95">
        <f>MRS!J24</f>
        <v>50</v>
      </c>
      <c r="K24" s="96"/>
      <c r="O24" s="97"/>
      <c r="P24" s="97"/>
      <c r="R24" s="97"/>
    </row>
    <row r="25" spans="1:18" ht="74.25" customHeight="1">
      <c r="A25" s="18">
        <f>+MRS!A25</f>
        <v>20</v>
      </c>
      <c r="B25" s="134" t="str">
        <f>MRS!B25</f>
        <v>TP Link Router</v>
      </c>
      <c r="C25" s="135"/>
      <c r="D25" s="136" t="str">
        <f>MRS!D25</f>
        <v>8Port</v>
      </c>
      <c r="E25" s="137"/>
      <c r="F25" s="138"/>
      <c r="G25" s="94" t="str">
        <f>MRS!G25</f>
        <v>EA</v>
      </c>
      <c r="H25" s="94">
        <f>MRS!H25</f>
        <v>2</v>
      </c>
      <c r="I25" s="95">
        <f>MRS!I25</f>
        <v>55</v>
      </c>
      <c r="J25" s="95">
        <f>MRS!J25</f>
        <v>110</v>
      </c>
      <c r="K25" s="96"/>
      <c r="O25" s="97"/>
      <c r="P25" s="97"/>
      <c r="R25" s="97"/>
    </row>
    <row r="26" spans="1:18" ht="74.25" customHeight="1">
      <c r="A26" s="18">
        <f>+MRS!A26</f>
        <v>21</v>
      </c>
      <c r="B26" s="134" t="str">
        <f>MRS!B26</f>
        <v>Ice Box</v>
      </c>
      <c r="C26" s="135"/>
      <c r="D26" s="136" t="str">
        <f>MRS!D26</f>
        <v>70 ltr</v>
      </c>
      <c r="E26" s="137"/>
      <c r="F26" s="138"/>
      <c r="G26" s="94" t="str">
        <f>MRS!G26</f>
        <v>EA</v>
      </c>
      <c r="H26" s="94">
        <f>MRS!H26</f>
        <v>2</v>
      </c>
      <c r="I26" s="95">
        <f>MRS!I26</f>
        <v>235</v>
      </c>
      <c r="J26" s="95">
        <f>MRS!J26</f>
        <v>470</v>
      </c>
      <c r="K26" s="96"/>
      <c r="O26" s="97"/>
      <c r="P26" s="97"/>
      <c r="R26" s="97"/>
    </row>
    <row r="27" spans="1:18" ht="74.25" customHeight="1">
      <c r="A27" s="18">
        <f>+MRS!A27</f>
        <v>22</v>
      </c>
      <c r="B27" s="134" t="str">
        <f>MRS!B27</f>
        <v>Paper Cone Cup</v>
      </c>
      <c r="C27" s="135"/>
      <c r="D27" s="136">
        <f>MRS!D27</f>
        <v>0</v>
      </c>
      <c r="E27" s="137"/>
      <c r="F27" s="138"/>
      <c r="G27" s="94" t="str">
        <f>MRS!G27</f>
        <v>Box</v>
      </c>
      <c r="H27" s="94">
        <f>MRS!H27</f>
        <v>1</v>
      </c>
      <c r="I27" s="95">
        <f>MRS!I27</f>
        <v>181</v>
      </c>
      <c r="J27" s="95">
        <f>MRS!J27</f>
        <v>181</v>
      </c>
      <c r="K27" s="96"/>
      <c r="O27" s="97"/>
      <c r="P27" s="97"/>
      <c r="R27" s="97"/>
    </row>
    <row r="28" spans="1:18" ht="74.25" customHeight="1">
      <c r="A28" s="18">
        <f>+MRS!A28</f>
        <v>23</v>
      </c>
      <c r="B28" s="134" t="str">
        <f>MRS!B28</f>
        <v>Hand Wash Liquid</v>
      </c>
      <c r="C28" s="135"/>
      <c r="D28" s="136" t="str">
        <f>MRS!D28</f>
        <v>20 ltr</v>
      </c>
      <c r="E28" s="137"/>
      <c r="F28" s="138"/>
      <c r="G28" s="94" t="str">
        <f>MRS!G28</f>
        <v>EA</v>
      </c>
      <c r="H28" s="94">
        <f>MRS!H28</f>
        <v>1</v>
      </c>
      <c r="I28" s="95">
        <f>MRS!I28</f>
        <v>44</v>
      </c>
      <c r="J28" s="95">
        <f>MRS!J28</f>
        <v>44</v>
      </c>
      <c r="K28" s="96"/>
      <c r="O28" s="97"/>
      <c r="P28" s="97"/>
      <c r="R28" s="97"/>
    </row>
    <row r="29" spans="1:18" ht="74.25" customHeight="1">
      <c r="A29" s="18">
        <f>+MRS!A29</f>
        <v>24</v>
      </c>
      <c r="B29" s="134" t="str">
        <f>MRS!B29</f>
        <v>Broom Brush</v>
      </c>
      <c r="C29" s="135"/>
      <c r="D29" s="136">
        <f>MRS!D29</f>
        <v>0</v>
      </c>
      <c r="E29" s="137"/>
      <c r="F29" s="138"/>
      <c r="G29" s="94" t="str">
        <f>MRS!G29</f>
        <v>EA</v>
      </c>
      <c r="H29" s="94">
        <f>MRS!H29</f>
        <v>10</v>
      </c>
      <c r="I29" s="95">
        <f>MRS!I29</f>
        <v>15</v>
      </c>
      <c r="J29" s="95">
        <f>MRS!J29</f>
        <v>150</v>
      </c>
      <c r="K29" s="96"/>
      <c r="O29" s="97"/>
      <c r="P29" s="97"/>
      <c r="R29" s="97"/>
    </row>
    <row r="30" spans="1:18" ht="74.25" customHeight="1">
      <c r="A30" s="18">
        <f>+MRS!A30</f>
        <v>25</v>
      </c>
      <c r="B30" s="134" t="str">
        <f>MRS!B30</f>
        <v>Mat Mop</v>
      </c>
      <c r="C30" s="135"/>
      <c r="D30" s="136">
        <f>MRS!D30</f>
        <v>0</v>
      </c>
      <c r="E30" s="137"/>
      <c r="F30" s="138"/>
      <c r="G30" s="94" t="str">
        <f>MRS!G30</f>
        <v>EA</v>
      </c>
      <c r="H30" s="94">
        <f>MRS!H30</f>
        <v>2</v>
      </c>
      <c r="I30" s="95">
        <f>MRS!I30</f>
        <v>35</v>
      </c>
      <c r="J30" s="95">
        <f>MRS!J30</f>
        <v>70</v>
      </c>
      <c r="K30" s="96"/>
      <c r="O30" s="97"/>
      <c r="P30" s="97"/>
      <c r="R30" s="97"/>
    </row>
  </sheetData>
  <mergeCells count="60">
    <mergeCell ref="B15:C15"/>
    <mergeCell ref="D15:F15"/>
    <mergeCell ref="B16:C16"/>
    <mergeCell ref="D16:F16"/>
    <mergeCell ref="B18:C18"/>
    <mergeCell ref="D18:F18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19:C19"/>
    <mergeCell ref="D19:F19"/>
    <mergeCell ref="B20:C20"/>
    <mergeCell ref="D20:F20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B26:C26"/>
    <mergeCell ref="D26:F26"/>
    <mergeCell ref="B30:C30"/>
    <mergeCell ref="D30:F30"/>
    <mergeCell ref="B27:C27"/>
    <mergeCell ref="B28:C28"/>
    <mergeCell ref="B29:C29"/>
    <mergeCell ref="D27:F27"/>
    <mergeCell ref="D28:F28"/>
    <mergeCell ref="D29:F29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1" zoomScale="130" zoomScaleNormal="100" zoomScaleSheetLayoutView="130" workbookViewId="0">
      <selection activeCell="F58" sqref="F58"/>
    </sheetView>
  </sheetViews>
  <sheetFormatPr defaultColWidth="9.140625" defaultRowHeight="12.75"/>
  <cols>
    <col min="1" max="1" width="1.5703125" style="23" customWidth="1"/>
    <col min="2" max="2" width="4.28515625" style="23" customWidth="1"/>
    <col min="3" max="3" width="9.140625" style="23" customWidth="1"/>
    <col min="4" max="4" width="11.5703125" style="23" bestFit="1" customWidth="1"/>
    <col min="5" max="5" width="2.5703125" style="23" customWidth="1"/>
    <col min="6" max="6" width="14" style="23" customWidth="1"/>
    <col min="7" max="7" width="6.5703125" style="23" customWidth="1"/>
    <col min="8" max="10" width="9.140625" style="23"/>
    <col min="11" max="11" width="9.7109375" style="23" bestFit="1" customWidth="1"/>
    <col min="12" max="13" width="9.140625" style="23"/>
    <col min="14" max="14" width="1.5703125" style="23" customWidth="1"/>
    <col min="15" max="16384" width="9.140625" style="23"/>
  </cols>
  <sheetData>
    <row r="2" spans="2:13" s="19" customFormat="1" ht="13.5">
      <c r="M2" s="20" t="s">
        <v>113</v>
      </c>
    </row>
    <row r="3" spans="2:13" s="19" customFormat="1">
      <c r="M3" s="21" t="s">
        <v>26</v>
      </c>
    </row>
    <row r="4" spans="2:13" s="19" customFormat="1">
      <c r="M4" s="21" t="s">
        <v>27</v>
      </c>
    </row>
    <row r="5" spans="2:13" s="19" customFormat="1">
      <c r="B5" s="22" t="s">
        <v>28</v>
      </c>
      <c r="M5" s="21" t="s">
        <v>29</v>
      </c>
    </row>
    <row r="6" spans="2:13" s="19" customFormat="1">
      <c r="M6" s="21" t="s">
        <v>30</v>
      </c>
    </row>
    <row r="7" spans="2:13">
      <c r="M7" s="24"/>
    </row>
    <row r="8" spans="2:13">
      <c r="M8" s="24"/>
    </row>
    <row r="9" spans="2:13" s="70" customFormat="1" ht="13.5">
      <c r="B9" s="68" t="s">
        <v>31</v>
      </c>
      <c r="C9" s="69" t="s">
        <v>112</v>
      </c>
      <c r="D9" s="35"/>
      <c r="E9" s="35"/>
    </row>
    <row r="10" spans="2:13" s="35" customFormat="1">
      <c r="B10" s="68"/>
      <c r="C10" s="35" t="s">
        <v>32</v>
      </c>
      <c r="D10" s="72">
        <v>2053026325</v>
      </c>
      <c r="J10" s="35" t="s">
        <v>33</v>
      </c>
      <c r="K10" s="142">
        <f>MRS!L3</f>
        <v>46006</v>
      </c>
      <c r="L10" s="143"/>
      <c r="M10" s="143"/>
    </row>
    <row r="11" spans="2:13" s="35" customFormat="1">
      <c r="B11" s="68"/>
      <c r="C11" s="71" t="s">
        <v>34</v>
      </c>
      <c r="D11" s="72" t="s">
        <v>99</v>
      </c>
      <c r="J11" s="35" t="s">
        <v>35</v>
      </c>
      <c r="K11" s="144" t="str">
        <f>SUBSTITUTE(SUBSTITUTE(+MRS!A3,"  MRS No : ",""),"-MRS","-PO")</f>
        <v>SAC2-DS-PO-0184</v>
      </c>
      <c r="L11" s="144"/>
      <c r="M11" s="144"/>
    </row>
    <row r="12" spans="2:13" s="35" customFormat="1">
      <c r="B12" s="68"/>
      <c r="C12" s="71" t="s">
        <v>36</v>
      </c>
      <c r="D12" s="35" t="s">
        <v>106</v>
      </c>
      <c r="J12" s="35" t="s">
        <v>37</v>
      </c>
    </row>
    <row r="13" spans="2:13" s="35" customFormat="1">
      <c r="B13" s="68"/>
      <c r="C13" s="73"/>
      <c r="D13" s="72" t="s">
        <v>107</v>
      </c>
      <c r="J13" s="35" t="s">
        <v>38</v>
      </c>
    </row>
    <row r="14" spans="2:13" s="35" customFormat="1">
      <c r="B14" s="68"/>
      <c r="C14" s="73" t="s">
        <v>100</v>
      </c>
      <c r="J14" s="35" t="s">
        <v>39</v>
      </c>
      <c r="K14" s="35" t="s">
        <v>157</v>
      </c>
    </row>
    <row r="15" spans="2:13" s="35" customFormat="1">
      <c r="B15" s="68"/>
      <c r="C15" s="73" t="s">
        <v>108</v>
      </c>
      <c r="J15" s="35" t="s">
        <v>40</v>
      </c>
      <c r="K15" s="74">
        <v>46005</v>
      </c>
    </row>
    <row r="16" spans="2:13" s="35" customFormat="1">
      <c r="C16" s="73"/>
      <c r="K16" s="74"/>
    </row>
    <row r="17" spans="2:13" ht="6" customHeight="1">
      <c r="C17" s="26"/>
      <c r="K17" s="27"/>
    </row>
    <row r="18" spans="2:13" ht="20.25">
      <c r="B18" s="145" t="s">
        <v>41</v>
      </c>
      <c r="C18" s="145"/>
      <c r="D18" s="145"/>
      <c r="E18" s="145"/>
      <c r="F18" s="145"/>
      <c r="G18" s="145"/>
      <c r="H18" s="145"/>
      <c r="I18" s="145"/>
      <c r="J18" s="145"/>
      <c r="K18" s="145"/>
      <c r="L18" s="145"/>
      <c r="M18" s="145"/>
    </row>
    <row r="19" spans="2:13" ht="12" customHeight="1"/>
    <row r="20" spans="2:13" s="28" customFormat="1" ht="12" customHeight="1">
      <c r="B20" s="146" t="s">
        <v>42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</row>
    <row r="21" spans="2:13" s="28" customFormat="1" ht="12" customHeight="1">
      <c r="B21" s="146" t="s">
        <v>43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</row>
    <row r="22" spans="2:13" s="28" customFormat="1" ht="12" customHeight="1">
      <c r="B22" s="146" t="s">
        <v>44</v>
      </c>
      <c r="C22" s="146"/>
      <c r="D22" s="146"/>
      <c r="E22" s="146"/>
      <c r="F22" s="146"/>
      <c r="G22" s="146"/>
      <c r="H22" s="146"/>
      <c r="I22" s="146"/>
      <c r="J22" s="146"/>
      <c r="K22" s="146"/>
      <c r="L22" s="146"/>
      <c r="M22" s="146"/>
    </row>
    <row r="23" spans="2:13" ht="6.95" customHeight="1">
      <c r="B23" s="147"/>
      <c r="C23" s="147"/>
      <c r="D23" s="147"/>
      <c r="E23" s="147"/>
      <c r="F23" s="147"/>
      <c r="G23" s="147"/>
      <c r="H23" s="147"/>
      <c r="I23" s="147"/>
      <c r="J23" s="147"/>
      <c r="K23" s="147"/>
      <c r="L23" s="147"/>
      <c r="M23" s="147"/>
    </row>
    <row r="24" spans="2:13" ht="6.95" customHeight="1"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</row>
    <row r="25" spans="2:13" s="29" customFormat="1" ht="15" customHeight="1">
      <c r="B25" s="29">
        <v>1</v>
      </c>
      <c r="C25" s="29" t="s">
        <v>45</v>
      </c>
    </row>
    <row r="26" spans="2:13" s="35" customFormat="1" ht="12" customHeight="1">
      <c r="B26" s="69"/>
      <c r="C26" s="72" t="s">
        <v>109</v>
      </c>
      <c r="M26" s="75" t="s">
        <v>46</v>
      </c>
    </row>
    <row r="27" spans="2:13" ht="11.1" customHeight="1">
      <c r="B27" s="29"/>
    </row>
    <row r="28" spans="2:13" ht="15" customHeight="1">
      <c r="B28" s="29">
        <v>2</v>
      </c>
      <c r="C28" s="29" t="s">
        <v>47</v>
      </c>
    </row>
    <row r="29" spans="2:13" ht="12" customHeight="1">
      <c r="B29" s="29"/>
      <c r="C29" s="23" t="s">
        <v>48</v>
      </c>
      <c r="E29" s="23" t="s">
        <v>49</v>
      </c>
      <c r="F29" s="101">
        <f>'PO 2nd page'!G31</f>
        <v>14499.6</v>
      </c>
      <c r="G29" s="101"/>
      <c r="H29" s="101"/>
      <c r="M29" s="30"/>
    </row>
    <row r="30" spans="2:13" ht="12" customHeight="1">
      <c r="B30" s="29"/>
      <c r="C30" s="23" t="s">
        <v>50</v>
      </c>
      <c r="E30" s="23" t="s">
        <v>49</v>
      </c>
      <c r="F30" s="101">
        <f>'PO 2nd page'!G32</f>
        <v>2174.94</v>
      </c>
      <c r="G30" s="101"/>
      <c r="H30" s="101"/>
    </row>
    <row r="31" spans="2:13" ht="12" customHeight="1">
      <c r="B31" s="29"/>
      <c r="C31" s="23" t="s">
        <v>51</v>
      </c>
      <c r="D31" s="31"/>
      <c r="E31" s="23" t="s">
        <v>49</v>
      </c>
      <c r="F31" s="101">
        <f>'PO 2nd page'!G33</f>
        <v>16674.54</v>
      </c>
      <c r="G31" s="101"/>
      <c r="H31" s="101"/>
    </row>
    <row r="32" spans="2:13" ht="11.1" customHeight="1">
      <c r="B32" s="29"/>
    </row>
    <row r="33" spans="2:13" ht="15" customHeight="1">
      <c r="B33" s="29">
        <v>3</v>
      </c>
      <c r="C33" s="29" t="s">
        <v>52</v>
      </c>
    </row>
    <row r="34" spans="2:13" ht="12" customHeight="1">
      <c r="B34" s="29"/>
      <c r="C34" s="19" t="s">
        <v>53</v>
      </c>
    </row>
    <row r="35" spans="2:13" ht="12" customHeight="1">
      <c r="B35" s="29"/>
      <c r="C35" s="19" t="s">
        <v>54</v>
      </c>
    </row>
    <row r="36" spans="2:13" ht="12" customHeight="1">
      <c r="B36" s="29"/>
      <c r="C36" s="19" t="s">
        <v>55</v>
      </c>
    </row>
    <row r="37" spans="2:13" ht="6" customHeight="1">
      <c r="B37" s="29"/>
    </row>
    <row r="38" spans="2:13" ht="15" customHeight="1">
      <c r="B38" s="29">
        <v>4</v>
      </c>
      <c r="C38" s="29" t="s">
        <v>56</v>
      </c>
    </row>
    <row r="39" spans="2:13" ht="12" customHeight="1">
      <c r="B39" s="29"/>
      <c r="C39" s="23" t="s">
        <v>57</v>
      </c>
    </row>
    <row r="40" spans="2:13" ht="6" customHeight="1">
      <c r="B40" s="29"/>
    </row>
    <row r="41" spans="2:13" ht="15" customHeight="1">
      <c r="B41" s="29">
        <v>5</v>
      </c>
      <c r="C41" s="29" t="s">
        <v>58</v>
      </c>
    </row>
    <row r="42" spans="2:13" ht="12" customHeight="1">
      <c r="B42" s="29"/>
      <c r="C42" s="32" t="s">
        <v>59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3" ht="12" customHeight="1">
      <c r="B43" s="29"/>
      <c r="C43" s="32" t="s">
        <v>60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3" ht="12" customHeight="1">
      <c r="B44" s="29"/>
      <c r="C44" s="32" t="s">
        <v>61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3" ht="12" customHeight="1">
      <c r="B45" s="29"/>
      <c r="C45" s="32" t="s">
        <v>62</v>
      </c>
      <c r="D45" s="33"/>
      <c r="E45" s="34"/>
      <c r="F45" s="34"/>
      <c r="G45" s="34"/>
      <c r="H45" s="34"/>
      <c r="I45" s="34"/>
      <c r="J45" s="34"/>
      <c r="K45" s="34"/>
      <c r="L45" s="34"/>
      <c r="M45" s="34"/>
    </row>
    <row r="46" spans="2:13" ht="12" customHeight="1">
      <c r="B46" s="29"/>
      <c r="C46" s="35" t="s">
        <v>63</v>
      </c>
      <c r="D46" s="36"/>
      <c r="E46" s="37"/>
      <c r="F46" s="37"/>
      <c r="G46" s="37"/>
      <c r="H46" s="37"/>
      <c r="I46" s="37"/>
      <c r="J46" s="37"/>
      <c r="K46" s="37"/>
      <c r="L46" s="37"/>
      <c r="M46" s="37"/>
    </row>
    <row r="47" spans="2:13" ht="6" customHeight="1">
      <c r="B47" s="29"/>
    </row>
    <row r="48" spans="2:13" ht="15" customHeight="1">
      <c r="B48" s="29">
        <v>6</v>
      </c>
      <c r="C48" s="29" t="s">
        <v>64</v>
      </c>
    </row>
    <row r="49" spans="2:16" s="35" customFormat="1" ht="12" customHeight="1">
      <c r="B49" s="76" t="s">
        <v>65</v>
      </c>
      <c r="C49" s="77" t="s">
        <v>104</v>
      </c>
      <c r="P49" s="78"/>
    </row>
    <row r="50" spans="2:16" s="79" customFormat="1" ht="12" customHeight="1">
      <c r="B50" s="80" t="s">
        <v>65</v>
      </c>
      <c r="C50" s="77" t="s">
        <v>93</v>
      </c>
    </row>
    <row r="51" spans="2:16" s="79" customFormat="1" ht="12" customHeight="1">
      <c r="B51" s="80" t="s">
        <v>65</v>
      </c>
      <c r="C51" s="77" t="s">
        <v>92</v>
      </c>
    </row>
    <row r="52" spans="2:16" s="79" customFormat="1" ht="6" customHeight="1">
      <c r="B52" s="80"/>
      <c r="C52" s="77"/>
    </row>
    <row r="53" spans="2:16" ht="15" customHeight="1">
      <c r="B53" s="38">
        <v>7</v>
      </c>
      <c r="C53" s="29" t="s">
        <v>158</v>
      </c>
    </row>
    <row r="54" spans="2:16" ht="12" customHeight="1">
      <c r="B54" s="80" t="s">
        <v>65</v>
      </c>
      <c r="C54" s="169" t="s">
        <v>159</v>
      </c>
      <c r="F54" s="23" t="s">
        <v>168</v>
      </c>
      <c r="P54" s="23" t="str">
        <f>UPPER(F54)</f>
        <v>ALRMOOZ TECHNICAL FOR GENERAL CONTRACTING EST.</v>
      </c>
    </row>
    <row r="55" spans="2:16" ht="12" customHeight="1">
      <c r="B55" s="80" t="s">
        <v>65</v>
      </c>
      <c r="C55" s="169" t="s">
        <v>160</v>
      </c>
      <c r="F55" s="170" t="s">
        <v>169</v>
      </c>
    </row>
    <row r="56" spans="2:16" ht="12" customHeight="1">
      <c r="B56" s="80" t="s">
        <v>65</v>
      </c>
      <c r="C56" s="169" t="s">
        <v>161</v>
      </c>
      <c r="F56" s="170" t="s">
        <v>169</v>
      </c>
    </row>
    <row r="57" spans="2:16" ht="12" customHeight="1">
      <c r="B57" s="80" t="s">
        <v>65</v>
      </c>
      <c r="C57" s="169" t="s">
        <v>162</v>
      </c>
      <c r="F57" s="23" t="s">
        <v>170</v>
      </c>
    </row>
    <row r="58" spans="2:16" ht="12" customHeight="1">
      <c r="B58" s="80" t="s">
        <v>65</v>
      </c>
      <c r="C58" s="169" t="s">
        <v>163</v>
      </c>
      <c r="F58" s="23" t="s">
        <v>164</v>
      </c>
    </row>
    <row r="59" spans="2:16" ht="12" customHeight="1">
      <c r="B59" s="80" t="s">
        <v>65</v>
      </c>
      <c r="C59" s="169" t="s">
        <v>165</v>
      </c>
      <c r="F59" s="23" t="s">
        <v>166</v>
      </c>
    </row>
    <row r="60" spans="2:16" ht="12" customHeight="1">
      <c r="B60" s="80"/>
      <c r="C60" s="169" t="s">
        <v>167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3" customHeight="1">
      <c r="B62" s="29"/>
    </row>
    <row r="63" spans="2:16" ht="11.1" customHeight="1">
      <c r="B63" s="38"/>
    </row>
    <row r="64" spans="2:16" ht="12" customHeight="1">
      <c r="B64" s="29" t="s">
        <v>66</v>
      </c>
      <c r="J64" s="29" t="s">
        <v>67</v>
      </c>
    </row>
    <row r="65" spans="1:13" ht="46.5" customHeight="1"/>
    <row r="66" spans="1:13" ht="16.5" customHeight="1">
      <c r="B66" s="23" t="s">
        <v>68</v>
      </c>
      <c r="J66" s="23" t="s">
        <v>68</v>
      </c>
    </row>
    <row r="67" spans="1:13" ht="16.5" customHeight="1">
      <c r="B67" s="23" t="s">
        <v>69</v>
      </c>
      <c r="J67" s="23" t="s">
        <v>70</v>
      </c>
      <c r="K67" s="19" t="str">
        <f>D12</f>
        <v>Muhammed Rafi</v>
      </c>
    </row>
    <row r="68" spans="1:13" ht="18" customHeight="1">
      <c r="B68" s="23" t="s">
        <v>71</v>
      </c>
      <c r="J68" s="23" t="s">
        <v>72</v>
      </c>
      <c r="K68" s="19" t="s">
        <v>110</v>
      </c>
    </row>
    <row r="69" spans="1:13" ht="15" customHeight="1">
      <c r="B69" s="23" t="s">
        <v>73</v>
      </c>
      <c r="J69" s="23" t="s">
        <v>74</v>
      </c>
    </row>
    <row r="70" spans="1:13" s="25" customFormat="1" ht="24.75" customHeight="1">
      <c r="B70" s="22" t="s">
        <v>111</v>
      </c>
      <c r="J70" s="171" t="str">
        <f>C9</f>
        <v>ATGC(Alrmooz Technical for General Contracting Est.)</v>
      </c>
      <c r="K70" s="171"/>
      <c r="L70" s="171"/>
      <c r="M70" s="171"/>
    </row>
    <row r="71" spans="1:13" ht="27.95" customHeight="1">
      <c r="A71" s="141" t="s">
        <v>75</v>
      </c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</row>
    <row r="78" spans="1:13">
      <c r="B78" s="29"/>
    </row>
    <row r="79" spans="1:13">
      <c r="B79" s="29"/>
    </row>
    <row r="80" spans="1:13">
      <c r="B80" s="29"/>
    </row>
    <row r="81" spans="2:2">
      <c r="B81" s="29"/>
    </row>
    <row r="82" spans="2:2">
      <c r="B82" s="29"/>
    </row>
    <row r="83" spans="2:2">
      <c r="B83" s="29"/>
    </row>
    <row r="84" spans="2:2">
      <c r="B84" s="29"/>
    </row>
    <row r="85" spans="2:2">
      <c r="B85" s="29"/>
    </row>
    <row r="86" spans="2:2">
      <c r="B86" s="29"/>
    </row>
    <row r="87" spans="2:2">
      <c r="B87" s="29"/>
    </row>
    <row r="88" spans="2:2">
      <c r="B88" s="29"/>
    </row>
    <row r="89" spans="2:2">
      <c r="B89" s="29"/>
    </row>
    <row r="90" spans="2:2">
      <c r="B90" s="29"/>
    </row>
    <row r="91" spans="2:2">
      <c r="B91" s="29"/>
    </row>
    <row r="92" spans="2:2">
      <c r="B92" s="29"/>
    </row>
    <row r="93" spans="2:2">
      <c r="B93" s="29"/>
    </row>
    <row r="94" spans="2:2">
      <c r="B94" s="29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9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41"/>
  <sheetViews>
    <sheetView showGridLines="0" view="pageBreakPreview" zoomScaleSheetLayoutView="100" zoomScalePageLayoutView="55" workbookViewId="0">
      <selection activeCell="B4" sqref="B4:C5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76</v>
      </c>
      <c r="B2" s="43" t="str">
        <f>+'PO 1st page'!K11</f>
        <v>SAC2-DS-PO-0184</v>
      </c>
      <c r="C2" s="151" t="s">
        <v>77</v>
      </c>
      <c r="D2" s="151"/>
      <c r="E2" s="151"/>
      <c r="F2" s="151"/>
      <c r="G2" s="44"/>
      <c r="H2" s="44"/>
    </row>
    <row r="3" spans="1:13" s="50" customFormat="1" ht="28.5" customHeight="1" thickBot="1">
      <c r="A3" s="45" t="s">
        <v>78</v>
      </c>
      <c r="B3" s="46">
        <f>+'PO 1st page'!K10</f>
        <v>46006</v>
      </c>
      <c r="C3" s="47"/>
      <c r="D3" s="48"/>
      <c r="E3" s="152" t="s">
        <v>79</v>
      </c>
      <c r="F3" s="152"/>
      <c r="G3" s="152"/>
      <c r="H3" s="152"/>
      <c r="I3" s="49"/>
    </row>
    <row r="4" spans="1:13" s="51" customFormat="1" ht="28.5" customHeight="1" thickTop="1">
      <c r="A4" s="153" t="s">
        <v>80</v>
      </c>
      <c r="B4" s="155" t="s">
        <v>81</v>
      </c>
      <c r="C4" s="156"/>
      <c r="D4" s="159" t="s">
        <v>82</v>
      </c>
      <c r="E4" s="159" t="s">
        <v>83</v>
      </c>
      <c r="F4" s="161" t="str">
        <f>'PO 1st page'!C9</f>
        <v>ATGC(Alrmooz Technical for General Contracting Est.)</v>
      </c>
      <c r="G4" s="162"/>
      <c r="H4" s="163" t="s">
        <v>84</v>
      </c>
      <c r="K4" s="52"/>
      <c r="L4" s="52"/>
      <c r="M4" s="52"/>
    </row>
    <row r="5" spans="1:13" s="51" customFormat="1" ht="21.95" customHeight="1">
      <c r="A5" s="154"/>
      <c r="B5" s="157"/>
      <c r="C5" s="158"/>
      <c r="D5" s="160"/>
      <c r="E5" s="160"/>
      <c r="F5" s="53" t="s">
        <v>85</v>
      </c>
      <c r="G5" s="53" t="s">
        <v>51</v>
      </c>
      <c r="H5" s="164"/>
      <c r="K5" s="52"/>
      <c r="L5" s="52"/>
      <c r="M5" s="52"/>
    </row>
    <row r="6" spans="1:13" s="51" customFormat="1" ht="32.1" customHeight="1">
      <c r="A6" s="81">
        <f t="shared" ref="A6:A30" si="0">ROW(A1)</f>
        <v>1</v>
      </c>
      <c r="B6" s="149" t="str">
        <f>_xlfn.CONCAT(MRS!B6," ",MRS!D6)</f>
        <v xml:space="preserve">Paper Tray </v>
      </c>
      <c r="C6" s="150"/>
      <c r="D6" s="82" t="str">
        <f>MRS!G6</f>
        <v>EA</v>
      </c>
      <c r="E6" s="83">
        <f>MRS!H6</f>
        <v>2</v>
      </c>
      <c r="F6" s="84">
        <f>MRS!I6</f>
        <v>26</v>
      </c>
      <c r="G6" s="85">
        <f>F6*E6</f>
        <v>52</v>
      </c>
      <c r="H6" s="86"/>
      <c r="K6" s="87"/>
      <c r="L6" s="88"/>
      <c r="M6" s="52"/>
    </row>
    <row r="7" spans="1:13" s="51" customFormat="1" ht="32.1" customHeight="1">
      <c r="A7" s="81">
        <f t="shared" si="0"/>
        <v>2</v>
      </c>
      <c r="B7" s="149" t="str">
        <f>_xlfn.CONCAT(MRS!B7," ",MRS!D7)</f>
        <v>Ice Box 120 ltr</v>
      </c>
      <c r="C7" s="150"/>
      <c r="D7" s="82" t="str">
        <f>MRS!G7</f>
        <v>EA</v>
      </c>
      <c r="E7" s="83">
        <f>MRS!H7</f>
        <v>4</v>
      </c>
      <c r="F7" s="84">
        <f>MRS!I7</f>
        <v>370</v>
      </c>
      <c r="G7" s="85">
        <f t="shared" ref="G7:G30" si="1">F7*E7</f>
        <v>1480</v>
      </c>
      <c r="H7" s="86"/>
      <c r="K7" s="87"/>
      <c r="L7" s="88"/>
      <c r="M7" s="52"/>
    </row>
    <row r="8" spans="1:13" s="51" customFormat="1" ht="32.1" customHeight="1">
      <c r="A8" s="89">
        <f t="shared" si="0"/>
        <v>3</v>
      </c>
      <c r="B8" s="149" t="str">
        <f>_xlfn.CONCAT(MRS!B8," ",MRS!D8)</f>
        <v>Fine Deluc Toilet Paper 12 Rolls 4*1bdl</v>
      </c>
      <c r="C8" s="150"/>
      <c r="D8" s="82" t="str">
        <f>MRS!G8</f>
        <v>BDL</v>
      </c>
      <c r="E8" s="83">
        <f>MRS!H8</f>
        <v>20</v>
      </c>
      <c r="F8" s="84">
        <f>MRS!I8</f>
        <v>27</v>
      </c>
      <c r="G8" s="85">
        <f t="shared" si="1"/>
        <v>540</v>
      </c>
      <c r="H8" s="90"/>
      <c r="K8" s="52"/>
      <c r="L8" s="52"/>
      <c r="M8" s="52"/>
    </row>
    <row r="9" spans="1:13" s="51" customFormat="1" ht="32.1" customHeight="1">
      <c r="A9" s="89">
        <f t="shared" si="0"/>
        <v>4</v>
      </c>
      <c r="B9" s="149" t="str">
        <f>_xlfn.CONCAT(MRS!B9," ",MRS!D9)</f>
        <v>Office Chair Neckless</v>
      </c>
      <c r="C9" s="150"/>
      <c r="D9" s="82" t="str">
        <f>MRS!G9</f>
        <v>EA</v>
      </c>
      <c r="E9" s="83">
        <f>MRS!H9</f>
        <v>5</v>
      </c>
      <c r="F9" s="84">
        <f>MRS!I9</f>
        <v>156</v>
      </c>
      <c r="G9" s="85">
        <f t="shared" si="1"/>
        <v>780</v>
      </c>
      <c r="H9" s="90"/>
    </row>
    <row r="10" spans="1:13" s="51" customFormat="1" ht="32.1" customHeight="1">
      <c r="A10" s="89">
        <f t="shared" si="0"/>
        <v>5</v>
      </c>
      <c r="B10" s="149" t="str">
        <f>_xlfn.CONCAT(MRS!B10," ",MRS!D10)</f>
        <v>Spray Paint Black</v>
      </c>
      <c r="C10" s="150"/>
      <c r="D10" s="82" t="str">
        <f>MRS!G10</f>
        <v>Box</v>
      </c>
      <c r="E10" s="83">
        <f>MRS!H10</f>
        <v>5</v>
      </c>
      <c r="F10" s="84">
        <f>MRS!I10</f>
        <v>56</v>
      </c>
      <c r="G10" s="85">
        <f t="shared" si="1"/>
        <v>280</v>
      </c>
      <c r="H10" s="90"/>
    </row>
    <row r="11" spans="1:13" s="51" customFormat="1" ht="32.1" customHeight="1">
      <c r="A11" s="89">
        <f t="shared" si="0"/>
        <v>6</v>
      </c>
      <c r="B11" s="149" t="str">
        <f>_xlfn.CONCAT(MRS!B11," ",MRS!D11)</f>
        <v>SSD Internal Drive 1TB, SATA 3</v>
      </c>
      <c r="C11" s="150"/>
      <c r="D11" s="82" t="str">
        <f>MRS!G11</f>
        <v>EA</v>
      </c>
      <c r="E11" s="83">
        <f>MRS!H11</f>
        <v>1</v>
      </c>
      <c r="F11" s="84">
        <f>MRS!I11</f>
        <v>331</v>
      </c>
      <c r="G11" s="85">
        <f t="shared" si="1"/>
        <v>331</v>
      </c>
      <c r="H11" s="90"/>
    </row>
    <row r="12" spans="1:13" s="51" customFormat="1" ht="32.1" customHeight="1">
      <c r="A12" s="89">
        <f t="shared" si="0"/>
        <v>7</v>
      </c>
      <c r="B12" s="149" t="str">
        <f>_xlfn.CONCAT(MRS!B12," ",MRS!D12)</f>
        <v>DAC Disinfectant 3 ltr</v>
      </c>
      <c r="C12" s="150"/>
      <c r="D12" s="82" t="str">
        <f>MRS!G12</f>
        <v>EA</v>
      </c>
      <c r="E12" s="83">
        <f>MRS!H12</f>
        <v>6</v>
      </c>
      <c r="F12" s="84">
        <f>MRS!I12</f>
        <v>20</v>
      </c>
      <c r="G12" s="85">
        <f t="shared" si="1"/>
        <v>120</v>
      </c>
      <c r="H12" s="90"/>
    </row>
    <row r="13" spans="1:13" s="51" customFormat="1" ht="32.1" customHeight="1">
      <c r="A13" s="89">
        <f t="shared" si="0"/>
        <v>8</v>
      </c>
      <c r="B13" s="149" t="str">
        <f>_xlfn.CONCAT(MRS!B13," ",MRS!D13)</f>
        <v>Clorox Bleach 3.78 ltr</v>
      </c>
      <c r="C13" s="150"/>
      <c r="D13" s="82" t="str">
        <f>MRS!G13</f>
        <v>EA</v>
      </c>
      <c r="E13" s="83">
        <f>MRS!H13</f>
        <v>4</v>
      </c>
      <c r="F13" s="84">
        <f>MRS!I13</f>
        <v>25</v>
      </c>
      <c r="G13" s="85">
        <f t="shared" si="1"/>
        <v>100</v>
      </c>
      <c r="H13" s="90"/>
    </row>
    <row r="14" spans="1:13" s="51" customFormat="1" ht="32.1" customHeight="1">
      <c r="A14" s="89">
        <f t="shared" si="0"/>
        <v>9</v>
      </c>
      <c r="B14" s="149" t="str">
        <f>_xlfn.CONCAT(MRS!B14," ",MRS!D14)</f>
        <v>Xerox Toner C 7100 Black</v>
      </c>
      <c r="C14" s="150"/>
      <c r="D14" s="82" t="str">
        <f>MRS!G14</f>
        <v>EA</v>
      </c>
      <c r="E14" s="83">
        <f>MRS!H14</f>
        <v>5</v>
      </c>
      <c r="F14" s="84">
        <f>MRS!I14</f>
        <v>350</v>
      </c>
      <c r="G14" s="85">
        <f t="shared" si="1"/>
        <v>1750</v>
      </c>
      <c r="H14" s="90"/>
    </row>
    <row r="15" spans="1:13" s="51" customFormat="1" ht="32.1" customHeight="1">
      <c r="A15" s="89">
        <f t="shared" si="0"/>
        <v>10</v>
      </c>
      <c r="B15" s="149" t="str">
        <f>_xlfn.CONCAT(MRS!B15," ",MRS!D15)</f>
        <v>Xerox Toner C 7100 Cyan-3/Magenta-3/Yellow-3</v>
      </c>
      <c r="C15" s="150"/>
      <c r="D15" s="82" t="str">
        <f>MRS!G15</f>
        <v>EA</v>
      </c>
      <c r="E15" s="83">
        <f>MRS!H15</f>
        <v>9</v>
      </c>
      <c r="F15" s="84">
        <f>MRS!I15</f>
        <v>450</v>
      </c>
      <c r="G15" s="85">
        <f t="shared" si="1"/>
        <v>4050</v>
      </c>
      <c r="H15" s="90"/>
    </row>
    <row r="16" spans="1:13" s="51" customFormat="1" ht="32.1" customHeight="1">
      <c r="A16" s="89">
        <f t="shared" si="0"/>
        <v>11</v>
      </c>
      <c r="B16" s="149" t="str">
        <f>_xlfn.CONCAT(MRS!B16," ",MRS!D16)</f>
        <v>Office Table with attached Drawer 120*75*70</v>
      </c>
      <c r="C16" s="150"/>
      <c r="D16" s="82" t="str">
        <f>MRS!G16</f>
        <v>EA</v>
      </c>
      <c r="E16" s="83">
        <f>MRS!H16</f>
        <v>5</v>
      </c>
      <c r="F16" s="84">
        <f>MRS!I16</f>
        <v>400</v>
      </c>
      <c r="G16" s="85">
        <f t="shared" si="1"/>
        <v>2000</v>
      </c>
      <c r="H16" s="90"/>
    </row>
    <row r="17" spans="1:8" s="51" customFormat="1" ht="32.1" customHeight="1">
      <c r="A17" s="89">
        <f t="shared" si="0"/>
        <v>12</v>
      </c>
      <c r="B17" s="149" t="str">
        <f>_xlfn.CONCAT(MRS!B17," ",MRS!D17)</f>
        <v>Stamp Pad Ink Blue, 28ml</v>
      </c>
      <c r="C17" s="150"/>
      <c r="D17" s="82" t="str">
        <f>MRS!G17</f>
        <v>EA</v>
      </c>
      <c r="E17" s="83">
        <f>MRS!H17</f>
        <v>3</v>
      </c>
      <c r="F17" s="84">
        <f>MRS!I17</f>
        <v>19</v>
      </c>
      <c r="G17" s="85">
        <f t="shared" si="1"/>
        <v>57</v>
      </c>
      <c r="H17" s="90"/>
    </row>
    <row r="18" spans="1:8" s="51" customFormat="1" ht="32.1" customHeight="1">
      <c r="A18" s="89">
        <f t="shared" si="0"/>
        <v>13</v>
      </c>
      <c r="B18" s="149" t="str">
        <f>_xlfn.CONCAT(MRS!B18," ",MRS!D18)</f>
        <v>Stamp Pad Ink Red, 28ml</v>
      </c>
      <c r="C18" s="150"/>
      <c r="D18" s="82" t="str">
        <f>MRS!G18</f>
        <v>EA</v>
      </c>
      <c r="E18" s="83">
        <f>MRS!H18</f>
        <v>3</v>
      </c>
      <c r="F18" s="84">
        <f>MRS!I18</f>
        <v>19</v>
      </c>
      <c r="G18" s="85">
        <f t="shared" si="1"/>
        <v>57</v>
      </c>
      <c r="H18" s="90"/>
    </row>
    <row r="19" spans="1:8" s="51" customFormat="1" ht="32.1" customHeight="1">
      <c r="A19" s="89">
        <f t="shared" si="0"/>
        <v>14</v>
      </c>
      <c r="B19" s="149" t="str">
        <f>_xlfn.CONCAT(MRS!B19," ",MRS!D19)</f>
        <v>DP to HDMI Cable 1.8mtr</v>
      </c>
      <c r="C19" s="150"/>
      <c r="D19" s="82" t="str">
        <f>MRS!G19</f>
        <v>EA</v>
      </c>
      <c r="E19" s="83">
        <f>MRS!H19</f>
        <v>2</v>
      </c>
      <c r="F19" s="84">
        <f>MRS!I19</f>
        <v>62</v>
      </c>
      <c r="G19" s="85">
        <f t="shared" si="1"/>
        <v>124</v>
      </c>
      <c r="H19" s="90"/>
    </row>
    <row r="20" spans="1:8" s="51" customFormat="1" ht="32.1" customHeight="1">
      <c r="A20" s="89">
        <f t="shared" si="0"/>
        <v>15</v>
      </c>
      <c r="B20" s="149" t="str">
        <f>_xlfn.CONCAT(MRS!B20," ",MRS!D20)</f>
        <v>Water Bottle 1050ml,HI-TEX,1*48pcs</v>
      </c>
      <c r="C20" s="150"/>
      <c r="D20" s="82" t="str">
        <f>MRS!G20</f>
        <v>EA</v>
      </c>
      <c r="E20" s="83">
        <f>MRS!H20</f>
        <v>48</v>
      </c>
      <c r="F20" s="84">
        <f>MRS!I20</f>
        <v>11.2</v>
      </c>
      <c r="G20" s="85">
        <f t="shared" si="1"/>
        <v>537.59999999999991</v>
      </c>
      <c r="H20" s="90"/>
    </row>
    <row r="21" spans="1:8" s="51" customFormat="1" ht="32.1" customHeight="1">
      <c r="A21" s="89">
        <f t="shared" si="0"/>
        <v>16</v>
      </c>
      <c r="B21" s="149" t="str">
        <f>_xlfn.CONCAT(MRS!B21," ",MRS!D21)</f>
        <v>Gum Boot 41-7/42-1/40-1</v>
      </c>
      <c r="C21" s="150"/>
      <c r="D21" s="82" t="str">
        <f>MRS!G21</f>
        <v>PAIR</v>
      </c>
      <c r="E21" s="83">
        <f>MRS!H21</f>
        <v>2</v>
      </c>
      <c r="F21" s="84">
        <f>MRS!I21</f>
        <v>30</v>
      </c>
      <c r="G21" s="85">
        <f t="shared" si="1"/>
        <v>60</v>
      </c>
      <c r="H21" s="90"/>
    </row>
    <row r="22" spans="1:8" s="51" customFormat="1" ht="32.1" customHeight="1">
      <c r="A22" s="89">
        <f t="shared" si="0"/>
        <v>17</v>
      </c>
      <c r="B22" s="149" t="str">
        <f>_xlfn.CONCAT(MRS!B22," ",MRS!D22)</f>
        <v xml:space="preserve">Round Sticker </v>
      </c>
      <c r="C22" s="150"/>
      <c r="D22" s="82" t="str">
        <f>MRS!G22</f>
        <v>EA</v>
      </c>
      <c r="E22" s="83">
        <f>MRS!H22</f>
        <v>1000</v>
      </c>
      <c r="F22" s="84">
        <f>MRS!I22</f>
        <v>1</v>
      </c>
      <c r="G22" s="85">
        <f t="shared" si="1"/>
        <v>1000</v>
      </c>
      <c r="H22" s="90"/>
    </row>
    <row r="23" spans="1:8" s="51" customFormat="1" ht="32.1" customHeight="1">
      <c r="A23" s="89">
        <f t="shared" si="0"/>
        <v>18</v>
      </c>
      <c r="B23" s="149" t="str">
        <f>_xlfn.CONCAT(MRS!B23," ",MRS!D23)</f>
        <v xml:space="preserve">Router </v>
      </c>
      <c r="C23" s="150"/>
      <c r="D23" s="82" t="str">
        <f>MRS!G23</f>
        <v>EA</v>
      </c>
      <c r="E23" s="83">
        <f>MRS!H23</f>
        <v>1</v>
      </c>
      <c r="F23" s="84">
        <f>MRS!I23</f>
        <v>106</v>
      </c>
      <c r="G23" s="85">
        <f t="shared" si="1"/>
        <v>106</v>
      </c>
      <c r="H23" s="90"/>
    </row>
    <row r="24" spans="1:8" s="51" customFormat="1" ht="32.1" customHeight="1">
      <c r="A24" s="89">
        <f t="shared" si="0"/>
        <v>19</v>
      </c>
      <c r="B24" s="149" t="str">
        <f>_xlfn.CONCAT(MRS!B24," ",MRS!D24)</f>
        <v>TP Link Router 4Port</v>
      </c>
      <c r="C24" s="150"/>
      <c r="D24" s="82" t="str">
        <f>MRS!G24</f>
        <v>EA</v>
      </c>
      <c r="E24" s="83">
        <f>MRS!H24</f>
        <v>1</v>
      </c>
      <c r="F24" s="84">
        <f>MRS!I24</f>
        <v>50</v>
      </c>
      <c r="G24" s="85">
        <f t="shared" si="1"/>
        <v>50</v>
      </c>
      <c r="H24" s="90"/>
    </row>
    <row r="25" spans="1:8" s="51" customFormat="1" ht="32.1" customHeight="1">
      <c r="A25" s="89">
        <f t="shared" si="0"/>
        <v>20</v>
      </c>
      <c r="B25" s="149" t="str">
        <f>_xlfn.CONCAT(MRS!B25," ",MRS!D25)</f>
        <v>TP Link Router 8Port</v>
      </c>
      <c r="C25" s="150"/>
      <c r="D25" s="82" t="str">
        <f>MRS!G25</f>
        <v>EA</v>
      </c>
      <c r="E25" s="83">
        <f>MRS!H25</f>
        <v>2</v>
      </c>
      <c r="F25" s="84">
        <f>MRS!I25</f>
        <v>55</v>
      </c>
      <c r="G25" s="85">
        <f t="shared" si="1"/>
        <v>110</v>
      </c>
      <c r="H25" s="90"/>
    </row>
    <row r="26" spans="1:8" s="51" customFormat="1" ht="32.1" customHeight="1">
      <c r="A26" s="89">
        <f t="shared" si="0"/>
        <v>21</v>
      </c>
      <c r="B26" s="149" t="str">
        <f>_xlfn.CONCAT(MRS!B26," ",MRS!D26)</f>
        <v>Ice Box 70 ltr</v>
      </c>
      <c r="C26" s="150"/>
      <c r="D26" s="82" t="str">
        <f>MRS!G26</f>
        <v>EA</v>
      </c>
      <c r="E26" s="83">
        <f>MRS!H26</f>
        <v>2</v>
      </c>
      <c r="F26" s="84">
        <f>MRS!I26</f>
        <v>235</v>
      </c>
      <c r="G26" s="85">
        <f t="shared" si="1"/>
        <v>470</v>
      </c>
      <c r="H26" s="90"/>
    </row>
    <row r="27" spans="1:8" s="51" customFormat="1" ht="32.1" customHeight="1">
      <c r="A27" s="89">
        <f t="shared" si="0"/>
        <v>22</v>
      </c>
      <c r="B27" s="149" t="str">
        <f>_xlfn.CONCAT(MRS!B27," ",MRS!D27)</f>
        <v xml:space="preserve">Paper Cone Cup </v>
      </c>
      <c r="C27" s="150"/>
      <c r="D27" s="82" t="str">
        <f>MRS!G27</f>
        <v>Box</v>
      </c>
      <c r="E27" s="83">
        <f>MRS!H27</f>
        <v>1</v>
      </c>
      <c r="F27" s="84">
        <f>MRS!I27</f>
        <v>181</v>
      </c>
      <c r="G27" s="85">
        <f t="shared" si="1"/>
        <v>181</v>
      </c>
      <c r="H27" s="90"/>
    </row>
    <row r="28" spans="1:8" s="51" customFormat="1" ht="32.1" customHeight="1">
      <c r="A28" s="89">
        <f t="shared" si="0"/>
        <v>23</v>
      </c>
      <c r="B28" s="149" t="str">
        <f>_xlfn.CONCAT(MRS!B28," ",MRS!D28)</f>
        <v>Hand Wash Liquid 20 ltr</v>
      </c>
      <c r="C28" s="150"/>
      <c r="D28" s="82" t="str">
        <f>MRS!G28</f>
        <v>EA</v>
      </c>
      <c r="E28" s="83">
        <f>MRS!H28</f>
        <v>1</v>
      </c>
      <c r="F28" s="84">
        <f>MRS!I28</f>
        <v>44</v>
      </c>
      <c r="G28" s="85">
        <f t="shared" si="1"/>
        <v>44</v>
      </c>
      <c r="H28" s="90"/>
    </row>
    <row r="29" spans="1:8" s="51" customFormat="1" ht="32.1" customHeight="1">
      <c r="A29" s="89">
        <f t="shared" si="0"/>
        <v>24</v>
      </c>
      <c r="B29" s="149" t="str">
        <f>_xlfn.CONCAT(MRS!B29," ",MRS!D29)</f>
        <v xml:space="preserve">Broom Brush </v>
      </c>
      <c r="C29" s="150"/>
      <c r="D29" s="82" t="str">
        <f>MRS!G29</f>
        <v>EA</v>
      </c>
      <c r="E29" s="83">
        <f>MRS!H29</f>
        <v>10</v>
      </c>
      <c r="F29" s="84">
        <f>MRS!I29</f>
        <v>15</v>
      </c>
      <c r="G29" s="85">
        <f t="shared" si="1"/>
        <v>150</v>
      </c>
      <c r="H29" s="90"/>
    </row>
    <row r="30" spans="1:8" s="51" customFormat="1" ht="32.1" customHeight="1">
      <c r="A30" s="89">
        <f t="shared" si="0"/>
        <v>25</v>
      </c>
      <c r="B30" s="149" t="str">
        <f>_xlfn.CONCAT(MRS!B30," ",MRS!D30)</f>
        <v xml:space="preserve">Mat Mop </v>
      </c>
      <c r="C30" s="150"/>
      <c r="D30" s="82" t="str">
        <f>MRS!G30</f>
        <v>EA</v>
      </c>
      <c r="E30" s="83">
        <f>MRS!H30</f>
        <v>2</v>
      </c>
      <c r="F30" s="84">
        <f>MRS!I30</f>
        <v>35</v>
      </c>
      <c r="G30" s="85">
        <f t="shared" si="1"/>
        <v>70</v>
      </c>
      <c r="H30" s="90"/>
    </row>
    <row r="31" spans="1:8" s="51" customFormat="1" ht="23.1" customHeight="1">
      <c r="A31" s="165" t="s">
        <v>86</v>
      </c>
      <c r="B31" s="166"/>
      <c r="C31" s="166"/>
      <c r="D31" s="166"/>
      <c r="E31" s="166"/>
      <c r="F31" s="166"/>
      <c r="G31" s="54">
        <f>SUM(G6:G30)</f>
        <v>14499.6</v>
      </c>
      <c r="H31" s="55"/>
    </row>
    <row r="32" spans="1:8" s="51" customFormat="1" ht="23.1" customHeight="1">
      <c r="A32" s="165" t="s">
        <v>50</v>
      </c>
      <c r="B32" s="166"/>
      <c r="C32" s="166"/>
      <c r="D32" s="166"/>
      <c r="E32" s="166"/>
      <c r="F32" s="166"/>
      <c r="G32" s="54">
        <f>+G31*0.15</f>
        <v>2174.94</v>
      </c>
      <c r="H32" s="55"/>
    </row>
    <row r="33" spans="1:13" s="51" customFormat="1" ht="24.95" customHeight="1" thickBot="1">
      <c r="A33" s="167" t="s">
        <v>87</v>
      </c>
      <c r="B33" s="168"/>
      <c r="C33" s="168"/>
      <c r="D33" s="168"/>
      <c r="E33" s="168"/>
      <c r="F33" s="168"/>
      <c r="G33" s="56">
        <f>G32+G31</f>
        <v>16674.54</v>
      </c>
      <c r="H33" s="57"/>
    </row>
    <row r="34" spans="1:13" ht="15.75" thickTop="1">
      <c r="A34" s="58" t="str">
        <f>" 1) Above Price are as per your quotation with ref "&amp;'PO 1st page'!K14</f>
        <v xml:space="preserve"> 1) Above Price are as per your quotation with ref QUO-MAT-2512148</v>
      </c>
      <c r="B34" s="59"/>
      <c r="C34" s="59"/>
      <c r="D34" s="60"/>
      <c r="E34" s="60"/>
      <c r="F34" s="60"/>
      <c r="G34" s="60"/>
      <c r="H34" s="60"/>
    </row>
    <row r="35" spans="1:13" ht="15">
      <c r="A35" s="61" t="s">
        <v>88</v>
      </c>
      <c r="B35" s="62"/>
      <c r="C35" s="62"/>
      <c r="D35" s="63"/>
      <c r="E35" s="63"/>
      <c r="F35" s="63"/>
      <c r="G35" s="63"/>
      <c r="H35" s="63"/>
      <c r="I35" s="64"/>
    </row>
    <row r="36" spans="1:13" ht="15.75">
      <c r="A36" s="65"/>
    </row>
    <row r="37" spans="1:13">
      <c r="A37" s="141" t="s">
        <v>89</v>
      </c>
      <c r="B37" s="141"/>
      <c r="C37" s="141"/>
      <c r="D37" s="141"/>
      <c r="E37" s="141"/>
      <c r="F37" s="141"/>
      <c r="G37" s="141"/>
      <c r="H37" s="141"/>
      <c r="I37" s="66"/>
      <c r="J37" s="66"/>
      <c r="K37" s="66"/>
      <c r="L37" s="66"/>
      <c r="M37" s="66"/>
    </row>
    <row r="38" spans="1:13" ht="15.75">
      <c r="A38" s="65"/>
      <c r="C38" s="67"/>
    </row>
    <row r="39" spans="1:13" ht="15.75">
      <c r="A39" s="65"/>
      <c r="C39" s="67"/>
    </row>
    <row r="41" spans="1:13" ht="12" customHeight="1"/>
  </sheetData>
  <mergeCells count="37">
    <mergeCell ref="A31:F31"/>
    <mergeCell ref="A32:F32"/>
    <mergeCell ref="A33:F33"/>
    <mergeCell ref="A37:H37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B25:C25"/>
    <mergeCell ref="B29:C29"/>
    <mergeCell ref="B30:C30"/>
    <mergeCell ref="B11:C11"/>
    <mergeCell ref="B12:C12"/>
    <mergeCell ref="B26:C26"/>
    <mergeCell ref="B27:C27"/>
    <mergeCell ref="B28:C28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2025-12-15T11:11:19Z</cp:lastPrinted>
  <dcterms:created xsi:type="dcterms:W3CDTF">2024-10-20T11:50:19Z</dcterms:created>
  <dcterms:modified xsi:type="dcterms:W3CDTF">2025-12-15T11:12:18Z</dcterms:modified>
</cp:coreProperties>
</file>