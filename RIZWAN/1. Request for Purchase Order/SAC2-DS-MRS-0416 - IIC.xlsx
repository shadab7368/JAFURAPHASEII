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7A6E10F-279F-4994-A2F5-728644468281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J7" i="1"/>
  <c r="E3" i="1"/>
  <c r="C26" i="3" l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<sst xmlns="http://schemas.openxmlformats.org/spreadsheetml/2006/main" count="168" uniqueCount="138">
  <si>
    <t>Vendor Name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</si>
  <si>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</si>
  <si>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</si>
  <si>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</si>
  <si>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</si>
  <si>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</si>
  <si>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</si>
  <si>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</si>
  <si>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</si>
  <si>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</si>
  <si>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</si>
  <si>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</si>
  <si>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</si>
  <si>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</si>
  <si>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</si>
  <si>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</si>
  <si>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</si>
  <si>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</si>
  <si>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</si>
  <si>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</si>
  <si>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</si>
  <si>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</si>
  <si>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</si>
  <si>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</si>
  <si>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</si>
  <si>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</si>
  <si>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</si>
  <si>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</si>
  <si>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</si>
  <si>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</si>
  <si>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</si>
  <si>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</si>
  <si>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</si>
  <si>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</si>
  <si>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</si>
  <si>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</si>
  <si>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</si>
  <si>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</si>
  <si>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</si>
  <si>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</si>
  <si>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</si>
  <si>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</si>
  <si>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</si>
  <si>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</si>
  <si>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</si>
  <si>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</si>
  <si>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</si>
  <si>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</si>
  <si>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</si>
  <si>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</si>
  <si>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</si>
  <si>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</si>
  <si>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</si>
  <si>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</si>
  <si>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</si>
  <si>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</si>
  <si>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</si>
  <si>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</si>
  <si>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</si>
  <si>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</si>
  <si>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</si>
  <si>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</si>
  <si>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</si>
  <si>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</si>
  <si>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</si>
  <si>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</si>
  <si>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</si>
  <si>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</si>
  <si>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</si>
  <si>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</si>
  <si>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</si>
  <si>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</si>
  <si>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</si>
  <si>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</si>
  <si>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</si>
  <si>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</si>
  <si>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</si>
  <si>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Month</t>
    <phoneticPr fontId="11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</si>
  <si>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</si>
  <si>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</si>
  <si>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</si>
  <si>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4" type="noConversion"/>
  </si>
  <si>
    <t>Unit Price (SAR)
(Exclude VAT)</t>
    <phoneticPr fontId="7" type="noConversion"/>
  </si>
  <si>
    <t>Total Price (SAR)
(Exclude VAT)</t>
    <phoneticPr fontId="7" type="noConversion"/>
  </si>
  <si>
    <t>Monthly Based</t>
  </si>
  <si>
    <t>DAESHIN PLANT</t>
    <phoneticPr fontId="8" type="noConversion"/>
  </si>
  <si>
    <t xml:space="preserve">  PJT :  SACE2           </t>
    <phoneticPr fontId="8" type="noConversion"/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</si>
  <si>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</si>
  <si>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</si>
  <si>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</si>
  <si>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</si>
  <si>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</si>
  <si>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</si>
  <si>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</si>
  <si>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</si>
  <si>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</si>
  <si>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</si>
  <si>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</si>
  <si>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</si>
  <si>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</si>
  <si>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SAUDI NATIONAL BANK</t>
  </si>
  <si>
    <t>NCBKSAJE</t>
  </si>
  <si>
    <t>IIC</t>
  </si>
  <si>
    <t xml:space="preserve"> CR No. :</t>
    <phoneticPr fontId="8" type="noConversion"/>
  </si>
  <si>
    <t xml:space="preserve">2055011426 </t>
  </si>
  <si>
    <t xml:space="preserve"> VAT No. : </t>
    <phoneticPr fontId="8" type="noConversion"/>
  </si>
  <si>
    <t>310793666100003</t>
  </si>
  <si>
    <t xml:space="preserve"> In Charge :</t>
    <phoneticPr fontId="8" type="noConversion"/>
  </si>
  <si>
    <t>P.O. Box 2654 Al-Jubail 31951</t>
  </si>
  <si>
    <t>IIC(Independent Innovation Gen. Cont. Co. LLC)</t>
  </si>
  <si>
    <t>Umar Farooq</t>
  </si>
  <si>
    <t>+966 53 910 3779 /  Email:umar@iigcest.com</t>
  </si>
  <si>
    <t>Mobile : +966 53 910 3779</t>
  </si>
  <si>
    <t>SA04 1000 0006 5772 2100 0105</t>
  </si>
  <si>
    <t>06577221000105</t>
  </si>
  <si>
    <t>Head of Equipment Division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</si>
  <si>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-MRS-0416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</si>
  <si>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</si>
  <si>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</si>
  <si>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RT Crane</t>
  </si>
  <si>
    <t>110 Ton with Aramco Certified Operator</t>
  </si>
  <si>
    <t>RT Crane Mob &amp; De-Mob. Charge</t>
  </si>
  <si>
    <t>Mob. &amp; De-Mob. / per unit - lump sum</t>
  </si>
  <si>
    <t>L / S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</si>
  <si>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</si>
  <si>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</si>
  <si>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</si>
  <si>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</si>
  <si>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</si>
  <si>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</si>
  <si>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</si>
  <si>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</si>
  <si>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</si>
  <si>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</si>
  <si>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</si>
  <si>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</si>
  <si>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INDEPENDENT INNOVATION CONTRACT EST</t>
  </si>
  <si>
    <t>IIC-EQUO-2026-5850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</si>
</sst>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31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2" fillId="3" borderId="0" xfId="5" quotePrefix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3" fillId="2" borderId="0" xfId="1" applyFill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31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2 2" xfId="28" xr:uid="{01578C3F-8F9E-42AD-A855-D81F0293BF0D}"/>
    <cellStyle name="쉼표 [0] 2 2 3" xfId="12" xr:uid="{9961464D-49CC-42FF-A79A-4236B21516A7}"/>
    <cellStyle name="쉼표 [0] 2 2 3 2" xfId="24" xr:uid="{D4D3392D-04F6-4083-BAEC-09B500E1C039}"/>
    <cellStyle name="쉼표 [0] 2 2 4" xfId="20" xr:uid="{0F1B4328-CAA3-47CA-A5A9-251113EF7B03}"/>
    <cellStyle name="쉼표 2" xfId="9" xr:uid="{F2A3A689-A30F-4FCA-9C51-F28F11796A46}"/>
    <cellStyle name="쉼표 2 2" xfId="18" xr:uid="{3B61A4FC-7502-4F0B-BBCD-9289E590F517}"/>
    <cellStyle name="쉼표 2 2 2" xfId="30" xr:uid="{A627ABC6-E455-4821-BB8F-DD7DA2F8BB75}"/>
    <cellStyle name="쉼표 2 3" xfId="14" xr:uid="{AD8851D0-F386-454F-9F4F-643E5BD4A6A6}"/>
    <cellStyle name="쉼표 2 3 2" xfId="26" xr:uid="{4142D74C-2291-4CAA-A3C3-9D57C0F95378}"/>
    <cellStyle name="쉼표 2 4" xfId="22" xr:uid="{BD9E04F6-3D7B-431B-8107-1C113D68F200}"/>
    <cellStyle name="표준 2 2" xfId="2" xr:uid="{12B761D3-4229-4E14-8168-D5975293A996}"/>
    <cellStyle name="표준 2 2 2" xfId="15" xr:uid="{F337407C-0FD2-46A6-95DF-C1E2DED6E687}"/>
    <cellStyle name="표준 2 2 2 2" xfId="27" xr:uid="{2E7253E1-7555-49F0-8C5D-CDDC14655E4E}"/>
    <cellStyle name="표준 2 2 3" xfId="11" xr:uid="{3AC3C823-B896-40EF-A224-30F2537C37BB}"/>
    <cellStyle name="표준 2 2 3 2" xfId="23" xr:uid="{14F2F017-6A11-4A8D-B344-72CF1A04601E}"/>
    <cellStyle name="표준 2 2 4" xfId="19" xr:uid="{DD3A8A31-41B6-4D2C-95C3-F0EC7D2D1131}"/>
    <cellStyle name="표준 2 3 2 2" xfId="5" xr:uid="{BD51BFCC-3D36-446B-BE80-7856DF8371E9}"/>
    <cellStyle name="표준 2 3 2 2 2" xfId="17" xr:uid="{B9B2D054-D5A8-450E-A1C1-80807A9BB7D4}"/>
    <cellStyle name="표준 2 3 2 2 2 2" xfId="29" xr:uid="{38CDDD11-AC1C-4F5F-8F0F-E0B6002A3F0E}"/>
    <cellStyle name="표준 2 3 2 2 3" xfId="13" xr:uid="{0947CE48-AB5D-4908-90F6-CDE2EB84A247}"/>
    <cellStyle name="표준 2 3 2 2 3 2" xfId="25" xr:uid="{3CDF9D11-62EB-40AE-81CC-8E0CF4656070}"/>
    <cellStyle name="표준 2 3 2 2 4" xfId="21" xr:uid="{A539C216-0DDC-46A6-BCC9-1355237D59B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902369</xdr:colOff>
          <xdr:row>16</xdr:row>
          <xdr:rowOff>229603</xdr:rowOff>
        </xdr:from>
        <xdr:to>
          <xdr:col>11</xdr:col>
          <xdr:colOff>1562100</xdr:colOff>
          <xdr:row>23</xdr:row>
          <xdr:rowOff>411194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24CF74F-9719-52F5-0BD8-4E4BFEB9CB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6" spid="_x0000_s11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94448" y="4671261"/>
              <a:ext cx="8269705" cy="2537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0" t="s">
        <v>117</v>
      </c>
      <c r="B1" s="121"/>
      <c r="C1" s="103"/>
      <c r="D1" s="103"/>
      <c r="E1" s="103"/>
      <c r="F1" s="103"/>
      <c r="G1" s="1"/>
      <c r="J1" s="156" t="s">
        <v>85</v>
      </c>
      <c r="K1" s="157"/>
      <c r="L1" s="158"/>
    </row>
    <row r="2" spans="1:19" ht="20.100000000000001" customHeight="1">
      <c r="A2" s="3" t="s">
        <v>86</v>
      </c>
      <c r="B2" s="94"/>
      <c r="C2" s="94"/>
      <c r="D2" s="3" t="s">
        <v>118</v>
      </c>
      <c r="E2" s="94"/>
      <c r="F2" s="94"/>
      <c r="G2" s="94"/>
      <c r="H2" s="94"/>
      <c r="I2" s="4"/>
      <c r="J2" s="159" t="s">
        <v>87</v>
      </c>
      <c r="K2" s="160"/>
      <c r="L2" s="161"/>
    </row>
    <row r="3" spans="1:19" ht="20.100000000000001" customHeight="1">
      <c r="A3" s="3" t="s">
        <v>116</v>
      </c>
      <c r="B3" s="94"/>
      <c r="C3" s="94"/>
      <c r="D3" s="94"/>
      <c r="E3" s="162">
        <f>+L3+3</f>
        <v>46254</v>
      </c>
      <c r="F3" s="162"/>
      <c r="G3" s="162"/>
      <c r="H3" s="162"/>
      <c r="I3" s="162"/>
      <c r="J3" s="94"/>
      <c r="K3" s="94"/>
      <c r="L3" s="122">
        <v>46251</v>
      </c>
      <c r="M3" s="4"/>
    </row>
    <row r="4" spans="1:19" ht="15.95" customHeight="1">
      <c r="A4" s="163" t="s">
        <v>1</v>
      </c>
      <c r="B4" s="164" t="s">
        <v>2</v>
      </c>
      <c r="C4" s="164"/>
      <c r="D4" s="165" t="s">
        <v>3</v>
      </c>
      <c r="E4" s="166"/>
      <c r="F4" s="167"/>
      <c r="G4" s="171" t="s">
        <v>4</v>
      </c>
      <c r="H4" s="173" t="s">
        <v>5</v>
      </c>
      <c r="I4" s="173" t="s">
        <v>82</v>
      </c>
      <c r="J4" s="163" t="s">
        <v>83</v>
      </c>
      <c r="K4" s="173" t="s">
        <v>0</v>
      </c>
      <c r="L4" s="164" t="s">
        <v>6</v>
      </c>
    </row>
    <row r="5" spans="1:19" ht="15.95" customHeight="1">
      <c r="A5" s="163"/>
      <c r="B5" s="164"/>
      <c r="C5" s="164"/>
      <c r="D5" s="168"/>
      <c r="E5" s="169"/>
      <c r="F5" s="170"/>
      <c r="G5" s="172"/>
      <c r="H5" s="174"/>
      <c r="I5" s="174"/>
      <c r="J5" s="163"/>
      <c r="K5" s="174"/>
      <c r="L5" s="164"/>
    </row>
    <row r="6" spans="1:19" ht="33.75" customHeight="1">
      <c r="A6" s="5">
        <f t="shared" ref="A6:A15" si="0">ROW(A1)</f>
        <v>1</v>
      </c>
      <c r="B6" s="145" t="s">
        <v>119</v>
      </c>
      <c r="C6" s="146"/>
      <c r="D6" s="147" t="s">
        <v>120</v>
      </c>
      <c r="E6" s="148"/>
      <c r="F6" s="149"/>
      <c r="G6" s="104" t="s">
        <v>77</v>
      </c>
      <c r="H6" s="105">
        <v>1</v>
      </c>
      <c r="I6" s="106">
        <v>90000</v>
      </c>
      <c r="J6" s="106">
        <f>H6*I6</f>
        <v>90000</v>
      </c>
      <c r="K6" s="107" t="s">
        <v>102</v>
      </c>
      <c r="L6" s="108" t="s">
        <v>84</v>
      </c>
      <c r="S6" s="99"/>
    </row>
    <row r="7" spans="1:19" ht="34.5" customHeight="1">
      <c r="A7" s="5">
        <f t="shared" si="0"/>
        <v>2</v>
      </c>
      <c r="B7" s="145" t="s">
        <v>121</v>
      </c>
      <c r="C7" s="146"/>
      <c r="D7" s="155" t="s">
        <v>122</v>
      </c>
      <c r="E7" s="148"/>
      <c r="F7" s="149"/>
      <c r="G7" s="104" t="s">
        <v>123</v>
      </c>
      <c r="H7" s="105">
        <v>2</v>
      </c>
      <c r="I7" s="106">
        <v>4000</v>
      </c>
      <c r="J7" s="106">
        <f>H7*I7</f>
        <v>8000</v>
      </c>
      <c r="K7" s="107"/>
      <c r="L7" s="108"/>
      <c r="S7" s="99"/>
    </row>
    <row r="8" spans="1:19" ht="22.5" customHeight="1">
      <c r="A8" s="5">
        <f t="shared" si="0"/>
        <v>3</v>
      </c>
      <c r="B8" s="145"/>
      <c r="C8" s="146"/>
      <c r="D8" s="147"/>
      <c r="E8" s="148"/>
      <c r="F8" s="149"/>
      <c r="G8" s="104"/>
      <c r="H8" s="105"/>
      <c r="I8" s="106"/>
      <c r="J8" s="106"/>
      <c r="K8" s="107"/>
      <c r="L8" s="108"/>
      <c r="S8" s="99"/>
    </row>
    <row r="9" spans="1:19" ht="22.5" customHeight="1">
      <c r="A9" s="5">
        <f t="shared" si="0"/>
        <v>4</v>
      </c>
      <c r="B9" s="145"/>
      <c r="C9" s="146"/>
      <c r="D9" s="155"/>
      <c r="E9" s="148"/>
      <c r="F9" s="149"/>
      <c r="G9" s="104"/>
      <c r="H9" s="105"/>
      <c r="I9" s="106"/>
      <c r="J9" s="106"/>
      <c r="K9" s="107"/>
      <c r="L9" s="108"/>
      <c r="S9" s="99"/>
    </row>
    <row r="10" spans="1:19" ht="22.5" customHeight="1">
      <c r="A10" s="5">
        <f t="shared" si="0"/>
        <v>5</v>
      </c>
      <c r="B10" s="153"/>
      <c r="C10" s="153"/>
      <c r="D10" s="154"/>
      <c r="E10" s="154"/>
      <c r="F10" s="154"/>
      <c r="G10" s="104"/>
      <c r="H10" s="105"/>
      <c r="I10" s="109"/>
      <c r="J10" s="106"/>
      <c r="K10" s="107"/>
      <c r="L10" s="104"/>
      <c r="S10" s="99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04"/>
      <c r="H11" s="105"/>
      <c r="I11" s="106"/>
      <c r="J11" s="106"/>
      <c r="K11" s="107"/>
      <c r="L11" s="108"/>
      <c r="S11" s="99"/>
    </row>
    <row r="12" spans="1:19" ht="22.5" customHeight="1">
      <c r="A12" s="5">
        <f t="shared" si="0"/>
        <v>7</v>
      </c>
      <c r="B12" s="153"/>
      <c r="C12" s="153"/>
      <c r="D12" s="154"/>
      <c r="E12" s="154"/>
      <c r="F12" s="154"/>
      <c r="G12" s="104"/>
      <c r="H12" s="105"/>
      <c r="I12" s="109"/>
      <c r="J12" s="106"/>
      <c r="K12" s="107"/>
      <c r="L12" s="104"/>
      <c r="S12" s="99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04"/>
      <c r="H13" s="105"/>
      <c r="I13" s="106"/>
      <c r="J13" s="106"/>
      <c r="K13" s="107"/>
      <c r="L13" s="108"/>
      <c r="S13" s="99"/>
    </row>
    <row r="14" spans="1:19" ht="22.5" hidden="1" customHeight="1">
      <c r="A14" s="5">
        <f t="shared" si="0"/>
        <v>9</v>
      </c>
      <c r="B14" s="145"/>
      <c r="C14" s="146"/>
      <c r="D14" s="147"/>
      <c r="E14" s="148"/>
      <c r="F14" s="149"/>
      <c r="G14" s="104"/>
      <c r="H14" s="105"/>
      <c r="I14" s="106"/>
      <c r="J14" s="106"/>
      <c r="K14" s="107"/>
      <c r="L14" s="108"/>
      <c r="S14" s="99"/>
    </row>
    <row r="15" spans="1:19" ht="22.5" hidden="1" customHeight="1">
      <c r="A15" s="5">
        <f t="shared" si="0"/>
        <v>10</v>
      </c>
      <c r="B15" s="145"/>
      <c r="C15" s="146"/>
      <c r="D15" s="147"/>
      <c r="E15" s="148"/>
      <c r="F15" s="149"/>
      <c r="G15" s="104"/>
      <c r="H15" s="105"/>
      <c r="I15" s="106"/>
      <c r="J15" s="106"/>
      <c r="K15" s="107"/>
      <c r="L15" s="108"/>
      <c r="S15" s="99"/>
    </row>
    <row r="16" spans="1:19" ht="22.5" customHeight="1">
      <c r="A16" s="150" t="s">
        <v>7</v>
      </c>
      <c r="B16" s="151"/>
      <c r="C16" s="110"/>
      <c r="D16" s="111"/>
      <c r="E16" s="111"/>
      <c r="F16" s="111"/>
      <c r="G16" s="112"/>
      <c r="H16" s="112"/>
      <c r="I16" s="113" t="s">
        <v>8</v>
      </c>
      <c r="J16" s="106">
        <f>SUM(J6:J15)</f>
        <v>98000</v>
      </c>
      <c r="K16" s="106"/>
      <c r="L16" s="114"/>
    </row>
    <row r="17" spans="1:26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23"/>
      <c r="J18" s="1"/>
      <c r="K18" s="1"/>
      <c r="O18" s="10"/>
      <c r="P18" s="10"/>
      <c r="Q18" s="10"/>
      <c r="R18" s="10"/>
      <c r="S18" s="10"/>
      <c r="T18" s="10"/>
      <c r="U18" s="10"/>
      <c r="V18" s="10"/>
      <c r="W18" s="10"/>
      <c r="Y18" s="179"/>
      <c r="Z18" s="10"/>
    </row>
    <row r="19" spans="1:26" ht="50.1" customHeight="1">
      <c r="Y19" s="180"/>
    </row>
    <row r="20" spans="1:26" ht="15" customHeight="1">
      <c r="O20" s="175" t="s">
        <v>124</v>
      </c>
      <c r="P20" s="181"/>
      <c r="Q20" s="181"/>
      <c r="R20" s="176"/>
      <c r="S20" s="125"/>
      <c r="T20" s="175" t="s">
        <v>125</v>
      </c>
      <c r="U20" s="181"/>
      <c r="V20" s="181"/>
      <c r="W20" s="181"/>
      <c r="X20" s="181"/>
      <c r="Y20" s="176"/>
    </row>
    <row r="21" spans="1:26" ht="15" customHeight="1">
      <c r="O21" s="152" t="s">
        <v>126</v>
      </c>
      <c r="P21" s="141" t="s">
        <v>127</v>
      </c>
      <c r="Q21" s="152" t="s">
        <v>128</v>
      </c>
      <c r="R21" s="141" t="s">
        <v>129</v>
      </c>
      <c r="S21" s="125"/>
      <c r="T21" s="152" t="s">
        <v>130</v>
      </c>
      <c r="U21" s="141" t="s">
        <v>131</v>
      </c>
      <c r="V21" s="175" t="s">
        <v>132</v>
      </c>
      <c r="W21" s="181"/>
      <c r="X21" s="176"/>
      <c r="Y21" s="141" t="s">
        <v>133</v>
      </c>
    </row>
    <row r="22" spans="1:26" ht="18" customHeight="1">
      <c r="O22" s="142"/>
      <c r="P22" s="143"/>
      <c r="Q22" s="142"/>
      <c r="R22" s="143"/>
      <c r="S22" s="126"/>
      <c r="T22" s="142"/>
      <c r="U22" s="143"/>
      <c r="V22" s="124" t="s">
        <v>126</v>
      </c>
      <c r="W22" s="182" t="s">
        <v>134</v>
      </c>
      <c r="X22" s="183"/>
      <c r="Y22" s="143"/>
    </row>
    <row r="23" spans="1:26" ht="50.1" customHeight="1">
      <c r="O23" s="11"/>
      <c r="P23" s="11"/>
      <c r="Q23" s="11"/>
      <c r="R23" s="11"/>
      <c r="S23" s="125"/>
      <c r="T23" s="11"/>
      <c r="U23" s="11"/>
      <c r="V23" s="11"/>
      <c r="W23" s="175"/>
      <c r="X23" s="176"/>
      <c r="Y23" s="127"/>
    </row>
    <row r="24" spans="1:26" ht="36" customHeight="1">
      <c r="W24" s="128"/>
      <c r="X24" s="177" t="s">
        <v>135</v>
      </c>
      <c r="Y24" s="119" t="s">
        <v>133</v>
      </c>
    </row>
    <row r="25" spans="1:26" ht="50.1" customHeight="1">
      <c r="O25" s="129"/>
      <c r="P25" s="129"/>
      <c r="Q25" s="129"/>
      <c r="R25" s="129"/>
      <c r="S25" s="129"/>
      <c r="T25" s="129"/>
      <c r="U25" s="129"/>
      <c r="V25" s="129"/>
      <c r="W25" s="130"/>
      <c r="X25" s="178"/>
      <c r="Y25" s="131"/>
    </row>
    <row r="26" spans="1:26" ht="19.899999999999999" customHeight="1"/>
    <row r="27" spans="1:26" ht="17.45" customHeight="1">
      <c r="O27" s="144"/>
      <c r="P27" s="144"/>
      <c r="Q27" s="144"/>
    </row>
    <row r="28" spans="1:26" ht="19.899999999999999" customHeight="1">
      <c r="O28" s="144"/>
      <c r="P28" s="144"/>
      <c r="Q28" s="144"/>
    </row>
    <row r="29" spans="1:26" ht="14.25">
      <c r="O29" s="10"/>
      <c r="P29" s="10"/>
      <c r="Q29" s="10"/>
    </row>
    <row r="30" spans="1:26" ht="65.099999999999994" customHeight="1"/>
    <row r="31" spans="1:26" ht="14.25">
      <c r="O31" s="10"/>
      <c r="P31" s="10"/>
      <c r="Q31" s="10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1" t="s">
        <v>11</v>
      </c>
    </row>
    <row r="41" spans="15:22" ht="19.899999999999999" customHeight="1">
      <c r="T41" s="143"/>
    </row>
    <row r="42" spans="15:22" ht="64.900000000000006" customHeight="1">
      <c r="T42" s="11"/>
    </row>
    <row r="46" spans="15:22" ht="21" customHeight="1">
      <c r="O46" s="141" t="s">
        <v>11</v>
      </c>
      <c r="P46" s="141" t="s">
        <v>11</v>
      </c>
      <c r="Q46" s="141" t="s">
        <v>11</v>
      </c>
      <c r="T46" s="141" t="s">
        <v>12</v>
      </c>
      <c r="U46" s="141" t="s">
        <v>10</v>
      </c>
      <c r="V46" s="141" t="s">
        <v>11</v>
      </c>
    </row>
    <row r="47" spans="15:22" ht="21" customHeight="1">
      <c r="O47" s="143"/>
      <c r="P47" s="143"/>
      <c r="Q47" s="143"/>
      <c r="T47" s="142"/>
      <c r="U47" s="142"/>
      <c r="V47" s="143"/>
    </row>
    <row r="48" spans="15:22" ht="64.900000000000006" customHeight="1">
      <c r="O48" s="11"/>
      <c r="P48" s="11"/>
      <c r="Q48" s="11"/>
      <c r="T48" s="11"/>
      <c r="U48" s="12"/>
      <c r="V48" s="11"/>
    </row>
    <row r="49" spans="15:22" ht="7.15" customHeight="1"/>
    <row r="50" spans="15:22" ht="21" customHeight="1">
      <c r="O50" s="141" t="s">
        <v>11</v>
      </c>
      <c r="P50" s="141" t="s">
        <v>11</v>
      </c>
      <c r="Q50" s="141" t="s">
        <v>11</v>
      </c>
      <c r="T50" s="141" t="s">
        <v>10</v>
      </c>
      <c r="U50" s="141" t="s">
        <v>12</v>
      </c>
      <c r="V50" s="141" t="s">
        <v>11</v>
      </c>
    </row>
    <row r="51" spans="15:22" ht="21" customHeight="1">
      <c r="O51" s="143"/>
      <c r="P51" s="143"/>
      <c r="Q51" s="143"/>
      <c r="T51" s="142"/>
      <c r="U51" s="142"/>
      <c r="V51" s="143"/>
    </row>
    <row r="52" spans="15:22" ht="64.900000000000006" customHeight="1">
      <c r="O52" s="11"/>
      <c r="P52" s="11"/>
      <c r="Q52" s="11"/>
      <c r="T52" s="12"/>
      <c r="U52" s="11"/>
      <c r="V52" s="11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2" t="s">
        <v>81</v>
      </c>
      <c r="B1" s="93"/>
      <c r="C1" s="93"/>
      <c r="D1" s="93"/>
      <c r="E1" s="93"/>
      <c r="F1" s="93"/>
      <c r="G1" s="1"/>
      <c r="J1" s="194" t="str">
        <f>+MRS!J1</f>
        <v>DAESHIN PLANT</v>
      </c>
      <c r="K1" s="195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3"/>
      <c r="H2" s="13"/>
      <c r="I2" s="13"/>
      <c r="J2" s="196" t="str">
        <f>+MRS!J2</f>
        <v>Subcontract name (SAC2-SC-IK-SMP-01)</v>
      </c>
      <c r="K2" s="197"/>
    </row>
    <row r="3" spans="1:18" ht="24.95" customHeight="1">
      <c r="A3" s="3" t="str">
        <f>+MRS!A3</f>
        <v xml:space="preserve">  MRS No : SAC2-DS-MRS-0416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46251</v>
      </c>
    </row>
    <row r="4" spans="1:18" ht="15.95" customHeight="1">
      <c r="A4" s="198" t="s">
        <v>1</v>
      </c>
      <c r="B4" s="199" t="s">
        <v>13</v>
      </c>
      <c r="C4" s="199"/>
      <c r="D4" s="198" t="s">
        <v>3</v>
      </c>
      <c r="E4" s="198"/>
      <c r="F4" s="198"/>
      <c r="G4" s="199" t="s">
        <v>4</v>
      </c>
      <c r="H4" s="198" t="s">
        <v>78</v>
      </c>
      <c r="I4" s="198" t="s">
        <v>14</v>
      </c>
      <c r="J4" s="198" t="s">
        <v>15</v>
      </c>
      <c r="K4" s="199" t="s">
        <v>6</v>
      </c>
    </row>
    <row r="5" spans="1:18" ht="15.95" customHeight="1">
      <c r="A5" s="198"/>
      <c r="B5" s="199"/>
      <c r="C5" s="199"/>
      <c r="D5" s="198"/>
      <c r="E5" s="198"/>
      <c r="F5" s="198"/>
      <c r="G5" s="199"/>
      <c r="H5" s="198"/>
      <c r="I5" s="198"/>
      <c r="J5" s="198"/>
      <c r="K5" s="199"/>
    </row>
    <row r="6" spans="1:18" ht="105" customHeight="1">
      <c r="A6" s="14">
        <f>+MRS!A6</f>
        <v>1</v>
      </c>
      <c r="B6" s="189" t="str">
        <f>MRS!B6</f>
        <v>RT Crane</v>
      </c>
      <c r="C6" s="190"/>
      <c r="D6" s="191" t="str">
        <f>MRS!D6</f>
        <v>110 Ton with Aramco Certified Operator</v>
      </c>
      <c r="E6" s="192"/>
      <c r="F6" s="193"/>
      <c r="G6" s="96" t="str">
        <f>MRS!G6</f>
        <v>Month</v>
      </c>
      <c r="H6" s="96">
        <f>MRS!H6</f>
        <v>1</v>
      </c>
      <c r="I6" s="97">
        <f>MRS!I6</f>
        <v>90000</v>
      </c>
      <c r="J6" s="97">
        <f>MRS!J6</f>
        <v>90000</v>
      </c>
      <c r="K6" s="98"/>
      <c r="O6" s="99"/>
      <c r="P6" s="99"/>
      <c r="R6" s="99"/>
    </row>
    <row r="7" spans="1:18" ht="105" customHeight="1">
      <c r="A7" s="14">
        <f>+MRS!A7</f>
        <v>2</v>
      </c>
      <c r="B7" s="189" t="str">
        <f>MRS!B7</f>
        <v>RT Crane Mob &amp; De-Mob. Charge</v>
      </c>
      <c r="C7" s="190"/>
      <c r="D7" s="191" t="str">
        <f>MRS!D7</f>
        <v>Mob. &amp; De-Mob. / per unit - lump sum</v>
      </c>
      <c r="E7" s="192"/>
      <c r="F7" s="193"/>
      <c r="G7" s="96" t="str">
        <f>MRS!G7</f>
        <v>L / S</v>
      </c>
      <c r="H7" s="96">
        <f>MRS!H7</f>
        <v>2</v>
      </c>
      <c r="I7" s="97">
        <f>MRS!I7</f>
        <v>4000</v>
      </c>
      <c r="J7" s="97">
        <f>MRS!J7</f>
        <v>8000</v>
      </c>
      <c r="K7" s="98"/>
      <c r="O7" s="99"/>
      <c r="P7" s="99"/>
      <c r="R7" s="99"/>
    </row>
    <row r="8" spans="1:18" ht="105" customHeight="1">
      <c r="A8" s="14">
        <f>+MRS!A8</f>
        <v>3</v>
      </c>
      <c r="B8" s="189">
        <f>MRS!B8</f>
        <v>0</v>
      </c>
      <c r="C8" s="190"/>
      <c r="D8" s="191">
        <f>MRS!D8</f>
        <v>0</v>
      </c>
      <c r="E8" s="192"/>
      <c r="F8" s="193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4">
        <f>+MRS!A9</f>
        <v>4</v>
      </c>
      <c r="B9" s="184"/>
      <c r="C9" s="185"/>
      <c r="D9" s="186"/>
      <c r="E9" s="187"/>
      <c r="F9" s="188"/>
      <c r="G9" s="100"/>
      <c r="H9" s="101"/>
      <c r="I9" s="102"/>
      <c r="J9" s="102"/>
      <c r="K9" s="98"/>
      <c r="O9" s="99"/>
      <c r="P9" s="99"/>
      <c r="R9" s="99"/>
    </row>
    <row r="10" spans="1:18" ht="105" customHeight="1">
      <c r="A10" s="14">
        <f>+MRS!A10</f>
        <v>5</v>
      </c>
      <c r="B10" s="184"/>
      <c r="C10" s="185"/>
      <c r="D10" s="186"/>
      <c r="E10" s="187"/>
      <c r="F10" s="188"/>
      <c r="G10" s="100"/>
      <c r="H10" s="101"/>
      <c r="I10" s="102"/>
      <c r="J10" s="102"/>
      <c r="K10" s="98"/>
      <c r="O10" s="99"/>
      <c r="P10" s="99"/>
      <c r="R10" s="99"/>
    </row>
    <row r="11" spans="1:18" ht="105" customHeight="1">
      <c r="A11" s="14">
        <f>+MRS!A11</f>
        <v>6</v>
      </c>
      <c r="B11" s="184"/>
      <c r="C11" s="185"/>
      <c r="D11" s="186"/>
      <c r="E11" s="187"/>
      <c r="F11" s="188"/>
      <c r="G11" s="100"/>
      <c r="H11" s="101"/>
      <c r="I11" s="102"/>
      <c r="J11" s="102"/>
      <c r="K11" s="98"/>
      <c r="O11" s="99"/>
      <c r="P11" s="99"/>
      <c r="R11" s="99"/>
    </row>
    <row r="12" spans="1:18" ht="105" customHeight="1">
      <c r="A12" s="14">
        <f>+MRS!A12</f>
        <v>7</v>
      </c>
      <c r="B12" s="184"/>
      <c r="C12" s="185"/>
      <c r="D12" s="186"/>
      <c r="E12" s="187"/>
      <c r="F12" s="188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4">
        <f>+MRS!A13</f>
        <v>8</v>
      </c>
      <c r="B13" s="184"/>
      <c r="C13" s="185"/>
      <c r="D13" s="186"/>
      <c r="E13" s="187"/>
      <c r="F13" s="188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4">
        <f>+MRS!A14</f>
        <v>9</v>
      </c>
      <c r="B14" s="184"/>
      <c r="C14" s="185"/>
      <c r="D14" s="186"/>
      <c r="E14" s="187"/>
      <c r="F14" s="188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4">
        <f>+MRS!A15</f>
        <v>10</v>
      </c>
      <c r="B15" s="184"/>
      <c r="C15" s="185"/>
      <c r="D15" s="186"/>
      <c r="E15" s="187"/>
      <c r="F15" s="188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4" t="e">
        <f>+MRS!#REF!</f>
        <v>#REF!</v>
      </c>
      <c r="B16" s="184"/>
      <c r="C16" s="185"/>
      <c r="D16" s="186"/>
      <c r="E16" s="187"/>
      <c r="F16" s="188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4" t="e">
        <f>+MRS!#REF!</f>
        <v>#REF!</v>
      </c>
      <c r="B17" s="184"/>
      <c r="C17" s="185"/>
      <c r="D17" s="186"/>
      <c r="E17" s="187"/>
      <c r="F17" s="188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I74" sqref="I74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10" width="9.140625" style="19"/>
    <col min="11" max="11" width="9.4257812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90</v>
      </c>
    </row>
    <row r="3" spans="2:13" s="15" customFormat="1">
      <c r="M3" s="17" t="s">
        <v>16</v>
      </c>
    </row>
    <row r="4" spans="2:13" s="15" customFormat="1">
      <c r="M4" s="17" t="s">
        <v>17</v>
      </c>
    </row>
    <row r="5" spans="2:13" s="15" customFormat="1">
      <c r="B5" s="18" t="s">
        <v>18</v>
      </c>
      <c r="M5" s="17" t="s">
        <v>19</v>
      </c>
    </row>
    <row r="6" spans="2:13" s="15" customFormat="1">
      <c r="M6" s="17" t="s">
        <v>20</v>
      </c>
    </row>
    <row r="7" spans="2:13">
      <c r="M7" s="20"/>
    </row>
    <row r="8" spans="2:13">
      <c r="M8" s="20"/>
    </row>
    <row r="9" spans="2:13" s="67" customFormat="1" ht="13.5">
      <c r="B9" s="65" t="s">
        <v>21</v>
      </c>
      <c r="C9" s="66" t="s">
        <v>109</v>
      </c>
      <c r="D9" s="32"/>
      <c r="E9" s="32"/>
    </row>
    <row r="10" spans="2:13" s="32" customFormat="1">
      <c r="B10" s="65"/>
      <c r="C10" s="32" t="s">
        <v>103</v>
      </c>
      <c r="D10" s="69" t="s">
        <v>104</v>
      </c>
      <c r="J10" s="32" t="s">
        <v>22</v>
      </c>
      <c r="K10" s="133">
        <f>MRS!L3</f>
        <v>46251</v>
      </c>
      <c r="L10" s="134"/>
      <c r="M10" s="134"/>
    </row>
    <row r="11" spans="2:13" s="32" customFormat="1">
      <c r="B11" s="65"/>
      <c r="C11" s="68" t="s">
        <v>105</v>
      </c>
      <c r="D11" s="69" t="s">
        <v>106</v>
      </c>
      <c r="J11" s="32" t="s">
        <v>23</v>
      </c>
      <c r="K11" s="135" t="str">
        <f>SUBSTITUTE(SUBSTITUTE(+MRS!A3,"  MRS No : ",""),"-MRS","-PO")</f>
        <v>SAC2-DS-PO-0416</v>
      </c>
      <c r="L11" s="135"/>
      <c r="M11" s="135"/>
    </row>
    <row r="12" spans="2:13" s="32" customFormat="1">
      <c r="B12" s="65"/>
      <c r="C12" s="68" t="s">
        <v>107</v>
      </c>
      <c r="D12" s="32" t="s">
        <v>110</v>
      </c>
      <c r="J12" s="32" t="s">
        <v>24</v>
      </c>
    </row>
    <row r="13" spans="2:13" s="32" customFormat="1">
      <c r="B13" s="65"/>
      <c r="C13" s="70"/>
      <c r="D13" s="69" t="s">
        <v>111</v>
      </c>
      <c r="J13" s="32" t="s">
        <v>25</v>
      </c>
    </row>
    <row r="14" spans="2:13" s="32" customFormat="1">
      <c r="B14" s="65"/>
      <c r="C14" s="70" t="s">
        <v>108</v>
      </c>
      <c r="J14" s="32" t="s">
        <v>26</v>
      </c>
      <c r="K14" s="32" t="s">
        <v>137</v>
      </c>
    </row>
    <row r="15" spans="2:13" s="32" customFormat="1">
      <c r="B15" s="65"/>
      <c r="C15" s="70" t="s">
        <v>112</v>
      </c>
      <c r="J15" s="32" t="s">
        <v>27</v>
      </c>
      <c r="K15" s="71">
        <v>46244</v>
      </c>
    </row>
    <row r="16" spans="2:13" s="32" customFormat="1">
      <c r="C16" s="70"/>
      <c r="K16" s="71"/>
    </row>
    <row r="17" spans="2:13" ht="12" customHeight="1">
      <c r="C17" s="22"/>
      <c r="K17" s="23"/>
    </row>
    <row r="18" spans="2:13" ht="20.25">
      <c r="B18" s="136" t="s">
        <v>28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</row>
    <row r="19" spans="2:13" ht="12" customHeight="1"/>
    <row r="20" spans="2:13" s="24" customFormat="1" ht="12" customHeight="1">
      <c r="B20" s="137" t="s">
        <v>29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</row>
    <row r="21" spans="2:13" s="24" customFormat="1" ht="12" customHeight="1">
      <c r="B21" s="137" t="s">
        <v>30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</row>
    <row r="22" spans="2:13" s="24" customFormat="1" ht="12" customHeight="1">
      <c r="B22" s="137" t="s">
        <v>31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</row>
    <row r="23" spans="2:13" ht="6.95" customHeight="1"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2:13" ht="6.95" customHeight="1"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</row>
    <row r="25" spans="2:13" s="25" customFormat="1" ht="15" customHeight="1">
      <c r="B25" s="25">
        <v>1</v>
      </c>
      <c r="C25" s="25" t="s">
        <v>32</v>
      </c>
    </row>
    <row r="26" spans="2:13" s="32" customFormat="1" ht="12" customHeight="1">
      <c r="B26" s="66"/>
      <c r="C26" s="115" t="str">
        <f>_xlfn.CONCAT(MRS!B6," ",MRS!D6)</f>
        <v>RT Crane 110 Ton with Aramco Certified Operator</v>
      </c>
      <c r="M26" s="72" t="s">
        <v>33</v>
      </c>
    </row>
    <row r="27" spans="2:13" ht="11.1" customHeight="1">
      <c r="B27" s="25"/>
      <c r="C27" s="117"/>
    </row>
    <row r="28" spans="2:13" ht="15" customHeight="1">
      <c r="B28" s="25">
        <v>2</v>
      </c>
      <c r="C28" s="25" t="s">
        <v>34</v>
      </c>
    </row>
    <row r="29" spans="2:13" ht="12" customHeight="1">
      <c r="B29" s="25"/>
      <c r="C29" s="19" t="s">
        <v>35</v>
      </c>
      <c r="E29" s="19" t="s">
        <v>36</v>
      </c>
      <c r="F29" s="140" t="s">
        <v>84</v>
      </c>
      <c r="G29" s="140"/>
      <c r="H29" s="26"/>
      <c r="M29" s="27"/>
    </row>
    <row r="30" spans="2:13" ht="12" customHeight="1">
      <c r="B30" s="25"/>
      <c r="C30" s="19" t="s">
        <v>37</v>
      </c>
      <c r="E30" s="19" t="s">
        <v>36</v>
      </c>
      <c r="F30" s="140"/>
      <c r="G30" s="140"/>
    </row>
    <row r="31" spans="2:13" ht="12" customHeight="1">
      <c r="B31" s="25"/>
      <c r="C31" s="19" t="s">
        <v>38</v>
      </c>
      <c r="D31" s="28"/>
      <c r="E31" s="19" t="s">
        <v>36</v>
      </c>
      <c r="F31" s="140"/>
      <c r="G31" s="140"/>
      <c r="H31" s="26"/>
    </row>
    <row r="32" spans="2:13" ht="11.1" customHeight="1">
      <c r="B32" s="25"/>
    </row>
    <row r="33" spans="2:13" ht="15" customHeight="1">
      <c r="B33" s="25">
        <v>3</v>
      </c>
      <c r="C33" s="25" t="s">
        <v>39</v>
      </c>
    </row>
    <row r="34" spans="2:13" ht="12" customHeight="1">
      <c r="B34" s="25"/>
      <c r="C34" s="15" t="s">
        <v>40</v>
      </c>
    </row>
    <row r="35" spans="2:13" ht="12" customHeight="1">
      <c r="B35" s="25"/>
      <c r="C35" s="15" t="s">
        <v>41</v>
      </c>
    </row>
    <row r="36" spans="2:13" ht="12" customHeight="1">
      <c r="B36" s="25"/>
      <c r="C36" s="15" t="s">
        <v>42</v>
      </c>
    </row>
    <row r="37" spans="2:13" ht="11.1" customHeight="1">
      <c r="B37" s="25"/>
    </row>
    <row r="38" spans="2:13" ht="15" customHeight="1">
      <c r="B38" s="25">
        <v>4</v>
      </c>
      <c r="C38" s="25" t="s">
        <v>43</v>
      </c>
    </row>
    <row r="39" spans="2:13" ht="12" customHeight="1">
      <c r="B39" s="25"/>
      <c r="C39" s="19" t="s">
        <v>44</v>
      </c>
    </row>
    <row r="40" spans="2:13" ht="11.1" customHeight="1">
      <c r="B40" s="25"/>
    </row>
    <row r="41" spans="2:13" ht="15" customHeight="1">
      <c r="B41" s="25">
        <v>5</v>
      </c>
      <c r="C41" s="25" t="s">
        <v>45</v>
      </c>
    </row>
    <row r="42" spans="2:13" ht="12" customHeight="1">
      <c r="B42" s="25"/>
      <c r="C42" s="29" t="s">
        <v>46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2" customHeight="1">
      <c r="B43" s="25"/>
      <c r="C43" s="29" t="s">
        <v>47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2" customHeight="1">
      <c r="B44" s="25"/>
      <c r="C44" s="29" t="s">
        <v>48</v>
      </c>
      <c r="D44" s="30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2" customHeight="1">
      <c r="B45" s="25"/>
      <c r="C45" s="29" t="s">
        <v>49</v>
      </c>
      <c r="D45" s="30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2" customHeight="1">
      <c r="B46" s="25"/>
      <c r="C46" s="32" t="s">
        <v>50</v>
      </c>
      <c r="D46" s="33"/>
      <c r="E46" s="34"/>
      <c r="F46" s="34"/>
      <c r="G46" s="34"/>
      <c r="H46" s="34"/>
      <c r="I46" s="34"/>
      <c r="J46" s="34"/>
      <c r="K46" s="34"/>
      <c r="L46" s="34"/>
      <c r="M46" s="34"/>
    </row>
    <row r="47" spans="2:13" ht="11.1" customHeight="1">
      <c r="B47" s="25"/>
    </row>
    <row r="48" spans="2:13" ht="15" customHeight="1">
      <c r="B48" s="25">
        <v>6</v>
      </c>
      <c r="C48" s="25" t="s">
        <v>51</v>
      </c>
    </row>
    <row r="49" spans="2:16" s="32" customFormat="1" ht="12" customHeight="1">
      <c r="B49" s="73" t="s">
        <v>52</v>
      </c>
      <c r="C49" s="74" t="s">
        <v>88</v>
      </c>
      <c r="P49" s="75"/>
    </row>
    <row r="50" spans="2:16" s="76" customFormat="1" ht="12" customHeight="1">
      <c r="B50" s="77" t="s">
        <v>52</v>
      </c>
      <c r="C50" s="74" t="s">
        <v>80</v>
      </c>
    </row>
    <row r="51" spans="2:16" s="76" customFormat="1" ht="12" customHeight="1">
      <c r="B51" s="77" t="s">
        <v>52</v>
      </c>
      <c r="C51" s="74" t="s">
        <v>79</v>
      </c>
    </row>
    <row r="52" spans="2:16" s="76" customFormat="1" ht="6" customHeight="1">
      <c r="B52" s="77"/>
      <c r="C52" s="74"/>
    </row>
    <row r="53" spans="2:16" ht="15" customHeight="1">
      <c r="B53" s="35">
        <v>7</v>
      </c>
      <c r="C53" s="25" t="s">
        <v>91</v>
      </c>
    </row>
    <row r="54" spans="2:16" ht="12" customHeight="1">
      <c r="B54" s="77" t="s">
        <v>52</v>
      </c>
      <c r="C54" s="116" t="s">
        <v>92</v>
      </c>
      <c r="F54" s="19" t="s">
        <v>136</v>
      </c>
      <c r="P54" s="19" t="str">
        <f>UPPER(F54)</f>
        <v>INDEPENDENT INNOVATION CONTRACT EST</v>
      </c>
    </row>
    <row r="55" spans="2:16" ht="12" customHeight="1">
      <c r="B55" s="77" t="s">
        <v>52</v>
      </c>
      <c r="C55" s="116" t="s">
        <v>93</v>
      </c>
      <c r="F55" s="117" t="s">
        <v>114</v>
      </c>
    </row>
    <row r="56" spans="2:16" ht="12" customHeight="1">
      <c r="B56" s="77" t="s">
        <v>52</v>
      </c>
      <c r="C56" s="116" t="s">
        <v>94</v>
      </c>
      <c r="F56" s="117" t="s">
        <v>113</v>
      </c>
    </row>
    <row r="57" spans="2:16" ht="12" customHeight="1">
      <c r="B57" s="77" t="s">
        <v>52</v>
      </c>
      <c r="C57" s="116" t="s">
        <v>95</v>
      </c>
      <c r="F57" s="19" t="s">
        <v>100</v>
      </c>
    </row>
    <row r="58" spans="2:16" ht="12" customHeight="1">
      <c r="B58" s="77" t="s">
        <v>52</v>
      </c>
      <c r="C58" s="116" t="s">
        <v>96</v>
      </c>
      <c r="F58" s="19" t="s">
        <v>101</v>
      </c>
    </row>
    <row r="59" spans="2:16" ht="12" customHeight="1">
      <c r="B59" s="77" t="s">
        <v>52</v>
      </c>
      <c r="C59" s="116" t="s">
        <v>97</v>
      </c>
      <c r="F59" s="19" t="s">
        <v>98</v>
      </c>
    </row>
    <row r="60" spans="2:16" ht="12" customHeight="1">
      <c r="B60" s="77"/>
      <c r="C60" s="116" t="s">
        <v>99</v>
      </c>
    </row>
    <row r="61" spans="2:16" ht="3" customHeight="1"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2:16" ht="3" customHeight="1">
      <c r="B62" s="25"/>
    </row>
    <row r="63" spans="2:16" ht="7.5" customHeight="1">
      <c r="B63" s="35"/>
    </row>
    <row r="64" spans="2:16">
      <c r="B64" s="25" t="s">
        <v>53</v>
      </c>
      <c r="J64" s="25" t="s">
        <v>54</v>
      </c>
    </row>
    <row r="65" spans="1:13" ht="42.75" customHeight="1"/>
    <row r="66" spans="1:13" ht="18" customHeight="1">
      <c r="B66" s="19" t="s">
        <v>55</v>
      </c>
      <c r="J66" s="19" t="s">
        <v>55</v>
      </c>
    </row>
    <row r="67" spans="1:13" ht="18" customHeight="1">
      <c r="B67" s="19" t="s">
        <v>56</v>
      </c>
      <c r="J67" s="19" t="s">
        <v>57</v>
      </c>
      <c r="K67" s="15" t="str">
        <f>UPPER(D12)</f>
        <v>UMAR FAROOQ</v>
      </c>
    </row>
    <row r="68" spans="1:13" ht="18" customHeight="1">
      <c r="B68" s="19" t="s">
        <v>58</v>
      </c>
      <c r="J68" s="19" t="s">
        <v>59</v>
      </c>
      <c r="K68" s="15" t="s">
        <v>115</v>
      </c>
    </row>
    <row r="69" spans="1:13" ht="15" customHeight="1">
      <c r="B69" s="19" t="s">
        <v>60</v>
      </c>
      <c r="J69" s="19" t="s">
        <v>61</v>
      </c>
    </row>
    <row r="70" spans="1:13" s="21" customFormat="1" ht="15" customHeight="1">
      <c r="B70" s="18" t="s">
        <v>89</v>
      </c>
      <c r="J70" s="118" t="str">
        <f>C9</f>
        <v>IIC(Independent Innovation Gen. Cont. Co. LLC)</v>
      </c>
    </row>
    <row r="71" spans="1:13" ht="27.95" customHeight="1">
      <c r="A71" s="132" t="s">
        <v>62</v>
      </c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L12" sqref="L12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63</v>
      </c>
      <c r="B2" s="40" t="str">
        <f>+'PO 1st page'!K11</f>
        <v>SAC2-DS-PO-0416</v>
      </c>
      <c r="C2" s="206" t="s">
        <v>64</v>
      </c>
      <c r="D2" s="206"/>
      <c r="E2" s="206"/>
      <c r="F2" s="206"/>
      <c r="G2" s="41"/>
      <c r="H2" s="41"/>
    </row>
    <row r="3" spans="1:13" s="47" customFormat="1" ht="28.5" customHeight="1" thickBot="1">
      <c r="A3" s="42" t="s">
        <v>65</v>
      </c>
      <c r="B3" s="43">
        <f>+'PO 1st page'!K10</f>
        <v>46251</v>
      </c>
      <c r="C3" s="44"/>
      <c r="D3" s="45"/>
      <c r="E3" s="207" t="s">
        <v>66</v>
      </c>
      <c r="F3" s="207"/>
      <c r="G3" s="207"/>
      <c r="H3" s="207"/>
      <c r="I3" s="46"/>
    </row>
    <row r="4" spans="1:13" s="48" customFormat="1" ht="28.5" customHeight="1" thickTop="1">
      <c r="A4" s="208" t="s">
        <v>67</v>
      </c>
      <c r="B4" s="210" t="s">
        <v>68</v>
      </c>
      <c r="C4" s="211"/>
      <c r="D4" s="214" t="s">
        <v>69</v>
      </c>
      <c r="E4" s="214" t="s">
        <v>70</v>
      </c>
      <c r="F4" s="216" t="str">
        <f>'PO 1st page'!C9</f>
        <v>IIC(Independent Innovation Gen. Cont. Co. LLC)</v>
      </c>
      <c r="G4" s="217"/>
      <c r="H4" s="218" t="s">
        <v>71</v>
      </c>
      <c r="K4" s="49"/>
      <c r="L4" s="49"/>
      <c r="M4" s="49"/>
    </row>
    <row r="5" spans="1:13" s="48" customFormat="1" ht="21.95" customHeight="1">
      <c r="A5" s="209"/>
      <c r="B5" s="212"/>
      <c r="C5" s="213"/>
      <c r="D5" s="215"/>
      <c r="E5" s="215"/>
      <c r="F5" s="50" t="s">
        <v>72</v>
      </c>
      <c r="G5" s="50" t="s">
        <v>38</v>
      </c>
      <c r="H5" s="219"/>
      <c r="K5" s="49"/>
      <c r="L5" s="49"/>
      <c r="M5" s="49"/>
    </row>
    <row r="6" spans="1:13" s="48" customFormat="1" ht="32.1" customHeight="1">
      <c r="A6" s="78">
        <f t="shared" ref="A6:A17" si="0">ROW(A1)</f>
        <v>1</v>
      </c>
      <c r="B6" s="220" t="str">
        <f>CONCATENATE(MRS!B6," ",MRS!D6)</f>
        <v>RT Crane 110 Ton with Aramco Certified Operator</v>
      </c>
      <c r="C6" s="221"/>
      <c r="D6" s="79" t="str">
        <f>MRS!G6</f>
        <v>Month</v>
      </c>
      <c r="E6" s="79">
        <f>MRS!H6</f>
        <v>1</v>
      </c>
      <c r="F6" s="80">
        <f>MRS!I6</f>
        <v>90000</v>
      </c>
      <c r="G6" s="81">
        <f>MRS!J6</f>
        <v>90000</v>
      </c>
      <c r="H6" s="82" t="str">
        <f>MRS!L6</f>
        <v>Monthly Based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220" t="str">
        <f>CONCATENATE(MRS!B7," ",MRS!D7)</f>
        <v>RT Crane Mob &amp; De-Mob. Charge Mob. &amp; De-Mob. / per unit - lump sum</v>
      </c>
      <c r="C7" s="221"/>
      <c r="D7" s="79" t="str">
        <f>MRS!G7</f>
        <v>L / S</v>
      </c>
      <c r="E7" s="79">
        <f>MRS!H7</f>
        <v>2</v>
      </c>
      <c r="F7" s="80">
        <f>MRS!I7</f>
        <v>4000</v>
      </c>
      <c r="G7" s="81">
        <f>MRS!J7</f>
        <v>8000</v>
      </c>
      <c r="H7" s="82"/>
      <c r="K7" s="83"/>
      <c r="L7" s="84"/>
      <c r="M7" s="49"/>
    </row>
    <row r="8" spans="1:13" s="48" customFormat="1" ht="32.1" customHeight="1">
      <c r="A8" s="85">
        <f t="shared" si="0"/>
        <v>3</v>
      </c>
      <c r="B8" s="220"/>
      <c r="C8" s="221"/>
      <c r="D8" s="79"/>
      <c r="E8" s="79"/>
      <c r="F8" s="80"/>
      <c r="G8" s="81"/>
      <c r="H8" s="82"/>
      <c r="K8" s="49"/>
      <c r="L8" s="49"/>
      <c r="M8" s="49"/>
    </row>
    <row r="9" spans="1:13" s="48" customFormat="1" ht="32.1" customHeight="1">
      <c r="A9" s="85">
        <f t="shared" si="0"/>
        <v>4</v>
      </c>
      <c r="B9" s="220"/>
      <c r="C9" s="221"/>
      <c r="D9" s="79"/>
      <c r="E9" s="79"/>
      <c r="F9" s="80"/>
      <c r="G9" s="81"/>
      <c r="H9" s="90"/>
    </row>
    <row r="10" spans="1:13" s="48" customFormat="1" ht="32.1" customHeight="1">
      <c r="A10" s="85">
        <f t="shared" si="0"/>
        <v>5</v>
      </c>
      <c r="B10" s="204"/>
      <c r="C10" s="205"/>
      <c r="D10" s="86"/>
      <c r="E10" s="87"/>
      <c r="F10" s="88"/>
      <c r="G10" s="89"/>
      <c r="H10" s="90"/>
    </row>
    <row r="11" spans="1:13" s="48" customFormat="1" ht="32.1" customHeight="1">
      <c r="A11" s="85">
        <f t="shared" si="0"/>
        <v>6</v>
      </c>
      <c r="B11" s="204"/>
      <c r="C11" s="205"/>
      <c r="D11" s="86"/>
      <c r="E11" s="87"/>
      <c r="F11" s="88"/>
      <c r="G11" s="89"/>
      <c r="H11" s="90"/>
    </row>
    <row r="12" spans="1:13" s="48" customFormat="1" ht="32.1" customHeight="1">
      <c r="A12" s="85">
        <f t="shared" si="0"/>
        <v>7</v>
      </c>
      <c r="B12" s="204"/>
      <c r="C12" s="205"/>
      <c r="D12" s="86"/>
      <c r="E12" s="87"/>
      <c r="F12" s="88"/>
      <c r="G12" s="89"/>
      <c r="H12" s="90"/>
    </row>
    <row r="13" spans="1:13" s="48" customFormat="1" ht="32.1" customHeight="1">
      <c r="A13" s="85">
        <f t="shared" si="0"/>
        <v>8</v>
      </c>
      <c r="B13" s="204"/>
      <c r="C13" s="205"/>
      <c r="D13" s="86"/>
      <c r="E13" s="87"/>
      <c r="F13" s="88"/>
      <c r="G13" s="89"/>
      <c r="H13" s="90"/>
    </row>
    <row r="14" spans="1:13" s="48" customFormat="1" ht="32.1" customHeight="1">
      <c r="A14" s="85">
        <f t="shared" si="0"/>
        <v>9</v>
      </c>
      <c r="B14" s="204"/>
      <c r="C14" s="205"/>
      <c r="D14" s="86"/>
      <c r="E14" s="87"/>
      <c r="F14" s="91"/>
      <c r="G14" s="89"/>
      <c r="H14" s="90"/>
    </row>
    <row r="15" spans="1:13" s="48" customFormat="1" ht="32.1" customHeight="1">
      <c r="A15" s="85">
        <f t="shared" si="0"/>
        <v>10</v>
      </c>
      <c r="B15" s="204"/>
      <c r="C15" s="205"/>
      <c r="D15" s="86"/>
      <c r="E15" s="87"/>
      <c r="F15" s="91"/>
      <c r="G15" s="89"/>
      <c r="H15" s="90"/>
    </row>
    <row r="16" spans="1:13" s="48" customFormat="1" ht="32.1" customHeight="1">
      <c r="A16" s="85">
        <f t="shared" si="0"/>
        <v>11</v>
      </c>
      <c r="B16" s="204"/>
      <c r="C16" s="205"/>
      <c r="D16" s="86"/>
      <c r="E16" s="87"/>
      <c r="F16" s="88"/>
      <c r="G16" s="89"/>
      <c r="H16" s="90"/>
    </row>
    <row r="17" spans="1:13" s="48" customFormat="1" ht="32.1" customHeight="1">
      <c r="A17" s="85">
        <f t="shared" si="0"/>
        <v>12</v>
      </c>
      <c r="B17" s="204"/>
      <c r="C17" s="205"/>
      <c r="D17" s="86"/>
      <c r="E17" s="87"/>
      <c r="F17" s="88"/>
      <c r="G17" s="89"/>
      <c r="H17" s="90"/>
    </row>
    <row r="18" spans="1:13" s="48" customFormat="1" ht="23.1" customHeight="1">
      <c r="A18" s="200" t="s">
        <v>73</v>
      </c>
      <c r="B18" s="201"/>
      <c r="C18" s="201"/>
      <c r="D18" s="201"/>
      <c r="E18" s="201"/>
      <c r="F18" s="201"/>
      <c r="G18" s="51">
        <f>SUM(G6:G17)</f>
        <v>98000</v>
      </c>
      <c r="H18" s="52"/>
    </row>
    <row r="19" spans="1:13" s="48" customFormat="1" ht="23.1" customHeight="1">
      <c r="A19" s="200" t="s">
        <v>37</v>
      </c>
      <c r="B19" s="201"/>
      <c r="C19" s="201"/>
      <c r="D19" s="201"/>
      <c r="E19" s="201"/>
      <c r="F19" s="201"/>
      <c r="G19" s="51">
        <f>+G18*0.15</f>
        <v>14700</v>
      </c>
      <c r="H19" s="52"/>
    </row>
    <row r="20" spans="1:13" s="48" customFormat="1" ht="24.95" customHeight="1" thickBot="1">
      <c r="A20" s="202" t="s">
        <v>74</v>
      </c>
      <c r="B20" s="203"/>
      <c r="C20" s="203"/>
      <c r="D20" s="203"/>
      <c r="E20" s="203"/>
      <c r="F20" s="203"/>
      <c r="G20" s="53">
        <f>G19+G18</f>
        <v>112700</v>
      </c>
      <c r="H20" s="54"/>
    </row>
    <row r="21" spans="1:13" ht="15.75" thickTop="1">
      <c r="A21" s="55" t="str">
        <f>" 1) Above Price are as per your quotation with ref "&amp;'PO 1st page'!K14</f>
        <v xml:space="preserve"> 1) Above Price are as per your quotation with ref IIC-EQUO-2026-5850 (R1)</v>
      </c>
      <c r="B21" s="56"/>
      <c r="C21" s="56"/>
      <c r="D21" s="57"/>
      <c r="E21" s="57"/>
      <c r="F21" s="57"/>
      <c r="G21" s="57"/>
      <c r="H21" s="57"/>
    </row>
    <row r="22" spans="1:13" ht="15">
      <c r="A22" s="58" t="s">
        <v>75</v>
      </c>
      <c r="B22" s="59"/>
      <c r="C22" s="59"/>
      <c r="D22" s="60"/>
      <c r="E22" s="60"/>
      <c r="F22" s="60"/>
      <c r="G22" s="60"/>
      <c r="H22" s="60"/>
      <c r="I22" s="61"/>
    </row>
    <row r="23" spans="1:13" ht="15.75">
      <c r="A23" s="62"/>
    </row>
    <row r="24" spans="1:13">
      <c r="A24" s="132" t="s">
        <v>76</v>
      </c>
      <c r="B24" s="132"/>
      <c r="C24" s="132"/>
      <c r="D24" s="132"/>
      <c r="E24" s="132"/>
      <c r="F24" s="132"/>
      <c r="G24" s="132"/>
      <c r="H24" s="132"/>
      <c r="I24" s="63"/>
      <c r="J24" s="63"/>
      <c r="K24" s="63"/>
      <c r="L24" s="63"/>
      <c r="M24" s="63"/>
    </row>
    <row r="25" spans="1:13" ht="15.75">
      <c r="A25" s="62"/>
      <c r="C25" s="64"/>
    </row>
    <row r="26" spans="1:13" ht="15.75">
      <c r="A26" s="62"/>
      <c r="C26" s="64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2026-08-17T05:44:12Z</cp:lastPrinted>
  <dcterms:created xsi:type="dcterms:W3CDTF">2024-10-20T11:50:19Z</dcterms:created>
  <dcterms:modified xsi:type="dcterms:W3CDTF">2026-08-17T06:00:30Z</dcterms:modified>
</cp:coreProperties>
</file>