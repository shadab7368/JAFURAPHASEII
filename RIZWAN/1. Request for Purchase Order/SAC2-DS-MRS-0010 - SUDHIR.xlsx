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D3F832B3-9042-447E-89F3-1D6B5FD96C5B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B7" i="4"/>
  <c r="J7" i="1" l="1"/>
  <c r="H6" i="4" l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<sst xmlns="http://schemas.openxmlformats.org/spreadsheetml/2006/main" count="157" uniqueCount="122">
  <si>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</si>
  <si>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</si>
  <si>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</si>
  <si>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</si>
  <si>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</si>
  <si>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</si>
  <si>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</si>
  <si>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</si>
  <si>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</si>
  <si>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</si>
  <si>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</si>
  <si>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</si>
  <si>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</si>
  <si>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</si>
  <si>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</si>
  <si>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</si>
  <si>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</si>
  <si>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</si>
  <si>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</si>
  <si>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</si>
  <si>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</si>
  <si>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</si>
  <si>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</si>
  <si>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</si>
  <si>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</si>
  <si>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</si>
  <si>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</si>
  <si>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</si>
  <si>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</si>
  <si>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</si>
  <si>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</si>
  <si>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</si>
  <si>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</si>
  <si>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</si>
  <si>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</si>
  <si>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</si>
  <si>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</si>
  <si>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</si>
  <si>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</si>
  <si>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</si>
  <si>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</si>
  <si>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</si>
  <si>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</si>
  <si>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</si>
  <si>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</si>
  <si>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</si>
  <si>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</si>
  <si>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</si>
  <si>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</si>
  <si>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</si>
  <si>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</si>
  <si>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</si>
  <si>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</si>
  <si>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</si>
  <si>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</si>
  <si>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</si>
  <si>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</si>
  <si>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</si>
  <si>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</si>
  <si>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</si>
  <si>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</si>
  <si>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</si>
  <si>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</si>
  <si>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</si>
  <si>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</si>
  <si>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</si>
  <si>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</si>
  <si>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</si>
  <si>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</si>
  <si>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</si>
  <si>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</si>
  <si>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</si>
  <si>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</si>
  <si>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</si>
  <si>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</si>
  <si>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</si>
  <si>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</si>
  <si>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</si>
  <si>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</si>
  <si>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</si>
  <si>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</si>
  <si>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</si>
  <si>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</si>
  <si>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</si>
  <si>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</si>
  <si>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</si>
  <si>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</si>
  <si>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</si>
  <si>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</si>
  <si>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</si>
  <si>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</si>
  <si>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</si>
  <si>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</si>
  <si>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</si>
  <si>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</si>
  <si>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</si>
  <si>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</si>
  <si>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</si>
  <si>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</si>
  <si>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</si>
  <si>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</si>
  <si>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</si>
  <si>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</si>
  <si>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</si>
  <si>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</si>
  <si>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 xml:space="preserve">  MRS No : SAC2-DS-MRS-0010</t>
  </si>
  <si>
    <t>Boomlift</t>
  </si>
  <si>
    <t>Boom Length : 40 Mtr</t>
  </si>
  <si>
    <t>SERC</t>
  </si>
  <si>
    <t>Mob. &amp; De-Mob. / per unit - lump sum</t>
    <phoneticPr fontId="2" type="noConversion"/>
  </si>
  <si>
    <t>L / S</t>
    <phoneticPr fontId="9" type="noConversion"/>
  </si>
  <si>
    <t>Boomlift Mob &amp; De-Mob. Charge</t>
  </si>
  <si>
    <t>One Time</t>
  </si>
  <si>
    <t>SERC(Sudhir Equipment Renntal Company)</t>
  </si>
  <si>
    <t>Wasim Khan</t>
  </si>
  <si>
    <t>Credit Manager</t>
  </si>
  <si>
    <t>40 Mtr Boomlift</t>
  </si>
  <si>
    <t>SR-EQTN-2024-19662</t>
  </si>
  <si>
    <t>+966 544052500 / Email:wasimkhan@sudhirrentals.com</t>
  </si>
  <si>
    <t>Bldg No . 2718, King Faisal Road, Second Industrial City, Dammam</t>
  </si>
  <si>
    <t>Landline: +966 13585 8849 / Mobile : +966 544052500</t>
  </si>
  <si>
    <t>310472298300003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</si>
</sst>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6" sqref="I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102</v>
      </c>
      <c r="B1" s="110"/>
      <c r="C1" s="110"/>
      <c r="D1" s="110"/>
      <c r="E1" s="110"/>
      <c r="F1" s="110"/>
      <c r="G1" s="1"/>
      <c r="J1" s="124" t="s">
        <v>93</v>
      </c>
      <c r="K1" s="125"/>
      <c r="L1" s="126"/>
    </row>
    <row r="2" spans="1:19" ht="20.100000000000001" customHeight="1">
      <c r="A2" s="3" t="s">
        <v>1</v>
      </c>
      <c r="B2" s="101"/>
      <c r="C2" s="101"/>
      <c r="D2" s="3" t="s">
        <v>101</v>
      </c>
      <c r="E2" s="101"/>
      <c r="F2" s="101"/>
      <c r="G2" s="101"/>
      <c r="H2" s="101"/>
      <c r="I2" s="4"/>
      <c r="J2" s="127" t="s">
        <v>2</v>
      </c>
      <c r="K2" s="128"/>
      <c r="L2" s="129"/>
    </row>
    <row r="3" spans="1:19" ht="20.100000000000001" customHeight="1">
      <c r="A3" s="3" t="s">
        <v>105</v>
      </c>
      <c r="B3" s="101"/>
      <c r="C3" s="101"/>
      <c r="D3" s="101"/>
      <c r="E3" s="130">
        <f>+L3</f>
        <v>45641</v>
      </c>
      <c r="F3" s="130"/>
      <c r="G3" s="130"/>
      <c r="H3" s="130"/>
      <c r="I3" s="130"/>
      <c r="J3" s="101"/>
      <c r="K3" s="101"/>
      <c r="L3" s="122">
        <v>45641</v>
      </c>
      <c r="M3" s="4"/>
    </row>
    <row r="4" spans="1:19" ht="15.95" customHeight="1">
      <c r="A4" s="131" t="s">
        <v>3</v>
      </c>
      <c r="B4" s="132" t="s">
        <v>4</v>
      </c>
      <c r="C4" s="132"/>
      <c r="D4" s="133" t="s">
        <v>5</v>
      </c>
      <c r="E4" s="134"/>
      <c r="F4" s="135"/>
      <c r="G4" s="139" t="s">
        <v>6</v>
      </c>
      <c r="H4" s="141" t="s">
        <v>7</v>
      </c>
      <c r="I4" s="141" t="s">
        <v>99</v>
      </c>
      <c r="J4" s="131" t="s">
        <v>100</v>
      </c>
      <c r="K4" s="141" t="s">
        <v>0</v>
      </c>
      <c r="L4" s="132" t="s">
        <v>8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106</v>
      </c>
      <c r="C6" s="144"/>
      <c r="D6" s="145" t="s">
        <v>107</v>
      </c>
      <c r="E6" s="146"/>
      <c r="F6" s="147"/>
      <c r="G6" s="111" t="s">
        <v>94</v>
      </c>
      <c r="H6" s="112">
        <v>1</v>
      </c>
      <c r="I6" s="113">
        <v>26000</v>
      </c>
      <c r="J6" s="113">
        <f>H6*I6</f>
        <v>26000</v>
      </c>
      <c r="K6" s="114" t="s">
        <v>108</v>
      </c>
      <c r="L6" s="115" t="s">
        <v>104</v>
      </c>
      <c r="S6" s="106"/>
    </row>
    <row r="7" spans="1:19" ht="22.5" customHeight="1">
      <c r="A7" s="5">
        <f t="shared" si="0"/>
        <v>2</v>
      </c>
      <c r="B7" s="143" t="s">
        <v>111</v>
      </c>
      <c r="C7" s="144"/>
      <c r="D7" s="148" t="s">
        <v>109</v>
      </c>
      <c r="E7" s="146"/>
      <c r="F7" s="147"/>
      <c r="G7" s="111" t="s">
        <v>110</v>
      </c>
      <c r="H7" s="112">
        <v>1</v>
      </c>
      <c r="I7" s="113">
        <v>3850</v>
      </c>
      <c r="J7" s="113">
        <f>H7*I7</f>
        <v>3850</v>
      </c>
      <c r="K7" s="114" t="s">
        <v>108</v>
      </c>
      <c r="L7" s="115" t="s">
        <v>112</v>
      </c>
      <c r="S7" s="106"/>
    </row>
    <row r="8" spans="1:19" ht="22.5" customHeight="1">
      <c r="A8" s="5">
        <f t="shared" si="0"/>
        <v>3</v>
      </c>
      <c r="B8" s="143"/>
      <c r="C8" s="144"/>
      <c r="D8" s="145"/>
      <c r="E8" s="146"/>
      <c r="F8" s="14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1" t="s">
        <v>9</v>
      </c>
      <c r="B16" s="152"/>
      <c r="C16" s="117"/>
      <c r="D16" s="118"/>
      <c r="E16" s="118"/>
      <c r="F16" s="118"/>
      <c r="G16" s="119"/>
      <c r="H16" s="119"/>
      <c r="I16" s="120" t="s">
        <v>10</v>
      </c>
      <c r="J16" s="113">
        <f>SUM(J6:J15)</f>
        <v>29850</v>
      </c>
      <c r="K16" s="113"/>
      <c r="L16" s="121"/>
    </row>
    <row r="17" spans="1:22" ht="20.100000000000001" customHeight="1">
      <c r="A17" s="6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12</v>
      </c>
      <c r="T18" s="12" t="s">
        <v>13</v>
      </c>
      <c r="U18" s="13" t="s">
        <v>14</v>
      </c>
      <c r="V18" s="12" t="s">
        <v>15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16</v>
      </c>
      <c r="U20" s="15" t="s">
        <v>16</v>
      </c>
      <c r="V20" s="16" t="s">
        <v>16</v>
      </c>
    </row>
    <row r="21" spans="1:22" ht="15" customHeight="1">
      <c r="O21" s="17" t="s">
        <v>17</v>
      </c>
      <c r="P21" s="156" t="s">
        <v>18</v>
      </c>
      <c r="Q21" s="156" t="s">
        <v>19</v>
      </c>
    </row>
    <row r="22" spans="1:22" ht="18" customHeight="1">
      <c r="O22" s="18" t="s">
        <v>20</v>
      </c>
      <c r="P22" s="157"/>
      <c r="Q22" s="157"/>
      <c r="S22" s="153" t="s">
        <v>21</v>
      </c>
      <c r="T22" s="12" t="s">
        <v>13</v>
      </c>
      <c r="U22" s="12" t="s">
        <v>14</v>
      </c>
      <c r="V22" s="12" t="s">
        <v>15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16</v>
      </c>
      <c r="P24" s="16" t="s">
        <v>16</v>
      </c>
      <c r="Q24" s="16" t="s">
        <v>16</v>
      </c>
      <c r="S24" s="155"/>
      <c r="T24" s="15" t="s">
        <v>16</v>
      </c>
      <c r="U24" s="15" t="s">
        <v>16</v>
      </c>
      <c r="V24" s="16" t="s">
        <v>16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22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22</v>
      </c>
      <c r="P46" s="156" t="s">
        <v>22</v>
      </c>
      <c r="Q46" s="156" t="s">
        <v>22</v>
      </c>
      <c r="T46" s="156" t="s">
        <v>23</v>
      </c>
      <c r="U46" s="156" t="s">
        <v>14</v>
      </c>
      <c r="V46" s="156" t="s">
        <v>22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22</v>
      </c>
      <c r="P50" s="156" t="s">
        <v>22</v>
      </c>
      <c r="Q50" s="156" t="s">
        <v>22</v>
      </c>
      <c r="T50" s="156" t="s">
        <v>14</v>
      </c>
      <c r="U50" s="156" t="s">
        <v>23</v>
      </c>
      <c r="V50" s="156" t="s">
        <v>22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8" sqref="O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27" t="str">
        <f>+MRS!J2</f>
        <v>Subcontract name (Subcontract No.)</v>
      </c>
      <c r="K2" s="129"/>
    </row>
    <row r="3" spans="1:18" ht="24.95" customHeight="1">
      <c r="A3" s="3" t="str">
        <f>+MRS!A3</f>
        <v xml:space="preserve">  MRS No : SAC2-DS-MRS-0010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45641</v>
      </c>
    </row>
    <row r="4" spans="1:18" ht="15.95" customHeight="1">
      <c r="A4" s="159" t="s">
        <v>3</v>
      </c>
      <c r="B4" s="160" t="s">
        <v>24</v>
      </c>
      <c r="C4" s="160"/>
      <c r="D4" s="159" t="s">
        <v>5</v>
      </c>
      <c r="E4" s="159"/>
      <c r="F4" s="159"/>
      <c r="G4" s="160" t="s">
        <v>6</v>
      </c>
      <c r="H4" s="159" t="s">
        <v>95</v>
      </c>
      <c r="I4" s="159" t="s">
        <v>25</v>
      </c>
      <c r="J4" s="159" t="s">
        <v>26</v>
      </c>
      <c r="K4" s="160" t="s">
        <v>8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Boomlift</v>
      </c>
      <c r="C6" s="162"/>
      <c r="D6" s="163" t="str">
        <f>MRS!D6</f>
        <v>Boom Length : 40 Mtr</v>
      </c>
      <c r="E6" s="164"/>
      <c r="F6" s="165"/>
      <c r="G6" s="103" t="str">
        <f>MRS!G6</f>
        <v>Month</v>
      </c>
      <c r="H6" s="103">
        <f>MRS!H6</f>
        <v>1</v>
      </c>
      <c r="I6" s="104">
        <f>MRS!I6</f>
        <v>26000</v>
      </c>
      <c r="J6" s="104">
        <f>MRS!J6</f>
        <v>26000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1" t="str">
        <f>MRS!B7</f>
        <v>Boomlift Mob &amp; De-Mob. Charge</v>
      </c>
      <c r="C7" s="162"/>
      <c r="D7" s="163" t="str">
        <f>MRS!D7</f>
        <v>Mob. &amp; De-Mob. / per unit - lump sum</v>
      </c>
      <c r="E7" s="164"/>
      <c r="F7" s="165"/>
      <c r="G7" s="103" t="str">
        <f>MRS!G7</f>
        <v>L / S</v>
      </c>
      <c r="H7" s="103">
        <f>MRS!H7</f>
        <v>1</v>
      </c>
      <c r="I7" s="104">
        <f>MRS!I7</f>
        <v>3850</v>
      </c>
      <c r="J7" s="104">
        <f>MRS!J7</f>
        <v>3850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/>
      <c r="C8" s="167"/>
      <c r="D8" s="168"/>
      <c r="E8" s="169"/>
      <c r="F8" s="170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6"/>
      <c r="C9" s="167"/>
      <c r="D9" s="168"/>
      <c r="E9" s="169"/>
      <c r="F9" s="170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6"/>
      <c r="C10" s="167"/>
      <c r="D10" s="168"/>
      <c r="E10" s="169"/>
      <c r="F10" s="170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6"/>
      <c r="C11" s="167"/>
      <c r="D11" s="168"/>
      <c r="E11" s="169"/>
      <c r="F11" s="170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22" zoomScale="130" zoomScaleNormal="100" zoomScaleSheetLayoutView="130" workbookViewId="0">
      <selection activeCell="O21" sqref="O2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113</v>
      </c>
      <c r="D9" s="39"/>
      <c r="E9" s="39"/>
    </row>
    <row r="10" spans="2:13" s="39" customFormat="1">
      <c r="B10" s="72"/>
      <c r="C10" s="39" t="s">
        <v>34</v>
      </c>
      <c r="D10" s="76">
        <v>2050130053</v>
      </c>
      <c r="J10" s="39" t="s">
        <v>35</v>
      </c>
      <c r="K10" s="172">
        <f>MRS!L3</f>
        <v>45641</v>
      </c>
      <c r="L10" s="173"/>
      <c r="M10" s="173"/>
    </row>
    <row r="11" spans="2:13" s="39" customFormat="1">
      <c r="B11" s="72"/>
      <c r="C11" s="75" t="s">
        <v>36</v>
      </c>
      <c r="D11" s="76" t="s">
        <v>121</v>
      </c>
      <c r="J11" s="39" t="s">
        <v>37</v>
      </c>
      <c r="K11" s="174" t="str">
        <f>SUBSTITUTE(SUBSTITUTE(+MRS!A3,"  MRS No : ",""),"-MRS","-PO")</f>
        <v>SAC2-DS-PO-0010</v>
      </c>
      <c r="L11" s="174"/>
      <c r="M11" s="174"/>
    </row>
    <row r="12" spans="2:13" s="39" customFormat="1">
      <c r="B12" s="72"/>
      <c r="C12" s="75" t="s">
        <v>38</v>
      </c>
      <c r="D12" s="39" t="s">
        <v>114</v>
      </c>
      <c r="J12" s="39" t="s">
        <v>39</v>
      </c>
    </row>
    <row r="13" spans="2:13" s="39" customFormat="1">
      <c r="B13" s="72"/>
      <c r="C13" s="77"/>
      <c r="D13" s="76" t="s">
        <v>118</v>
      </c>
      <c r="J13" s="39" t="s">
        <v>40</v>
      </c>
    </row>
    <row r="14" spans="2:13" s="39" customFormat="1">
      <c r="B14" s="72"/>
      <c r="C14" s="77" t="s">
        <v>119</v>
      </c>
      <c r="J14" s="39" t="s">
        <v>41</v>
      </c>
      <c r="K14" s="39" t="s">
        <v>117</v>
      </c>
    </row>
    <row r="15" spans="2:13" s="39" customFormat="1">
      <c r="B15" s="72"/>
      <c r="C15" s="77" t="s">
        <v>120</v>
      </c>
      <c r="J15" s="39" t="s">
        <v>42</v>
      </c>
      <c r="K15" s="78">
        <v>45636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43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44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45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46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47</v>
      </c>
    </row>
    <row r="26" spans="2:13" s="39" customFormat="1" ht="15" customHeight="1">
      <c r="B26" s="73"/>
      <c r="C26" s="76" t="s">
        <v>116</v>
      </c>
      <c r="M26" s="79" t="s">
        <v>48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49</v>
      </c>
    </row>
    <row r="29" spans="2:13" ht="15" customHeight="1">
      <c r="B29" s="32"/>
      <c r="C29" s="26" t="s">
        <v>50</v>
      </c>
      <c r="E29" s="26" t="s">
        <v>51</v>
      </c>
      <c r="F29" s="179" t="s">
        <v>103</v>
      </c>
      <c r="G29" s="179"/>
      <c r="H29" s="33"/>
      <c r="M29" s="34"/>
    </row>
    <row r="30" spans="2:13" ht="15" customHeight="1">
      <c r="B30" s="32"/>
      <c r="C30" s="26" t="s">
        <v>52</v>
      </c>
      <c r="E30" s="26" t="s">
        <v>51</v>
      </c>
      <c r="F30" s="179"/>
      <c r="G30" s="179"/>
    </row>
    <row r="31" spans="2:13" ht="15" customHeight="1">
      <c r="B31" s="32"/>
      <c r="C31" s="26" t="s">
        <v>53</v>
      </c>
      <c r="D31" s="35"/>
      <c r="E31" s="26" t="s">
        <v>51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54</v>
      </c>
    </row>
    <row r="34" spans="2:13" ht="15" customHeight="1">
      <c r="B34" s="32"/>
      <c r="C34" s="22" t="s">
        <v>55</v>
      </c>
    </row>
    <row r="35" spans="2:13" ht="15" customHeight="1">
      <c r="B35" s="32"/>
      <c r="C35" s="22" t="s">
        <v>56</v>
      </c>
    </row>
    <row r="36" spans="2:13" ht="15" customHeight="1">
      <c r="B36" s="32"/>
      <c r="C36" s="22" t="s">
        <v>57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58</v>
      </c>
    </row>
    <row r="39" spans="2:13" ht="15" customHeight="1">
      <c r="B39" s="32"/>
      <c r="C39" s="26" t="s">
        <v>59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60</v>
      </c>
    </row>
    <row r="42" spans="2:13" ht="15" customHeight="1">
      <c r="B42" s="32"/>
      <c r="C42" s="36" t="s">
        <v>61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62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63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64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65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66</v>
      </c>
    </row>
    <row r="49" spans="1:16" s="39" customFormat="1" ht="15" customHeight="1">
      <c r="B49" s="80" t="s">
        <v>67</v>
      </c>
      <c r="C49" s="81" t="s">
        <v>97</v>
      </c>
      <c r="P49" s="82"/>
    </row>
    <row r="50" spans="1:16" s="83" customFormat="1" ht="15" customHeight="1">
      <c r="B50" s="84" t="s">
        <v>67</v>
      </c>
      <c r="C50" s="81" t="s">
        <v>98</v>
      </c>
    </row>
    <row r="51" spans="1:16" s="83" customFormat="1" ht="15" customHeight="1">
      <c r="B51" s="84" t="s">
        <v>67</v>
      </c>
      <c r="C51" s="81" t="s">
        <v>96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68</v>
      </c>
      <c r="J56" s="32" t="s">
        <v>69</v>
      </c>
    </row>
    <row r="57" spans="1:16" ht="50.1" customHeight="1"/>
    <row r="58" spans="1:16" ht="18" customHeight="1">
      <c r="B58" s="26" t="s">
        <v>70</v>
      </c>
      <c r="J58" s="26" t="s">
        <v>70</v>
      </c>
    </row>
    <row r="59" spans="1:16" ht="18" customHeight="1">
      <c r="B59" s="26" t="s">
        <v>71</v>
      </c>
      <c r="J59" s="26" t="s">
        <v>72</v>
      </c>
      <c r="K59" s="22" t="str">
        <f>D12</f>
        <v>Wasim Khan</v>
      </c>
    </row>
    <row r="60" spans="1:16" ht="18" customHeight="1">
      <c r="B60" s="26" t="s">
        <v>73</v>
      </c>
      <c r="J60" s="26" t="s">
        <v>74</v>
      </c>
      <c r="K60" s="22" t="s">
        <v>115</v>
      </c>
    </row>
    <row r="61" spans="1:16" ht="15" customHeight="1">
      <c r="B61" s="26" t="s">
        <v>75</v>
      </c>
      <c r="J61" s="26" t="s">
        <v>76</v>
      </c>
    </row>
    <row r="62" spans="1:16" s="28" customFormat="1" ht="24.75" customHeight="1">
      <c r="B62" s="25" t="s">
        <v>77</v>
      </c>
      <c r="J62" s="180" t="str">
        <f>C9</f>
        <v>SERC(Sudhir Equipment Renntal Company)</v>
      </c>
      <c r="K62" s="180"/>
      <c r="L62" s="180"/>
      <c r="M62" s="180"/>
    </row>
    <row r="63" spans="1:16" ht="27.95" customHeight="1">
      <c r="A63" s="171" t="s">
        <v>78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topLeftCell="A4" zoomScaleSheetLayoutView="100" zoomScalePageLayoutView="55" workbookViewId="0">
      <selection activeCell="L16" sqref="L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79</v>
      </c>
      <c r="B2" s="47" t="str">
        <f>+'PO 1st page'!K11</f>
        <v>SAC2-DS-PO-0010</v>
      </c>
      <c r="C2" s="183" t="s">
        <v>80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81</v>
      </c>
      <c r="B3" s="50">
        <f>+'PO 1st page'!K10</f>
        <v>45641</v>
      </c>
      <c r="C3" s="51"/>
      <c r="D3" s="52"/>
      <c r="E3" s="184" t="s">
        <v>82</v>
      </c>
      <c r="F3" s="184"/>
      <c r="G3" s="184"/>
      <c r="H3" s="184"/>
      <c r="I3" s="53"/>
    </row>
    <row r="4" spans="1:13" s="55" customFormat="1" ht="28.5" customHeight="1" thickTop="1">
      <c r="A4" s="185" t="s">
        <v>83</v>
      </c>
      <c r="B4" s="187" t="s">
        <v>84</v>
      </c>
      <c r="C4" s="188"/>
      <c r="D4" s="191" t="s">
        <v>85</v>
      </c>
      <c r="E4" s="191" t="s">
        <v>86</v>
      </c>
      <c r="F4" s="193" t="str">
        <f>'PO 1st page'!C9</f>
        <v>SERC(Sudhir Equipment Renntal Company)</v>
      </c>
      <c r="G4" s="194"/>
      <c r="H4" s="195" t="s">
        <v>87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88</v>
      </c>
      <c r="G5" s="57" t="s">
        <v>53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7" t="str">
        <f>+'MRS LIST'!B6</f>
        <v>Boomlift</v>
      </c>
      <c r="C6" s="198"/>
      <c r="D6" s="86" t="str">
        <f>+'MRS LIST'!G6</f>
        <v>Month</v>
      </c>
      <c r="E6" s="87">
        <f>+'MRS LIST'!H6</f>
        <v>1</v>
      </c>
      <c r="F6" s="88">
        <f>+'MRS LIST'!I6</f>
        <v>26000</v>
      </c>
      <c r="G6" s="89">
        <f>+'MRS LIST'!J6</f>
        <v>26000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7" t="str">
        <f>+'MRS LIST'!B7</f>
        <v>Boomlift Mob &amp; De-Mob. Charge</v>
      </c>
      <c r="C7" s="198"/>
      <c r="D7" s="86" t="str">
        <f>+'MRS LIST'!G7</f>
        <v>L / S</v>
      </c>
      <c r="E7" s="87">
        <f>+'MRS LIST'!H7</f>
        <v>1</v>
      </c>
      <c r="F7" s="88">
        <f>+'MRS LIST'!I7</f>
        <v>3850</v>
      </c>
      <c r="G7" s="89">
        <f>+'MRS LIST'!J7</f>
        <v>3850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1"/>
      <c r="C8" s="182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1"/>
      <c r="C10" s="182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1"/>
      <c r="C12" s="18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1"/>
      <c r="C13" s="18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1"/>
      <c r="C14" s="18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1"/>
      <c r="C15" s="18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1"/>
      <c r="C16" s="18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1"/>
      <c r="C17" s="182"/>
      <c r="D17" s="94"/>
      <c r="E17" s="95"/>
      <c r="F17" s="96"/>
      <c r="G17" s="97"/>
      <c r="H17" s="98"/>
    </row>
    <row r="18" spans="1:13" s="55" customFormat="1" ht="23.1" customHeight="1">
      <c r="A18" s="199" t="s">
        <v>89</v>
      </c>
      <c r="B18" s="200"/>
      <c r="C18" s="200"/>
      <c r="D18" s="200"/>
      <c r="E18" s="200"/>
      <c r="F18" s="200"/>
      <c r="G18" s="58">
        <f>SUM(G6:G17)</f>
        <v>29850</v>
      </c>
      <c r="H18" s="59"/>
    </row>
    <row r="19" spans="1:13" s="55" customFormat="1" ht="23.1" customHeight="1">
      <c r="A19" s="199" t="s">
        <v>52</v>
      </c>
      <c r="B19" s="200"/>
      <c r="C19" s="200"/>
      <c r="D19" s="200"/>
      <c r="E19" s="200"/>
      <c r="F19" s="200"/>
      <c r="G19" s="58">
        <f>+G18*0.15</f>
        <v>4477.5</v>
      </c>
      <c r="H19" s="59"/>
    </row>
    <row r="20" spans="1:13" s="55" customFormat="1" ht="24.95" customHeight="1" thickBot="1">
      <c r="A20" s="201" t="s">
        <v>90</v>
      </c>
      <c r="B20" s="202"/>
      <c r="C20" s="202"/>
      <c r="D20" s="202"/>
      <c r="E20" s="202"/>
      <c r="F20" s="202"/>
      <c r="G20" s="60">
        <f>G19+G18</f>
        <v>34327.5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SR-EQTN-2024-19662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91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92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2024-12-15T11:01:10Z</cp:lastPrinted>
  <dcterms:created xsi:type="dcterms:W3CDTF">2024-10-20T11:50:19Z</dcterms:created>
  <dcterms:modified xsi:type="dcterms:W3CDTF">2024-12-15T11:34:59Z</dcterms:modified>
</cp:coreProperties>
</file>