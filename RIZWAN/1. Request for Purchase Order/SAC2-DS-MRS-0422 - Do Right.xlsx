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290B606-5623-42A9-8289-418ACB406B69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E3" i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<sst xmlns="http://schemas.openxmlformats.org/spreadsheetml/2006/main" count="164" uniqueCount="134">
  <si>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</si>
  <si>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</si>
  <si>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</si>
  <si>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</si>
  <si>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</si>
  <si>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</si>
  <si>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</si>
  <si>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</si>
  <si>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</si>
  <si>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</si>
  <si>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</si>
  <si>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</si>
  <si>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</si>
  <si>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</si>
  <si>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</si>
  <si>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</si>
  <si>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</si>
  <si>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</si>
  <si>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</si>
  <si>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</si>
  <si>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</si>
  <si>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</si>
  <si>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</si>
  <si>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</si>
  <si>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</si>
  <si>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</si>
  <si>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</si>
  <si>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</si>
  <si>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</si>
  <si>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</si>
  <si>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</si>
  <si>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</si>
  <si>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</si>
  <si>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</si>
  <si>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</si>
  <si>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</si>
  <si>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</si>
  <si>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</si>
  <si>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</si>
  <si>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</si>
  <si>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</si>
  <si>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</si>
  <si>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</si>
  <si>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</si>
  <si>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</si>
  <si>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</si>
  <si>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</si>
  <si>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</si>
  <si>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</si>
  <si>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</si>
  <si>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</si>
  <si>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</si>
  <si>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</si>
  <si>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</si>
  <si>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</si>
  <si>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</si>
  <si>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</si>
  <si>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</si>
  <si>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</si>
  <si>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</si>
  <si>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</si>
  <si>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</si>
  <si>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</si>
  <si>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</si>
  <si>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</si>
  <si>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</si>
  <si>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</si>
  <si>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</si>
  <si>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</si>
  <si>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</si>
  <si>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</si>
  <si>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</si>
  <si>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</si>
  <si>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</si>
  <si>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</si>
  <si>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</si>
  <si>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</si>
  <si>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</si>
  <si>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</si>
  <si>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</si>
  <si>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</si>
  <si>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</si>
  <si>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</si>
  <si>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Monthly Based</t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</si>
  <si>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</si>
  <si>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</si>
  <si>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</si>
  <si>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</si>
  <si>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</si>
  <si>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</si>
  <si>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</si>
  <si>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</si>
  <si>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</si>
  <si>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</si>
  <si>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</si>
  <si>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</si>
  <si>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</si>
  <si>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</si>
  <si>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</si>
  <si>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8" type="noConversion"/>
  </si>
  <si>
    <t xml:space="preserve"> VAT No. : </t>
    <phoneticPr fontId="8" type="noConversion"/>
  </si>
  <si>
    <t xml:space="preserve"> In Charge :</t>
    <phoneticPr fontId="8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</si>
  <si>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</si>
  <si>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</si>
  <si>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</si>
  <si>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</si>
  <si>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</si>
  <si>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</si>
  <si>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</si>
  <si>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</si>
  <si>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</si>
  <si>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</si>
  <si>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</si>
  <si>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</si>
  <si>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</si>
  <si>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</si>
  <si>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DRCE</t>
  </si>
  <si>
    <t>DRCE(Do Right Contracting Est)</t>
  </si>
  <si>
    <t>311663261800003</t>
  </si>
  <si>
    <t>Salman Farish</t>
  </si>
  <si>
    <t>+966 545977794 /  Email:info@doright.sa</t>
  </si>
  <si>
    <t>Mobile : +966 545977794</t>
  </si>
  <si>
    <t>4381 Janubiyyah , KSA</t>
  </si>
  <si>
    <t>1000789169940</t>
  </si>
  <si>
    <t>SA13 2000 0001 0007 8916 9940</t>
  </si>
  <si>
    <t>RIYAD BANK</t>
  </si>
  <si>
    <t>RIBLSARI</t>
  </si>
  <si>
    <t>Business Developer</t>
  </si>
  <si>
    <t>DORIGHT CONTRACTING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</si>
  <si>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-MRS-0422</t>
    </r>
  </si>
  <si>
    <t>Month</t>
  </si>
  <si>
    <t>DR-QTN-2026-00894</t>
  </si>
  <si>
    <t>Ashok Leyland 66 Seater with driver model 2026 Brand New</t>
  </si>
  <si>
    <t>Bus with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</si>
</sst>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16</xdr:row>
          <xdr:rowOff>229603</xdr:rowOff>
        </xdr:from>
        <xdr:to>
          <xdr:col>11</xdr:col>
          <xdr:colOff>1562100</xdr:colOff>
          <xdr:row>23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6" spid="_x0000_s1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topLeftCell="A3" zoomScale="95" zoomScaleNormal="95" zoomScaleSheetLayoutView="95" workbookViewId="0">
      <selection activeCell="J25" sqref="J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0" t="s">
        <v>102</v>
      </c>
      <c r="B1" s="121"/>
      <c r="C1" s="103"/>
      <c r="D1" s="103"/>
      <c r="E1" s="103"/>
      <c r="F1" s="103"/>
      <c r="G1" s="1"/>
      <c r="J1" s="154" t="s">
        <v>84</v>
      </c>
      <c r="K1" s="155"/>
      <c r="L1" s="156"/>
    </row>
    <row r="2" spans="1:19" ht="20.100000000000001" customHeight="1">
      <c r="A2" s="3" t="s">
        <v>85</v>
      </c>
      <c r="B2" s="94"/>
      <c r="C2" s="94"/>
      <c r="D2" s="3" t="s">
        <v>103</v>
      </c>
      <c r="E2" s="94"/>
      <c r="F2" s="94"/>
      <c r="G2" s="94"/>
      <c r="H2" s="94"/>
      <c r="I2" s="4"/>
      <c r="J2" s="157" t="s">
        <v>86</v>
      </c>
      <c r="K2" s="158"/>
      <c r="L2" s="159"/>
    </row>
    <row r="3" spans="1:19" ht="20.100000000000001" customHeight="1">
      <c r="A3" s="3" t="s">
        <v>129</v>
      </c>
      <c r="B3" s="94"/>
      <c r="C3" s="94"/>
      <c r="D3" s="94"/>
      <c r="E3" s="160">
        <f>+L3+3</f>
        <v>46252</v>
      </c>
      <c r="F3" s="160"/>
      <c r="G3" s="160"/>
      <c r="H3" s="160"/>
      <c r="I3" s="160"/>
      <c r="J3" s="94"/>
      <c r="K3" s="94"/>
      <c r="L3" s="122">
        <v>46249</v>
      </c>
      <c r="M3" s="4"/>
    </row>
    <row r="4" spans="1:19" ht="15.95" customHeight="1">
      <c r="A4" s="161" t="s">
        <v>1</v>
      </c>
      <c r="B4" s="162" t="s">
        <v>2</v>
      </c>
      <c r="C4" s="162"/>
      <c r="D4" s="163" t="s">
        <v>3</v>
      </c>
      <c r="E4" s="164"/>
      <c r="F4" s="165"/>
      <c r="G4" s="169" t="s">
        <v>4</v>
      </c>
      <c r="H4" s="171" t="s">
        <v>5</v>
      </c>
      <c r="I4" s="171" t="s">
        <v>81</v>
      </c>
      <c r="J4" s="161" t="s">
        <v>82</v>
      </c>
      <c r="K4" s="171" t="s">
        <v>0</v>
      </c>
      <c r="L4" s="162" t="s">
        <v>6</v>
      </c>
    </row>
    <row r="5" spans="1:19" ht="15.95" customHeight="1">
      <c r="A5" s="161"/>
      <c r="B5" s="162"/>
      <c r="C5" s="162"/>
      <c r="D5" s="166"/>
      <c r="E5" s="167"/>
      <c r="F5" s="168"/>
      <c r="G5" s="170"/>
      <c r="H5" s="172"/>
      <c r="I5" s="172"/>
      <c r="J5" s="161"/>
      <c r="K5" s="172"/>
      <c r="L5" s="162"/>
    </row>
    <row r="6" spans="1:19" ht="33.75" customHeight="1">
      <c r="A6" s="5">
        <f t="shared" ref="A6:A15" si="0">ROW(A1)</f>
        <v>1</v>
      </c>
      <c r="B6" s="173" t="s">
        <v>133</v>
      </c>
      <c r="C6" s="174"/>
      <c r="D6" s="175" t="s">
        <v>132</v>
      </c>
      <c r="E6" s="176"/>
      <c r="F6" s="177"/>
      <c r="G6" s="104" t="s">
        <v>130</v>
      </c>
      <c r="H6" s="105">
        <v>1</v>
      </c>
      <c r="I6" s="106">
        <v>11500</v>
      </c>
      <c r="J6" s="106">
        <f>H6*I6</f>
        <v>11500</v>
      </c>
      <c r="K6" s="107" t="s">
        <v>116</v>
      </c>
      <c r="L6" s="108" t="s">
        <v>83</v>
      </c>
      <c r="S6" s="99"/>
    </row>
    <row r="7" spans="1:19" ht="34.5" customHeight="1">
      <c r="A7" s="5">
        <f t="shared" si="0"/>
        <v>2</v>
      </c>
      <c r="B7" s="173"/>
      <c r="C7" s="174"/>
      <c r="D7" s="178"/>
      <c r="E7" s="176"/>
      <c r="F7" s="177"/>
      <c r="G7" s="104"/>
      <c r="H7" s="105"/>
      <c r="I7" s="106"/>
      <c r="J7" s="106"/>
      <c r="K7" s="107"/>
      <c r="L7" s="108"/>
      <c r="S7" s="99"/>
    </row>
    <row r="8" spans="1:19" ht="22.5" customHeight="1">
      <c r="A8" s="5">
        <f t="shared" si="0"/>
        <v>3</v>
      </c>
      <c r="B8" s="173"/>
      <c r="C8" s="174"/>
      <c r="D8" s="175"/>
      <c r="E8" s="176"/>
      <c r="F8" s="177"/>
      <c r="G8" s="104"/>
      <c r="H8" s="105"/>
      <c r="I8" s="106"/>
      <c r="J8" s="106"/>
      <c r="K8" s="107"/>
      <c r="L8" s="108"/>
      <c r="S8" s="99"/>
    </row>
    <row r="9" spans="1:19" ht="22.5" customHeight="1">
      <c r="A9" s="5">
        <f t="shared" si="0"/>
        <v>4</v>
      </c>
      <c r="B9" s="173"/>
      <c r="C9" s="174"/>
      <c r="D9" s="178"/>
      <c r="E9" s="176"/>
      <c r="F9" s="177"/>
      <c r="G9" s="104"/>
      <c r="H9" s="105"/>
      <c r="I9" s="106"/>
      <c r="J9" s="106"/>
      <c r="K9" s="107"/>
      <c r="L9" s="108"/>
      <c r="S9" s="99"/>
    </row>
    <row r="10" spans="1:19" ht="22.5" customHeight="1">
      <c r="A10" s="5">
        <f t="shared" si="0"/>
        <v>5</v>
      </c>
      <c r="B10" s="179"/>
      <c r="C10" s="179"/>
      <c r="D10" s="180"/>
      <c r="E10" s="180"/>
      <c r="F10" s="180"/>
      <c r="G10" s="104"/>
      <c r="H10" s="105"/>
      <c r="I10" s="109"/>
      <c r="J10" s="106"/>
      <c r="K10" s="107"/>
      <c r="L10" s="104"/>
      <c r="S10" s="99"/>
    </row>
    <row r="11" spans="1:19" ht="22.5" customHeight="1">
      <c r="A11" s="5">
        <f t="shared" si="0"/>
        <v>6</v>
      </c>
      <c r="B11" s="173"/>
      <c r="C11" s="174"/>
      <c r="D11" s="175"/>
      <c r="E11" s="176"/>
      <c r="F11" s="177"/>
      <c r="G11" s="104"/>
      <c r="H11" s="105"/>
      <c r="I11" s="106"/>
      <c r="J11" s="106"/>
      <c r="K11" s="107"/>
      <c r="L11" s="108"/>
      <c r="S11" s="99"/>
    </row>
    <row r="12" spans="1:19" ht="22.5" customHeight="1">
      <c r="A12" s="5">
        <f t="shared" si="0"/>
        <v>7</v>
      </c>
      <c r="B12" s="179"/>
      <c r="C12" s="179"/>
      <c r="D12" s="180"/>
      <c r="E12" s="180"/>
      <c r="F12" s="180"/>
      <c r="G12" s="104"/>
      <c r="H12" s="105"/>
      <c r="I12" s="109"/>
      <c r="J12" s="106"/>
      <c r="K12" s="107"/>
      <c r="L12" s="104"/>
      <c r="S12" s="99"/>
    </row>
    <row r="13" spans="1:19" ht="22.5" customHeight="1">
      <c r="A13" s="5">
        <f t="shared" si="0"/>
        <v>8</v>
      </c>
      <c r="B13" s="173"/>
      <c r="C13" s="174"/>
      <c r="D13" s="175"/>
      <c r="E13" s="176"/>
      <c r="F13" s="177"/>
      <c r="G13" s="104"/>
      <c r="H13" s="105"/>
      <c r="I13" s="106"/>
      <c r="J13" s="106"/>
      <c r="K13" s="107"/>
      <c r="L13" s="108"/>
      <c r="S13" s="99"/>
    </row>
    <row r="14" spans="1:19" ht="22.5" hidden="1" customHeight="1">
      <c r="A14" s="5">
        <f t="shared" si="0"/>
        <v>9</v>
      </c>
      <c r="B14" s="173"/>
      <c r="C14" s="174"/>
      <c r="D14" s="175"/>
      <c r="E14" s="176"/>
      <c r="F14" s="177"/>
      <c r="G14" s="104"/>
      <c r="H14" s="105"/>
      <c r="I14" s="106"/>
      <c r="J14" s="106"/>
      <c r="K14" s="107"/>
      <c r="L14" s="108"/>
      <c r="S14" s="99"/>
    </row>
    <row r="15" spans="1:19" ht="22.5" hidden="1" customHeight="1">
      <c r="A15" s="5">
        <f t="shared" si="0"/>
        <v>10</v>
      </c>
      <c r="B15" s="173"/>
      <c r="C15" s="174"/>
      <c r="D15" s="175"/>
      <c r="E15" s="176"/>
      <c r="F15" s="177"/>
      <c r="G15" s="104"/>
      <c r="H15" s="105"/>
      <c r="I15" s="106"/>
      <c r="J15" s="106"/>
      <c r="K15" s="107"/>
      <c r="L15" s="108"/>
      <c r="S15" s="99"/>
    </row>
    <row r="16" spans="1:19" ht="22.5" customHeight="1">
      <c r="A16" s="181" t="s">
        <v>7</v>
      </c>
      <c r="B16" s="182"/>
      <c r="C16" s="110"/>
      <c r="D16" s="111"/>
      <c r="E16" s="111"/>
      <c r="F16" s="111"/>
      <c r="G16" s="112"/>
      <c r="H16" s="112"/>
      <c r="I16" s="113" t="s">
        <v>8</v>
      </c>
      <c r="J16" s="106">
        <f>SUM(J6:J15)</f>
        <v>11500</v>
      </c>
      <c r="K16" s="106"/>
      <c r="L16" s="114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23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45"/>
      <c r="Z18" s="10"/>
    </row>
    <row r="19" spans="1:26" ht="50.1" customHeight="1">
      <c r="Y19" s="146"/>
    </row>
    <row r="20" spans="1:26" ht="15" customHeight="1">
      <c r="O20" s="141" t="s">
        <v>104</v>
      </c>
      <c r="P20" s="147"/>
      <c r="Q20" s="147"/>
      <c r="R20" s="142"/>
      <c r="S20" s="125"/>
      <c r="T20" s="141" t="s">
        <v>105</v>
      </c>
      <c r="U20" s="147"/>
      <c r="V20" s="147"/>
      <c r="W20" s="147"/>
      <c r="X20" s="147"/>
      <c r="Y20" s="142"/>
    </row>
    <row r="21" spans="1:26" ht="15" customHeight="1">
      <c r="O21" s="148" t="s">
        <v>106</v>
      </c>
      <c r="P21" s="150" t="s">
        <v>107</v>
      </c>
      <c r="Q21" s="148" t="s">
        <v>108</v>
      </c>
      <c r="R21" s="150" t="s">
        <v>109</v>
      </c>
      <c r="S21" s="125"/>
      <c r="T21" s="148" t="s">
        <v>110</v>
      </c>
      <c r="U21" s="150" t="s">
        <v>111</v>
      </c>
      <c r="V21" s="141" t="s">
        <v>112</v>
      </c>
      <c r="W21" s="147"/>
      <c r="X21" s="142"/>
      <c r="Y21" s="150" t="s">
        <v>113</v>
      </c>
    </row>
    <row r="22" spans="1:26" ht="18" customHeight="1">
      <c r="O22" s="149"/>
      <c r="P22" s="151"/>
      <c r="Q22" s="149"/>
      <c r="R22" s="151"/>
      <c r="S22" s="126"/>
      <c r="T22" s="149"/>
      <c r="U22" s="151"/>
      <c r="V22" s="124" t="s">
        <v>106</v>
      </c>
      <c r="W22" s="152" t="s">
        <v>114</v>
      </c>
      <c r="X22" s="153"/>
      <c r="Y22" s="151"/>
    </row>
    <row r="23" spans="1:26" ht="50.1" customHeight="1">
      <c r="O23" s="11"/>
      <c r="P23" s="11"/>
      <c r="Q23" s="11"/>
      <c r="R23" s="11"/>
      <c r="S23" s="125"/>
      <c r="T23" s="11"/>
      <c r="U23" s="11"/>
      <c r="V23" s="11"/>
      <c r="W23" s="141"/>
      <c r="X23" s="142"/>
      <c r="Y23" s="127"/>
    </row>
    <row r="24" spans="1:26" ht="36" customHeight="1">
      <c r="W24" s="128"/>
      <c r="X24" s="143" t="s">
        <v>115</v>
      </c>
      <c r="Y24" s="119" t="s">
        <v>113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44"/>
      <c r="Y25" s="131"/>
    </row>
    <row r="26" spans="1:26" ht="19.899999999999999" customHeight="1"/>
    <row r="27" spans="1:26" ht="17.45" customHeight="1">
      <c r="O27" s="183"/>
      <c r="P27" s="183"/>
      <c r="Q27" s="183"/>
    </row>
    <row r="28" spans="1:26" ht="19.899999999999999" customHeight="1">
      <c r="O28" s="183"/>
      <c r="P28" s="183"/>
      <c r="Q28" s="183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0" t="s">
        <v>11</v>
      </c>
    </row>
    <row r="41" spans="15:22" ht="19.899999999999999" customHeight="1">
      <c r="T41" s="151"/>
    </row>
    <row r="42" spans="15:22" ht="64.900000000000006" customHeight="1">
      <c r="T42" s="11"/>
    </row>
    <row r="46" spans="15:22" ht="21" customHeight="1">
      <c r="O46" s="150" t="s">
        <v>11</v>
      </c>
      <c r="P46" s="150" t="s">
        <v>11</v>
      </c>
      <c r="Q46" s="150" t="s">
        <v>11</v>
      </c>
      <c r="T46" s="150" t="s">
        <v>12</v>
      </c>
      <c r="U46" s="150" t="s">
        <v>10</v>
      </c>
      <c r="V46" s="150" t="s">
        <v>11</v>
      </c>
    </row>
    <row r="47" spans="15:22" ht="21" customHeight="1">
      <c r="O47" s="151"/>
      <c r="P47" s="151"/>
      <c r="Q47" s="151"/>
      <c r="T47" s="149"/>
      <c r="U47" s="149"/>
      <c r="V47" s="151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50" t="s">
        <v>11</v>
      </c>
      <c r="P50" s="150" t="s">
        <v>11</v>
      </c>
      <c r="Q50" s="150" t="s">
        <v>11</v>
      </c>
      <c r="T50" s="150" t="s">
        <v>10</v>
      </c>
      <c r="U50" s="150" t="s">
        <v>12</v>
      </c>
      <c r="V50" s="150" t="s">
        <v>11</v>
      </c>
    </row>
    <row r="51" spans="15:22" ht="21" customHeight="1">
      <c r="O51" s="151"/>
      <c r="P51" s="151"/>
      <c r="Q51" s="151"/>
      <c r="T51" s="149"/>
      <c r="U51" s="149"/>
      <c r="V51" s="151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9" sqref="K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2" t="s">
        <v>80</v>
      </c>
      <c r="B1" s="93"/>
      <c r="C1" s="93"/>
      <c r="D1" s="93"/>
      <c r="E1" s="93"/>
      <c r="F1" s="93"/>
      <c r="G1" s="1"/>
      <c r="J1" s="184" t="str">
        <f>+MRS!J1</f>
        <v>DAESHIN PLANT</v>
      </c>
      <c r="K1" s="185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3"/>
      <c r="H2" s="13"/>
      <c r="I2" s="13"/>
      <c r="J2" s="186" t="str">
        <f>+MRS!J2</f>
        <v>Subcontract name (SAC2-SC-IK-SMP-01)</v>
      </c>
      <c r="K2" s="187"/>
    </row>
    <row r="3" spans="1:18" ht="24.95" customHeight="1">
      <c r="A3" s="3" t="str">
        <f>+MRS!A3</f>
        <v xml:space="preserve">  MRS No : SAC2-DS-MRS-0422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46249</v>
      </c>
    </row>
    <row r="4" spans="1:18" ht="15.95" customHeight="1">
      <c r="A4" s="188" t="s">
        <v>1</v>
      </c>
      <c r="B4" s="189" t="s">
        <v>13</v>
      </c>
      <c r="C4" s="189"/>
      <c r="D4" s="188" t="s">
        <v>3</v>
      </c>
      <c r="E4" s="188"/>
      <c r="F4" s="188"/>
      <c r="G4" s="189" t="s">
        <v>4</v>
      </c>
      <c r="H4" s="188" t="s">
        <v>77</v>
      </c>
      <c r="I4" s="188" t="s">
        <v>14</v>
      </c>
      <c r="J4" s="188" t="s">
        <v>15</v>
      </c>
      <c r="K4" s="189" t="s">
        <v>6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4">
        <f>+MRS!A6</f>
        <v>1</v>
      </c>
      <c r="B6" s="190" t="str">
        <f>MRS!B6</f>
        <v>Bus with Driver</v>
      </c>
      <c r="C6" s="191"/>
      <c r="D6" s="192" t="str">
        <f>MRS!D6</f>
        <v>Ashok Leyland 66 Seater with driver model 2026 Brand New</v>
      </c>
      <c r="E6" s="193"/>
      <c r="F6" s="194"/>
      <c r="G6" s="96" t="str">
        <f>MRS!G6</f>
        <v>Month</v>
      </c>
      <c r="H6" s="96">
        <f>MRS!H6</f>
        <v>1</v>
      </c>
      <c r="I6" s="97">
        <f>MRS!I6</f>
        <v>11500</v>
      </c>
      <c r="J6" s="97">
        <f>MRS!J6</f>
        <v>11500</v>
      </c>
      <c r="K6" s="98"/>
      <c r="O6" s="99"/>
      <c r="P6" s="99"/>
      <c r="R6" s="99"/>
    </row>
    <row r="7" spans="1:18" ht="105" customHeight="1">
      <c r="A7" s="14">
        <f>+MRS!A7</f>
        <v>2</v>
      </c>
      <c r="B7" s="190">
        <f>MRS!B7</f>
        <v>0</v>
      </c>
      <c r="C7" s="191"/>
      <c r="D7" s="192">
        <f>MRS!D7</f>
        <v>0</v>
      </c>
      <c r="E7" s="193"/>
      <c r="F7" s="194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4">
        <f>+MRS!A8</f>
        <v>3</v>
      </c>
      <c r="B8" s="190">
        <f>MRS!B8</f>
        <v>0</v>
      </c>
      <c r="C8" s="191"/>
      <c r="D8" s="192">
        <f>MRS!D8</f>
        <v>0</v>
      </c>
      <c r="E8" s="193"/>
      <c r="F8" s="194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4">
        <f>+MRS!A9</f>
        <v>4</v>
      </c>
      <c r="B9" s="195"/>
      <c r="C9" s="196"/>
      <c r="D9" s="197"/>
      <c r="E9" s="198"/>
      <c r="F9" s="199"/>
      <c r="G9" s="100"/>
      <c r="H9" s="101"/>
      <c r="I9" s="102"/>
      <c r="J9" s="102"/>
      <c r="K9" s="98"/>
      <c r="O9" s="99"/>
      <c r="P9" s="99"/>
      <c r="R9" s="99"/>
    </row>
    <row r="10" spans="1:18" ht="105" customHeight="1">
      <c r="A10" s="14">
        <f>+MRS!A10</f>
        <v>5</v>
      </c>
      <c r="B10" s="195"/>
      <c r="C10" s="196"/>
      <c r="D10" s="197"/>
      <c r="E10" s="198"/>
      <c r="F10" s="199"/>
      <c r="G10" s="100"/>
      <c r="H10" s="101"/>
      <c r="I10" s="102"/>
      <c r="J10" s="102"/>
      <c r="K10" s="98"/>
      <c r="O10" s="99"/>
      <c r="P10" s="99"/>
      <c r="R10" s="99"/>
    </row>
    <row r="11" spans="1:18" ht="105" customHeight="1">
      <c r="A11" s="14">
        <f>+MRS!A11</f>
        <v>6</v>
      </c>
      <c r="B11" s="195"/>
      <c r="C11" s="196"/>
      <c r="D11" s="197"/>
      <c r="E11" s="198"/>
      <c r="F11" s="199"/>
      <c r="G11" s="100"/>
      <c r="H11" s="101"/>
      <c r="I11" s="102"/>
      <c r="J11" s="102"/>
      <c r="K11" s="98"/>
      <c r="O11" s="99"/>
      <c r="P11" s="99"/>
      <c r="R11" s="99"/>
    </row>
    <row r="12" spans="1:18" ht="105" customHeight="1">
      <c r="A12" s="14">
        <f>+MRS!A12</f>
        <v>7</v>
      </c>
      <c r="B12" s="195"/>
      <c r="C12" s="196"/>
      <c r="D12" s="197"/>
      <c r="E12" s="198"/>
      <c r="F12" s="199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4">
        <f>+MRS!A13</f>
        <v>8</v>
      </c>
      <c r="B13" s="195"/>
      <c r="C13" s="196"/>
      <c r="D13" s="197"/>
      <c r="E13" s="198"/>
      <c r="F13" s="199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4">
        <f>+MRS!A14</f>
        <v>9</v>
      </c>
      <c r="B14" s="195"/>
      <c r="C14" s="196"/>
      <c r="D14" s="197"/>
      <c r="E14" s="198"/>
      <c r="F14" s="199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4">
        <f>+MRS!A15</f>
        <v>10</v>
      </c>
      <c r="B15" s="195"/>
      <c r="C15" s="196"/>
      <c r="D15" s="197"/>
      <c r="E15" s="198"/>
      <c r="F15" s="199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4" t="e">
        <f>+MRS!#REF!</f>
        <v>#REF!</v>
      </c>
      <c r="B16" s="195"/>
      <c r="C16" s="196"/>
      <c r="D16" s="197"/>
      <c r="E16" s="198"/>
      <c r="F16" s="199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4" t="e">
        <f>+MRS!#REF!</f>
        <v>#REF!</v>
      </c>
      <c r="B17" s="195"/>
      <c r="C17" s="196"/>
      <c r="D17" s="197"/>
      <c r="E17" s="198"/>
      <c r="F17" s="199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2" zoomScale="130" zoomScaleSheetLayoutView="130" workbookViewId="0">
      <selection activeCell="P33" sqref="P33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89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117</v>
      </c>
      <c r="D9" s="32"/>
      <c r="E9" s="32"/>
    </row>
    <row r="10" spans="2:13" s="32" customFormat="1">
      <c r="B10" s="65"/>
      <c r="C10" s="32" t="s">
        <v>99</v>
      </c>
      <c r="D10" s="69">
        <v>2051251124</v>
      </c>
      <c r="J10" s="32" t="s">
        <v>22</v>
      </c>
      <c r="K10" s="133">
        <f>MRS!L3</f>
        <v>46249</v>
      </c>
      <c r="L10" s="134"/>
      <c r="M10" s="134"/>
    </row>
    <row r="11" spans="2:13" s="32" customFormat="1">
      <c r="B11" s="65"/>
      <c r="C11" s="68" t="s">
        <v>100</v>
      </c>
      <c r="D11" s="69" t="s">
        <v>118</v>
      </c>
      <c r="J11" s="32" t="s">
        <v>23</v>
      </c>
      <c r="K11" s="135" t="str">
        <f>SUBSTITUTE(SUBSTITUTE(+MRS!A3,"  MRS No : ",""),"-MRS","-PO")</f>
        <v>SAC2-DS-PO-0422</v>
      </c>
      <c r="L11" s="135"/>
      <c r="M11" s="135"/>
    </row>
    <row r="12" spans="2:13" s="32" customFormat="1">
      <c r="B12" s="65"/>
      <c r="C12" s="68" t="s">
        <v>101</v>
      </c>
      <c r="D12" s="32" t="s">
        <v>119</v>
      </c>
      <c r="J12" s="32" t="s">
        <v>24</v>
      </c>
    </row>
    <row r="13" spans="2:13" s="32" customFormat="1">
      <c r="B13" s="65"/>
      <c r="C13" s="70"/>
      <c r="D13" s="69" t="s">
        <v>120</v>
      </c>
      <c r="J13" s="32" t="s">
        <v>25</v>
      </c>
    </row>
    <row r="14" spans="2:13" s="32" customFormat="1">
      <c r="B14" s="65"/>
      <c r="C14" s="70" t="s">
        <v>122</v>
      </c>
      <c r="J14" s="32" t="s">
        <v>26</v>
      </c>
      <c r="K14" s="32" t="s">
        <v>131</v>
      </c>
    </row>
    <row r="15" spans="2:13" s="32" customFormat="1">
      <c r="B15" s="65"/>
      <c r="C15" s="70" t="s">
        <v>121</v>
      </c>
      <c r="J15" s="32" t="s">
        <v>27</v>
      </c>
      <c r="K15" s="71">
        <v>46250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136" t="s">
        <v>28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2:13" ht="12" customHeight="1"/>
    <row r="20" spans="2:13" s="24" customFormat="1" ht="12" customHeight="1">
      <c r="B20" s="137" t="s">
        <v>29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</row>
    <row r="21" spans="2:13" s="24" customFormat="1" ht="12" customHeight="1">
      <c r="B21" s="137" t="s">
        <v>30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</row>
    <row r="22" spans="2:13" s="24" customFormat="1" ht="12" customHeight="1">
      <c r="B22" s="137" t="s">
        <v>31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</row>
    <row r="23" spans="2:13" ht="6.95" customHeight="1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2:13" ht="6.95" customHeight="1"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15" t="str">
        <f>MRS!B6</f>
        <v>Bus with Driver</v>
      </c>
      <c r="M26" s="72" t="s">
        <v>33</v>
      </c>
    </row>
    <row r="27" spans="2:13" ht="11.1" customHeight="1">
      <c r="B27" s="25"/>
      <c r="C27" s="117" t="str">
        <f>+MRS!D6</f>
        <v>Ashok Leyland 66 Seater with driver model 2026 Brand New</v>
      </c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140" t="s">
        <v>83</v>
      </c>
      <c r="G29" s="140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140"/>
      <c r="G30" s="140"/>
    </row>
    <row r="31" spans="2:13" ht="12" customHeight="1">
      <c r="B31" s="25"/>
      <c r="C31" s="19" t="s">
        <v>38</v>
      </c>
      <c r="D31" s="28"/>
      <c r="E31" s="19" t="s">
        <v>36</v>
      </c>
      <c r="F31" s="140"/>
      <c r="G31" s="140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87</v>
      </c>
      <c r="P49" s="75"/>
    </row>
    <row r="50" spans="2:16" s="76" customFormat="1" ht="12" customHeight="1">
      <c r="B50" s="77" t="s">
        <v>52</v>
      </c>
      <c r="C50" s="74" t="s">
        <v>79</v>
      </c>
    </row>
    <row r="51" spans="2:16" s="76" customFormat="1" ht="12" customHeight="1">
      <c r="B51" s="77" t="s">
        <v>52</v>
      </c>
      <c r="C51" s="74" t="s">
        <v>78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90</v>
      </c>
    </row>
    <row r="54" spans="2:16" ht="12" customHeight="1">
      <c r="B54" s="77" t="s">
        <v>52</v>
      </c>
      <c r="C54" s="116" t="s">
        <v>91</v>
      </c>
      <c r="F54" s="19" t="s">
        <v>128</v>
      </c>
      <c r="P54" s="19" t="str">
        <f>UPPER(F54)</f>
        <v>DORIGHT CONTRACTING</v>
      </c>
    </row>
    <row r="55" spans="2:16" ht="12" customHeight="1">
      <c r="B55" s="77" t="s">
        <v>52</v>
      </c>
      <c r="C55" s="116" t="s">
        <v>92</v>
      </c>
      <c r="F55" s="117" t="s">
        <v>123</v>
      </c>
    </row>
    <row r="56" spans="2:16" ht="12" customHeight="1">
      <c r="B56" s="77" t="s">
        <v>52</v>
      </c>
      <c r="C56" s="116" t="s">
        <v>93</v>
      </c>
      <c r="F56" s="117" t="s">
        <v>124</v>
      </c>
    </row>
    <row r="57" spans="2:16" ht="12" customHeight="1">
      <c r="B57" s="77" t="s">
        <v>52</v>
      </c>
      <c r="C57" s="116" t="s">
        <v>94</v>
      </c>
      <c r="F57" s="19" t="s">
        <v>125</v>
      </c>
    </row>
    <row r="58" spans="2:16" ht="12" customHeight="1">
      <c r="B58" s="77" t="s">
        <v>52</v>
      </c>
      <c r="C58" s="116" t="s">
        <v>95</v>
      </c>
      <c r="F58" s="19" t="s">
        <v>126</v>
      </c>
    </row>
    <row r="59" spans="2:16" ht="12" customHeight="1">
      <c r="B59" s="77" t="s">
        <v>52</v>
      </c>
      <c r="C59" s="116" t="s">
        <v>96</v>
      </c>
      <c r="F59" s="19" t="s">
        <v>97</v>
      </c>
    </row>
    <row r="60" spans="2:16" ht="12" customHeight="1">
      <c r="B60" s="77"/>
      <c r="C60" s="116" t="s">
        <v>98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SALMAN FARISH</v>
      </c>
    </row>
    <row r="68" spans="1:13" ht="18" customHeight="1">
      <c r="B68" s="19" t="s">
        <v>58</v>
      </c>
      <c r="J68" s="19" t="s">
        <v>59</v>
      </c>
      <c r="K68" s="15" t="s">
        <v>127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88</v>
      </c>
      <c r="J70" s="118" t="str">
        <f>C9</f>
        <v>DRCE(Do Right Contracting Est)</v>
      </c>
    </row>
    <row r="71" spans="1:13" ht="27.95" customHeight="1">
      <c r="A71" s="132" t="s">
        <v>62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N13" sqref="N13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SAC2-DS-PO-0422</v>
      </c>
      <c r="C2" s="202" t="s">
        <v>64</v>
      </c>
      <c r="D2" s="202"/>
      <c r="E2" s="202"/>
      <c r="F2" s="202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46249</v>
      </c>
      <c r="C3" s="44"/>
      <c r="D3" s="45"/>
      <c r="E3" s="203" t="s">
        <v>66</v>
      </c>
      <c r="F3" s="203"/>
      <c r="G3" s="203"/>
      <c r="H3" s="203"/>
      <c r="I3" s="46"/>
    </row>
    <row r="4" spans="1:13" s="48" customFormat="1" ht="28.5" customHeight="1" thickTop="1">
      <c r="A4" s="204" t="s">
        <v>67</v>
      </c>
      <c r="B4" s="206" t="s">
        <v>68</v>
      </c>
      <c r="C4" s="207"/>
      <c r="D4" s="210" t="s">
        <v>69</v>
      </c>
      <c r="E4" s="210" t="s">
        <v>70</v>
      </c>
      <c r="F4" s="212" t="str">
        <f>'PO 1st page'!C9</f>
        <v>DRCE(Do Right Contracting Est)</v>
      </c>
      <c r="G4" s="213"/>
      <c r="H4" s="214" t="s">
        <v>71</v>
      </c>
      <c r="K4" s="49"/>
      <c r="L4" s="49"/>
      <c r="M4" s="49"/>
    </row>
    <row r="5" spans="1:13" s="48" customFormat="1" ht="21.95" customHeight="1">
      <c r="A5" s="205"/>
      <c r="B5" s="208"/>
      <c r="C5" s="209"/>
      <c r="D5" s="211"/>
      <c r="E5" s="211"/>
      <c r="F5" s="50" t="s">
        <v>72</v>
      </c>
      <c r="G5" s="50" t="s">
        <v>38</v>
      </c>
      <c r="H5" s="215"/>
      <c r="K5" s="49"/>
      <c r="L5" s="49"/>
      <c r="M5" s="49"/>
    </row>
    <row r="6" spans="1:13" s="48" customFormat="1" ht="40.5" customHeight="1">
      <c r="A6" s="78">
        <f t="shared" ref="A6:A17" si="0">ROW(A1)</f>
        <v>1</v>
      </c>
      <c r="B6" s="216" t="str">
        <f>CONCATENATE(MRS!B6," ",MRS!D6)</f>
        <v>Bus with Driver Ashok Leyland 66 Seater with driver model 2026 Brand New</v>
      </c>
      <c r="C6" s="217"/>
      <c r="D6" s="79" t="str">
        <f>MRS!G6</f>
        <v>Month</v>
      </c>
      <c r="E6" s="79">
        <f>MRS!H6</f>
        <v>1</v>
      </c>
      <c r="F6" s="80">
        <f>MRS!I6</f>
        <v>11500</v>
      </c>
      <c r="G6" s="81">
        <f>MRS!J6</f>
        <v>11500</v>
      </c>
      <c r="H6" s="82" t="str">
        <f>MRS!L6</f>
        <v>Monthly Based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216"/>
      <c r="C7" s="217"/>
      <c r="D7" s="79"/>
      <c r="E7" s="79"/>
      <c r="F7" s="80"/>
      <c r="G7" s="81"/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216"/>
      <c r="C8" s="217"/>
      <c r="D8" s="79"/>
      <c r="E8" s="79"/>
      <c r="F8" s="80"/>
      <c r="G8" s="81"/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216"/>
      <c r="C9" s="217"/>
      <c r="D9" s="79"/>
      <c r="E9" s="79"/>
      <c r="F9" s="80"/>
      <c r="G9" s="81"/>
      <c r="H9" s="90"/>
    </row>
    <row r="10" spans="1:13" s="48" customFormat="1" ht="32.1" customHeight="1">
      <c r="A10" s="85">
        <f t="shared" si="0"/>
        <v>5</v>
      </c>
      <c r="B10" s="200"/>
      <c r="C10" s="201"/>
      <c r="D10" s="86"/>
      <c r="E10" s="87"/>
      <c r="F10" s="88"/>
      <c r="G10" s="89"/>
      <c r="H10" s="90"/>
    </row>
    <row r="11" spans="1:13" s="48" customFormat="1" ht="32.1" customHeight="1">
      <c r="A11" s="85">
        <f t="shared" si="0"/>
        <v>6</v>
      </c>
      <c r="B11" s="200"/>
      <c r="C11" s="201"/>
      <c r="D11" s="86"/>
      <c r="E11" s="87"/>
      <c r="F11" s="88"/>
      <c r="G11" s="89"/>
      <c r="H11" s="90"/>
    </row>
    <row r="12" spans="1:13" s="48" customFormat="1" ht="32.1" customHeight="1">
      <c r="A12" s="85">
        <f t="shared" si="0"/>
        <v>7</v>
      </c>
      <c r="B12" s="200"/>
      <c r="C12" s="201"/>
      <c r="D12" s="86"/>
      <c r="E12" s="87"/>
      <c r="F12" s="88"/>
      <c r="G12" s="89"/>
      <c r="H12" s="90"/>
    </row>
    <row r="13" spans="1:13" s="48" customFormat="1" ht="32.1" customHeight="1">
      <c r="A13" s="85">
        <f t="shared" si="0"/>
        <v>8</v>
      </c>
      <c r="B13" s="200"/>
      <c r="C13" s="201"/>
      <c r="D13" s="86"/>
      <c r="E13" s="87"/>
      <c r="F13" s="88"/>
      <c r="G13" s="89"/>
      <c r="H13" s="90"/>
    </row>
    <row r="14" spans="1:13" s="48" customFormat="1" ht="32.1" customHeight="1">
      <c r="A14" s="85">
        <f t="shared" si="0"/>
        <v>9</v>
      </c>
      <c r="B14" s="200"/>
      <c r="C14" s="201"/>
      <c r="D14" s="86"/>
      <c r="E14" s="87"/>
      <c r="F14" s="91"/>
      <c r="G14" s="89"/>
      <c r="H14" s="90"/>
    </row>
    <row r="15" spans="1:13" s="48" customFormat="1" ht="32.1" customHeight="1">
      <c r="A15" s="85">
        <f t="shared" si="0"/>
        <v>10</v>
      </c>
      <c r="B15" s="200"/>
      <c r="C15" s="201"/>
      <c r="D15" s="86"/>
      <c r="E15" s="87"/>
      <c r="F15" s="91"/>
      <c r="G15" s="89"/>
      <c r="H15" s="90"/>
    </row>
    <row r="16" spans="1:13" s="48" customFormat="1" ht="32.1" customHeight="1">
      <c r="A16" s="85">
        <f t="shared" si="0"/>
        <v>11</v>
      </c>
      <c r="B16" s="200"/>
      <c r="C16" s="201"/>
      <c r="D16" s="86"/>
      <c r="E16" s="87"/>
      <c r="F16" s="88"/>
      <c r="G16" s="89"/>
      <c r="H16" s="90"/>
    </row>
    <row r="17" spans="1:13" s="48" customFormat="1" ht="32.1" customHeight="1">
      <c r="A17" s="85">
        <f t="shared" si="0"/>
        <v>12</v>
      </c>
      <c r="B17" s="200"/>
      <c r="C17" s="201"/>
      <c r="D17" s="86"/>
      <c r="E17" s="87"/>
      <c r="F17" s="88"/>
      <c r="G17" s="89"/>
      <c r="H17" s="90"/>
    </row>
    <row r="18" spans="1:13" s="48" customFormat="1" ht="23.1" customHeight="1">
      <c r="A18" s="218" t="s">
        <v>73</v>
      </c>
      <c r="B18" s="219"/>
      <c r="C18" s="219"/>
      <c r="D18" s="219"/>
      <c r="E18" s="219"/>
      <c r="F18" s="219"/>
      <c r="G18" s="51">
        <f>SUM(G6:G17)</f>
        <v>11500</v>
      </c>
      <c r="H18" s="52"/>
    </row>
    <row r="19" spans="1:13" s="48" customFormat="1" ht="23.1" customHeight="1">
      <c r="A19" s="218" t="s">
        <v>37</v>
      </c>
      <c r="B19" s="219"/>
      <c r="C19" s="219"/>
      <c r="D19" s="219"/>
      <c r="E19" s="219"/>
      <c r="F19" s="219"/>
      <c r="G19" s="51">
        <f>+G18*0.15</f>
        <v>1725</v>
      </c>
      <c r="H19" s="52"/>
    </row>
    <row r="20" spans="1:13" s="48" customFormat="1" ht="24.95" customHeight="1" thickBot="1">
      <c r="A20" s="220" t="s">
        <v>74</v>
      </c>
      <c r="B20" s="221"/>
      <c r="C20" s="221"/>
      <c r="D20" s="221"/>
      <c r="E20" s="221"/>
      <c r="F20" s="221"/>
      <c r="G20" s="53">
        <f>G19+G18</f>
        <v>13225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DR-QTN-2026-00894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75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32" t="s">
        <v>76</v>
      </c>
      <c r="B24" s="132"/>
      <c r="C24" s="132"/>
      <c r="D24" s="132"/>
      <c r="E24" s="132"/>
      <c r="F24" s="132"/>
      <c r="G24" s="132"/>
      <c r="H24" s="132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2026-08-16T08:12:06Z</cp:lastPrinted>
  <dcterms:created xsi:type="dcterms:W3CDTF">2024-10-20T11:50:19Z</dcterms:created>
  <dcterms:modified xsi:type="dcterms:W3CDTF">2026-08-16T08:15:20Z</dcterms:modified>
</cp:coreProperties>
</file>