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72F5AC7-DE59-4DAC-A0A1-0D69CB01417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MRS!$A$1:$L$40</definedName>
    <definedName name="_xlnm.Print_Area" localSheetId="1">'MRS LIST'!$A$1:$K$30</definedName>
    <definedName name="_xlnm.Print_Area" localSheetId="2">'PO 1st page'!$A$1:$N$63</definedName>
    <definedName name="_xlnm.Print_Area" localSheetId="3">'PO 2nd page'!$A$1:$H$37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12" i="1"/>
  <c r="J6" i="1" l="1"/>
  <c r="A6" i="1"/>
  <c r="B21" i="4"/>
  <c r="F20" i="4"/>
  <c r="E20" i="4"/>
  <c r="E18" i="4"/>
  <c r="D9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I30" i="2"/>
  <c r="F30" i="4" s="1"/>
  <c r="H30" i="2"/>
  <c r="E30" i="4" s="1"/>
  <c r="G30" i="2"/>
  <c r="D30" i="4" s="1"/>
  <c r="D30" i="2"/>
  <c r="B30" i="2"/>
  <c r="B30" i="4" s="1"/>
  <c r="I29" i="2"/>
  <c r="F29" i="4" s="1"/>
  <c r="H29" i="2"/>
  <c r="E29" i="4" s="1"/>
  <c r="G29" i="2"/>
  <c r="D29" i="4" s="1"/>
  <c r="D29" i="2"/>
  <c r="B29" i="2"/>
  <c r="B29" i="4" s="1"/>
  <c r="I28" i="2"/>
  <c r="F28" i="4" s="1"/>
  <c r="H28" i="2"/>
  <c r="E28" i="4" s="1"/>
  <c r="G28" i="2"/>
  <c r="D28" i="4" s="1"/>
  <c r="D28" i="2"/>
  <c r="B28" i="2"/>
  <c r="B28" i="4" s="1"/>
  <c r="I27" i="2"/>
  <c r="F27" i="4" s="1"/>
  <c r="H27" i="2"/>
  <c r="E27" i="4" s="1"/>
  <c r="G27" i="2"/>
  <c r="D27" i="4" s="1"/>
  <c r="D27" i="2"/>
  <c r="B27" i="2"/>
  <c r="B27" i="4" s="1"/>
  <c r="I26" i="2"/>
  <c r="F26" i="4" s="1"/>
  <c r="H26" i="2"/>
  <c r="E26" i="4" s="1"/>
  <c r="G26" i="2"/>
  <c r="D26" i="4" s="1"/>
  <c r="D26" i="2"/>
  <c r="B26" i="2"/>
  <c r="B26" i="4" s="1"/>
  <c r="I25" i="2"/>
  <c r="F25" i="4" s="1"/>
  <c r="H25" i="2"/>
  <c r="E25" i="4" s="1"/>
  <c r="G25" i="2"/>
  <c r="D25" i="4" s="1"/>
  <c r="D25" i="2"/>
  <c r="B25" i="2"/>
  <c r="B25" i="4" s="1"/>
  <c r="I24" i="2"/>
  <c r="F24" i="4" s="1"/>
  <c r="H24" i="2"/>
  <c r="E24" i="4" s="1"/>
  <c r="G24" i="2"/>
  <c r="D24" i="4" s="1"/>
  <c r="D24" i="2"/>
  <c r="B24" i="2"/>
  <c r="B24" i="4" s="1"/>
  <c r="I23" i="2"/>
  <c r="F23" i="4" s="1"/>
  <c r="H23" i="2"/>
  <c r="E23" i="4" s="1"/>
  <c r="G23" i="2"/>
  <c r="D23" i="4" s="1"/>
  <c r="D23" i="2"/>
  <c r="B23" i="2"/>
  <c r="B23" i="4" s="1"/>
  <c r="I22" i="2"/>
  <c r="F22" i="4" s="1"/>
  <c r="H22" i="2"/>
  <c r="E22" i="4" s="1"/>
  <c r="G22" i="2"/>
  <c r="D22" i="4" s="1"/>
  <c r="D22" i="2"/>
  <c r="B22" i="2"/>
  <c r="B22" i="4" s="1"/>
  <c r="I21" i="2"/>
  <c r="F21" i="4" s="1"/>
  <c r="H21" i="2"/>
  <c r="E21" i="4" s="1"/>
  <c r="G21" i="2"/>
  <c r="D21" i="4" s="1"/>
  <c r="D21" i="2"/>
  <c r="B21" i="2"/>
  <c r="I20" i="2"/>
  <c r="H20" i="2"/>
  <c r="G20" i="2"/>
  <c r="D20" i="4" s="1"/>
  <c r="D20" i="2"/>
  <c r="B20" i="2"/>
  <c r="B20" i="4" s="1"/>
  <c r="I19" i="2"/>
  <c r="F19" i="4" s="1"/>
  <c r="H19" i="2"/>
  <c r="E19" i="4" s="1"/>
  <c r="G19" i="2"/>
  <c r="D19" i="4" s="1"/>
  <c r="D19" i="2"/>
  <c r="B19" i="2"/>
  <c r="B19" i="4" s="1"/>
  <c r="I18" i="2"/>
  <c r="F18" i="4" s="1"/>
  <c r="H18" i="2"/>
  <c r="G18" i="2"/>
  <c r="D18" i="4" s="1"/>
  <c r="D18" i="2"/>
  <c r="B18" i="2"/>
  <c r="B18" i="4" s="1"/>
  <c r="I17" i="2"/>
  <c r="F17" i="4" s="1"/>
  <c r="H17" i="2"/>
  <c r="E17" i="4" s="1"/>
  <c r="G17" i="2"/>
  <c r="D17" i="4" s="1"/>
  <c r="D17" i="2"/>
  <c r="B17" i="2"/>
  <c r="B17" i="4" s="1"/>
  <c r="I16" i="2"/>
  <c r="F16" i="4" s="1"/>
  <c r="H16" i="2"/>
  <c r="E16" i="4" s="1"/>
  <c r="G16" i="2"/>
  <c r="D16" i="4" s="1"/>
  <c r="D16" i="2"/>
  <c r="B16" i="2"/>
  <c r="B16" i="4" s="1"/>
  <c r="I15" i="2"/>
  <c r="F15" i="4" s="1"/>
  <c r="H15" i="2"/>
  <c r="E15" i="4" s="1"/>
  <c r="G15" i="2"/>
  <c r="D15" i="4" s="1"/>
  <c r="D15" i="2"/>
  <c r="B15" i="2"/>
  <c r="B15" i="4" s="1"/>
  <c r="I14" i="2"/>
  <c r="F14" i="4" s="1"/>
  <c r="H14" i="2"/>
  <c r="E14" i="4" s="1"/>
  <c r="G14" i="2"/>
  <c r="D14" i="4" s="1"/>
  <c r="D14" i="2"/>
  <c r="B14" i="2"/>
  <c r="B14" i="4" s="1"/>
  <c r="I13" i="2"/>
  <c r="F13" i="4" s="1"/>
  <c r="H13" i="2"/>
  <c r="E13" i="4" s="1"/>
  <c r="G13" i="2"/>
  <c r="D13" i="4" s="1"/>
  <c r="D13" i="2"/>
  <c r="B13" i="2"/>
  <c r="B13" i="4" s="1"/>
  <c r="I12" i="2"/>
  <c r="F12" i="4" s="1"/>
  <c r="H12" i="2"/>
  <c r="E12" i="4" s="1"/>
  <c r="G12" i="2"/>
  <c r="D12" i="4" s="1"/>
  <c r="D12" i="2"/>
  <c r="B12" i="2"/>
  <c r="B12" i="4" s="1"/>
  <c r="I11" i="2"/>
  <c r="F11" i="4" s="1"/>
  <c r="H11" i="2"/>
  <c r="E11" i="4" s="1"/>
  <c r="G11" i="2"/>
  <c r="D11" i="4" s="1"/>
  <c r="D11" i="2"/>
  <c r="B11" i="2"/>
  <c r="B11" i="4" s="1"/>
  <c r="I10" i="2"/>
  <c r="F10" i="4" s="1"/>
  <c r="H10" i="2"/>
  <c r="E10" i="4" s="1"/>
  <c r="G10" i="2"/>
  <c r="D10" i="4" s="1"/>
  <c r="D10" i="2"/>
  <c r="B10" i="2"/>
  <c r="B10" i="4" s="1"/>
  <c r="I9" i="2"/>
  <c r="F9" i="4" s="1"/>
  <c r="H9" i="2"/>
  <c r="E9" i="4" s="1"/>
  <c r="G9" i="2"/>
  <c r="D9" i="2"/>
  <c r="B9" i="2"/>
  <c r="B9" i="4" s="1"/>
  <c r="I8" i="2"/>
  <c r="F8" i="4" s="1"/>
  <c r="H8" i="2"/>
  <c r="E8" i="4" s="1"/>
  <c r="G8" i="2"/>
  <c r="D8" i="4" s="1"/>
  <c r="D8" i="2"/>
  <c r="B8" i="2"/>
  <c r="B8" i="4" s="1"/>
  <c r="I7" i="2"/>
  <c r="F7" i="4" s="1"/>
  <c r="H7" i="2"/>
  <c r="E7" i="4" s="1"/>
  <c r="G7" i="2"/>
  <c r="D7" i="4" s="1"/>
  <c r="D7" i="2"/>
  <c r="B7" i="2"/>
  <c r="B7" i="4" s="1"/>
  <c r="A15" i="1"/>
  <c r="A15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1"/>
  <c r="A23" i="2" s="1"/>
  <c r="A24" i="1"/>
  <c r="A24" i="2" s="1"/>
  <c r="A25" i="1"/>
  <c r="A25" i="2" s="1"/>
  <c r="A26" i="1"/>
  <c r="A26" i="2" s="1"/>
  <c r="A27" i="1"/>
  <c r="A27" i="2" s="1"/>
  <c r="A28" i="1"/>
  <c r="A28" i="2" s="1"/>
  <c r="A29" i="1"/>
  <c r="A29" i="2" s="1"/>
  <c r="A30" i="1"/>
  <c r="A30" i="2" s="1"/>
  <c r="J7" i="1"/>
  <c r="J7" i="2" s="1"/>
  <c r="G7" i="4" s="1"/>
  <c r="J8" i="1"/>
  <c r="J8" i="2" s="1"/>
  <c r="G8" i="4" s="1"/>
  <c r="J9" i="1"/>
  <c r="J9" i="2" s="1"/>
  <c r="G9" i="4" s="1"/>
  <c r="J10" i="1"/>
  <c r="J10" i="2" s="1"/>
  <c r="G10" i="4" s="1"/>
  <c r="J11" i="1"/>
  <c r="J11" i="2" s="1"/>
  <c r="G11" i="4" s="1"/>
  <c r="J12" i="1"/>
  <c r="J12" i="2" s="1"/>
  <c r="G12" i="4" s="1"/>
  <c r="J13" i="1"/>
  <c r="J13" i="2" s="1"/>
  <c r="G13" i="4" s="1"/>
  <c r="J14" i="1"/>
  <c r="J14" i="2" s="1"/>
  <c r="G14" i="4" s="1"/>
  <c r="J15" i="1"/>
  <c r="J15" i="2" s="1"/>
  <c r="G15" i="4" s="1"/>
  <c r="J16" i="1"/>
  <c r="J16" i="2" s="1"/>
  <c r="G16" i="4" s="1"/>
  <c r="J17" i="1"/>
  <c r="J17" i="2" s="1"/>
  <c r="G17" i="4" s="1"/>
  <c r="J18" i="1"/>
  <c r="J18" i="2" s="1"/>
  <c r="G18" i="4" s="1"/>
  <c r="J19" i="1"/>
  <c r="J19" i="2" s="1"/>
  <c r="G19" i="4" s="1"/>
  <c r="J20" i="1"/>
  <c r="J20" i="2" s="1"/>
  <c r="G20" i="4" s="1"/>
  <c r="J21" i="1"/>
  <c r="J21" i="2" s="1"/>
  <c r="G21" i="4" s="1"/>
  <c r="J22" i="1"/>
  <c r="J22" i="2" s="1"/>
  <c r="G22" i="4" s="1"/>
  <c r="J23" i="1"/>
  <c r="J23" i="2" s="1"/>
  <c r="G23" i="4" s="1"/>
  <c r="J24" i="1"/>
  <c r="J24" i="2" s="1"/>
  <c r="G24" i="4" s="1"/>
  <c r="J25" i="1"/>
  <c r="J25" i="2" s="1"/>
  <c r="G25" i="4" s="1"/>
  <c r="J26" i="1"/>
  <c r="J26" i="2" s="1"/>
  <c r="G26" i="4" s="1"/>
  <c r="J27" i="1"/>
  <c r="J27" i="2" s="1"/>
  <c r="G27" i="4" s="1"/>
  <c r="J28" i="1"/>
  <c r="J28" i="2" s="1"/>
  <c r="G28" i="4" s="1"/>
  <c r="J29" i="1"/>
  <c r="J29" i="2" s="1"/>
  <c r="G29" i="4" s="1"/>
  <c r="J30" i="1"/>
  <c r="J30" i="2" s="1"/>
  <c r="G30" i="4" s="1"/>
  <c r="H6" i="4"/>
  <c r="K59" i="3" l="1"/>
  <c r="E3" i="1"/>
  <c r="J31" i="1" l="1"/>
  <c r="K10" i="3"/>
  <c r="A34" i="4" l="1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K3" i="2"/>
  <c r="A3" i="2"/>
  <c r="J2" i="2"/>
  <c r="D2" i="2"/>
  <c r="A2" i="2"/>
  <c r="J1" i="2"/>
  <c r="A14" i="1"/>
  <c r="A14" i="2" s="1"/>
  <c r="A13" i="1"/>
  <c r="A13" i="2" s="1"/>
  <c r="A12" i="2"/>
  <c r="A11" i="2"/>
  <c r="A10" i="1"/>
  <c r="A10" i="2" s="1"/>
  <c r="A9" i="1"/>
  <c r="A9" i="2" s="1"/>
  <c r="A8" i="1"/>
  <c r="A8" i="2" s="1"/>
  <c r="A7" i="1"/>
  <c r="A7" i="2" s="1"/>
  <c r="A6" i="2"/>
  <c r="J6" i="2" l="1"/>
  <c r="G6" i="4" s="1"/>
  <c r="G31" i="4" s="1"/>
  <c r="G33" i="4" l="1"/>
</calcChain>
</file>

<file path=xl/sharedStrings.xml><?xml version="1.0" encoding="utf-8"?>
<sst xmlns="http://schemas.openxmlformats.org/spreadsheetml/2006/main" count="200" uniqueCount="142">
  <si>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</si>
  <si>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</si>
  <si>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</si>
  <si>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</si>
  <si>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</si>
  <si>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</si>
  <si>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</si>
  <si>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</si>
  <si>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</si>
  <si>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</si>
  <si>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</si>
  <si>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</si>
  <si>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</si>
  <si>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</si>
  <si>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</si>
  <si>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</si>
  <si>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</si>
  <si>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</si>
  <si>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</si>
  <si>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</si>
  <si>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</si>
  <si>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</si>
  <si>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</si>
  <si>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</si>
  <si>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</si>
  <si>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</si>
  <si>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</si>
  <si>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</si>
  <si>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</si>
  <si>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</si>
  <si>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</si>
  <si>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</si>
  <si>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</si>
  <si>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</si>
  <si>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</si>
  <si>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</si>
  <si>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</si>
  <si>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</si>
  <si>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</si>
  <si>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</si>
  <si>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</si>
  <si>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</si>
  <si>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</si>
  <si>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</si>
  <si>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</si>
  <si>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</si>
  <si>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</si>
  <si>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</si>
  <si>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</si>
  <si>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</si>
  <si>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</si>
  <si>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</si>
  <si>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</si>
  <si>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</si>
  <si>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</si>
  <si>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</si>
  <si>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</si>
  <si>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</si>
  <si>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</si>
  <si>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</si>
  <si>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</si>
  <si>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</si>
  <si>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</si>
  <si>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</si>
  <si>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</si>
  <si>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</si>
  <si>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</si>
  <si>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</si>
  <si>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</si>
  <si>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</si>
  <si>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</si>
  <si>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</si>
  <si>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</si>
  <si>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</si>
  <si>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</si>
  <si>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</si>
  <si>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</si>
  <si>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</si>
  <si>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</si>
  <si>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</si>
  <si>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</si>
  <si>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</si>
  <si>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</si>
  <si>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</si>
  <si>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</si>
  <si>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</si>
  <si>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</si>
  <si>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</si>
  <si>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</si>
  <si>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</si>
  <si>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</si>
  <si>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</si>
  <si>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</si>
  <si>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</si>
  <si>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</si>
  <si>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</si>
  <si>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</si>
  <si>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</si>
  <si>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</si>
  <si>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</si>
  <si>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</si>
  <si>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</si>
  <si>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t>Business Coordinator</t>
  </si>
  <si>
    <t>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</si>
  <si>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-MRS-0080</t>
    </r>
  </si>
  <si>
    <t>Air ticket</t>
  </si>
  <si>
    <t>Unit Price (SAR)
(Exclude VAT)</t>
  </si>
  <si>
    <t>Monthly</t>
  </si>
  <si>
    <t>GTATT(Global Traveler Agency For Travel &amp; Tourism)</t>
  </si>
  <si>
    <t>2053023946</t>
  </si>
  <si>
    <t>300565091900003</t>
  </si>
  <si>
    <t>Naveed Shahzad</t>
  </si>
  <si>
    <t>+966 55 1011741 / Email:naveed@gtb.com.sa</t>
  </si>
  <si>
    <t>Quds Street P.O. Box 60787 - Postal Code 31911</t>
  </si>
  <si>
    <t>Mobile : +966 55 1011741 / +966 13 8552233</t>
  </si>
  <si>
    <t xml:space="preserve"> </t>
  </si>
  <si>
    <t>India DMM to COK</t>
  </si>
  <si>
    <t>India DMM to CCJ</t>
  </si>
  <si>
    <t>India DMM to DEL</t>
  </si>
  <si>
    <t>India DMM to CCU</t>
  </si>
  <si>
    <t>India DMM to LKO</t>
  </si>
  <si>
    <t>India DMM to MAA</t>
  </si>
  <si>
    <t>India DMM to BOM</t>
  </si>
  <si>
    <t>India DMM to BLR</t>
  </si>
  <si>
    <t>India DMM to IXE</t>
  </si>
  <si>
    <t>India DMM to PAT</t>
  </si>
  <si>
    <t>India DMM to GOA</t>
  </si>
  <si>
    <t>India DMM to GAY</t>
  </si>
  <si>
    <t>India DMM to HYD</t>
  </si>
  <si>
    <t>India DMM to VTZ</t>
  </si>
  <si>
    <t>India DMM to AMD</t>
  </si>
  <si>
    <t>India DMM to TRZ</t>
  </si>
  <si>
    <t>India DMM to IXM</t>
  </si>
  <si>
    <t>India DMM to TRV</t>
  </si>
  <si>
    <t>Pakistan DMM to SKT</t>
  </si>
  <si>
    <t>Pakistan DMM to ISB</t>
  </si>
  <si>
    <t>Pakistan DMM to LHE</t>
  </si>
  <si>
    <t>Philippines DMM to MNL</t>
  </si>
  <si>
    <t>Philippines DMM to CRK</t>
  </si>
  <si>
    <t>Bangladesh DMM to DAC</t>
  </si>
  <si>
    <t>Nepal DMM to KTM</t>
  </si>
  <si>
    <t>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</si>
</sst>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1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3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69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1" fontId="18" fillId="3" borderId="0" xfId="5" applyNumberFormat="1" applyFont="1" applyFill="1"/>
    <xf numFmtId="0" fontId="2" fillId="0" borderId="8" xfId="0" quotePrefix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32</xdr:row>
          <xdr:rowOff>0</xdr:rowOff>
        </xdr:from>
        <xdr:to>
          <xdr:col>12</xdr:col>
          <xdr:colOff>502</xdr:colOff>
          <xdr:row>39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3:$V$39" spid="_x0000_s12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29</xdr:row>
      <xdr:rowOff>822627</xdr:rowOff>
    </xdr:from>
    <xdr:to>
      <xdr:col>15</xdr:col>
      <xdr:colOff>543942</xdr:colOff>
      <xdr:row>29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29</xdr:row>
      <xdr:rowOff>822627</xdr:rowOff>
    </xdr:from>
    <xdr:to>
      <xdr:col>15</xdr:col>
      <xdr:colOff>543942</xdr:colOff>
      <xdr:row>29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18</xdr:row>
      <xdr:rowOff>1246390</xdr:rowOff>
    </xdr:from>
    <xdr:to>
      <xdr:col>28</xdr:col>
      <xdr:colOff>1</xdr:colOff>
      <xdr:row>19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19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20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67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13" t="s">
        <v>98</v>
      </c>
      <c r="B1" s="99"/>
      <c r="C1" s="99"/>
      <c r="D1" s="99"/>
      <c r="E1" s="99"/>
      <c r="F1" s="99"/>
      <c r="G1" s="1"/>
      <c r="J1" s="129" t="s">
        <v>90</v>
      </c>
      <c r="K1" s="130"/>
      <c r="L1" s="131"/>
    </row>
    <row r="2" spans="1:19" ht="20.100000000000001" customHeight="1">
      <c r="A2" s="3" t="s">
        <v>1</v>
      </c>
      <c r="B2" s="93"/>
      <c r="C2" s="93"/>
      <c r="D2" s="3" t="s">
        <v>97</v>
      </c>
      <c r="E2" s="93"/>
      <c r="F2" s="93"/>
      <c r="G2" s="93"/>
      <c r="H2" s="93"/>
      <c r="I2" s="4"/>
      <c r="J2" s="132" t="s">
        <v>96</v>
      </c>
      <c r="K2" s="133"/>
      <c r="L2" s="134"/>
    </row>
    <row r="3" spans="1:19" ht="20.100000000000001" customHeight="1">
      <c r="A3" s="3" t="s">
        <v>104</v>
      </c>
      <c r="B3" s="93"/>
      <c r="C3" s="93"/>
      <c r="D3" s="93"/>
      <c r="E3" s="135">
        <f>+L3</f>
        <v>45805</v>
      </c>
      <c r="F3" s="135"/>
      <c r="G3" s="135"/>
      <c r="H3" s="135"/>
      <c r="I3" s="135"/>
      <c r="J3" s="93"/>
      <c r="K3" s="93"/>
      <c r="L3" s="111">
        <v>45805</v>
      </c>
      <c r="M3" s="4"/>
    </row>
    <row r="4" spans="1:19" ht="15.95" customHeight="1">
      <c r="A4" s="138" t="s">
        <v>2</v>
      </c>
      <c r="B4" s="139" t="s">
        <v>3</v>
      </c>
      <c r="C4" s="139"/>
      <c r="D4" s="140" t="s">
        <v>4</v>
      </c>
      <c r="E4" s="141"/>
      <c r="F4" s="142"/>
      <c r="G4" s="146" t="s">
        <v>5</v>
      </c>
      <c r="H4" s="136" t="s">
        <v>6</v>
      </c>
      <c r="I4" s="136" t="s">
        <v>106</v>
      </c>
      <c r="J4" s="138" t="s">
        <v>94</v>
      </c>
      <c r="K4" s="136" t="s">
        <v>0</v>
      </c>
      <c r="L4" s="139" t="s">
        <v>7</v>
      </c>
    </row>
    <row r="5" spans="1:19" ht="15.95" customHeight="1">
      <c r="A5" s="138"/>
      <c r="B5" s="139"/>
      <c r="C5" s="139"/>
      <c r="D5" s="143"/>
      <c r="E5" s="144"/>
      <c r="F5" s="145"/>
      <c r="G5" s="147"/>
      <c r="H5" s="137"/>
      <c r="I5" s="137"/>
      <c r="J5" s="138"/>
      <c r="K5" s="137"/>
      <c r="L5" s="139"/>
    </row>
    <row r="6" spans="1:19" ht="21.75" customHeight="1">
      <c r="A6" s="5">
        <f>ROW(A2)</f>
        <v>2</v>
      </c>
      <c r="B6" s="120" t="s">
        <v>105</v>
      </c>
      <c r="C6" s="121"/>
      <c r="D6" s="122" t="s">
        <v>116</v>
      </c>
      <c r="E6" s="123"/>
      <c r="F6" s="124"/>
      <c r="G6" s="100"/>
      <c r="H6" s="101">
        <v>1</v>
      </c>
      <c r="I6" s="102">
        <v>2400</v>
      </c>
      <c r="J6" s="102">
        <f>I6</f>
        <v>2400</v>
      </c>
      <c r="K6" s="103" t="s">
        <v>141</v>
      </c>
      <c r="L6" s="115" t="s">
        <v>107</v>
      </c>
      <c r="S6" s="98"/>
    </row>
    <row r="7" spans="1:19" ht="21.75" customHeight="1">
      <c r="A7" s="5">
        <f>ROW(A2)</f>
        <v>2</v>
      </c>
      <c r="B7" s="120" t="s">
        <v>105</v>
      </c>
      <c r="C7" s="121"/>
      <c r="D7" s="122" t="s">
        <v>117</v>
      </c>
      <c r="E7" s="123"/>
      <c r="F7" s="124"/>
      <c r="G7" s="100"/>
      <c r="H7" s="101">
        <v>1</v>
      </c>
      <c r="I7" s="102">
        <v>2350</v>
      </c>
      <c r="J7" s="102">
        <f t="shared" ref="J7:J30" si="0">I7</f>
        <v>2350</v>
      </c>
      <c r="K7" s="103"/>
      <c r="L7" s="104"/>
      <c r="S7" s="98"/>
    </row>
    <row r="8" spans="1:19" ht="21.75" customHeight="1">
      <c r="A8" s="5">
        <f>ROW(A3)</f>
        <v>3</v>
      </c>
      <c r="B8" s="120" t="s">
        <v>105</v>
      </c>
      <c r="C8" s="121"/>
      <c r="D8" s="122" t="s">
        <v>118</v>
      </c>
      <c r="E8" s="123"/>
      <c r="F8" s="124"/>
      <c r="G8" s="100"/>
      <c r="H8" s="101">
        <v>1</v>
      </c>
      <c r="I8" s="102">
        <v>1800</v>
      </c>
      <c r="J8" s="102">
        <f t="shared" si="0"/>
        <v>1800</v>
      </c>
      <c r="K8" s="103"/>
      <c r="L8" s="104"/>
      <c r="S8" s="98"/>
    </row>
    <row r="9" spans="1:19" ht="21.75" customHeight="1">
      <c r="A9" s="5">
        <f>ROW(A4)</f>
        <v>4</v>
      </c>
      <c r="B9" s="120" t="s">
        <v>105</v>
      </c>
      <c r="C9" s="121"/>
      <c r="D9" s="122" t="s">
        <v>119</v>
      </c>
      <c r="E9" s="123"/>
      <c r="F9" s="124"/>
      <c r="G9" s="100"/>
      <c r="H9" s="101">
        <v>1</v>
      </c>
      <c r="I9" s="102">
        <v>2100</v>
      </c>
      <c r="J9" s="102">
        <f t="shared" si="0"/>
        <v>2100</v>
      </c>
      <c r="K9" s="103"/>
      <c r="L9" s="104"/>
      <c r="S9" s="98"/>
    </row>
    <row r="10" spans="1:19" ht="21.75" customHeight="1">
      <c r="A10" s="5">
        <f>ROW(A5)</f>
        <v>5</v>
      </c>
      <c r="B10" s="120" t="s">
        <v>105</v>
      </c>
      <c r="C10" s="121"/>
      <c r="D10" s="122" t="s">
        <v>120</v>
      </c>
      <c r="E10" s="123"/>
      <c r="F10" s="124"/>
      <c r="G10" s="100"/>
      <c r="H10" s="101">
        <v>1</v>
      </c>
      <c r="I10" s="102">
        <v>2200</v>
      </c>
      <c r="J10" s="102">
        <f t="shared" si="0"/>
        <v>2200</v>
      </c>
      <c r="K10" s="103"/>
      <c r="L10" s="100"/>
      <c r="S10" s="98"/>
    </row>
    <row r="11" spans="1:19" ht="22.5" customHeight="1">
      <c r="A11" s="5">
        <f t="shared" ref="A11:A12" si="1">ROW(A6)</f>
        <v>6</v>
      </c>
      <c r="B11" s="120" t="s">
        <v>105</v>
      </c>
      <c r="C11" s="121"/>
      <c r="D11" s="122" t="s">
        <v>121</v>
      </c>
      <c r="E11" s="123"/>
      <c r="F11" s="124"/>
      <c r="G11" s="100"/>
      <c r="H11" s="101">
        <v>1</v>
      </c>
      <c r="I11" s="102">
        <v>2050</v>
      </c>
      <c r="J11" s="102">
        <f t="shared" si="0"/>
        <v>2050</v>
      </c>
      <c r="K11" s="103"/>
      <c r="L11" s="104"/>
      <c r="S11" s="98"/>
    </row>
    <row r="12" spans="1:19" ht="22.5" customHeight="1">
      <c r="A12" s="5">
        <f t="shared" si="1"/>
        <v>7</v>
      </c>
      <c r="B12" s="120" t="s">
        <v>105</v>
      </c>
      <c r="C12" s="121"/>
      <c r="D12" s="122" t="s">
        <v>122</v>
      </c>
      <c r="E12" s="123"/>
      <c r="F12" s="124"/>
      <c r="G12" s="100"/>
      <c r="H12" s="101">
        <v>1</v>
      </c>
      <c r="I12" s="105">
        <v>1800</v>
      </c>
      <c r="J12" s="102">
        <f t="shared" si="0"/>
        <v>1800</v>
      </c>
      <c r="K12" s="103"/>
      <c r="L12" s="100"/>
      <c r="S12" s="98"/>
    </row>
    <row r="13" spans="1:19" ht="22.5" customHeight="1">
      <c r="A13" s="5">
        <f t="shared" ref="A12:A30" si="2">ROW(A8)</f>
        <v>8</v>
      </c>
      <c r="B13" s="120" t="s">
        <v>105</v>
      </c>
      <c r="C13" s="121"/>
      <c r="D13" s="122" t="s">
        <v>123</v>
      </c>
      <c r="E13" s="123"/>
      <c r="F13" s="124"/>
      <c r="G13" s="100"/>
      <c r="H13" s="101">
        <v>1</v>
      </c>
      <c r="I13" s="102">
        <v>2200</v>
      </c>
      <c r="J13" s="102">
        <f t="shared" si="0"/>
        <v>2200</v>
      </c>
      <c r="K13" s="103"/>
      <c r="L13" s="104"/>
      <c r="S13" s="98"/>
    </row>
    <row r="14" spans="1:19" ht="22.5" customHeight="1">
      <c r="A14" s="5">
        <f t="shared" si="2"/>
        <v>9</v>
      </c>
      <c r="B14" s="120" t="s">
        <v>105</v>
      </c>
      <c r="C14" s="121"/>
      <c r="D14" s="122" t="s">
        <v>124</v>
      </c>
      <c r="E14" s="123"/>
      <c r="F14" s="124"/>
      <c r="G14" s="100"/>
      <c r="H14" s="101">
        <v>1</v>
      </c>
      <c r="I14" s="102">
        <v>2350</v>
      </c>
      <c r="J14" s="102">
        <f t="shared" si="0"/>
        <v>2350</v>
      </c>
      <c r="K14" s="103"/>
      <c r="L14" s="104"/>
      <c r="S14" s="98"/>
    </row>
    <row r="15" spans="1:19" ht="22.5" customHeight="1">
      <c r="A15" s="5">
        <f t="shared" si="2"/>
        <v>10</v>
      </c>
      <c r="B15" s="120" t="s">
        <v>105</v>
      </c>
      <c r="C15" s="121"/>
      <c r="D15" s="122" t="s">
        <v>125</v>
      </c>
      <c r="E15" s="123"/>
      <c r="F15" s="124"/>
      <c r="G15" s="100"/>
      <c r="H15" s="101">
        <v>1</v>
      </c>
      <c r="I15" s="102">
        <v>2350</v>
      </c>
      <c r="J15" s="102">
        <f t="shared" si="0"/>
        <v>2350</v>
      </c>
      <c r="K15" s="103"/>
      <c r="L15" s="104"/>
      <c r="S15" s="98"/>
    </row>
    <row r="16" spans="1:19" ht="22.5" customHeight="1">
      <c r="A16" s="5">
        <f t="shared" si="2"/>
        <v>11</v>
      </c>
      <c r="B16" s="120" t="s">
        <v>105</v>
      </c>
      <c r="C16" s="121"/>
      <c r="D16" s="122" t="s">
        <v>126</v>
      </c>
      <c r="E16" s="123"/>
      <c r="F16" s="124"/>
      <c r="G16" s="100"/>
      <c r="H16" s="101">
        <v>1</v>
      </c>
      <c r="I16" s="102">
        <v>2250</v>
      </c>
      <c r="J16" s="102">
        <f t="shared" si="0"/>
        <v>2250</v>
      </c>
      <c r="K16" s="103"/>
      <c r="L16" s="104"/>
      <c r="S16" s="98"/>
    </row>
    <row r="17" spans="1:19" ht="22.5" customHeight="1">
      <c r="A17" s="5">
        <f t="shared" si="2"/>
        <v>12</v>
      </c>
      <c r="B17" s="120" t="s">
        <v>105</v>
      </c>
      <c r="C17" s="121"/>
      <c r="D17" s="122" t="s">
        <v>127</v>
      </c>
      <c r="E17" s="123"/>
      <c r="F17" s="124"/>
      <c r="G17" s="100"/>
      <c r="H17" s="101">
        <v>1</v>
      </c>
      <c r="I17" s="102">
        <v>2100</v>
      </c>
      <c r="J17" s="102">
        <f t="shared" si="0"/>
        <v>2100</v>
      </c>
      <c r="K17" s="103"/>
      <c r="L17" s="104"/>
      <c r="S17" s="98"/>
    </row>
    <row r="18" spans="1:19" ht="22.5" customHeight="1">
      <c r="A18" s="5">
        <f t="shared" si="2"/>
        <v>13</v>
      </c>
      <c r="B18" s="120" t="s">
        <v>105</v>
      </c>
      <c r="C18" s="121"/>
      <c r="D18" s="122" t="s">
        <v>128</v>
      </c>
      <c r="E18" s="123"/>
      <c r="F18" s="124"/>
      <c r="G18" s="100"/>
      <c r="H18" s="101">
        <v>1</v>
      </c>
      <c r="I18" s="102">
        <v>2200</v>
      </c>
      <c r="J18" s="102">
        <f t="shared" si="0"/>
        <v>2200</v>
      </c>
      <c r="K18" s="103"/>
      <c r="L18" s="104"/>
      <c r="S18" s="98"/>
    </row>
    <row r="19" spans="1:19" ht="22.5" customHeight="1">
      <c r="A19" s="5">
        <f t="shared" si="2"/>
        <v>14</v>
      </c>
      <c r="B19" s="120" t="s">
        <v>105</v>
      </c>
      <c r="C19" s="121"/>
      <c r="D19" s="122" t="s">
        <v>129</v>
      </c>
      <c r="E19" s="123"/>
      <c r="F19" s="124"/>
      <c r="G19" s="100"/>
      <c r="H19" s="101">
        <v>1</v>
      </c>
      <c r="I19" s="102">
        <v>2200</v>
      </c>
      <c r="J19" s="102">
        <f t="shared" si="0"/>
        <v>2200</v>
      </c>
      <c r="K19" s="103"/>
      <c r="L19" s="104"/>
      <c r="S19" s="98"/>
    </row>
    <row r="20" spans="1:19" ht="22.5" customHeight="1">
      <c r="A20" s="5">
        <f t="shared" si="2"/>
        <v>15</v>
      </c>
      <c r="B20" s="120" t="s">
        <v>105</v>
      </c>
      <c r="C20" s="121"/>
      <c r="D20" s="122" t="s">
        <v>130</v>
      </c>
      <c r="E20" s="123"/>
      <c r="F20" s="124"/>
      <c r="G20" s="100"/>
      <c r="H20" s="101">
        <v>1</v>
      </c>
      <c r="I20" s="102">
        <v>2400</v>
      </c>
      <c r="J20" s="102">
        <f t="shared" si="0"/>
        <v>2400</v>
      </c>
      <c r="K20" s="103"/>
      <c r="L20" s="104"/>
      <c r="S20" s="98"/>
    </row>
    <row r="21" spans="1:19" ht="22.5" customHeight="1">
      <c r="A21" s="5">
        <f t="shared" si="2"/>
        <v>16</v>
      </c>
      <c r="B21" s="120" t="s">
        <v>105</v>
      </c>
      <c r="C21" s="121"/>
      <c r="D21" s="122" t="s">
        <v>131</v>
      </c>
      <c r="E21" s="123"/>
      <c r="F21" s="124"/>
      <c r="G21" s="100"/>
      <c r="H21" s="101">
        <v>1</v>
      </c>
      <c r="I21" s="102">
        <v>2350</v>
      </c>
      <c r="J21" s="102">
        <f t="shared" si="0"/>
        <v>2350</v>
      </c>
      <c r="K21" s="103"/>
      <c r="L21" s="104"/>
      <c r="S21" s="98"/>
    </row>
    <row r="22" spans="1:19" ht="22.5" customHeight="1">
      <c r="A22" s="5">
        <f t="shared" si="2"/>
        <v>17</v>
      </c>
      <c r="B22" s="120" t="s">
        <v>105</v>
      </c>
      <c r="C22" s="121"/>
      <c r="D22" s="122" t="s">
        <v>132</v>
      </c>
      <c r="E22" s="123"/>
      <c r="F22" s="124"/>
      <c r="G22" s="100"/>
      <c r="H22" s="101">
        <v>1</v>
      </c>
      <c r="I22" s="102">
        <v>2350</v>
      </c>
      <c r="J22" s="102">
        <f t="shared" si="0"/>
        <v>2350</v>
      </c>
      <c r="K22" s="103"/>
      <c r="L22" s="104"/>
      <c r="S22" s="98"/>
    </row>
    <row r="23" spans="1:19" ht="22.5" customHeight="1">
      <c r="A23" s="5">
        <f t="shared" si="2"/>
        <v>18</v>
      </c>
      <c r="B23" s="120" t="s">
        <v>105</v>
      </c>
      <c r="C23" s="121"/>
      <c r="D23" s="122" t="s">
        <v>133</v>
      </c>
      <c r="E23" s="123"/>
      <c r="F23" s="124"/>
      <c r="G23" s="100"/>
      <c r="H23" s="101">
        <v>1</v>
      </c>
      <c r="I23" s="102">
        <v>2200</v>
      </c>
      <c r="J23" s="102">
        <f t="shared" si="0"/>
        <v>2200</v>
      </c>
      <c r="K23" s="103"/>
      <c r="L23" s="104"/>
      <c r="S23" s="98"/>
    </row>
    <row r="24" spans="1:19" ht="22.5" customHeight="1">
      <c r="A24" s="5">
        <f t="shared" si="2"/>
        <v>19</v>
      </c>
      <c r="B24" s="120" t="s">
        <v>105</v>
      </c>
      <c r="C24" s="121"/>
      <c r="D24" s="122" t="s">
        <v>134</v>
      </c>
      <c r="E24" s="123"/>
      <c r="F24" s="124"/>
      <c r="G24" s="100"/>
      <c r="H24" s="101">
        <v>1</v>
      </c>
      <c r="I24" s="102">
        <v>2100</v>
      </c>
      <c r="J24" s="102">
        <f t="shared" si="0"/>
        <v>2100</v>
      </c>
      <c r="K24" s="103"/>
      <c r="L24" s="104"/>
      <c r="S24" s="98"/>
    </row>
    <row r="25" spans="1:19" ht="22.5" customHeight="1">
      <c r="A25" s="5">
        <f t="shared" si="2"/>
        <v>20</v>
      </c>
      <c r="B25" s="120" t="s">
        <v>105</v>
      </c>
      <c r="C25" s="121"/>
      <c r="D25" s="122" t="s">
        <v>135</v>
      </c>
      <c r="E25" s="123"/>
      <c r="F25" s="124"/>
      <c r="G25" s="100"/>
      <c r="H25" s="101">
        <v>1</v>
      </c>
      <c r="I25" s="102">
        <v>2100</v>
      </c>
      <c r="J25" s="102">
        <f t="shared" si="0"/>
        <v>2100</v>
      </c>
      <c r="K25" s="103"/>
      <c r="L25" s="104"/>
      <c r="S25" s="98"/>
    </row>
    <row r="26" spans="1:19" ht="22.5" customHeight="1">
      <c r="A26" s="5">
        <f t="shared" si="2"/>
        <v>21</v>
      </c>
      <c r="B26" s="120" t="s">
        <v>105</v>
      </c>
      <c r="C26" s="121"/>
      <c r="D26" s="122" t="s">
        <v>136</v>
      </c>
      <c r="E26" s="123"/>
      <c r="F26" s="124"/>
      <c r="G26" s="100"/>
      <c r="H26" s="101">
        <v>1</v>
      </c>
      <c r="I26" s="102">
        <v>2100</v>
      </c>
      <c r="J26" s="102">
        <f t="shared" si="0"/>
        <v>2100</v>
      </c>
      <c r="K26" s="103"/>
      <c r="L26" s="104"/>
      <c r="S26" s="98"/>
    </row>
    <row r="27" spans="1:19" ht="22.5" customHeight="1">
      <c r="A27" s="5">
        <f t="shared" si="2"/>
        <v>22</v>
      </c>
      <c r="B27" s="120" t="s">
        <v>105</v>
      </c>
      <c r="C27" s="121"/>
      <c r="D27" s="122" t="s">
        <v>137</v>
      </c>
      <c r="E27" s="123"/>
      <c r="F27" s="124"/>
      <c r="G27" s="100"/>
      <c r="H27" s="101">
        <v>1</v>
      </c>
      <c r="I27" s="102">
        <v>3200</v>
      </c>
      <c r="J27" s="102">
        <f t="shared" si="0"/>
        <v>3200</v>
      </c>
      <c r="K27" s="103"/>
      <c r="L27" s="104"/>
      <c r="S27" s="98"/>
    </row>
    <row r="28" spans="1:19" ht="22.5" customHeight="1">
      <c r="A28" s="5">
        <f t="shared" si="2"/>
        <v>23</v>
      </c>
      <c r="B28" s="120" t="s">
        <v>105</v>
      </c>
      <c r="C28" s="121"/>
      <c r="D28" s="122" t="s">
        <v>138</v>
      </c>
      <c r="E28" s="123"/>
      <c r="F28" s="124"/>
      <c r="G28" s="100"/>
      <c r="H28" s="101">
        <v>1</v>
      </c>
      <c r="I28" s="102">
        <v>3600</v>
      </c>
      <c r="J28" s="102">
        <f t="shared" si="0"/>
        <v>3600</v>
      </c>
      <c r="K28" s="103"/>
      <c r="L28" s="104"/>
      <c r="S28" s="98"/>
    </row>
    <row r="29" spans="1:19" ht="22.5" customHeight="1">
      <c r="A29" s="5">
        <f t="shared" si="2"/>
        <v>24</v>
      </c>
      <c r="B29" s="120" t="s">
        <v>105</v>
      </c>
      <c r="C29" s="121"/>
      <c r="D29" s="122" t="s">
        <v>139</v>
      </c>
      <c r="E29" s="123"/>
      <c r="F29" s="124"/>
      <c r="G29" s="100"/>
      <c r="H29" s="101">
        <v>1</v>
      </c>
      <c r="I29" s="102">
        <v>2250</v>
      </c>
      <c r="J29" s="102">
        <f t="shared" si="0"/>
        <v>2250</v>
      </c>
      <c r="K29" s="103"/>
      <c r="L29" s="104"/>
      <c r="S29" s="98"/>
    </row>
    <row r="30" spans="1:19" ht="22.5" customHeight="1">
      <c r="A30" s="5">
        <f t="shared" si="2"/>
        <v>25</v>
      </c>
      <c r="B30" s="120" t="s">
        <v>105</v>
      </c>
      <c r="C30" s="121"/>
      <c r="D30" s="122" t="s">
        <v>140</v>
      </c>
      <c r="E30" s="123"/>
      <c r="F30" s="124"/>
      <c r="G30" s="100"/>
      <c r="H30" s="101">
        <v>1</v>
      </c>
      <c r="I30" s="102">
        <v>2100</v>
      </c>
      <c r="J30" s="102">
        <f t="shared" si="0"/>
        <v>2100</v>
      </c>
      <c r="K30" s="103"/>
      <c r="L30" s="104"/>
      <c r="S30" s="98"/>
    </row>
    <row r="31" spans="1:19" ht="22.5" customHeight="1">
      <c r="A31" s="125" t="s">
        <v>8</v>
      </c>
      <c r="B31" s="126"/>
      <c r="C31" s="106"/>
      <c r="D31" s="107"/>
      <c r="E31" s="107"/>
      <c r="F31" s="107"/>
      <c r="G31" s="108"/>
      <c r="H31" s="108"/>
      <c r="I31" s="109" t="s">
        <v>9</v>
      </c>
      <c r="J31" s="102">
        <f>SUM(J6:J30)</f>
        <v>57100</v>
      </c>
      <c r="K31" s="102"/>
      <c r="L31" s="110"/>
    </row>
    <row r="32" spans="1:19" ht="20.100000000000001" customHeight="1">
      <c r="A32" s="6" t="s">
        <v>10</v>
      </c>
      <c r="B32" s="7"/>
      <c r="C32" s="7"/>
      <c r="D32" s="7"/>
      <c r="E32" s="7"/>
      <c r="F32" s="7"/>
      <c r="G32" s="7"/>
      <c r="H32" s="7"/>
      <c r="I32" s="7"/>
      <c r="J32" s="7"/>
      <c r="K32" s="8"/>
      <c r="L32" s="9"/>
    </row>
    <row r="33" spans="1:22" ht="18" customHeight="1">
      <c r="A33" s="10"/>
      <c r="J33" s="1"/>
      <c r="K33" s="1"/>
      <c r="O33" s="11"/>
      <c r="P33" s="11"/>
      <c r="Q33" s="11"/>
      <c r="S33" s="127" t="s">
        <v>11</v>
      </c>
      <c r="T33" s="12" t="s">
        <v>12</v>
      </c>
      <c r="U33" s="13" t="s">
        <v>13</v>
      </c>
      <c r="V33" s="12" t="s">
        <v>14</v>
      </c>
    </row>
    <row r="34" spans="1:22" ht="50.1" customHeight="1">
      <c r="S34" s="128"/>
      <c r="T34" s="14"/>
      <c r="U34" s="15"/>
      <c r="V34" s="14"/>
    </row>
    <row r="35" spans="1:22" ht="17.100000000000001" customHeight="1">
      <c r="O35" s="11"/>
      <c r="P35" s="11"/>
      <c r="Q35" s="11"/>
      <c r="S35" s="117"/>
      <c r="T35" s="15" t="s">
        <v>15</v>
      </c>
      <c r="U35" s="15" t="s">
        <v>15</v>
      </c>
      <c r="V35" s="16" t="s">
        <v>15</v>
      </c>
    </row>
    <row r="36" spans="1:22" ht="15" customHeight="1">
      <c r="O36" s="17" t="s">
        <v>16</v>
      </c>
      <c r="P36" s="116" t="s">
        <v>17</v>
      </c>
      <c r="Q36" s="116" t="s">
        <v>18</v>
      </c>
    </row>
    <row r="37" spans="1:22" ht="18" customHeight="1">
      <c r="O37" s="18" t="s">
        <v>19</v>
      </c>
      <c r="P37" s="118"/>
      <c r="Q37" s="118"/>
      <c r="S37" s="127" t="s">
        <v>20</v>
      </c>
      <c r="T37" s="12" t="s">
        <v>12</v>
      </c>
      <c r="U37" s="12" t="s">
        <v>13</v>
      </c>
      <c r="V37" s="12" t="s">
        <v>14</v>
      </c>
    </row>
    <row r="38" spans="1:22" ht="50.1" customHeight="1">
      <c r="O38" s="14"/>
      <c r="P38" s="14"/>
      <c r="Q38" s="14"/>
      <c r="S38" s="128"/>
      <c r="T38" s="19"/>
      <c r="U38" s="19"/>
      <c r="V38" s="14"/>
    </row>
    <row r="39" spans="1:22" ht="17.100000000000001" customHeight="1">
      <c r="O39" s="16" t="s">
        <v>15</v>
      </c>
      <c r="P39" s="16" t="s">
        <v>15</v>
      </c>
      <c r="Q39" s="16" t="s">
        <v>15</v>
      </c>
      <c r="S39" s="117"/>
      <c r="T39" s="15" t="s">
        <v>15</v>
      </c>
      <c r="U39" s="15" t="s">
        <v>15</v>
      </c>
      <c r="V39" s="16" t="s">
        <v>15</v>
      </c>
    </row>
    <row r="40" spans="1:22" ht="9.9499999999999993" customHeight="1"/>
    <row r="41" spans="1:22" ht="19.899999999999999" customHeight="1"/>
    <row r="42" spans="1:22" ht="17.45" customHeight="1">
      <c r="O42" s="119"/>
      <c r="P42" s="119"/>
      <c r="Q42" s="119"/>
    </row>
    <row r="43" spans="1:22" ht="19.899999999999999" customHeight="1">
      <c r="O43" s="119"/>
      <c r="P43" s="119"/>
      <c r="Q43" s="119"/>
    </row>
    <row r="44" spans="1:22" ht="14.25">
      <c r="O44" s="11"/>
      <c r="P44" s="11"/>
      <c r="Q44" s="11"/>
    </row>
    <row r="45" spans="1:22" ht="65.099999999999994" customHeight="1"/>
    <row r="46" spans="1:22" ht="14.25">
      <c r="O46" s="11"/>
      <c r="P46" s="11"/>
      <c r="Q46" s="11"/>
    </row>
    <row r="47" spans="1:22" ht="19.899999999999999" customHeight="1"/>
    <row r="48" spans="1:22" ht="14.25"/>
    <row r="49" spans="15:22" ht="19.899999999999999" customHeight="1"/>
    <row r="50" spans="15:22" ht="14.25"/>
    <row r="51" spans="15:22" ht="19.899999999999999" customHeight="1"/>
    <row r="52" spans="15:22" ht="19.899999999999999" customHeight="1"/>
    <row r="53" spans="15:22" ht="64.900000000000006" customHeight="1"/>
    <row r="55" spans="15:22" ht="19.899999999999999" customHeight="1">
      <c r="T55" s="116" t="s">
        <v>21</v>
      </c>
    </row>
    <row r="56" spans="15:22" ht="19.899999999999999" customHeight="1">
      <c r="T56" s="118"/>
    </row>
    <row r="57" spans="15:22" ht="64.900000000000006" customHeight="1">
      <c r="T57" s="14"/>
    </row>
    <row r="61" spans="15:22" ht="21" customHeight="1">
      <c r="O61" s="116" t="s">
        <v>21</v>
      </c>
      <c r="P61" s="116" t="s">
        <v>21</v>
      </c>
      <c r="Q61" s="116" t="s">
        <v>21</v>
      </c>
      <c r="T61" s="116" t="s">
        <v>22</v>
      </c>
      <c r="U61" s="116" t="s">
        <v>13</v>
      </c>
      <c r="V61" s="116" t="s">
        <v>21</v>
      </c>
    </row>
    <row r="62" spans="15:22" ht="21" customHeight="1">
      <c r="O62" s="118"/>
      <c r="P62" s="118"/>
      <c r="Q62" s="118"/>
      <c r="T62" s="117"/>
      <c r="U62" s="117"/>
      <c r="V62" s="118"/>
    </row>
    <row r="63" spans="15:22" ht="64.900000000000006" customHeight="1">
      <c r="O63" s="14"/>
      <c r="P63" s="14"/>
      <c r="Q63" s="14"/>
      <c r="T63" s="14"/>
      <c r="U63" s="15"/>
      <c r="V63" s="14"/>
    </row>
    <row r="64" spans="15:22" ht="7.15" customHeight="1"/>
    <row r="65" spans="15:22" ht="21" customHeight="1">
      <c r="O65" s="116" t="s">
        <v>21</v>
      </c>
      <c r="P65" s="116" t="s">
        <v>21</v>
      </c>
      <c r="Q65" s="116" t="s">
        <v>21</v>
      </c>
      <c r="T65" s="116" t="s">
        <v>13</v>
      </c>
      <c r="U65" s="116" t="s">
        <v>22</v>
      </c>
      <c r="V65" s="116" t="s">
        <v>21</v>
      </c>
    </row>
    <row r="66" spans="15:22" ht="21" customHeight="1">
      <c r="O66" s="118"/>
      <c r="P66" s="118"/>
      <c r="Q66" s="118"/>
      <c r="T66" s="117"/>
      <c r="U66" s="117"/>
      <c r="V66" s="118"/>
    </row>
    <row r="67" spans="15:22" ht="64.900000000000006" customHeight="1">
      <c r="O67" s="14"/>
      <c r="P67" s="14"/>
      <c r="Q67" s="14"/>
      <c r="T67" s="15"/>
      <c r="U67" s="14"/>
      <c r="V67" s="14"/>
    </row>
  </sheetData>
  <mergeCells count="83"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D25:F25"/>
    <mergeCell ref="D26:F26"/>
    <mergeCell ref="D27:F27"/>
    <mergeCell ref="D28:F28"/>
    <mergeCell ref="D29:F29"/>
    <mergeCell ref="D20:F20"/>
    <mergeCell ref="D21:F21"/>
    <mergeCell ref="D22:F22"/>
    <mergeCell ref="D23:F23"/>
    <mergeCell ref="D24:F24"/>
    <mergeCell ref="D15:F15"/>
    <mergeCell ref="D16:F16"/>
    <mergeCell ref="D17:F17"/>
    <mergeCell ref="D18:F18"/>
    <mergeCell ref="D19:F19"/>
    <mergeCell ref="A4:A5"/>
    <mergeCell ref="B4:C5"/>
    <mergeCell ref="D4:F5"/>
    <mergeCell ref="G4:G5"/>
    <mergeCell ref="H4:H5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B7:C7"/>
    <mergeCell ref="D7:F7"/>
    <mergeCell ref="B6:C6"/>
    <mergeCell ref="D6:F6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30:C30"/>
    <mergeCell ref="D30:F30"/>
    <mergeCell ref="A31:B31"/>
    <mergeCell ref="S33:S35"/>
    <mergeCell ref="P36:P37"/>
    <mergeCell ref="Q36:Q37"/>
    <mergeCell ref="S37:S39"/>
    <mergeCell ref="O42:O43"/>
    <mergeCell ref="P42:P43"/>
    <mergeCell ref="Q42:Q43"/>
    <mergeCell ref="T55:T56"/>
    <mergeCell ref="O61:O62"/>
    <mergeCell ref="P61:P62"/>
    <mergeCell ref="Q61:Q62"/>
    <mergeCell ref="T61:T62"/>
    <mergeCell ref="U61:U62"/>
    <mergeCell ref="V61:V62"/>
    <mergeCell ref="O65:O66"/>
    <mergeCell ref="P65:P66"/>
    <mergeCell ref="Q65:Q66"/>
    <mergeCell ref="T65:T66"/>
    <mergeCell ref="U65:U66"/>
    <mergeCell ref="V65:V66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5" activePane="bottomLeft" state="frozen"/>
      <selection activeCell="D30" sqref="D30"/>
      <selection pane="bottomLeft" activeCell="D29" sqref="D29:F2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2" t="s">
        <v>95</v>
      </c>
      <c r="B1" s="92"/>
      <c r="C1" s="92"/>
      <c r="D1" s="92"/>
      <c r="E1" s="92"/>
      <c r="F1" s="92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SAC2-DS-MRS-0080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45805</v>
      </c>
    </row>
    <row r="4" spans="1:18" ht="15.95" customHeight="1">
      <c r="A4" s="153" t="s">
        <v>2</v>
      </c>
      <c r="B4" s="154" t="s">
        <v>23</v>
      </c>
      <c r="C4" s="154"/>
      <c r="D4" s="153" t="s">
        <v>4</v>
      </c>
      <c r="E4" s="153"/>
      <c r="F4" s="153"/>
      <c r="G4" s="154" t="s">
        <v>5</v>
      </c>
      <c r="H4" s="153" t="s">
        <v>91</v>
      </c>
      <c r="I4" s="153" t="s">
        <v>24</v>
      </c>
      <c r="J4" s="153" t="s">
        <v>25</v>
      </c>
      <c r="K4" s="154" t="s">
        <v>7</v>
      </c>
    </row>
    <row r="5" spans="1:18" ht="15.95" customHeight="1">
      <c r="A5" s="153"/>
      <c r="B5" s="154"/>
      <c r="C5" s="154"/>
      <c r="D5" s="153"/>
      <c r="E5" s="153"/>
      <c r="F5" s="153"/>
      <c r="G5" s="154"/>
      <c r="H5" s="153"/>
      <c r="I5" s="153"/>
      <c r="J5" s="153"/>
      <c r="K5" s="154"/>
    </row>
    <row r="6" spans="1:18" ht="105" customHeight="1">
      <c r="A6" s="21" t="e">
        <f>+MRS!#REF!</f>
        <v>#REF!</v>
      </c>
      <c r="B6" s="148" t="e">
        <f>MRS!#REF!</f>
        <v>#REF!</v>
      </c>
      <c r="C6" s="149"/>
      <c r="D6" s="150" t="e">
        <f>MRS!#REF!</f>
        <v>#REF!</v>
      </c>
      <c r="E6" s="151"/>
      <c r="F6" s="152"/>
      <c r="G6" s="95" t="e">
        <f>MRS!#REF!</f>
        <v>#REF!</v>
      </c>
      <c r="H6" s="95" t="e">
        <f>MRS!#REF!</f>
        <v>#REF!</v>
      </c>
      <c r="I6" s="96" t="e">
        <f>MRS!#REF!</f>
        <v>#REF!</v>
      </c>
      <c r="J6" s="96" t="e">
        <f>MRS!#REF!</f>
        <v>#REF!</v>
      </c>
      <c r="K6" s="97"/>
      <c r="O6" s="98"/>
      <c r="P6" s="98"/>
      <c r="R6" s="98"/>
    </row>
    <row r="7" spans="1:18" ht="105" customHeight="1">
      <c r="A7" s="21">
        <f>+MRS!A7</f>
        <v>2</v>
      </c>
      <c r="B7" s="148" t="str">
        <f>MRS!B7</f>
        <v>Air ticket</v>
      </c>
      <c r="C7" s="149"/>
      <c r="D7" s="150" t="str">
        <f>MRS!D7</f>
        <v>India DMM to CCJ</v>
      </c>
      <c r="E7" s="151"/>
      <c r="F7" s="152"/>
      <c r="G7" s="95">
        <f>MRS!G7</f>
        <v>0</v>
      </c>
      <c r="H7" s="95">
        <f>MRS!H7</f>
        <v>1</v>
      </c>
      <c r="I7" s="96">
        <f>MRS!I7</f>
        <v>2350</v>
      </c>
      <c r="J7" s="96">
        <f>MRS!J7</f>
        <v>2350</v>
      </c>
      <c r="K7" s="97"/>
      <c r="O7" s="98"/>
      <c r="P7" s="98"/>
      <c r="R7" s="98"/>
    </row>
    <row r="8" spans="1:18" ht="105" customHeight="1">
      <c r="A8" s="21">
        <f>+MRS!A8</f>
        <v>3</v>
      </c>
      <c r="B8" s="148" t="str">
        <f>MRS!B8</f>
        <v>Air ticket</v>
      </c>
      <c r="C8" s="149"/>
      <c r="D8" s="150" t="str">
        <f>MRS!D8</f>
        <v>India DMM to DEL</v>
      </c>
      <c r="E8" s="151"/>
      <c r="F8" s="152"/>
      <c r="G8" s="95">
        <f>MRS!G8</f>
        <v>0</v>
      </c>
      <c r="H8" s="95">
        <f>MRS!H8</f>
        <v>1</v>
      </c>
      <c r="I8" s="96">
        <f>MRS!I8</f>
        <v>1800</v>
      </c>
      <c r="J8" s="96">
        <f>MRS!J8</f>
        <v>1800</v>
      </c>
      <c r="K8" s="97"/>
      <c r="O8" s="98"/>
      <c r="P8" s="98"/>
      <c r="R8" s="98"/>
    </row>
    <row r="9" spans="1:18" ht="105" customHeight="1">
      <c r="A9" s="21">
        <f>+MRS!A9</f>
        <v>4</v>
      </c>
      <c r="B9" s="148" t="str">
        <f>MRS!B9</f>
        <v>Air ticket</v>
      </c>
      <c r="C9" s="149"/>
      <c r="D9" s="150" t="str">
        <f>MRS!D9</f>
        <v>India DMM to CCU</v>
      </c>
      <c r="E9" s="151"/>
      <c r="F9" s="152"/>
      <c r="G9" s="95">
        <f>MRS!G9</f>
        <v>0</v>
      </c>
      <c r="H9" s="95">
        <f>MRS!H9</f>
        <v>1</v>
      </c>
      <c r="I9" s="96">
        <f>MRS!I9</f>
        <v>2100</v>
      </c>
      <c r="J9" s="96">
        <f>MRS!J9</f>
        <v>2100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48" t="str">
        <f>MRS!B10</f>
        <v>Air ticket</v>
      </c>
      <c r="C10" s="149"/>
      <c r="D10" s="150" t="str">
        <f>MRS!D10</f>
        <v>India DMM to LKO</v>
      </c>
      <c r="E10" s="151"/>
      <c r="F10" s="152"/>
      <c r="G10" s="95">
        <f>MRS!G10</f>
        <v>0</v>
      </c>
      <c r="H10" s="95">
        <f>MRS!H10</f>
        <v>1</v>
      </c>
      <c r="I10" s="96">
        <f>MRS!I10</f>
        <v>2200</v>
      </c>
      <c r="J10" s="96">
        <f>MRS!J10</f>
        <v>2200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48" t="str">
        <f>MRS!B11</f>
        <v>Air ticket</v>
      </c>
      <c r="C11" s="149"/>
      <c r="D11" s="150" t="str">
        <f>MRS!D11</f>
        <v>India DMM to MAA</v>
      </c>
      <c r="E11" s="151"/>
      <c r="F11" s="152"/>
      <c r="G11" s="95">
        <f>MRS!G11</f>
        <v>0</v>
      </c>
      <c r="H11" s="95">
        <f>MRS!H11</f>
        <v>1</v>
      </c>
      <c r="I11" s="96">
        <f>MRS!I11</f>
        <v>2050</v>
      </c>
      <c r="J11" s="96">
        <f>MRS!J11</f>
        <v>2050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48" t="str">
        <f>MRS!B12</f>
        <v>Air ticket</v>
      </c>
      <c r="C12" s="149"/>
      <c r="D12" s="150" t="str">
        <f>MRS!D12</f>
        <v>India DMM to BOM</v>
      </c>
      <c r="E12" s="151"/>
      <c r="F12" s="152"/>
      <c r="G12" s="95">
        <f>MRS!G12</f>
        <v>0</v>
      </c>
      <c r="H12" s="95">
        <f>MRS!H12</f>
        <v>1</v>
      </c>
      <c r="I12" s="96">
        <f>MRS!I12</f>
        <v>1800</v>
      </c>
      <c r="J12" s="96">
        <f>MRS!J12</f>
        <v>1800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48" t="str">
        <f>MRS!B13</f>
        <v>Air ticket</v>
      </c>
      <c r="C13" s="149"/>
      <c r="D13" s="150" t="str">
        <f>MRS!D13</f>
        <v>India DMM to BLR</v>
      </c>
      <c r="E13" s="151"/>
      <c r="F13" s="152"/>
      <c r="G13" s="95">
        <f>MRS!G13</f>
        <v>0</v>
      </c>
      <c r="H13" s="95">
        <f>MRS!H13</f>
        <v>1</v>
      </c>
      <c r="I13" s="96">
        <f>MRS!I13</f>
        <v>2200</v>
      </c>
      <c r="J13" s="96">
        <f>MRS!J13</f>
        <v>2200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48" t="str">
        <f>MRS!B14</f>
        <v>Air ticket</v>
      </c>
      <c r="C14" s="149"/>
      <c r="D14" s="150" t="str">
        <f>MRS!D14</f>
        <v>India DMM to IXE</v>
      </c>
      <c r="E14" s="151"/>
      <c r="F14" s="152"/>
      <c r="G14" s="95">
        <f>MRS!G14</f>
        <v>0</v>
      </c>
      <c r="H14" s="95">
        <f>MRS!H14</f>
        <v>1</v>
      </c>
      <c r="I14" s="96">
        <f>MRS!I14</f>
        <v>2350</v>
      </c>
      <c r="J14" s="96">
        <f>MRS!J14</f>
        <v>2350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48" t="str">
        <f>MRS!B15</f>
        <v>Air ticket</v>
      </c>
      <c r="C15" s="149"/>
      <c r="D15" s="150" t="str">
        <f>MRS!D15</f>
        <v>India DMM to PAT</v>
      </c>
      <c r="E15" s="151"/>
      <c r="F15" s="152"/>
      <c r="G15" s="95">
        <f>MRS!G15</f>
        <v>0</v>
      </c>
      <c r="H15" s="95">
        <f>MRS!H15</f>
        <v>1</v>
      </c>
      <c r="I15" s="96">
        <f>MRS!I15</f>
        <v>2350</v>
      </c>
      <c r="J15" s="96">
        <f>MRS!J15</f>
        <v>2350</v>
      </c>
      <c r="K15" s="97"/>
      <c r="O15" s="98"/>
      <c r="P15" s="98"/>
      <c r="R15" s="98"/>
    </row>
    <row r="16" spans="1:18" ht="105" customHeight="1">
      <c r="A16" s="21">
        <f>+MRS!A16</f>
        <v>11</v>
      </c>
      <c r="B16" s="148" t="str">
        <f>MRS!B16</f>
        <v>Air ticket</v>
      </c>
      <c r="C16" s="149"/>
      <c r="D16" s="150" t="str">
        <f>MRS!D16</f>
        <v>India DMM to GOA</v>
      </c>
      <c r="E16" s="151"/>
      <c r="F16" s="152"/>
      <c r="G16" s="95">
        <f>MRS!G16</f>
        <v>0</v>
      </c>
      <c r="H16" s="95">
        <f>MRS!H16</f>
        <v>1</v>
      </c>
      <c r="I16" s="96">
        <f>MRS!I16</f>
        <v>2250</v>
      </c>
      <c r="J16" s="96">
        <f>MRS!J16</f>
        <v>2250</v>
      </c>
      <c r="K16" s="97"/>
      <c r="O16" s="98"/>
      <c r="P16" s="98"/>
      <c r="R16" s="98"/>
    </row>
    <row r="17" spans="1:18" ht="105" customHeight="1">
      <c r="A17" s="21">
        <f>+MRS!A17</f>
        <v>12</v>
      </c>
      <c r="B17" s="148" t="str">
        <f>MRS!B17</f>
        <v>Air ticket</v>
      </c>
      <c r="C17" s="149"/>
      <c r="D17" s="150" t="str">
        <f>MRS!D17</f>
        <v>India DMM to GAY</v>
      </c>
      <c r="E17" s="151"/>
      <c r="F17" s="152"/>
      <c r="G17" s="95">
        <f>MRS!G17</f>
        <v>0</v>
      </c>
      <c r="H17" s="95">
        <f>MRS!H17</f>
        <v>1</v>
      </c>
      <c r="I17" s="96">
        <f>MRS!I17</f>
        <v>2100</v>
      </c>
      <c r="J17" s="96">
        <f>MRS!J17</f>
        <v>2100</v>
      </c>
      <c r="K17" s="97"/>
      <c r="O17" s="98"/>
      <c r="P17" s="98"/>
      <c r="R17" s="98"/>
    </row>
    <row r="18" spans="1:18" ht="105" customHeight="1">
      <c r="A18" s="21">
        <f>+MRS!A18</f>
        <v>13</v>
      </c>
      <c r="B18" s="148" t="str">
        <f>MRS!B18</f>
        <v>Air ticket</v>
      </c>
      <c r="C18" s="149"/>
      <c r="D18" s="150" t="str">
        <f>MRS!D18</f>
        <v>India DMM to HYD</v>
      </c>
      <c r="E18" s="151"/>
      <c r="F18" s="152"/>
      <c r="G18" s="95">
        <f>MRS!G18</f>
        <v>0</v>
      </c>
      <c r="H18" s="95">
        <f>MRS!H18</f>
        <v>1</v>
      </c>
      <c r="I18" s="96">
        <f>MRS!I18</f>
        <v>2200</v>
      </c>
      <c r="J18" s="96">
        <f>MRS!J18</f>
        <v>2200</v>
      </c>
      <c r="K18" s="97"/>
      <c r="O18" s="98"/>
      <c r="P18" s="98"/>
      <c r="R18" s="98"/>
    </row>
    <row r="19" spans="1:18" ht="105" customHeight="1">
      <c r="A19" s="21">
        <f>+MRS!A19</f>
        <v>14</v>
      </c>
      <c r="B19" s="148" t="str">
        <f>MRS!B19</f>
        <v>Air ticket</v>
      </c>
      <c r="C19" s="149"/>
      <c r="D19" s="150" t="str">
        <f>MRS!D19</f>
        <v>India DMM to VTZ</v>
      </c>
      <c r="E19" s="151"/>
      <c r="F19" s="152"/>
      <c r="G19" s="95">
        <f>MRS!G19</f>
        <v>0</v>
      </c>
      <c r="H19" s="95">
        <f>MRS!H19</f>
        <v>1</v>
      </c>
      <c r="I19" s="96">
        <f>MRS!I19</f>
        <v>2200</v>
      </c>
      <c r="J19" s="96">
        <f>MRS!J19</f>
        <v>2200</v>
      </c>
      <c r="K19" s="97"/>
      <c r="O19" s="98"/>
      <c r="P19" s="98"/>
      <c r="R19" s="98"/>
    </row>
    <row r="20" spans="1:18" ht="105" customHeight="1">
      <c r="A20" s="21">
        <f>+MRS!A20</f>
        <v>15</v>
      </c>
      <c r="B20" s="148" t="str">
        <f>MRS!B20</f>
        <v>Air ticket</v>
      </c>
      <c r="C20" s="149"/>
      <c r="D20" s="150" t="str">
        <f>MRS!D20</f>
        <v>India DMM to AMD</v>
      </c>
      <c r="E20" s="151"/>
      <c r="F20" s="152"/>
      <c r="G20" s="95">
        <f>MRS!G20</f>
        <v>0</v>
      </c>
      <c r="H20" s="95">
        <f>MRS!H20</f>
        <v>1</v>
      </c>
      <c r="I20" s="96">
        <f>MRS!I20</f>
        <v>2400</v>
      </c>
      <c r="J20" s="96">
        <f>MRS!J20</f>
        <v>2400</v>
      </c>
      <c r="K20" s="97"/>
      <c r="O20" s="98"/>
      <c r="P20" s="98"/>
      <c r="R20" s="98"/>
    </row>
    <row r="21" spans="1:18" ht="105" customHeight="1">
      <c r="A21" s="21">
        <f>+MRS!A21</f>
        <v>16</v>
      </c>
      <c r="B21" s="148" t="str">
        <f>MRS!B21</f>
        <v>Air ticket</v>
      </c>
      <c r="C21" s="149"/>
      <c r="D21" s="150" t="str">
        <f>MRS!D21</f>
        <v>India DMM to TRZ</v>
      </c>
      <c r="E21" s="151"/>
      <c r="F21" s="152"/>
      <c r="G21" s="95">
        <f>MRS!G21</f>
        <v>0</v>
      </c>
      <c r="H21" s="95">
        <f>MRS!H21</f>
        <v>1</v>
      </c>
      <c r="I21" s="96">
        <f>MRS!I21</f>
        <v>2350</v>
      </c>
      <c r="J21" s="96">
        <f>MRS!J21</f>
        <v>2350</v>
      </c>
      <c r="K21" s="97"/>
      <c r="O21" s="98"/>
      <c r="P21" s="98"/>
      <c r="R21" s="98"/>
    </row>
    <row r="22" spans="1:18" ht="105" customHeight="1">
      <c r="A22" s="21">
        <f>+MRS!A22</f>
        <v>17</v>
      </c>
      <c r="B22" s="148" t="str">
        <f>MRS!B22</f>
        <v>Air ticket</v>
      </c>
      <c r="C22" s="149"/>
      <c r="D22" s="150" t="str">
        <f>MRS!D22</f>
        <v>India DMM to IXM</v>
      </c>
      <c r="E22" s="151"/>
      <c r="F22" s="152"/>
      <c r="G22" s="95">
        <f>MRS!G22</f>
        <v>0</v>
      </c>
      <c r="H22" s="95">
        <f>MRS!H22</f>
        <v>1</v>
      </c>
      <c r="I22" s="96">
        <f>MRS!I22</f>
        <v>2350</v>
      </c>
      <c r="J22" s="96">
        <f>MRS!J22</f>
        <v>2350</v>
      </c>
      <c r="K22" s="97"/>
      <c r="O22" s="98"/>
      <c r="P22" s="98"/>
      <c r="R22" s="98"/>
    </row>
    <row r="23" spans="1:18" ht="105" customHeight="1">
      <c r="A23" s="21">
        <f>+MRS!A23</f>
        <v>18</v>
      </c>
      <c r="B23" s="148" t="str">
        <f>MRS!B23</f>
        <v>Air ticket</v>
      </c>
      <c r="C23" s="149"/>
      <c r="D23" s="150" t="str">
        <f>MRS!D23</f>
        <v>India DMM to TRV</v>
      </c>
      <c r="E23" s="151"/>
      <c r="F23" s="152"/>
      <c r="G23" s="95">
        <f>MRS!G23</f>
        <v>0</v>
      </c>
      <c r="H23" s="95">
        <f>MRS!H23</f>
        <v>1</v>
      </c>
      <c r="I23" s="96">
        <f>MRS!I23</f>
        <v>2200</v>
      </c>
      <c r="J23" s="96">
        <f>MRS!J23</f>
        <v>2200</v>
      </c>
      <c r="K23" s="97"/>
      <c r="O23" s="98"/>
      <c r="P23" s="98"/>
      <c r="R23" s="98"/>
    </row>
    <row r="24" spans="1:18" ht="105" customHeight="1">
      <c r="A24" s="21">
        <f>+MRS!A24</f>
        <v>19</v>
      </c>
      <c r="B24" s="148" t="str">
        <f>MRS!B24</f>
        <v>Air ticket</v>
      </c>
      <c r="C24" s="149"/>
      <c r="D24" s="150" t="str">
        <f>MRS!D24</f>
        <v>Pakistan DMM to SKT</v>
      </c>
      <c r="E24" s="151"/>
      <c r="F24" s="152"/>
      <c r="G24" s="95">
        <f>MRS!G24</f>
        <v>0</v>
      </c>
      <c r="H24" s="95">
        <f>MRS!H24</f>
        <v>1</v>
      </c>
      <c r="I24" s="96">
        <f>MRS!I24</f>
        <v>2100</v>
      </c>
      <c r="J24" s="96">
        <f>MRS!J24</f>
        <v>2100</v>
      </c>
      <c r="K24" s="97"/>
      <c r="O24" s="98"/>
      <c r="P24" s="98"/>
      <c r="R24" s="98"/>
    </row>
    <row r="25" spans="1:18" ht="105" customHeight="1">
      <c r="A25" s="21">
        <f>+MRS!A25</f>
        <v>20</v>
      </c>
      <c r="B25" s="148" t="str">
        <f>MRS!B25</f>
        <v>Air ticket</v>
      </c>
      <c r="C25" s="149"/>
      <c r="D25" s="150" t="str">
        <f>MRS!D25</f>
        <v>Pakistan DMM to ISB</v>
      </c>
      <c r="E25" s="151"/>
      <c r="F25" s="152"/>
      <c r="G25" s="95">
        <f>MRS!G25</f>
        <v>0</v>
      </c>
      <c r="H25" s="95">
        <f>MRS!H25</f>
        <v>1</v>
      </c>
      <c r="I25" s="96">
        <f>MRS!I25</f>
        <v>2100</v>
      </c>
      <c r="J25" s="96">
        <f>MRS!J25</f>
        <v>2100</v>
      </c>
      <c r="K25" s="97"/>
      <c r="O25" s="98"/>
      <c r="P25" s="98"/>
      <c r="R25" s="98"/>
    </row>
    <row r="26" spans="1:18" ht="105" customHeight="1">
      <c r="A26" s="21">
        <f>+MRS!A26</f>
        <v>21</v>
      </c>
      <c r="B26" s="148" t="str">
        <f>MRS!B26</f>
        <v>Air ticket</v>
      </c>
      <c r="C26" s="149"/>
      <c r="D26" s="150" t="str">
        <f>MRS!D26</f>
        <v>Pakistan DMM to LHE</v>
      </c>
      <c r="E26" s="151"/>
      <c r="F26" s="152"/>
      <c r="G26" s="95">
        <f>MRS!G26</f>
        <v>0</v>
      </c>
      <c r="H26" s="95">
        <f>MRS!H26</f>
        <v>1</v>
      </c>
      <c r="I26" s="96">
        <f>MRS!I26</f>
        <v>2100</v>
      </c>
      <c r="J26" s="96">
        <f>MRS!J26</f>
        <v>2100</v>
      </c>
      <c r="K26" s="97"/>
      <c r="O26" s="98"/>
      <c r="P26" s="98"/>
      <c r="R26" s="98"/>
    </row>
    <row r="27" spans="1:18" ht="105" customHeight="1">
      <c r="A27" s="21">
        <f>+MRS!A27</f>
        <v>22</v>
      </c>
      <c r="B27" s="148" t="str">
        <f>MRS!B27</f>
        <v>Air ticket</v>
      </c>
      <c r="C27" s="149"/>
      <c r="D27" s="150" t="str">
        <f>MRS!D27</f>
        <v>Philippines DMM to MNL</v>
      </c>
      <c r="E27" s="151"/>
      <c r="F27" s="152"/>
      <c r="G27" s="95">
        <f>MRS!G27</f>
        <v>0</v>
      </c>
      <c r="H27" s="95">
        <f>MRS!H27</f>
        <v>1</v>
      </c>
      <c r="I27" s="96">
        <f>MRS!I27</f>
        <v>3200</v>
      </c>
      <c r="J27" s="96">
        <f>MRS!J27</f>
        <v>3200</v>
      </c>
      <c r="K27" s="97"/>
      <c r="O27" s="98"/>
      <c r="P27" s="98"/>
      <c r="R27" s="98"/>
    </row>
    <row r="28" spans="1:18" ht="105" customHeight="1">
      <c r="A28" s="21">
        <f>+MRS!A28</f>
        <v>23</v>
      </c>
      <c r="B28" s="148" t="str">
        <f>MRS!B28</f>
        <v>Air ticket</v>
      </c>
      <c r="C28" s="149"/>
      <c r="D28" s="150" t="str">
        <f>MRS!D28</f>
        <v>Philippines DMM to CRK</v>
      </c>
      <c r="E28" s="151"/>
      <c r="F28" s="152"/>
      <c r="G28" s="95">
        <f>MRS!G28</f>
        <v>0</v>
      </c>
      <c r="H28" s="95">
        <f>MRS!H28</f>
        <v>1</v>
      </c>
      <c r="I28" s="96">
        <f>MRS!I28</f>
        <v>3600</v>
      </c>
      <c r="J28" s="96">
        <f>MRS!J28</f>
        <v>3600</v>
      </c>
      <c r="K28" s="97"/>
      <c r="O28" s="98"/>
      <c r="P28" s="98"/>
      <c r="R28" s="98"/>
    </row>
    <row r="29" spans="1:18" ht="105" customHeight="1">
      <c r="A29" s="21">
        <f>+MRS!A29</f>
        <v>24</v>
      </c>
      <c r="B29" s="148" t="str">
        <f>MRS!B29</f>
        <v>Air ticket</v>
      </c>
      <c r="C29" s="149"/>
      <c r="D29" s="150" t="str">
        <f>MRS!D29</f>
        <v>Bangladesh DMM to DAC</v>
      </c>
      <c r="E29" s="151"/>
      <c r="F29" s="152"/>
      <c r="G29" s="95">
        <f>MRS!G29</f>
        <v>0</v>
      </c>
      <c r="H29" s="95">
        <f>MRS!H29</f>
        <v>1</v>
      </c>
      <c r="I29" s="96">
        <f>MRS!I29</f>
        <v>2250</v>
      </c>
      <c r="J29" s="96">
        <f>MRS!J29</f>
        <v>2250</v>
      </c>
      <c r="K29" s="97"/>
      <c r="O29" s="98"/>
      <c r="P29" s="98"/>
      <c r="R29" s="98"/>
    </row>
    <row r="30" spans="1:18" ht="105" customHeight="1">
      <c r="A30" s="21">
        <f>+MRS!A30</f>
        <v>25</v>
      </c>
      <c r="B30" s="148" t="str">
        <f>MRS!B30</f>
        <v>Air ticket</v>
      </c>
      <c r="C30" s="149"/>
      <c r="D30" s="150" t="str">
        <f>MRS!D30</f>
        <v>Nepal DMM to KTM</v>
      </c>
      <c r="E30" s="151"/>
      <c r="F30" s="152"/>
      <c r="G30" s="95">
        <f>MRS!G30</f>
        <v>0</v>
      </c>
      <c r="H30" s="95">
        <f>MRS!H30</f>
        <v>1</v>
      </c>
      <c r="I30" s="96">
        <f>MRS!I30</f>
        <v>2100</v>
      </c>
      <c r="J30" s="96">
        <f>MRS!J30</f>
        <v>2100</v>
      </c>
      <c r="K30" s="97"/>
      <c r="O30" s="98"/>
      <c r="P30" s="98"/>
      <c r="R30" s="98"/>
    </row>
  </sheetData>
  <mergeCells count="60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18:C18"/>
    <mergeCell ref="D18:F18"/>
    <mergeCell ref="B19:C19"/>
    <mergeCell ref="D19:F19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9:C29"/>
    <mergeCell ref="D29:F29"/>
    <mergeCell ref="B30:C30"/>
    <mergeCell ref="D30:F30"/>
    <mergeCell ref="B27:C27"/>
    <mergeCell ref="D27:F27"/>
    <mergeCell ref="B28:C28"/>
    <mergeCell ref="D28:F2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75" t="s">
        <v>109</v>
      </c>
      <c r="J10" s="38" t="s">
        <v>33</v>
      </c>
      <c r="K10" s="156">
        <f>MRS!L3</f>
        <v>45805</v>
      </c>
      <c r="L10" s="157"/>
      <c r="M10" s="157"/>
    </row>
    <row r="11" spans="2:13" s="38" customFormat="1">
      <c r="B11" s="71"/>
      <c r="C11" s="74" t="s">
        <v>34</v>
      </c>
      <c r="D11" s="75" t="s">
        <v>110</v>
      </c>
      <c r="J11" s="38" t="s">
        <v>35</v>
      </c>
      <c r="K11" s="158" t="str">
        <f>SUBSTITUTE(SUBSTITUTE(+MRS!A3,"  MRS No : ",""),"-MRS","-PO")</f>
        <v>SAC2-DS-PO-0080</v>
      </c>
      <c r="L11" s="158"/>
      <c r="M11" s="158"/>
    </row>
    <row r="12" spans="2:13" s="38" customFormat="1">
      <c r="B12" s="71"/>
      <c r="C12" s="74" t="s">
        <v>36</v>
      </c>
      <c r="D12" s="38" t="s">
        <v>111</v>
      </c>
      <c r="J12" s="38" t="s">
        <v>37</v>
      </c>
    </row>
    <row r="13" spans="2:13" s="38" customFormat="1">
      <c r="B13" s="71"/>
      <c r="C13" s="76"/>
      <c r="D13" s="75" t="s">
        <v>112</v>
      </c>
      <c r="J13" s="38" t="s">
        <v>38</v>
      </c>
    </row>
    <row r="14" spans="2:13" s="38" customFormat="1">
      <c r="B14" s="71"/>
      <c r="C14" s="76" t="s">
        <v>113</v>
      </c>
      <c r="J14" s="38" t="s">
        <v>39</v>
      </c>
    </row>
    <row r="15" spans="2:13" s="38" customFormat="1">
      <c r="B15" s="71"/>
      <c r="C15" s="76" t="s">
        <v>114</v>
      </c>
      <c r="J15" s="38" t="s">
        <v>40</v>
      </c>
      <c r="K15" s="77"/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59" t="s">
        <v>41</v>
      </c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</row>
    <row r="19" spans="2:13" ht="12" customHeight="1"/>
    <row r="20" spans="2:13" s="31" customFormat="1" ht="12" customHeight="1">
      <c r="B20" s="160" t="s">
        <v>42</v>
      </c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</row>
    <row r="21" spans="2:13" s="31" customFormat="1" ht="12" customHeight="1">
      <c r="B21" s="160" t="s">
        <v>43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</row>
    <row r="22" spans="2:13" s="31" customFormat="1" ht="12" customHeight="1">
      <c r="B22" s="160" t="s">
        <v>44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</row>
    <row r="23" spans="2:13" ht="6.95" customHeight="1"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</row>
    <row r="24" spans="2:13" ht="6.95" customHeight="1"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115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14" t="s">
        <v>107</v>
      </c>
      <c r="G29" s="114"/>
      <c r="H29" s="114"/>
      <c r="M29" s="33"/>
    </row>
    <row r="30" spans="2:13" ht="15" customHeight="1">
      <c r="B30" s="32"/>
      <c r="C30" s="26" t="s">
        <v>50</v>
      </c>
      <c r="E30" s="26" t="s">
        <v>49</v>
      </c>
      <c r="F30" s="114"/>
      <c r="G30" s="114"/>
      <c r="H30" s="114"/>
    </row>
    <row r="31" spans="2:13" ht="15" customHeight="1">
      <c r="B31" s="32"/>
      <c r="C31" s="26" t="s">
        <v>51</v>
      </c>
      <c r="D31" s="34"/>
      <c r="E31" s="26" t="s">
        <v>49</v>
      </c>
      <c r="F31" s="114"/>
      <c r="G31" s="114"/>
      <c r="H31" s="11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99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Naveed Shahzad</v>
      </c>
    </row>
    <row r="60" spans="1:16" ht="18" customHeight="1">
      <c r="B60" s="26" t="s">
        <v>71</v>
      </c>
      <c r="J60" s="26" t="s">
        <v>72</v>
      </c>
      <c r="K60" s="22" t="s">
        <v>102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101</v>
      </c>
      <c r="J62" s="163" t="str">
        <f>C9</f>
        <v>GTATT(Global Traveler Agency For Travel &amp; Tourism)</v>
      </c>
      <c r="K62" s="163"/>
      <c r="L62" s="163"/>
      <c r="M62" s="163"/>
    </row>
    <row r="63" spans="1:16" ht="27.95" customHeight="1">
      <c r="A63" s="155" t="s">
        <v>75</v>
      </c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N41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SAC2-DS-PO-0080</v>
      </c>
      <c r="C2" s="170" t="s">
        <v>77</v>
      </c>
      <c r="D2" s="170"/>
      <c r="E2" s="170"/>
      <c r="F2" s="170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45805</v>
      </c>
      <c r="C3" s="50"/>
      <c r="D3" s="51"/>
      <c r="E3" s="171" t="s">
        <v>79</v>
      </c>
      <c r="F3" s="171"/>
      <c r="G3" s="171"/>
      <c r="H3" s="171"/>
      <c r="I3" s="52"/>
    </row>
    <row r="4" spans="1:13" s="54" customFormat="1" ht="28.5" customHeight="1" thickTop="1">
      <c r="A4" s="172" t="s">
        <v>80</v>
      </c>
      <c r="B4" s="174" t="s">
        <v>81</v>
      </c>
      <c r="C4" s="175"/>
      <c r="D4" s="178" t="s">
        <v>82</v>
      </c>
      <c r="E4" s="178" t="s">
        <v>83</v>
      </c>
      <c r="F4" s="180" t="str">
        <f>'PO 1st page'!C9</f>
        <v>GTATT(Global Traveler Agency For Travel &amp; Tourism)</v>
      </c>
      <c r="G4" s="181"/>
      <c r="H4" s="182" t="s">
        <v>84</v>
      </c>
      <c r="K4" s="55"/>
      <c r="L4" s="55"/>
      <c r="M4" s="55"/>
    </row>
    <row r="5" spans="1:13" s="54" customFormat="1" ht="21.95" customHeight="1">
      <c r="A5" s="173"/>
      <c r="B5" s="176"/>
      <c r="C5" s="177"/>
      <c r="D5" s="179"/>
      <c r="E5" s="179"/>
      <c r="F5" s="56" t="s">
        <v>85</v>
      </c>
      <c r="G5" s="56" t="s">
        <v>51</v>
      </c>
      <c r="H5" s="183"/>
      <c r="K5" s="55"/>
      <c r="L5" s="55"/>
      <c r="M5" s="55"/>
    </row>
    <row r="6" spans="1:13" s="54" customFormat="1" ht="27" customHeight="1">
      <c r="A6" s="84">
        <f t="shared" ref="A6:A30" si="0">ROW(A1)</f>
        <v>1</v>
      </c>
      <c r="B6" s="168" t="e">
        <f>+'MRS LIST'!B6&amp;" "&amp;MRS!#REF!</f>
        <v>#REF!</v>
      </c>
      <c r="C6" s="169"/>
      <c r="D6" s="85" t="e">
        <f>+'MRS LIST'!G6</f>
        <v>#REF!</v>
      </c>
      <c r="E6" s="86" t="e">
        <f>+'MRS LIST'!H6</f>
        <v>#REF!</v>
      </c>
      <c r="F6" s="87" t="e">
        <f>+'MRS LIST'!I6</f>
        <v>#REF!</v>
      </c>
      <c r="G6" s="88" t="e">
        <f>+'MRS LIST'!J6</f>
        <v>#REF!</v>
      </c>
      <c r="H6" s="89" t="e">
        <f>MRS!#REF!</f>
        <v>#REF!</v>
      </c>
      <c r="K6" s="90"/>
      <c r="L6" s="91"/>
      <c r="M6" s="55"/>
    </row>
    <row r="7" spans="1:13" s="54" customFormat="1" ht="27" customHeight="1">
      <c r="A7" s="84">
        <f t="shared" si="0"/>
        <v>2</v>
      </c>
      <c r="B7" s="168" t="str">
        <f>+'MRS LIST'!B7&amp;" "&amp;MRS!D7</f>
        <v>Air ticket India DMM to CCJ</v>
      </c>
      <c r="C7" s="169"/>
      <c r="D7" s="85">
        <f>+'MRS LIST'!G7</f>
        <v>0</v>
      </c>
      <c r="E7" s="86">
        <f>+'MRS LIST'!H7</f>
        <v>1</v>
      </c>
      <c r="F7" s="87">
        <f>+'MRS LIST'!I7</f>
        <v>2350</v>
      </c>
      <c r="G7" s="88">
        <f>+'MRS LIST'!J7</f>
        <v>2350</v>
      </c>
      <c r="H7" s="89"/>
      <c r="K7" s="90"/>
      <c r="L7" s="91"/>
      <c r="M7" s="55"/>
    </row>
    <row r="8" spans="1:13" s="54" customFormat="1" ht="27" customHeight="1">
      <c r="A8" s="84">
        <f t="shared" si="0"/>
        <v>3</v>
      </c>
      <c r="B8" s="168" t="str">
        <f>+'MRS LIST'!B8&amp;" "&amp;MRS!D8</f>
        <v>Air ticket India DMM to DEL</v>
      </c>
      <c r="C8" s="169"/>
      <c r="D8" s="85">
        <f>+'MRS LIST'!G8</f>
        <v>0</v>
      </c>
      <c r="E8" s="86">
        <f>+'MRS LIST'!H8</f>
        <v>1</v>
      </c>
      <c r="F8" s="87">
        <f>+'MRS LIST'!I8</f>
        <v>1800</v>
      </c>
      <c r="G8" s="88">
        <f>+'MRS LIST'!J8</f>
        <v>1800</v>
      </c>
      <c r="H8" s="89"/>
      <c r="K8" s="90"/>
      <c r="L8" s="91"/>
      <c r="M8" s="55"/>
    </row>
    <row r="9" spans="1:13" s="54" customFormat="1" ht="27" customHeight="1">
      <c r="A9" s="84">
        <f t="shared" si="0"/>
        <v>4</v>
      </c>
      <c r="B9" s="168" t="str">
        <f>+'MRS LIST'!B9&amp;" "&amp;MRS!D9</f>
        <v>Air ticket India DMM to CCU</v>
      </c>
      <c r="C9" s="169"/>
      <c r="D9" s="85">
        <f>+'MRS LIST'!G9</f>
        <v>0</v>
      </c>
      <c r="E9" s="86">
        <f>+'MRS LIST'!H9</f>
        <v>1</v>
      </c>
      <c r="F9" s="87">
        <f>+'MRS LIST'!I9</f>
        <v>2100</v>
      </c>
      <c r="G9" s="88">
        <f>+'MRS LIST'!J9</f>
        <v>2100</v>
      </c>
      <c r="H9" s="89"/>
      <c r="K9" s="90"/>
      <c r="L9" s="91"/>
      <c r="M9" s="55"/>
    </row>
    <row r="10" spans="1:13" s="54" customFormat="1" ht="27" customHeight="1">
      <c r="A10" s="84">
        <f t="shared" si="0"/>
        <v>5</v>
      </c>
      <c r="B10" s="168" t="str">
        <f>+'MRS LIST'!B10&amp;" "&amp;MRS!D10</f>
        <v>Air ticket India DMM to LKO</v>
      </c>
      <c r="C10" s="169"/>
      <c r="D10" s="85">
        <f>+'MRS LIST'!G10</f>
        <v>0</v>
      </c>
      <c r="E10" s="86">
        <f>+'MRS LIST'!H10</f>
        <v>1</v>
      </c>
      <c r="F10" s="87">
        <f>+'MRS LIST'!I10</f>
        <v>2200</v>
      </c>
      <c r="G10" s="88">
        <f>+'MRS LIST'!J10</f>
        <v>2200</v>
      </c>
      <c r="H10" s="89"/>
      <c r="K10" s="90"/>
      <c r="L10" s="91"/>
      <c r="M10" s="55"/>
    </row>
    <row r="11" spans="1:13" s="54" customFormat="1" ht="27" customHeight="1">
      <c r="A11" s="84">
        <f t="shared" si="0"/>
        <v>6</v>
      </c>
      <c r="B11" s="168" t="str">
        <f>+'MRS LIST'!B11&amp;" "&amp;MRS!D11</f>
        <v>Air ticket India DMM to MAA</v>
      </c>
      <c r="C11" s="169"/>
      <c r="D11" s="85">
        <f>+'MRS LIST'!G11</f>
        <v>0</v>
      </c>
      <c r="E11" s="86">
        <f>+'MRS LIST'!H11</f>
        <v>1</v>
      </c>
      <c r="F11" s="87">
        <f>+'MRS LIST'!I11</f>
        <v>2050</v>
      </c>
      <c r="G11" s="88">
        <f>+'MRS LIST'!J11</f>
        <v>2050</v>
      </c>
      <c r="H11" s="89"/>
      <c r="K11" s="90"/>
      <c r="L11" s="91"/>
      <c r="M11" s="55"/>
    </row>
    <row r="12" spans="1:13" s="54" customFormat="1" ht="27" customHeight="1">
      <c r="A12" s="84">
        <f t="shared" si="0"/>
        <v>7</v>
      </c>
      <c r="B12" s="168" t="str">
        <f>+'MRS LIST'!B12&amp;" "&amp;MRS!D12</f>
        <v>Air ticket India DMM to BOM</v>
      </c>
      <c r="C12" s="169"/>
      <c r="D12" s="85">
        <f>+'MRS LIST'!G12</f>
        <v>0</v>
      </c>
      <c r="E12" s="86">
        <f>+'MRS LIST'!H12</f>
        <v>1</v>
      </c>
      <c r="F12" s="87">
        <f>+'MRS LIST'!I12</f>
        <v>1800</v>
      </c>
      <c r="G12" s="88">
        <f>+'MRS LIST'!J12</f>
        <v>1800</v>
      </c>
      <c r="H12" s="89"/>
      <c r="K12" s="90"/>
      <c r="L12" s="91"/>
      <c r="M12" s="55"/>
    </row>
    <row r="13" spans="1:13" s="54" customFormat="1" ht="27" customHeight="1">
      <c r="A13" s="84">
        <f t="shared" si="0"/>
        <v>8</v>
      </c>
      <c r="B13" s="168" t="str">
        <f>+'MRS LIST'!B13&amp;" "&amp;MRS!D13</f>
        <v>Air ticket India DMM to BLR</v>
      </c>
      <c r="C13" s="169"/>
      <c r="D13" s="85">
        <f>+'MRS LIST'!G13</f>
        <v>0</v>
      </c>
      <c r="E13" s="86">
        <f>+'MRS LIST'!H13</f>
        <v>1</v>
      </c>
      <c r="F13" s="87">
        <f>+'MRS LIST'!I13</f>
        <v>2200</v>
      </c>
      <c r="G13" s="88">
        <f>+'MRS LIST'!J13</f>
        <v>2200</v>
      </c>
      <c r="H13" s="89"/>
      <c r="K13" s="90"/>
      <c r="L13" s="91"/>
      <c r="M13" s="55"/>
    </row>
    <row r="14" spans="1:13" s="54" customFormat="1" ht="27" customHeight="1">
      <c r="A14" s="84">
        <f t="shared" si="0"/>
        <v>9</v>
      </c>
      <c r="B14" s="168" t="str">
        <f>+'MRS LIST'!B14&amp;" "&amp;MRS!D14</f>
        <v>Air ticket India DMM to IXE</v>
      </c>
      <c r="C14" s="169"/>
      <c r="D14" s="85">
        <f>+'MRS LIST'!G14</f>
        <v>0</v>
      </c>
      <c r="E14" s="86">
        <f>+'MRS LIST'!H14</f>
        <v>1</v>
      </c>
      <c r="F14" s="87">
        <f>+'MRS LIST'!I14</f>
        <v>2350</v>
      </c>
      <c r="G14" s="88">
        <f>+'MRS LIST'!J14</f>
        <v>2350</v>
      </c>
      <c r="H14" s="89"/>
      <c r="K14" s="90"/>
      <c r="L14" s="91"/>
      <c r="M14" s="55"/>
    </row>
    <row r="15" spans="1:13" s="54" customFormat="1" ht="27" customHeight="1">
      <c r="A15" s="84">
        <f t="shared" si="0"/>
        <v>10</v>
      </c>
      <c r="B15" s="168" t="str">
        <f>+'MRS LIST'!B15&amp;" "&amp;MRS!D15</f>
        <v>Air ticket India DMM to PAT</v>
      </c>
      <c r="C15" s="169"/>
      <c r="D15" s="85">
        <f>+'MRS LIST'!G15</f>
        <v>0</v>
      </c>
      <c r="E15" s="86">
        <f>+'MRS LIST'!H15</f>
        <v>1</v>
      </c>
      <c r="F15" s="87">
        <f>+'MRS LIST'!I15</f>
        <v>2350</v>
      </c>
      <c r="G15" s="88">
        <f>+'MRS LIST'!J15</f>
        <v>2350</v>
      </c>
      <c r="H15" s="89"/>
      <c r="K15" s="90"/>
      <c r="L15" s="91"/>
      <c r="M15" s="55"/>
    </row>
    <row r="16" spans="1:13" s="54" customFormat="1" ht="27" customHeight="1">
      <c r="A16" s="84">
        <f t="shared" si="0"/>
        <v>11</v>
      </c>
      <c r="B16" s="168" t="str">
        <f>+'MRS LIST'!B16&amp;" "&amp;MRS!D16</f>
        <v>Air ticket India DMM to GOA</v>
      </c>
      <c r="C16" s="169"/>
      <c r="D16" s="85">
        <f>+'MRS LIST'!G16</f>
        <v>0</v>
      </c>
      <c r="E16" s="86">
        <f>+'MRS LIST'!H16</f>
        <v>1</v>
      </c>
      <c r="F16" s="87">
        <f>+'MRS LIST'!I16</f>
        <v>2250</v>
      </c>
      <c r="G16" s="88">
        <f>+'MRS LIST'!J16</f>
        <v>2250</v>
      </c>
      <c r="H16" s="89"/>
      <c r="K16" s="90"/>
      <c r="L16" s="91"/>
      <c r="M16" s="55"/>
    </row>
    <row r="17" spans="1:14" s="54" customFormat="1" ht="27" customHeight="1">
      <c r="A17" s="84">
        <f t="shared" si="0"/>
        <v>12</v>
      </c>
      <c r="B17" s="168" t="str">
        <f>+'MRS LIST'!B17&amp;" "&amp;MRS!D17</f>
        <v>Air ticket India DMM to GAY</v>
      </c>
      <c r="C17" s="169"/>
      <c r="D17" s="85">
        <f>+'MRS LIST'!G17</f>
        <v>0</v>
      </c>
      <c r="E17" s="86">
        <f>+'MRS LIST'!H17</f>
        <v>1</v>
      </c>
      <c r="F17" s="87">
        <f>+'MRS LIST'!I17</f>
        <v>2100</v>
      </c>
      <c r="G17" s="88">
        <f>+'MRS LIST'!J17</f>
        <v>2100</v>
      </c>
      <c r="H17" s="89"/>
      <c r="K17" s="90"/>
      <c r="L17" s="91"/>
      <c r="M17" s="55"/>
    </row>
    <row r="18" spans="1:14" s="54" customFormat="1" ht="27" customHeight="1">
      <c r="A18" s="84">
        <f t="shared" si="0"/>
        <v>13</v>
      </c>
      <c r="B18" s="168" t="str">
        <f>+'MRS LIST'!B18&amp;" "&amp;MRS!D18</f>
        <v>Air ticket India DMM to HYD</v>
      </c>
      <c r="C18" s="169"/>
      <c r="D18" s="85">
        <f>+'MRS LIST'!G18</f>
        <v>0</v>
      </c>
      <c r="E18" s="86">
        <f>+'MRS LIST'!H18</f>
        <v>1</v>
      </c>
      <c r="F18" s="87">
        <f>+'MRS LIST'!I18</f>
        <v>2200</v>
      </c>
      <c r="G18" s="88">
        <f>+'MRS LIST'!J18</f>
        <v>2200</v>
      </c>
      <c r="H18" s="89"/>
      <c r="K18" s="90"/>
      <c r="L18" s="91"/>
      <c r="M18" s="55"/>
    </row>
    <row r="19" spans="1:14" s="54" customFormat="1" ht="27" customHeight="1">
      <c r="A19" s="84">
        <f t="shared" si="0"/>
        <v>14</v>
      </c>
      <c r="B19" s="168" t="str">
        <f>+'MRS LIST'!B19&amp;" "&amp;MRS!D19</f>
        <v>Air ticket India DMM to VTZ</v>
      </c>
      <c r="C19" s="169"/>
      <c r="D19" s="85">
        <f>+'MRS LIST'!G19</f>
        <v>0</v>
      </c>
      <c r="E19" s="86">
        <f>+'MRS LIST'!H19</f>
        <v>1</v>
      </c>
      <c r="F19" s="87">
        <f>+'MRS LIST'!I19</f>
        <v>2200</v>
      </c>
      <c r="G19" s="88">
        <f>+'MRS LIST'!J19</f>
        <v>2200</v>
      </c>
      <c r="H19" s="89"/>
      <c r="K19" s="90"/>
      <c r="L19" s="91"/>
      <c r="M19" s="55"/>
    </row>
    <row r="20" spans="1:14" s="54" customFormat="1" ht="27" customHeight="1">
      <c r="A20" s="84">
        <f t="shared" si="0"/>
        <v>15</v>
      </c>
      <c r="B20" s="168" t="str">
        <f>+'MRS LIST'!B20&amp;" "&amp;MRS!D20</f>
        <v>Air ticket India DMM to AMD</v>
      </c>
      <c r="C20" s="169"/>
      <c r="D20" s="85">
        <f>+'MRS LIST'!G20</f>
        <v>0</v>
      </c>
      <c r="E20" s="86">
        <f>+'MRS LIST'!H20</f>
        <v>1</v>
      </c>
      <c r="F20" s="87">
        <f>+'MRS LIST'!I20</f>
        <v>2400</v>
      </c>
      <c r="G20" s="88">
        <f>+'MRS LIST'!J20</f>
        <v>2400</v>
      </c>
      <c r="H20" s="89"/>
      <c r="K20" s="90"/>
      <c r="L20" s="91"/>
      <c r="M20" s="55"/>
    </row>
    <row r="21" spans="1:14" s="54" customFormat="1" ht="27" customHeight="1">
      <c r="A21" s="84">
        <f t="shared" si="0"/>
        <v>16</v>
      </c>
      <c r="B21" s="168" t="str">
        <f>+'MRS LIST'!B21&amp;" "&amp;MRS!D21</f>
        <v>Air ticket India DMM to TRZ</v>
      </c>
      <c r="C21" s="169"/>
      <c r="D21" s="85">
        <f>+'MRS LIST'!G21</f>
        <v>0</v>
      </c>
      <c r="E21" s="86">
        <f>+'MRS LIST'!H21</f>
        <v>1</v>
      </c>
      <c r="F21" s="87">
        <f>+'MRS LIST'!I21</f>
        <v>2350</v>
      </c>
      <c r="G21" s="88">
        <f>+'MRS LIST'!J21</f>
        <v>2350</v>
      </c>
      <c r="H21" s="89"/>
      <c r="K21" s="55"/>
      <c r="L21" s="55"/>
      <c r="M21" s="55"/>
    </row>
    <row r="22" spans="1:14" s="54" customFormat="1" ht="27" customHeight="1">
      <c r="A22" s="84">
        <f t="shared" si="0"/>
        <v>17</v>
      </c>
      <c r="B22" s="168" t="str">
        <f>+'MRS LIST'!B22&amp;" "&amp;MRS!D22</f>
        <v>Air ticket India DMM to IXM</v>
      </c>
      <c r="C22" s="169"/>
      <c r="D22" s="85">
        <f>+'MRS LIST'!G22</f>
        <v>0</v>
      </c>
      <c r="E22" s="86">
        <f>+'MRS LIST'!H22</f>
        <v>1</v>
      </c>
      <c r="F22" s="87">
        <f>+'MRS LIST'!I22</f>
        <v>2350</v>
      </c>
      <c r="G22" s="88">
        <f>+'MRS LIST'!J22</f>
        <v>2350</v>
      </c>
      <c r="H22" s="89"/>
    </row>
    <row r="23" spans="1:14" s="54" customFormat="1" ht="27" customHeight="1">
      <c r="A23" s="84">
        <f t="shared" si="0"/>
        <v>18</v>
      </c>
      <c r="B23" s="168" t="str">
        <f>+'MRS LIST'!B23&amp;" "&amp;MRS!D23</f>
        <v>Air ticket India DMM to TRV</v>
      </c>
      <c r="C23" s="169"/>
      <c r="D23" s="85">
        <f>+'MRS LIST'!G23</f>
        <v>0</v>
      </c>
      <c r="E23" s="86">
        <f>+'MRS LIST'!H23</f>
        <v>1</v>
      </c>
      <c r="F23" s="87">
        <f>+'MRS LIST'!I23</f>
        <v>2200</v>
      </c>
      <c r="G23" s="88">
        <f>+'MRS LIST'!J23</f>
        <v>2200</v>
      </c>
      <c r="H23" s="89"/>
    </row>
    <row r="24" spans="1:14" s="54" customFormat="1" ht="27" customHeight="1">
      <c r="A24" s="84">
        <f t="shared" si="0"/>
        <v>19</v>
      </c>
      <c r="B24" s="168" t="str">
        <f>+'MRS LIST'!B24&amp;" "&amp;MRS!D24</f>
        <v>Air ticket Pakistan DMM to SKT</v>
      </c>
      <c r="C24" s="169"/>
      <c r="D24" s="85">
        <f>+'MRS LIST'!G24</f>
        <v>0</v>
      </c>
      <c r="E24" s="86">
        <f>+'MRS LIST'!H24</f>
        <v>1</v>
      </c>
      <c r="F24" s="87">
        <f>+'MRS LIST'!I24</f>
        <v>2100</v>
      </c>
      <c r="G24" s="88">
        <f>+'MRS LIST'!J24</f>
        <v>2100</v>
      </c>
      <c r="H24" s="89"/>
    </row>
    <row r="25" spans="1:14" s="54" customFormat="1" ht="27" customHeight="1">
      <c r="A25" s="84">
        <f t="shared" si="0"/>
        <v>20</v>
      </c>
      <c r="B25" s="168" t="str">
        <f>+'MRS LIST'!B25&amp;" "&amp;MRS!D25</f>
        <v>Air ticket Pakistan DMM to ISB</v>
      </c>
      <c r="C25" s="169"/>
      <c r="D25" s="85">
        <f>+'MRS LIST'!G25</f>
        <v>0</v>
      </c>
      <c r="E25" s="86">
        <f>+'MRS LIST'!H25</f>
        <v>1</v>
      </c>
      <c r="F25" s="87">
        <f>+'MRS LIST'!I25</f>
        <v>2100</v>
      </c>
      <c r="G25" s="88">
        <f>+'MRS LIST'!J25</f>
        <v>2100</v>
      </c>
      <c r="H25" s="89"/>
      <c r="N25" s="54" t="s">
        <v>103</v>
      </c>
    </row>
    <row r="26" spans="1:14" s="54" customFormat="1" ht="32.1" customHeight="1">
      <c r="A26" s="84">
        <f t="shared" si="0"/>
        <v>21</v>
      </c>
      <c r="B26" s="168" t="str">
        <f>+'MRS LIST'!B26&amp;" "&amp;MRS!D26</f>
        <v>Air ticket Pakistan DMM to LHE</v>
      </c>
      <c r="C26" s="169"/>
      <c r="D26" s="85">
        <f>+'MRS LIST'!G26</f>
        <v>0</v>
      </c>
      <c r="E26" s="86">
        <f>+'MRS LIST'!H26</f>
        <v>1</v>
      </c>
      <c r="F26" s="87">
        <f>+'MRS LIST'!I26</f>
        <v>2100</v>
      </c>
      <c r="G26" s="88">
        <f>+'MRS LIST'!J26</f>
        <v>2100</v>
      </c>
      <c r="H26" s="89"/>
    </row>
    <row r="27" spans="1:14" s="54" customFormat="1" ht="32.1" customHeight="1">
      <c r="A27" s="84">
        <f t="shared" si="0"/>
        <v>22</v>
      </c>
      <c r="B27" s="168" t="str">
        <f>+'MRS LIST'!B27&amp;" "&amp;MRS!D27</f>
        <v>Air ticket Philippines DMM to MNL</v>
      </c>
      <c r="C27" s="169"/>
      <c r="D27" s="85">
        <f>+'MRS LIST'!G27</f>
        <v>0</v>
      </c>
      <c r="E27" s="86">
        <f>+'MRS LIST'!H27</f>
        <v>1</v>
      </c>
      <c r="F27" s="87">
        <f>+'MRS LIST'!I27</f>
        <v>3200</v>
      </c>
      <c r="G27" s="88">
        <f>+'MRS LIST'!J27</f>
        <v>3200</v>
      </c>
      <c r="H27" s="89"/>
    </row>
    <row r="28" spans="1:14" s="54" customFormat="1" ht="32.1" customHeight="1">
      <c r="A28" s="84">
        <f t="shared" si="0"/>
        <v>23</v>
      </c>
      <c r="B28" s="168" t="str">
        <f>+'MRS LIST'!B28&amp;" "&amp;MRS!D28</f>
        <v>Air ticket Philippines DMM to CRK</v>
      </c>
      <c r="C28" s="169"/>
      <c r="D28" s="85">
        <f>+'MRS LIST'!G28</f>
        <v>0</v>
      </c>
      <c r="E28" s="86">
        <f>+'MRS LIST'!H28</f>
        <v>1</v>
      </c>
      <c r="F28" s="87">
        <f>+'MRS LIST'!I28</f>
        <v>3600</v>
      </c>
      <c r="G28" s="88">
        <f>+'MRS LIST'!J28</f>
        <v>3600</v>
      </c>
      <c r="H28" s="89"/>
    </row>
    <row r="29" spans="1:14" s="54" customFormat="1" ht="32.1" customHeight="1">
      <c r="A29" s="84">
        <f t="shared" si="0"/>
        <v>24</v>
      </c>
      <c r="B29" s="168" t="str">
        <f>+'MRS LIST'!B29&amp;" "&amp;MRS!D29</f>
        <v>Air ticket Bangladesh DMM to DAC</v>
      </c>
      <c r="C29" s="169"/>
      <c r="D29" s="85">
        <f>+'MRS LIST'!G29</f>
        <v>0</v>
      </c>
      <c r="E29" s="86">
        <f>+'MRS LIST'!H29</f>
        <v>1</v>
      </c>
      <c r="F29" s="87">
        <f>+'MRS LIST'!I29</f>
        <v>2250</v>
      </c>
      <c r="G29" s="88">
        <f>+'MRS LIST'!J29</f>
        <v>2250</v>
      </c>
      <c r="H29" s="89"/>
    </row>
    <row r="30" spans="1:14" s="54" customFormat="1" ht="32.1" customHeight="1">
      <c r="A30" s="84">
        <f t="shared" si="0"/>
        <v>25</v>
      </c>
      <c r="B30" s="168" t="str">
        <f>+'MRS LIST'!B30&amp;" "&amp;MRS!D30</f>
        <v>Air ticket Nepal DMM to KTM</v>
      </c>
      <c r="C30" s="169"/>
      <c r="D30" s="85">
        <f>+'MRS LIST'!G30</f>
        <v>0</v>
      </c>
      <c r="E30" s="86">
        <f>+'MRS LIST'!H30</f>
        <v>1</v>
      </c>
      <c r="F30" s="87">
        <f>+'MRS LIST'!I30</f>
        <v>2100</v>
      </c>
      <c r="G30" s="88">
        <f>+'MRS LIST'!J30</f>
        <v>2100</v>
      </c>
      <c r="H30" s="89"/>
    </row>
    <row r="31" spans="1:14" s="54" customFormat="1" ht="23.1" customHeight="1">
      <c r="A31" s="164" t="s">
        <v>86</v>
      </c>
      <c r="B31" s="165"/>
      <c r="C31" s="165"/>
      <c r="D31" s="165"/>
      <c r="E31" s="165"/>
      <c r="F31" s="165"/>
      <c r="G31" s="57" t="e">
        <f>SUM(G6:G30)</f>
        <v>#REF!</v>
      </c>
      <c r="H31" s="58"/>
    </row>
    <row r="32" spans="1:14" s="54" customFormat="1" ht="23.1" customHeight="1">
      <c r="A32" s="164" t="s">
        <v>50</v>
      </c>
      <c r="B32" s="165"/>
      <c r="C32" s="165"/>
      <c r="D32" s="165"/>
      <c r="E32" s="165"/>
      <c r="F32" s="165"/>
      <c r="G32" s="57"/>
      <c r="H32" s="58"/>
    </row>
    <row r="33" spans="1:13" s="54" customFormat="1" ht="24.95" customHeight="1" thickBot="1">
      <c r="A33" s="166" t="s">
        <v>87</v>
      </c>
      <c r="B33" s="167"/>
      <c r="C33" s="167"/>
      <c r="D33" s="167"/>
      <c r="E33" s="167"/>
      <c r="F33" s="167"/>
      <c r="G33" s="59" t="e">
        <f>G32+G31</f>
        <v>#REF!</v>
      </c>
      <c r="H33" s="60"/>
    </row>
    <row r="34" spans="1:13" ht="15.75" thickTop="1">
      <c r="A34" s="61" t="str">
        <f>" 1) Above Price are as per your quotation with ref "&amp;'PO 1st page'!K14</f>
        <v xml:space="preserve"> 1) Above Price are as per your quotation with ref </v>
      </c>
      <c r="B34" s="62"/>
      <c r="C34" s="62"/>
      <c r="D34" s="63"/>
      <c r="E34" s="63"/>
      <c r="F34" s="63"/>
      <c r="G34" s="63"/>
      <c r="H34" s="63"/>
    </row>
    <row r="35" spans="1:13" ht="15">
      <c r="A35" s="64" t="s">
        <v>88</v>
      </c>
      <c r="B35" s="65"/>
      <c r="C35" s="65"/>
      <c r="D35" s="66"/>
      <c r="E35" s="66"/>
      <c r="F35" s="66"/>
      <c r="G35" s="66"/>
      <c r="H35" s="66"/>
      <c r="I35" s="67"/>
    </row>
    <row r="36" spans="1:13" ht="15.75">
      <c r="A36" s="68"/>
    </row>
    <row r="37" spans="1:13">
      <c r="A37" s="155" t="s">
        <v>89</v>
      </c>
      <c r="B37" s="155"/>
      <c r="C37" s="155"/>
      <c r="D37" s="155"/>
      <c r="E37" s="155"/>
      <c r="F37" s="155"/>
      <c r="G37" s="155"/>
      <c r="H37" s="155"/>
      <c r="I37" s="69"/>
      <c r="J37" s="69"/>
      <c r="K37" s="69"/>
      <c r="L37" s="69"/>
      <c r="M37" s="69"/>
    </row>
    <row r="38" spans="1:13" ht="15.75">
      <c r="A38" s="68"/>
      <c r="C38" s="70"/>
    </row>
    <row r="39" spans="1:13" ht="15.75">
      <c r="A39" s="68"/>
      <c r="C39" s="70"/>
    </row>
    <row r="41" spans="1:13" ht="12" customHeight="1"/>
  </sheetData>
  <mergeCells count="37">
    <mergeCell ref="B19:C19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24:C2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20:C20"/>
    <mergeCell ref="B21:C21"/>
    <mergeCell ref="B22:C22"/>
    <mergeCell ref="B23:C23"/>
    <mergeCell ref="B7:C7"/>
    <mergeCell ref="B8:C8"/>
    <mergeCell ref="A31:F31"/>
    <mergeCell ref="A32:F32"/>
    <mergeCell ref="A33:F33"/>
    <mergeCell ref="A37:H37"/>
    <mergeCell ref="B25:C25"/>
    <mergeCell ref="B26:C26"/>
    <mergeCell ref="B27:C27"/>
    <mergeCell ref="B28:C28"/>
    <mergeCell ref="B29:C29"/>
    <mergeCell ref="B30:C3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2025-05-31T12:51:11Z</cp:lastPrinted>
  <dcterms:created xsi:type="dcterms:W3CDTF">2024-10-20T11:50:19Z</dcterms:created>
  <dcterms:modified xsi:type="dcterms:W3CDTF">2025-10-29T08:13:08Z</dcterms:modified>
</cp:coreProperties>
</file>