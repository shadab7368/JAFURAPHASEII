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8AA0876-AEE0-4848-A447-4A5E9719A0C3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4" i="3" l="1"/>
  <c r="H7" i="4" l="1"/>
  <c r="J7" i="1"/>
  <c r="K67" i="3" l="1"/>
  <c r="H6" i="4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<sst xmlns="http://schemas.openxmlformats.org/spreadsheetml/2006/main" count="160" uniqueCount="135">
  <si>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</si>
  <si>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</si>
  <si>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</si>
  <si>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</si>
  <si>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</si>
  <si>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</si>
  <si>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</si>
  <si>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</si>
  <si>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</si>
  <si>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</si>
  <si>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</si>
  <si>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</si>
  <si>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</si>
  <si>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</si>
  <si>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</si>
  <si>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</si>
  <si>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</si>
  <si>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</si>
  <si>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</si>
  <si>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</si>
  <si>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</si>
  <si>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</si>
  <si>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</si>
  <si>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</si>
  <si>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</si>
  <si>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</si>
  <si>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</si>
  <si>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</si>
  <si>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</si>
  <si>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</si>
  <si>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</si>
  <si>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</si>
  <si>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</si>
  <si>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</si>
  <si>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</si>
  <si>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</si>
  <si>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</si>
  <si>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</si>
  <si>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</si>
  <si>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</si>
  <si>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</si>
  <si>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</si>
  <si>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</si>
  <si>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</si>
  <si>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</si>
  <si>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</si>
  <si>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</si>
  <si>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</si>
  <si>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</si>
  <si>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</si>
  <si>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</si>
  <si>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</si>
  <si>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</si>
  <si>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</si>
  <si>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</si>
  <si>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</si>
  <si>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</si>
  <si>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</si>
  <si>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</si>
  <si>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</si>
  <si>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</si>
  <si>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</si>
  <si>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</si>
  <si>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</si>
  <si>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</si>
  <si>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</si>
  <si>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</si>
  <si>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</si>
  <si>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</si>
  <si>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</si>
  <si>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</si>
  <si>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</si>
  <si>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</si>
  <si>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</si>
  <si>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</si>
  <si>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</si>
  <si>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</si>
  <si>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</si>
  <si>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</si>
  <si>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</si>
  <si>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</si>
  <si>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</si>
  <si>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</si>
  <si>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</si>
  <si>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</si>
  <si>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</si>
  <si>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</si>
  <si>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</si>
  <si>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</si>
  <si>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</si>
  <si>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</si>
  <si>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</si>
  <si>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</si>
  <si>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</si>
  <si>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</si>
  <si>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</si>
  <si>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</si>
  <si>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</si>
  <si>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</si>
  <si>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</si>
  <si>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</si>
  <si>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</si>
  <si>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</si>
  <si>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</si>
  <si>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</si>
  <si>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</si>
  <si>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3" type="noConversion"/>
  </si>
  <si>
    <t>L/S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</si>
  <si>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</si>
  <si>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</si>
  <si>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</si>
  <si>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</si>
  <si>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Air Compressor</t>
  </si>
  <si>
    <t>Air Compressor Mob &amp; De-Mob. Charge</t>
  </si>
  <si>
    <t>375 CFM Air Compressor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</si>
  <si>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</si>
  <si>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</si>
  <si>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375 CFM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</si>
  <si>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</si>
  <si>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-MRS-0173</t>
    </r>
  </si>
  <si>
    <t>PC-EQTN2025-1979-(R1)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</si>
  <si>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</si>
  <si>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</si>
  <si>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</si>
  <si>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</si>
  <si>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</si>
  <si>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</si>
  <si>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</si>
  <si>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</si>
  <si>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</si>
  <si>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</si>
  <si>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SA9210000006000000389408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</si>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</sst>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J8" sqref="J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115</v>
      </c>
      <c r="B1" s="110"/>
      <c r="C1" s="110"/>
      <c r="D1" s="110"/>
      <c r="E1" s="110"/>
      <c r="F1" s="110"/>
      <c r="G1" s="1"/>
      <c r="J1" s="144" t="s">
        <v>89</v>
      </c>
      <c r="K1" s="145"/>
      <c r="L1" s="146"/>
    </row>
    <row r="2" spans="1:18" ht="20.100000000000001" customHeight="1">
      <c r="A2" s="3" t="s">
        <v>1</v>
      </c>
      <c r="B2" s="101"/>
      <c r="C2" s="101"/>
      <c r="D2" s="3" t="s">
        <v>110</v>
      </c>
      <c r="E2" s="101"/>
      <c r="F2" s="101"/>
      <c r="G2" s="101"/>
      <c r="H2" s="101"/>
      <c r="I2" s="4"/>
      <c r="J2" s="147" t="s">
        <v>116</v>
      </c>
      <c r="K2" s="148"/>
      <c r="L2" s="149"/>
    </row>
    <row r="3" spans="1:18" ht="20.100000000000001" customHeight="1">
      <c r="A3" s="3" t="s">
        <v>119</v>
      </c>
      <c r="B3" s="101"/>
      <c r="C3" s="101"/>
      <c r="D3" s="101"/>
      <c r="E3" s="150">
        <f>+L3</f>
        <v>45994</v>
      </c>
      <c r="F3" s="150"/>
      <c r="G3" s="150"/>
      <c r="H3" s="150"/>
      <c r="I3" s="150"/>
      <c r="J3" s="101"/>
      <c r="K3" s="101"/>
      <c r="L3" s="122">
        <v>45994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94</v>
      </c>
      <c r="J4" s="151" t="s">
        <v>95</v>
      </c>
      <c r="K4" s="161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8" ht="22.5" customHeight="1">
      <c r="A6" s="5">
        <f t="shared" ref="A6:A15" si="0">ROW(A1)</f>
        <v>1</v>
      </c>
      <c r="B6" s="132" t="s">
        <v>112</v>
      </c>
      <c r="C6" s="133"/>
      <c r="D6" s="134" t="s">
        <v>117</v>
      </c>
      <c r="E6" s="135"/>
      <c r="F6" s="136"/>
      <c r="G6" s="111" t="s">
        <v>90</v>
      </c>
      <c r="H6" s="112">
        <v>1</v>
      </c>
      <c r="I6" s="113">
        <v>7500</v>
      </c>
      <c r="J6" s="113">
        <f>H6*I6</f>
        <v>7500</v>
      </c>
      <c r="K6" s="114" t="s">
        <v>99</v>
      </c>
      <c r="L6" s="115" t="s">
        <v>98</v>
      </c>
      <c r="R6" s="106"/>
    </row>
    <row r="7" spans="1:18" ht="22.5" customHeight="1">
      <c r="A7" s="5">
        <f t="shared" si="0"/>
        <v>2</v>
      </c>
      <c r="B7" s="132" t="s">
        <v>113</v>
      </c>
      <c r="C7" s="133"/>
      <c r="D7" s="143" t="s">
        <v>106</v>
      </c>
      <c r="E7" s="135"/>
      <c r="F7" s="136"/>
      <c r="G7" s="111" t="s">
        <v>107</v>
      </c>
      <c r="H7" s="112">
        <v>2</v>
      </c>
      <c r="I7" s="113">
        <v>1200</v>
      </c>
      <c r="J7" s="113">
        <f>H7*I7</f>
        <v>2400</v>
      </c>
      <c r="K7" s="114" t="s">
        <v>118</v>
      </c>
      <c r="L7" s="115" t="s">
        <v>109</v>
      </c>
      <c r="R7" s="106"/>
    </row>
    <row r="8" spans="1:18" ht="22.5" customHeight="1">
      <c r="A8" s="5">
        <f t="shared" si="0"/>
        <v>3</v>
      </c>
      <c r="B8" s="132"/>
      <c r="C8" s="133"/>
      <c r="D8" s="134"/>
      <c r="E8" s="135"/>
      <c r="F8" s="136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32"/>
      <c r="C9" s="133"/>
      <c r="D9" s="134"/>
      <c r="E9" s="135"/>
      <c r="F9" s="136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41"/>
      <c r="C10" s="141"/>
      <c r="D10" s="142"/>
      <c r="E10" s="142"/>
      <c r="F10" s="142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32"/>
      <c r="C11" s="133"/>
      <c r="D11" s="134"/>
      <c r="E11" s="135"/>
      <c r="F11" s="136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41"/>
      <c r="C12" s="141"/>
      <c r="D12" s="142"/>
      <c r="E12" s="142"/>
      <c r="F12" s="142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32"/>
      <c r="C13" s="133"/>
      <c r="D13" s="134"/>
      <c r="E13" s="135"/>
      <c r="F13" s="136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32"/>
      <c r="C14" s="133"/>
      <c r="D14" s="134"/>
      <c r="E14" s="135"/>
      <c r="F14" s="136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32"/>
      <c r="C15" s="133"/>
      <c r="D15" s="134"/>
      <c r="E15" s="135"/>
      <c r="F15" s="136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7" t="s">
        <v>8</v>
      </c>
      <c r="B16" s="138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9900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9" t="s">
        <v>11</v>
      </c>
      <c r="S18" s="13" t="s">
        <v>12</v>
      </c>
    </row>
    <row r="19" spans="1:19" ht="50.1" customHeight="1">
      <c r="R19" s="140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29"/>
      <c r="R22" s="139" t="s">
        <v>17</v>
      </c>
      <c r="S22" s="12" t="s">
        <v>12</v>
      </c>
    </row>
    <row r="23" spans="1:19" ht="50.1" customHeight="1">
      <c r="O23" s="14"/>
      <c r="P23" s="14"/>
      <c r="R23" s="140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29"/>
      <c r="P47" s="129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29"/>
      <c r="P51" s="129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SAC2-DS-MRS-0173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45994</v>
      </c>
    </row>
    <row r="4" spans="1:18" ht="15.95" customHeight="1">
      <c r="A4" s="173" t="s">
        <v>2</v>
      </c>
      <c r="B4" s="174" t="s">
        <v>20</v>
      </c>
      <c r="C4" s="174"/>
      <c r="D4" s="173" t="s">
        <v>4</v>
      </c>
      <c r="E4" s="173"/>
      <c r="F4" s="173"/>
      <c r="G4" s="174" t="s">
        <v>5</v>
      </c>
      <c r="H4" s="173" t="s">
        <v>91</v>
      </c>
      <c r="I4" s="173" t="s">
        <v>21</v>
      </c>
      <c r="J4" s="173" t="s">
        <v>22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68" t="str">
        <f>MRS!B6</f>
        <v>Air Compressor</v>
      </c>
      <c r="C6" s="169"/>
      <c r="D6" s="170" t="str">
        <f>MRS!D6</f>
        <v>375 CFM</v>
      </c>
      <c r="E6" s="171"/>
      <c r="F6" s="172"/>
      <c r="G6" s="103" t="str">
        <f>MRS!G6</f>
        <v>Month</v>
      </c>
      <c r="H6" s="103">
        <f>MRS!H6</f>
        <v>1</v>
      </c>
      <c r="I6" s="104">
        <f>MRS!I6</f>
        <v>7500</v>
      </c>
      <c r="J6" s="104">
        <f>MRS!J6</f>
        <v>7500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8" t="str">
        <f>MRS!B7</f>
        <v>Air Compressor Mob &amp; De-Mob. Charge</v>
      </c>
      <c r="C7" s="169"/>
      <c r="D7" s="170" t="str">
        <f>MRS!D7</f>
        <v>Mob. &amp; De-Mob. / per unit - lump sum</v>
      </c>
      <c r="E7" s="171"/>
      <c r="F7" s="172"/>
      <c r="G7" s="103" t="str">
        <f>MRS!G7</f>
        <v>L/S</v>
      </c>
      <c r="H7" s="103">
        <f>MRS!H7</f>
        <v>2</v>
      </c>
      <c r="I7" s="104">
        <f>MRS!I7</f>
        <v>1200</v>
      </c>
      <c r="J7" s="104">
        <f>MRS!J7</f>
        <v>2400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/>
      <c r="C8" s="164"/>
      <c r="D8" s="165"/>
      <c r="E8" s="166"/>
      <c r="F8" s="167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3"/>
      <c r="C9" s="164"/>
      <c r="D9" s="165"/>
      <c r="E9" s="166"/>
      <c r="F9" s="167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3"/>
      <c r="C11" s="164"/>
      <c r="D11" s="165"/>
      <c r="E11" s="166"/>
      <c r="F11" s="16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tabSelected="1" view="pageBreakPreview" zoomScale="140" zoomScaleNormal="100" zoomScaleSheetLayoutView="140" workbookViewId="0">
      <selection activeCell="G67" sqref="G6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100</v>
      </c>
      <c r="D9" s="39"/>
      <c r="E9" s="39"/>
    </row>
    <row r="10" spans="2:13" s="39" customFormat="1">
      <c r="B10" s="72"/>
      <c r="C10" s="39" t="s">
        <v>30</v>
      </c>
      <c r="D10" s="125">
        <v>2055132011</v>
      </c>
      <c r="J10" s="39" t="s">
        <v>31</v>
      </c>
      <c r="K10" s="176">
        <f>MRS!L3</f>
        <v>45994</v>
      </c>
      <c r="L10" s="177"/>
      <c r="M10" s="177"/>
    </row>
    <row r="11" spans="2:13" s="39" customFormat="1">
      <c r="B11" s="72"/>
      <c r="C11" s="75" t="s">
        <v>32</v>
      </c>
      <c r="D11" s="76" t="s">
        <v>108</v>
      </c>
      <c r="J11" s="39" t="s">
        <v>33</v>
      </c>
      <c r="K11" s="178" t="str">
        <f>SUBSTITUTE(SUBSTITUTE(+MRS!A3,"  MRS No : ",""),"-MRS","-PO")</f>
        <v>SAC2-DS-PO-0173</v>
      </c>
      <c r="L11" s="178"/>
      <c r="M11" s="178"/>
    </row>
    <row r="12" spans="2:13" s="39" customFormat="1">
      <c r="B12" s="72"/>
      <c r="C12" s="75" t="s">
        <v>34</v>
      </c>
      <c r="D12" s="39" t="s">
        <v>101</v>
      </c>
      <c r="J12" s="39" t="s">
        <v>35</v>
      </c>
    </row>
    <row r="13" spans="2:13" s="39" customFormat="1">
      <c r="B13" s="72"/>
      <c r="C13" s="77"/>
      <c r="D13" s="76" t="s">
        <v>102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120</v>
      </c>
    </row>
    <row r="15" spans="2:13" s="39" customFormat="1">
      <c r="B15" s="72"/>
      <c r="C15" s="77" t="s">
        <v>103</v>
      </c>
      <c r="J15" s="39" t="s">
        <v>38</v>
      </c>
      <c r="K15" s="78">
        <v>45993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114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3" t="s">
        <v>97</v>
      </c>
      <c r="G29" s="18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3"/>
      <c r="G30" s="183"/>
    </row>
    <row r="31" spans="2:13" ht="12" customHeight="1">
      <c r="B31" s="32"/>
      <c r="C31" s="26" t="s">
        <v>49</v>
      </c>
      <c r="D31" s="35"/>
      <c r="E31" s="26" t="s">
        <v>47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80" t="s">
        <v>63</v>
      </c>
      <c r="C49" s="81" t="s">
        <v>111</v>
      </c>
      <c r="P49" s="82"/>
    </row>
    <row r="50" spans="2:20" s="83" customFormat="1" ht="12" customHeight="1">
      <c r="B50" s="84" t="s">
        <v>63</v>
      </c>
      <c r="C50" s="81" t="s">
        <v>93</v>
      </c>
    </row>
    <row r="51" spans="2:20" s="83" customFormat="1" ht="12" customHeight="1">
      <c r="B51" s="84" t="s">
        <v>63</v>
      </c>
      <c r="C51" s="81" t="s">
        <v>92</v>
      </c>
    </row>
    <row r="52" spans="2:20" s="83" customFormat="1" ht="5.25" customHeight="1">
      <c r="B52" s="84"/>
      <c r="C52" s="81"/>
    </row>
    <row r="53" spans="2:20" ht="15" customHeight="1">
      <c r="B53" s="42">
        <v>7</v>
      </c>
      <c r="C53" s="32" t="s">
        <v>121</v>
      </c>
    </row>
    <row r="54" spans="2:20" ht="12" customHeight="1">
      <c r="B54" s="84" t="s">
        <v>63</v>
      </c>
      <c r="C54" s="126" t="s">
        <v>122</v>
      </c>
      <c r="F54" s="26" t="s">
        <v>129</v>
      </c>
      <c r="T54" s="26" t="str">
        <f>UPPER(F54)</f>
        <v>POWER CARE CO. LTD.</v>
      </c>
    </row>
    <row r="55" spans="2:20" ht="12" customHeight="1">
      <c r="B55" s="84" t="s">
        <v>63</v>
      </c>
      <c r="C55" s="126" t="s">
        <v>123</v>
      </c>
      <c r="F55" s="127" t="s">
        <v>130</v>
      </c>
    </row>
    <row r="56" spans="2:20" ht="12" customHeight="1">
      <c r="B56" s="84" t="s">
        <v>63</v>
      </c>
      <c r="C56" s="126" t="s">
        <v>124</v>
      </c>
      <c r="F56" s="26" t="s">
        <v>131</v>
      </c>
    </row>
    <row r="57" spans="2:20" ht="12" customHeight="1">
      <c r="B57" s="84" t="s">
        <v>63</v>
      </c>
      <c r="C57" s="126" t="s">
        <v>125</v>
      </c>
      <c r="F57" s="26" t="s">
        <v>132</v>
      </c>
    </row>
    <row r="58" spans="2:20" ht="12" customHeight="1">
      <c r="B58" s="84" t="s">
        <v>63</v>
      </c>
      <c r="C58" s="126" t="s">
        <v>126</v>
      </c>
      <c r="F58" s="26" t="s">
        <v>133</v>
      </c>
    </row>
    <row r="59" spans="2:20" ht="12" customHeight="1">
      <c r="B59" s="84" t="s">
        <v>63</v>
      </c>
      <c r="C59" s="126" t="s">
        <v>127</v>
      </c>
      <c r="F59" s="26" t="s">
        <v>128</v>
      </c>
    </row>
    <row r="60" spans="2:20" ht="12" customHeight="1">
      <c r="B60" s="84"/>
      <c r="C60" s="126" t="s">
        <v>134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104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4" t="str">
        <f>C9</f>
        <v>PCCL(Power Care Co. Ltd.)</v>
      </c>
      <c r="K70" s="184"/>
      <c r="L70" s="184"/>
      <c r="M70" s="184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O14" sqref="O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SAC2-DS-PO-0173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45994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PCCL(Power Care Co. Ltd.)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+'MRS LIST'!B6</f>
        <v>Air Compressor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7500</v>
      </c>
      <c r="G6" s="89">
        <f>+'MRS LIST'!J6</f>
        <v>7500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Air Compressor Mob &amp; De-Mob. Charge</v>
      </c>
      <c r="C7" s="206"/>
      <c r="D7" s="86" t="str">
        <f>+'MRS LIST'!G7</f>
        <v>L/S</v>
      </c>
      <c r="E7" s="87">
        <f>+'MRS LIST'!H7</f>
        <v>2</v>
      </c>
      <c r="F7" s="88">
        <f>+'MRS LIST'!I7</f>
        <v>1200</v>
      </c>
      <c r="G7" s="89">
        <f>+'MRS LIST'!J7</f>
        <v>2400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9"/>
      <c r="C8" s="190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9900</v>
      </c>
      <c r="H18" s="59"/>
    </row>
    <row r="19" spans="1:13" s="55" customFormat="1" ht="23.1" customHeight="1">
      <c r="A19" s="185" t="s">
        <v>48</v>
      </c>
      <c r="B19" s="186"/>
      <c r="C19" s="186"/>
      <c r="D19" s="186"/>
      <c r="E19" s="186"/>
      <c r="F19" s="186"/>
      <c r="G19" s="58">
        <f>+G18*0.15</f>
        <v>1485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11385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PC-EQTN2025-1979-(R1)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2025-12-03T13:28:58Z</cp:lastPrinted>
  <dcterms:created xsi:type="dcterms:W3CDTF">2024-10-20T11:50:19Z</dcterms:created>
  <dcterms:modified xsi:type="dcterms:W3CDTF">2025-12-03T13:29:02Z</dcterms:modified>
</cp:coreProperties>
</file>