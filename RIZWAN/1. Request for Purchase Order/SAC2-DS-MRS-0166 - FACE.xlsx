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BA51CB1-1422-4112-9D67-CC107CF355FD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MRS!$A$1:$L$23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4" l="1"/>
  <c r="G8" i="4"/>
  <c r="F9" i="4"/>
  <c r="G9" i="4"/>
  <c r="E8" i="4"/>
  <c r="E9" i="4"/>
  <c r="D8" i="4"/>
  <c r="D9" i="4"/>
  <c r="B9" i="4"/>
  <c r="J9" i="2"/>
  <c r="I9" i="2"/>
  <c r="H9" i="2"/>
  <c r="G9" i="2"/>
  <c r="D9" i="2"/>
  <c r="B9" i="2"/>
  <c r="J8" i="2"/>
  <c r="I8" i="2"/>
  <c r="H8" i="2"/>
  <c r="G8" i="2"/>
  <c r="D8" i="2"/>
  <c r="B8" i="2"/>
  <c r="B8" i="4"/>
  <c r="J9" i="1"/>
  <c r="J8" i="1"/>
  <c r="H7" i="4"/>
  <c r="J7" i="1"/>
  <c r="K67" i="3" l="1"/>
  <c r="H6" i="4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4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<sst xmlns="http://schemas.openxmlformats.org/spreadsheetml/2006/main" count="162" uniqueCount="135">
  <si>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</si>
  <si>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</si>
  <si>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</si>
  <si>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</si>
  <si>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</si>
  <si>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</si>
  <si>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</si>
  <si>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</si>
  <si>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</si>
  <si>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</si>
  <si>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</si>
  <si>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</si>
  <si>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</si>
  <si>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</si>
  <si>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</si>
  <si>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</si>
  <si>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</si>
  <si>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</si>
  <si>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</si>
  <si>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</si>
  <si>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</si>
  <si>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</si>
  <si>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</si>
  <si>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</si>
  <si>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</si>
  <si>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</si>
  <si>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</si>
  <si>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</si>
  <si>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</si>
  <si>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</si>
  <si>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</si>
  <si>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</si>
  <si>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</si>
  <si>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</si>
  <si>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</si>
  <si>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</si>
  <si>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</si>
  <si>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</si>
  <si>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</si>
  <si>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</si>
  <si>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</si>
  <si>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</si>
  <si>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</si>
  <si>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</si>
  <si>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</si>
  <si>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</si>
  <si>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</si>
  <si>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</si>
  <si>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</si>
  <si>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</si>
  <si>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</si>
  <si>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</si>
  <si>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</si>
  <si>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</si>
  <si>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</si>
  <si>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</si>
  <si>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</si>
  <si>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</si>
  <si>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</si>
  <si>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</si>
  <si>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</si>
  <si>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</si>
  <si>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</si>
  <si>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</si>
  <si>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</si>
  <si>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</si>
  <si>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</si>
  <si>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</si>
  <si>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</si>
  <si>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</si>
  <si>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</si>
  <si>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</si>
  <si>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</si>
  <si>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</si>
  <si>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</si>
  <si>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</si>
  <si>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</si>
  <si>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</si>
  <si>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</si>
  <si>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</si>
  <si>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</si>
  <si>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</si>
  <si>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</si>
  <si>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</si>
  <si>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</si>
  <si>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</si>
  <si>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</si>
  <si>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</si>
  <si>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</si>
  <si>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</si>
  <si>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</si>
  <si>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</si>
  <si>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</si>
  <si>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</si>
  <si>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</si>
  <si>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</si>
  <si>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</si>
  <si>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</si>
  <si>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</si>
  <si>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</si>
  <si>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</si>
  <si>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</si>
  <si>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Trip</t>
  </si>
  <si>
    <t>FACE</t>
  </si>
  <si>
    <t>Per Trip</t>
  </si>
  <si>
    <t>FACE(Faisal Fahad Hussain Al Kari Transportation Co.)</t>
  </si>
  <si>
    <t>310434457200003</t>
  </si>
  <si>
    <t>Aby K. Thomas</t>
  </si>
  <si>
    <t>+966 59 8236740 / Email:sales@faceindus.com</t>
  </si>
  <si>
    <t>Landline: +966 138309720 / Mobile : +966 598236740</t>
  </si>
  <si>
    <t>Sales Manager</t>
  </si>
  <si>
    <t>Head Office P.O. Box 1954, Khobar 31952 Eastern Province KSA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</si>
  <si>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-MRS-0166</t>
    </r>
  </si>
  <si>
    <t>4 Feet Portable Toilet</t>
  </si>
  <si>
    <t>1 WC, 1 CWB, 1 Mirror, 1 300 liters Water Tank, 1 Attached 300 liters Septic Tank, 1 Exhaust Fan, 1 Stair</t>
  </si>
  <si>
    <t>EA</t>
  </si>
  <si>
    <t>Sewage Removal 4 Feet Toilet's Septic Tank</t>
  </si>
  <si>
    <t>Tank</t>
  </si>
  <si>
    <t>Mobilization</t>
  </si>
  <si>
    <t>Demobilization</t>
  </si>
  <si>
    <t>FTC-25111440</t>
  </si>
  <si>
    <t>Bank Account Details:</t>
  </si>
  <si>
    <t>SAR</t>
  </si>
  <si>
    <t>FAISAL FAHAD HUSSAIN AL KARI TRANSPORTATION CO.</t>
  </si>
  <si>
    <t>242-286599-001</t>
  </si>
  <si>
    <t>SA3745000000242286599001</t>
  </si>
  <si>
    <t>SAUDI AWWAL BANK</t>
  </si>
  <si>
    <t>SABBSARI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</si>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</sst>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54" fillId="3" borderId="0" xfId="5" applyFont="1" applyFill="1"/>
    <xf numFmtId="0" fontId="18" fillId="3" borderId="0" xfId="5" quotePrefix="1" applyFont="1" applyFill="1"/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0C2DA7B8-C881-403A-A3F4-E101D5689A48}"/>
    <cellStyle name="쉼표 2" xfId="9" xr:uid="{F2A3A689-A30F-4FCA-9C51-F28F11796A46}"/>
    <cellStyle name="쉼표 2 2" xfId="14" xr:uid="{0984986F-16BB-41D3-B527-1D1EA3E110EA}"/>
    <cellStyle name="표준 2 2" xfId="2" xr:uid="{12B761D3-4229-4E14-8168-D5975293A996}"/>
    <cellStyle name="표준 2 2 2" xfId="11" xr:uid="{4158E29D-49D4-4EBB-92E7-B73170844AF2}"/>
    <cellStyle name="표준 2 3 2 2" xfId="5" xr:uid="{BD51BFCC-3D36-446B-BE80-7856DF8371E9}"/>
    <cellStyle name="표준 2 3 2 2 2" xfId="13" xr:uid="{3FF0BFF6-7B9F-4FBC-804C-3BCCD0E0578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90236</xdr:colOff>
          <xdr:row>15</xdr:row>
          <xdr:rowOff>50130</xdr:rowOff>
        </xdr:from>
        <xdr:to>
          <xdr:col>12</xdr:col>
          <xdr:colOff>10528</xdr:colOff>
          <xdr:row>21</xdr:row>
          <xdr:rowOff>150395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6:$S$22" spid="_x0000_s11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406815" y="5033209"/>
              <a:ext cx="3710239" cy="222584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0"/>
  <sheetViews>
    <sheetView showGridLines="0" view="pageBreakPreview" zoomScale="95" zoomScaleNormal="95" zoomScaleSheetLayoutView="95" workbookViewId="0">
      <selection activeCell="J14" sqref="J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9" ht="49.9" customHeight="1">
      <c r="A1" s="124" t="s">
        <v>99</v>
      </c>
      <c r="B1" s="110"/>
      <c r="C1" s="110"/>
      <c r="D1" s="110"/>
      <c r="E1" s="110"/>
      <c r="F1" s="110"/>
      <c r="G1" s="1"/>
      <c r="J1" s="152" t="s">
        <v>89</v>
      </c>
      <c r="K1" s="153"/>
      <c r="L1" s="154"/>
    </row>
    <row r="2" spans="1:19" ht="20.100000000000001" customHeight="1">
      <c r="A2" s="3" t="s">
        <v>1</v>
      </c>
      <c r="B2" s="101"/>
      <c r="C2" s="101"/>
      <c r="D2" s="3" t="s">
        <v>100</v>
      </c>
      <c r="E2" s="101"/>
      <c r="F2" s="101"/>
      <c r="G2" s="101"/>
      <c r="H2" s="101"/>
      <c r="I2" s="4"/>
      <c r="J2" s="168" t="s">
        <v>98</v>
      </c>
      <c r="K2" s="169"/>
      <c r="L2" s="170"/>
    </row>
    <row r="3" spans="1:19" ht="20.100000000000001" customHeight="1">
      <c r="A3" s="3" t="s">
        <v>112</v>
      </c>
      <c r="B3" s="101"/>
      <c r="C3" s="101"/>
      <c r="D3" s="101"/>
      <c r="E3" s="155">
        <f>+L3</f>
        <v>45984</v>
      </c>
      <c r="F3" s="155"/>
      <c r="G3" s="155"/>
      <c r="H3" s="155"/>
      <c r="I3" s="155"/>
      <c r="J3" s="101"/>
      <c r="K3" s="101"/>
      <c r="L3" s="122">
        <v>45984</v>
      </c>
      <c r="M3" s="4"/>
    </row>
    <row r="4" spans="1:19" ht="15.95" customHeight="1">
      <c r="A4" s="156" t="s">
        <v>2</v>
      </c>
      <c r="B4" s="157" t="s">
        <v>3</v>
      </c>
      <c r="C4" s="157"/>
      <c r="D4" s="158" t="s">
        <v>4</v>
      </c>
      <c r="E4" s="159"/>
      <c r="F4" s="160"/>
      <c r="G4" s="164" t="s">
        <v>5</v>
      </c>
      <c r="H4" s="166" t="s">
        <v>6</v>
      </c>
      <c r="I4" s="166" t="s">
        <v>93</v>
      </c>
      <c r="J4" s="156" t="s">
        <v>94</v>
      </c>
      <c r="K4" s="166" t="s">
        <v>0</v>
      </c>
      <c r="L4" s="157" t="s">
        <v>7</v>
      </c>
    </row>
    <row r="5" spans="1:19" ht="15.95" customHeight="1">
      <c r="A5" s="156"/>
      <c r="B5" s="157"/>
      <c r="C5" s="157"/>
      <c r="D5" s="161"/>
      <c r="E5" s="162"/>
      <c r="F5" s="163"/>
      <c r="G5" s="165"/>
      <c r="H5" s="167"/>
      <c r="I5" s="167"/>
      <c r="J5" s="156"/>
      <c r="K5" s="167"/>
      <c r="L5" s="157"/>
    </row>
    <row r="6" spans="1:19" ht="53.25" customHeight="1">
      <c r="A6" s="5">
        <f t="shared" ref="A6:A13" si="0">ROW(A1)</f>
        <v>1</v>
      </c>
      <c r="B6" s="145" t="s">
        <v>113</v>
      </c>
      <c r="C6" s="146"/>
      <c r="D6" s="148" t="s">
        <v>114</v>
      </c>
      <c r="E6" s="149"/>
      <c r="F6" s="150"/>
      <c r="G6" s="111" t="s">
        <v>115</v>
      </c>
      <c r="H6" s="112">
        <v>1</v>
      </c>
      <c r="I6" s="113">
        <v>400</v>
      </c>
      <c r="J6" s="113">
        <f>H6*I6</f>
        <v>400</v>
      </c>
      <c r="K6" s="114" t="s">
        <v>103</v>
      </c>
      <c r="L6" s="115" t="s">
        <v>97</v>
      </c>
      <c r="R6" s="106"/>
    </row>
    <row r="7" spans="1:19" ht="23.25" customHeight="1">
      <c r="A7" s="5">
        <f t="shared" si="0"/>
        <v>2</v>
      </c>
      <c r="B7" s="145" t="s">
        <v>116</v>
      </c>
      <c r="C7" s="146"/>
      <c r="D7" s="151"/>
      <c r="E7" s="149"/>
      <c r="F7" s="150"/>
      <c r="G7" s="111" t="s">
        <v>117</v>
      </c>
      <c r="H7" s="112">
        <v>1</v>
      </c>
      <c r="I7" s="113">
        <v>80</v>
      </c>
      <c r="J7" s="113">
        <f>I7</f>
        <v>80</v>
      </c>
      <c r="K7" s="114"/>
      <c r="L7" s="115" t="s">
        <v>104</v>
      </c>
      <c r="R7" s="106"/>
    </row>
    <row r="8" spans="1:19" ht="22.5" customHeight="1">
      <c r="A8" s="5">
        <f t="shared" si="0"/>
        <v>3</v>
      </c>
      <c r="B8" s="145" t="s">
        <v>118</v>
      </c>
      <c r="C8" s="146"/>
      <c r="D8" s="148"/>
      <c r="E8" s="149"/>
      <c r="F8" s="150"/>
      <c r="G8" s="111" t="s">
        <v>102</v>
      </c>
      <c r="H8" s="112">
        <v>1</v>
      </c>
      <c r="I8" s="113">
        <v>800</v>
      </c>
      <c r="J8" s="113">
        <f>I8</f>
        <v>800</v>
      </c>
      <c r="K8" s="114"/>
      <c r="L8" s="115"/>
      <c r="R8" s="106"/>
    </row>
    <row r="9" spans="1:19" ht="22.5" customHeight="1">
      <c r="A9" s="5">
        <f t="shared" si="0"/>
        <v>4</v>
      </c>
      <c r="B9" s="145" t="s">
        <v>119</v>
      </c>
      <c r="C9" s="146"/>
      <c r="D9" s="148"/>
      <c r="E9" s="149"/>
      <c r="F9" s="150"/>
      <c r="G9" s="111" t="s">
        <v>102</v>
      </c>
      <c r="H9" s="112">
        <v>1</v>
      </c>
      <c r="I9" s="113">
        <v>800</v>
      </c>
      <c r="J9" s="113">
        <f>I9</f>
        <v>800</v>
      </c>
      <c r="K9" s="114"/>
      <c r="L9" s="115"/>
      <c r="R9" s="106"/>
    </row>
    <row r="10" spans="1:19" ht="22.5" customHeight="1">
      <c r="A10" s="5">
        <f t="shared" si="0"/>
        <v>5</v>
      </c>
      <c r="B10" s="145"/>
      <c r="C10" s="146"/>
      <c r="D10" s="147"/>
      <c r="E10" s="147"/>
      <c r="F10" s="147"/>
      <c r="G10" s="111"/>
      <c r="H10" s="112"/>
      <c r="I10" s="116"/>
      <c r="J10" s="113"/>
      <c r="K10" s="114"/>
      <c r="L10" s="111"/>
      <c r="R10" s="106"/>
    </row>
    <row r="11" spans="1:19" ht="22.5" customHeight="1">
      <c r="A11" s="5">
        <f t="shared" si="0"/>
        <v>6</v>
      </c>
      <c r="B11" s="145"/>
      <c r="C11" s="146"/>
      <c r="D11" s="148"/>
      <c r="E11" s="149"/>
      <c r="F11" s="150"/>
      <c r="G11" s="111"/>
      <c r="H11" s="112"/>
      <c r="I11" s="113"/>
      <c r="J11" s="113"/>
      <c r="K11" s="114"/>
      <c r="L11" s="115"/>
      <c r="R11" s="106"/>
    </row>
    <row r="12" spans="1:19" ht="22.5" customHeight="1">
      <c r="A12" s="5">
        <f t="shared" si="0"/>
        <v>7</v>
      </c>
      <c r="B12" s="145"/>
      <c r="C12" s="146"/>
      <c r="D12" s="147"/>
      <c r="E12" s="147"/>
      <c r="F12" s="147"/>
      <c r="G12" s="111"/>
      <c r="H12" s="112"/>
      <c r="I12" s="116"/>
      <c r="J12" s="113"/>
      <c r="K12" s="114"/>
      <c r="L12" s="111"/>
      <c r="R12" s="106"/>
    </row>
    <row r="13" spans="1:19" ht="22.5" customHeight="1">
      <c r="A13" s="5">
        <f t="shared" si="0"/>
        <v>8</v>
      </c>
      <c r="B13" s="145"/>
      <c r="C13" s="146"/>
      <c r="D13" s="148"/>
      <c r="E13" s="149"/>
      <c r="F13" s="150"/>
      <c r="G13" s="111"/>
      <c r="H13" s="112"/>
      <c r="I13" s="113"/>
      <c r="J13" s="113"/>
      <c r="K13" s="114"/>
      <c r="L13" s="115"/>
      <c r="R13" s="106"/>
    </row>
    <row r="14" spans="1:19" ht="22.5" customHeight="1">
      <c r="A14" s="141" t="s">
        <v>8</v>
      </c>
      <c r="B14" s="142"/>
      <c r="C14" s="117"/>
      <c r="D14" s="118"/>
      <c r="E14" s="118"/>
      <c r="F14" s="118"/>
      <c r="G14" s="119"/>
      <c r="H14" s="119"/>
      <c r="I14" s="120" t="s">
        <v>9</v>
      </c>
      <c r="J14" s="113">
        <f>SUM(J6:J13)</f>
        <v>2080</v>
      </c>
      <c r="K14" s="113"/>
      <c r="L14" s="121"/>
    </row>
    <row r="15" spans="1:19" ht="20.100000000000001" customHeight="1">
      <c r="A15" s="6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8"/>
      <c r="L15" s="9"/>
    </row>
    <row r="16" spans="1:19" ht="18" customHeight="1">
      <c r="A16" s="10"/>
      <c r="J16" s="1"/>
      <c r="K16" s="1"/>
      <c r="O16" s="11"/>
      <c r="P16" s="11"/>
      <c r="R16" s="143" t="s">
        <v>11</v>
      </c>
      <c r="S16" s="13" t="s">
        <v>12</v>
      </c>
    </row>
    <row r="17" spans="15:19" ht="50.1" customHeight="1">
      <c r="R17" s="144"/>
      <c r="S17" s="15"/>
    </row>
    <row r="18" spans="15:19" ht="17.100000000000001" customHeight="1">
      <c r="O18" s="11"/>
      <c r="P18" s="11"/>
      <c r="R18" s="138"/>
      <c r="S18" s="15" t="s">
        <v>13</v>
      </c>
    </row>
    <row r="19" spans="15:19" ht="15" customHeight="1">
      <c r="O19" s="17" t="s">
        <v>14</v>
      </c>
      <c r="P19" s="137" t="s">
        <v>15</v>
      </c>
    </row>
    <row r="20" spans="15:19" ht="18" customHeight="1">
      <c r="O20" s="18" t="s">
        <v>16</v>
      </c>
      <c r="P20" s="139"/>
      <c r="R20" s="143" t="s">
        <v>17</v>
      </c>
      <c r="S20" s="12" t="s">
        <v>12</v>
      </c>
    </row>
    <row r="21" spans="15:19" ht="50.1" customHeight="1">
      <c r="O21" s="14"/>
      <c r="P21" s="14"/>
      <c r="R21" s="144"/>
      <c r="S21" s="19"/>
    </row>
    <row r="22" spans="15:19" ht="17.100000000000001" customHeight="1">
      <c r="O22" s="16" t="s">
        <v>13</v>
      </c>
      <c r="P22" s="16" t="s">
        <v>13</v>
      </c>
      <c r="R22" s="138"/>
      <c r="S22" s="15" t="s">
        <v>13</v>
      </c>
    </row>
    <row r="23" spans="15:19" ht="9.9499999999999993" customHeight="1"/>
    <row r="24" spans="15:19" ht="19.899999999999999" customHeight="1"/>
    <row r="25" spans="15:19" ht="17.45" customHeight="1">
      <c r="O25" s="140"/>
      <c r="P25" s="140"/>
    </row>
    <row r="26" spans="15:19" ht="19.899999999999999" customHeight="1">
      <c r="O26" s="140"/>
      <c r="P26" s="140"/>
    </row>
    <row r="27" spans="15:19" ht="14.25">
      <c r="O27" s="11"/>
      <c r="P27" s="11"/>
    </row>
    <row r="28" spans="15:19" ht="65.099999999999994" customHeight="1"/>
    <row r="29" spans="15:19" ht="14.25">
      <c r="O29" s="11"/>
      <c r="P29" s="11"/>
    </row>
    <row r="30" spans="15:19" ht="19.899999999999999" customHeight="1"/>
    <row r="31" spans="15:19" ht="14.25"/>
    <row r="32" spans="15:19" ht="19.899999999999999" customHeight="1"/>
    <row r="33" spans="15:19" ht="14.25"/>
    <row r="34" spans="15:19" ht="19.899999999999999" customHeight="1"/>
    <row r="35" spans="15:19" ht="19.899999999999999" customHeight="1"/>
    <row r="36" spans="15:19" ht="64.900000000000006" customHeight="1"/>
    <row r="38" spans="15:19" ht="19.899999999999999" customHeight="1"/>
    <row r="39" spans="15:19" ht="19.899999999999999" customHeight="1"/>
    <row r="40" spans="15:19" ht="64.900000000000006" customHeight="1"/>
    <row r="44" spans="15:19" ht="21" customHeight="1">
      <c r="O44" s="137" t="s">
        <v>18</v>
      </c>
      <c r="P44" s="137" t="s">
        <v>18</v>
      </c>
      <c r="S44" s="137" t="s">
        <v>12</v>
      </c>
    </row>
    <row r="45" spans="15:19" ht="21" customHeight="1">
      <c r="O45" s="139"/>
      <c r="P45" s="139"/>
      <c r="S45" s="138"/>
    </row>
    <row r="46" spans="15:19" ht="64.900000000000006" customHeight="1">
      <c r="O46" s="14"/>
      <c r="P46" s="14"/>
      <c r="S46" s="15"/>
    </row>
    <row r="47" spans="15:19" ht="7.15" customHeight="1"/>
    <row r="48" spans="15:19" ht="21" customHeight="1">
      <c r="O48" s="137" t="s">
        <v>18</v>
      </c>
      <c r="P48" s="137" t="s">
        <v>18</v>
      </c>
      <c r="S48" s="137" t="s">
        <v>19</v>
      </c>
    </row>
    <row r="49" spans="15:19" ht="21" customHeight="1">
      <c r="O49" s="139"/>
      <c r="P49" s="139"/>
      <c r="S49" s="138"/>
    </row>
    <row r="50" spans="15:19" ht="64.900000000000006" customHeight="1">
      <c r="O50" s="14"/>
      <c r="P50" s="14"/>
      <c r="S50" s="14"/>
    </row>
  </sheetData>
  <mergeCells count="40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A14:B14"/>
    <mergeCell ref="R16:R18"/>
    <mergeCell ref="P19:P20"/>
    <mergeCell ref="R20:R22"/>
    <mergeCell ref="B12:C12"/>
    <mergeCell ref="D12:F12"/>
    <mergeCell ref="B13:C13"/>
    <mergeCell ref="D13:F13"/>
    <mergeCell ref="S44:S45"/>
    <mergeCell ref="O48:O49"/>
    <mergeCell ref="P48:P49"/>
    <mergeCell ref="S48:S49"/>
    <mergeCell ref="O25:O26"/>
    <mergeCell ref="P25:P26"/>
    <mergeCell ref="O44:O45"/>
    <mergeCell ref="P44:P4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J9" sqref="J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95</v>
      </c>
      <c r="B1" s="100"/>
      <c r="C1" s="100"/>
      <c r="D1" s="100"/>
      <c r="E1" s="100"/>
      <c r="F1" s="100"/>
      <c r="G1" s="1"/>
      <c r="J1" s="152" t="str">
        <f>+MRS!J1</f>
        <v>DAESHIN PLANT</v>
      </c>
      <c r="K1" s="15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68" t="str">
        <f>+MRS!J2</f>
        <v>Subcontract name (SAC2-SC-IK-SMP-01)</v>
      </c>
      <c r="K2" s="170"/>
    </row>
    <row r="3" spans="1:18" ht="24.95" customHeight="1">
      <c r="A3" s="3" t="str">
        <f>+MRS!A3</f>
        <v xml:space="preserve">  MRS No : SAC2-DS-MRS-0166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45984</v>
      </c>
    </row>
    <row r="4" spans="1:18" ht="15.95" customHeight="1">
      <c r="A4" s="181" t="s">
        <v>2</v>
      </c>
      <c r="B4" s="182" t="s">
        <v>20</v>
      </c>
      <c r="C4" s="182"/>
      <c r="D4" s="181" t="s">
        <v>4</v>
      </c>
      <c r="E4" s="181"/>
      <c r="F4" s="181"/>
      <c r="G4" s="182" t="s">
        <v>5</v>
      </c>
      <c r="H4" s="181" t="s">
        <v>90</v>
      </c>
      <c r="I4" s="181" t="s">
        <v>21</v>
      </c>
      <c r="J4" s="181" t="s">
        <v>22</v>
      </c>
      <c r="K4" s="182" t="s">
        <v>7</v>
      </c>
    </row>
    <row r="5" spans="1:18" ht="15.95" customHeight="1">
      <c r="A5" s="181"/>
      <c r="B5" s="182"/>
      <c r="C5" s="182"/>
      <c r="D5" s="181"/>
      <c r="E5" s="181"/>
      <c r="F5" s="181"/>
      <c r="G5" s="182"/>
      <c r="H5" s="181"/>
      <c r="I5" s="181"/>
      <c r="J5" s="181"/>
      <c r="K5" s="182"/>
    </row>
    <row r="6" spans="1:18" ht="105" customHeight="1">
      <c r="A6" s="21">
        <f>+MRS!A6</f>
        <v>1</v>
      </c>
      <c r="B6" s="176" t="str">
        <f>MRS!B6</f>
        <v>4 Feet Portable Toilet</v>
      </c>
      <c r="C6" s="177"/>
      <c r="D6" s="178" t="str">
        <f>MRS!D6</f>
        <v>1 WC, 1 CWB, 1 Mirror, 1 300 liters Water Tank, 1 Attached 300 liters Septic Tank, 1 Exhaust Fan, 1 Stair</v>
      </c>
      <c r="E6" s="179"/>
      <c r="F6" s="180"/>
      <c r="G6" s="103" t="str">
        <f>MRS!G6</f>
        <v>EA</v>
      </c>
      <c r="H6" s="103">
        <f>MRS!H6</f>
        <v>1</v>
      </c>
      <c r="I6" s="104">
        <f>MRS!I6</f>
        <v>400</v>
      </c>
      <c r="J6" s="104">
        <f>MRS!J6</f>
        <v>400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76" t="str">
        <f>MRS!B7</f>
        <v>Sewage Removal 4 Feet Toilet's Septic Tank</v>
      </c>
      <c r="C7" s="177"/>
      <c r="D7" s="178">
        <f>MRS!D7</f>
        <v>0</v>
      </c>
      <c r="E7" s="179"/>
      <c r="F7" s="180"/>
      <c r="G7" s="103" t="str">
        <f>MRS!G7</f>
        <v>Tank</v>
      </c>
      <c r="H7" s="103">
        <f>MRS!H7</f>
        <v>1</v>
      </c>
      <c r="I7" s="104">
        <f>MRS!I7</f>
        <v>80</v>
      </c>
      <c r="J7" s="104">
        <f>MRS!J7</f>
        <v>80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76" t="str">
        <f>MRS!B8</f>
        <v>Mobilization</v>
      </c>
      <c r="C8" s="177"/>
      <c r="D8" s="178">
        <f>MRS!D8</f>
        <v>0</v>
      </c>
      <c r="E8" s="179"/>
      <c r="F8" s="180"/>
      <c r="G8" s="103" t="str">
        <f>MRS!G8</f>
        <v>Trip</v>
      </c>
      <c r="H8" s="103">
        <f>MRS!H8</f>
        <v>1</v>
      </c>
      <c r="I8" s="104">
        <f>MRS!I8</f>
        <v>800</v>
      </c>
      <c r="J8" s="104">
        <f>MRS!J8</f>
        <v>800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76" t="str">
        <f>MRS!B9</f>
        <v>Demobilization</v>
      </c>
      <c r="C9" s="177"/>
      <c r="D9" s="178">
        <f>MRS!D9</f>
        <v>0</v>
      </c>
      <c r="E9" s="179"/>
      <c r="F9" s="180"/>
      <c r="G9" s="103" t="str">
        <f>MRS!G9</f>
        <v>Trip</v>
      </c>
      <c r="H9" s="103">
        <f>MRS!H9</f>
        <v>1</v>
      </c>
      <c r="I9" s="104">
        <f>MRS!I9</f>
        <v>800</v>
      </c>
      <c r="J9" s="104">
        <f>MRS!J9</f>
        <v>800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71"/>
      <c r="C10" s="172"/>
      <c r="D10" s="173"/>
      <c r="E10" s="174"/>
      <c r="F10" s="175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71"/>
      <c r="C11" s="172"/>
      <c r="D11" s="173"/>
      <c r="E11" s="174"/>
      <c r="F11" s="175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 t="e">
        <f>+MRS!#REF!</f>
        <v>#REF!</v>
      </c>
      <c r="B14" s="171"/>
      <c r="C14" s="172"/>
      <c r="D14" s="173"/>
      <c r="E14" s="174"/>
      <c r="F14" s="17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 t="e">
        <f>+MRS!#REF!</f>
        <v>#REF!</v>
      </c>
      <c r="B15" s="171"/>
      <c r="C15" s="172"/>
      <c r="D15" s="173"/>
      <c r="E15" s="174"/>
      <c r="F15" s="17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40" zoomScale="130" zoomScaleNormal="100" zoomScaleSheetLayoutView="130" workbookViewId="0">
      <selection activeCell="C64" sqref="C6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105</v>
      </c>
      <c r="D9" s="39"/>
      <c r="E9" s="39"/>
    </row>
    <row r="10" spans="2:13" s="39" customFormat="1">
      <c r="B10" s="72"/>
      <c r="C10" s="39" t="s">
        <v>30</v>
      </c>
      <c r="D10" s="76">
        <v>2051224980</v>
      </c>
      <c r="J10" s="39" t="s">
        <v>31</v>
      </c>
      <c r="K10" s="128">
        <f>MRS!L3</f>
        <v>45984</v>
      </c>
      <c r="L10" s="129"/>
      <c r="M10" s="129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30" t="str">
        <f>SUBSTITUTE(SUBSTITUTE(+MRS!A3,"  MRS No : ",""),"-MRS","-PO")</f>
        <v>SAC2-DS-PO-0166</v>
      </c>
      <c r="L11" s="130"/>
      <c r="M11" s="130"/>
    </row>
    <row r="12" spans="2:13" s="39" customFormat="1">
      <c r="B12" s="72"/>
      <c r="C12" s="75" t="s">
        <v>34</v>
      </c>
      <c r="D12" s="39" t="s">
        <v>107</v>
      </c>
      <c r="J12" s="39" t="s">
        <v>35</v>
      </c>
    </row>
    <row r="13" spans="2:13" s="39" customFormat="1">
      <c r="B13" s="72"/>
      <c r="C13" s="77"/>
      <c r="D13" s="76" t="s">
        <v>108</v>
      </c>
      <c r="J13" s="39" t="s">
        <v>36</v>
      </c>
    </row>
    <row r="14" spans="2:13" s="39" customFormat="1">
      <c r="B14" s="72"/>
      <c r="C14" s="77" t="s">
        <v>111</v>
      </c>
      <c r="J14" s="39" t="s">
        <v>37</v>
      </c>
      <c r="K14" s="39" t="s">
        <v>120</v>
      </c>
    </row>
    <row r="15" spans="2:13" s="39" customFormat="1">
      <c r="B15" s="72"/>
      <c r="C15" s="77" t="s">
        <v>109</v>
      </c>
      <c r="J15" s="39" t="s">
        <v>38</v>
      </c>
      <c r="K15" s="78">
        <v>45980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31" t="s">
        <v>39</v>
      </c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</row>
    <row r="19" spans="2:13" ht="12" customHeight="1"/>
    <row r="20" spans="2:13" s="31" customFormat="1" ht="12" customHeight="1">
      <c r="B20" s="132" t="s">
        <v>40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</row>
    <row r="21" spans="2:13" s="31" customFormat="1" ht="12" customHeight="1">
      <c r="B21" s="132" t="s">
        <v>41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</row>
    <row r="22" spans="2:13" s="31" customFormat="1" ht="12" customHeight="1">
      <c r="B22" s="132" t="s">
        <v>42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</row>
    <row r="23" spans="2:13" ht="6.95" customHeight="1"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</row>
    <row r="24" spans="2:13" ht="6.95" customHeight="1"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</row>
    <row r="25" spans="2:13" s="32" customFormat="1" ht="15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113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35" t="s">
        <v>96</v>
      </c>
      <c r="G29" s="135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35"/>
      <c r="G30" s="135"/>
    </row>
    <row r="31" spans="2:13" ht="15" customHeight="1">
      <c r="B31" s="32"/>
      <c r="C31" s="26" t="s">
        <v>49</v>
      </c>
      <c r="D31" s="35"/>
      <c r="E31" s="26" t="s">
        <v>47</v>
      </c>
      <c r="F31" s="135"/>
      <c r="G31" s="135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101</v>
      </c>
      <c r="P49" s="82"/>
    </row>
    <row r="50" spans="2:16" s="83" customFormat="1" ht="12" customHeight="1">
      <c r="B50" s="84" t="s">
        <v>63</v>
      </c>
      <c r="C50" s="81" t="s">
        <v>92</v>
      </c>
    </row>
    <row r="51" spans="2:16" s="83" customFormat="1" ht="12" customHeight="1">
      <c r="B51" s="84" t="s">
        <v>63</v>
      </c>
      <c r="C51" s="81" t="s">
        <v>91</v>
      </c>
    </row>
    <row r="52" spans="2:16" ht="4.5" customHeight="1">
      <c r="B52" s="42"/>
    </row>
    <row r="53" spans="2:16" ht="15" customHeight="1">
      <c r="B53" s="42">
        <v>7</v>
      </c>
      <c r="C53" s="32" t="s">
        <v>121</v>
      </c>
    </row>
    <row r="54" spans="2:16" ht="12" customHeight="1">
      <c r="B54" s="84" t="s">
        <v>63</v>
      </c>
      <c r="C54" s="125" t="s">
        <v>128</v>
      </c>
      <c r="F54" s="26" t="s">
        <v>123</v>
      </c>
    </row>
    <row r="55" spans="2:16" ht="12" customHeight="1">
      <c r="B55" s="84" t="s">
        <v>63</v>
      </c>
      <c r="C55" s="125" t="s">
        <v>129</v>
      </c>
      <c r="F55" s="126" t="s">
        <v>124</v>
      </c>
    </row>
    <row r="56" spans="2:16" ht="12" customHeight="1">
      <c r="B56" s="84" t="s">
        <v>63</v>
      </c>
      <c r="C56" s="125" t="s">
        <v>130</v>
      </c>
      <c r="F56" s="26" t="s">
        <v>125</v>
      </c>
    </row>
    <row r="57" spans="2:16" ht="12" customHeight="1">
      <c r="B57" s="84" t="s">
        <v>63</v>
      </c>
      <c r="C57" s="125" t="s">
        <v>131</v>
      </c>
      <c r="F57" s="26" t="s">
        <v>126</v>
      </c>
    </row>
    <row r="58" spans="2:16" ht="12" customHeight="1">
      <c r="B58" s="84" t="s">
        <v>63</v>
      </c>
      <c r="C58" s="125" t="s">
        <v>132</v>
      </c>
      <c r="F58" s="26" t="s">
        <v>127</v>
      </c>
    </row>
    <row r="59" spans="2:16" ht="12" customHeight="1">
      <c r="B59" s="84" t="s">
        <v>63</v>
      </c>
      <c r="C59" s="125" t="s">
        <v>133</v>
      </c>
      <c r="F59" s="26" t="s">
        <v>122</v>
      </c>
    </row>
    <row r="60" spans="2:16" ht="12" customHeight="1">
      <c r="B60" s="84"/>
      <c r="C60" s="125" t="s">
        <v>134</v>
      </c>
    </row>
    <row r="61" spans="2:16" ht="8.25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6.75" customHeight="1">
      <c r="B63" s="42"/>
    </row>
    <row r="64" spans="2:16">
      <c r="B64" s="32" t="s">
        <v>64</v>
      </c>
      <c r="J64" s="32" t="s">
        <v>65</v>
      </c>
    </row>
    <row r="65" spans="1:13" ht="48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Aby K. Thomas</v>
      </c>
    </row>
    <row r="68" spans="1:13" ht="18" customHeight="1">
      <c r="B68" s="26" t="s">
        <v>69</v>
      </c>
      <c r="J68" s="26" t="s">
        <v>70</v>
      </c>
      <c r="K68" s="22" t="s">
        <v>110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36" t="str">
        <f>C9</f>
        <v>FACE(Faisal Fahad Hussain Al Kari Transportation Co.)</v>
      </c>
      <c r="K70" s="136"/>
      <c r="L70" s="136"/>
      <c r="M70" s="136"/>
    </row>
    <row r="71" spans="1:13" ht="27.95" customHeight="1">
      <c r="A71" s="127" t="s">
        <v>74</v>
      </c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SAC2-DS-PO-0166</v>
      </c>
      <c r="C2" s="189" t="s">
        <v>76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45984</v>
      </c>
      <c r="C3" s="51"/>
      <c r="D3" s="52"/>
      <c r="E3" s="190" t="s">
        <v>78</v>
      </c>
      <c r="F3" s="190"/>
      <c r="G3" s="190"/>
      <c r="H3" s="190"/>
      <c r="I3" s="53"/>
    </row>
    <row r="4" spans="1:13" s="55" customFormat="1" ht="28.5" customHeight="1" thickTop="1">
      <c r="A4" s="191" t="s">
        <v>79</v>
      </c>
      <c r="B4" s="193" t="s">
        <v>80</v>
      </c>
      <c r="C4" s="194"/>
      <c r="D4" s="197" t="s">
        <v>81</v>
      </c>
      <c r="E4" s="197" t="s">
        <v>82</v>
      </c>
      <c r="F4" s="199" t="str">
        <f>'PO 1st page'!C9</f>
        <v>FACE(Faisal Fahad Hussain Al Kari Transportation Co.)</v>
      </c>
      <c r="G4" s="200"/>
      <c r="H4" s="201" t="s">
        <v>83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84</v>
      </c>
      <c r="G5" s="57" t="s">
        <v>49</v>
      </c>
      <c r="H5" s="20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3" t="str">
        <f>+'MRS LIST'!B6</f>
        <v>4 Feet Portable Toilet</v>
      </c>
      <c r="C6" s="204"/>
      <c r="D6" s="86" t="str">
        <f>+'MRS LIST'!G6</f>
        <v>EA</v>
      </c>
      <c r="E6" s="87">
        <f>+'MRS LIST'!H6</f>
        <v>1</v>
      </c>
      <c r="F6" s="88">
        <f>+'MRS LIST'!I6</f>
        <v>400</v>
      </c>
      <c r="G6" s="89">
        <f>+'MRS LIST'!J6</f>
        <v>400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3" t="str">
        <f>+'MRS LIST'!B7</f>
        <v>Sewage Removal 4 Feet Toilet's Septic Tank</v>
      </c>
      <c r="C7" s="204"/>
      <c r="D7" s="86" t="str">
        <f>+'MRS LIST'!G7</f>
        <v>Tank</v>
      </c>
      <c r="E7" s="87">
        <f>+'MRS LIST'!H7</f>
        <v>1</v>
      </c>
      <c r="F7" s="88">
        <f>+'MRS LIST'!I7</f>
        <v>80</v>
      </c>
      <c r="G7" s="89">
        <f>+'MRS LIST'!J7</f>
        <v>80</v>
      </c>
      <c r="H7" s="90" t="str">
        <f>MRS!L7</f>
        <v>Per Trip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3" t="str">
        <f>+'MRS LIST'!B8</f>
        <v>Mobilization</v>
      </c>
      <c r="C8" s="204"/>
      <c r="D8" s="86" t="str">
        <f>+'MRS LIST'!G8</f>
        <v>Trip</v>
      </c>
      <c r="E8" s="87">
        <f>+'MRS LIST'!H8</f>
        <v>1</v>
      </c>
      <c r="F8" s="88">
        <f>+'MRS LIST'!I8</f>
        <v>800</v>
      </c>
      <c r="G8" s="89">
        <f>+'MRS LIST'!J8</f>
        <v>800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203" t="str">
        <f>+'MRS LIST'!B9</f>
        <v>Demobilization</v>
      </c>
      <c r="C9" s="204"/>
      <c r="D9" s="86" t="str">
        <f>+'MRS LIST'!G9</f>
        <v>Trip</v>
      </c>
      <c r="E9" s="87">
        <f>+'MRS LIST'!H9</f>
        <v>1</v>
      </c>
      <c r="F9" s="88">
        <f>+'MRS LIST'!I9</f>
        <v>800</v>
      </c>
      <c r="G9" s="89">
        <f>+'MRS LIST'!J9</f>
        <v>800</v>
      </c>
      <c r="H9" s="98"/>
    </row>
    <row r="10" spans="1:13" s="55" customFormat="1" ht="32.1" customHeight="1">
      <c r="A10" s="93">
        <f t="shared" si="0"/>
        <v>5</v>
      </c>
      <c r="B10" s="187"/>
      <c r="C10" s="188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7"/>
      <c r="C11" s="188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7"/>
      <c r="C12" s="188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7"/>
      <c r="C13" s="188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7"/>
      <c r="C14" s="188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7"/>
      <c r="C15" s="188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7"/>
      <c r="C16" s="188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7"/>
      <c r="C17" s="188"/>
      <c r="D17" s="94"/>
      <c r="E17" s="95"/>
      <c r="F17" s="96"/>
      <c r="G17" s="97"/>
      <c r="H17" s="98"/>
    </row>
    <row r="18" spans="1:13" s="55" customFormat="1" ht="23.1" customHeight="1">
      <c r="A18" s="183" t="s">
        <v>85</v>
      </c>
      <c r="B18" s="184"/>
      <c r="C18" s="184"/>
      <c r="D18" s="184"/>
      <c r="E18" s="184"/>
      <c r="F18" s="184"/>
      <c r="G18" s="58">
        <f>SUM(G6:G17)</f>
        <v>2080</v>
      </c>
      <c r="H18" s="59"/>
    </row>
    <row r="19" spans="1:13" s="55" customFormat="1" ht="23.1" customHeight="1">
      <c r="A19" s="183" t="s">
        <v>48</v>
      </c>
      <c r="B19" s="184"/>
      <c r="C19" s="184"/>
      <c r="D19" s="184"/>
      <c r="E19" s="184"/>
      <c r="F19" s="184"/>
      <c r="G19" s="58">
        <f>+G18*0.15</f>
        <v>312</v>
      </c>
      <c r="H19" s="59"/>
    </row>
    <row r="20" spans="1:13" s="55" customFormat="1" ht="24.95" customHeight="1" thickBot="1">
      <c r="A20" s="185" t="s">
        <v>86</v>
      </c>
      <c r="B20" s="186"/>
      <c r="C20" s="186"/>
      <c r="D20" s="186"/>
      <c r="E20" s="186"/>
      <c r="F20" s="186"/>
      <c r="G20" s="60">
        <f>G19+G18</f>
        <v>2392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FTC-25111440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27" t="s">
        <v>88</v>
      </c>
      <c r="B24" s="127"/>
      <c r="C24" s="127"/>
      <c r="D24" s="127"/>
      <c r="E24" s="127"/>
      <c r="F24" s="127"/>
      <c r="G24" s="127"/>
      <c r="H24" s="127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2025-11-25T10:45:08Z</cp:lastPrinted>
  <dcterms:created xsi:type="dcterms:W3CDTF">2024-10-20T11:50:19Z</dcterms:created>
  <dcterms:modified xsi:type="dcterms:W3CDTF">2025-11-25T10:45:09Z</dcterms:modified>
</cp:coreProperties>
</file>