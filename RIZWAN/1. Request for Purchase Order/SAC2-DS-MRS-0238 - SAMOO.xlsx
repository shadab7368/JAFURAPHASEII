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283BF192-5DE5-4C16-ADA1-7CFAA4FD79DA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MRS!$A$1:$L$26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4" l="1"/>
  <c r="A10" i="1"/>
  <c r="A9" i="1"/>
  <c r="F6" i="4"/>
  <c r="E6" i="4"/>
  <c r="D6" i="4"/>
  <c r="J7" i="1"/>
  <c r="J8" i="1"/>
  <c r="J9" i="1"/>
  <c r="J9" i="2" s="1"/>
  <c r="J10" i="1"/>
  <c r="J10" i="2" s="1"/>
  <c r="J11" i="1"/>
  <c r="J11" i="2" s="1"/>
  <c r="J12" i="1"/>
  <c r="J13" i="1"/>
  <c r="J14" i="1"/>
  <c r="J15" i="1"/>
  <c r="J16" i="1"/>
  <c r="B6" i="4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E3" i="1"/>
  <c r="H7" i="2"/>
  <c r="G7" i="2"/>
  <c r="D7" i="2"/>
  <c r="B7" i="2"/>
  <c r="J8" i="2" l="1"/>
  <c r="J6" i="1"/>
  <c r="G6" i="4" s="1"/>
  <c r="K10" i="3"/>
  <c r="A21" i="4" l="1"/>
  <c r="J7" i="2"/>
  <c r="I7" i="2"/>
  <c r="I6" i="2"/>
  <c r="H6" i="2"/>
  <c r="G6" i="2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1"/>
  <c r="A8" i="2" s="1"/>
  <c r="A7" i="1"/>
  <c r="A7" i="2" s="1"/>
  <c r="A6" i="1"/>
  <c r="A6" i="2" s="1"/>
  <c r="J17" i="1" l="1"/>
  <c r="F29" i="3" s="1"/>
  <c r="F30" i="3" s="1"/>
  <c r="F31" i="3" s="1"/>
  <c r="J6" i="2"/>
  <c r="G18" i="4" s="1"/>
  <c r="G19" i="4" l="1"/>
  <c r="G20" i="4" s="1"/>
</calcChain>
</file>

<file path=xl/sharedStrings.xml><?xml version="1.0" encoding="utf-8"?>
<sst xmlns="http://schemas.openxmlformats.org/spreadsheetml/2006/main" count="154" uniqueCount="129">
  <si>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</si>
  <si>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</si>
  <si>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</si>
  <si>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</si>
  <si>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</si>
  <si>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</si>
  <si>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</si>
  <si>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</si>
  <si>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</si>
  <si>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</si>
  <si>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</si>
  <si>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</si>
  <si>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ADM</t>
    <phoneticPr fontId="4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</si>
  <si>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</si>
  <si>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</si>
  <si>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</si>
  <si>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</si>
  <si>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</si>
  <si>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</si>
  <si>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</si>
  <si>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</si>
  <si>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</si>
  <si>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</si>
  <si>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</si>
  <si>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</si>
  <si>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</si>
  <si>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</si>
  <si>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</si>
  <si>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</si>
  <si>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</si>
  <si>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</si>
  <si>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</si>
  <si>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</si>
  <si>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</si>
  <si>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</si>
  <si>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</si>
  <si>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</si>
  <si>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</si>
  <si>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</si>
  <si>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</si>
  <si>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</si>
  <si>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</si>
  <si>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</si>
  <si>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</si>
  <si>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</si>
  <si>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</si>
  <si>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</si>
  <si>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</si>
  <si>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</si>
  <si>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</si>
  <si>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</si>
  <si>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</si>
  <si>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</si>
  <si>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</si>
  <si>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</si>
  <si>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</si>
  <si>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</si>
  <si>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</si>
  <si>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</si>
  <si>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</si>
  <si>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</si>
  <si>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</si>
  <si>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</si>
  <si>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</si>
  <si>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</si>
  <si>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</si>
  <si>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</si>
  <si>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</si>
  <si>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</si>
  <si>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</si>
  <si>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</si>
  <si>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</si>
  <si>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</si>
  <si>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</si>
  <si>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</si>
  <si>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</si>
  <si>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</si>
  <si>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</si>
  <si>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</si>
  <si>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</si>
  <si>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</si>
  <si>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</si>
  <si>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</si>
  <si>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</si>
  <si>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</si>
  <si>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</si>
  <si>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</si>
  <si>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</si>
  <si>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</si>
  <si>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</si>
  <si>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</si>
  <si>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</si>
  <si>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</si>
  <si>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</si>
  <si>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</si>
  <si>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</si>
  <si>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Mohammad Safwan</t>
  </si>
  <si>
    <t>Operation Manager</t>
  </si>
  <si>
    <t>Mobile : +966 59 1252163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</si>
  <si>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</si>
  <si>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</si>
  <si>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</si>
  <si>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</si>
  <si>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SAMOO</t>
  </si>
  <si>
    <t>SAMOO(Samoo Al Bahr Contracting Est.)</t>
  </si>
  <si>
    <t>4700115756</t>
  </si>
  <si>
    <t>311196464200003</t>
  </si>
  <si>
    <t>+966 59 1252163 / Email:samooalbahr@gmail.com</t>
  </si>
  <si>
    <t>P.O. Box 7063, Yanbu 46429, KSA</t>
  </si>
  <si>
    <t>EA</t>
  </si>
  <si>
    <t>One time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</si>
  <si>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</si>
  <si>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</si>
  <si>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</si>
  <si>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</si>
  <si>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</si>
  <si>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</si>
  <si>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</si>
  <si>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</si>
  <si>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</si>
  <si>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SAMOO ALBHAR CONTRACTING EST.</t>
  </si>
  <si>
    <t>01400010547706</t>
  </si>
  <si>
    <t>SAUDI NATIONAL BANK</t>
  </si>
  <si>
    <t>NCBKSAJE</t>
  </si>
  <si>
    <t>Third Party Inspection and Certificate</t>
  </si>
  <si>
    <t>SA47 1000 0001 4000 1054 7706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</si>
  <si>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-MRS-0238</t>
    </r>
  </si>
  <si>
    <t>Third Party Inspection and Certificate for Hand Winch 2000LBS</t>
  </si>
  <si>
    <t>SAMOO-DAESHIN-MT-36-2026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</si>
</sst>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5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2" xfId="6" applyNumberFormat="1" applyFont="1" applyBorder="1" applyAlignment="1">
      <alignment horizontal="center" vertical="center" wrapText="1"/>
    </xf>
    <xf numFmtId="0" fontId="8" fillId="0" borderId="43" xfId="6" applyFont="1" applyBorder="1"/>
    <xf numFmtId="0" fontId="10" fillId="0" borderId="0" xfId="6" applyFont="1" applyAlignment="1">
      <alignment vertical="center"/>
    </xf>
    <xf numFmtId="0" fontId="28" fillId="0" borderId="44" xfId="6" applyFont="1" applyBorder="1" applyAlignment="1">
      <alignment vertical="center"/>
    </xf>
    <xf numFmtId="0" fontId="28" fillId="0" borderId="44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1" fillId="2" borderId="0" xfId="1" applyFont="1" applyFill="1" applyAlignment="1">
      <alignment vertical="center"/>
    </xf>
    <xf numFmtId="0" fontId="55" fillId="3" borderId="0" xfId="5" applyFont="1" applyFill="1"/>
    <xf numFmtId="0" fontId="19" fillId="3" borderId="0" xfId="5" quotePrefix="1" applyFont="1" applyFill="1"/>
    <xf numFmtId="0" fontId="43" fillId="3" borderId="0" xfId="5" quotePrefix="1" applyFont="1" applyFill="1"/>
    <xf numFmtId="0" fontId="57" fillId="3" borderId="0" xfId="5" applyFont="1" applyFill="1" applyAlignment="1">
      <alignment horizontal="right" vertical="center" indent="1"/>
    </xf>
    <xf numFmtId="0" fontId="3" fillId="0" borderId="8" xfId="0" quotePrefix="1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6" fillId="3" borderId="0" xfId="5" applyFont="1" applyFill="1" applyAlignment="1">
      <alignment horizontal="left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1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942474</xdr:colOff>
          <xdr:row>18</xdr:row>
          <xdr:rowOff>0</xdr:rowOff>
        </xdr:from>
        <xdr:to>
          <xdr:col>12</xdr:col>
          <xdr:colOff>502</xdr:colOff>
          <xdr:row>25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9:$S$25" spid="_x0000_s125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216316" y="4983079"/>
              <a:ext cx="389071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3"/>
  <sheetViews>
    <sheetView showGridLines="0" tabSelected="1" view="pageBreakPreview" zoomScale="95" zoomScaleNormal="95" zoomScaleSheetLayoutView="95" workbookViewId="0">
      <selection activeCell="H7" sqref="H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7" style="2" customWidth="1"/>
    <col min="4" max="4" width="15.140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1" t="s">
        <v>99</v>
      </c>
      <c r="B1" s="107"/>
      <c r="C1" s="107"/>
      <c r="D1" s="107"/>
      <c r="E1" s="107"/>
      <c r="F1" s="107"/>
      <c r="G1" s="1"/>
      <c r="J1" s="142" t="s">
        <v>89</v>
      </c>
      <c r="K1" s="143"/>
      <c r="L1" s="144"/>
    </row>
    <row r="2" spans="1:18" ht="20.100000000000001" customHeight="1">
      <c r="A2" s="3" t="s">
        <v>1</v>
      </c>
      <c r="B2" s="98"/>
      <c r="C2" s="98"/>
      <c r="D2" s="3" t="s">
        <v>100</v>
      </c>
      <c r="E2" s="98"/>
      <c r="F2" s="98"/>
      <c r="G2" s="98"/>
      <c r="H2" s="98"/>
      <c r="I2" s="4"/>
      <c r="J2" s="158" t="s">
        <v>101</v>
      </c>
      <c r="K2" s="159"/>
      <c r="L2" s="160"/>
    </row>
    <row r="3" spans="1:18" ht="20.100000000000001" customHeight="1">
      <c r="A3" s="3" t="s">
        <v>126</v>
      </c>
      <c r="B3" s="98"/>
      <c r="C3" s="98"/>
      <c r="D3" s="98"/>
      <c r="E3" s="145">
        <f>+L3</f>
        <v>46085</v>
      </c>
      <c r="F3" s="145"/>
      <c r="G3" s="145"/>
      <c r="H3" s="145"/>
      <c r="I3" s="145"/>
      <c r="J3" s="98"/>
      <c r="K3" s="98"/>
      <c r="L3" s="119">
        <v>46085</v>
      </c>
      <c r="M3" s="4"/>
    </row>
    <row r="4" spans="1:18" ht="15.95" customHeight="1">
      <c r="A4" s="146" t="s">
        <v>2</v>
      </c>
      <c r="B4" s="147" t="s">
        <v>3</v>
      </c>
      <c r="C4" s="147"/>
      <c r="D4" s="148" t="s">
        <v>4</v>
      </c>
      <c r="E4" s="149"/>
      <c r="F4" s="150"/>
      <c r="G4" s="154" t="s">
        <v>5</v>
      </c>
      <c r="H4" s="156" t="s">
        <v>6</v>
      </c>
      <c r="I4" s="156" t="s">
        <v>93</v>
      </c>
      <c r="J4" s="146" t="s">
        <v>94</v>
      </c>
      <c r="K4" s="156" t="s">
        <v>0</v>
      </c>
      <c r="L4" s="147" t="s">
        <v>7</v>
      </c>
    </row>
    <row r="5" spans="1:18" ht="15.95" customHeight="1">
      <c r="A5" s="146"/>
      <c r="B5" s="147"/>
      <c r="C5" s="147"/>
      <c r="D5" s="151"/>
      <c r="E5" s="152"/>
      <c r="F5" s="153"/>
      <c r="G5" s="155"/>
      <c r="H5" s="157"/>
      <c r="I5" s="157"/>
      <c r="J5" s="146"/>
      <c r="K5" s="157"/>
      <c r="L5" s="147"/>
    </row>
    <row r="6" spans="1:18" ht="22.5" customHeight="1">
      <c r="A6" s="5">
        <f t="shared" ref="A6:A10" si="0">ROW(A1)</f>
        <v>1</v>
      </c>
      <c r="B6" s="127" t="s">
        <v>127</v>
      </c>
      <c r="C6" s="128"/>
      <c r="D6" s="129"/>
      <c r="E6" s="130"/>
      <c r="F6" s="131"/>
      <c r="G6" s="108" t="s">
        <v>109</v>
      </c>
      <c r="H6" s="109">
        <v>2</v>
      </c>
      <c r="I6" s="110">
        <v>1200</v>
      </c>
      <c r="J6" s="110">
        <f>H6*I6</f>
        <v>2400</v>
      </c>
      <c r="K6" s="111" t="s">
        <v>103</v>
      </c>
      <c r="L6" s="112" t="s">
        <v>110</v>
      </c>
      <c r="R6" s="103"/>
    </row>
    <row r="7" spans="1:18" ht="22.5" customHeight="1">
      <c r="A7" s="5">
        <f t="shared" si="0"/>
        <v>2</v>
      </c>
      <c r="B7" s="127"/>
      <c r="C7" s="128"/>
      <c r="D7" s="141"/>
      <c r="E7" s="130"/>
      <c r="F7" s="131"/>
      <c r="G7" s="108"/>
      <c r="H7" s="109"/>
      <c r="I7" s="110"/>
      <c r="J7" s="110">
        <f t="shared" ref="J7:J16" si="1">H7*I7</f>
        <v>0</v>
      </c>
      <c r="K7" s="111"/>
      <c r="L7" s="126"/>
      <c r="R7" s="103"/>
    </row>
    <row r="8" spans="1:18" ht="22.5" customHeight="1">
      <c r="A8" s="5">
        <f t="shared" si="0"/>
        <v>3</v>
      </c>
      <c r="B8" s="127"/>
      <c r="C8" s="128"/>
      <c r="D8" s="129"/>
      <c r="E8" s="130"/>
      <c r="F8" s="131"/>
      <c r="G8" s="108"/>
      <c r="H8" s="109"/>
      <c r="I8" s="110"/>
      <c r="J8" s="110">
        <f t="shared" si="1"/>
        <v>0</v>
      </c>
      <c r="K8" s="111"/>
      <c r="L8" s="126"/>
      <c r="R8" s="103"/>
    </row>
    <row r="9" spans="1:18" ht="22.5" customHeight="1">
      <c r="A9" s="5">
        <f t="shared" si="0"/>
        <v>4</v>
      </c>
      <c r="B9" s="127"/>
      <c r="C9" s="128"/>
      <c r="D9" s="129"/>
      <c r="E9" s="130"/>
      <c r="F9" s="131"/>
      <c r="G9" s="108"/>
      <c r="H9" s="109"/>
      <c r="I9" s="110"/>
      <c r="J9" s="110">
        <f t="shared" si="1"/>
        <v>0</v>
      </c>
      <c r="K9" s="111"/>
      <c r="L9" s="126"/>
      <c r="R9" s="103"/>
    </row>
    <row r="10" spans="1:18" ht="22.5" customHeight="1">
      <c r="A10" s="5">
        <f t="shared" si="0"/>
        <v>5</v>
      </c>
      <c r="B10" s="127"/>
      <c r="C10" s="128"/>
      <c r="D10" s="140"/>
      <c r="E10" s="140"/>
      <c r="F10" s="140"/>
      <c r="G10" s="108"/>
      <c r="H10" s="109"/>
      <c r="I10" s="113"/>
      <c r="J10" s="110">
        <f t="shared" si="1"/>
        <v>0</v>
      </c>
      <c r="K10" s="111"/>
      <c r="L10" s="126"/>
      <c r="R10" s="103"/>
    </row>
    <row r="11" spans="1:18" ht="22.5" customHeight="1">
      <c r="A11" s="5"/>
      <c r="B11" s="127"/>
      <c r="C11" s="128"/>
      <c r="D11" s="129"/>
      <c r="E11" s="130"/>
      <c r="F11" s="131"/>
      <c r="G11" s="108"/>
      <c r="H11" s="109"/>
      <c r="I11" s="110"/>
      <c r="J11" s="110">
        <f t="shared" si="1"/>
        <v>0</v>
      </c>
      <c r="K11" s="111"/>
      <c r="L11" s="112"/>
      <c r="R11" s="103"/>
    </row>
    <row r="12" spans="1:18" ht="22.5" customHeight="1">
      <c r="A12" s="5"/>
      <c r="B12" s="127"/>
      <c r="C12" s="128"/>
      <c r="D12" s="140"/>
      <c r="E12" s="140"/>
      <c r="F12" s="140"/>
      <c r="G12" s="108"/>
      <c r="H12" s="109"/>
      <c r="I12" s="113"/>
      <c r="J12" s="110">
        <f t="shared" si="1"/>
        <v>0</v>
      </c>
      <c r="K12" s="111"/>
      <c r="L12" s="108"/>
      <c r="R12" s="103"/>
    </row>
    <row r="13" spans="1:18" ht="22.5" customHeight="1">
      <c r="A13" s="5"/>
      <c r="B13" s="127"/>
      <c r="C13" s="128"/>
      <c r="D13" s="129"/>
      <c r="E13" s="130"/>
      <c r="F13" s="131"/>
      <c r="G13" s="108"/>
      <c r="H13" s="109"/>
      <c r="I13" s="110"/>
      <c r="J13" s="110">
        <f t="shared" si="1"/>
        <v>0</v>
      </c>
      <c r="K13" s="111"/>
      <c r="L13" s="112"/>
      <c r="R13" s="103"/>
    </row>
    <row r="14" spans="1:18" ht="22.5" customHeight="1">
      <c r="A14" s="5"/>
      <c r="B14" s="127"/>
      <c r="C14" s="128"/>
      <c r="D14" s="129"/>
      <c r="E14" s="130"/>
      <c r="F14" s="131"/>
      <c r="G14" s="108"/>
      <c r="H14" s="109"/>
      <c r="I14" s="110"/>
      <c r="J14" s="110">
        <f t="shared" si="1"/>
        <v>0</v>
      </c>
      <c r="K14" s="111"/>
      <c r="L14" s="112"/>
      <c r="R14" s="103"/>
    </row>
    <row r="15" spans="1:18" ht="22.5" customHeight="1">
      <c r="A15" s="5"/>
      <c r="B15" s="127"/>
      <c r="C15" s="128"/>
      <c r="D15" s="129"/>
      <c r="E15" s="130"/>
      <c r="F15" s="131"/>
      <c r="G15" s="108"/>
      <c r="H15" s="109"/>
      <c r="I15" s="110"/>
      <c r="J15" s="110">
        <f t="shared" si="1"/>
        <v>0</v>
      </c>
      <c r="K15" s="111"/>
      <c r="L15" s="112"/>
      <c r="R15" s="103"/>
    </row>
    <row r="16" spans="1:18" ht="22.5" customHeight="1">
      <c r="A16" s="5"/>
      <c r="B16" s="127"/>
      <c r="C16" s="128"/>
      <c r="D16" s="129"/>
      <c r="E16" s="130"/>
      <c r="F16" s="131"/>
      <c r="G16" s="108"/>
      <c r="H16" s="109"/>
      <c r="I16" s="110"/>
      <c r="J16" s="110">
        <f t="shared" si="1"/>
        <v>0</v>
      </c>
      <c r="K16" s="111"/>
      <c r="L16" s="112"/>
      <c r="R16" s="103"/>
    </row>
    <row r="17" spans="1:19" ht="22.5" customHeight="1">
      <c r="A17" s="136" t="s">
        <v>8</v>
      </c>
      <c r="B17" s="137"/>
      <c r="C17" s="114"/>
      <c r="D17" s="115"/>
      <c r="E17" s="115"/>
      <c r="F17" s="115"/>
      <c r="G17" s="116"/>
      <c r="H17" s="116"/>
      <c r="I17" s="117" t="s">
        <v>9</v>
      </c>
      <c r="J17" s="110">
        <f>SUM(J6:J16)</f>
        <v>2400</v>
      </c>
      <c r="K17" s="110"/>
      <c r="L17" s="118"/>
    </row>
    <row r="18" spans="1:19" ht="20.100000000000001" customHeight="1">
      <c r="A18" s="6" t="s">
        <v>10</v>
      </c>
      <c r="B18" s="7"/>
      <c r="C18" s="7"/>
      <c r="D18" s="7"/>
      <c r="E18" s="7"/>
      <c r="F18" s="7"/>
      <c r="G18" s="7"/>
      <c r="H18" s="7"/>
      <c r="I18" s="7"/>
      <c r="J18" s="7"/>
      <c r="K18" s="8"/>
      <c r="L18" s="9"/>
    </row>
    <row r="19" spans="1:19" ht="18" customHeight="1">
      <c r="A19" s="10"/>
      <c r="J19" s="1"/>
      <c r="K19" s="1"/>
      <c r="O19" s="11"/>
      <c r="P19" s="11"/>
      <c r="R19" s="138" t="s">
        <v>11</v>
      </c>
      <c r="S19" s="13" t="s">
        <v>12</v>
      </c>
    </row>
    <row r="20" spans="1:19" ht="50.1" customHeight="1">
      <c r="R20" s="139"/>
      <c r="S20" s="15"/>
    </row>
    <row r="21" spans="1:19" ht="17.100000000000001" customHeight="1">
      <c r="O21" s="11"/>
      <c r="P21" s="11"/>
      <c r="R21" s="134"/>
      <c r="S21" s="15" t="s">
        <v>13</v>
      </c>
    </row>
    <row r="22" spans="1:19" ht="15" customHeight="1">
      <c r="O22" s="17" t="s">
        <v>14</v>
      </c>
      <c r="P22" s="132" t="s">
        <v>15</v>
      </c>
    </row>
    <row r="23" spans="1:19" ht="18" customHeight="1">
      <c r="O23" s="18" t="s">
        <v>16</v>
      </c>
      <c r="P23" s="133"/>
      <c r="R23" s="138" t="s">
        <v>17</v>
      </c>
      <c r="S23" s="12" t="s">
        <v>12</v>
      </c>
    </row>
    <row r="24" spans="1:19" ht="50.1" customHeight="1">
      <c r="O24" s="14"/>
      <c r="P24" s="14"/>
      <c r="R24" s="139"/>
      <c r="S24" s="19"/>
    </row>
    <row r="25" spans="1:19" ht="17.100000000000001" customHeight="1">
      <c r="O25" s="16" t="s">
        <v>13</v>
      </c>
      <c r="P25" s="16" t="s">
        <v>13</v>
      </c>
      <c r="R25" s="134"/>
      <c r="S25" s="15" t="s">
        <v>13</v>
      </c>
    </row>
    <row r="26" spans="1:19" ht="9.9499999999999993" customHeight="1"/>
    <row r="27" spans="1:19" ht="19.899999999999999" customHeight="1"/>
    <row r="28" spans="1:19" ht="17.45" customHeight="1">
      <c r="O28" s="135"/>
      <c r="P28" s="135"/>
    </row>
    <row r="29" spans="1:19" ht="19.899999999999999" customHeight="1">
      <c r="O29" s="135"/>
      <c r="P29" s="135"/>
    </row>
    <row r="30" spans="1:19" ht="14.25">
      <c r="O30" s="11"/>
      <c r="P30" s="11"/>
    </row>
    <row r="31" spans="1:19" ht="65.099999999999994" customHeight="1"/>
    <row r="32" spans="1:19" ht="14.25">
      <c r="O32" s="11"/>
      <c r="P32" s="11"/>
    </row>
    <row r="33" spans="15:19" ht="19.899999999999999" customHeight="1"/>
    <row r="34" spans="15:19" ht="14.25"/>
    <row r="35" spans="15:19" ht="19.899999999999999" customHeight="1"/>
    <row r="36" spans="15:19" ht="14.25"/>
    <row r="37" spans="15:19" ht="19.899999999999999" customHeight="1"/>
    <row r="38" spans="15:19" ht="19.899999999999999" customHeight="1"/>
    <row r="39" spans="15:19" ht="64.900000000000006" customHeight="1"/>
    <row r="41" spans="15:19" ht="19.899999999999999" customHeight="1"/>
    <row r="42" spans="15:19" ht="19.899999999999999" customHeight="1"/>
    <row r="43" spans="15:19" ht="64.900000000000006" customHeight="1"/>
    <row r="47" spans="15:19" ht="21" customHeight="1">
      <c r="O47" s="132" t="s">
        <v>18</v>
      </c>
      <c r="P47" s="132" t="s">
        <v>18</v>
      </c>
      <c r="S47" s="132" t="s">
        <v>12</v>
      </c>
    </row>
    <row r="48" spans="15:19" ht="21" customHeight="1">
      <c r="O48" s="133"/>
      <c r="P48" s="133"/>
      <c r="S48" s="134"/>
    </row>
    <row r="49" spans="15:19" ht="64.900000000000006" customHeight="1">
      <c r="O49" s="14"/>
      <c r="P49" s="14"/>
      <c r="S49" s="15"/>
    </row>
    <row r="50" spans="15:19" ht="7.15" customHeight="1"/>
    <row r="51" spans="15:19" ht="21" customHeight="1">
      <c r="O51" s="132" t="s">
        <v>18</v>
      </c>
      <c r="P51" s="132" t="s">
        <v>18</v>
      </c>
      <c r="S51" s="132" t="s">
        <v>19</v>
      </c>
    </row>
    <row r="52" spans="15:19" ht="21" customHeight="1">
      <c r="O52" s="133"/>
      <c r="P52" s="133"/>
      <c r="S52" s="134"/>
    </row>
    <row r="53" spans="15:19" ht="64.900000000000006" customHeight="1">
      <c r="O53" s="14"/>
      <c r="P53" s="14"/>
      <c r="S53" s="14"/>
    </row>
  </sheetData>
  <mergeCells count="46"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O51:O52"/>
    <mergeCell ref="P51:P52"/>
    <mergeCell ref="S51:S52"/>
    <mergeCell ref="O28:O29"/>
    <mergeCell ref="P28:P29"/>
    <mergeCell ref="O47:O48"/>
    <mergeCell ref="P47:P48"/>
    <mergeCell ref="S47:S48"/>
    <mergeCell ref="B16:C16"/>
    <mergeCell ref="D16:F16"/>
    <mergeCell ref="A17:B17"/>
    <mergeCell ref="R19:R21"/>
    <mergeCell ref="P22:P23"/>
    <mergeCell ref="R23:R25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0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0" t="s">
        <v>95</v>
      </c>
      <c r="B1" s="97"/>
      <c r="C1" s="97"/>
      <c r="D1" s="97"/>
      <c r="E1" s="97"/>
      <c r="F1" s="97"/>
      <c r="G1" s="1"/>
      <c r="J1" s="142" t="str">
        <f>+MRS!J1</f>
        <v>DAESHIN PLANT</v>
      </c>
      <c r="K1" s="144"/>
    </row>
    <row r="2" spans="1:18" ht="24.95" customHeight="1">
      <c r="A2" s="3" t="str">
        <f>+MRS!A2</f>
        <v xml:space="preserve">  PJT :  SACE2           </v>
      </c>
      <c r="B2" s="98"/>
      <c r="C2" s="98"/>
      <c r="D2" s="3" t="str">
        <f>+MRS!D2</f>
        <v>Division (In charge Name) : ADMIN MANAGER (Dong Chang Kim)</v>
      </c>
      <c r="E2" s="98"/>
      <c r="F2" s="98"/>
      <c r="G2" s="20"/>
      <c r="H2" s="20"/>
      <c r="I2" s="20"/>
      <c r="J2" s="158" t="str">
        <f>+MRS!J2</f>
        <v>Subcontract name (SAC2-SC-IK-SMP-01)</v>
      </c>
      <c r="K2" s="160"/>
    </row>
    <row r="3" spans="1:18" ht="24.95" customHeight="1">
      <c r="A3" s="3" t="str">
        <f>+MRS!A3</f>
        <v xml:space="preserve">  MRS No : SAC2-DS-MRS-0238</v>
      </c>
      <c r="B3" s="98"/>
      <c r="C3" s="98"/>
      <c r="D3" s="98"/>
      <c r="E3" s="98"/>
      <c r="F3" s="98"/>
      <c r="G3" s="98"/>
      <c r="H3" s="98"/>
      <c r="I3" s="98"/>
      <c r="J3" s="98"/>
      <c r="K3" s="99">
        <f>+MRS!L3</f>
        <v>46085</v>
      </c>
    </row>
    <row r="4" spans="1:18" ht="15.95" customHeight="1">
      <c r="A4" s="171" t="s">
        <v>2</v>
      </c>
      <c r="B4" s="172" t="s">
        <v>20</v>
      </c>
      <c r="C4" s="172"/>
      <c r="D4" s="171" t="s">
        <v>4</v>
      </c>
      <c r="E4" s="171"/>
      <c r="F4" s="171"/>
      <c r="G4" s="172" t="s">
        <v>5</v>
      </c>
      <c r="H4" s="171" t="s">
        <v>90</v>
      </c>
      <c r="I4" s="171" t="s">
        <v>21</v>
      </c>
      <c r="J4" s="171" t="s">
        <v>22</v>
      </c>
      <c r="K4" s="172" t="s">
        <v>7</v>
      </c>
    </row>
    <row r="5" spans="1:18" ht="15.95" customHeight="1">
      <c r="A5" s="171"/>
      <c r="B5" s="172"/>
      <c r="C5" s="172"/>
      <c r="D5" s="171"/>
      <c r="E5" s="171"/>
      <c r="F5" s="171"/>
      <c r="G5" s="172"/>
      <c r="H5" s="171"/>
      <c r="I5" s="171"/>
      <c r="J5" s="171"/>
      <c r="K5" s="172"/>
    </row>
    <row r="6" spans="1:18" ht="105" customHeight="1">
      <c r="A6" s="21">
        <f>+MRS!A6</f>
        <v>1</v>
      </c>
      <c r="B6" s="166" t="str">
        <f>MRS!B6</f>
        <v>Third Party Inspection and Certificate for Hand Winch 2000LBS</v>
      </c>
      <c r="C6" s="167"/>
      <c r="D6" s="168">
        <f>MRS!D6</f>
        <v>0</v>
      </c>
      <c r="E6" s="169"/>
      <c r="F6" s="170"/>
      <c r="G6" s="100" t="str">
        <f>MRS!G6</f>
        <v>EA</v>
      </c>
      <c r="H6" s="100">
        <f>MRS!H6</f>
        <v>2</v>
      </c>
      <c r="I6" s="101">
        <f>MRS!I6</f>
        <v>1200</v>
      </c>
      <c r="J6" s="101">
        <f>MRS!J6</f>
        <v>2400</v>
      </c>
      <c r="K6" s="102"/>
      <c r="O6" s="103"/>
      <c r="P6" s="103"/>
      <c r="R6" s="103"/>
    </row>
    <row r="7" spans="1:18" ht="105" customHeight="1">
      <c r="A7" s="21">
        <f>+MRS!A7</f>
        <v>2</v>
      </c>
      <c r="B7" s="166">
        <f>MRS!B7</f>
        <v>0</v>
      </c>
      <c r="C7" s="167"/>
      <c r="D7" s="168">
        <f>MRS!D7</f>
        <v>0</v>
      </c>
      <c r="E7" s="169"/>
      <c r="F7" s="170"/>
      <c r="G7" s="100">
        <f>MRS!G7</f>
        <v>0</v>
      </c>
      <c r="H7" s="100">
        <f>MRS!H7</f>
        <v>0</v>
      </c>
      <c r="I7" s="101">
        <f>MRS!I7</f>
        <v>0</v>
      </c>
      <c r="J7" s="101">
        <f>MRS!J7</f>
        <v>0</v>
      </c>
      <c r="K7" s="102"/>
      <c r="O7" s="103"/>
      <c r="P7" s="103"/>
      <c r="R7" s="103"/>
    </row>
    <row r="8" spans="1:18" ht="105" customHeight="1">
      <c r="A8" s="21">
        <f>+MRS!A8</f>
        <v>3</v>
      </c>
      <c r="B8" s="166">
        <f>MRS!B8</f>
        <v>0</v>
      </c>
      <c r="C8" s="167"/>
      <c r="D8" s="168">
        <f>MRS!D8</f>
        <v>0</v>
      </c>
      <c r="E8" s="169"/>
      <c r="F8" s="170"/>
      <c r="G8" s="100">
        <f>MRS!G8</f>
        <v>0</v>
      </c>
      <c r="H8" s="100">
        <f>MRS!H8</f>
        <v>0</v>
      </c>
      <c r="I8" s="101">
        <f>MRS!I8</f>
        <v>0</v>
      </c>
      <c r="J8" s="101">
        <f>MRS!J8</f>
        <v>0</v>
      </c>
      <c r="K8" s="102"/>
      <c r="O8" s="103"/>
      <c r="P8" s="103"/>
      <c r="R8" s="103"/>
    </row>
    <row r="9" spans="1:18" ht="105" customHeight="1">
      <c r="A9" s="21">
        <f>+MRS!A9</f>
        <v>4</v>
      </c>
      <c r="B9" s="166">
        <f>MRS!B9</f>
        <v>0</v>
      </c>
      <c r="C9" s="167"/>
      <c r="D9" s="168">
        <f>MRS!D9</f>
        <v>0</v>
      </c>
      <c r="E9" s="169"/>
      <c r="F9" s="170"/>
      <c r="G9" s="100">
        <f>MRS!G9</f>
        <v>0</v>
      </c>
      <c r="H9" s="100">
        <f>MRS!H9</f>
        <v>0</v>
      </c>
      <c r="I9" s="101">
        <f>MRS!I9</f>
        <v>0</v>
      </c>
      <c r="J9" s="101">
        <f>MRS!J9</f>
        <v>0</v>
      </c>
      <c r="K9" s="102"/>
      <c r="O9" s="103"/>
      <c r="P9" s="103"/>
      <c r="R9" s="103"/>
    </row>
    <row r="10" spans="1:18" ht="105" customHeight="1">
      <c r="A10" s="21">
        <f>+MRS!A10</f>
        <v>5</v>
      </c>
      <c r="B10" s="166">
        <f>MRS!B10</f>
        <v>0</v>
      </c>
      <c r="C10" s="167"/>
      <c r="D10" s="168">
        <f>MRS!D10</f>
        <v>0</v>
      </c>
      <c r="E10" s="169"/>
      <c r="F10" s="170"/>
      <c r="G10" s="100">
        <f>MRS!G10</f>
        <v>0</v>
      </c>
      <c r="H10" s="100">
        <f>MRS!H10</f>
        <v>0</v>
      </c>
      <c r="I10" s="101">
        <f>MRS!I10</f>
        <v>0</v>
      </c>
      <c r="J10" s="101">
        <f>MRS!J10</f>
        <v>0</v>
      </c>
      <c r="K10" s="102"/>
      <c r="O10" s="103"/>
      <c r="P10" s="103"/>
      <c r="R10" s="103"/>
    </row>
    <row r="11" spans="1:18" ht="105" customHeight="1">
      <c r="A11" s="21">
        <f>+MRS!A11</f>
        <v>0</v>
      </c>
      <c r="B11" s="166">
        <f>MRS!B11</f>
        <v>0</v>
      </c>
      <c r="C11" s="167"/>
      <c r="D11" s="168">
        <f>MRS!D11</f>
        <v>0</v>
      </c>
      <c r="E11" s="169"/>
      <c r="F11" s="170"/>
      <c r="G11" s="100">
        <f>MRS!G11</f>
        <v>0</v>
      </c>
      <c r="H11" s="100">
        <f>MRS!H11</f>
        <v>0</v>
      </c>
      <c r="I11" s="101">
        <f>MRS!I11</f>
        <v>0</v>
      </c>
      <c r="J11" s="101">
        <f>MRS!J11</f>
        <v>0</v>
      </c>
      <c r="K11" s="102"/>
      <c r="O11" s="103"/>
      <c r="P11" s="103"/>
      <c r="R11" s="103"/>
    </row>
    <row r="12" spans="1:18" ht="105" customHeight="1">
      <c r="A12" s="21">
        <f>+MRS!A12</f>
        <v>0</v>
      </c>
      <c r="B12" s="161"/>
      <c r="C12" s="162"/>
      <c r="D12" s="163"/>
      <c r="E12" s="164"/>
      <c r="F12" s="165"/>
      <c r="G12" s="104"/>
      <c r="H12" s="105"/>
      <c r="I12" s="106"/>
      <c r="J12" s="106"/>
      <c r="K12" s="102"/>
      <c r="O12" s="103"/>
      <c r="P12" s="103"/>
      <c r="R12" s="103"/>
    </row>
    <row r="13" spans="1:18" ht="105" customHeight="1">
      <c r="A13" s="21">
        <f>+MRS!A13</f>
        <v>0</v>
      </c>
      <c r="B13" s="161"/>
      <c r="C13" s="162"/>
      <c r="D13" s="163"/>
      <c r="E13" s="164"/>
      <c r="F13" s="165"/>
      <c r="G13" s="104"/>
      <c r="H13" s="105"/>
      <c r="I13" s="106"/>
      <c r="J13" s="106"/>
      <c r="K13" s="102"/>
      <c r="O13" s="103"/>
      <c r="P13" s="103"/>
      <c r="R13" s="103"/>
    </row>
    <row r="14" spans="1:18" ht="105" customHeight="1">
      <c r="A14" s="21">
        <f>+MRS!A14</f>
        <v>0</v>
      </c>
      <c r="B14" s="161"/>
      <c r="C14" s="162"/>
      <c r="D14" s="163"/>
      <c r="E14" s="164"/>
      <c r="F14" s="165"/>
      <c r="G14" s="104"/>
      <c r="H14" s="105"/>
      <c r="I14" s="106"/>
      <c r="J14" s="106"/>
      <c r="K14" s="102"/>
      <c r="O14" s="103"/>
      <c r="P14" s="103"/>
      <c r="R14" s="103"/>
    </row>
    <row r="15" spans="1:18" ht="105" customHeight="1">
      <c r="A15" s="21">
        <f>+MRS!A16</f>
        <v>0</v>
      </c>
      <c r="B15" s="161"/>
      <c r="C15" s="162"/>
      <c r="D15" s="163"/>
      <c r="E15" s="164"/>
      <c r="F15" s="165"/>
      <c r="G15" s="104"/>
      <c r="H15" s="105"/>
      <c r="I15" s="106"/>
      <c r="J15" s="106"/>
      <c r="K15" s="102"/>
      <c r="O15" s="103"/>
      <c r="P15" s="103"/>
      <c r="R15" s="103"/>
    </row>
    <row r="16" spans="1:18" ht="105" customHeight="1">
      <c r="A16" s="21" t="e">
        <f>+MRS!#REF!</f>
        <v>#REF!</v>
      </c>
      <c r="B16" s="161"/>
      <c r="C16" s="162"/>
      <c r="D16" s="163"/>
      <c r="E16" s="164"/>
      <c r="F16" s="165"/>
      <c r="G16" s="104"/>
      <c r="H16" s="105"/>
      <c r="I16" s="106"/>
      <c r="J16" s="106"/>
      <c r="K16" s="102"/>
      <c r="O16" s="103"/>
      <c r="P16" s="103"/>
      <c r="R16" s="103"/>
    </row>
    <row r="17" spans="1:18" ht="105" customHeight="1">
      <c r="A17" s="21" t="e">
        <f>+MRS!#REF!</f>
        <v>#REF!</v>
      </c>
      <c r="B17" s="161"/>
      <c r="C17" s="162"/>
      <c r="D17" s="163"/>
      <c r="E17" s="164"/>
      <c r="F17" s="165"/>
      <c r="G17" s="104"/>
      <c r="H17" s="105"/>
      <c r="I17" s="106"/>
      <c r="J17" s="106"/>
      <c r="K17" s="102"/>
      <c r="O17" s="103"/>
      <c r="P17" s="103"/>
      <c r="R17" s="103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zoomScale="130" zoomScaleNormal="100" zoomScaleSheetLayoutView="130" workbookViewId="0">
      <selection activeCell="F16" sqref="F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104</v>
      </c>
      <c r="D9" s="39"/>
      <c r="E9" s="39"/>
    </row>
    <row r="10" spans="2:13" s="39" customFormat="1">
      <c r="B10" s="72"/>
      <c r="C10" s="39" t="s">
        <v>30</v>
      </c>
      <c r="D10" s="76" t="s">
        <v>105</v>
      </c>
      <c r="J10" s="39" t="s">
        <v>31</v>
      </c>
      <c r="K10" s="174">
        <f>MRS!L3</f>
        <v>46085</v>
      </c>
      <c r="L10" s="175"/>
      <c r="M10" s="175"/>
    </row>
    <row r="11" spans="2:13" s="39" customFormat="1">
      <c r="B11" s="72"/>
      <c r="C11" s="75" t="s">
        <v>32</v>
      </c>
      <c r="D11" s="76" t="s">
        <v>106</v>
      </c>
      <c r="J11" s="39" t="s">
        <v>33</v>
      </c>
      <c r="K11" s="176" t="str">
        <f>SUBSTITUTE(SUBSTITUTE(+MRS!A3,"  MRS No : ",""),"-MRS","-PO")</f>
        <v>SAC2-DS-PO-0238</v>
      </c>
      <c r="L11" s="176"/>
      <c r="M11" s="176"/>
    </row>
    <row r="12" spans="2:13" s="39" customFormat="1">
      <c r="B12" s="72"/>
      <c r="C12" s="75" t="s">
        <v>34</v>
      </c>
      <c r="D12" s="39" t="s">
        <v>96</v>
      </c>
      <c r="J12" s="39" t="s">
        <v>35</v>
      </c>
    </row>
    <row r="13" spans="2:13" s="39" customFormat="1">
      <c r="B13" s="72"/>
      <c r="C13" s="77"/>
      <c r="D13" s="76" t="s">
        <v>107</v>
      </c>
      <c r="J13" s="39" t="s">
        <v>36</v>
      </c>
    </row>
    <row r="14" spans="2:13" s="39" customFormat="1">
      <c r="B14" s="72"/>
      <c r="C14" s="77" t="s">
        <v>108</v>
      </c>
      <c r="J14" s="39" t="s">
        <v>37</v>
      </c>
      <c r="K14" s="39" t="s">
        <v>128</v>
      </c>
    </row>
    <row r="15" spans="2:13" s="39" customFormat="1">
      <c r="B15" s="72"/>
      <c r="C15" s="77" t="s">
        <v>98</v>
      </c>
      <c r="J15" s="39" t="s">
        <v>38</v>
      </c>
      <c r="K15" s="78">
        <v>46078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7" t="s">
        <v>39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3" ht="12" customHeight="1"/>
    <row r="20" spans="2:13" s="31" customFormat="1" ht="12" customHeight="1">
      <c r="B20" s="178" t="s">
        <v>40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s="31" customFormat="1" ht="12" customHeight="1">
      <c r="B21" s="178" t="s">
        <v>41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s="31" customFormat="1" ht="12" customHeight="1">
      <c r="B22" s="178" t="s">
        <v>42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ht="6.9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3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3" s="32" customFormat="1" ht="15" customHeight="1">
      <c r="B25" s="32">
        <v>1</v>
      </c>
      <c r="C25" s="32" t="s">
        <v>43</v>
      </c>
    </row>
    <row r="26" spans="2:13" s="39" customFormat="1" ht="12" customHeight="1">
      <c r="B26" s="26"/>
      <c r="C26" s="124" t="s">
        <v>124</v>
      </c>
      <c r="M26" s="125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81">
        <f>MRS!J17</f>
        <v>2400</v>
      </c>
      <c r="G29" s="181"/>
      <c r="H29" s="33"/>
      <c r="M29" s="34"/>
    </row>
    <row r="30" spans="2:13" ht="12" customHeight="1">
      <c r="B30" s="32"/>
      <c r="C30" s="26" t="s">
        <v>48</v>
      </c>
      <c r="E30" s="26" t="s">
        <v>47</v>
      </c>
      <c r="F30" s="181">
        <f>F29*15%</f>
        <v>360</v>
      </c>
      <c r="G30" s="181"/>
    </row>
    <row r="31" spans="2:13" ht="12" customHeight="1">
      <c r="B31" s="32"/>
      <c r="C31" s="26" t="s">
        <v>49</v>
      </c>
      <c r="D31" s="35"/>
      <c r="E31" s="26" t="s">
        <v>47</v>
      </c>
      <c r="F31" s="181">
        <f>SUM(F29:G30)</f>
        <v>2760</v>
      </c>
      <c r="G31" s="181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9" customFormat="1" ht="12" customHeight="1">
      <c r="B49" s="79" t="s">
        <v>63</v>
      </c>
      <c r="C49" s="80" t="s">
        <v>102</v>
      </c>
      <c r="P49" s="81"/>
    </row>
    <row r="50" spans="2:16" s="82" customFormat="1" ht="12" customHeight="1">
      <c r="B50" s="83" t="s">
        <v>63</v>
      </c>
      <c r="C50" s="80" t="s">
        <v>92</v>
      </c>
    </row>
    <row r="51" spans="2:16" s="82" customFormat="1" ht="12" customHeight="1">
      <c r="B51" s="83" t="s">
        <v>63</v>
      </c>
      <c r="C51" s="80" t="s">
        <v>91</v>
      </c>
    </row>
    <row r="52" spans="2:16" s="82" customFormat="1" ht="4.5" customHeight="1">
      <c r="B52" s="83"/>
      <c r="C52" s="80"/>
    </row>
    <row r="53" spans="2:16" ht="15" customHeight="1">
      <c r="B53" s="42">
        <v>7</v>
      </c>
      <c r="C53" s="32" t="s">
        <v>111</v>
      </c>
    </row>
    <row r="54" spans="2:16" ht="12" customHeight="1">
      <c r="B54" s="83" t="s">
        <v>63</v>
      </c>
      <c r="C54" s="122" t="s">
        <v>112</v>
      </c>
      <c r="F54" s="26" t="s">
        <v>120</v>
      </c>
    </row>
    <row r="55" spans="2:16" ht="12" customHeight="1">
      <c r="B55" s="83" t="s">
        <v>63</v>
      </c>
      <c r="C55" s="122" t="s">
        <v>113</v>
      </c>
      <c r="F55" s="123" t="s">
        <v>121</v>
      </c>
    </row>
    <row r="56" spans="2:16" ht="12" customHeight="1">
      <c r="B56" s="83" t="s">
        <v>63</v>
      </c>
      <c r="C56" s="122" t="s">
        <v>114</v>
      </c>
      <c r="F56" s="26" t="s">
        <v>125</v>
      </c>
    </row>
    <row r="57" spans="2:16" ht="12" customHeight="1">
      <c r="B57" s="83" t="s">
        <v>63</v>
      </c>
      <c r="C57" s="122" t="s">
        <v>115</v>
      </c>
      <c r="F57" s="26" t="s">
        <v>122</v>
      </c>
    </row>
    <row r="58" spans="2:16" ht="12" customHeight="1">
      <c r="B58" s="83" t="s">
        <v>63</v>
      </c>
      <c r="C58" s="122" t="s">
        <v>116</v>
      </c>
      <c r="F58" s="26" t="s">
        <v>123</v>
      </c>
    </row>
    <row r="59" spans="2:16" ht="12" customHeight="1">
      <c r="B59" s="83" t="s">
        <v>63</v>
      </c>
      <c r="C59" s="122" t="s">
        <v>117</v>
      </c>
      <c r="F59" s="26" t="s">
        <v>118</v>
      </c>
    </row>
    <row r="60" spans="2:16" ht="12" customHeight="1">
      <c r="B60" s="83"/>
      <c r="C60" s="122" t="s">
        <v>119</v>
      </c>
    </row>
    <row r="61" spans="2:16" ht="7.5" customHeight="1">
      <c r="B61" s="42"/>
    </row>
    <row r="62" spans="2:16" ht="3" customHeight="1">
      <c r="B62" s="43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</row>
    <row r="63" spans="2:16" ht="3" customHeight="1">
      <c r="B63" s="32"/>
    </row>
    <row r="64" spans="2:16" ht="7.5" customHeight="1">
      <c r="B64" s="42"/>
    </row>
    <row r="65" spans="1:13">
      <c r="B65" s="32" t="s">
        <v>64</v>
      </c>
      <c r="J65" s="32" t="s">
        <v>65</v>
      </c>
    </row>
    <row r="66" spans="1:13" ht="47.25" customHeight="1"/>
    <row r="67" spans="1:13" ht="18" customHeight="1">
      <c r="B67" s="26" t="s">
        <v>66</v>
      </c>
      <c r="J67" s="26" t="s">
        <v>66</v>
      </c>
    </row>
    <row r="68" spans="1:13" ht="18" customHeight="1">
      <c r="B68" s="26" t="s">
        <v>67</v>
      </c>
      <c r="J68" s="26" t="s">
        <v>68</v>
      </c>
      <c r="K68" s="22" t="str">
        <f>D12</f>
        <v>Mohammad Safwan</v>
      </c>
    </row>
    <row r="69" spans="1:13" ht="18" customHeight="1">
      <c r="B69" s="26" t="s">
        <v>69</v>
      </c>
      <c r="J69" s="26" t="s">
        <v>70</v>
      </c>
      <c r="K69" s="22" t="s">
        <v>97</v>
      </c>
    </row>
    <row r="70" spans="1:13" ht="15" customHeight="1">
      <c r="B70" s="26" t="s">
        <v>71</v>
      </c>
      <c r="J70" s="26" t="s">
        <v>72</v>
      </c>
    </row>
    <row r="71" spans="1:13" s="28" customFormat="1" ht="24.75" customHeight="1">
      <c r="B71" s="25" t="s">
        <v>73</v>
      </c>
      <c r="J71" s="182" t="str">
        <f>C9</f>
        <v>SAMOO(Samoo Al Bahr Contracting Est.)</v>
      </c>
      <c r="K71" s="182"/>
      <c r="L71" s="182"/>
      <c r="M71" s="182"/>
    </row>
    <row r="72" spans="1:13" ht="27.95" customHeight="1">
      <c r="A72" s="173" t="s">
        <v>74</v>
      </c>
      <c r="B72" s="173"/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173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  <row r="95" spans="2:2">
      <c r="B95" s="32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SAC2-DS-PO-0238</v>
      </c>
      <c r="C2" s="191" t="s">
        <v>76</v>
      </c>
      <c r="D2" s="191"/>
      <c r="E2" s="191"/>
      <c r="F2" s="191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46085</v>
      </c>
      <c r="C3" s="51"/>
      <c r="D3" s="52"/>
      <c r="E3" s="192" t="s">
        <v>78</v>
      </c>
      <c r="F3" s="192"/>
      <c r="G3" s="192"/>
      <c r="H3" s="192"/>
      <c r="I3" s="53"/>
    </row>
    <row r="4" spans="1:13" s="55" customFormat="1" ht="28.5" customHeight="1" thickTop="1">
      <c r="A4" s="193" t="s">
        <v>79</v>
      </c>
      <c r="B4" s="195" t="s">
        <v>80</v>
      </c>
      <c r="C4" s="196"/>
      <c r="D4" s="199" t="s">
        <v>81</v>
      </c>
      <c r="E4" s="199" t="s">
        <v>82</v>
      </c>
      <c r="F4" s="201" t="str">
        <f>'PO 1st page'!C9</f>
        <v>SAMOO(Samoo Al Bahr Contracting Est.)</v>
      </c>
      <c r="G4" s="202"/>
      <c r="H4" s="203" t="s">
        <v>83</v>
      </c>
      <c r="K4" s="56"/>
      <c r="L4" s="56"/>
      <c r="M4" s="56"/>
    </row>
    <row r="5" spans="1:13" s="55" customFormat="1" ht="21.95" customHeight="1">
      <c r="A5" s="194"/>
      <c r="B5" s="197"/>
      <c r="C5" s="198"/>
      <c r="D5" s="200"/>
      <c r="E5" s="200"/>
      <c r="F5" s="57" t="s">
        <v>84</v>
      </c>
      <c r="G5" s="57" t="s">
        <v>49</v>
      </c>
      <c r="H5" s="204"/>
      <c r="K5" s="56"/>
      <c r="L5" s="56"/>
      <c r="M5" s="56"/>
    </row>
    <row r="6" spans="1:13" s="55" customFormat="1" ht="32.1" customHeight="1">
      <c r="A6" s="84">
        <f t="shared" ref="A6:A10" si="0">ROW(A1)</f>
        <v>1</v>
      </c>
      <c r="B6" s="187" t="str">
        <f>CONCATENATE(MRS!B6," ",MRS!D6)</f>
        <v xml:space="preserve">Third Party Inspection and Certificate for Hand Winch 2000LBS </v>
      </c>
      <c r="C6" s="188"/>
      <c r="D6" s="85" t="str">
        <f>MRS!G6</f>
        <v>EA</v>
      </c>
      <c r="E6" s="86">
        <f>MRS!H6</f>
        <v>2</v>
      </c>
      <c r="F6" s="87">
        <f>MRS!I6</f>
        <v>1200</v>
      </c>
      <c r="G6" s="88">
        <f>MRS!J6</f>
        <v>2400</v>
      </c>
      <c r="H6" s="88" t="str">
        <f>MRS!L6</f>
        <v>One time</v>
      </c>
      <c r="K6" s="89"/>
      <c r="L6" s="90"/>
      <c r="M6" s="56"/>
    </row>
    <row r="7" spans="1:13" s="55" customFormat="1" ht="32.1" customHeight="1">
      <c r="A7" s="84"/>
      <c r="B7" s="187"/>
      <c r="C7" s="188"/>
      <c r="D7" s="85"/>
      <c r="E7" s="86"/>
      <c r="F7" s="87"/>
      <c r="G7" s="88"/>
      <c r="H7" s="88"/>
      <c r="K7" s="89"/>
      <c r="L7" s="90"/>
      <c r="M7" s="56"/>
    </row>
    <row r="8" spans="1:13" s="55" customFormat="1" ht="32.1" customHeight="1">
      <c r="A8" s="91"/>
      <c r="B8" s="187"/>
      <c r="C8" s="188"/>
      <c r="D8" s="85"/>
      <c r="E8" s="86"/>
      <c r="F8" s="87"/>
      <c r="G8" s="88"/>
      <c r="H8" s="88"/>
      <c r="K8" s="56"/>
      <c r="L8" s="56"/>
      <c r="M8" s="56"/>
    </row>
    <row r="9" spans="1:13" s="55" customFormat="1" ht="32.1" customHeight="1">
      <c r="A9" s="91"/>
      <c r="B9" s="187"/>
      <c r="C9" s="188"/>
      <c r="D9" s="85"/>
      <c r="E9" s="86"/>
      <c r="F9" s="87"/>
      <c r="G9" s="88"/>
      <c r="H9" s="88"/>
    </row>
    <row r="10" spans="1:13" s="55" customFormat="1" ht="32.1" customHeight="1">
      <c r="A10" s="91"/>
      <c r="B10" s="187"/>
      <c r="C10" s="188"/>
      <c r="D10" s="85"/>
      <c r="E10" s="86"/>
      <c r="F10" s="87"/>
      <c r="G10" s="88"/>
      <c r="H10" s="88"/>
    </row>
    <row r="11" spans="1:13" s="55" customFormat="1" ht="32.1" customHeight="1">
      <c r="A11" s="91"/>
      <c r="B11" s="187"/>
      <c r="C11" s="188"/>
      <c r="D11" s="85"/>
      <c r="E11" s="86"/>
      <c r="F11" s="87"/>
      <c r="G11" s="88"/>
      <c r="H11" s="96"/>
    </row>
    <row r="12" spans="1:13" s="55" customFormat="1" ht="32.1" customHeight="1">
      <c r="A12" s="91"/>
      <c r="B12" s="187"/>
      <c r="C12" s="188"/>
      <c r="D12" s="85"/>
      <c r="E12" s="86"/>
      <c r="F12" s="87"/>
      <c r="G12" s="88"/>
      <c r="H12" s="96"/>
    </row>
    <row r="13" spans="1:13" s="55" customFormat="1" ht="32.1" customHeight="1">
      <c r="A13" s="91"/>
      <c r="B13" s="187"/>
      <c r="C13" s="188"/>
      <c r="D13" s="85"/>
      <c r="E13" s="86"/>
      <c r="F13" s="87"/>
      <c r="G13" s="88"/>
      <c r="H13" s="96"/>
    </row>
    <row r="14" spans="1:13" s="55" customFormat="1" ht="32.1" customHeight="1">
      <c r="A14" s="91"/>
      <c r="B14" s="187"/>
      <c r="C14" s="188"/>
      <c r="D14" s="85"/>
      <c r="E14" s="86"/>
      <c r="F14" s="87"/>
      <c r="G14" s="88"/>
      <c r="H14" s="96"/>
    </row>
    <row r="15" spans="1:13" s="55" customFormat="1" ht="32.1" customHeight="1">
      <c r="A15" s="91"/>
      <c r="B15" s="187"/>
      <c r="C15" s="188"/>
      <c r="D15" s="85"/>
      <c r="E15" s="86"/>
      <c r="F15" s="87"/>
      <c r="G15" s="88"/>
      <c r="H15" s="96"/>
    </row>
    <row r="16" spans="1:13" s="55" customFormat="1" ht="32.1" customHeight="1">
      <c r="A16" s="91"/>
      <c r="B16" s="187"/>
      <c r="C16" s="188"/>
      <c r="D16" s="85"/>
      <c r="E16" s="86"/>
      <c r="F16" s="87"/>
      <c r="G16" s="88"/>
      <c r="H16" s="96"/>
    </row>
    <row r="17" spans="1:13" s="55" customFormat="1" ht="32.1" customHeight="1">
      <c r="A17" s="91"/>
      <c r="B17" s="189"/>
      <c r="C17" s="190"/>
      <c r="D17" s="92"/>
      <c r="E17" s="93"/>
      <c r="F17" s="94"/>
      <c r="G17" s="95"/>
      <c r="H17" s="96"/>
    </row>
    <row r="18" spans="1:13" s="55" customFormat="1" ht="23.1" customHeight="1">
      <c r="A18" s="183" t="s">
        <v>85</v>
      </c>
      <c r="B18" s="184"/>
      <c r="C18" s="184"/>
      <c r="D18" s="184"/>
      <c r="E18" s="184"/>
      <c r="F18" s="184"/>
      <c r="G18" s="58">
        <f>SUM(G6:G17)</f>
        <v>2400</v>
      </c>
      <c r="H18" s="59"/>
    </row>
    <row r="19" spans="1:13" s="55" customFormat="1" ht="23.1" customHeight="1">
      <c r="A19" s="183" t="s">
        <v>48</v>
      </c>
      <c r="B19" s="184"/>
      <c r="C19" s="184"/>
      <c r="D19" s="184"/>
      <c r="E19" s="184"/>
      <c r="F19" s="184"/>
      <c r="G19" s="58">
        <f>+G18*0.15</f>
        <v>360</v>
      </c>
      <c r="H19" s="59"/>
    </row>
    <row r="20" spans="1:13" s="55" customFormat="1" ht="24.95" customHeight="1" thickBot="1">
      <c r="A20" s="185" t="s">
        <v>86</v>
      </c>
      <c r="B20" s="186"/>
      <c r="C20" s="186"/>
      <c r="D20" s="186"/>
      <c r="E20" s="186"/>
      <c r="F20" s="186"/>
      <c r="G20" s="60">
        <f>G19+G18</f>
        <v>2760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SAMOO-DAESHIN-MT-36-2026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3" t="s">
        <v>88</v>
      </c>
      <c r="B24" s="173"/>
      <c r="C24" s="173"/>
      <c r="D24" s="173"/>
      <c r="E24" s="173"/>
      <c r="F24" s="173"/>
      <c r="G24" s="173"/>
      <c r="H24" s="173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2026-03-04T11:50:54Z</cp:lastPrinted>
  <dcterms:created xsi:type="dcterms:W3CDTF">2024-10-20T11:50:19Z</dcterms:created>
  <dcterms:modified xsi:type="dcterms:W3CDTF">2026-03-04T12:05:51Z</dcterms:modified>
</cp:coreProperties>
</file>