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2B5C653-3BAB-4464-98D4-134F071F862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MRS!$A$1:$L$62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page'!$A$1:$H$59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D51" i="4"/>
  <c r="E51" i="4"/>
  <c r="F51" i="4"/>
  <c r="G51" i="4"/>
  <c r="D52" i="4"/>
  <c r="E52" i="4"/>
  <c r="F52" i="4"/>
  <c r="G52" i="4"/>
  <c r="G6" i="4"/>
  <c r="F6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14" i="4"/>
  <c r="B13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16" i="4"/>
  <c r="A17" i="4"/>
  <c r="A18" i="4"/>
  <c r="A19" i="4"/>
  <c r="A20" i="4"/>
  <c r="A21" i="4"/>
  <c r="J53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B8" i="4"/>
  <c r="B9" i="4"/>
  <c r="B10" i="4"/>
  <c r="B11" i="4"/>
  <c r="B12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G53" i="4" l="1"/>
  <c r="K67" i="3"/>
  <c r="E3" i="1"/>
  <c r="K10" i="3" l="1"/>
  <c r="A56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54" i="4" l="1"/>
  <c r="F30" i="3" s="1"/>
  <c r="G55" i="4" l="1"/>
  <c r="F31" i="3" s="1"/>
</calcChain>
</file>

<file path=xl/sharedStrings.xml><?xml version="1.0" encoding="utf-8"?>
<sst xmlns="http://schemas.openxmlformats.org/spreadsheetml/2006/main" count="293" uniqueCount="176">
  <si>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</si>
  <si>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</si>
  <si>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</si>
  <si>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</si>
  <si>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</si>
  <si>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</si>
  <si>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</si>
  <si>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</si>
  <si>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</si>
  <si>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</si>
  <si>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</si>
  <si>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</si>
  <si>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</si>
  <si>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</si>
  <si>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</si>
  <si>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</si>
  <si>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</si>
  <si>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</si>
  <si>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</si>
  <si>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</si>
  <si>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</si>
  <si>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</si>
  <si>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</si>
  <si>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</si>
  <si>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</si>
  <si>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</si>
  <si>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</si>
  <si>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</si>
  <si>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</si>
  <si>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</si>
  <si>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</si>
  <si>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</si>
  <si>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</si>
  <si>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</si>
  <si>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</si>
  <si>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</si>
  <si>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</si>
  <si>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</si>
  <si>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</si>
  <si>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</si>
  <si>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</si>
  <si>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</si>
  <si>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</si>
  <si>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</si>
  <si>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</si>
  <si>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</si>
  <si>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</si>
  <si>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</si>
  <si>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</si>
  <si>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</si>
  <si>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</si>
  <si>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</si>
  <si>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</si>
  <si>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</si>
  <si>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</si>
  <si>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</si>
  <si>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</si>
  <si>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</si>
  <si>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</si>
  <si>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</si>
  <si>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</si>
  <si>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</si>
  <si>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</si>
  <si>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</si>
  <si>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</si>
  <si>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</si>
  <si>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</si>
  <si>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</si>
  <si>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</si>
  <si>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</si>
  <si>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</si>
  <si>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</si>
  <si>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</si>
  <si>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</si>
  <si>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</si>
  <si>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</si>
  <si>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</si>
  <si>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</si>
  <si>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</si>
  <si>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</si>
  <si>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</si>
  <si>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</si>
  <si>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</si>
  <si>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</si>
  <si>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</si>
  <si>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</si>
  <si>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</si>
  <si>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</si>
  <si>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</si>
  <si>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</si>
  <si>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</si>
  <si>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</si>
  <si>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</si>
  <si>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</si>
  <si>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</si>
  <si>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</si>
  <si>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</si>
  <si>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</si>
  <si>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</si>
  <si>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</si>
  <si>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</si>
  <si>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</si>
  <si>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</si>
  <si>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</si>
  <si>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</si>
  <si>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</si>
  <si>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</si>
  <si>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</si>
  <si>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</si>
  <si>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</si>
  <si>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</si>
  <si>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</si>
  <si>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</si>
  <si>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</si>
  <si>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</si>
  <si>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</si>
  <si>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</si>
  <si>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</si>
  <si>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</si>
  <si>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</si>
  <si>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</si>
  <si>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</si>
  <si>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</si>
  <si>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Nos</t>
  </si>
  <si>
    <t>SA96 1000 0095 4000 0618 4205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</si>
  <si>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-MRS-0226</t>
    </r>
  </si>
  <si>
    <t>Alumina Gas Lens Nozzle #6 (54N16)</t>
  </si>
  <si>
    <t>Alumina Gas Lens Nozzle #8 (54N14)</t>
  </si>
  <si>
    <t>Alumina Gas Lens Nozzle #10 5/8" (54N19)</t>
  </si>
  <si>
    <t>Angle Grinder 4" 220V with Paddle Switch Dewalt</t>
  </si>
  <si>
    <t>Angle Grinder 7" 220V with Paddle Switch Dewalt DWE493-B5</t>
  </si>
  <si>
    <t>Argon Hose Nut/Nipple Brass</t>
  </si>
  <si>
    <t>Argon Regulator Set UL Listed</t>
  </si>
  <si>
    <t>Brass Hose Barb 3/8"x1/2" NPT</t>
  </si>
  <si>
    <t>Ceramic Nozzle 350A #5</t>
  </si>
  <si>
    <t>Ceramic Nozzle 350A #6</t>
  </si>
  <si>
    <t>Ceramic Nozzle 350A #7</t>
  </si>
  <si>
    <t>Ceramic Nozzle 350A #8</t>
  </si>
  <si>
    <t>Collet Pin 2.4mm</t>
  </si>
  <si>
    <t>Combination Plier 8"</t>
  </si>
  <si>
    <t>Digital Clamp Meter 600V AC/DC 1000A, 319 Fluke</t>
  </si>
  <si>
    <t>Digital Wind Speed Anemometer</t>
  </si>
  <si>
    <t>Feeler Gauge 300mm 0.002-0.1mm</t>
  </si>
  <si>
    <t>Fire Hose Brass Coupling with Nozzle 1.5"x30mtr</t>
  </si>
  <si>
    <t>Gas Lens Collet Body 2.4mm (45V26)</t>
  </si>
  <si>
    <t>Gas Lens Insulator Cup Gasket (54N01)</t>
  </si>
  <si>
    <t>Impact Socket Adapter 1/2"(M) x 3/4"(F)</t>
  </si>
  <si>
    <t>Impact Socket Adapter 1/2"(M) x 3/8"(F)</t>
  </si>
  <si>
    <t>Impact Socket Adapter 3/4"(M) x 1/2"(F)</t>
  </si>
  <si>
    <t>Impact Socket Adapter 3/8"(M) x 1/2"(F)</t>
  </si>
  <si>
    <t>Inverter ARC Welding Machine 200A ARC200PFC Jasic</t>
  </si>
  <si>
    <t>Multi Gas Detector Max XT with Pump Honeywell</t>
  </si>
  <si>
    <t>Multifunction Anemometer with Hot Wire Telescopic Probe AP-5000Y</t>
  </si>
  <si>
    <t>Portable Diesel Generator 5KW</t>
  </si>
  <si>
    <t>Single Gas Detector H2S 500PPM T40 II Rattler ISC</t>
  </si>
  <si>
    <t>Split A/C 2Ton Heat &amp; Cooling Inverter LG</t>
  </si>
  <si>
    <t>Sump Pump 1HP 220V (include Hose Connector 3/4")</t>
  </si>
  <si>
    <t>Tig Collet Body 350A 2.4mm</t>
  </si>
  <si>
    <t>Tig Collet Body 350A 3.2mm</t>
  </si>
  <si>
    <t>Tig Collet Pin 350A 3.2mm</t>
  </si>
  <si>
    <t>Tig Torch Head with Handle</t>
  </si>
  <si>
    <t>Tig Torch Switch</t>
  </si>
  <si>
    <t>Tungsten Electrode 2.4mm</t>
  </si>
  <si>
    <t>Tungsten Electrode 3.2mm</t>
  </si>
  <si>
    <t>Welding Cable Connector 50-70mm2 Male &amp; Female</t>
  </si>
  <si>
    <t>Welding Electrode Holder 300A</t>
  </si>
  <si>
    <t>Welding Glass Dark #10</t>
  </si>
  <si>
    <t>Welding Glass Dark #11</t>
  </si>
  <si>
    <t>Welding Glass Dark #12</t>
  </si>
  <si>
    <t>Welding Rod ER347 2.4mm ESAB</t>
  </si>
  <si>
    <t>Welding Rod E7018 H4R 2.6mm S-7018.1H Vac-Pack Hyundai Korea</t>
  </si>
  <si>
    <t>Welding Rod ER70S-3 2.4mm ST-50.3 Hyundai Korea</t>
  </si>
  <si>
    <t xml:space="preserve">Wheelbarrow Trolley 2-Wheel </t>
  </si>
  <si>
    <t>Kgs</t>
  </si>
  <si>
    <t>Q-20263195</t>
  </si>
  <si>
    <t>Consumables for Welding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</si>
</sst>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Segoe UI"/>
      <family val="2"/>
      <charset val="1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170" fontId="56" fillId="3" borderId="0" xfId="5" applyNumberFormat="1" applyFont="1" applyFill="1"/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5" fillId="0" borderId="23" xfId="0" applyFont="1" applyBorder="1" applyAlignment="1">
      <alignment horizontal="left" vertical="center" wrapText="1"/>
    </xf>
    <xf numFmtId="0" fontId="55" fillId="0" borderId="24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54</xdr:row>
          <xdr:rowOff>20054</xdr:rowOff>
        </xdr:from>
        <xdr:to>
          <xdr:col>12</xdr:col>
          <xdr:colOff>499</xdr:colOff>
          <xdr:row>61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5:$S$61" spid="_x0000_s12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89"/>
  <sheetViews>
    <sheetView showGridLines="0" tabSelected="1" view="pageBreakPreview" zoomScale="95" zoomScaleNormal="95" zoomScaleSheetLayoutView="95" workbookViewId="0">
      <selection activeCell="M4" sqref="A4:XFD5"/>
    </sheetView>
  </sheetViews>
  <sheetFormatPr defaultColWidth="9" defaultRowHeight="21" customHeight="1"/>
  <cols>
    <col min="1" max="1" width="3.7109375" style="2" customWidth="1"/>
    <col min="2" max="2" width="27.140625" style="2" customWidth="1"/>
    <col min="3" max="3" width="33.5703125" style="2" customWidth="1"/>
    <col min="4" max="6" width="6.71093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37" t="s">
        <v>87</v>
      </c>
      <c r="K1" s="138"/>
      <c r="L1" s="139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40" t="s">
        <v>94</v>
      </c>
      <c r="K2" s="141"/>
      <c r="L2" s="142"/>
    </row>
    <row r="3" spans="1:18" ht="20.100000000000001" customHeight="1">
      <c r="A3" s="3" t="s">
        <v>125</v>
      </c>
      <c r="B3" s="92"/>
      <c r="C3" s="92"/>
      <c r="D3" s="92"/>
      <c r="E3" s="143">
        <f>+L3</f>
        <v>46068</v>
      </c>
      <c r="F3" s="143"/>
      <c r="G3" s="143"/>
      <c r="H3" s="143"/>
      <c r="I3" s="143"/>
      <c r="J3" s="92"/>
      <c r="K3" s="92"/>
      <c r="L3" s="104">
        <v>46068</v>
      </c>
      <c r="M3" s="4"/>
    </row>
    <row r="4" spans="1:18" ht="18" customHeight="1">
      <c r="A4" s="120" t="s">
        <v>2</v>
      </c>
      <c r="B4" s="121" t="s">
        <v>3</v>
      </c>
      <c r="C4" s="121"/>
      <c r="D4" s="122" t="s">
        <v>4</v>
      </c>
      <c r="E4" s="123"/>
      <c r="F4" s="124"/>
      <c r="G4" s="128" t="s">
        <v>5</v>
      </c>
      <c r="H4" s="130" t="s">
        <v>6</v>
      </c>
      <c r="I4" s="130" t="s">
        <v>91</v>
      </c>
      <c r="J4" s="120" t="s">
        <v>92</v>
      </c>
      <c r="K4" s="130" t="s">
        <v>0</v>
      </c>
      <c r="L4" s="121" t="s">
        <v>7</v>
      </c>
    </row>
    <row r="5" spans="1:18" ht="18" customHeight="1">
      <c r="A5" s="120"/>
      <c r="B5" s="121"/>
      <c r="C5" s="121"/>
      <c r="D5" s="125"/>
      <c r="E5" s="126"/>
      <c r="F5" s="127"/>
      <c r="G5" s="129"/>
      <c r="H5" s="131"/>
      <c r="I5" s="131"/>
      <c r="J5" s="120"/>
      <c r="K5" s="131"/>
      <c r="L5" s="121"/>
    </row>
    <row r="6" spans="1:18" ht="18" customHeight="1">
      <c r="A6" s="5">
        <f t="shared" ref="A6:A52" si="0">ROW(A1)</f>
        <v>1</v>
      </c>
      <c r="B6" s="132" t="s">
        <v>126</v>
      </c>
      <c r="C6" s="133"/>
      <c r="D6" s="134"/>
      <c r="E6" s="135"/>
      <c r="F6" s="136"/>
      <c r="G6" s="111" t="s">
        <v>123</v>
      </c>
      <c r="H6" s="111">
        <v>50</v>
      </c>
      <c r="I6" s="112">
        <v>14</v>
      </c>
      <c r="J6" s="99">
        <f>H6*I6</f>
        <v>700</v>
      </c>
      <c r="K6" s="100" t="s">
        <v>98</v>
      </c>
      <c r="L6" s="101" t="s">
        <v>106</v>
      </c>
      <c r="R6" s="97"/>
    </row>
    <row r="7" spans="1:18" ht="18" customHeight="1">
      <c r="A7" s="5">
        <f t="shared" si="0"/>
        <v>2</v>
      </c>
      <c r="B7" s="132" t="s">
        <v>127</v>
      </c>
      <c r="C7" s="133" t="s">
        <v>127</v>
      </c>
      <c r="D7" s="134"/>
      <c r="E7" s="135"/>
      <c r="F7" s="136"/>
      <c r="G7" s="111" t="s">
        <v>123</v>
      </c>
      <c r="H7" s="111">
        <v>50</v>
      </c>
      <c r="I7" s="112">
        <v>14</v>
      </c>
      <c r="J7" s="99">
        <f t="shared" ref="J7:J52" si="1">H7*I7</f>
        <v>700</v>
      </c>
      <c r="K7" s="100"/>
      <c r="L7" s="101"/>
      <c r="R7" s="97"/>
    </row>
    <row r="8" spans="1:18" ht="18" customHeight="1">
      <c r="A8" s="5">
        <f t="shared" si="0"/>
        <v>3</v>
      </c>
      <c r="B8" s="132" t="s">
        <v>128</v>
      </c>
      <c r="C8" s="133" t="s">
        <v>128</v>
      </c>
      <c r="D8" s="134"/>
      <c r="E8" s="135"/>
      <c r="F8" s="136"/>
      <c r="G8" s="111" t="s">
        <v>123</v>
      </c>
      <c r="H8" s="111">
        <v>100</v>
      </c>
      <c r="I8" s="112">
        <v>7</v>
      </c>
      <c r="J8" s="99">
        <f t="shared" si="1"/>
        <v>700</v>
      </c>
      <c r="K8" s="100"/>
      <c r="L8" s="101"/>
      <c r="R8" s="97"/>
    </row>
    <row r="9" spans="1:18" ht="18" customHeight="1">
      <c r="A9" s="5">
        <f t="shared" si="0"/>
        <v>4</v>
      </c>
      <c r="B9" s="132" t="s">
        <v>129</v>
      </c>
      <c r="C9" s="133" t="s">
        <v>129</v>
      </c>
      <c r="D9" s="134"/>
      <c r="E9" s="135"/>
      <c r="F9" s="136"/>
      <c r="G9" s="111" t="s">
        <v>123</v>
      </c>
      <c r="H9" s="111">
        <v>2</v>
      </c>
      <c r="I9" s="112">
        <v>340</v>
      </c>
      <c r="J9" s="99">
        <f t="shared" si="1"/>
        <v>680</v>
      </c>
      <c r="K9" s="100"/>
      <c r="L9" s="101"/>
      <c r="R9" s="97"/>
    </row>
    <row r="10" spans="1:18" ht="18" customHeight="1">
      <c r="A10" s="5">
        <f t="shared" si="0"/>
        <v>5</v>
      </c>
      <c r="B10" s="132" t="s">
        <v>130</v>
      </c>
      <c r="C10" s="133" t="s">
        <v>130</v>
      </c>
      <c r="D10" s="134"/>
      <c r="E10" s="135"/>
      <c r="F10" s="136"/>
      <c r="G10" s="111" t="s">
        <v>123</v>
      </c>
      <c r="H10" s="111">
        <v>1</v>
      </c>
      <c r="I10" s="112">
        <v>560</v>
      </c>
      <c r="J10" s="99">
        <f t="shared" si="1"/>
        <v>560</v>
      </c>
      <c r="K10" s="100"/>
      <c r="L10" s="101"/>
      <c r="R10" s="97"/>
    </row>
    <row r="11" spans="1:18" ht="18" customHeight="1">
      <c r="A11" s="5">
        <f t="shared" si="0"/>
        <v>6</v>
      </c>
      <c r="B11" s="132" t="s">
        <v>131</v>
      </c>
      <c r="C11" s="133" t="s">
        <v>131</v>
      </c>
      <c r="D11" s="134"/>
      <c r="E11" s="135"/>
      <c r="F11" s="136"/>
      <c r="G11" s="111" t="s">
        <v>123</v>
      </c>
      <c r="H11" s="111">
        <v>40</v>
      </c>
      <c r="I11" s="112">
        <v>10.5</v>
      </c>
      <c r="J11" s="99">
        <f t="shared" si="1"/>
        <v>420</v>
      </c>
      <c r="K11" s="100"/>
      <c r="L11" s="101"/>
      <c r="R11" s="97"/>
    </row>
    <row r="12" spans="1:18" ht="18" customHeight="1">
      <c r="A12" s="5">
        <f t="shared" si="0"/>
        <v>7</v>
      </c>
      <c r="B12" s="132" t="s">
        <v>132</v>
      </c>
      <c r="C12" s="133" t="s">
        <v>132</v>
      </c>
      <c r="D12" s="134"/>
      <c r="E12" s="135"/>
      <c r="F12" s="136"/>
      <c r="G12" s="111" t="s">
        <v>123</v>
      </c>
      <c r="H12" s="111">
        <v>50</v>
      </c>
      <c r="I12" s="112">
        <v>158</v>
      </c>
      <c r="J12" s="99">
        <f t="shared" si="1"/>
        <v>7900</v>
      </c>
      <c r="K12" s="100"/>
      <c r="L12" s="101"/>
      <c r="R12" s="97"/>
    </row>
    <row r="13" spans="1:18" ht="18" customHeight="1">
      <c r="A13" s="5">
        <f t="shared" si="0"/>
        <v>8</v>
      </c>
      <c r="B13" s="132" t="s">
        <v>133</v>
      </c>
      <c r="C13" s="133" t="s">
        <v>133</v>
      </c>
      <c r="D13" s="134"/>
      <c r="E13" s="135"/>
      <c r="F13" s="136"/>
      <c r="G13" s="111" t="s">
        <v>123</v>
      </c>
      <c r="H13" s="111">
        <v>40</v>
      </c>
      <c r="I13" s="112">
        <v>11</v>
      </c>
      <c r="J13" s="99">
        <f t="shared" si="1"/>
        <v>440</v>
      </c>
      <c r="K13" s="100"/>
      <c r="L13" s="101"/>
      <c r="R13" s="97"/>
    </row>
    <row r="14" spans="1:18" ht="18" customHeight="1">
      <c r="A14" s="5">
        <f t="shared" si="0"/>
        <v>9</v>
      </c>
      <c r="B14" s="132" t="s">
        <v>134</v>
      </c>
      <c r="C14" s="133" t="s">
        <v>134</v>
      </c>
      <c r="D14" s="134"/>
      <c r="E14" s="135"/>
      <c r="F14" s="136"/>
      <c r="G14" s="111" t="s">
        <v>123</v>
      </c>
      <c r="H14" s="111">
        <v>150</v>
      </c>
      <c r="I14" s="112">
        <v>12</v>
      </c>
      <c r="J14" s="99">
        <f t="shared" si="1"/>
        <v>1800</v>
      </c>
      <c r="K14" s="100"/>
      <c r="L14" s="101"/>
      <c r="R14" s="97"/>
    </row>
    <row r="15" spans="1:18" ht="18" customHeight="1">
      <c r="A15" s="5">
        <f t="shared" si="0"/>
        <v>10</v>
      </c>
      <c r="B15" s="132" t="s">
        <v>135</v>
      </c>
      <c r="C15" s="133" t="s">
        <v>135</v>
      </c>
      <c r="D15" s="134"/>
      <c r="E15" s="135"/>
      <c r="F15" s="136"/>
      <c r="G15" s="111" t="s">
        <v>123</v>
      </c>
      <c r="H15" s="111">
        <v>400</v>
      </c>
      <c r="I15" s="112">
        <v>12</v>
      </c>
      <c r="J15" s="99">
        <f t="shared" si="1"/>
        <v>4800</v>
      </c>
      <c r="K15" s="100"/>
      <c r="L15" s="101"/>
      <c r="R15" s="97"/>
    </row>
    <row r="16" spans="1:18" ht="18" customHeight="1">
      <c r="A16" s="5">
        <f t="shared" si="0"/>
        <v>11</v>
      </c>
      <c r="B16" s="132" t="s">
        <v>136</v>
      </c>
      <c r="C16" s="133" t="s">
        <v>136</v>
      </c>
      <c r="D16" s="134"/>
      <c r="E16" s="135"/>
      <c r="F16" s="136"/>
      <c r="G16" s="111" t="s">
        <v>123</v>
      </c>
      <c r="H16" s="111">
        <v>250</v>
      </c>
      <c r="I16" s="112">
        <v>12</v>
      </c>
      <c r="J16" s="99">
        <f t="shared" si="1"/>
        <v>3000</v>
      </c>
      <c r="K16" s="100"/>
      <c r="L16" s="101"/>
      <c r="R16" s="97"/>
    </row>
    <row r="17" spans="1:18" ht="18" customHeight="1">
      <c r="A17" s="5">
        <f t="shared" si="0"/>
        <v>12</v>
      </c>
      <c r="B17" s="132" t="s">
        <v>137</v>
      </c>
      <c r="C17" s="133" t="s">
        <v>137</v>
      </c>
      <c r="D17" s="134"/>
      <c r="E17" s="135"/>
      <c r="F17" s="136"/>
      <c r="G17" s="111" t="s">
        <v>123</v>
      </c>
      <c r="H17" s="111">
        <v>150</v>
      </c>
      <c r="I17" s="112">
        <v>12</v>
      </c>
      <c r="J17" s="99">
        <f t="shared" si="1"/>
        <v>1800</v>
      </c>
      <c r="K17" s="100"/>
      <c r="L17" s="101"/>
      <c r="R17" s="97"/>
    </row>
    <row r="18" spans="1:18" ht="18" customHeight="1">
      <c r="A18" s="5">
        <f t="shared" si="0"/>
        <v>13</v>
      </c>
      <c r="B18" s="132" t="s">
        <v>138</v>
      </c>
      <c r="C18" s="133" t="s">
        <v>138</v>
      </c>
      <c r="D18" s="134"/>
      <c r="E18" s="135"/>
      <c r="F18" s="136"/>
      <c r="G18" s="111" t="s">
        <v>123</v>
      </c>
      <c r="H18" s="111">
        <v>300</v>
      </c>
      <c r="I18" s="112">
        <v>2.5</v>
      </c>
      <c r="J18" s="99">
        <f t="shared" si="1"/>
        <v>750</v>
      </c>
      <c r="K18" s="100"/>
      <c r="L18" s="101"/>
      <c r="R18" s="97"/>
    </row>
    <row r="19" spans="1:18" ht="18" customHeight="1">
      <c r="A19" s="5">
        <f t="shared" si="0"/>
        <v>14</v>
      </c>
      <c r="B19" s="132" t="s">
        <v>139</v>
      </c>
      <c r="C19" s="133" t="s">
        <v>139</v>
      </c>
      <c r="D19" s="134"/>
      <c r="E19" s="135"/>
      <c r="F19" s="136"/>
      <c r="G19" s="111" t="s">
        <v>123</v>
      </c>
      <c r="H19" s="111">
        <v>5</v>
      </c>
      <c r="I19" s="112">
        <v>17</v>
      </c>
      <c r="J19" s="99">
        <f t="shared" si="1"/>
        <v>85</v>
      </c>
      <c r="K19" s="100"/>
      <c r="L19" s="101"/>
      <c r="R19" s="97"/>
    </row>
    <row r="20" spans="1:18" ht="18" customHeight="1">
      <c r="A20" s="5">
        <f t="shared" si="0"/>
        <v>15</v>
      </c>
      <c r="B20" s="132" t="s">
        <v>140</v>
      </c>
      <c r="C20" s="133" t="s">
        <v>140</v>
      </c>
      <c r="D20" s="134"/>
      <c r="E20" s="135"/>
      <c r="F20" s="136"/>
      <c r="G20" s="111" t="s">
        <v>123</v>
      </c>
      <c r="H20" s="111">
        <v>1</v>
      </c>
      <c r="I20" s="112">
        <v>1295</v>
      </c>
      <c r="J20" s="99">
        <f t="shared" si="1"/>
        <v>1295</v>
      </c>
      <c r="K20" s="100"/>
      <c r="L20" s="101"/>
      <c r="R20" s="97"/>
    </row>
    <row r="21" spans="1:18" ht="18" customHeight="1">
      <c r="A21" s="5">
        <f t="shared" si="0"/>
        <v>16</v>
      </c>
      <c r="B21" s="132" t="s">
        <v>141</v>
      </c>
      <c r="C21" s="133" t="s">
        <v>141</v>
      </c>
      <c r="D21" s="134"/>
      <c r="E21" s="135"/>
      <c r="F21" s="136"/>
      <c r="G21" s="111" t="s">
        <v>123</v>
      </c>
      <c r="H21" s="111">
        <v>13</v>
      </c>
      <c r="I21" s="112">
        <v>110</v>
      </c>
      <c r="J21" s="99">
        <f t="shared" si="1"/>
        <v>1430</v>
      </c>
      <c r="K21" s="100"/>
      <c r="L21" s="101"/>
      <c r="R21" s="97"/>
    </row>
    <row r="22" spans="1:18" ht="18" customHeight="1">
      <c r="A22" s="5">
        <f t="shared" si="0"/>
        <v>17</v>
      </c>
      <c r="B22" s="132" t="s">
        <v>142</v>
      </c>
      <c r="C22" s="133" t="s">
        <v>142</v>
      </c>
      <c r="D22" s="134"/>
      <c r="E22" s="135"/>
      <c r="F22" s="136"/>
      <c r="G22" s="111" t="s">
        <v>123</v>
      </c>
      <c r="H22" s="111">
        <v>2</v>
      </c>
      <c r="I22" s="112">
        <v>116</v>
      </c>
      <c r="J22" s="99">
        <f t="shared" si="1"/>
        <v>232</v>
      </c>
      <c r="K22" s="100"/>
      <c r="L22" s="101"/>
      <c r="R22" s="97"/>
    </row>
    <row r="23" spans="1:18" ht="18" customHeight="1">
      <c r="A23" s="5">
        <f t="shared" si="0"/>
        <v>18</v>
      </c>
      <c r="B23" s="132" t="s">
        <v>143</v>
      </c>
      <c r="C23" s="133" t="s">
        <v>143</v>
      </c>
      <c r="D23" s="134"/>
      <c r="E23" s="135"/>
      <c r="F23" s="136"/>
      <c r="G23" s="111" t="s">
        <v>123</v>
      </c>
      <c r="H23" s="111">
        <v>1</v>
      </c>
      <c r="I23" s="112">
        <v>292</v>
      </c>
      <c r="J23" s="99">
        <f t="shared" si="1"/>
        <v>292</v>
      </c>
      <c r="K23" s="100"/>
      <c r="L23" s="101"/>
      <c r="R23" s="97"/>
    </row>
    <row r="24" spans="1:18" ht="18" customHeight="1">
      <c r="A24" s="5">
        <f t="shared" si="0"/>
        <v>19</v>
      </c>
      <c r="B24" s="132" t="s">
        <v>144</v>
      </c>
      <c r="C24" s="133" t="s">
        <v>144</v>
      </c>
      <c r="D24" s="134"/>
      <c r="E24" s="135"/>
      <c r="F24" s="136"/>
      <c r="G24" s="111" t="s">
        <v>123</v>
      </c>
      <c r="H24" s="111">
        <v>200</v>
      </c>
      <c r="I24" s="112">
        <v>23</v>
      </c>
      <c r="J24" s="99">
        <f t="shared" si="1"/>
        <v>4600</v>
      </c>
      <c r="K24" s="100"/>
      <c r="L24" s="101"/>
      <c r="R24" s="97"/>
    </row>
    <row r="25" spans="1:18" ht="18" customHeight="1">
      <c r="A25" s="5">
        <f t="shared" si="0"/>
        <v>20</v>
      </c>
      <c r="B25" s="132" t="s">
        <v>145</v>
      </c>
      <c r="C25" s="133" t="s">
        <v>145</v>
      </c>
      <c r="D25" s="134"/>
      <c r="E25" s="135"/>
      <c r="F25" s="136"/>
      <c r="G25" s="111" t="s">
        <v>123</v>
      </c>
      <c r="H25" s="111">
        <v>200</v>
      </c>
      <c r="I25" s="112">
        <v>18</v>
      </c>
      <c r="J25" s="99">
        <f t="shared" si="1"/>
        <v>3600</v>
      </c>
      <c r="K25" s="100"/>
      <c r="L25" s="101"/>
      <c r="R25" s="97"/>
    </row>
    <row r="26" spans="1:18" ht="18" customHeight="1">
      <c r="A26" s="5">
        <f t="shared" si="0"/>
        <v>21</v>
      </c>
      <c r="B26" s="132" t="s">
        <v>146</v>
      </c>
      <c r="C26" s="133" t="s">
        <v>146</v>
      </c>
      <c r="D26" s="134"/>
      <c r="E26" s="135"/>
      <c r="F26" s="136"/>
      <c r="G26" s="111" t="s">
        <v>123</v>
      </c>
      <c r="H26" s="111">
        <v>5</v>
      </c>
      <c r="I26" s="112">
        <v>42</v>
      </c>
      <c r="J26" s="99">
        <f t="shared" si="1"/>
        <v>210</v>
      </c>
      <c r="K26" s="100"/>
      <c r="L26" s="101"/>
      <c r="R26" s="97"/>
    </row>
    <row r="27" spans="1:18" ht="18" customHeight="1">
      <c r="A27" s="5">
        <f t="shared" si="0"/>
        <v>22</v>
      </c>
      <c r="B27" s="132" t="s">
        <v>147</v>
      </c>
      <c r="C27" s="133" t="s">
        <v>147</v>
      </c>
      <c r="D27" s="134"/>
      <c r="E27" s="135"/>
      <c r="F27" s="136"/>
      <c r="G27" s="111" t="s">
        <v>123</v>
      </c>
      <c r="H27" s="111">
        <v>5</v>
      </c>
      <c r="I27" s="112">
        <v>16</v>
      </c>
      <c r="J27" s="99">
        <f t="shared" si="1"/>
        <v>80</v>
      </c>
      <c r="K27" s="100"/>
      <c r="L27" s="101"/>
      <c r="R27" s="97"/>
    </row>
    <row r="28" spans="1:18" ht="18" customHeight="1">
      <c r="A28" s="5">
        <f t="shared" si="0"/>
        <v>23</v>
      </c>
      <c r="B28" s="132" t="s">
        <v>148</v>
      </c>
      <c r="C28" s="133" t="s">
        <v>148</v>
      </c>
      <c r="D28" s="134"/>
      <c r="E28" s="135"/>
      <c r="F28" s="136"/>
      <c r="G28" s="111" t="s">
        <v>123</v>
      </c>
      <c r="H28" s="111">
        <v>5</v>
      </c>
      <c r="I28" s="112">
        <v>46</v>
      </c>
      <c r="J28" s="99">
        <f t="shared" si="1"/>
        <v>230</v>
      </c>
      <c r="K28" s="100"/>
      <c r="L28" s="101"/>
      <c r="R28" s="97"/>
    </row>
    <row r="29" spans="1:18" ht="18" customHeight="1">
      <c r="A29" s="5">
        <f t="shared" si="0"/>
        <v>24</v>
      </c>
      <c r="B29" s="132" t="s">
        <v>149</v>
      </c>
      <c r="C29" s="133" t="s">
        <v>149</v>
      </c>
      <c r="D29" s="134"/>
      <c r="E29" s="135"/>
      <c r="F29" s="136"/>
      <c r="G29" s="111" t="s">
        <v>123</v>
      </c>
      <c r="H29" s="111">
        <v>5</v>
      </c>
      <c r="I29" s="112">
        <v>20</v>
      </c>
      <c r="J29" s="99">
        <f t="shared" si="1"/>
        <v>100</v>
      </c>
      <c r="K29" s="100"/>
      <c r="L29" s="101"/>
      <c r="R29" s="97"/>
    </row>
    <row r="30" spans="1:18" ht="18" customHeight="1">
      <c r="A30" s="5">
        <f t="shared" si="0"/>
        <v>25</v>
      </c>
      <c r="B30" s="132" t="s">
        <v>150</v>
      </c>
      <c r="C30" s="133" t="s">
        <v>150</v>
      </c>
      <c r="D30" s="134"/>
      <c r="E30" s="135"/>
      <c r="F30" s="136"/>
      <c r="G30" s="111" t="s">
        <v>123</v>
      </c>
      <c r="H30" s="111">
        <v>10</v>
      </c>
      <c r="I30" s="112">
        <v>1600</v>
      </c>
      <c r="J30" s="99">
        <f t="shared" si="1"/>
        <v>16000</v>
      </c>
      <c r="K30" s="100"/>
      <c r="L30" s="101"/>
      <c r="R30" s="97"/>
    </row>
    <row r="31" spans="1:18" ht="18" customHeight="1">
      <c r="A31" s="5">
        <f t="shared" si="0"/>
        <v>26</v>
      </c>
      <c r="B31" s="132" t="s">
        <v>151</v>
      </c>
      <c r="C31" s="133" t="s">
        <v>151</v>
      </c>
      <c r="D31" s="134"/>
      <c r="E31" s="135"/>
      <c r="F31" s="136"/>
      <c r="G31" s="111" t="s">
        <v>123</v>
      </c>
      <c r="H31" s="111">
        <v>5</v>
      </c>
      <c r="I31" s="112">
        <v>2820</v>
      </c>
      <c r="J31" s="99">
        <f t="shared" si="1"/>
        <v>14100</v>
      </c>
      <c r="K31" s="100"/>
      <c r="L31" s="101"/>
      <c r="R31" s="97"/>
    </row>
    <row r="32" spans="1:18" ht="18" customHeight="1">
      <c r="A32" s="5">
        <f t="shared" si="0"/>
        <v>27</v>
      </c>
      <c r="B32" s="132" t="s">
        <v>152</v>
      </c>
      <c r="C32" s="133" t="s">
        <v>152</v>
      </c>
      <c r="D32" s="134"/>
      <c r="E32" s="135"/>
      <c r="F32" s="136"/>
      <c r="G32" s="111" t="s">
        <v>123</v>
      </c>
      <c r="H32" s="111">
        <v>3</v>
      </c>
      <c r="I32" s="112">
        <v>950</v>
      </c>
      <c r="J32" s="99">
        <f t="shared" si="1"/>
        <v>2850</v>
      </c>
      <c r="K32" s="100"/>
      <c r="L32" s="101"/>
      <c r="R32" s="97"/>
    </row>
    <row r="33" spans="1:18" ht="18" customHeight="1">
      <c r="A33" s="5">
        <f t="shared" si="0"/>
        <v>28</v>
      </c>
      <c r="B33" s="132" t="s">
        <v>153</v>
      </c>
      <c r="C33" s="133" t="s">
        <v>153</v>
      </c>
      <c r="D33" s="134"/>
      <c r="E33" s="135"/>
      <c r="F33" s="136"/>
      <c r="G33" s="111" t="s">
        <v>123</v>
      </c>
      <c r="H33" s="111">
        <v>2</v>
      </c>
      <c r="I33" s="112">
        <v>4320</v>
      </c>
      <c r="J33" s="99">
        <f t="shared" si="1"/>
        <v>8640</v>
      </c>
      <c r="K33" s="100"/>
      <c r="L33" s="101"/>
      <c r="R33" s="97"/>
    </row>
    <row r="34" spans="1:18" ht="18" customHeight="1">
      <c r="A34" s="5">
        <f t="shared" si="0"/>
        <v>29</v>
      </c>
      <c r="B34" s="132" t="s">
        <v>154</v>
      </c>
      <c r="C34" s="133" t="s">
        <v>154</v>
      </c>
      <c r="D34" s="134"/>
      <c r="E34" s="135"/>
      <c r="F34" s="136"/>
      <c r="G34" s="111" t="s">
        <v>123</v>
      </c>
      <c r="H34" s="111">
        <v>36</v>
      </c>
      <c r="I34" s="112">
        <v>370</v>
      </c>
      <c r="J34" s="99">
        <f t="shared" si="1"/>
        <v>13320</v>
      </c>
      <c r="K34" s="100"/>
      <c r="L34" s="101"/>
      <c r="R34" s="97"/>
    </row>
    <row r="35" spans="1:18" ht="18" customHeight="1">
      <c r="A35" s="5">
        <f t="shared" si="0"/>
        <v>30</v>
      </c>
      <c r="B35" s="132" t="s">
        <v>155</v>
      </c>
      <c r="C35" s="133" t="s">
        <v>155</v>
      </c>
      <c r="D35" s="134"/>
      <c r="E35" s="135"/>
      <c r="F35" s="136"/>
      <c r="G35" s="111" t="s">
        <v>123</v>
      </c>
      <c r="H35" s="111">
        <v>4</v>
      </c>
      <c r="I35" s="112">
        <v>3010</v>
      </c>
      <c r="J35" s="99">
        <f t="shared" si="1"/>
        <v>12040</v>
      </c>
      <c r="K35" s="100"/>
      <c r="L35" s="101"/>
      <c r="R35" s="97"/>
    </row>
    <row r="36" spans="1:18" ht="18" customHeight="1">
      <c r="A36" s="5">
        <f t="shared" si="0"/>
        <v>31</v>
      </c>
      <c r="B36" s="132" t="s">
        <v>156</v>
      </c>
      <c r="C36" s="133" t="s">
        <v>156</v>
      </c>
      <c r="D36" s="134"/>
      <c r="E36" s="135"/>
      <c r="F36" s="136"/>
      <c r="G36" s="111" t="s">
        <v>123</v>
      </c>
      <c r="H36" s="111">
        <v>3</v>
      </c>
      <c r="I36" s="112">
        <v>510</v>
      </c>
      <c r="J36" s="99">
        <f t="shared" si="1"/>
        <v>1530</v>
      </c>
      <c r="K36" s="100"/>
      <c r="L36" s="101"/>
      <c r="R36" s="97"/>
    </row>
    <row r="37" spans="1:18" ht="18" customHeight="1">
      <c r="A37" s="5">
        <f t="shared" si="0"/>
        <v>32</v>
      </c>
      <c r="B37" s="132" t="s">
        <v>157</v>
      </c>
      <c r="C37" s="133" t="s">
        <v>157</v>
      </c>
      <c r="D37" s="134"/>
      <c r="E37" s="135"/>
      <c r="F37" s="136"/>
      <c r="G37" s="111" t="s">
        <v>123</v>
      </c>
      <c r="H37" s="111">
        <v>200</v>
      </c>
      <c r="I37" s="112">
        <v>13</v>
      </c>
      <c r="J37" s="99">
        <f t="shared" si="1"/>
        <v>2600</v>
      </c>
      <c r="K37" s="100"/>
      <c r="L37" s="101"/>
      <c r="R37" s="97"/>
    </row>
    <row r="38" spans="1:18" ht="18" customHeight="1">
      <c r="A38" s="5">
        <f t="shared" si="0"/>
        <v>33</v>
      </c>
      <c r="B38" s="132" t="s">
        <v>158</v>
      </c>
      <c r="C38" s="133" t="s">
        <v>158</v>
      </c>
      <c r="D38" s="134"/>
      <c r="E38" s="135"/>
      <c r="F38" s="136"/>
      <c r="G38" s="111" t="s">
        <v>123</v>
      </c>
      <c r="H38" s="111">
        <v>100</v>
      </c>
      <c r="I38" s="112">
        <v>13</v>
      </c>
      <c r="J38" s="99">
        <f t="shared" si="1"/>
        <v>1300</v>
      </c>
      <c r="K38" s="100"/>
      <c r="L38" s="101"/>
      <c r="R38" s="97"/>
    </row>
    <row r="39" spans="1:18" ht="18" customHeight="1">
      <c r="A39" s="5">
        <f t="shared" si="0"/>
        <v>34</v>
      </c>
      <c r="B39" s="132" t="s">
        <v>159</v>
      </c>
      <c r="C39" s="133" t="s">
        <v>159</v>
      </c>
      <c r="D39" s="134"/>
      <c r="E39" s="135"/>
      <c r="F39" s="136"/>
      <c r="G39" s="111" t="s">
        <v>123</v>
      </c>
      <c r="H39" s="111">
        <v>100</v>
      </c>
      <c r="I39" s="112">
        <v>6.5</v>
      </c>
      <c r="J39" s="99">
        <f t="shared" si="1"/>
        <v>650</v>
      </c>
      <c r="K39" s="100"/>
      <c r="L39" s="101"/>
      <c r="R39" s="97"/>
    </row>
    <row r="40" spans="1:18" ht="18" customHeight="1">
      <c r="A40" s="5">
        <f t="shared" si="0"/>
        <v>35</v>
      </c>
      <c r="B40" s="132" t="s">
        <v>160</v>
      </c>
      <c r="C40" s="133" t="s">
        <v>160</v>
      </c>
      <c r="D40" s="134"/>
      <c r="E40" s="135"/>
      <c r="F40" s="136"/>
      <c r="G40" s="111" t="s">
        <v>123</v>
      </c>
      <c r="H40" s="111">
        <v>50</v>
      </c>
      <c r="I40" s="112">
        <v>55</v>
      </c>
      <c r="J40" s="99">
        <f t="shared" si="1"/>
        <v>2750</v>
      </c>
      <c r="K40" s="100"/>
      <c r="L40" s="101"/>
      <c r="R40" s="97"/>
    </row>
    <row r="41" spans="1:18" ht="18" customHeight="1">
      <c r="A41" s="5">
        <f t="shared" si="0"/>
        <v>36</v>
      </c>
      <c r="B41" s="132" t="s">
        <v>161</v>
      </c>
      <c r="C41" s="133" t="s">
        <v>161</v>
      </c>
      <c r="D41" s="134"/>
      <c r="E41" s="135"/>
      <c r="F41" s="136"/>
      <c r="G41" s="111" t="s">
        <v>123</v>
      </c>
      <c r="H41" s="111">
        <v>100</v>
      </c>
      <c r="I41" s="112">
        <v>12</v>
      </c>
      <c r="J41" s="99">
        <f t="shared" si="1"/>
        <v>1200</v>
      </c>
      <c r="K41" s="100"/>
      <c r="L41" s="101"/>
      <c r="R41" s="97"/>
    </row>
    <row r="42" spans="1:18" ht="18" customHeight="1">
      <c r="A42" s="5">
        <f t="shared" si="0"/>
        <v>37</v>
      </c>
      <c r="B42" s="132" t="s">
        <v>162</v>
      </c>
      <c r="C42" s="133" t="s">
        <v>162</v>
      </c>
      <c r="D42" s="134"/>
      <c r="E42" s="135"/>
      <c r="F42" s="136"/>
      <c r="G42" s="111" t="s">
        <v>123</v>
      </c>
      <c r="H42" s="111">
        <v>200</v>
      </c>
      <c r="I42" s="112">
        <v>8</v>
      </c>
      <c r="J42" s="99">
        <f t="shared" si="1"/>
        <v>1600</v>
      </c>
      <c r="K42" s="100"/>
      <c r="L42" s="101"/>
      <c r="R42" s="97"/>
    </row>
    <row r="43" spans="1:18" ht="18" customHeight="1">
      <c r="A43" s="5">
        <f t="shared" si="0"/>
        <v>38</v>
      </c>
      <c r="B43" s="132" t="s">
        <v>163</v>
      </c>
      <c r="C43" s="133" t="s">
        <v>163</v>
      </c>
      <c r="D43" s="134"/>
      <c r="E43" s="135"/>
      <c r="F43" s="136"/>
      <c r="G43" s="111" t="s">
        <v>123</v>
      </c>
      <c r="H43" s="111">
        <v>400</v>
      </c>
      <c r="I43" s="112">
        <v>15</v>
      </c>
      <c r="J43" s="99">
        <f t="shared" si="1"/>
        <v>6000</v>
      </c>
      <c r="K43" s="100"/>
      <c r="L43" s="101"/>
      <c r="R43" s="97"/>
    </row>
    <row r="44" spans="1:18" ht="18" customHeight="1">
      <c r="A44" s="5">
        <f t="shared" si="0"/>
        <v>39</v>
      </c>
      <c r="B44" s="132" t="s">
        <v>164</v>
      </c>
      <c r="C44" s="133" t="s">
        <v>164</v>
      </c>
      <c r="D44" s="134"/>
      <c r="E44" s="135"/>
      <c r="F44" s="136"/>
      <c r="G44" s="111" t="s">
        <v>123</v>
      </c>
      <c r="H44" s="111">
        <v>100</v>
      </c>
      <c r="I44" s="112">
        <v>24.5</v>
      </c>
      <c r="J44" s="99">
        <f t="shared" si="1"/>
        <v>2450</v>
      </c>
      <c r="K44" s="100"/>
      <c r="L44" s="101"/>
      <c r="R44" s="97"/>
    </row>
    <row r="45" spans="1:18" ht="18" customHeight="1">
      <c r="A45" s="5">
        <f t="shared" si="0"/>
        <v>40</v>
      </c>
      <c r="B45" s="132" t="s">
        <v>165</v>
      </c>
      <c r="C45" s="133" t="s">
        <v>165</v>
      </c>
      <c r="D45" s="134"/>
      <c r="E45" s="135"/>
      <c r="F45" s="136"/>
      <c r="G45" s="111" t="s">
        <v>123</v>
      </c>
      <c r="H45" s="111">
        <v>85</v>
      </c>
      <c r="I45" s="112">
        <v>23.5</v>
      </c>
      <c r="J45" s="99">
        <f t="shared" si="1"/>
        <v>1997.5</v>
      </c>
      <c r="K45" s="100"/>
      <c r="L45" s="101"/>
      <c r="R45" s="97"/>
    </row>
    <row r="46" spans="1:18" ht="18" customHeight="1">
      <c r="A46" s="5">
        <f t="shared" si="0"/>
        <v>41</v>
      </c>
      <c r="B46" s="132" t="s">
        <v>166</v>
      </c>
      <c r="C46" s="133" t="s">
        <v>166</v>
      </c>
      <c r="D46" s="134"/>
      <c r="E46" s="135"/>
      <c r="F46" s="136"/>
      <c r="G46" s="111" t="s">
        <v>123</v>
      </c>
      <c r="H46" s="111">
        <v>200</v>
      </c>
      <c r="I46" s="112">
        <v>0.95</v>
      </c>
      <c r="J46" s="99">
        <f t="shared" si="1"/>
        <v>190</v>
      </c>
      <c r="K46" s="100"/>
      <c r="L46" s="101"/>
      <c r="R46" s="97"/>
    </row>
    <row r="47" spans="1:18" ht="18" customHeight="1">
      <c r="A47" s="5">
        <f t="shared" si="0"/>
        <v>42</v>
      </c>
      <c r="B47" s="132" t="s">
        <v>167</v>
      </c>
      <c r="C47" s="133" t="s">
        <v>167</v>
      </c>
      <c r="D47" s="134"/>
      <c r="E47" s="135"/>
      <c r="F47" s="136"/>
      <c r="G47" s="111" t="s">
        <v>123</v>
      </c>
      <c r="H47" s="111">
        <v>200</v>
      </c>
      <c r="I47" s="112">
        <v>0.95</v>
      </c>
      <c r="J47" s="99">
        <f t="shared" si="1"/>
        <v>190</v>
      </c>
      <c r="K47" s="100"/>
      <c r="L47" s="101"/>
      <c r="R47" s="97"/>
    </row>
    <row r="48" spans="1:18" ht="18" customHeight="1">
      <c r="A48" s="5">
        <f t="shared" si="0"/>
        <v>43</v>
      </c>
      <c r="B48" s="132" t="s">
        <v>168</v>
      </c>
      <c r="C48" s="133" t="s">
        <v>168</v>
      </c>
      <c r="D48" s="134"/>
      <c r="E48" s="135"/>
      <c r="F48" s="136"/>
      <c r="G48" s="111" t="s">
        <v>123</v>
      </c>
      <c r="H48" s="111">
        <v>100</v>
      </c>
      <c r="I48" s="112">
        <v>0.95</v>
      </c>
      <c r="J48" s="99">
        <f t="shared" si="1"/>
        <v>95</v>
      </c>
      <c r="K48" s="100"/>
      <c r="L48" s="101"/>
      <c r="R48" s="97"/>
    </row>
    <row r="49" spans="1:19" ht="18" customHeight="1">
      <c r="A49" s="5">
        <f t="shared" si="0"/>
        <v>44</v>
      </c>
      <c r="B49" s="132" t="s">
        <v>169</v>
      </c>
      <c r="C49" s="133" t="s">
        <v>169</v>
      </c>
      <c r="D49" s="134"/>
      <c r="E49" s="135"/>
      <c r="F49" s="136"/>
      <c r="G49" s="111" t="s">
        <v>173</v>
      </c>
      <c r="H49" s="111">
        <v>200</v>
      </c>
      <c r="I49" s="112">
        <v>98.5</v>
      </c>
      <c r="J49" s="99">
        <f t="shared" si="1"/>
        <v>19700</v>
      </c>
      <c r="K49" s="100"/>
      <c r="L49" s="101"/>
      <c r="R49" s="97"/>
    </row>
    <row r="50" spans="1:19" ht="18" customHeight="1">
      <c r="A50" s="5">
        <f t="shared" si="0"/>
        <v>45</v>
      </c>
      <c r="B50" s="132" t="s">
        <v>170</v>
      </c>
      <c r="C50" s="133" t="s">
        <v>170</v>
      </c>
      <c r="D50" s="134"/>
      <c r="E50" s="135"/>
      <c r="F50" s="136"/>
      <c r="G50" s="111" t="s">
        <v>173</v>
      </c>
      <c r="H50" s="111">
        <v>1000</v>
      </c>
      <c r="I50" s="112">
        <v>16</v>
      </c>
      <c r="J50" s="99">
        <f t="shared" si="1"/>
        <v>16000</v>
      </c>
      <c r="K50" s="100"/>
      <c r="L50" s="101"/>
      <c r="R50" s="97"/>
    </row>
    <row r="51" spans="1:19" ht="18" customHeight="1">
      <c r="A51" s="5">
        <f t="shared" si="0"/>
        <v>46</v>
      </c>
      <c r="B51" s="132" t="s">
        <v>171</v>
      </c>
      <c r="C51" s="133" t="s">
        <v>171</v>
      </c>
      <c r="D51" s="134"/>
      <c r="E51" s="135"/>
      <c r="F51" s="136"/>
      <c r="G51" s="111" t="s">
        <v>173</v>
      </c>
      <c r="H51" s="111">
        <v>1000</v>
      </c>
      <c r="I51" s="112">
        <v>15.2</v>
      </c>
      <c r="J51" s="99">
        <f t="shared" si="1"/>
        <v>15200</v>
      </c>
      <c r="K51" s="100"/>
      <c r="L51" s="101"/>
      <c r="R51" s="97"/>
    </row>
    <row r="52" spans="1:19" ht="18" customHeight="1">
      <c r="A52" s="5">
        <f t="shared" si="0"/>
        <v>47</v>
      </c>
      <c r="B52" s="132" t="s">
        <v>172</v>
      </c>
      <c r="C52" s="133" t="s">
        <v>172</v>
      </c>
      <c r="D52" s="134"/>
      <c r="E52" s="135"/>
      <c r="F52" s="136"/>
      <c r="G52" s="111" t="s">
        <v>123</v>
      </c>
      <c r="H52" s="111">
        <v>5</v>
      </c>
      <c r="I52" s="112">
        <v>195</v>
      </c>
      <c r="J52" s="99">
        <f t="shared" si="1"/>
        <v>975</v>
      </c>
      <c r="K52" s="100"/>
      <c r="L52" s="101"/>
      <c r="R52" s="97"/>
    </row>
    <row r="53" spans="1:19" ht="23.25" customHeight="1">
      <c r="A53" s="148" t="s">
        <v>8</v>
      </c>
      <c r="B53" s="149"/>
      <c r="C53" s="102"/>
      <c r="D53" s="108"/>
      <c r="E53" s="108"/>
      <c r="F53" s="108"/>
      <c r="G53" s="109"/>
      <c r="H53" s="109"/>
      <c r="I53" s="110" t="s">
        <v>9</v>
      </c>
      <c r="J53" s="99">
        <f>SUM(J6:J52)</f>
        <v>177781.5</v>
      </c>
      <c r="K53" s="99"/>
      <c r="L53" s="103"/>
    </row>
    <row r="54" spans="1:19" ht="20.100000000000001" customHeight="1">
      <c r="A54" s="6" t="s">
        <v>10</v>
      </c>
      <c r="B54" s="7"/>
      <c r="C54" s="7"/>
      <c r="D54" s="7"/>
      <c r="E54" s="7"/>
      <c r="F54" s="7"/>
      <c r="G54" s="7"/>
      <c r="H54" s="7"/>
      <c r="I54" s="7"/>
      <c r="J54" s="7"/>
      <c r="K54" s="8"/>
      <c r="L54" s="9"/>
    </row>
    <row r="55" spans="1:19" ht="18" customHeight="1">
      <c r="A55" s="10"/>
      <c r="J55" s="1"/>
      <c r="K55" s="1"/>
      <c r="O55" s="11"/>
      <c r="P55" s="11"/>
      <c r="R55" s="150" t="s">
        <v>11</v>
      </c>
      <c r="S55" s="13" t="s">
        <v>12</v>
      </c>
    </row>
    <row r="56" spans="1:19" ht="50.1" customHeight="1">
      <c r="R56" s="151"/>
      <c r="S56" s="15"/>
    </row>
    <row r="57" spans="1:19" ht="17.100000000000001" customHeight="1">
      <c r="O57" s="11"/>
      <c r="P57" s="11"/>
      <c r="R57" s="145"/>
      <c r="S57" s="15" t="s">
        <v>13</v>
      </c>
    </row>
    <row r="58" spans="1:19" ht="15" customHeight="1">
      <c r="O58" s="17" t="s">
        <v>14</v>
      </c>
      <c r="P58" s="144" t="s">
        <v>15</v>
      </c>
    </row>
    <row r="59" spans="1:19" ht="18" customHeight="1">
      <c r="O59" s="18" t="s">
        <v>16</v>
      </c>
      <c r="P59" s="146"/>
      <c r="R59" s="150" t="s">
        <v>17</v>
      </c>
      <c r="S59" s="12" t="s">
        <v>12</v>
      </c>
    </row>
    <row r="60" spans="1:19" ht="50.1" customHeight="1">
      <c r="O60" s="14"/>
      <c r="P60" s="14"/>
      <c r="R60" s="151"/>
      <c r="S60" s="19"/>
    </row>
    <row r="61" spans="1:19" ht="17.100000000000001" customHeight="1">
      <c r="O61" s="16" t="s">
        <v>13</v>
      </c>
      <c r="P61" s="16" t="s">
        <v>13</v>
      </c>
      <c r="R61" s="145"/>
      <c r="S61" s="15" t="s">
        <v>13</v>
      </c>
    </row>
    <row r="62" spans="1:19" ht="9.9499999999999993" customHeight="1"/>
    <row r="63" spans="1:19" ht="19.899999999999999" customHeight="1"/>
    <row r="64" spans="1:19" ht="17.45" customHeight="1">
      <c r="O64" s="147"/>
      <c r="P64" s="147"/>
    </row>
    <row r="65" spans="15:16" ht="19.899999999999999" customHeight="1">
      <c r="O65" s="147"/>
      <c r="P65" s="147"/>
    </row>
    <row r="66" spans="15:16" ht="14.25">
      <c r="O66" s="11"/>
      <c r="P66" s="11"/>
    </row>
    <row r="67" spans="15:16" ht="65.099999999999994" customHeight="1"/>
    <row r="68" spans="15:16" ht="14.25">
      <c r="O68" s="11"/>
      <c r="P68" s="11"/>
    </row>
    <row r="69" spans="15:16" ht="19.899999999999999" customHeight="1"/>
    <row r="70" spans="15:16" ht="14.25"/>
    <row r="71" spans="15:16" ht="19.899999999999999" customHeight="1"/>
    <row r="72" spans="15:16" ht="14.25"/>
    <row r="73" spans="15:16" ht="19.899999999999999" customHeight="1"/>
    <row r="74" spans="15:16" ht="19.899999999999999" customHeight="1"/>
    <row r="75" spans="15:16" ht="64.900000000000006" customHeight="1"/>
    <row r="77" spans="15:16" ht="19.899999999999999" customHeight="1"/>
    <row r="78" spans="15:16" ht="19.899999999999999" customHeight="1"/>
    <row r="79" spans="15:16" ht="64.900000000000006" customHeight="1"/>
    <row r="83" spans="15:19" ht="21" customHeight="1">
      <c r="O83" s="144" t="s">
        <v>18</v>
      </c>
      <c r="P83" s="144" t="s">
        <v>18</v>
      </c>
      <c r="S83" s="144" t="s">
        <v>12</v>
      </c>
    </row>
    <row r="84" spans="15:19" ht="21" customHeight="1">
      <c r="O84" s="146"/>
      <c r="P84" s="146"/>
      <c r="S84" s="145"/>
    </row>
    <row r="85" spans="15:19" ht="64.900000000000006" customHeight="1">
      <c r="O85" s="14"/>
      <c r="P85" s="14"/>
      <c r="S85" s="15"/>
    </row>
    <row r="86" spans="15:19" ht="7.15" customHeight="1"/>
    <row r="87" spans="15:19" ht="21" customHeight="1">
      <c r="O87" s="144" t="s">
        <v>18</v>
      </c>
      <c r="P87" s="144" t="s">
        <v>18</v>
      </c>
      <c r="S87" s="144" t="s">
        <v>19</v>
      </c>
    </row>
    <row r="88" spans="15:19" ht="21" customHeight="1">
      <c r="O88" s="146"/>
      <c r="P88" s="146"/>
      <c r="S88" s="145"/>
    </row>
    <row r="89" spans="15:19" ht="64.900000000000006" customHeight="1">
      <c r="O89" s="14"/>
      <c r="P89" s="14"/>
      <c r="S89" s="14"/>
    </row>
  </sheetData>
  <mergeCells count="118">
    <mergeCell ref="B52:C52"/>
    <mergeCell ref="D52:F52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19:C19"/>
    <mergeCell ref="D19:F19"/>
    <mergeCell ref="B20:C20"/>
    <mergeCell ref="D20:F20"/>
    <mergeCell ref="B21:C21"/>
    <mergeCell ref="D21:F21"/>
    <mergeCell ref="B16:C16"/>
    <mergeCell ref="D16:F16"/>
    <mergeCell ref="B17:C17"/>
    <mergeCell ref="D17:F17"/>
    <mergeCell ref="B18:C18"/>
    <mergeCell ref="D18:F18"/>
    <mergeCell ref="S83:S84"/>
    <mergeCell ref="O87:O88"/>
    <mergeCell ref="P87:P88"/>
    <mergeCell ref="S87:S88"/>
    <mergeCell ref="O64:O65"/>
    <mergeCell ref="P64:P65"/>
    <mergeCell ref="O83:O84"/>
    <mergeCell ref="P83:P84"/>
    <mergeCell ref="A53:B53"/>
    <mergeCell ref="R55:R57"/>
    <mergeCell ref="P58:P59"/>
    <mergeCell ref="R59:R61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37" t="str">
        <f>+MRS!J1</f>
        <v>DAESHIN PLANT</v>
      </c>
      <c r="K1" s="139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40" t="str">
        <f>+MRS!J2</f>
        <v>Subcontract name (SAC2-SC-IK-SMP-01)</v>
      </c>
      <c r="K2" s="142"/>
    </row>
    <row r="3" spans="1:18" ht="24.95" customHeight="1">
      <c r="A3" s="3" t="str">
        <f>+MRS!A3</f>
        <v xml:space="preserve">  MRS No : SAC2-DS-MRS-0226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46068</v>
      </c>
    </row>
    <row r="4" spans="1:18" ht="15.95" customHeight="1">
      <c r="A4" s="157" t="s">
        <v>2</v>
      </c>
      <c r="B4" s="158" t="s">
        <v>20</v>
      </c>
      <c r="C4" s="158"/>
      <c r="D4" s="157" t="s">
        <v>4</v>
      </c>
      <c r="E4" s="157"/>
      <c r="F4" s="157"/>
      <c r="G4" s="158" t="s">
        <v>5</v>
      </c>
      <c r="H4" s="157" t="s">
        <v>88</v>
      </c>
      <c r="I4" s="157" t="s">
        <v>21</v>
      </c>
      <c r="J4" s="157" t="s">
        <v>22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105" customHeight="1">
      <c r="A6" s="21">
        <f>+MRS!A6</f>
        <v>1</v>
      </c>
      <c r="B6" s="152" t="str">
        <f>MRS!B6</f>
        <v>Alumina Gas Lens Nozzle #6 (54N16)</v>
      </c>
      <c r="C6" s="153"/>
      <c r="D6" s="154">
        <f>MRS!D6</f>
        <v>0</v>
      </c>
      <c r="E6" s="155"/>
      <c r="F6" s="156"/>
      <c r="G6" s="94" t="str">
        <f>MRS!G6</f>
        <v>Nos</v>
      </c>
      <c r="H6" s="94">
        <f>MRS!H6</f>
        <v>50</v>
      </c>
      <c r="I6" s="95">
        <f>MRS!I6</f>
        <v>14</v>
      </c>
      <c r="J6" s="95">
        <f>MRS!J6</f>
        <v>700</v>
      </c>
      <c r="K6" s="96"/>
      <c r="O6" s="97"/>
      <c r="P6" s="97"/>
      <c r="R6" s="97"/>
    </row>
    <row r="7" spans="1:18" ht="105" customHeight="1">
      <c r="A7" s="21">
        <f>+MRS!A7</f>
        <v>2</v>
      </c>
      <c r="B7" s="152" t="str">
        <f>MRS!B7</f>
        <v>Alumina Gas Lens Nozzle #8 (54N14)</v>
      </c>
      <c r="C7" s="153"/>
      <c r="D7" s="154">
        <f>MRS!D7</f>
        <v>0</v>
      </c>
      <c r="E7" s="155"/>
      <c r="F7" s="156"/>
      <c r="G7" s="94" t="str">
        <f>MRS!G7</f>
        <v>Nos</v>
      </c>
      <c r="H7" s="94">
        <f>MRS!H7</f>
        <v>50</v>
      </c>
      <c r="I7" s="95">
        <f>MRS!I7</f>
        <v>14</v>
      </c>
      <c r="J7" s="95">
        <f>MRS!J7</f>
        <v>700</v>
      </c>
      <c r="K7" s="96"/>
      <c r="O7" s="97"/>
      <c r="P7" s="97"/>
      <c r="R7" s="97"/>
    </row>
    <row r="8" spans="1:18" ht="105" customHeight="1">
      <c r="A8" s="21">
        <f>+MRS!A8</f>
        <v>3</v>
      </c>
      <c r="B8" s="152" t="str">
        <f>MRS!B8</f>
        <v>Alumina Gas Lens Nozzle #10 5/8" (54N19)</v>
      </c>
      <c r="C8" s="153"/>
      <c r="D8" s="154">
        <f>MRS!D8</f>
        <v>0</v>
      </c>
      <c r="E8" s="155"/>
      <c r="F8" s="156"/>
      <c r="G8" s="94" t="str">
        <f>MRS!G8</f>
        <v>Nos</v>
      </c>
      <c r="H8" s="94">
        <f>MRS!H8</f>
        <v>100</v>
      </c>
      <c r="I8" s="95">
        <f>MRS!I8</f>
        <v>7</v>
      </c>
      <c r="J8" s="95">
        <f>MRS!J8</f>
        <v>700</v>
      </c>
      <c r="K8" s="96"/>
      <c r="O8" s="97"/>
      <c r="P8" s="97"/>
      <c r="R8" s="97"/>
    </row>
    <row r="9" spans="1:18" ht="105" customHeight="1">
      <c r="A9" s="21">
        <f>+MRS!A9</f>
        <v>4</v>
      </c>
      <c r="B9" s="152" t="str">
        <f>MRS!B9</f>
        <v>Angle Grinder 4" 220V with Paddle Switch Dewalt</v>
      </c>
      <c r="C9" s="153"/>
      <c r="D9" s="154">
        <f>MRS!D9</f>
        <v>0</v>
      </c>
      <c r="E9" s="155"/>
      <c r="F9" s="156"/>
      <c r="G9" s="94" t="str">
        <f>MRS!G9</f>
        <v>Nos</v>
      </c>
      <c r="H9" s="94">
        <f>MRS!H9</f>
        <v>2</v>
      </c>
      <c r="I9" s="95">
        <f>MRS!I9</f>
        <v>340</v>
      </c>
      <c r="J9" s="95">
        <f>MRS!J9</f>
        <v>680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2" t="str">
        <f>MRS!B10</f>
        <v>Angle Grinder 7" 220V with Paddle Switch Dewalt DWE493-B5</v>
      </c>
      <c r="C10" s="153"/>
      <c r="D10" s="154">
        <f>MRS!D10</f>
        <v>0</v>
      </c>
      <c r="E10" s="155"/>
      <c r="F10" s="156"/>
      <c r="G10" s="94" t="str">
        <f>MRS!G10</f>
        <v>Nos</v>
      </c>
      <c r="H10" s="94">
        <f>MRS!H10</f>
        <v>1</v>
      </c>
      <c r="I10" s="95">
        <f>MRS!I10</f>
        <v>560</v>
      </c>
      <c r="J10" s="95">
        <f>MRS!J10</f>
        <v>560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2" t="str">
        <f>MRS!B11</f>
        <v>Argon Hose Nut/Nipple Brass</v>
      </c>
      <c r="C11" s="153"/>
      <c r="D11" s="154">
        <f>MRS!D11</f>
        <v>0</v>
      </c>
      <c r="E11" s="155"/>
      <c r="F11" s="156"/>
      <c r="G11" s="94" t="str">
        <f>MRS!G11</f>
        <v>Nos</v>
      </c>
      <c r="H11" s="94">
        <f>MRS!H11</f>
        <v>40</v>
      </c>
      <c r="I11" s="95">
        <f>MRS!I11</f>
        <v>10.5</v>
      </c>
      <c r="J11" s="95">
        <f>MRS!J11</f>
        <v>420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2" t="str">
        <f>MRS!B12</f>
        <v>Argon Regulator Set UL Listed</v>
      </c>
      <c r="C12" s="153"/>
      <c r="D12" s="154">
        <f>MRS!D12</f>
        <v>0</v>
      </c>
      <c r="E12" s="155"/>
      <c r="F12" s="156"/>
      <c r="G12" s="94" t="str">
        <f>MRS!G12</f>
        <v>Nos</v>
      </c>
      <c r="H12" s="94">
        <f>MRS!H12</f>
        <v>50</v>
      </c>
      <c r="I12" s="95">
        <f>MRS!I12</f>
        <v>158</v>
      </c>
      <c r="J12" s="95">
        <f>MRS!J12</f>
        <v>7900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2" t="str">
        <f>MRS!B13</f>
        <v>Brass Hose Barb 3/8"x1/2" NPT</v>
      </c>
      <c r="C13" s="153"/>
      <c r="D13" s="154">
        <f>MRS!D13</f>
        <v>0</v>
      </c>
      <c r="E13" s="155"/>
      <c r="F13" s="156"/>
      <c r="G13" s="94" t="str">
        <f>MRS!G13</f>
        <v>Nos</v>
      </c>
      <c r="H13" s="94">
        <f>MRS!H13</f>
        <v>40</v>
      </c>
      <c r="I13" s="95">
        <f>MRS!I13</f>
        <v>11</v>
      </c>
      <c r="J13" s="95">
        <f>MRS!J13</f>
        <v>440</v>
      </c>
      <c r="K13" s="96"/>
      <c r="O13" s="97"/>
      <c r="P13" s="97"/>
      <c r="R13" s="97"/>
    </row>
    <row r="14" spans="1:18" ht="105" customHeight="1">
      <c r="A14" s="21">
        <f>+MRS!A14</f>
        <v>9</v>
      </c>
      <c r="B14" s="152" t="str">
        <f>MRS!B14</f>
        <v>Ceramic Nozzle 350A #5</v>
      </c>
      <c r="C14" s="153"/>
      <c r="D14" s="154">
        <f>MRS!D14</f>
        <v>0</v>
      </c>
      <c r="E14" s="155"/>
      <c r="F14" s="156"/>
      <c r="G14" s="94" t="str">
        <f>MRS!G14</f>
        <v>Nos</v>
      </c>
      <c r="H14" s="94">
        <f>MRS!H14</f>
        <v>150</v>
      </c>
      <c r="I14" s="95">
        <f>MRS!I14</f>
        <v>12</v>
      </c>
      <c r="J14" s="95">
        <f>MRS!J14</f>
        <v>1800</v>
      </c>
      <c r="K14" s="96"/>
      <c r="O14" s="97"/>
      <c r="P14" s="97"/>
      <c r="R14" s="97"/>
    </row>
    <row r="15" spans="1:18" ht="105" customHeight="1">
      <c r="A15" s="21">
        <f>+MRS!A15</f>
        <v>10</v>
      </c>
      <c r="B15" s="152" t="str">
        <f>MRS!B15</f>
        <v>Ceramic Nozzle 350A #6</v>
      </c>
      <c r="C15" s="153"/>
      <c r="D15" s="154">
        <f>MRS!D15</f>
        <v>0</v>
      </c>
      <c r="E15" s="155"/>
      <c r="F15" s="156"/>
      <c r="G15" s="94" t="str">
        <f>MRS!G15</f>
        <v>Nos</v>
      </c>
      <c r="H15" s="94">
        <f>MRS!H15</f>
        <v>400</v>
      </c>
      <c r="I15" s="95">
        <f>MRS!I15</f>
        <v>12</v>
      </c>
      <c r="J15" s="95">
        <f>MRS!J15</f>
        <v>4800</v>
      </c>
      <c r="K15" s="96"/>
      <c r="O15" s="97"/>
      <c r="P15" s="97"/>
      <c r="R15" s="97"/>
    </row>
    <row r="16" spans="1:18" ht="105" customHeight="1">
      <c r="A16" s="21"/>
      <c r="B16" s="152"/>
      <c r="C16" s="153"/>
      <c r="D16" s="154"/>
      <c r="E16" s="155"/>
      <c r="F16" s="156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2"/>
      <c r="C17" s="153"/>
      <c r="D17" s="154"/>
      <c r="E17" s="155"/>
      <c r="F17" s="156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2"/>
      <c r="C18" s="153"/>
      <c r="D18" s="154"/>
      <c r="E18" s="155"/>
      <c r="F18" s="156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2"/>
      <c r="C19" s="153"/>
      <c r="D19" s="154"/>
      <c r="E19" s="155"/>
      <c r="F19" s="156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2"/>
      <c r="C20" s="153"/>
      <c r="D20" s="154"/>
      <c r="E20" s="155"/>
      <c r="F20" s="156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2"/>
      <c r="C21" s="153"/>
      <c r="D21" s="154"/>
      <c r="E21" s="155"/>
      <c r="F21" s="156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29" sqref="F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60">
        <f>MRS!L3</f>
        <v>46068</v>
      </c>
      <c r="L10" s="161"/>
      <c r="M10" s="161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62" t="str">
        <f>SUBSTITUTE(SUBSTITUTE(+MRS!A3,"  MRS No : ",""),"-MRS","-PO")</f>
        <v>SAC2-DS-PO-0226</v>
      </c>
      <c r="L11" s="162"/>
      <c r="M11" s="162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4" t="s">
        <v>108</v>
      </c>
      <c r="J14" s="38" t="s">
        <v>36</v>
      </c>
      <c r="K14" s="38" t="s">
        <v>174</v>
      </c>
    </row>
    <row r="15" spans="2:13" s="38" customFormat="1">
      <c r="B15" s="69"/>
      <c r="C15" s="72" t="s">
        <v>104</v>
      </c>
      <c r="J15" s="38" t="s">
        <v>37</v>
      </c>
      <c r="K15" s="75">
        <v>46065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3" t="s">
        <v>38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</row>
    <row r="19" spans="2:13" ht="12" customHeight="1"/>
    <row r="20" spans="2:13" s="31" customFormat="1" ht="12" customHeight="1">
      <c r="B20" s="164" t="s">
        <v>39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</row>
    <row r="21" spans="2:13" s="31" customFormat="1" ht="12" customHeight="1">
      <c r="B21" s="164" t="s">
        <v>40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</row>
    <row r="22" spans="2:13" s="31" customFormat="1" ht="12" customHeight="1">
      <c r="B22" s="164" t="s">
        <v>41</v>
      </c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</row>
    <row r="23" spans="2:13" ht="3.75" customHeight="1"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2:13" ht="6.95" customHeight="1"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175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9">
        <f>'PO 2nd page'!G53</f>
        <v>177781.5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9">
        <f>'PO 2nd page'!G54</f>
        <v>26667.224999999999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9">
        <f>'PO 2nd page'!G55</f>
        <v>204448.72500000001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110</v>
      </c>
    </row>
    <row r="54" spans="2:16" ht="12" customHeight="1">
      <c r="B54" s="81" t="s">
        <v>62</v>
      </c>
      <c r="C54" s="115" t="s">
        <v>116</v>
      </c>
      <c r="F54" s="26" t="s">
        <v>111</v>
      </c>
    </row>
    <row r="55" spans="2:16" ht="12" customHeight="1">
      <c r="B55" s="81" t="s">
        <v>62</v>
      </c>
      <c r="C55" s="115" t="s">
        <v>117</v>
      </c>
      <c r="F55" s="116" t="s">
        <v>112</v>
      </c>
    </row>
    <row r="56" spans="2:16" ht="12" customHeight="1">
      <c r="B56" s="81" t="s">
        <v>62</v>
      </c>
      <c r="C56" s="115" t="s">
        <v>118</v>
      </c>
      <c r="F56" s="26" t="s">
        <v>124</v>
      </c>
    </row>
    <row r="57" spans="2:16" ht="12" customHeight="1">
      <c r="B57" s="81" t="s">
        <v>62</v>
      </c>
      <c r="C57" s="115" t="s">
        <v>119</v>
      </c>
      <c r="F57" s="26" t="s">
        <v>113</v>
      </c>
    </row>
    <row r="58" spans="2:16" ht="12" customHeight="1">
      <c r="B58" s="81" t="s">
        <v>62</v>
      </c>
      <c r="C58" s="115" t="s">
        <v>120</v>
      </c>
      <c r="F58" s="26" t="s">
        <v>114</v>
      </c>
    </row>
    <row r="59" spans="2:16" ht="12" customHeight="1">
      <c r="B59" s="81" t="s">
        <v>62</v>
      </c>
      <c r="C59" s="115" t="s">
        <v>121</v>
      </c>
      <c r="F59" s="26" t="s">
        <v>115</v>
      </c>
    </row>
    <row r="60" spans="2:16" ht="12" customHeight="1">
      <c r="B60" s="81"/>
      <c r="C60" s="115" t="s">
        <v>122</v>
      </c>
    </row>
    <row r="61" spans="2:16" ht="6.75" customHeight="1">
      <c r="B61" s="81"/>
      <c r="C61" s="115"/>
    </row>
    <row r="62" spans="2:16" ht="6" customHeight="1">
      <c r="B62" s="117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67" t="str">
        <f>C9</f>
        <v>JSAJ(Jassim Saif Amer Aljaberi Trading Est.)</v>
      </c>
      <c r="K70" s="167"/>
      <c r="L70" s="167"/>
      <c r="M70" s="167"/>
    </row>
    <row r="71" spans="1:13" ht="27.95" customHeight="1">
      <c r="A71" s="159" t="s">
        <v>72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3"/>
  <sheetViews>
    <sheetView showGridLines="0" view="pageBreakPreview" zoomScaleSheetLayoutView="100" zoomScalePageLayoutView="55" workbookViewId="0">
      <selection activeCell="B21" sqref="B21:C21"/>
    </sheetView>
  </sheetViews>
  <sheetFormatPr defaultColWidth="9" defaultRowHeight="12.75"/>
  <cols>
    <col min="1" max="1" width="8.5703125" style="42" customWidth="1"/>
    <col min="2" max="2" width="36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SAC2-DS-PO-0226</v>
      </c>
      <c r="C2" s="170" t="s">
        <v>74</v>
      </c>
      <c r="D2" s="170"/>
      <c r="E2" s="170"/>
      <c r="F2" s="170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46068</v>
      </c>
      <c r="C3" s="48"/>
      <c r="D3" s="49"/>
      <c r="E3" s="171" t="s">
        <v>76</v>
      </c>
      <c r="F3" s="171"/>
      <c r="G3" s="171"/>
      <c r="H3" s="171"/>
      <c r="I3" s="50"/>
    </row>
    <row r="4" spans="1:13" s="52" customFormat="1" ht="28.5" customHeight="1" thickTop="1">
      <c r="A4" s="172" t="s">
        <v>77</v>
      </c>
      <c r="B4" s="174" t="s">
        <v>78</v>
      </c>
      <c r="C4" s="175"/>
      <c r="D4" s="178" t="s">
        <v>79</v>
      </c>
      <c r="E4" s="178" t="s">
        <v>80</v>
      </c>
      <c r="F4" s="180" t="str">
        <f>'PO 1st page'!C9</f>
        <v>JSAJ(Jassim Saif Amer Aljaberi Trading Est.)</v>
      </c>
      <c r="G4" s="181"/>
      <c r="H4" s="182" t="s">
        <v>81</v>
      </c>
      <c r="K4" s="53"/>
      <c r="L4" s="53"/>
      <c r="M4" s="53"/>
    </row>
    <row r="5" spans="1:13" s="52" customFormat="1" ht="21.95" customHeight="1">
      <c r="A5" s="173"/>
      <c r="B5" s="176"/>
      <c r="C5" s="177"/>
      <c r="D5" s="179"/>
      <c r="E5" s="179"/>
      <c r="F5" s="54" t="s">
        <v>82</v>
      </c>
      <c r="G5" s="54" t="s">
        <v>48</v>
      </c>
      <c r="H5" s="183"/>
      <c r="K5" s="53"/>
      <c r="L5" s="53"/>
      <c r="M5" s="53"/>
    </row>
    <row r="6" spans="1:13" s="52" customFormat="1" ht="19.5" customHeight="1">
      <c r="A6" s="82">
        <f t="shared" ref="A6:A52" si="0">ROW(A1)</f>
        <v>1</v>
      </c>
      <c r="B6" s="168" t="str">
        <f>MRS!B6&amp;" "&amp;MRS!D6</f>
        <v xml:space="preserve">Alumina Gas Lens Nozzle #6 (54N16) </v>
      </c>
      <c r="C6" s="169"/>
      <c r="D6" s="83" t="str">
        <f>MRS!G6</f>
        <v>Nos</v>
      </c>
      <c r="E6" s="84">
        <f>MRS!H6</f>
        <v>50</v>
      </c>
      <c r="F6" s="85">
        <f>MRS!I6</f>
        <v>14</v>
      </c>
      <c r="G6" s="85">
        <f>MRS!J6</f>
        <v>700</v>
      </c>
      <c r="H6" s="86" t="s">
        <v>106</v>
      </c>
      <c r="K6" s="87"/>
      <c r="L6" s="88"/>
      <c r="M6" s="53"/>
    </row>
    <row r="7" spans="1:13" s="52" customFormat="1" ht="19.5" customHeight="1">
      <c r="A7" s="82">
        <f t="shared" si="0"/>
        <v>2</v>
      </c>
      <c r="B7" s="168" t="str">
        <f>MRS!B7&amp;" "&amp;MRS!D7</f>
        <v xml:space="preserve">Alumina Gas Lens Nozzle #8 (54N14) </v>
      </c>
      <c r="C7" s="169"/>
      <c r="D7" s="83" t="str">
        <f>MRS!G7</f>
        <v>Nos</v>
      </c>
      <c r="E7" s="84">
        <f>MRS!H7</f>
        <v>50</v>
      </c>
      <c r="F7" s="85">
        <f>MRS!I7</f>
        <v>14</v>
      </c>
      <c r="G7" s="85">
        <f>MRS!J7</f>
        <v>700</v>
      </c>
      <c r="H7" s="86"/>
      <c r="K7" s="87"/>
      <c r="L7" s="88"/>
      <c r="M7" s="53"/>
    </row>
    <row r="8" spans="1:13" s="52" customFormat="1" ht="19.5" customHeight="1">
      <c r="A8" s="89">
        <f t="shared" si="0"/>
        <v>3</v>
      </c>
      <c r="B8" s="168" t="str">
        <f>MRS!B8&amp;" "&amp;MRS!D8</f>
        <v xml:space="preserve">Alumina Gas Lens Nozzle #10 5/8" (54N19) </v>
      </c>
      <c r="C8" s="169"/>
      <c r="D8" s="83" t="str">
        <f>MRS!G8</f>
        <v>Nos</v>
      </c>
      <c r="E8" s="84">
        <f>MRS!H8</f>
        <v>100</v>
      </c>
      <c r="F8" s="85">
        <f>MRS!I8</f>
        <v>7</v>
      </c>
      <c r="G8" s="85">
        <f>MRS!J8</f>
        <v>700</v>
      </c>
      <c r="H8" s="86"/>
      <c r="K8" s="53"/>
      <c r="L8" s="53"/>
      <c r="M8" s="53"/>
    </row>
    <row r="9" spans="1:13" s="52" customFormat="1" ht="19.5" customHeight="1">
      <c r="A9" s="89">
        <f t="shared" si="0"/>
        <v>4</v>
      </c>
      <c r="B9" s="168" t="str">
        <f>MRS!B9&amp;" "&amp;MRS!D9</f>
        <v xml:space="preserve">Angle Grinder 4" 220V with Paddle Switch Dewalt </v>
      </c>
      <c r="C9" s="169"/>
      <c r="D9" s="83" t="str">
        <f>MRS!G9</f>
        <v>Nos</v>
      </c>
      <c r="E9" s="84">
        <f>MRS!H9</f>
        <v>2</v>
      </c>
      <c r="F9" s="85">
        <f>MRS!I9</f>
        <v>340</v>
      </c>
      <c r="G9" s="85">
        <f>MRS!J9</f>
        <v>680</v>
      </c>
      <c r="H9" s="90"/>
    </row>
    <row r="10" spans="1:13" s="52" customFormat="1" ht="19.5" customHeight="1">
      <c r="A10" s="89">
        <f t="shared" si="0"/>
        <v>5</v>
      </c>
      <c r="B10" s="168" t="str">
        <f>MRS!B10&amp;" "&amp;MRS!D10</f>
        <v xml:space="preserve">Angle Grinder 7" 220V with Paddle Switch Dewalt DWE493-B5 </v>
      </c>
      <c r="C10" s="169"/>
      <c r="D10" s="83" t="str">
        <f>MRS!G10</f>
        <v>Nos</v>
      </c>
      <c r="E10" s="84">
        <f>MRS!H10</f>
        <v>1</v>
      </c>
      <c r="F10" s="85">
        <f>MRS!I10</f>
        <v>560</v>
      </c>
      <c r="G10" s="85">
        <f>MRS!J10</f>
        <v>560</v>
      </c>
      <c r="H10" s="90"/>
    </row>
    <row r="11" spans="1:13" s="52" customFormat="1" ht="19.5" customHeight="1">
      <c r="A11" s="89">
        <f t="shared" si="0"/>
        <v>6</v>
      </c>
      <c r="B11" s="168" t="str">
        <f>MRS!B11&amp;" "&amp;MRS!D11</f>
        <v xml:space="preserve">Argon Hose Nut/Nipple Brass </v>
      </c>
      <c r="C11" s="169"/>
      <c r="D11" s="83" t="str">
        <f>MRS!G11</f>
        <v>Nos</v>
      </c>
      <c r="E11" s="84">
        <f>MRS!H11</f>
        <v>40</v>
      </c>
      <c r="F11" s="85">
        <f>MRS!I11</f>
        <v>10.5</v>
      </c>
      <c r="G11" s="85">
        <f>MRS!J11</f>
        <v>420</v>
      </c>
      <c r="H11" s="90"/>
    </row>
    <row r="12" spans="1:13" s="52" customFormat="1" ht="19.5" customHeight="1">
      <c r="A12" s="89">
        <f t="shared" si="0"/>
        <v>7</v>
      </c>
      <c r="B12" s="168" t="str">
        <f>MRS!B12&amp;" "&amp;MRS!D12</f>
        <v xml:space="preserve">Argon Regulator Set UL Listed </v>
      </c>
      <c r="C12" s="169"/>
      <c r="D12" s="83" t="str">
        <f>MRS!G12</f>
        <v>Nos</v>
      </c>
      <c r="E12" s="84">
        <f>MRS!H12</f>
        <v>50</v>
      </c>
      <c r="F12" s="85">
        <f>MRS!I12</f>
        <v>158</v>
      </c>
      <c r="G12" s="85">
        <f>MRS!J12</f>
        <v>7900</v>
      </c>
      <c r="H12" s="90"/>
    </row>
    <row r="13" spans="1:13" s="52" customFormat="1" ht="19.5" customHeight="1">
      <c r="A13" s="89">
        <f t="shared" si="0"/>
        <v>8</v>
      </c>
      <c r="B13" s="168" t="str">
        <f>MRS!B13&amp;" "&amp;MRS!D13</f>
        <v xml:space="preserve">Brass Hose Barb 3/8"x1/2" NPT </v>
      </c>
      <c r="C13" s="169"/>
      <c r="D13" s="83" t="str">
        <f>MRS!G13</f>
        <v>Nos</v>
      </c>
      <c r="E13" s="84">
        <f>MRS!H13</f>
        <v>40</v>
      </c>
      <c r="F13" s="85">
        <f>MRS!I13</f>
        <v>11</v>
      </c>
      <c r="G13" s="85">
        <f>MRS!J13</f>
        <v>440</v>
      </c>
      <c r="H13" s="90"/>
    </row>
    <row r="14" spans="1:13" s="52" customFormat="1" ht="19.5" customHeight="1">
      <c r="A14" s="89">
        <f t="shared" si="0"/>
        <v>9</v>
      </c>
      <c r="B14" s="168" t="str">
        <f>MRS!B14&amp;" "&amp;MRS!D14</f>
        <v xml:space="preserve">Ceramic Nozzle 350A #5 </v>
      </c>
      <c r="C14" s="169"/>
      <c r="D14" s="83" t="str">
        <f>MRS!G14</f>
        <v>Nos</v>
      </c>
      <c r="E14" s="84">
        <f>MRS!H14</f>
        <v>150</v>
      </c>
      <c r="F14" s="85">
        <f>MRS!I14</f>
        <v>12</v>
      </c>
      <c r="G14" s="85">
        <f>MRS!J14</f>
        <v>1800</v>
      </c>
      <c r="H14" s="90"/>
    </row>
    <row r="15" spans="1:13" s="52" customFormat="1" ht="19.5" customHeight="1">
      <c r="A15" s="89">
        <f t="shared" si="0"/>
        <v>10</v>
      </c>
      <c r="B15" s="168" t="str">
        <f>MRS!B15&amp;" "&amp;MRS!D15</f>
        <v xml:space="preserve">Ceramic Nozzle 350A #6 </v>
      </c>
      <c r="C15" s="169"/>
      <c r="D15" s="83" t="str">
        <f>MRS!G15</f>
        <v>Nos</v>
      </c>
      <c r="E15" s="84">
        <f>MRS!H15</f>
        <v>400</v>
      </c>
      <c r="F15" s="85">
        <f>MRS!I15</f>
        <v>12</v>
      </c>
      <c r="G15" s="85">
        <f>MRS!J15</f>
        <v>4800</v>
      </c>
      <c r="H15" s="90"/>
    </row>
    <row r="16" spans="1:13" s="52" customFormat="1" ht="19.5" customHeight="1">
      <c r="A16" s="89">
        <f t="shared" si="0"/>
        <v>11</v>
      </c>
      <c r="B16" s="168" t="str">
        <f>MRS!B16&amp;" "&amp;MRS!D16</f>
        <v xml:space="preserve">Ceramic Nozzle 350A #7 </v>
      </c>
      <c r="C16" s="169"/>
      <c r="D16" s="83" t="str">
        <f>MRS!G16</f>
        <v>Nos</v>
      </c>
      <c r="E16" s="84">
        <f>MRS!H16</f>
        <v>250</v>
      </c>
      <c r="F16" s="85">
        <f>MRS!I16</f>
        <v>12</v>
      </c>
      <c r="G16" s="85">
        <f>MRS!J16</f>
        <v>3000</v>
      </c>
      <c r="H16" s="90"/>
    </row>
    <row r="17" spans="1:8" s="52" customFormat="1" ht="19.5" customHeight="1">
      <c r="A17" s="89">
        <f t="shared" si="0"/>
        <v>12</v>
      </c>
      <c r="B17" s="168" t="str">
        <f>MRS!B17&amp;" "&amp;MRS!D17</f>
        <v xml:space="preserve">Ceramic Nozzle 350A #8 </v>
      </c>
      <c r="C17" s="169"/>
      <c r="D17" s="83" t="str">
        <f>MRS!G17</f>
        <v>Nos</v>
      </c>
      <c r="E17" s="84">
        <f>MRS!H17</f>
        <v>150</v>
      </c>
      <c r="F17" s="85">
        <f>MRS!I17</f>
        <v>12</v>
      </c>
      <c r="G17" s="85">
        <f>MRS!J17</f>
        <v>1800</v>
      </c>
      <c r="H17" s="90"/>
    </row>
    <row r="18" spans="1:8" s="52" customFormat="1" ht="19.5" customHeight="1">
      <c r="A18" s="89">
        <f t="shared" si="0"/>
        <v>13</v>
      </c>
      <c r="B18" s="168" t="str">
        <f>MRS!B18&amp;" "&amp;MRS!D18</f>
        <v xml:space="preserve">Collet Pin 2.4mm </v>
      </c>
      <c r="C18" s="169"/>
      <c r="D18" s="83" t="str">
        <f>MRS!G18</f>
        <v>Nos</v>
      </c>
      <c r="E18" s="84">
        <f>MRS!H18</f>
        <v>300</v>
      </c>
      <c r="F18" s="85">
        <f>MRS!I18</f>
        <v>2.5</v>
      </c>
      <c r="G18" s="85">
        <f>MRS!J18</f>
        <v>750</v>
      </c>
      <c r="H18" s="90"/>
    </row>
    <row r="19" spans="1:8" s="52" customFormat="1" ht="19.5" customHeight="1">
      <c r="A19" s="89">
        <f t="shared" si="0"/>
        <v>14</v>
      </c>
      <c r="B19" s="168" t="str">
        <f>MRS!B19&amp;" "&amp;MRS!D19</f>
        <v xml:space="preserve">Combination Plier 8" </v>
      </c>
      <c r="C19" s="169"/>
      <c r="D19" s="83" t="str">
        <f>MRS!G19</f>
        <v>Nos</v>
      </c>
      <c r="E19" s="84">
        <f>MRS!H19</f>
        <v>5</v>
      </c>
      <c r="F19" s="85">
        <f>MRS!I19</f>
        <v>17</v>
      </c>
      <c r="G19" s="85">
        <f>MRS!J19</f>
        <v>85</v>
      </c>
      <c r="H19" s="90"/>
    </row>
    <row r="20" spans="1:8" s="52" customFormat="1" ht="19.5" customHeight="1">
      <c r="A20" s="89">
        <f t="shared" si="0"/>
        <v>15</v>
      </c>
      <c r="B20" s="168" t="str">
        <f>MRS!B20&amp;" "&amp;MRS!D20</f>
        <v xml:space="preserve">Digital Clamp Meter 600V AC/DC 1000A, 319 Fluke </v>
      </c>
      <c r="C20" s="169"/>
      <c r="D20" s="83" t="str">
        <f>MRS!G20</f>
        <v>Nos</v>
      </c>
      <c r="E20" s="84">
        <f>MRS!H20</f>
        <v>1</v>
      </c>
      <c r="F20" s="85">
        <f>MRS!I20</f>
        <v>1295</v>
      </c>
      <c r="G20" s="85">
        <f>MRS!J20</f>
        <v>1295</v>
      </c>
      <c r="H20" s="90"/>
    </row>
    <row r="21" spans="1:8" s="52" customFormat="1" ht="19.5" customHeight="1">
      <c r="A21" s="89">
        <f t="shared" si="0"/>
        <v>16</v>
      </c>
      <c r="B21" s="168" t="str">
        <f>MRS!B21&amp;" "&amp;MRS!D21</f>
        <v xml:space="preserve">Digital Wind Speed Anemometer </v>
      </c>
      <c r="C21" s="169"/>
      <c r="D21" s="83" t="str">
        <f>MRS!G21</f>
        <v>Nos</v>
      </c>
      <c r="E21" s="84">
        <f>MRS!H21</f>
        <v>13</v>
      </c>
      <c r="F21" s="85">
        <f>MRS!I21</f>
        <v>110</v>
      </c>
      <c r="G21" s="85">
        <f>MRS!J21</f>
        <v>1430</v>
      </c>
      <c r="H21" s="90"/>
    </row>
    <row r="22" spans="1:8" s="52" customFormat="1" ht="19.5" customHeight="1">
      <c r="A22" s="89">
        <f t="shared" si="0"/>
        <v>17</v>
      </c>
      <c r="B22" s="168" t="str">
        <f>MRS!B22&amp;" "&amp;MRS!D22</f>
        <v xml:space="preserve">Feeler Gauge 300mm 0.002-0.1mm </v>
      </c>
      <c r="C22" s="169"/>
      <c r="D22" s="83" t="str">
        <f>MRS!G22</f>
        <v>Nos</v>
      </c>
      <c r="E22" s="84">
        <f>MRS!H22</f>
        <v>2</v>
      </c>
      <c r="F22" s="85">
        <f>MRS!I22</f>
        <v>116</v>
      </c>
      <c r="G22" s="85">
        <f>MRS!J22</f>
        <v>232</v>
      </c>
      <c r="H22" s="90"/>
    </row>
    <row r="23" spans="1:8" s="52" customFormat="1" ht="19.5" customHeight="1">
      <c r="A23" s="89">
        <f t="shared" si="0"/>
        <v>18</v>
      </c>
      <c r="B23" s="168" t="str">
        <f>MRS!B23&amp;" "&amp;MRS!D23</f>
        <v xml:space="preserve">Fire Hose Brass Coupling with Nozzle 1.5"x30mtr </v>
      </c>
      <c r="C23" s="169"/>
      <c r="D23" s="83" t="str">
        <f>MRS!G23</f>
        <v>Nos</v>
      </c>
      <c r="E23" s="84">
        <f>MRS!H23</f>
        <v>1</v>
      </c>
      <c r="F23" s="85">
        <f>MRS!I23</f>
        <v>292</v>
      </c>
      <c r="G23" s="85">
        <f>MRS!J23</f>
        <v>292</v>
      </c>
      <c r="H23" s="90"/>
    </row>
    <row r="24" spans="1:8" s="52" customFormat="1" ht="19.5" customHeight="1">
      <c r="A24" s="89">
        <f t="shared" si="0"/>
        <v>19</v>
      </c>
      <c r="B24" s="168" t="str">
        <f>MRS!B24&amp;" "&amp;MRS!D24</f>
        <v xml:space="preserve">Gas Lens Collet Body 2.4mm (45V26) </v>
      </c>
      <c r="C24" s="169"/>
      <c r="D24" s="83" t="str">
        <f>MRS!G24</f>
        <v>Nos</v>
      </c>
      <c r="E24" s="84">
        <f>MRS!H24</f>
        <v>200</v>
      </c>
      <c r="F24" s="85">
        <f>MRS!I24</f>
        <v>23</v>
      </c>
      <c r="G24" s="85">
        <f>MRS!J24</f>
        <v>4600</v>
      </c>
      <c r="H24" s="90"/>
    </row>
    <row r="25" spans="1:8" s="52" customFormat="1" ht="19.5" customHeight="1">
      <c r="A25" s="89">
        <f t="shared" si="0"/>
        <v>20</v>
      </c>
      <c r="B25" s="168" t="str">
        <f>MRS!B25&amp;" "&amp;MRS!D25</f>
        <v xml:space="preserve">Gas Lens Insulator Cup Gasket (54N01) </v>
      </c>
      <c r="C25" s="169"/>
      <c r="D25" s="83" t="str">
        <f>MRS!G25</f>
        <v>Nos</v>
      </c>
      <c r="E25" s="84">
        <f>MRS!H25</f>
        <v>200</v>
      </c>
      <c r="F25" s="85">
        <f>MRS!I25</f>
        <v>18</v>
      </c>
      <c r="G25" s="85">
        <f>MRS!J25</f>
        <v>3600</v>
      </c>
      <c r="H25" s="90"/>
    </row>
    <row r="26" spans="1:8" s="52" customFormat="1" ht="19.5" customHeight="1">
      <c r="A26" s="89">
        <f t="shared" si="0"/>
        <v>21</v>
      </c>
      <c r="B26" s="168" t="str">
        <f>MRS!B26&amp;" "&amp;MRS!D26</f>
        <v xml:space="preserve">Impact Socket Adapter 1/2"(M) x 3/4"(F) </v>
      </c>
      <c r="C26" s="169"/>
      <c r="D26" s="83" t="str">
        <f>MRS!G26</f>
        <v>Nos</v>
      </c>
      <c r="E26" s="84">
        <f>MRS!H26</f>
        <v>5</v>
      </c>
      <c r="F26" s="85">
        <f>MRS!I26</f>
        <v>42</v>
      </c>
      <c r="G26" s="85">
        <f>MRS!J26</f>
        <v>210</v>
      </c>
      <c r="H26" s="90"/>
    </row>
    <row r="27" spans="1:8" s="52" customFormat="1" ht="19.5" customHeight="1">
      <c r="A27" s="89">
        <f t="shared" si="0"/>
        <v>22</v>
      </c>
      <c r="B27" s="168" t="str">
        <f>MRS!B27&amp;" "&amp;MRS!D27</f>
        <v xml:space="preserve">Impact Socket Adapter 1/2"(M) x 3/8"(F) </v>
      </c>
      <c r="C27" s="169"/>
      <c r="D27" s="83" t="str">
        <f>MRS!G27</f>
        <v>Nos</v>
      </c>
      <c r="E27" s="84">
        <f>MRS!H27</f>
        <v>5</v>
      </c>
      <c r="F27" s="85">
        <f>MRS!I27</f>
        <v>16</v>
      </c>
      <c r="G27" s="85">
        <f>MRS!J27</f>
        <v>80</v>
      </c>
      <c r="H27" s="90"/>
    </row>
    <row r="28" spans="1:8" s="52" customFormat="1" ht="19.5" customHeight="1">
      <c r="A28" s="89">
        <f t="shared" si="0"/>
        <v>23</v>
      </c>
      <c r="B28" s="168" t="str">
        <f>MRS!B28&amp;" "&amp;MRS!D28</f>
        <v xml:space="preserve">Impact Socket Adapter 3/4"(M) x 1/2"(F) </v>
      </c>
      <c r="C28" s="169"/>
      <c r="D28" s="83" t="str">
        <f>MRS!G28</f>
        <v>Nos</v>
      </c>
      <c r="E28" s="84">
        <f>MRS!H28</f>
        <v>5</v>
      </c>
      <c r="F28" s="85">
        <f>MRS!I28</f>
        <v>46</v>
      </c>
      <c r="G28" s="85">
        <f>MRS!J28</f>
        <v>230</v>
      </c>
      <c r="H28" s="90"/>
    </row>
    <row r="29" spans="1:8" s="52" customFormat="1" ht="19.5" customHeight="1">
      <c r="A29" s="89">
        <f t="shared" si="0"/>
        <v>24</v>
      </c>
      <c r="B29" s="168" t="str">
        <f>MRS!B29&amp;" "&amp;MRS!D29</f>
        <v xml:space="preserve">Impact Socket Adapter 3/8"(M) x 1/2"(F) </v>
      </c>
      <c r="C29" s="169"/>
      <c r="D29" s="83" t="str">
        <f>MRS!G29</f>
        <v>Nos</v>
      </c>
      <c r="E29" s="84">
        <f>MRS!H29</f>
        <v>5</v>
      </c>
      <c r="F29" s="85">
        <f>MRS!I29</f>
        <v>20</v>
      </c>
      <c r="G29" s="85">
        <f>MRS!J29</f>
        <v>100</v>
      </c>
      <c r="H29" s="90"/>
    </row>
    <row r="30" spans="1:8" s="52" customFormat="1" ht="19.5" customHeight="1">
      <c r="A30" s="89">
        <f t="shared" si="0"/>
        <v>25</v>
      </c>
      <c r="B30" s="168" t="str">
        <f>MRS!B30&amp;" "&amp;MRS!D30</f>
        <v xml:space="preserve">Inverter ARC Welding Machine 200A ARC200PFC Jasic </v>
      </c>
      <c r="C30" s="169"/>
      <c r="D30" s="83" t="str">
        <f>MRS!G30</f>
        <v>Nos</v>
      </c>
      <c r="E30" s="84">
        <f>MRS!H30</f>
        <v>10</v>
      </c>
      <c r="F30" s="85">
        <f>MRS!I30</f>
        <v>1600</v>
      </c>
      <c r="G30" s="85">
        <f>MRS!J30</f>
        <v>16000</v>
      </c>
      <c r="H30" s="90"/>
    </row>
    <row r="31" spans="1:8" s="52" customFormat="1" ht="19.5" customHeight="1">
      <c r="A31" s="89">
        <f t="shared" si="0"/>
        <v>26</v>
      </c>
      <c r="B31" s="168" t="str">
        <f>MRS!B31&amp;" "&amp;MRS!D31</f>
        <v xml:space="preserve">Multi Gas Detector Max XT with Pump Honeywell </v>
      </c>
      <c r="C31" s="169"/>
      <c r="D31" s="83" t="str">
        <f>MRS!G31</f>
        <v>Nos</v>
      </c>
      <c r="E31" s="84">
        <f>MRS!H31</f>
        <v>5</v>
      </c>
      <c r="F31" s="85">
        <f>MRS!I31</f>
        <v>2820</v>
      </c>
      <c r="G31" s="85">
        <f>MRS!J31</f>
        <v>14100</v>
      </c>
      <c r="H31" s="90"/>
    </row>
    <row r="32" spans="1:8" s="52" customFormat="1" ht="19.5" customHeight="1">
      <c r="A32" s="89">
        <f t="shared" si="0"/>
        <v>27</v>
      </c>
      <c r="B32" s="168" t="str">
        <f>MRS!B32&amp;" "&amp;MRS!D32</f>
        <v xml:space="preserve">Multifunction Anemometer with Hot Wire Telescopic Probe AP-5000Y </v>
      </c>
      <c r="C32" s="169"/>
      <c r="D32" s="83" t="str">
        <f>MRS!G32</f>
        <v>Nos</v>
      </c>
      <c r="E32" s="84">
        <f>MRS!H32</f>
        <v>3</v>
      </c>
      <c r="F32" s="85">
        <f>MRS!I32</f>
        <v>950</v>
      </c>
      <c r="G32" s="85">
        <f>MRS!J32</f>
        <v>2850</v>
      </c>
      <c r="H32" s="90"/>
    </row>
    <row r="33" spans="1:8" s="52" customFormat="1" ht="19.5" customHeight="1">
      <c r="A33" s="89">
        <f t="shared" si="0"/>
        <v>28</v>
      </c>
      <c r="B33" s="168" t="str">
        <f>MRS!B33&amp;" "&amp;MRS!D33</f>
        <v xml:space="preserve">Portable Diesel Generator 5KW </v>
      </c>
      <c r="C33" s="169"/>
      <c r="D33" s="83" t="str">
        <f>MRS!G33</f>
        <v>Nos</v>
      </c>
      <c r="E33" s="84">
        <f>MRS!H33</f>
        <v>2</v>
      </c>
      <c r="F33" s="85">
        <f>MRS!I33</f>
        <v>4320</v>
      </c>
      <c r="G33" s="85">
        <f>MRS!J33</f>
        <v>8640</v>
      </c>
      <c r="H33" s="90"/>
    </row>
    <row r="34" spans="1:8" s="52" customFormat="1" ht="19.5" customHeight="1">
      <c r="A34" s="89">
        <f t="shared" si="0"/>
        <v>29</v>
      </c>
      <c r="B34" s="168" t="str">
        <f>MRS!B34&amp;" "&amp;MRS!D34</f>
        <v xml:space="preserve">Single Gas Detector H2S 500PPM T40 II Rattler ISC </v>
      </c>
      <c r="C34" s="169"/>
      <c r="D34" s="83" t="str">
        <f>MRS!G34</f>
        <v>Nos</v>
      </c>
      <c r="E34" s="84">
        <f>MRS!H34</f>
        <v>36</v>
      </c>
      <c r="F34" s="85">
        <f>MRS!I34</f>
        <v>370</v>
      </c>
      <c r="G34" s="85">
        <f>MRS!J34</f>
        <v>13320</v>
      </c>
      <c r="H34" s="90"/>
    </row>
    <row r="35" spans="1:8" s="52" customFormat="1" ht="19.5" customHeight="1">
      <c r="A35" s="89">
        <f t="shared" si="0"/>
        <v>30</v>
      </c>
      <c r="B35" s="168" t="str">
        <f>MRS!B35&amp;" "&amp;MRS!D35</f>
        <v xml:space="preserve">Split A/C 2Ton Heat &amp; Cooling Inverter LG </v>
      </c>
      <c r="C35" s="169"/>
      <c r="D35" s="83" t="str">
        <f>MRS!G35</f>
        <v>Nos</v>
      </c>
      <c r="E35" s="84">
        <f>MRS!H35</f>
        <v>4</v>
      </c>
      <c r="F35" s="85">
        <f>MRS!I35</f>
        <v>3010</v>
      </c>
      <c r="G35" s="85">
        <f>MRS!J35</f>
        <v>12040</v>
      </c>
      <c r="H35" s="90"/>
    </row>
    <row r="36" spans="1:8" s="52" customFormat="1" ht="19.5" customHeight="1">
      <c r="A36" s="89">
        <f t="shared" si="0"/>
        <v>31</v>
      </c>
      <c r="B36" s="168" t="str">
        <f>MRS!B36&amp;" "&amp;MRS!D36</f>
        <v xml:space="preserve">Sump Pump 1HP 220V (include Hose Connector 3/4") </v>
      </c>
      <c r="C36" s="169"/>
      <c r="D36" s="83" t="str">
        <f>MRS!G36</f>
        <v>Nos</v>
      </c>
      <c r="E36" s="84">
        <f>MRS!H36</f>
        <v>3</v>
      </c>
      <c r="F36" s="85">
        <f>MRS!I36</f>
        <v>510</v>
      </c>
      <c r="G36" s="85">
        <f>MRS!J36</f>
        <v>1530</v>
      </c>
      <c r="H36" s="90"/>
    </row>
    <row r="37" spans="1:8" s="52" customFormat="1" ht="19.5" customHeight="1">
      <c r="A37" s="89">
        <f t="shared" si="0"/>
        <v>32</v>
      </c>
      <c r="B37" s="168" t="str">
        <f>MRS!B37&amp;" "&amp;MRS!D37</f>
        <v xml:space="preserve">Tig Collet Body 350A 2.4mm </v>
      </c>
      <c r="C37" s="169"/>
      <c r="D37" s="83" t="str">
        <f>MRS!G37</f>
        <v>Nos</v>
      </c>
      <c r="E37" s="84">
        <f>MRS!H37</f>
        <v>200</v>
      </c>
      <c r="F37" s="85">
        <f>MRS!I37</f>
        <v>13</v>
      </c>
      <c r="G37" s="85">
        <f>MRS!J37</f>
        <v>2600</v>
      </c>
      <c r="H37" s="90"/>
    </row>
    <row r="38" spans="1:8" s="52" customFormat="1" ht="19.5" customHeight="1">
      <c r="A38" s="89">
        <f t="shared" si="0"/>
        <v>33</v>
      </c>
      <c r="B38" s="168" t="str">
        <f>MRS!B38&amp;" "&amp;MRS!D38</f>
        <v xml:space="preserve">Tig Collet Body 350A 3.2mm </v>
      </c>
      <c r="C38" s="169"/>
      <c r="D38" s="83" t="str">
        <f>MRS!G38</f>
        <v>Nos</v>
      </c>
      <c r="E38" s="84">
        <f>MRS!H38</f>
        <v>100</v>
      </c>
      <c r="F38" s="85">
        <f>MRS!I38</f>
        <v>13</v>
      </c>
      <c r="G38" s="85">
        <f>MRS!J38</f>
        <v>1300</v>
      </c>
      <c r="H38" s="90"/>
    </row>
    <row r="39" spans="1:8" s="52" customFormat="1" ht="19.5" customHeight="1">
      <c r="A39" s="89">
        <f t="shared" si="0"/>
        <v>34</v>
      </c>
      <c r="B39" s="168" t="str">
        <f>MRS!B39&amp;" "&amp;MRS!D39</f>
        <v xml:space="preserve">Tig Collet Pin 350A 3.2mm </v>
      </c>
      <c r="C39" s="169"/>
      <c r="D39" s="83" t="str">
        <f>MRS!G39</f>
        <v>Nos</v>
      </c>
      <c r="E39" s="84">
        <f>MRS!H39</f>
        <v>100</v>
      </c>
      <c r="F39" s="85">
        <f>MRS!I39</f>
        <v>6.5</v>
      </c>
      <c r="G39" s="85">
        <f>MRS!J39</f>
        <v>650</v>
      </c>
      <c r="H39" s="90"/>
    </row>
    <row r="40" spans="1:8" s="52" customFormat="1" ht="19.5" customHeight="1">
      <c r="A40" s="89">
        <f t="shared" si="0"/>
        <v>35</v>
      </c>
      <c r="B40" s="168" t="str">
        <f>MRS!B40&amp;" "&amp;MRS!D40</f>
        <v xml:space="preserve">Tig Torch Head with Handle </v>
      </c>
      <c r="C40" s="169"/>
      <c r="D40" s="83" t="str">
        <f>MRS!G40</f>
        <v>Nos</v>
      </c>
      <c r="E40" s="84">
        <f>MRS!H40</f>
        <v>50</v>
      </c>
      <c r="F40" s="85">
        <f>MRS!I40</f>
        <v>55</v>
      </c>
      <c r="G40" s="85">
        <f>MRS!J40</f>
        <v>2750</v>
      </c>
      <c r="H40" s="90"/>
    </row>
    <row r="41" spans="1:8" s="52" customFormat="1" ht="19.5" customHeight="1">
      <c r="A41" s="89">
        <f t="shared" si="0"/>
        <v>36</v>
      </c>
      <c r="B41" s="168" t="str">
        <f>MRS!B41&amp;" "&amp;MRS!D41</f>
        <v xml:space="preserve">Tig Torch Switch </v>
      </c>
      <c r="C41" s="169"/>
      <c r="D41" s="83" t="str">
        <f>MRS!G41</f>
        <v>Nos</v>
      </c>
      <c r="E41" s="84">
        <f>MRS!H41</f>
        <v>100</v>
      </c>
      <c r="F41" s="85">
        <f>MRS!I41</f>
        <v>12</v>
      </c>
      <c r="G41" s="85">
        <f>MRS!J41</f>
        <v>1200</v>
      </c>
      <c r="H41" s="90"/>
    </row>
    <row r="42" spans="1:8" s="52" customFormat="1" ht="19.5" customHeight="1">
      <c r="A42" s="89">
        <f t="shared" si="0"/>
        <v>37</v>
      </c>
      <c r="B42" s="168" t="str">
        <f>MRS!B42&amp;" "&amp;MRS!D42</f>
        <v xml:space="preserve">Tungsten Electrode 2.4mm </v>
      </c>
      <c r="C42" s="169"/>
      <c r="D42" s="83" t="str">
        <f>MRS!G42</f>
        <v>Nos</v>
      </c>
      <c r="E42" s="84">
        <f>MRS!H42</f>
        <v>200</v>
      </c>
      <c r="F42" s="85">
        <f>MRS!I42</f>
        <v>8</v>
      </c>
      <c r="G42" s="85">
        <f>MRS!J42</f>
        <v>1600</v>
      </c>
      <c r="H42" s="90"/>
    </row>
    <row r="43" spans="1:8" s="52" customFormat="1" ht="19.5" customHeight="1">
      <c r="A43" s="89">
        <f t="shared" si="0"/>
        <v>38</v>
      </c>
      <c r="B43" s="168" t="str">
        <f>MRS!B43&amp;" "&amp;MRS!D43</f>
        <v xml:space="preserve">Tungsten Electrode 3.2mm </v>
      </c>
      <c r="C43" s="169"/>
      <c r="D43" s="83" t="str">
        <f>MRS!G43</f>
        <v>Nos</v>
      </c>
      <c r="E43" s="84">
        <f>MRS!H43</f>
        <v>400</v>
      </c>
      <c r="F43" s="85">
        <f>MRS!I43</f>
        <v>15</v>
      </c>
      <c r="G43" s="85">
        <f>MRS!J43</f>
        <v>6000</v>
      </c>
      <c r="H43" s="90"/>
    </row>
    <row r="44" spans="1:8" s="52" customFormat="1" ht="19.5" customHeight="1">
      <c r="A44" s="89">
        <f t="shared" si="0"/>
        <v>39</v>
      </c>
      <c r="B44" s="168" t="str">
        <f>MRS!B44&amp;" "&amp;MRS!D44</f>
        <v xml:space="preserve">Welding Cable Connector 50-70mm2 Male &amp; Female </v>
      </c>
      <c r="C44" s="169"/>
      <c r="D44" s="83" t="str">
        <f>MRS!G44</f>
        <v>Nos</v>
      </c>
      <c r="E44" s="84">
        <f>MRS!H44</f>
        <v>100</v>
      </c>
      <c r="F44" s="85">
        <f>MRS!I44</f>
        <v>24.5</v>
      </c>
      <c r="G44" s="85">
        <f>MRS!J44</f>
        <v>2450</v>
      </c>
      <c r="H44" s="90"/>
    </row>
    <row r="45" spans="1:8" s="52" customFormat="1" ht="19.5" customHeight="1">
      <c r="A45" s="89">
        <f t="shared" si="0"/>
        <v>40</v>
      </c>
      <c r="B45" s="168" t="str">
        <f>MRS!B45&amp;" "&amp;MRS!D45</f>
        <v xml:space="preserve">Welding Electrode Holder 300A </v>
      </c>
      <c r="C45" s="169"/>
      <c r="D45" s="83" t="str">
        <f>MRS!G45</f>
        <v>Nos</v>
      </c>
      <c r="E45" s="84">
        <f>MRS!H45</f>
        <v>85</v>
      </c>
      <c r="F45" s="85">
        <f>MRS!I45</f>
        <v>23.5</v>
      </c>
      <c r="G45" s="85">
        <f>MRS!J45</f>
        <v>1997.5</v>
      </c>
      <c r="H45" s="90"/>
    </row>
    <row r="46" spans="1:8" s="52" customFormat="1" ht="19.5" customHeight="1">
      <c r="A46" s="89">
        <f t="shared" si="0"/>
        <v>41</v>
      </c>
      <c r="B46" s="168" t="str">
        <f>MRS!B46&amp;" "&amp;MRS!D46</f>
        <v xml:space="preserve">Welding Glass Dark #10 </v>
      </c>
      <c r="C46" s="169"/>
      <c r="D46" s="83" t="str">
        <f>MRS!G46</f>
        <v>Nos</v>
      </c>
      <c r="E46" s="84">
        <f>MRS!H46</f>
        <v>200</v>
      </c>
      <c r="F46" s="85">
        <f>MRS!I46</f>
        <v>0.95</v>
      </c>
      <c r="G46" s="85">
        <f>MRS!J46</f>
        <v>190</v>
      </c>
      <c r="H46" s="90"/>
    </row>
    <row r="47" spans="1:8" s="52" customFormat="1" ht="19.5" customHeight="1">
      <c r="A47" s="89">
        <f t="shared" si="0"/>
        <v>42</v>
      </c>
      <c r="B47" s="168" t="str">
        <f>MRS!B47&amp;" "&amp;MRS!D47</f>
        <v xml:space="preserve">Welding Glass Dark #11 </v>
      </c>
      <c r="C47" s="169"/>
      <c r="D47" s="83" t="str">
        <f>MRS!G47</f>
        <v>Nos</v>
      </c>
      <c r="E47" s="84">
        <f>MRS!H47</f>
        <v>200</v>
      </c>
      <c r="F47" s="85">
        <f>MRS!I47</f>
        <v>0.95</v>
      </c>
      <c r="G47" s="85">
        <f>MRS!J47</f>
        <v>190</v>
      </c>
      <c r="H47" s="90"/>
    </row>
    <row r="48" spans="1:8" s="52" customFormat="1" ht="19.5" customHeight="1">
      <c r="A48" s="89">
        <f t="shared" si="0"/>
        <v>43</v>
      </c>
      <c r="B48" s="168" t="str">
        <f>MRS!B48&amp;" "&amp;MRS!D48</f>
        <v xml:space="preserve">Welding Glass Dark #12 </v>
      </c>
      <c r="C48" s="169"/>
      <c r="D48" s="83" t="str">
        <f>MRS!G48</f>
        <v>Nos</v>
      </c>
      <c r="E48" s="84">
        <f>MRS!H48</f>
        <v>100</v>
      </c>
      <c r="F48" s="85">
        <f>MRS!I48</f>
        <v>0.95</v>
      </c>
      <c r="G48" s="85">
        <f>MRS!J48</f>
        <v>95</v>
      </c>
      <c r="H48" s="90"/>
    </row>
    <row r="49" spans="1:13" s="52" customFormat="1" ht="19.5" customHeight="1">
      <c r="A49" s="89">
        <f t="shared" si="0"/>
        <v>44</v>
      </c>
      <c r="B49" s="168" t="str">
        <f>MRS!B49&amp;" "&amp;MRS!D49</f>
        <v xml:space="preserve">Welding Rod ER347 2.4mm ESAB </v>
      </c>
      <c r="C49" s="169"/>
      <c r="D49" s="83" t="str">
        <f>MRS!G49</f>
        <v>Kgs</v>
      </c>
      <c r="E49" s="84">
        <f>MRS!H49</f>
        <v>200</v>
      </c>
      <c r="F49" s="85">
        <f>MRS!I49</f>
        <v>98.5</v>
      </c>
      <c r="G49" s="85">
        <f>MRS!J49</f>
        <v>19700</v>
      </c>
      <c r="H49" s="90"/>
    </row>
    <row r="50" spans="1:13" s="52" customFormat="1" ht="19.5" customHeight="1">
      <c r="A50" s="89">
        <f t="shared" si="0"/>
        <v>45</v>
      </c>
      <c r="B50" s="168" t="str">
        <f>MRS!B50&amp;" "&amp;MRS!D50</f>
        <v xml:space="preserve">Welding Rod E7018 H4R 2.6mm S-7018.1H Vac-Pack Hyundai Korea </v>
      </c>
      <c r="C50" s="169"/>
      <c r="D50" s="83" t="str">
        <f>MRS!G50</f>
        <v>Kgs</v>
      </c>
      <c r="E50" s="84">
        <f>MRS!H50</f>
        <v>1000</v>
      </c>
      <c r="F50" s="85">
        <f>MRS!I50</f>
        <v>16</v>
      </c>
      <c r="G50" s="85">
        <f>MRS!J50</f>
        <v>16000</v>
      </c>
      <c r="H50" s="90"/>
    </row>
    <row r="51" spans="1:13" s="52" customFormat="1" ht="19.5" customHeight="1">
      <c r="A51" s="89">
        <f t="shared" si="0"/>
        <v>46</v>
      </c>
      <c r="B51" s="168" t="str">
        <f>MRS!B51&amp;" "&amp;MRS!D51</f>
        <v xml:space="preserve">Welding Rod ER70S-3 2.4mm ST-50.3 Hyundai Korea </v>
      </c>
      <c r="C51" s="169"/>
      <c r="D51" s="83" t="str">
        <f>MRS!G51</f>
        <v>Kgs</v>
      </c>
      <c r="E51" s="84">
        <f>MRS!H51</f>
        <v>1000</v>
      </c>
      <c r="F51" s="85">
        <f>MRS!I51</f>
        <v>15.2</v>
      </c>
      <c r="G51" s="85">
        <f>MRS!J51</f>
        <v>15200</v>
      </c>
      <c r="H51" s="90"/>
    </row>
    <row r="52" spans="1:13" s="52" customFormat="1" ht="19.5" customHeight="1">
      <c r="A52" s="89">
        <f t="shared" si="0"/>
        <v>47</v>
      </c>
      <c r="B52" s="168" t="str">
        <f>MRS!B52&amp;" "&amp;MRS!D52</f>
        <v xml:space="preserve">Wheelbarrow Trolley 2-Wheel  </v>
      </c>
      <c r="C52" s="169"/>
      <c r="D52" s="83" t="str">
        <f>MRS!G52</f>
        <v>Nos</v>
      </c>
      <c r="E52" s="84">
        <f>MRS!H52</f>
        <v>5</v>
      </c>
      <c r="F52" s="85">
        <f>MRS!I52</f>
        <v>195</v>
      </c>
      <c r="G52" s="85">
        <f>MRS!J52</f>
        <v>975</v>
      </c>
      <c r="H52" s="90"/>
    </row>
    <row r="53" spans="1:13" s="52" customFormat="1" ht="23.1" customHeight="1">
      <c r="A53" s="184" t="s">
        <v>83</v>
      </c>
      <c r="B53" s="185"/>
      <c r="C53" s="185"/>
      <c r="D53" s="185"/>
      <c r="E53" s="185"/>
      <c r="F53" s="185"/>
      <c r="G53" s="55">
        <f>SUM(G6:G52)</f>
        <v>177781.5</v>
      </c>
      <c r="H53" s="56"/>
    </row>
    <row r="54" spans="1:13" s="52" customFormat="1" ht="23.1" customHeight="1">
      <c r="A54" s="184" t="s">
        <v>47</v>
      </c>
      <c r="B54" s="185"/>
      <c r="C54" s="185"/>
      <c r="D54" s="185"/>
      <c r="E54" s="185"/>
      <c r="F54" s="185"/>
      <c r="G54" s="55">
        <f>+G53*0.15</f>
        <v>26667.224999999999</v>
      </c>
      <c r="H54" s="56"/>
    </row>
    <row r="55" spans="1:13" s="52" customFormat="1" ht="24.95" customHeight="1" thickBot="1">
      <c r="A55" s="186" t="s">
        <v>84</v>
      </c>
      <c r="B55" s="187"/>
      <c r="C55" s="187"/>
      <c r="D55" s="187"/>
      <c r="E55" s="187"/>
      <c r="F55" s="187"/>
      <c r="G55" s="57">
        <f>G54+G53</f>
        <v>204448.72500000001</v>
      </c>
      <c r="H55" s="58"/>
    </row>
    <row r="56" spans="1:13" ht="15.75" thickTop="1">
      <c r="A56" s="59" t="str">
        <f>" 1) Above Price are as per your quotation with ref "&amp;'PO 1st page'!K14</f>
        <v xml:space="preserve"> 1) Above Price are as per your quotation with ref Q-20263195</v>
      </c>
      <c r="B56" s="60"/>
      <c r="C56" s="60"/>
      <c r="D56" s="61"/>
      <c r="E56" s="61"/>
      <c r="F56" s="61"/>
      <c r="G56" s="61"/>
      <c r="H56" s="61"/>
    </row>
    <row r="57" spans="1:13" ht="15">
      <c r="A57" s="62" t="s">
        <v>85</v>
      </c>
      <c r="B57" s="63"/>
      <c r="C57" s="63"/>
      <c r="D57" s="64"/>
      <c r="E57" s="64"/>
      <c r="F57" s="64"/>
      <c r="G57" s="64"/>
      <c r="H57" s="64"/>
      <c r="I57" s="65"/>
    </row>
    <row r="58" spans="1:13" ht="15.75">
      <c r="A58" s="66"/>
    </row>
    <row r="59" spans="1:13">
      <c r="A59" s="159" t="s">
        <v>86</v>
      </c>
      <c r="B59" s="159"/>
      <c r="C59" s="159"/>
      <c r="D59" s="159"/>
      <c r="E59" s="159"/>
      <c r="F59" s="159"/>
      <c r="G59" s="159"/>
      <c r="H59" s="159"/>
      <c r="I59" s="67"/>
      <c r="J59" s="67"/>
      <c r="K59" s="67"/>
      <c r="L59" s="67"/>
      <c r="M59" s="67"/>
    </row>
    <row r="60" spans="1:13" ht="15.75">
      <c r="A60" s="66"/>
      <c r="C60" s="68"/>
    </row>
    <row r="61" spans="1:13" ht="15.75">
      <c r="A61" s="66"/>
      <c r="C61" s="68"/>
    </row>
    <row r="63" spans="1:13" ht="12" customHeight="1"/>
  </sheetData>
  <mergeCells count="59">
    <mergeCell ref="B49:C49"/>
    <mergeCell ref="B50:C50"/>
    <mergeCell ref="B51:C51"/>
    <mergeCell ref="B52:C52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A53:F53"/>
    <mergeCell ref="A54:F54"/>
    <mergeCell ref="A55:F55"/>
    <mergeCell ref="A59:H59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22:C22"/>
    <mergeCell ref="B23:C2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7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2026-02-16T07:24:38Z</cp:lastPrinted>
  <dcterms:created xsi:type="dcterms:W3CDTF">2024-10-20T11:50:19Z</dcterms:created>
  <dcterms:modified xsi:type="dcterms:W3CDTF">2026-02-16T07:26:04Z</dcterms:modified>
</cp:coreProperties>
</file>