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41E9086-1AB3-4D50-8D86-3F839AEBDE2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D8" i="4"/>
  <c r="E8" i="4"/>
  <c r="F8" i="4"/>
  <c r="G8" i="4"/>
  <c r="D7" i="4"/>
  <c r="E7" i="4"/>
  <c r="F7" i="4"/>
  <c r="G7" i="4"/>
  <c r="E6" i="4"/>
  <c r="F6" i="4"/>
  <c r="G6" i="4"/>
  <c r="D6" i="4"/>
  <c r="B8" i="4"/>
  <c r="B7" i="4"/>
  <c r="B6" i="4"/>
  <c r="J8" i="1"/>
  <c r="P54" i="3"/>
  <c r="H7" i="4" l="1"/>
  <c r="H6" i="4"/>
  <c r="K67" i="3"/>
  <c r="E3" i="1"/>
  <c r="H7" i="2"/>
  <c r="G7" i="2"/>
  <c r="D7" i="2"/>
  <c r="B7" i="2"/>
  <c r="J7" i="1"/>
  <c r="J6" i="1" l="1"/>
  <c r="K10" i="3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<sst xmlns="http://schemas.openxmlformats.org/spreadsheetml/2006/main" count="183" uniqueCount="139">
  <si>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</si>
  <si>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</si>
  <si>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</si>
  <si>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</si>
  <si>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</si>
  <si>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</si>
  <si>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</si>
  <si>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</si>
  <si>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</si>
  <si>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</si>
  <si>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</si>
  <si>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</si>
  <si>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</si>
  <si>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</si>
  <si>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</si>
  <si>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</si>
  <si>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</si>
  <si>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</si>
  <si>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</si>
  <si>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</si>
  <si>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</si>
  <si>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</si>
  <si>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</si>
  <si>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</si>
  <si>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</si>
  <si>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</si>
  <si>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</si>
  <si>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</si>
  <si>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</si>
  <si>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</si>
  <si>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</si>
  <si>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</si>
  <si>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</si>
  <si>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</si>
  <si>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</si>
  <si>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</si>
  <si>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</si>
  <si>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</si>
  <si>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</si>
  <si>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</si>
  <si>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</si>
  <si>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</si>
  <si>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</si>
  <si>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</si>
  <si>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</si>
  <si>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</si>
  <si>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</si>
  <si>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</si>
  <si>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</si>
  <si>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</si>
  <si>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</si>
  <si>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</si>
  <si>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</si>
  <si>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</si>
  <si>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</si>
  <si>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</si>
  <si>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</si>
  <si>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</si>
  <si>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</si>
  <si>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</si>
  <si>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</si>
  <si>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</si>
  <si>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</si>
  <si>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</si>
  <si>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</si>
  <si>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</si>
  <si>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</si>
  <si>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</si>
  <si>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</si>
  <si>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</si>
  <si>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</si>
  <si>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</si>
  <si>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</si>
  <si>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</si>
  <si>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</si>
  <si>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</si>
  <si>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</si>
  <si>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</si>
  <si>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</si>
  <si>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</si>
  <si>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</si>
  <si>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</si>
  <si>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</si>
  <si>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</si>
  <si>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</si>
  <si>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</si>
  <si>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</si>
  <si>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</si>
  <si>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</si>
  <si>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</si>
  <si>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</si>
  <si>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</si>
  <si>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</si>
  <si>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</si>
  <si>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</si>
  <si>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</si>
  <si>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</si>
  <si>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</si>
  <si>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</si>
  <si>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</si>
  <si>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</si>
  <si>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</si>
  <si>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</si>
  <si>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</si>
  <si>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</si>
  <si>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</si>
  <si>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</si>
  <si>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</si>
  <si>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</si>
  <si>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</si>
  <si>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One Time</t>
  </si>
  <si>
    <t>Crane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</si>
  <si>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</si>
  <si>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</si>
  <si>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</si>
  <si>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</si>
  <si>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310157378500003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</si>
  <si>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</si>
  <si>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</si>
  <si>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</si>
  <si>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</si>
  <si>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</si>
  <si>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</si>
  <si>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</si>
  <si>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</si>
  <si>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</si>
  <si>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UNITED TECHNOLOGY CONTRACTING CO. LTD.</t>
  </si>
  <si>
    <t>SABB</t>
  </si>
  <si>
    <t>SABBSARI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</si>
  <si>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-MRS-0345</t>
    </r>
  </si>
  <si>
    <t>RT Crane 100 Ton</t>
  </si>
  <si>
    <t>Trip</t>
  </si>
  <si>
    <t>Mobilization Charge</t>
  </si>
  <si>
    <t>Demobilization Charge</t>
  </si>
  <si>
    <t>"</t>
  </si>
  <si>
    <t>100 Ton RT Crane with Operator - Aramco Certified</t>
  </si>
  <si>
    <t>836010116001</t>
  </si>
  <si>
    <t>SA37 4500 0000 8360 1011 6001</t>
  </si>
  <si>
    <t>UT-EQUO-26-4246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</si>
</sst>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55" fillId="3" borderId="0" xfId="5" applyFont="1" applyFill="1"/>
    <xf numFmtId="0" fontId="18" fillId="3" borderId="0" xfId="5" quotePrefix="1" applyFont="1" applyFill="1"/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14" fillId="3" borderId="0" xfId="5" applyFont="1" applyFill="1"/>
    <xf numFmtId="0" fontId="14" fillId="3" borderId="0" xfId="5" applyFont="1" applyFill="1" applyAlignment="1">
      <alignment horizontal="right" vertical="center" indent="1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10026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26605" y="4983079"/>
              <a:ext cx="3780423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8" sqref="B8:C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113</v>
      </c>
      <c r="B1" s="108"/>
      <c r="C1" s="108"/>
      <c r="D1" s="108"/>
      <c r="E1" s="108"/>
      <c r="F1" s="108"/>
      <c r="G1" s="1"/>
      <c r="J1" s="126" t="s">
        <v>92</v>
      </c>
      <c r="K1" s="127"/>
      <c r="L1" s="128"/>
    </row>
    <row r="2" spans="1:19" ht="20.100000000000001" customHeight="1">
      <c r="A2" s="3" t="s">
        <v>1</v>
      </c>
      <c r="B2" s="99"/>
      <c r="C2" s="99"/>
      <c r="D2" s="3" t="s">
        <v>114</v>
      </c>
      <c r="E2" s="99"/>
      <c r="F2" s="99"/>
      <c r="G2" s="99"/>
      <c r="H2" s="99"/>
      <c r="I2" s="4"/>
      <c r="J2" s="142" t="s">
        <v>112</v>
      </c>
      <c r="K2" s="143"/>
      <c r="L2" s="144"/>
    </row>
    <row r="3" spans="1:19" ht="20.100000000000001" customHeight="1">
      <c r="A3" s="3" t="s">
        <v>129</v>
      </c>
      <c r="B3" s="99"/>
      <c r="C3" s="99"/>
      <c r="D3" s="99"/>
      <c r="E3" s="129">
        <f>+L3</f>
        <v>46207</v>
      </c>
      <c r="F3" s="129"/>
      <c r="G3" s="129"/>
      <c r="H3" s="129"/>
      <c r="I3" s="129"/>
      <c r="J3" s="99"/>
      <c r="K3" s="99"/>
      <c r="L3" s="120">
        <v>46207</v>
      </c>
      <c r="M3" s="4"/>
    </row>
    <row r="4" spans="1:19" ht="15.95" customHeight="1">
      <c r="A4" s="130" t="s">
        <v>2</v>
      </c>
      <c r="B4" s="131" t="s">
        <v>3</v>
      </c>
      <c r="C4" s="131"/>
      <c r="D4" s="132" t="s">
        <v>4</v>
      </c>
      <c r="E4" s="133"/>
      <c r="F4" s="134"/>
      <c r="G4" s="138" t="s">
        <v>5</v>
      </c>
      <c r="H4" s="140" t="s">
        <v>6</v>
      </c>
      <c r="I4" s="140" t="s">
        <v>97</v>
      </c>
      <c r="J4" s="130" t="s">
        <v>98</v>
      </c>
      <c r="K4" s="140" t="s">
        <v>0</v>
      </c>
      <c r="L4" s="131" t="s">
        <v>7</v>
      </c>
    </row>
    <row r="5" spans="1:19" ht="15.95" customHeight="1">
      <c r="A5" s="130"/>
      <c r="B5" s="131"/>
      <c r="C5" s="131"/>
      <c r="D5" s="135"/>
      <c r="E5" s="136"/>
      <c r="F5" s="137"/>
      <c r="G5" s="139"/>
      <c r="H5" s="141"/>
      <c r="I5" s="141"/>
      <c r="J5" s="130"/>
      <c r="K5" s="141"/>
      <c r="L5" s="131"/>
    </row>
    <row r="6" spans="1:19" ht="22.5" customHeight="1">
      <c r="A6" s="5">
        <f t="shared" ref="A6:A15" si="0">ROW(A1)</f>
        <v>1</v>
      </c>
      <c r="B6" s="145" t="s">
        <v>111</v>
      </c>
      <c r="C6" s="146"/>
      <c r="D6" s="147" t="s">
        <v>130</v>
      </c>
      <c r="E6" s="148"/>
      <c r="F6" s="149"/>
      <c r="G6" s="109" t="s">
        <v>93</v>
      </c>
      <c r="H6" s="110">
        <v>1</v>
      </c>
      <c r="I6" s="111">
        <v>80000</v>
      </c>
      <c r="J6" s="111">
        <f>H6*I6</f>
        <v>80000</v>
      </c>
      <c r="K6" s="112" t="s">
        <v>101</v>
      </c>
      <c r="L6" s="113" t="s">
        <v>109</v>
      </c>
      <c r="S6" s="104"/>
    </row>
    <row r="7" spans="1:19" ht="22.5" customHeight="1">
      <c r="A7" s="5">
        <f t="shared" si="0"/>
        <v>2</v>
      </c>
      <c r="B7" s="145" t="s">
        <v>111</v>
      </c>
      <c r="C7" s="146"/>
      <c r="D7" s="150" t="s">
        <v>132</v>
      </c>
      <c r="E7" s="148"/>
      <c r="F7" s="149"/>
      <c r="G7" s="109" t="s">
        <v>131</v>
      </c>
      <c r="H7" s="110">
        <v>1</v>
      </c>
      <c r="I7" s="111">
        <v>4000</v>
      </c>
      <c r="J7" s="111">
        <f>H7*I7</f>
        <v>4000</v>
      </c>
      <c r="K7" s="112" t="s">
        <v>134</v>
      </c>
      <c r="L7" s="113" t="s">
        <v>110</v>
      </c>
      <c r="S7" s="104"/>
    </row>
    <row r="8" spans="1:19" ht="22.5" customHeight="1">
      <c r="A8" s="5">
        <f t="shared" si="0"/>
        <v>3</v>
      </c>
      <c r="B8" s="145" t="s">
        <v>111</v>
      </c>
      <c r="C8" s="146"/>
      <c r="D8" s="147" t="s">
        <v>133</v>
      </c>
      <c r="E8" s="148"/>
      <c r="F8" s="149"/>
      <c r="G8" s="109" t="s">
        <v>131</v>
      </c>
      <c r="H8" s="110">
        <v>1</v>
      </c>
      <c r="I8" s="111">
        <v>4000</v>
      </c>
      <c r="J8" s="111">
        <f>H8*I8</f>
        <v>4000</v>
      </c>
      <c r="K8" s="112" t="s">
        <v>134</v>
      </c>
      <c r="L8" s="113" t="s">
        <v>110</v>
      </c>
      <c r="S8" s="104"/>
    </row>
    <row r="9" spans="1:19" ht="22.5" customHeight="1">
      <c r="A9" s="5">
        <f t="shared" si="0"/>
        <v>4</v>
      </c>
      <c r="B9" s="145"/>
      <c r="C9" s="146"/>
      <c r="D9" s="147"/>
      <c r="E9" s="148"/>
      <c r="F9" s="149"/>
      <c r="G9" s="109"/>
      <c r="H9" s="110"/>
      <c r="I9" s="111"/>
      <c r="J9" s="111"/>
      <c r="K9" s="112"/>
      <c r="L9" s="113"/>
      <c r="S9" s="104"/>
    </row>
    <row r="10" spans="1:19" ht="22.5" customHeight="1">
      <c r="A10" s="5">
        <f t="shared" si="0"/>
        <v>5</v>
      </c>
      <c r="B10" s="151"/>
      <c r="C10" s="151"/>
      <c r="D10" s="152"/>
      <c r="E10" s="152"/>
      <c r="F10" s="152"/>
      <c r="G10" s="109"/>
      <c r="H10" s="110"/>
      <c r="I10" s="114"/>
      <c r="J10" s="111"/>
      <c r="K10" s="112"/>
      <c r="L10" s="109"/>
      <c r="S10" s="104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09"/>
      <c r="H11" s="110"/>
      <c r="I11" s="111"/>
      <c r="J11" s="111"/>
      <c r="K11" s="112"/>
      <c r="L11" s="113"/>
      <c r="S11" s="104"/>
    </row>
    <row r="12" spans="1:19" ht="22.5" customHeight="1">
      <c r="A12" s="5">
        <f t="shared" si="0"/>
        <v>7</v>
      </c>
      <c r="B12" s="151"/>
      <c r="C12" s="151"/>
      <c r="D12" s="152"/>
      <c r="E12" s="152"/>
      <c r="F12" s="152"/>
      <c r="G12" s="109"/>
      <c r="H12" s="110"/>
      <c r="I12" s="114"/>
      <c r="J12" s="111"/>
      <c r="K12" s="112"/>
      <c r="L12" s="109"/>
      <c r="S12" s="104"/>
    </row>
    <row r="13" spans="1:19" ht="22.5" customHeight="1">
      <c r="A13" s="5">
        <f t="shared" si="0"/>
        <v>8</v>
      </c>
      <c r="B13" s="145"/>
      <c r="C13" s="146"/>
      <c r="D13" s="147"/>
      <c r="E13" s="148"/>
      <c r="F13" s="149"/>
      <c r="G13" s="109"/>
      <c r="H13" s="110"/>
      <c r="I13" s="111"/>
      <c r="J13" s="111"/>
      <c r="K13" s="112"/>
      <c r="L13" s="113"/>
      <c r="S13" s="104"/>
    </row>
    <row r="14" spans="1:19" ht="22.5" customHeight="1">
      <c r="A14" s="5">
        <f t="shared" si="0"/>
        <v>9</v>
      </c>
      <c r="B14" s="145"/>
      <c r="C14" s="146"/>
      <c r="D14" s="147"/>
      <c r="E14" s="148"/>
      <c r="F14" s="149"/>
      <c r="G14" s="109"/>
      <c r="H14" s="110"/>
      <c r="I14" s="111"/>
      <c r="J14" s="111"/>
      <c r="K14" s="112"/>
      <c r="L14" s="113"/>
      <c r="S14" s="104"/>
    </row>
    <row r="15" spans="1:19" ht="22.5" customHeight="1">
      <c r="A15" s="5">
        <f t="shared" si="0"/>
        <v>10</v>
      </c>
      <c r="B15" s="145"/>
      <c r="C15" s="146"/>
      <c r="D15" s="147"/>
      <c r="E15" s="148"/>
      <c r="F15" s="149"/>
      <c r="G15" s="109"/>
      <c r="H15" s="110"/>
      <c r="I15" s="111"/>
      <c r="J15" s="111"/>
      <c r="K15" s="112"/>
      <c r="L15" s="113"/>
      <c r="S15" s="104"/>
    </row>
    <row r="16" spans="1:19" ht="22.5" customHeight="1">
      <c r="A16" s="153" t="s">
        <v>8</v>
      </c>
      <c r="B16" s="154"/>
      <c r="C16" s="115"/>
      <c r="D16" s="116"/>
      <c r="E16" s="116"/>
      <c r="F16" s="116"/>
      <c r="G16" s="117"/>
      <c r="H16" s="117"/>
      <c r="I16" s="118" t="s">
        <v>9</v>
      </c>
      <c r="J16" s="111">
        <f>SUM(J6:J15)</f>
        <v>88000</v>
      </c>
      <c r="K16" s="111"/>
      <c r="L16" s="119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6"/>
      <c r="T19" s="14"/>
      <c r="U19" s="15"/>
      <c r="V19" s="14"/>
    </row>
    <row r="20" spans="1:22" ht="17.100000000000001" customHeight="1">
      <c r="O20" s="11"/>
      <c r="P20" s="11"/>
      <c r="Q20" s="11"/>
      <c r="S20" s="15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8" t="s">
        <v>17</v>
      </c>
      <c r="Q21" s="158" t="s">
        <v>18</v>
      </c>
    </row>
    <row r="22" spans="1:22" ht="18" customHeight="1">
      <c r="O22" s="18" t="s">
        <v>19</v>
      </c>
      <c r="P22" s="159"/>
      <c r="Q22" s="159"/>
      <c r="S22" s="15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0"/>
      <c r="P27" s="160"/>
      <c r="Q27" s="160"/>
    </row>
    <row r="28" spans="1:22" ht="19.899999999999999" customHeight="1">
      <c r="O28" s="160"/>
      <c r="P28" s="160"/>
      <c r="Q28" s="16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8" t="s">
        <v>21</v>
      </c>
    </row>
    <row r="41" spans="15:22" ht="19.899999999999999" customHeight="1">
      <c r="T41" s="159"/>
    </row>
    <row r="42" spans="15:22" ht="64.900000000000006" customHeight="1">
      <c r="T42" s="14"/>
    </row>
    <row r="46" spans="15:22" ht="21" customHeight="1">
      <c r="O46" s="158" t="s">
        <v>21</v>
      </c>
      <c r="P46" s="158" t="s">
        <v>21</v>
      </c>
      <c r="Q46" s="158" t="s">
        <v>21</v>
      </c>
      <c r="T46" s="158" t="s">
        <v>22</v>
      </c>
      <c r="U46" s="158" t="s">
        <v>13</v>
      </c>
      <c r="V46" s="158" t="s">
        <v>21</v>
      </c>
    </row>
    <row r="47" spans="15:22" ht="21" customHeight="1">
      <c r="O47" s="159"/>
      <c r="P47" s="159"/>
      <c r="Q47" s="159"/>
      <c r="T47" s="157"/>
      <c r="U47" s="157"/>
      <c r="V47" s="15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8" t="s">
        <v>21</v>
      </c>
      <c r="P50" s="158" t="s">
        <v>21</v>
      </c>
      <c r="Q50" s="158" t="s">
        <v>21</v>
      </c>
      <c r="T50" s="158" t="s">
        <v>13</v>
      </c>
      <c r="U50" s="158" t="s">
        <v>22</v>
      </c>
      <c r="V50" s="158" t="s">
        <v>21</v>
      </c>
    </row>
    <row r="51" spans="15:22" ht="21" customHeight="1">
      <c r="O51" s="159"/>
      <c r="P51" s="159"/>
      <c r="Q51" s="159"/>
      <c r="T51" s="157"/>
      <c r="U51" s="157"/>
      <c r="V51" s="15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1" t="s">
        <v>100</v>
      </c>
      <c r="B1" s="98"/>
      <c r="C1" s="98"/>
      <c r="D1" s="98"/>
      <c r="E1" s="98"/>
      <c r="F1" s="98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99"/>
      <c r="C2" s="99"/>
      <c r="D2" s="3" t="str">
        <f>+MRS!D2</f>
        <v>Division (In charge Name) : ADMIN MANAGER (Dong Chang Kim)</v>
      </c>
      <c r="E2" s="99"/>
      <c r="F2" s="99"/>
      <c r="G2" s="20"/>
      <c r="H2" s="20"/>
      <c r="I2" s="20"/>
      <c r="J2" s="142" t="str">
        <f>+MRS!J2</f>
        <v>Subcontract name (SAC2-SC-IK-SMP-01)</v>
      </c>
      <c r="K2" s="144"/>
    </row>
    <row r="3" spans="1:18" ht="24.95" customHeight="1">
      <c r="A3" s="3" t="str">
        <f>+MRS!A3</f>
        <v xml:space="preserve">  MRS No : SAC2-DS-MRS-0345</v>
      </c>
      <c r="B3" s="99"/>
      <c r="C3" s="99"/>
      <c r="D3" s="99"/>
      <c r="E3" s="99"/>
      <c r="F3" s="99"/>
      <c r="G3" s="99"/>
      <c r="H3" s="99"/>
      <c r="I3" s="99"/>
      <c r="J3" s="99"/>
      <c r="K3" s="100">
        <f>+MRS!L3</f>
        <v>46207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94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Crane</v>
      </c>
      <c r="C6" s="164"/>
      <c r="D6" s="165" t="str">
        <f>MRS!D6</f>
        <v>RT Crane 100 Ton</v>
      </c>
      <c r="E6" s="166"/>
      <c r="F6" s="167"/>
      <c r="G6" s="101" t="str">
        <f>MRS!G6</f>
        <v>Month</v>
      </c>
      <c r="H6" s="101">
        <f>MRS!H6</f>
        <v>1</v>
      </c>
      <c r="I6" s="102">
        <f>MRS!I6</f>
        <v>80000</v>
      </c>
      <c r="J6" s="102">
        <f>MRS!J6</f>
        <v>80000</v>
      </c>
      <c r="K6" s="103"/>
      <c r="O6" s="104"/>
      <c r="P6" s="104"/>
      <c r="R6" s="104"/>
    </row>
    <row r="7" spans="1:18" ht="105" customHeight="1">
      <c r="A7" s="21">
        <f>+MRS!A7</f>
        <v>2</v>
      </c>
      <c r="B7" s="163" t="str">
        <f>MRS!B7</f>
        <v>Crane</v>
      </c>
      <c r="C7" s="164"/>
      <c r="D7" s="165" t="str">
        <f>MRS!D7</f>
        <v>Mobilization Charge</v>
      </c>
      <c r="E7" s="166"/>
      <c r="F7" s="167"/>
      <c r="G7" s="101" t="str">
        <f>MRS!G7</f>
        <v>Trip</v>
      </c>
      <c r="H7" s="101">
        <f>MRS!H7</f>
        <v>1</v>
      </c>
      <c r="I7" s="102">
        <f>MRS!I7</f>
        <v>4000</v>
      </c>
      <c r="J7" s="102">
        <f>MRS!J7</f>
        <v>4000</v>
      </c>
      <c r="K7" s="103"/>
      <c r="O7" s="104"/>
      <c r="P7" s="104"/>
      <c r="R7" s="104"/>
    </row>
    <row r="8" spans="1:18" ht="105" customHeight="1">
      <c r="A8" s="21">
        <f>+MRS!A8</f>
        <v>3</v>
      </c>
      <c r="B8" s="168"/>
      <c r="C8" s="169"/>
      <c r="D8" s="170"/>
      <c r="E8" s="171"/>
      <c r="F8" s="172"/>
      <c r="G8" s="105"/>
      <c r="H8" s="106"/>
      <c r="I8" s="107"/>
      <c r="J8" s="107"/>
      <c r="K8" s="103"/>
      <c r="O8" s="104"/>
      <c r="P8" s="104"/>
      <c r="R8" s="104"/>
    </row>
    <row r="9" spans="1:18" ht="105" customHeight="1">
      <c r="A9" s="21">
        <f>+MRS!A9</f>
        <v>4</v>
      </c>
      <c r="B9" s="168"/>
      <c r="C9" s="169"/>
      <c r="D9" s="170"/>
      <c r="E9" s="171"/>
      <c r="F9" s="172"/>
      <c r="G9" s="105"/>
      <c r="H9" s="106"/>
      <c r="I9" s="107"/>
      <c r="J9" s="107"/>
      <c r="K9" s="103"/>
      <c r="O9" s="104"/>
      <c r="P9" s="104"/>
      <c r="R9" s="104"/>
    </row>
    <row r="10" spans="1:18" ht="105" customHeight="1">
      <c r="A10" s="21">
        <f>+MRS!A10</f>
        <v>5</v>
      </c>
      <c r="B10" s="168"/>
      <c r="C10" s="169"/>
      <c r="D10" s="170"/>
      <c r="E10" s="171"/>
      <c r="F10" s="172"/>
      <c r="G10" s="105"/>
      <c r="H10" s="106"/>
      <c r="I10" s="107"/>
      <c r="J10" s="107"/>
      <c r="K10" s="103"/>
      <c r="O10" s="104"/>
      <c r="P10" s="104"/>
      <c r="R10" s="104"/>
    </row>
    <row r="11" spans="1:18" ht="105" customHeight="1">
      <c r="A11" s="21">
        <f>+MRS!A11</f>
        <v>6</v>
      </c>
      <c r="B11" s="168"/>
      <c r="C11" s="169"/>
      <c r="D11" s="170"/>
      <c r="E11" s="171"/>
      <c r="F11" s="172"/>
      <c r="G11" s="105"/>
      <c r="H11" s="106"/>
      <c r="I11" s="107"/>
      <c r="J11" s="107"/>
      <c r="K11" s="103"/>
      <c r="O11" s="104"/>
      <c r="P11" s="104"/>
      <c r="R11" s="104"/>
    </row>
    <row r="12" spans="1:18" ht="105" customHeight="1">
      <c r="A12" s="21">
        <f>+MRS!A12</f>
        <v>7</v>
      </c>
      <c r="B12" s="168"/>
      <c r="C12" s="169"/>
      <c r="D12" s="170"/>
      <c r="E12" s="171"/>
      <c r="F12" s="172"/>
      <c r="G12" s="105"/>
      <c r="H12" s="106"/>
      <c r="I12" s="107"/>
      <c r="J12" s="107"/>
      <c r="K12" s="103"/>
      <c r="O12" s="104"/>
      <c r="P12" s="104"/>
      <c r="R12" s="104"/>
    </row>
    <row r="13" spans="1:18" ht="105" customHeight="1">
      <c r="A13" s="21">
        <f>+MRS!A13</f>
        <v>8</v>
      </c>
      <c r="B13" s="168"/>
      <c r="C13" s="169"/>
      <c r="D13" s="170"/>
      <c r="E13" s="171"/>
      <c r="F13" s="172"/>
      <c r="G13" s="105"/>
      <c r="H13" s="106"/>
      <c r="I13" s="107"/>
      <c r="J13" s="107"/>
      <c r="K13" s="103"/>
      <c r="O13" s="104"/>
      <c r="P13" s="104"/>
      <c r="R13" s="104"/>
    </row>
    <row r="14" spans="1:18" ht="105" customHeight="1">
      <c r="A14" s="21">
        <f>+MRS!A14</f>
        <v>9</v>
      </c>
      <c r="B14" s="168"/>
      <c r="C14" s="169"/>
      <c r="D14" s="170"/>
      <c r="E14" s="171"/>
      <c r="F14" s="172"/>
      <c r="G14" s="105"/>
      <c r="H14" s="106"/>
      <c r="I14" s="107"/>
      <c r="J14" s="107"/>
      <c r="K14" s="103"/>
      <c r="O14" s="104"/>
      <c r="P14" s="104"/>
      <c r="R14" s="104"/>
    </row>
    <row r="15" spans="1:18" ht="105" customHeight="1">
      <c r="A15" s="21">
        <f>+MRS!A15</f>
        <v>10</v>
      </c>
      <c r="B15" s="168"/>
      <c r="C15" s="169"/>
      <c r="D15" s="170"/>
      <c r="E15" s="171"/>
      <c r="F15" s="172"/>
      <c r="G15" s="105"/>
      <c r="H15" s="106"/>
      <c r="I15" s="107"/>
      <c r="J15" s="107"/>
      <c r="K15" s="103"/>
      <c r="O15" s="104"/>
      <c r="P15" s="104"/>
      <c r="R15" s="104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5"/>
      <c r="H16" s="106"/>
      <c r="I16" s="107"/>
      <c r="J16" s="107"/>
      <c r="K16" s="103"/>
      <c r="O16" s="104"/>
      <c r="P16" s="104"/>
      <c r="R16" s="104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5"/>
      <c r="H17" s="106"/>
      <c r="I17" s="107"/>
      <c r="J17" s="107"/>
      <c r="K17" s="103"/>
      <c r="O17" s="104"/>
      <c r="P17" s="104"/>
      <c r="R17" s="104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F16" sqref="F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102</v>
      </c>
      <c r="D9" s="39"/>
      <c r="E9" s="39"/>
    </row>
    <row r="10" spans="2:13" s="39" customFormat="1">
      <c r="B10" s="72"/>
      <c r="C10" s="39" t="s">
        <v>33</v>
      </c>
      <c r="D10" s="76" t="s">
        <v>104</v>
      </c>
      <c r="J10" s="39" t="s">
        <v>34</v>
      </c>
      <c r="K10" s="174">
        <f>MRS!L3</f>
        <v>46207</v>
      </c>
      <c r="L10" s="175"/>
      <c r="M10" s="175"/>
    </row>
    <row r="11" spans="2:13" s="39" customFormat="1">
      <c r="B11" s="72"/>
      <c r="C11" s="75" t="s">
        <v>35</v>
      </c>
      <c r="D11" s="76" t="s">
        <v>116</v>
      </c>
      <c r="J11" s="39" t="s">
        <v>36</v>
      </c>
      <c r="K11" s="176" t="str">
        <f>SUBSTITUTE(SUBSTITUTE(+MRS!A3,"  MRS No : ",""),"-MRS","-PO")</f>
        <v>SAC2-DS-PO-0345</v>
      </c>
      <c r="L11" s="176"/>
      <c r="M11" s="176"/>
    </row>
    <row r="12" spans="2:13" s="39" customFormat="1">
      <c r="B12" s="72"/>
      <c r="C12" s="75" t="s">
        <v>37</v>
      </c>
      <c r="D12" s="39" t="s">
        <v>103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106</v>
      </c>
      <c r="J14" s="39" t="s">
        <v>40</v>
      </c>
      <c r="K14" s="39" t="s">
        <v>138</v>
      </c>
    </row>
    <row r="15" spans="2:13" s="39" customFormat="1">
      <c r="B15" s="72"/>
      <c r="C15" s="77" t="s">
        <v>105</v>
      </c>
      <c r="J15" s="39" t="s">
        <v>41</v>
      </c>
      <c r="K15" s="78">
        <v>46203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76" t="s">
        <v>135</v>
      </c>
      <c r="H26" s="204"/>
      <c r="M26" s="205" t="s">
        <v>47</v>
      </c>
    </row>
    <row r="27" spans="2:13" ht="11.1" customHeight="1">
      <c r="B27" s="32"/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81" t="s">
        <v>108</v>
      </c>
      <c r="G29" s="181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81"/>
      <c r="G30" s="181"/>
    </row>
    <row r="31" spans="2:13" ht="12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11.1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11.1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79" t="s">
        <v>66</v>
      </c>
      <c r="C49" s="80" t="s">
        <v>115</v>
      </c>
      <c r="P49" s="81"/>
    </row>
    <row r="50" spans="2:16" s="82" customFormat="1" ht="12" customHeight="1">
      <c r="B50" s="83" t="s">
        <v>66</v>
      </c>
      <c r="C50" s="80" t="s">
        <v>96</v>
      </c>
    </row>
    <row r="51" spans="2:16" s="82" customFormat="1" ht="12" customHeight="1">
      <c r="B51" s="83" t="s">
        <v>66</v>
      </c>
      <c r="C51" s="80" t="s">
        <v>95</v>
      </c>
    </row>
    <row r="52" spans="2:16" s="82" customFormat="1" ht="6" customHeight="1">
      <c r="B52" s="83"/>
      <c r="C52" s="80"/>
    </row>
    <row r="53" spans="2:16" ht="15" customHeight="1">
      <c r="B53" s="42">
        <v>7</v>
      </c>
      <c r="C53" s="32" t="s">
        <v>117</v>
      </c>
    </row>
    <row r="54" spans="2:16" ht="12" customHeight="1">
      <c r="B54" s="83" t="s">
        <v>66</v>
      </c>
      <c r="C54" s="124" t="s">
        <v>118</v>
      </c>
      <c r="F54" s="26" t="s">
        <v>126</v>
      </c>
      <c r="P54" s="26" t="str">
        <f>UPPER(F54)</f>
        <v>UNITED TECHNOLOGY CONTRACTING CO. LTD.</v>
      </c>
    </row>
    <row r="55" spans="2:16" ht="12" customHeight="1">
      <c r="B55" s="83" t="s">
        <v>66</v>
      </c>
      <c r="C55" s="124" t="s">
        <v>119</v>
      </c>
      <c r="F55" s="125" t="s">
        <v>136</v>
      </c>
    </row>
    <row r="56" spans="2:16" ht="12" customHeight="1">
      <c r="B56" s="83" t="s">
        <v>66</v>
      </c>
      <c r="C56" s="124" t="s">
        <v>120</v>
      </c>
      <c r="F56" s="125" t="s">
        <v>137</v>
      </c>
    </row>
    <row r="57" spans="2:16" ht="12" customHeight="1">
      <c r="B57" s="83" t="s">
        <v>66</v>
      </c>
      <c r="C57" s="124" t="s">
        <v>121</v>
      </c>
      <c r="F57" s="26" t="s">
        <v>127</v>
      </c>
    </row>
    <row r="58" spans="2:16" ht="12" customHeight="1">
      <c r="B58" s="83" t="s">
        <v>66</v>
      </c>
      <c r="C58" s="124" t="s">
        <v>122</v>
      </c>
      <c r="F58" s="26" t="s">
        <v>128</v>
      </c>
    </row>
    <row r="59" spans="2:16" ht="12" customHeight="1">
      <c r="B59" s="83" t="s">
        <v>66</v>
      </c>
      <c r="C59" s="124" t="s">
        <v>123</v>
      </c>
      <c r="F59" s="26" t="s">
        <v>124</v>
      </c>
    </row>
    <row r="60" spans="2:16" ht="12" customHeight="1">
      <c r="B60" s="83"/>
      <c r="C60" s="124" t="s">
        <v>125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45.75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Muhammed Huzaifa</v>
      </c>
    </row>
    <row r="68" spans="1:13" ht="18" customHeight="1">
      <c r="B68" s="26" t="s">
        <v>72</v>
      </c>
      <c r="J68" s="26" t="s">
        <v>73</v>
      </c>
      <c r="K68" s="22" t="s">
        <v>99</v>
      </c>
    </row>
    <row r="69" spans="1:13" ht="15" customHeight="1">
      <c r="B69" s="26" t="s">
        <v>74</v>
      </c>
      <c r="J69" s="26" t="s">
        <v>75</v>
      </c>
    </row>
    <row r="70" spans="1:13" s="28" customFormat="1" ht="15" customHeight="1">
      <c r="B70" s="25" t="s">
        <v>76</v>
      </c>
      <c r="J70" s="122" t="str">
        <f>C9</f>
        <v>UTCC(United Technology Contracting Co. Ltd.)</v>
      </c>
    </row>
    <row r="71" spans="1:13" ht="27.95" customHeight="1">
      <c r="A71" s="173" t="s">
        <v>77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SAC2-DS-PO-0345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46207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UTCC(United Technology Contracting Co. Ltd.)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98" t="str">
        <f>_xlfn.CONCAT(MRS!B6," ",MRS!D6)</f>
        <v>Crane RT Crane 100 Ton</v>
      </c>
      <c r="C6" s="199"/>
      <c r="D6" s="85" t="str">
        <f>MRS!G6</f>
        <v>Month</v>
      </c>
      <c r="E6" s="85">
        <f>MRS!H6</f>
        <v>1</v>
      </c>
      <c r="F6" s="86">
        <f>MRS!I6</f>
        <v>80000</v>
      </c>
      <c r="G6" s="87">
        <f>MRS!J6</f>
        <v>80000</v>
      </c>
      <c r="H6" s="88" t="str">
        <f>MRS!L6</f>
        <v>Monthly Based</v>
      </c>
      <c r="K6" s="89"/>
      <c r="L6" s="90"/>
      <c r="M6" s="56"/>
    </row>
    <row r="7" spans="1:13" s="55" customFormat="1" ht="32.1" customHeight="1">
      <c r="A7" s="84">
        <f t="shared" si="0"/>
        <v>2</v>
      </c>
      <c r="B7" s="198" t="str">
        <f>_xlfn.CONCAT(MRS!B7," ",MRS!D7)</f>
        <v>Crane Mobilization Charge</v>
      </c>
      <c r="C7" s="199"/>
      <c r="D7" s="85" t="str">
        <f>MRS!G7</f>
        <v>Trip</v>
      </c>
      <c r="E7" s="85">
        <f>MRS!H7</f>
        <v>1</v>
      </c>
      <c r="F7" s="86">
        <f>MRS!I7</f>
        <v>4000</v>
      </c>
      <c r="G7" s="87">
        <f>MRS!J7</f>
        <v>4000</v>
      </c>
      <c r="H7" s="88" t="str">
        <f>MRS!L7</f>
        <v>One Time</v>
      </c>
      <c r="K7" s="89"/>
      <c r="L7" s="90"/>
      <c r="M7" s="56"/>
    </row>
    <row r="8" spans="1:13" s="55" customFormat="1" ht="32.1" customHeight="1">
      <c r="A8" s="91">
        <f t="shared" si="0"/>
        <v>3</v>
      </c>
      <c r="B8" s="198" t="str">
        <f>_xlfn.CONCAT(MRS!B8," ",MRS!D8)</f>
        <v>Crane Demobilization Charge</v>
      </c>
      <c r="C8" s="199"/>
      <c r="D8" s="85" t="str">
        <f>MRS!G8</f>
        <v>Trip</v>
      </c>
      <c r="E8" s="85">
        <f>MRS!H8</f>
        <v>1</v>
      </c>
      <c r="F8" s="86">
        <f>MRS!I8</f>
        <v>4000</v>
      </c>
      <c r="G8" s="87">
        <f>MRS!J8</f>
        <v>4000</v>
      </c>
      <c r="H8" s="88" t="str">
        <f>MRS!L8</f>
        <v>One Time</v>
      </c>
      <c r="K8" s="56"/>
      <c r="L8" s="56"/>
      <c r="M8" s="56"/>
    </row>
    <row r="9" spans="1:13" s="55" customFormat="1" ht="32.1" customHeight="1">
      <c r="A9" s="91">
        <f t="shared" si="0"/>
        <v>4</v>
      </c>
      <c r="B9" s="182"/>
      <c r="C9" s="183"/>
      <c r="D9" s="92"/>
      <c r="E9" s="93"/>
      <c r="F9" s="94"/>
      <c r="G9" s="95"/>
      <c r="H9" s="96"/>
    </row>
    <row r="10" spans="1:13" s="55" customFormat="1" ht="32.1" customHeight="1">
      <c r="A10" s="91">
        <f t="shared" si="0"/>
        <v>5</v>
      </c>
      <c r="B10" s="182"/>
      <c r="C10" s="183"/>
      <c r="D10" s="92"/>
      <c r="E10" s="93"/>
      <c r="F10" s="94"/>
      <c r="G10" s="95"/>
      <c r="H10" s="96"/>
    </row>
    <row r="11" spans="1:13" s="55" customFormat="1" ht="32.1" customHeight="1">
      <c r="A11" s="91">
        <f t="shared" si="0"/>
        <v>6</v>
      </c>
      <c r="B11" s="182"/>
      <c r="C11" s="183"/>
      <c r="D11" s="92"/>
      <c r="E11" s="93"/>
      <c r="F11" s="94"/>
      <c r="G11" s="95"/>
      <c r="H11" s="96"/>
    </row>
    <row r="12" spans="1:13" s="55" customFormat="1" ht="32.1" customHeight="1">
      <c r="A12" s="91">
        <f t="shared" si="0"/>
        <v>7</v>
      </c>
      <c r="B12" s="182"/>
      <c r="C12" s="183"/>
      <c r="D12" s="92"/>
      <c r="E12" s="93"/>
      <c r="F12" s="94"/>
      <c r="G12" s="95"/>
      <c r="H12" s="96"/>
    </row>
    <row r="13" spans="1:13" s="55" customFormat="1" ht="32.1" customHeight="1">
      <c r="A13" s="91">
        <f t="shared" si="0"/>
        <v>8</v>
      </c>
      <c r="B13" s="182"/>
      <c r="C13" s="183"/>
      <c r="D13" s="92"/>
      <c r="E13" s="93"/>
      <c r="F13" s="94"/>
      <c r="G13" s="95"/>
      <c r="H13" s="96"/>
    </row>
    <row r="14" spans="1:13" s="55" customFormat="1" ht="32.1" customHeight="1">
      <c r="A14" s="91">
        <f t="shared" si="0"/>
        <v>9</v>
      </c>
      <c r="B14" s="182"/>
      <c r="C14" s="183"/>
      <c r="D14" s="92"/>
      <c r="E14" s="93"/>
      <c r="F14" s="97"/>
      <c r="G14" s="95"/>
      <c r="H14" s="96"/>
    </row>
    <row r="15" spans="1:13" s="55" customFormat="1" ht="32.1" customHeight="1">
      <c r="A15" s="91">
        <f t="shared" si="0"/>
        <v>10</v>
      </c>
      <c r="B15" s="182"/>
      <c r="C15" s="183"/>
      <c r="D15" s="92"/>
      <c r="E15" s="93"/>
      <c r="F15" s="97"/>
      <c r="G15" s="95"/>
      <c r="H15" s="96"/>
    </row>
    <row r="16" spans="1:13" s="55" customFormat="1" ht="32.1" customHeight="1">
      <c r="A16" s="91">
        <f t="shared" si="0"/>
        <v>11</v>
      </c>
      <c r="B16" s="182"/>
      <c r="C16" s="183"/>
      <c r="D16" s="92"/>
      <c r="E16" s="93"/>
      <c r="F16" s="94"/>
      <c r="G16" s="95"/>
      <c r="H16" s="96"/>
    </row>
    <row r="17" spans="1:13" s="55" customFormat="1" ht="32.1" customHeight="1">
      <c r="A17" s="91">
        <f t="shared" si="0"/>
        <v>12</v>
      </c>
      <c r="B17" s="182"/>
      <c r="C17" s="183"/>
      <c r="D17" s="92"/>
      <c r="E17" s="93"/>
      <c r="F17" s="94"/>
      <c r="G17" s="95"/>
      <c r="H17" s="96"/>
    </row>
    <row r="18" spans="1:13" s="55" customFormat="1" ht="23.1" customHeight="1">
      <c r="A18" s="200" t="s">
        <v>88</v>
      </c>
      <c r="B18" s="201"/>
      <c r="C18" s="201"/>
      <c r="D18" s="201"/>
      <c r="E18" s="201"/>
      <c r="F18" s="201"/>
      <c r="G18" s="58">
        <f>SUM(G6:G17)</f>
        <v>88000</v>
      </c>
      <c r="H18" s="59"/>
    </row>
    <row r="19" spans="1:13" s="55" customFormat="1" ht="23.1" customHeight="1">
      <c r="A19" s="200" t="s">
        <v>51</v>
      </c>
      <c r="B19" s="201"/>
      <c r="C19" s="201"/>
      <c r="D19" s="201"/>
      <c r="E19" s="201"/>
      <c r="F19" s="201"/>
      <c r="G19" s="58">
        <f>+G18*0.15</f>
        <v>13200</v>
      </c>
      <c r="H19" s="59"/>
    </row>
    <row r="20" spans="1:13" s="55" customFormat="1" ht="24.95" customHeight="1" thickBot="1">
      <c r="A20" s="202" t="s">
        <v>89</v>
      </c>
      <c r="B20" s="203"/>
      <c r="C20" s="203"/>
      <c r="D20" s="203"/>
      <c r="E20" s="203"/>
      <c r="F20" s="203"/>
      <c r="G20" s="60">
        <f>G19+G18</f>
        <v>101200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UT-EQUO-26-4246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2026-07-04T13:42:01Z</cp:lastPrinted>
  <dcterms:created xsi:type="dcterms:W3CDTF">2024-10-20T11:50:19Z</dcterms:created>
  <dcterms:modified xsi:type="dcterms:W3CDTF">2026-07-04T13:42:06Z</dcterms:modified>
</cp:coreProperties>
</file>