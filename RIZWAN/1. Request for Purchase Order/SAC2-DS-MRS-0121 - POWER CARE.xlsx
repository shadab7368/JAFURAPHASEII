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52250975-3BD0-45D3-8DF4-162DDEAF3F97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4" l="1"/>
  <c r="H7" i="4"/>
  <c r="J7" i="1"/>
  <c r="D7" i="4"/>
  <c r="K59" i="3" l="1"/>
  <c r="H6" i="4"/>
  <c r="E3" i="1"/>
  <c r="H7" i="2"/>
  <c r="E7" i="4" s="1"/>
  <c r="G7" i="2"/>
  <c r="D7" i="2"/>
  <c r="B7" i="2"/>
  <c r="B7" i="4" s="1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<sst xmlns="http://schemas.openxmlformats.org/spreadsheetml/2006/main" count="157" uniqueCount="124">
  <si>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</si>
  <si>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</si>
  <si>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</si>
  <si>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</si>
  <si>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</si>
  <si>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</si>
  <si>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</si>
  <si>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</si>
  <si>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</si>
  <si>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</si>
  <si>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</si>
  <si>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</si>
  <si>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PCM</t>
    <phoneticPr fontId="4" type="noConversion"/>
  </si>
  <si>
    <t>ADM</t>
    <phoneticPr fontId="4" type="noConversion"/>
  </si>
  <si>
    <t>PM</t>
    <phoneticPr fontId="11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</si>
  <si>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</si>
  <si>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</si>
  <si>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</si>
  <si>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PCM (Subcon)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</si>
  <si>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</si>
  <si>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</si>
  <si>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</si>
  <si>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</si>
  <si>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</si>
  <si>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</si>
  <si>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</si>
  <si>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</si>
  <si>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</si>
  <si>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</si>
  <si>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</si>
  <si>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</si>
  <si>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</si>
  <si>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</si>
  <si>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</si>
  <si>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</si>
  <si>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</si>
  <si>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</si>
  <si>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</si>
  <si>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</si>
  <si>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</si>
  <si>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</si>
  <si>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</si>
  <si>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</si>
  <si>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</si>
  <si>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</si>
  <si>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</si>
  <si>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</si>
  <si>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</si>
  <si>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</si>
  <si>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</si>
  <si>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</si>
  <si>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</si>
  <si>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</si>
  <si>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</si>
  <si>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</si>
  <si>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</si>
  <si>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</si>
  <si>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</si>
  <si>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</si>
  <si>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</si>
  <si>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</si>
  <si>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</si>
  <si>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</si>
  <si>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</si>
  <si>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</si>
  <si>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</si>
  <si>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</si>
  <si>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</si>
  <si>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</si>
  <si>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</si>
  <si>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</si>
  <si>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</si>
  <si>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</si>
  <si>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</si>
  <si>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</si>
  <si>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</si>
  <si>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</si>
  <si>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</si>
  <si>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</si>
  <si>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</si>
  <si>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</si>
  <si>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</si>
  <si>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</si>
  <si>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</si>
  <si>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</si>
  <si>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</si>
  <si>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</si>
  <si>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</si>
  <si>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</si>
  <si>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</si>
  <si>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</si>
  <si>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</si>
  <si>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</si>
  <si>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Month</t>
    <phoneticPr fontId="11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</si>
  <si>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</si>
  <si>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</si>
  <si>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</si>
  <si>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</si>
  <si>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</si>
  <si>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</si>
  <si>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Monthly based</t>
  </si>
  <si>
    <t>Monthly Based</t>
  </si>
  <si>
    <t>PCCL</t>
  </si>
  <si>
    <t>PCCL(Power Care Co. Ltd.)</t>
  </si>
  <si>
    <t>Mohammed Aarzoo</t>
  </si>
  <si>
    <t>+966 55 5014763 / Email:aarzoo@powercareksa.com</t>
  </si>
  <si>
    <t>Landline: +966 133627417 / Mobile : +966 555014763</t>
  </si>
  <si>
    <t>Director</t>
  </si>
  <si>
    <t>Bldg No . 8590 Al Jabal Street, Al Dana, Al Jubail</t>
  </si>
  <si>
    <t>Mob. &amp; De-Mob. / per unit - lump sum</t>
    <phoneticPr fontId="4" type="noConversion"/>
  </si>
  <si>
    <t>L/S</t>
  </si>
  <si>
    <t>310793666100003</t>
  </si>
  <si>
    <t>Generator</t>
  </si>
  <si>
    <t>Generator Mob &amp; De-Mob. Charge</t>
  </si>
  <si>
    <t>One Time</t>
  </si>
  <si>
    <t>Division (In charge Name) : ADMIN MANAGER (Dong Chang Kim)</t>
  </si>
  <si>
    <t xml:space="preserve">  Delivery &amp; Payment : Dong Chang Kim / Daeshin Admin. [ Mobile No. : +966 53 748 5762 / Email : kdchjs@daeshinplant.com ]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</si>
  <si>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</si>
  <si>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</si>
  <si>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-MRS-0121</t>
    </r>
  </si>
  <si>
    <t>TUV Certified 250 KVA Generator</t>
  </si>
  <si>
    <t>"</t>
  </si>
  <si>
    <t>PC-EQTN2025-1817</t>
  </si>
  <si>
    <t>250 KVA Generator TUV Certified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</si>
</sst>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39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5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8" fillId="0" borderId="45" xfId="6" applyFont="1" applyBorder="1" applyAlignment="1">
      <alignment vertical="center"/>
    </xf>
    <xf numFmtId="0" fontId="28" fillId="0" borderId="45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28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51" fillId="2" borderId="0" xfId="1" applyFont="1" applyFill="1" applyAlignment="1">
      <alignment vertical="center"/>
    </xf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18" fillId="3" borderId="0" xfId="5" applyFont="1" applyFill="1" applyAlignment="1">
      <alignment horizontal="left" wrapText="1"/>
    </xf>
    <xf numFmtId="0" fontId="44" fillId="3" borderId="23" xfId="5" applyFont="1" applyFill="1" applyBorder="1" applyAlignment="1">
      <alignment horizontal="left" vertical="center" wrapText="1"/>
    </xf>
    <xf numFmtId="0" fontId="44" fillId="3" borderId="24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28" fillId="3" borderId="0" xfId="5" quotePrefix="1" applyFont="1" applyFill="1" applyAlignment="1">
      <alignment horizontal="left"/>
    </xf>
  </cellXfs>
  <cellStyles count="39">
    <cellStyle name="Comma [0]" xfId="10" builtinId="6"/>
    <cellStyle name="Normal" xfId="0" builtinId="0"/>
    <cellStyle name="쉼표 [0] 2 2" xfId="4" xr:uid="{95D71F5C-65D6-4E85-84FE-774413508E1E}"/>
    <cellStyle name="쉼표 [0] 2 2 2" xfId="20" xr:uid="{843BFAE7-7FA3-4B59-B94E-3AADC027A301}"/>
    <cellStyle name="쉼표 [0] 2 2 2 2" xfId="36" xr:uid="{AAAE5600-170C-4B27-A437-9572256D657E}"/>
    <cellStyle name="쉼표 [0] 2 2 2 3" xfId="28" xr:uid="{1E7D79BB-C198-4842-889A-E17EA0A962BB}"/>
    <cellStyle name="쉼표 [0] 2 2 3" xfId="16" xr:uid="{5DB1ECBA-768E-457B-8347-5602F27078D7}"/>
    <cellStyle name="쉼표 [0] 2 2 3 2" xfId="32" xr:uid="{65B1C1D1-E3CA-4209-B90C-89EA2D67B02F}"/>
    <cellStyle name="쉼표 [0] 2 2 4" xfId="12" xr:uid="{6B1AD85A-25EC-4CE8-8E46-8D6670B2B375}"/>
    <cellStyle name="쉼표 [0] 2 2 5" xfId="24" xr:uid="{2FCAB974-2185-4A25-B909-0F1B89DD9BD9}"/>
    <cellStyle name="쉼표 2" xfId="9" xr:uid="{F2A3A689-A30F-4FCA-9C51-F28F11796A46}"/>
    <cellStyle name="쉼표 2 2" xfId="22" xr:uid="{D69AF00D-8DAE-4D2B-B5E0-E5DB2E7D9021}"/>
    <cellStyle name="쉼표 2 2 2" xfId="38" xr:uid="{12EEF49F-F3EC-4D28-9E87-983FFB71F17F}"/>
    <cellStyle name="쉼표 2 2 3" xfId="30" xr:uid="{C30C07CC-935F-4D81-9BCA-54F8D4EC9981}"/>
    <cellStyle name="쉼표 2 3" xfId="18" xr:uid="{AB7B30F1-B2B6-4CF3-A711-1A93C2551658}"/>
    <cellStyle name="쉼표 2 3 2" xfId="34" xr:uid="{AC0712CB-695C-46C3-AF96-F0685762E487}"/>
    <cellStyle name="쉼표 2 4" xfId="14" xr:uid="{7C6C239E-9E34-4BA7-A987-D55178EFEDFD}"/>
    <cellStyle name="쉼표 2 5" xfId="26" xr:uid="{899CFBC1-BB5D-40CA-98CD-A7F46A4B72B2}"/>
    <cellStyle name="표준 2 2" xfId="2" xr:uid="{12B761D3-4229-4E14-8168-D5975293A996}"/>
    <cellStyle name="표준 2 2 2" xfId="19" xr:uid="{48F0C246-0A9A-45D2-83D9-AF05892F0DF7}"/>
    <cellStyle name="표준 2 2 2 2" xfId="35" xr:uid="{29D2D4D7-858A-4B8A-A82D-C4CD496B374F}"/>
    <cellStyle name="표준 2 2 2 3" xfId="27" xr:uid="{A526583A-5819-4C54-AAD7-EC42324D0A5E}"/>
    <cellStyle name="표준 2 2 3" xfId="15" xr:uid="{BBA1A03B-0057-4B17-8096-BFB3A5A64A18}"/>
    <cellStyle name="표준 2 2 3 2" xfId="31" xr:uid="{BB306918-E0F0-4402-ADE3-615FA6582BEF}"/>
    <cellStyle name="표준 2 2 4" xfId="11" xr:uid="{320059B6-BE36-4040-A47E-6DEB231F448A}"/>
    <cellStyle name="표준 2 2 5" xfId="23" xr:uid="{B95651B5-078F-42A7-BB08-C517F1179EE6}"/>
    <cellStyle name="표준 2 3 2 2" xfId="5" xr:uid="{BD51BFCC-3D36-446B-BE80-7856DF8371E9}"/>
    <cellStyle name="표준 2 3 2 2 2" xfId="21" xr:uid="{89E61A53-6F19-44FA-A97A-73D08137A834}"/>
    <cellStyle name="표준 2 3 2 2 2 2" xfId="37" xr:uid="{8C82DC0A-34AA-491D-9B24-0C115876D3D6}"/>
    <cellStyle name="표준 2 3 2 2 2 3" xfId="29" xr:uid="{86F61ED3-CB98-4FC7-90ED-583B637F46A4}"/>
    <cellStyle name="표준 2 3 2 2 3" xfId="17" xr:uid="{56A54916-9EC5-4241-BFCE-E28B549DFC7A}"/>
    <cellStyle name="표준 2 3 2 2 3 2" xfId="33" xr:uid="{8FB5AE8E-8F13-4FCB-9275-B3CE0A9AF9B5}"/>
    <cellStyle name="표준 2 3 2 2 4" xfId="13" xr:uid="{270D41D4-5BD0-4940-8CE0-5206F3AF6C78}"/>
    <cellStyle name="표준 2 3 2 2 5" xfId="25" xr:uid="{AD92F5AD-859B-453E-8C51-4BCF3088BC95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812132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7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85974" y="4983079"/>
              <a:ext cx="4021054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43243</xdr:colOff>
      <xdr:row>6</xdr:row>
      <xdr:rowOff>117231</xdr:rowOff>
    </xdr:from>
    <xdr:to>
      <xdr:col>12</xdr:col>
      <xdr:colOff>575452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20" y="1091712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G23" sqref="G23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118</v>
      </c>
      <c r="B1" s="110"/>
      <c r="C1" s="110"/>
      <c r="D1" s="110"/>
      <c r="E1" s="110"/>
      <c r="F1" s="110"/>
      <c r="G1" s="1"/>
      <c r="J1" s="125" t="s">
        <v>92</v>
      </c>
      <c r="K1" s="126"/>
      <c r="L1" s="127"/>
    </row>
    <row r="2" spans="1:19" ht="20.100000000000001" customHeight="1">
      <c r="A2" s="3" t="s">
        <v>1</v>
      </c>
      <c r="B2" s="101"/>
      <c r="C2" s="101"/>
      <c r="D2" s="3" t="s">
        <v>115</v>
      </c>
      <c r="E2" s="101"/>
      <c r="F2" s="101"/>
      <c r="G2" s="101"/>
      <c r="H2" s="101"/>
      <c r="I2" s="4"/>
      <c r="J2" s="141" t="s">
        <v>117</v>
      </c>
      <c r="K2" s="142"/>
      <c r="L2" s="143"/>
    </row>
    <row r="3" spans="1:19" ht="20.100000000000001" customHeight="1">
      <c r="A3" s="3" t="s">
        <v>119</v>
      </c>
      <c r="B3" s="101"/>
      <c r="C3" s="101"/>
      <c r="D3" s="101"/>
      <c r="E3" s="128">
        <f>+L3</f>
        <v>45906</v>
      </c>
      <c r="F3" s="128"/>
      <c r="G3" s="128"/>
      <c r="H3" s="128"/>
      <c r="I3" s="128"/>
      <c r="J3" s="101"/>
      <c r="K3" s="101"/>
      <c r="L3" s="122">
        <v>45906</v>
      </c>
      <c r="M3" s="4"/>
    </row>
    <row r="4" spans="1:19" ht="15.95" customHeight="1">
      <c r="A4" s="129" t="s">
        <v>2</v>
      </c>
      <c r="B4" s="130" t="s">
        <v>3</v>
      </c>
      <c r="C4" s="130"/>
      <c r="D4" s="131" t="s">
        <v>4</v>
      </c>
      <c r="E4" s="132"/>
      <c r="F4" s="133"/>
      <c r="G4" s="137" t="s">
        <v>5</v>
      </c>
      <c r="H4" s="139" t="s">
        <v>6</v>
      </c>
      <c r="I4" s="139" t="s">
        <v>97</v>
      </c>
      <c r="J4" s="129" t="s">
        <v>98</v>
      </c>
      <c r="K4" s="139" t="s">
        <v>0</v>
      </c>
      <c r="L4" s="130" t="s">
        <v>7</v>
      </c>
    </row>
    <row r="5" spans="1:19" ht="15.95" customHeight="1">
      <c r="A5" s="129"/>
      <c r="B5" s="130"/>
      <c r="C5" s="130"/>
      <c r="D5" s="134"/>
      <c r="E5" s="135"/>
      <c r="F5" s="136"/>
      <c r="G5" s="138"/>
      <c r="H5" s="140"/>
      <c r="I5" s="140"/>
      <c r="J5" s="129"/>
      <c r="K5" s="140"/>
      <c r="L5" s="130"/>
    </row>
    <row r="6" spans="1:19" ht="22.5" customHeight="1">
      <c r="A6" s="5">
        <f t="shared" ref="A6:A15" si="0">ROW(A1)</f>
        <v>1</v>
      </c>
      <c r="B6" s="144" t="s">
        <v>112</v>
      </c>
      <c r="C6" s="145"/>
      <c r="D6" s="146" t="s">
        <v>120</v>
      </c>
      <c r="E6" s="147"/>
      <c r="F6" s="148"/>
      <c r="G6" s="111" t="s">
        <v>93</v>
      </c>
      <c r="H6" s="112">
        <v>2</v>
      </c>
      <c r="I6" s="113">
        <v>8000</v>
      </c>
      <c r="J6" s="113">
        <f>H6*I6</f>
        <v>16000</v>
      </c>
      <c r="K6" s="114" t="s">
        <v>102</v>
      </c>
      <c r="L6" s="115" t="s">
        <v>101</v>
      </c>
      <c r="S6" s="106"/>
    </row>
    <row r="7" spans="1:19" ht="22.5" customHeight="1">
      <c r="A7" s="5">
        <f t="shared" si="0"/>
        <v>2</v>
      </c>
      <c r="B7" s="144" t="s">
        <v>113</v>
      </c>
      <c r="C7" s="145"/>
      <c r="D7" s="149" t="s">
        <v>109</v>
      </c>
      <c r="E7" s="147"/>
      <c r="F7" s="148"/>
      <c r="G7" s="111" t="s">
        <v>110</v>
      </c>
      <c r="H7" s="112">
        <v>2</v>
      </c>
      <c r="I7" s="113">
        <v>1900</v>
      </c>
      <c r="J7" s="113">
        <f>H7*I7</f>
        <v>3800</v>
      </c>
      <c r="K7" s="114" t="s">
        <v>121</v>
      </c>
      <c r="L7" s="115" t="s">
        <v>114</v>
      </c>
      <c r="S7" s="106"/>
    </row>
    <row r="8" spans="1:19" ht="22.5" customHeight="1">
      <c r="A8" s="5">
        <f t="shared" si="0"/>
        <v>3</v>
      </c>
      <c r="B8" s="144"/>
      <c r="C8" s="145"/>
      <c r="D8" s="146"/>
      <c r="E8" s="147"/>
      <c r="F8" s="148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44"/>
      <c r="C9" s="145"/>
      <c r="D9" s="146"/>
      <c r="E9" s="147"/>
      <c r="F9" s="148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50"/>
      <c r="C10" s="150"/>
      <c r="D10" s="151"/>
      <c r="E10" s="151"/>
      <c r="F10" s="151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44"/>
      <c r="C11" s="145"/>
      <c r="D11" s="146"/>
      <c r="E11" s="147"/>
      <c r="F11" s="148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50"/>
      <c r="C12" s="150"/>
      <c r="D12" s="151"/>
      <c r="E12" s="151"/>
      <c r="F12" s="151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44"/>
      <c r="C13" s="145"/>
      <c r="D13" s="146"/>
      <c r="E13" s="147"/>
      <c r="F13" s="148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44"/>
      <c r="C14" s="145"/>
      <c r="D14" s="146"/>
      <c r="E14" s="147"/>
      <c r="F14" s="148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44"/>
      <c r="C15" s="145"/>
      <c r="D15" s="146"/>
      <c r="E15" s="147"/>
      <c r="F15" s="148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52" t="s">
        <v>8</v>
      </c>
      <c r="B16" s="153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19800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4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5"/>
      <c r="T19" s="14"/>
      <c r="U19" s="15"/>
      <c r="V19" s="14"/>
    </row>
    <row r="20" spans="1:22" ht="17.100000000000001" customHeight="1">
      <c r="O20" s="11"/>
      <c r="P20" s="11"/>
      <c r="Q20" s="11"/>
      <c r="S20" s="156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7" t="s">
        <v>17</v>
      </c>
      <c r="Q21" s="157" t="s">
        <v>18</v>
      </c>
    </row>
    <row r="22" spans="1:22" ht="18" customHeight="1">
      <c r="O22" s="18" t="s">
        <v>19</v>
      </c>
      <c r="P22" s="158"/>
      <c r="Q22" s="158"/>
      <c r="S22" s="154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5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6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59"/>
      <c r="P27" s="159"/>
      <c r="Q27" s="159"/>
    </row>
    <row r="28" spans="1:22" ht="19.899999999999999" customHeight="1">
      <c r="O28" s="159"/>
      <c r="P28" s="159"/>
      <c r="Q28" s="159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7" t="s">
        <v>21</v>
      </c>
    </row>
    <row r="41" spans="15:22" ht="19.899999999999999" customHeight="1">
      <c r="T41" s="158"/>
    </row>
    <row r="42" spans="15:22" ht="64.900000000000006" customHeight="1">
      <c r="T42" s="14"/>
    </row>
    <row r="46" spans="15:22" ht="21" customHeight="1">
      <c r="O46" s="157" t="s">
        <v>21</v>
      </c>
      <c r="P46" s="157" t="s">
        <v>21</v>
      </c>
      <c r="Q46" s="157" t="s">
        <v>21</v>
      </c>
      <c r="T46" s="157" t="s">
        <v>22</v>
      </c>
      <c r="U46" s="157" t="s">
        <v>13</v>
      </c>
      <c r="V46" s="157" t="s">
        <v>21</v>
      </c>
    </row>
    <row r="47" spans="15:22" ht="21" customHeight="1">
      <c r="O47" s="158"/>
      <c r="P47" s="158"/>
      <c r="Q47" s="158"/>
      <c r="T47" s="156"/>
      <c r="U47" s="156"/>
      <c r="V47" s="15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7" t="s">
        <v>21</v>
      </c>
      <c r="P50" s="157" t="s">
        <v>21</v>
      </c>
      <c r="Q50" s="157" t="s">
        <v>21</v>
      </c>
      <c r="T50" s="157" t="s">
        <v>13</v>
      </c>
      <c r="U50" s="157" t="s">
        <v>22</v>
      </c>
      <c r="V50" s="157" t="s">
        <v>21</v>
      </c>
    </row>
    <row r="51" spans="15:22" ht="21" customHeight="1">
      <c r="O51" s="158"/>
      <c r="P51" s="158"/>
      <c r="Q51" s="158"/>
      <c r="T51" s="156"/>
      <c r="U51" s="156"/>
      <c r="V51" s="15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7" activePane="bottomLeft" state="frozen"/>
      <selection activeCell="D30" sqref="D30"/>
      <selection pane="bottomLeft" activeCell="R8" sqref="R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99</v>
      </c>
      <c r="B1" s="100"/>
      <c r="C1" s="100"/>
      <c r="D1" s="100"/>
      <c r="E1" s="100"/>
      <c r="F1" s="100"/>
      <c r="G1" s="1"/>
      <c r="J1" s="125" t="str">
        <f>+MRS!J1</f>
        <v>DAESHIN PLANT</v>
      </c>
      <c r="K1" s="127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1" t="str">
        <f>+MRS!J2</f>
        <v>Subcontract name (SAC2-SC-IK-SMP-01)</v>
      </c>
      <c r="K2" s="143"/>
    </row>
    <row r="3" spans="1:18" ht="24.95" customHeight="1">
      <c r="A3" s="3" t="str">
        <f>+MRS!A3</f>
        <v xml:space="preserve">  MRS No : SAC2-DS-MRS-0121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45906</v>
      </c>
    </row>
    <row r="4" spans="1:18" ht="15.95" customHeight="1">
      <c r="A4" s="160" t="s">
        <v>2</v>
      </c>
      <c r="B4" s="161" t="s">
        <v>23</v>
      </c>
      <c r="C4" s="161"/>
      <c r="D4" s="160" t="s">
        <v>4</v>
      </c>
      <c r="E4" s="160"/>
      <c r="F4" s="160"/>
      <c r="G4" s="161" t="s">
        <v>5</v>
      </c>
      <c r="H4" s="160" t="s">
        <v>94</v>
      </c>
      <c r="I4" s="160" t="s">
        <v>24</v>
      </c>
      <c r="J4" s="160" t="s">
        <v>25</v>
      </c>
      <c r="K4" s="161" t="s">
        <v>7</v>
      </c>
    </row>
    <row r="5" spans="1:18" ht="15.95" customHeight="1">
      <c r="A5" s="160"/>
      <c r="B5" s="161"/>
      <c r="C5" s="161"/>
      <c r="D5" s="160"/>
      <c r="E5" s="160"/>
      <c r="F5" s="160"/>
      <c r="G5" s="161"/>
      <c r="H5" s="160"/>
      <c r="I5" s="160"/>
      <c r="J5" s="160"/>
      <c r="K5" s="161"/>
    </row>
    <row r="6" spans="1:18" ht="105" customHeight="1">
      <c r="A6" s="21">
        <f>+MRS!A6</f>
        <v>1</v>
      </c>
      <c r="B6" s="162" t="str">
        <f>MRS!B6</f>
        <v>Generator</v>
      </c>
      <c r="C6" s="163"/>
      <c r="D6" s="164" t="str">
        <f>MRS!D6</f>
        <v>TUV Certified 250 KVA Generator</v>
      </c>
      <c r="E6" s="165"/>
      <c r="F6" s="166"/>
      <c r="G6" s="103" t="str">
        <f>MRS!G6</f>
        <v>Month</v>
      </c>
      <c r="H6" s="103">
        <f>MRS!H6</f>
        <v>2</v>
      </c>
      <c r="I6" s="104">
        <f>MRS!I6</f>
        <v>8000</v>
      </c>
      <c r="J6" s="104">
        <f>MRS!J6</f>
        <v>16000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2" t="str">
        <f>MRS!B7</f>
        <v>Generator Mob &amp; De-Mob. Charge</v>
      </c>
      <c r="C7" s="163"/>
      <c r="D7" s="164" t="str">
        <f>MRS!D7</f>
        <v>Mob. &amp; De-Mob. / per unit - lump sum</v>
      </c>
      <c r="E7" s="165"/>
      <c r="F7" s="166"/>
      <c r="G7" s="103" t="str">
        <f>MRS!G7</f>
        <v>L/S</v>
      </c>
      <c r="H7" s="103">
        <f>MRS!H7</f>
        <v>2</v>
      </c>
      <c r="I7" s="104">
        <f>MRS!I7</f>
        <v>1900</v>
      </c>
      <c r="J7" s="104">
        <f>MRS!J7</f>
        <v>3800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7"/>
      <c r="C8" s="168"/>
      <c r="D8" s="169"/>
      <c r="E8" s="170"/>
      <c r="F8" s="171"/>
      <c r="G8" s="107"/>
      <c r="H8" s="108"/>
      <c r="I8" s="109"/>
      <c r="J8" s="109"/>
      <c r="K8" s="105"/>
      <c r="O8" s="106"/>
      <c r="P8" s="106"/>
      <c r="R8" s="106"/>
    </row>
    <row r="9" spans="1:18" ht="105" customHeight="1">
      <c r="A9" s="21">
        <f>+MRS!A9</f>
        <v>4</v>
      </c>
      <c r="B9" s="167"/>
      <c r="C9" s="168"/>
      <c r="D9" s="169"/>
      <c r="E9" s="170"/>
      <c r="F9" s="171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67"/>
      <c r="C10" s="168"/>
      <c r="D10" s="169"/>
      <c r="E10" s="170"/>
      <c r="F10" s="171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67"/>
      <c r="C11" s="168"/>
      <c r="D11" s="169"/>
      <c r="E11" s="170"/>
      <c r="F11" s="171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67"/>
      <c r="C12" s="168"/>
      <c r="D12" s="169"/>
      <c r="E12" s="170"/>
      <c r="F12" s="171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7"/>
      <c r="C13" s="168"/>
      <c r="D13" s="169"/>
      <c r="E13" s="170"/>
      <c r="F13" s="171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7"/>
      <c r="C14" s="168"/>
      <c r="D14" s="169"/>
      <c r="E14" s="170"/>
      <c r="F14" s="171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7"/>
      <c r="C15" s="168"/>
      <c r="D15" s="169"/>
      <c r="E15" s="170"/>
      <c r="F15" s="171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7"/>
      <c r="C16" s="168"/>
      <c r="D16" s="169"/>
      <c r="E16" s="170"/>
      <c r="F16" s="171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7"/>
      <c r="C17" s="168"/>
      <c r="D17" s="169"/>
      <c r="E17" s="170"/>
      <c r="F17" s="171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tabSelected="1" view="pageBreakPreview" zoomScale="115" zoomScaleNormal="100" zoomScaleSheetLayoutView="115" workbookViewId="0">
      <selection activeCell="K15" sqref="K1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103</v>
      </c>
      <c r="D9" s="39"/>
      <c r="E9" s="39"/>
    </row>
    <row r="10" spans="2:13" s="39" customFormat="1">
      <c r="B10" s="72"/>
      <c r="C10" s="39" t="s">
        <v>33</v>
      </c>
      <c r="D10" s="204">
        <v>2055132011</v>
      </c>
      <c r="J10" s="39" t="s">
        <v>34</v>
      </c>
      <c r="K10" s="173">
        <f>MRS!L3</f>
        <v>45906</v>
      </c>
      <c r="L10" s="174"/>
      <c r="M10" s="174"/>
    </row>
    <row r="11" spans="2:13" s="39" customFormat="1">
      <c r="B11" s="72"/>
      <c r="C11" s="75" t="s">
        <v>35</v>
      </c>
      <c r="D11" s="76" t="s">
        <v>111</v>
      </c>
      <c r="J11" s="39" t="s">
        <v>36</v>
      </c>
      <c r="K11" s="175" t="str">
        <f>SUBSTITUTE(SUBSTITUTE(+MRS!A3,"  MRS No : ",""),"-MRS","-PO")</f>
        <v>SAC2-DS-PO-0121</v>
      </c>
      <c r="L11" s="175"/>
      <c r="M11" s="175"/>
    </row>
    <row r="12" spans="2:13" s="39" customFormat="1">
      <c r="B12" s="72"/>
      <c r="C12" s="75" t="s">
        <v>37</v>
      </c>
      <c r="D12" s="39" t="s">
        <v>104</v>
      </c>
      <c r="J12" s="39" t="s">
        <v>38</v>
      </c>
    </row>
    <row r="13" spans="2:13" s="39" customFormat="1">
      <c r="B13" s="72"/>
      <c r="C13" s="77"/>
      <c r="D13" s="76" t="s">
        <v>105</v>
      </c>
      <c r="J13" s="39" t="s">
        <v>39</v>
      </c>
    </row>
    <row r="14" spans="2:13" s="39" customFormat="1">
      <c r="B14" s="72"/>
      <c r="C14" s="77" t="s">
        <v>108</v>
      </c>
      <c r="J14" s="39" t="s">
        <v>40</v>
      </c>
      <c r="K14" s="39" t="s">
        <v>122</v>
      </c>
    </row>
    <row r="15" spans="2:13" s="39" customFormat="1">
      <c r="B15" s="72"/>
      <c r="C15" s="77" t="s">
        <v>106</v>
      </c>
      <c r="J15" s="39" t="s">
        <v>41</v>
      </c>
      <c r="K15" s="78">
        <v>45899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6" t="s">
        <v>42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43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44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45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123</v>
      </c>
      <c r="M26" s="79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80" t="s">
        <v>100</v>
      </c>
      <c r="G29" s="180"/>
      <c r="H29" s="33"/>
      <c r="M29" s="34"/>
    </row>
    <row r="30" spans="2:13" ht="15" customHeight="1">
      <c r="B30" s="32"/>
      <c r="C30" s="26" t="s">
        <v>51</v>
      </c>
      <c r="E30" s="26" t="s">
        <v>50</v>
      </c>
      <c r="F30" s="180"/>
      <c r="G30" s="180"/>
    </row>
    <row r="31" spans="2:13" ht="15" customHeight="1">
      <c r="B31" s="32"/>
      <c r="C31" s="26" t="s">
        <v>52</v>
      </c>
      <c r="D31" s="35"/>
      <c r="E31" s="26" t="s">
        <v>50</v>
      </c>
      <c r="F31" s="180"/>
      <c r="G31" s="180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81" t="s">
        <v>116</v>
      </c>
      <c r="P49" s="82"/>
    </row>
    <row r="50" spans="1:16" s="83" customFormat="1" ht="15" customHeight="1">
      <c r="B50" s="84" t="s">
        <v>66</v>
      </c>
      <c r="C50" s="81" t="s">
        <v>96</v>
      </c>
    </row>
    <row r="51" spans="1:16" s="83" customFormat="1" ht="15" customHeight="1">
      <c r="B51" s="84" t="s">
        <v>66</v>
      </c>
      <c r="C51" s="81" t="s">
        <v>95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50.1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Mohammed Aarzoo</v>
      </c>
    </row>
    <row r="60" spans="1:16" ht="18" customHeight="1">
      <c r="B60" s="26" t="s">
        <v>72</v>
      </c>
      <c r="J60" s="26" t="s">
        <v>73</v>
      </c>
      <c r="K60" s="22" t="s">
        <v>107</v>
      </c>
    </row>
    <row r="61" spans="1:16" ht="15" customHeight="1">
      <c r="B61" s="26" t="s">
        <v>74</v>
      </c>
      <c r="J61" s="26" t="s">
        <v>75</v>
      </c>
    </row>
    <row r="62" spans="1:16" s="28" customFormat="1" ht="24.75" customHeight="1">
      <c r="B62" s="25" t="s">
        <v>76</v>
      </c>
      <c r="J62" s="181" t="str">
        <f>C9</f>
        <v>PCCL(Power Care Co. Ltd.)</v>
      </c>
      <c r="K62" s="181"/>
      <c r="L62" s="181"/>
      <c r="M62" s="181"/>
    </row>
    <row r="63" spans="1:16" ht="27.95" customHeight="1">
      <c r="A63" s="172" t="s">
        <v>77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SAC2-DS-PO-0121</v>
      </c>
      <c r="C2" s="184" t="s">
        <v>79</v>
      </c>
      <c r="D2" s="184"/>
      <c r="E2" s="184"/>
      <c r="F2" s="184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45906</v>
      </c>
      <c r="C3" s="51"/>
      <c r="D3" s="52"/>
      <c r="E3" s="185" t="s">
        <v>81</v>
      </c>
      <c r="F3" s="185"/>
      <c r="G3" s="185"/>
      <c r="H3" s="185"/>
      <c r="I3" s="53"/>
    </row>
    <row r="4" spans="1:13" s="55" customFormat="1" ht="28.5" customHeight="1" thickTop="1">
      <c r="A4" s="186" t="s">
        <v>82</v>
      </c>
      <c r="B4" s="188" t="s">
        <v>83</v>
      </c>
      <c r="C4" s="189"/>
      <c r="D4" s="192" t="s">
        <v>84</v>
      </c>
      <c r="E4" s="192" t="s">
        <v>85</v>
      </c>
      <c r="F4" s="194" t="str">
        <f>'PO 1st page'!C9</f>
        <v>PCCL(Power Care Co. Ltd.)</v>
      </c>
      <c r="G4" s="195"/>
      <c r="H4" s="196" t="s">
        <v>86</v>
      </c>
      <c r="K4" s="56"/>
      <c r="L4" s="56"/>
      <c r="M4" s="56"/>
    </row>
    <row r="5" spans="1:13" s="55" customFormat="1" ht="21.95" customHeight="1">
      <c r="A5" s="187"/>
      <c r="B5" s="190"/>
      <c r="C5" s="191"/>
      <c r="D5" s="193"/>
      <c r="E5" s="193"/>
      <c r="F5" s="57" t="s">
        <v>87</v>
      </c>
      <c r="G5" s="57" t="s">
        <v>52</v>
      </c>
      <c r="H5" s="197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98" t="str">
        <f>CONCATENATE(MRS!B6," ",MRS!D6)</f>
        <v>Generator TUV Certified 250 KVA Generator</v>
      </c>
      <c r="C6" s="199"/>
      <c r="D6" s="86" t="str">
        <f>+'MRS LIST'!G6</f>
        <v>Month</v>
      </c>
      <c r="E6" s="87">
        <f>+'MRS LIST'!H6</f>
        <v>2</v>
      </c>
      <c r="F6" s="88">
        <f>+'MRS LIST'!I6</f>
        <v>8000</v>
      </c>
      <c r="G6" s="89">
        <f>+'MRS LIST'!J6</f>
        <v>16000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98" t="str">
        <f>+'MRS LIST'!B7</f>
        <v>Generator Mob &amp; De-Mob. Charge</v>
      </c>
      <c r="C7" s="199"/>
      <c r="D7" s="86" t="str">
        <f>+'MRS LIST'!G7</f>
        <v>L/S</v>
      </c>
      <c r="E7" s="87">
        <f>+'MRS LIST'!H7</f>
        <v>2</v>
      </c>
      <c r="F7" s="88">
        <f>+'MRS LIST'!I7</f>
        <v>1900</v>
      </c>
      <c r="G7" s="89">
        <f>+'MRS LIST'!J7</f>
        <v>3800</v>
      </c>
      <c r="H7" s="90" t="str">
        <f>MRS!L7</f>
        <v>One Time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182"/>
      <c r="C8" s="183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2"/>
      <c r="C9" s="183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2"/>
      <c r="C10" s="183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2"/>
      <c r="C11" s="183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2"/>
      <c r="C12" s="183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2"/>
      <c r="C13" s="183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2"/>
      <c r="C14" s="183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2"/>
      <c r="C15" s="183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2"/>
      <c r="C16" s="183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2"/>
      <c r="C17" s="183"/>
      <c r="D17" s="94"/>
      <c r="E17" s="95"/>
      <c r="F17" s="96"/>
      <c r="G17" s="97"/>
      <c r="H17" s="98"/>
    </row>
    <row r="18" spans="1:13" s="55" customFormat="1" ht="23.1" customHeight="1">
      <c r="A18" s="200" t="s">
        <v>88</v>
      </c>
      <c r="B18" s="201"/>
      <c r="C18" s="201"/>
      <c r="D18" s="201"/>
      <c r="E18" s="201"/>
      <c r="F18" s="201"/>
      <c r="G18" s="58">
        <f>SUM(G6:G17)</f>
        <v>19800</v>
      </c>
      <c r="H18" s="59"/>
    </row>
    <row r="19" spans="1:13" s="55" customFormat="1" ht="23.1" customHeight="1">
      <c r="A19" s="200" t="s">
        <v>51</v>
      </c>
      <c r="B19" s="201"/>
      <c r="C19" s="201"/>
      <c r="D19" s="201"/>
      <c r="E19" s="201"/>
      <c r="F19" s="201"/>
      <c r="G19" s="58">
        <f>+G18*0.15</f>
        <v>2970</v>
      </c>
      <c r="H19" s="59"/>
    </row>
    <row r="20" spans="1:13" s="55" customFormat="1" ht="24.95" customHeight="1" thickBot="1">
      <c r="A20" s="202" t="s">
        <v>89</v>
      </c>
      <c r="B20" s="203"/>
      <c r="C20" s="203"/>
      <c r="D20" s="203"/>
      <c r="E20" s="203"/>
      <c r="F20" s="203"/>
      <c r="G20" s="60">
        <f>G19+G18</f>
        <v>22770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PC-EQTN2025-1817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2" t="s">
        <v>91</v>
      </c>
      <c r="B24" s="172"/>
      <c r="C24" s="172"/>
      <c r="D24" s="172"/>
      <c r="E24" s="172"/>
      <c r="F24" s="172"/>
      <c r="G24" s="172"/>
      <c r="H24" s="172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2025-09-06T05:20:06Z</cp:lastPrinted>
  <dcterms:created xsi:type="dcterms:W3CDTF">2024-10-20T11:50:19Z</dcterms:created>
  <dcterms:modified xsi:type="dcterms:W3CDTF">2025-09-06T05:22:31Z</dcterms:modified>
</cp:coreProperties>
</file>