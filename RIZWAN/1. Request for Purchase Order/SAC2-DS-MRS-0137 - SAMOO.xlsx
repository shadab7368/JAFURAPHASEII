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69F2890-EF75-4431-8EEA-43014E0BAAD5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4" l="1"/>
  <c r="B8" i="4"/>
  <c r="B7" i="4"/>
  <c r="B6" i="4"/>
  <c r="D8" i="4"/>
  <c r="J9" i="1"/>
  <c r="J9" i="2" s="1"/>
  <c r="G9" i="4" s="1"/>
  <c r="J8" i="1"/>
  <c r="J8" i="2" s="1"/>
  <c r="G8" i="4" s="1"/>
  <c r="J7" i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F9" i="4" s="1"/>
  <c r="H9" i="2"/>
  <c r="E9" i="4" s="1"/>
  <c r="G9" i="2"/>
  <c r="D9" i="4" s="1"/>
  <c r="D9" i="2"/>
  <c r="B9" i="2"/>
  <c r="I8" i="2"/>
  <c r="F8" i="4" s="1"/>
  <c r="H8" i="2"/>
  <c r="E8" i="4" s="1"/>
  <c r="G8" i="2"/>
  <c r="D8" i="2"/>
  <c r="B8" i="2"/>
  <c r="K59" i="3"/>
  <c r="E3" i="1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<sst xmlns="http://schemas.openxmlformats.org/spreadsheetml/2006/main" count="148" uniqueCount="123">
  <si>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</si>
  <si>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</si>
  <si>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</si>
  <si>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</si>
  <si>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</si>
  <si>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</si>
  <si>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</si>
  <si>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</si>
  <si>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</si>
  <si>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</si>
  <si>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</si>
  <si>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</si>
  <si>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</si>
  <si>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</si>
  <si>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</si>
  <si>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</si>
  <si>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</si>
  <si>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</si>
  <si>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</si>
  <si>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</si>
  <si>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</si>
  <si>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</si>
  <si>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</si>
  <si>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</si>
  <si>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</si>
  <si>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</si>
  <si>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</si>
  <si>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</si>
  <si>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</si>
  <si>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</si>
  <si>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</si>
  <si>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</si>
  <si>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</si>
  <si>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</si>
  <si>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</si>
  <si>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</si>
  <si>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</si>
  <si>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</si>
  <si>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</si>
  <si>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</si>
  <si>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</si>
  <si>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</si>
  <si>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</si>
  <si>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</si>
  <si>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</si>
  <si>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</si>
  <si>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</si>
  <si>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</si>
  <si>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</si>
  <si>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</si>
  <si>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</si>
  <si>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</si>
  <si>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</si>
  <si>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</si>
  <si>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</si>
  <si>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</si>
  <si>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</si>
  <si>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</si>
  <si>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</si>
  <si>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</si>
  <si>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</si>
  <si>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</si>
  <si>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</si>
  <si>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</si>
  <si>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</si>
  <si>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</si>
  <si>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</si>
  <si>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</si>
  <si>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</si>
  <si>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</si>
  <si>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</si>
  <si>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</si>
  <si>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</si>
  <si>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</si>
  <si>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</si>
  <si>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</si>
  <si>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</si>
  <si>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</si>
  <si>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</si>
  <si>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</si>
  <si>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</si>
  <si>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</si>
  <si>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</si>
  <si>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</si>
  <si>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</si>
  <si>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</si>
  <si>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</si>
  <si>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</si>
  <si>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</si>
  <si>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</si>
  <si>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</si>
  <si>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</si>
  <si>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</si>
  <si>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</si>
  <si>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</si>
  <si>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</si>
  <si>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</si>
  <si>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</si>
  <si>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</si>
  <si>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</si>
  <si>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Sweet Water</t>
  </si>
  <si>
    <t>6,000 Liters</t>
  </si>
  <si>
    <t>32,000 Liters</t>
  </si>
  <si>
    <t>18,000 Liters</t>
  </si>
  <si>
    <t>ICE</t>
  </si>
  <si>
    <t>4 KG/PACK</t>
  </si>
  <si>
    <t>PACK</t>
  </si>
  <si>
    <t>TRIP</t>
  </si>
  <si>
    <t>Division (In charge Name) : ADMIN MANAGER (Dong Chang Kim)</t>
  </si>
  <si>
    <t>Supply &amp; Delivery of Sweet Water &amp; Ice</t>
  </si>
  <si>
    <t>Monthly Based</t>
  </si>
  <si>
    <t>Subcontract name (SAC2-SC-IK-SMP-01)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</si>
  <si>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</si>
  <si>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-MRS-0137</t>
    </r>
  </si>
  <si>
    <t>SAMOO</t>
  </si>
  <si>
    <t>"</t>
  </si>
  <si>
    <t>Monthly</t>
  </si>
  <si>
    <t>SAMOO(Samoo Al Bahr Contracting Est.)</t>
  </si>
  <si>
    <t>SAMOO-MT-2025-01</t>
  </si>
  <si>
    <t>4700115756</t>
  </si>
  <si>
    <t>311196464200003</t>
  </si>
  <si>
    <t>+966 59 1252163 / Email:samooalbahr@gmail.com</t>
  </si>
  <si>
    <t>P.O. Box 7063, Yanbu 46429, 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</si>
</sst>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2" fillId="2" borderId="0" xfId="1" applyFont="1" applyFill="1" applyAlignment="1">
      <alignment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1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H22" sqref="H2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99</v>
      </c>
      <c r="B1" s="110"/>
      <c r="C1" s="110"/>
      <c r="D1" s="110"/>
      <c r="E1" s="110"/>
      <c r="F1" s="110"/>
      <c r="G1" s="1"/>
      <c r="J1" s="141" t="s">
        <v>89</v>
      </c>
      <c r="K1" s="142"/>
      <c r="L1" s="143"/>
    </row>
    <row r="2" spans="1:18" ht="20.100000000000001" customHeight="1">
      <c r="A2" s="3" t="s">
        <v>1</v>
      </c>
      <c r="B2" s="101"/>
      <c r="C2" s="101"/>
      <c r="D2" s="3" t="s">
        <v>108</v>
      </c>
      <c r="E2" s="101"/>
      <c r="F2" s="101"/>
      <c r="G2" s="101"/>
      <c r="H2" s="101"/>
      <c r="I2" s="4"/>
      <c r="J2" s="157" t="s">
        <v>111</v>
      </c>
      <c r="K2" s="158"/>
      <c r="L2" s="159"/>
    </row>
    <row r="3" spans="1:18" ht="20.100000000000001" customHeight="1">
      <c r="A3" s="3" t="s">
        <v>113</v>
      </c>
      <c r="B3" s="101"/>
      <c r="C3" s="101"/>
      <c r="D3" s="101"/>
      <c r="E3" s="144">
        <f>+L3</f>
        <v>45936</v>
      </c>
      <c r="F3" s="144"/>
      <c r="G3" s="144"/>
      <c r="H3" s="144"/>
      <c r="I3" s="144"/>
      <c r="J3" s="101"/>
      <c r="K3" s="101"/>
      <c r="L3" s="122">
        <v>45936</v>
      </c>
      <c r="M3" s="4"/>
    </row>
    <row r="4" spans="1:18" ht="15.95" customHeight="1">
      <c r="A4" s="145" t="s">
        <v>2</v>
      </c>
      <c r="B4" s="146" t="s">
        <v>3</v>
      </c>
      <c r="C4" s="146"/>
      <c r="D4" s="147" t="s">
        <v>4</v>
      </c>
      <c r="E4" s="148"/>
      <c r="F4" s="149"/>
      <c r="G4" s="153" t="s">
        <v>5</v>
      </c>
      <c r="H4" s="155" t="s">
        <v>6</v>
      </c>
      <c r="I4" s="155" t="s">
        <v>93</v>
      </c>
      <c r="J4" s="145" t="s">
        <v>94</v>
      </c>
      <c r="K4" s="155" t="s">
        <v>0</v>
      </c>
      <c r="L4" s="146" t="s">
        <v>7</v>
      </c>
    </row>
    <row r="5" spans="1:18" ht="15.95" customHeight="1">
      <c r="A5" s="145"/>
      <c r="B5" s="146"/>
      <c r="C5" s="146"/>
      <c r="D5" s="150"/>
      <c r="E5" s="151"/>
      <c r="F5" s="152"/>
      <c r="G5" s="154"/>
      <c r="H5" s="156"/>
      <c r="I5" s="156"/>
      <c r="J5" s="145"/>
      <c r="K5" s="156"/>
      <c r="L5" s="146"/>
    </row>
    <row r="6" spans="1:18" ht="22.5" customHeight="1">
      <c r="A6" s="5">
        <f t="shared" ref="A6:A15" si="0">ROW(A1)</f>
        <v>1</v>
      </c>
      <c r="B6" s="129" t="s">
        <v>100</v>
      </c>
      <c r="C6" s="130"/>
      <c r="D6" s="131" t="s">
        <v>101</v>
      </c>
      <c r="E6" s="132"/>
      <c r="F6" s="133"/>
      <c r="G6" s="111" t="s">
        <v>107</v>
      </c>
      <c r="H6" s="112">
        <v>1</v>
      </c>
      <c r="I6" s="113">
        <v>295</v>
      </c>
      <c r="J6" s="113">
        <f>H6*I6</f>
        <v>295</v>
      </c>
      <c r="K6" s="114" t="s">
        <v>114</v>
      </c>
      <c r="L6" s="115" t="s">
        <v>116</v>
      </c>
      <c r="R6" s="106"/>
    </row>
    <row r="7" spans="1:18" ht="22.5" customHeight="1">
      <c r="A7" s="5">
        <f t="shared" si="0"/>
        <v>2</v>
      </c>
      <c r="B7" s="129" t="s">
        <v>100</v>
      </c>
      <c r="C7" s="130"/>
      <c r="D7" s="140" t="s">
        <v>103</v>
      </c>
      <c r="E7" s="132"/>
      <c r="F7" s="133"/>
      <c r="G7" s="111" t="s">
        <v>107</v>
      </c>
      <c r="H7" s="112">
        <v>1</v>
      </c>
      <c r="I7" s="113">
        <v>800</v>
      </c>
      <c r="J7" s="113">
        <f t="shared" ref="J7:J8" si="1">H7*I7</f>
        <v>800</v>
      </c>
      <c r="K7" s="114" t="s">
        <v>115</v>
      </c>
      <c r="L7" s="115"/>
      <c r="R7" s="106"/>
    </row>
    <row r="8" spans="1:18" ht="22.5" customHeight="1">
      <c r="A8" s="5">
        <f t="shared" si="0"/>
        <v>3</v>
      </c>
      <c r="B8" s="129" t="s">
        <v>100</v>
      </c>
      <c r="C8" s="130"/>
      <c r="D8" s="131" t="s">
        <v>102</v>
      </c>
      <c r="E8" s="132"/>
      <c r="F8" s="133"/>
      <c r="G8" s="111" t="s">
        <v>107</v>
      </c>
      <c r="H8" s="112">
        <v>1</v>
      </c>
      <c r="I8" s="113">
        <v>950</v>
      </c>
      <c r="J8" s="113">
        <f t="shared" si="1"/>
        <v>950</v>
      </c>
      <c r="K8" s="114" t="s">
        <v>115</v>
      </c>
      <c r="L8" s="115"/>
      <c r="R8" s="106"/>
    </row>
    <row r="9" spans="1:18" ht="22.5" customHeight="1">
      <c r="A9" s="5">
        <f t="shared" si="0"/>
        <v>4</v>
      </c>
      <c r="B9" s="129" t="s">
        <v>104</v>
      </c>
      <c r="C9" s="130"/>
      <c r="D9" s="131" t="s">
        <v>105</v>
      </c>
      <c r="E9" s="132"/>
      <c r="F9" s="133"/>
      <c r="G9" s="111" t="s">
        <v>106</v>
      </c>
      <c r="H9" s="112">
        <v>1</v>
      </c>
      <c r="I9" s="113">
        <v>5.5</v>
      </c>
      <c r="J9" s="113">
        <f t="shared" ref="J9" si="2">H9*I9</f>
        <v>5.5</v>
      </c>
      <c r="K9" s="114" t="s">
        <v>115</v>
      </c>
      <c r="L9" s="115"/>
      <c r="R9" s="106"/>
    </row>
    <row r="10" spans="1:18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2050.5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6" t="s">
        <v>11</v>
      </c>
      <c r="S18" s="13" t="s">
        <v>12</v>
      </c>
    </row>
    <row r="19" spans="1:19" ht="50.1" customHeight="1">
      <c r="R19" s="137"/>
      <c r="S19" s="15"/>
    </row>
    <row r="20" spans="1:19" ht="17.100000000000001" customHeight="1">
      <c r="O20" s="11"/>
      <c r="P20" s="11"/>
      <c r="R20" s="126"/>
      <c r="S20" s="15" t="s">
        <v>13</v>
      </c>
    </row>
    <row r="21" spans="1:19" ht="15" customHeight="1">
      <c r="O21" s="17" t="s">
        <v>14</v>
      </c>
      <c r="P21" s="125" t="s">
        <v>15</v>
      </c>
    </row>
    <row r="22" spans="1:19" ht="18" customHeight="1">
      <c r="O22" s="18" t="s">
        <v>16</v>
      </c>
      <c r="P22" s="127"/>
      <c r="R22" s="136" t="s">
        <v>17</v>
      </c>
      <c r="S22" s="12" t="s">
        <v>12</v>
      </c>
    </row>
    <row r="23" spans="1:19" ht="50.1" customHeight="1">
      <c r="O23" s="14"/>
      <c r="P23" s="14"/>
      <c r="R23" s="137"/>
      <c r="S23" s="19"/>
    </row>
    <row r="24" spans="1:19" ht="17.100000000000001" customHeight="1">
      <c r="O24" s="16" t="s">
        <v>13</v>
      </c>
      <c r="P24" s="16" t="s">
        <v>13</v>
      </c>
      <c r="R24" s="126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28"/>
      <c r="P27" s="128"/>
    </row>
    <row r="28" spans="1:19" ht="19.899999999999999" customHeight="1">
      <c r="O28" s="128"/>
      <c r="P28" s="128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5" t="s">
        <v>18</v>
      </c>
      <c r="P46" s="125" t="s">
        <v>18</v>
      </c>
      <c r="S46" s="125" t="s">
        <v>12</v>
      </c>
    </row>
    <row r="47" spans="15:19" ht="21" customHeight="1">
      <c r="O47" s="127"/>
      <c r="P47" s="127"/>
      <c r="S47" s="12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5" t="s">
        <v>18</v>
      </c>
      <c r="P50" s="125" t="s">
        <v>18</v>
      </c>
      <c r="S50" s="125" t="s">
        <v>19</v>
      </c>
    </row>
    <row r="51" spans="15:19" ht="21" customHeight="1">
      <c r="O51" s="127"/>
      <c r="P51" s="127"/>
      <c r="S51" s="126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27:O28"/>
    <mergeCell ref="P27:P28"/>
    <mergeCell ref="O46:O47"/>
    <mergeCell ref="P46:P47"/>
    <mergeCell ref="S46:S47"/>
    <mergeCell ref="O50:O51"/>
    <mergeCell ref="P50:P51"/>
    <mergeCell ref="S50:S51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95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7" t="str">
        <f>+MRS!J2</f>
        <v>Subcontract name (SAC2-SC-IK-SMP-01)</v>
      </c>
      <c r="K2" s="159"/>
    </row>
    <row r="3" spans="1:18" ht="24.95" customHeight="1">
      <c r="A3" s="3" t="str">
        <f>+MRS!A3</f>
        <v xml:space="preserve">  MRS No : SAC2-DS-MRS-0137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45936</v>
      </c>
    </row>
    <row r="4" spans="1:18" ht="15.95" customHeight="1">
      <c r="A4" s="170" t="s">
        <v>2</v>
      </c>
      <c r="B4" s="171" t="s">
        <v>20</v>
      </c>
      <c r="C4" s="171"/>
      <c r="D4" s="170" t="s">
        <v>4</v>
      </c>
      <c r="E4" s="170"/>
      <c r="F4" s="170"/>
      <c r="G4" s="171" t="s">
        <v>5</v>
      </c>
      <c r="H4" s="170" t="s">
        <v>90</v>
      </c>
      <c r="I4" s="170" t="s">
        <v>21</v>
      </c>
      <c r="J4" s="170" t="s">
        <v>22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Sweet Water</v>
      </c>
      <c r="C6" s="166"/>
      <c r="D6" s="167" t="str">
        <f>MRS!D6</f>
        <v>6,000 Liters</v>
      </c>
      <c r="E6" s="168"/>
      <c r="F6" s="169"/>
      <c r="G6" s="103" t="str">
        <f>MRS!G6</f>
        <v>TRIP</v>
      </c>
      <c r="H6" s="103">
        <f>MRS!H6</f>
        <v>1</v>
      </c>
      <c r="I6" s="104">
        <f>MRS!I6</f>
        <v>295</v>
      </c>
      <c r="J6" s="104">
        <f>MRS!J6</f>
        <v>295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 t="str">
        <f>MRS!B7</f>
        <v>Sweet Water</v>
      </c>
      <c r="C7" s="166"/>
      <c r="D7" s="167" t="str">
        <f>MRS!D7</f>
        <v>18,000 Liters</v>
      </c>
      <c r="E7" s="168"/>
      <c r="F7" s="169"/>
      <c r="G7" s="103" t="str">
        <f>MRS!G7</f>
        <v>TRIP</v>
      </c>
      <c r="H7" s="103">
        <f>MRS!H7</f>
        <v>1</v>
      </c>
      <c r="I7" s="104">
        <f>MRS!I7</f>
        <v>800</v>
      </c>
      <c r="J7" s="104">
        <f>MRS!J7</f>
        <v>800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5" t="str">
        <f>MRS!B8</f>
        <v>Sweet Water</v>
      </c>
      <c r="C8" s="166"/>
      <c r="D8" s="167" t="str">
        <f>MRS!D8</f>
        <v>32,000 Liters</v>
      </c>
      <c r="E8" s="168"/>
      <c r="F8" s="169"/>
      <c r="G8" s="103" t="str">
        <f>MRS!G8</f>
        <v>TRIP</v>
      </c>
      <c r="H8" s="103">
        <f>MRS!H8</f>
        <v>1</v>
      </c>
      <c r="I8" s="104">
        <f>MRS!I8</f>
        <v>950</v>
      </c>
      <c r="J8" s="104">
        <f>MRS!J8</f>
        <v>950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5" t="str">
        <f>MRS!B9</f>
        <v>ICE</v>
      </c>
      <c r="C9" s="166"/>
      <c r="D9" s="167" t="str">
        <f>MRS!D9</f>
        <v>4 KG/PACK</v>
      </c>
      <c r="E9" s="168"/>
      <c r="F9" s="169"/>
      <c r="G9" s="103" t="str">
        <f>MRS!G9</f>
        <v>PACK</v>
      </c>
      <c r="H9" s="103">
        <f>MRS!H9</f>
        <v>1</v>
      </c>
      <c r="I9" s="104">
        <f>MRS!I9</f>
        <v>5.5</v>
      </c>
      <c r="J9" s="104">
        <f>MRS!J9</f>
        <v>5.5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C15" sqref="C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117</v>
      </c>
      <c r="D9" s="39"/>
      <c r="E9" s="39"/>
    </row>
    <row r="10" spans="2:13" s="39" customFormat="1">
      <c r="B10" s="72"/>
      <c r="C10" s="39" t="s">
        <v>30</v>
      </c>
      <c r="D10" s="76" t="s">
        <v>119</v>
      </c>
      <c r="J10" s="39" t="s">
        <v>31</v>
      </c>
      <c r="K10" s="173">
        <f>MRS!L3</f>
        <v>45936</v>
      </c>
      <c r="L10" s="174"/>
      <c r="M10" s="174"/>
    </row>
    <row r="11" spans="2:13" s="39" customFormat="1">
      <c r="B11" s="72"/>
      <c r="C11" s="75" t="s">
        <v>32</v>
      </c>
      <c r="D11" s="76" t="s">
        <v>120</v>
      </c>
      <c r="J11" s="39" t="s">
        <v>33</v>
      </c>
      <c r="K11" s="175" t="str">
        <f>SUBSTITUTE(SUBSTITUTE(+MRS!A3,"  MRS No : ",""),"-MRS","-PO")</f>
        <v>SAC2-DS-PO-0137</v>
      </c>
      <c r="L11" s="175"/>
      <c r="M11" s="175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121</v>
      </c>
      <c r="J13" s="39" t="s">
        <v>36</v>
      </c>
    </row>
    <row r="14" spans="2:13" s="39" customFormat="1">
      <c r="B14" s="72"/>
      <c r="C14" s="77" t="s">
        <v>122</v>
      </c>
      <c r="J14" s="39" t="s">
        <v>37</v>
      </c>
      <c r="K14" s="39" t="s">
        <v>118</v>
      </c>
    </row>
    <row r="15" spans="2:13" s="39" customFormat="1">
      <c r="B15" s="72"/>
      <c r="C15" s="77" t="s">
        <v>98</v>
      </c>
      <c r="J15" s="39" t="s">
        <v>38</v>
      </c>
      <c r="K15" s="78">
        <v>45930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39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40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41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42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109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80" t="s">
        <v>110</v>
      </c>
      <c r="G29" s="180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80"/>
      <c r="G30" s="180"/>
    </row>
    <row r="31" spans="2:13" ht="15" customHeight="1">
      <c r="B31" s="32"/>
      <c r="C31" s="26" t="s">
        <v>49</v>
      </c>
      <c r="D31" s="35"/>
      <c r="E31" s="26" t="s">
        <v>47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112</v>
      </c>
      <c r="P49" s="82"/>
    </row>
    <row r="50" spans="1:16" s="83" customFormat="1" ht="15" customHeight="1">
      <c r="B50" s="84" t="s">
        <v>63</v>
      </c>
      <c r="C50" s="81" t="s">
        <v>92</v>
      </c>
    </row>
    <row r="51" spans="1:16" s="83" customFormat="1" ht="15" customHeight="1">
      <c r="B51" s="84" t="s">
        <v>63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Mohammad Safwan</v>
      </c>
    </row>
    <row r="60" spans="1:16" ht="18" customHeight="1">
      <c r="B60" s="26" t="s">
        <v>69</v>
      </c>
      <c r="J60" s="26" t="s">
        <v>70</v>
      </c>
      <c r="K60" s="22" t="s">
        <v>97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73</v>
      </c>
      <c r="J62" s="181" t="str">
        <f>C9</f>
        <v>SAMOO(Samoo Al Bahr Contracting Est.)</v>
      </c>
      <c r="K62" s="181"/>
      <c r="L62" s="181"/>
      <c r="M62" s="181"/>
    </row>
    <row r="63" spans="1:16" ht="27.95" customHeight="1">
      <c r="A63" s="172" t="s">
        <v>74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D9" sqref="D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SAC2-DS-PO-0137</v>
      </c>
      <c r="C2" s="190" t="s">
        <v>76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45936</v>
      </c>
      <c r="C3" s="51"/>
      <c r="D3" s="52"/>
      <c r="E3" s="191" t="s">
        <v>78</v>
      </c>
      <c r="F3" s="191"/>
      <c r="G3" s="191"/>
      <c r="H3" s="191"/>
      <c r="I3" s="53"/>
    </row>
    <row r="4" spans="1:13" s="55" customFormat="1" ht="28.5" customHeight="1" thickTop="1">
      <c r="A4" s="192" t="s">
        <v>79</v>
      </c>
      <c r="B4" s="194" t="s">
        <v>80</v>
      </c>
      <c r="C4" s="195"/>
      <c r="D4" s="198" t="s">
        <v>81</v>
      </c>
      <c r="E4" s="198" t="s">
        <v>82</v>
      </c>
      <c r="F4" s="200" t="str">
        <f>'PO 1st page'!C9</f>
        <v>SAMOO(Samoo Al Bahr Contracting Est.)</v>
      </c>
      <c r="G4" s="201"/>
      <c r="H4" s="202" t="s">
        <v>83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84</v>
      </c>
      <c r="G5" s="57" t="s">
        <v>49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8" t="str">
        <f>CONCATENATE(MRS!B6," ",MRS!D6)</f>
        <v>Sweet Water 6,000 Liters</v>
      </c>
      <c r="C6" s="189"/>
      <c r="D6" s="86" t="str">
        <f>+'MRS LIST'!G6</f>
        <v>TRIP</v>
      </c>
      <c r="E6" s="87">
        <f>+'MRS LIST'!H6</f>
        <v>1</v>
      </c>
      <c r="F6" s="88">
        <f>+'MRS LIST'!I6</f>
        <v>295</v>
      </c>
      <c r="G6" s="89">
        <f>+'MRS LIST'!J6</f>
        <v>295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8" t="str">
        <f>CONCATENATE(MRS!B7," ",MRS!D7)</f>
        <v>Sweet Water 18,000 Liters</v>
      </c>
      <c r="C7" s="189"/>
      <c r="D7" s="86" t="str">
        <f>+'MRS LIST'!G7</f>
        <v>TRIP</v>
      </c>
      <c r="E7" s="87">
        <f>+'MRS LIST'!H7</f>
        <v>1</v>
      </c>
      <c r="F7" s="88">
        <f>+'MRS LIST'!I7</f>
        <v>800</v>
      </c>
      <c r="G7" s="89">
        <f>+'MRS LIST'!J7</f>
        <v>800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8" t="str">
        <f>CONCATENATE(MRS!B8," ",MRS!D8)</f>
        <v>Sweet Water 32,000 Liters</v>
      </c>
      <c r="C8" s="189"/>
      <c r="D8" s="86" t="str">
        <f>+'MRS LIST'!G8</f>
        <v>TRIP</v>
      </c>
      <c r="E8" s="87">
        <f>+'MRS LIST'!H8</f>
        <v>1</v>
      </c>
      <c r="F8" s="88">
        <f>+'MRS LIST'!I8</f>
        <v>950</v>
      </c>
      <c r="G8" s="89">
        <f>+'MRS LIST'!J8</f>
        <v>950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8" t="str">
        <f>CONCATENATE(MRS!B9," ",MRS!D9)</f>
        <v>ICE 4 KG/PACK</v>
      </c>
      <c r="C9" s="189"/>
      <c r="D9" s="86" t="str">
        <f>+'MRS LIST'!G9</f>
        <v>PACK</v>
      </c>
      <c r="E9" s="87">
        <f>+'MRS LIST'!H9</f>
        <v>1</v>
      </c>
      <c r="F9" s="88">
        <f>+'MRS LIST'!I9</f>
        <v>5.5</v>
      </c>
      <c r="G9" s="89">
        <f>+'MRS LIST'!J9</f>
        <v>5.5</v>
      </c>
      <c r="H9" s="90"/>
    </row>
    <row r="10" spans="1:13" s="55" customFormat="1" ht="32.1" customHeight="1">
      <c r="A10" s="93">
        <f t="shared" si="0"/>
        <v>5</v>
      </c>
      <c r="B10" s="188"/>
      <c r="C10" s="189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8"/>
      <c r="C11" s="189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85</v>
      </c>
      <c r="B18" s="183"/>
      <c r="C18" s="183"/>
      <c r="D18" s="183"/>
      <c r="E18" s="183"/>
      <c r="F18" s="183"/>
      <c r="G18" s="58">
        <f>SUM(G6:G17)</f>
        <v>2050.5</v>
      </c>
      <c r="H18" s="59"/>
    </row>
    <row r="19" spans="1:13" s="55" customFormat="1" ht="23.1" customHeight="1">
      <c r="A19" s="182" t="s">
        <v>48</v>
      </c>
      <c r="B19" s="183"/>
      <c r="C19" s="183"/>
      <c r="D19" s="183"/>
      <c r="E19" s="183"/>
      <c r="F19" s="183"/>
      <c r="G19" s="58">
        <f>+G18*0.15</f>
        <v>307.57499999999999</v>
      </c>
      <c r="H19" s="59"/>
    </row>
    <row r="20" spans="1:13" s="55" customFormat="1" ht="24.95" customHeight="1" thickBot="1">
      <c r="A20" s="184" t="s">
        <v>86</v>
      </c>
      <c r="B20" s="185"/>
      <c r="C20" s="185"/>
      <c r="D20" s="185"/>
      <c r="E20" s="185"/>
      <c r="F20" s="185"/>
      <c r="G20" s="60">
        <f>G19+G18</f>
        <v>2358.0749999999998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SAMOO-MT-2025-01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88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2025-10-06T13:31:29Z</cp:lastPrinted>
  <dcterms:created xsi:type="dcterms:W3CDTF">2024-10-20T11:50:19Z</dcterms:created>
  <dcterms:modified xsi:type="dcterms:W3CDTF">2025-10-06T13:31:30Z</dcterms:modified>
</cp:coreProperties>
</file>