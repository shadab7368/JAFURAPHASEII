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2E8B041A-A83B-4294-A663-F560C8D0C0E0}" xr6:coauthVersionLast="47" xr6:coauthVersionMax="47" xr10:uidLastSave="{00000000-0000-0000-0000-000000000000}"/>
  <bookViews>
    <workbookView xWindow="2868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MRS!$A$1:$L$100</definedName>
    <definedName name="_xlnm.Print_Area" localSheetId="1">'MRS LIST'!$A$1:$K$29</definedName>
    <definedName name="_xlnm.Print_Area" localSheetId="2">'PO 1st page'!$A$1:$N$71</definedName>
    <definedName name="_xlnm.Print_Area" localSheetId="3">'PO 2nd page'!$A$1:$H$98</definedName>
    <definedName name="_xlnm.Print_Titles" localSheetId="0">MRS!$4:$5</definedName>
    <definedName name="_xlnm.Print_Titles" localSheetId="1">'MRS LIST'!$4:$5</definedName>
    <definedName name="_xlnm.Print_Titles" localSheetId="3">'PO 2nd page'!$4:$5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2" i="4" l="1"/>
  <c r="G91" i="4"/>
  <c r="F91" i="4"/>
  <c r="E91" i="4"/>
  <c r="D91" i="4"/>
  <c r="B91" i="4"/>
  <c r="A91" i="4"/>
  <c r="J92" i="1"/>
  <c r="J91" i="1"/>
  <c r="A91" i="1"/>
  <c r="F90" i="4"/>
  <c r="E90" i="4"/>
  <c r="D90" i="4"/>
  <c r="B90" i="4"/>
  <c r="A90" i="4"/>
  <c r="F89" i="4"/>
  <c r="E89" i="4"/>
  <c r="D89" i="4"/>
  <c r="B89" i="4"/>
  <c r="A89" i="4"/>
  <c r="F88" i="4"/>
  <c r="E88" i="4"/>
  <c r="D88" i="4"/>
  <c r="B88" i="4"/>
  <c r="A88" i="4"/>
  <c r="F87" i="4"/>
  <c r="E87" i="4"/>
  <c r="D87" i="4"/>
  <c r="B87" i="4"/>
  <c r="A87" i="4"/>
  <c r="F86" i="4"/>
  <c r="E86" i="4"/>
  <c r="D86" i="4"/>
  <c r="B86" i="4"/>
  <c r="A86" i="4"/>
  <c r="F85" i="4"/>
  <c r="E85" i="4"/>
  <c r="D85" i="4"/>
  <c r="B85" i="4"/>
  <c r="A85" i="4"/>
  <c r="F84" i="4"/>
  <c r="E84" i="4"/>
  <c r="D84" i="4"/>
  <c r="B84" i="4"/>
  <c r="A84" i="4"/>
  <c r="F83" i="4"/>
  <c r="E83" i="4"/>
  <c r="D83" i="4"/>
  <c r="B83" i="4"/>
  <c r="A83" i="4"/>
  <c r="F82" i="4"/>
  <c r="E82" i="4"/>
  <c r="D82" i="4"/>
  <c r="B82" i="4"/>
  <c r="A82" i="4"/>
  <c r="F81" i="4"/>
  <c r="E81" i="4"/>
  <c r="D81" i="4"/>
  <c r="B81" i="4"/>
  <c r="A81" i="4"/>
  <c r="F80" i="4"/>
  <c r="E80" i="4"/>
  <c r="D80" i="4"/>
  <c r="B80" i="4"/>
  <c r="A80" i="4"/>
  <c r="F79" i="4"/>
  <c r="E79" i="4"/>
  <c r="D79" i="4"/>
  <c r="B79" i="4"/>
  <c r="A79" i="4"/>
  <c r="F78" i="4"/>
  <c r="E78" i="4"/>
  <c r="D78" i="4"/>
  <c r="B78" i="4"/>
  <c r="A78" i="4"/>
  <c r="F77" i="4"/>
  <c r="E77" i="4"/>
  <c r="D77" i="4"/>
  <c r="B77" i="4"/>
  <c r="A77" i="4"/>
  <c r="F76" i="4"/>
  <c r="E76" i="4"/>
  <c r="D76" i="4"/>
  <c r="B76" i="4"/>
  <c r="A76" i="4"/>
  <c r="F75" i="4"/>
  <c r="E75" i="4"/>
  <c r="D75" i="4"/>
  <c r="B75" i="4"/>
  <c r="A75" i="4"/>
  <c r="F74" i="4"/>
  <c r="E74" i="4"/>
  <c r="D74" i="4"/>
  <c r="B74" i="4"/>
  <c r="A74" i="4"/>
  <c r="F73" i="4"/>
  <c r="E73" i="4"/>
  <c r="D73" i="4"/>
  <c r="B73" i="4"/>
  <c r="A73" i="4"/>
  <c r="F72" i="4"/>
  <c r="E72" i="4"/>
  <c r="D72" i="4"/>
  <c r="B72" i="4"/>
  <c r="A72" i="4"/>
  <c r="F71" i="4"/>
  <c r="E71" i="4"/>
  <c r="D71" i="4"/>
  <c r="B71" i="4"/>
  <c r="A71" i="4"/>
  <c r="F70" i="4"/>
  <c r="E70" i="4"/>
  <c r="D70" i="4"/>
  <c r="B70" i="4"/>
  <c r="A70" i="4"/>
  <c r="F69" i="4"/>
  <c r="E69" i="4"/>
  <c r="D69" i="4"/>
  <c r="B69" i="4"/>
  <c r="A69" i="4"/>
  <c r="F68" i="4"/>
  <c r="E68" i="4"/>
  <c r="D68" i="4"/>
  <c r="B68" i="4"/>
  <c r="A68" i="4"/>
  <c r="F67" i="4"/>
  <c r="E67" i="4"/>
  <c r="D67" i="4"/>
  <c r="B67" i="4"/>
  <c r="A67" i="4"/>
  <c r="F66" i="4"/>
  <c r="E66" i="4"/>
  <c r="D66" i="4"/>
  <c r="B66" i="4"/>
  <c r="A66" i="4"/>
  <c r="F65" i="4"/>
  <c r="E65" i="4"/>
  <c r="D65" i="4"/>
  <c r="B65" i="4"/>
  <c r="A65" i="4"/>
  <c r="F64" i="4"/>
  <c r="E64" i="4"/>
  <c r="D64" i="4"/>
  <c r="B64" i="4"/>
  <c r="A64" i="4"/>
  <c r="F63" i="4"/>
  <c r="E63" i="4"/>
  <c r="D63" i="4"/>
  <c r="B63" i="4"/>
  <c r="A63" i="4"/>
  <c r="F62" i="4"/>
  <c r="E62" i="4"/>
  <c r="D62" i="4"/>
  <c r="B62" i="4"/>
  <c r="A62" i="4"/>
  <c r="F61" i="4"/>
  <c r="E61" i="4"/>
  <c r="D61" i="4"/>
  <c r="B61" i="4"/>
  <c r="A61" i="4"/>
  <c r="F60" i="4"/>
  <c r="E60" i="4"/>
  <c r="D60" i="4"/>
  <c r="B60" i="4"/>
  <c r="A60" i="4"/>
  <c r="F59" i="4"/>
  <c r="E59" i="4"/>
  <c r="D59" i="4"/>
  <c r="B59" i="4"/>
  <c r="A59" i="4"/>
  <c r="F58" i="4"/>
  <c r="E58" i="4"/>
  <c r="D58" i="4"/>
  <c r="B58" i="4"/>
  <c r="A58" i="4"/>
  <c r="F57" i="4"/>
  <c r="E57" i="4"/>
  <c r="D57" i="4"/>
  <c r="B57" i="4"/>
  <c r="A57" i="4"/>
  <c r="F56" i="4"/>
  <c r="E56" i="4"/>
  <c r="D56" i="4"/>
  <c r="B56" i="4"/>
  <c r="A56" i="4"/>
  <c r="F55" i="4"/>
  <c r="E55" i="4"/>
  <c r="D55" i="4"/>
  <c r="B55" i="4"/>
  <c r="A55" i="4"/>
  <c r="F54" i="4"/>
  <c r="E54" i="4"/>
  <c r="D54" i="4"/>
  <c r="B54" i="4"/>
  <c r="A54" i="4"/>
  <c r="F53" i="4"/>
  <c r="E53" i="4"/>
  <c r="D53" i="4"/>
  <c r="B53" i="4"/>
  <c r="A53" i="4"/>
  <c r="F52" i="4"/>
  <c r="E52" i="4"/>
  <c r="D52" i="4"/>
  <c r="B52" i="4"/>
  <c r="A52" i="4"/>
  <c r="F51" i="4"/>
  <c r="E51" i="4"/>
  <c r="D51" i="4"/>
  <c r="B51" i="4"/>
  <c r="A51" i="4"/>
  <c r="F50" i="4"/>
  <c r="E50" i="4"/>
  <c r="D50" i="4"/>
  <c r="B50" i="4"/>
  <c r="A50" i="4"/>
  <c r="F49" i="4"/>
  <c r="E49" i="4"/>
  <c r="D49" i="4"/>
  <c r="B49" i="4"/>
  <c r="A49" i="4"/>
  <c r="F48" i="4"/>
  <c r="E48" i="4"/>
  <c r="D48" i="4"/>
  <c r="B48" i="4"/>
  <c r="A48" i="4"/>
  <c r="F47" i="4"/>
  <c r="E47" i="4"/>
  <c r="D47" i="4"/>
  <c r="B47" i="4"/>
  <c r="A47" i="4"/>
  <c r="F46" i="4"/>
  <c r="E46" i="4"/>
  <c r="D46" i="4"/>
  <c r="B46" i="4"/>
  <c r="A46" i="4"/>
  <c r="F45" i="4"/>
  <c r="E45" i="4"/>
  <c r="D45" i="4"/>
  <c r="B45" i="4"/>
  <c r="A45" i="4"/>
  <c r="F44" i="4"/>
  <c r="E44" i="4"/>
  <c r="D44" i="4"/>
  <c r="B44" i="4"/>
  <c r="A44" i="4"/>
  <c r="F43" i="4"/>
  <c r="E43" i="4"/>
  <c r="D43" i="4"/>
  <c r="B43" i="4"/>
  <c r="A43" i="4"/>
  <c r="F42" i="4"/>
  <c r="E42" i="4"/>
  <c r="D42" i="4"/>
  <c r="B42" i="4"/>
  <c r="A42" i="4"/>
  <c r="F41" i="4"/>
  <c r="E41" i="4"/>
  <c r="D41" i="4"/>
  <c r="B41" i="4"/>
  <c r="A41" i="4"/>
  <c r="F40" i="4"/>
  <c r="E40" i="4"/>
  <c r="D40" i="4"/>
  <c r="B40" i="4"/>
  <c r="A40" i="4"/>
  <c r="F39" i="4"/>
  <c r="E39" i="4"/>
  <c r="D39" i="4"/>
  <c r="B39" i="4"/>
  <c r="A39" i="4"/>
  <c r="F38" i="4"/>
  <c r="E38" i="4"/>
  <c r="D38" i="4"/>
  <c r="B38" i="4"/>
  <c r="A38" i="4"/>
  <c r="F37" i="4"/>
  <c r="E37" i="4"/>
  <c r="D37" i="4"/>
  <c r="B37" i="4"/>
  <c r="A37" i="4"/>
  <c r="F36" i="4"/>
  <c r="E36" i="4"/>
  <c r="D36" i="4"/>
  <c r="B36" i="4"/>
  <c r="A36" i="4"/>
  <c r="F35" i="4"/>
  <c r="E35" i="4"/>
  <c r="D35" i="4"/>
  <c r="B35" i="4"/>
  <c r="A35" i="4"/>
  <c r="F34" i="4"/>
  <c r="E34" i="4"/>
  <c r="D34" i="4"/>
  <c r="B34" i="4"/>
  <c r="A34" i="4"/>
  <c r="F33" i="4"/>
  <c r="E33" i="4"/>
  <c r="D33" i="4"/>
  <c r="B33" i="4"/>
  <c r="A33" i="4"/>
  <c r="F32" i="4"/>
  <c r="E32" i="4"/>
  <c r="D32" i="4"/>
  <c r="B32" i="4"/>
  <c r="A32" i="4"/>
  <c r="F31" i="4"/>
  <c r="E31" i="4"/>
  <c r="D31" i="4"/>
  <c r="B31" i="4"/>
  <c r="A31" i="4"/>
  <c r="F30" i="4"/>
  <c r="E30" i="4"/>
  <c r="D30" i="4"/>
  <c r="B30" i="4"/>
  <c r="A30" i="4"/>
  <c r="F29" i="4"/>
  <c r="E29" i="4"/>
  <c r="D29" i="4"/>
  <c r="B29" i="4"/>
  <c r="A29" i="4"/>
  <c r="F28" i="4"/>
  <c r="E28" i="4"/>
  <c r="D28" i="4"/>
  <c r="B28" i="4"/>
  <c r="A28" i="4"/>
  <c r="F27" i="4"/>
  <c r="E27" i="4"/>
  <c r="D27" i="4"/>
  <c r="B27" i="4"/>
  <c r="A27" i="4"/>
  <c r="F26" i="4"/>
  <c r="E26" i="4"/>
  <c r="D26" i="4"/>
  <c r="B26" i="4"/>
  <c r="A26" i="4"/>
  <c r="F25" i="4"/>
  <c r="E25" i="4"/>
  <c r="D25" i="4"/>
  <c r="B25" i="4"/>
  <c r="A25" i="4"/>
  <c r="F24" i="4"/>
  <c r="E24" i="4"/>
  <c r="D24" i="4"/>
  <c r="B24" i="4"/>
  <c r="A24" i="4"/>
  <c r="F23" i="4"/>
  <c r="E23" i="4"/>
  <c r="D23" i="4"/>
  <c r="B23" i="4"/>
  <c r="A23" i="4"/>
  <c r="F22" i="4"/>
  <c r="E22" i="4"/>
  <c r="D22" i="4"/>
  <c r="B22" i="4"/>
  <c r="A22" i="4"/>
  <c r="F21" i="4"/>
  <c r="E21" i="4"/>
  <c r="D21" i="4"/>
  <c r="B21" i="4"/>
  <c r="A21" i="4"/>
  <c r="F20" i="4"/>
  <c r="E20" i="4"/>
  <c r="D20" i="4"/>
  <c r="B20" i="4"/>
  <c r="A20" i="4"/>
  <c r="F19" i="4"/>
  <c r="E19" i="4"/>
  <c r="D19" i="4"/>
  <c r="B19" i="4"/>
  <c r="A19" i="4"/>
  <c r="F18" i="4"/>
  <c r="E18" i="4"/>
  <c r="D18" i="4"/>
  <c r="B18" i="4"/>
  <c r="A18" i="4"/>
  <c r="F17" i="4"/>
  <c r="E17" i="4"/>
  <c r="D17" i="4"/>
  <c r="B17" i="4"/>
  <c r="A17" i="4"/>
  <c r="F16" i="4"/>
  <c r="E16" i="4"/>
  <c r="D16" i="4"/>
  <c r="B16" i="4"/>
  <c r="A16" i="4"/>
  <c r="F15" i="4"/>
  <c r="E15" i="4"/>
  <c r="D15" i="4"/>
  <c r="B15" i="4"/>
  <c r="A15" i="4"/>
  <c r="J90" i="1" l="1"/>
  <c r="G90" i="4" s="1"/>
  <c r="A90" i="1"/>
  <c r="J89" i="1"/>
  <c r="G89" i="4" s="1"/>
  <c r="A89" i="1"/>
  <c r="J88" i="1"/>
  <c r="G88" i="4" s="1"/>
  <c r="A88" i="1"/>
  <c r="J87" i="1"/>
  <c r="G87" i="4" s="1"/>
  <c r="A87" i="1"/>
  <c r="J86" i="1"/>
  <c r="G86" i="4" s="1"/>
  <c r="A86" i="1"/>
  <c r="J85" i="1"/>
  <c r="G85" i="4" s="1"/>
  <c r="A85" i="1"/>
  <c r="J84" i="1"/>
  <c r="G84" i="4" s="1"/>
  <c r="A84" i="1"/>
  <c r="J83" i="1"/>
  <c r="G83" i="4" s="1"/>
  <c r="A83" i="1"/>
  <c r="J82" i="1"/>
  <c r="G82" i="4" s="1"/>
  <c r="A82" i="1"/>
  <c r="J81" i="1"/>
  <c r="G81" i="4" s="1"/>
  <c r="A81" i="1"/>
  <c r="J80" i="1"/>
  <c r="G80" i="4" s="1"/>
  <c r="A80" i="1"/>
  <c r="J79" i="1"/>
  <c r="G79" i="4" s="1"/>
  <c r="A79" i="1"/>
  <c r="J78" i="1"/>
  <c r="G78" i="4" s="1"/>
  <c r="A78" i="1"/>
  <c r="J77" i="1"/>
  <c r="G77" i="4" s="1"/>
  <c r="A77" i="1"/>
  <c r="J76" i="1"/>
  <c r="G76" i="4" s="1"/>
  <c r="A76" i="1"/>
  <c r="J75" i="1"/>
  <c r="G75" i="4" s="1"/>
  <c r="A75" i="1"/>
  <c r="J74" i="1"/>
  <c r="G74" i="4" s="1"/>
  <c r="A74" i="1"/>
  <c r="J73" i="1"/>
  <c r="G73" i="4" s="1"/>
  <c r="A73" i="1"/>
  <c r="J72" i="1"/>
  <c r="G72" i="4" s="1"/>
  <c r="A72" i="1"/>
  <c r="J71" i="1"/>
  <c r="G71" i="4" s="1"/>
  <c r="A71" i="1"/>
  <c r="J70" i="1"/>
  <c r="G70" i="4" s="1"/>
  <c r="A70" i="1"/>
  <c r="J69" i="1"/>
  <c r="G69" i="4" s="1"/>
  <c r="A69" i="1"/>
  <c r="J68" i="1"/>
  <c r="G68" i="4" s="1"/>
  <c r="A68" i="1"/>
  <c r="J67" i="1"/>
  <c r="G67" i="4" s="1"/>
  <c r="A67" i="1"/>
  <c r="J66" i="1"/>
  <c r="G66" i="4" s="1"/>
  <c r="A66" i="1"/>
  <c r="J65" i="1"/>
  <c r="G65" i="4" s="1"/>
  <c r="A65" i="1"/>
  <c r="J64" i="1"/>
  <c r="G64" i="4" s="1"/>
  <c r="A64" i="1"/>
  <c r="J63" i="1"/>
  <c r="G63" i="4" s="1"/>
  <c r="A63" i="1"/>
  <c r="J62" i="1"/>
  <c r="G62" i="4" s="1"/>
  <c r="A62" i="1"/>
  <c r="J61" i="1"/>
  <c r="G61" i="4" s="1"/>
  <c r="A61" i="1"/>
  <c r="J60" i="1"/>
  <c r="G60" i="4" s="1"/>
  <c r="A60" i="1"/>
  <c r="J59" i="1"/>
  <c r="G59" i="4" s="1"/>
  <c r="A59" i="1"/>
  <c r="J58" i="1"/>
  <c r="G58" i="4" s="1"/>
  <c r="A58" i="1"/>
  <c r="J57" i="1"/>
  <c r="G57" i="4" s="1"/>
  <c r="A57" i="1"/>
  <c r="J56" i="1"/>
  <c r="G56" i="4" s="1"/>
  <c r="A56" i="1"/>
  <c r="J55" i="1"/>
  <c r="G55" i="4" s="1"/>
  <c r="A55" i="1"/>
  <c r="J54" i="1"/>
  <c r="G54" i="4" s="1"/>
  <c r="A54" i="1"/>
  <c r="J53" i="1"/>
  <c r="G53" i="4" s="1"/>
  <c r="A53" i="1"/>
  <c r="J52" i="1"/>
  <c r="G52" i="4" s="1"/>
  <c r="A52" i="1"/>
  <c r="J51" i="1"/>
  <c r="G51" i="4" s="1"/>
  <c r="A51" i="1"/>
  <c r="J50" i="1"/>
  <c r="G50" i="4" s="1"/>
  <c r="A50" i="1"/>
  <c r="J49" i="1"/>
  <c r="G49" i="4" s="1"/>
  <c r="A49" i="1"/>
  <c r="J48" i="1"/>
  <c r="G48" i="4" s="1"/>
  <c r="A48" i="1"/>
  <c r="J47" i="1"/>
  <c r="G47" i="4" s="1"/>
  <c r="A47" i="1"/>
  <c r="J46" i="1"/>
  <c r="G46" i="4" s="1"/>
  <c r="A46" i="1"/>
  <c r="J45" i="1"/>
  <c r="G45" i="4" s="1"/>
  <c r="A45" i="1"/>
  <c r="J44" i="1"/>
  <c r="G44" i="4" s="1"/>
  <c r="A44" i="1"/>
  <c r="J43" i="1"/>
  <c r="G43" i="4" s="1"/>
  <c r="A43" i="1"/>
  <c r="J42" i="1"/>
  <c r="G42" i="4" s="1"/>
  <c r="A42" i="1"/>
  <c r="J41" i="1"/>
  <c r="G41" i="4" s="1"/>
  <c r="A41" i="1"/>
  <c r="J40" i="1"/>
  <c r="G40" i="4" s="1"/>
  <c r="A40" i="1"/>
  <c r="J39" i="1"/>
  <c r="G39" i="4" s="1"/>
  <c r="A39" i="1"/>
  <c r="J38" i="1"/>
  <c r="G38" i="4" s="1"/>
  <c r="A38" i="1"/>
  <c r="J37" i="1"/>
  <c r="G37" i="4" s="1"/>
  <c r="A37" i="1"/>
  <c r="J36" i="1"/>
  <c r="G36" i="4" s="1"/>
  <c r="A36" i="1"/>
  <c r="J35" i="1"/>
  <c r="G35" i="4" s="1"/>
  <c r="A35" i="1"/>
  <c r="J34" i="1"/>
  <c r="G34" i="4" s="1"/>
  <c r="A34" i="1"/>
  <c r="J33" i="1"/>
  <c r="G33" i="4" s="1"/>
  <c r="A33" i="1"/>
  <c r="J32" i="1"/>
  <c r="G32" i="4" s="1"/>
  <c r="A32" i="1"/>
  <c r="J31" i="1"/>
  <c r="G31" i="4" s="1"/>
  <c r="A31" i="1"/>
  <c r="J30" i="1"/>
  <c r="G30" i="4" s="1"/>
  <c r="A30" i="1"/>
  <c r="J29" i="1"/>
  <c r="G29" i="4" s="1"/>
  <c r="A29" i="1"/>
  <c r="J28" i="1"/>
  <c r="G28" i="4" s="1"/>
  <c r="A28" i="1"/>
  <c r="J27" i="1"/>
  <c r="G27" i="4" s="1"/>
  <c r="A27" i="1"/>
  <c r="J26" i="1"/>
  <c r="G26" i="4" s="1"/>
  <c r="A26" i="1"/>
  <c r="J25" i="1"/>
  <c r="G25" i="4" s="1"/>
  <c r="A25" i="1"/>
  <c r="J24" i="1"/>
  <c r="G24" i="4" s="1"/>
  <c r="A24" i="1"/>
  <c r="J23" i="1"/>
  <c r="G23" i="4" s="1"/>
  <c r="A23" i="1"/>
  <c r="J22" i="1"/>
  <c r="G22" i="4" s="1"/>
  <c r="A22" i="1"/>
  <c r="J21" i="1"/>
  <c r="G21" i="4" s="1"/>
  <c r="A21" i="1"/>
  <c r="J20" i="1"/>
  <c r="G20" i="4" s="1"/>
  <c r="A20" i="1"/>
  <c r="J19" i="1"/>
  <c r="G19" i="4" s="1"/>
  <c r="A19" i="1"/>
  <c r="J18" i="1"/>
  <c r="G18" i="4" s="1"/>
  <c r="A18" i="1"/>
  <c r="J17" i="1"/>
  <c r="G17" i="4" s="1"/>
  <c r="A17" i="1"/>
  <c r="J16" i="1"/>
  <c r="G16" i="4" s="1"/>
  <c r="A16" i="1"/>
  <c r="J15" i="1"/>
  <c r="G15" i="4" s="1"/>
  <c r="A15" i="1"/>
  <c r="E3" i="1"/>
  <c r="A95" i="4"/>
  <c r="A110" i="2"/>
  <c r="A114" i="2"/>
  <c r="A116" i="2"/>
  <c r="F14" i="4"/>
  <c r="E14" i="4"/>
  <c r="D14" i="4"/>
  <c r="B14" i="4"/>
  <c r="F13" i="4"/>
  <c r="E13" i="4"/>
  <c r="D13" i="4"/>
  <c r="B13" i="4"/>
  <c r="F12" i="4"/>
  <c r="E12" i="4"/>
  <c r="D12" i="4"/>
  <c r="B12" i="4"/>
  <c r="F11" i="4"/>
  <c r="E11" i="4"/>
  <c r="D11" i="4"/>
  <c r="B11" i="4"/>
  <c r="F10" i="4"/>
  <c r="E10" i="4"/>
  <c r="D10" i="4"/>
  <c r="B10" i="4"/>
  <c r="F9" i="4"/>
  <c r="E9" i="4"/>
  <c r="D9" i="4"/>
  <c r="B9" i="4"/>
  <c r="F8" i="4"/>
  <c r="E8" i="4"/>
  <c r="D8" i="4"/>
  <c r="B8" i="4"/>
  <c r="F7" i="4"/>
  <c r="E7" i="4"/>
  <c r="D7" i="4"/>
  <c r="B7" i="4"/>
  <c r="I117" i="2"/>
  <c r="H117" i="2"/>
  <c r="G117" i="2"/>
  <c r="D117" i="2"/>
  <c r="B117" i="2"/>
  <c r="A117" i="2"/>
  <c r="I116" i="2"/>
  <c r="H116" i="2"/>
  <c r="G116" i="2"/>
  <c r="D116" i="2"/>
  <c r="B116" i="2"/>
  <c r="I115" i="2"/>
  <c r="H115" i="2"/>
  <c r="G115" i="2"/>
  <c r="D115" i="2"/>
  <c r="B115" i="2"/>
  <c r="A115" i="2"/>
  <c r="I114" i="2"/>
  <c r="H114" i="2"/>
  <c r="G114" i="2"/>
  <c r="D114" i="2"/>
  <c r="B114" i="2"/>
  <c r="I113" i="2"/>
  <c r="H113" i="2"/>
  <c r="G113" i="2"/>
  <c r="D113" i="2"/>
  <c r="B113" i="2"/>
  <c r="I112" i="2"/>
  <c r="H112" i="2"/>
  <c r="G112" i="2"/>
  <c r="D112" i="2"/>
  <c r="B112" i="2"/>
  <c r="I111" i="2"/>
  <c r="H111" i="2"/>
  <c r="G111" i="2"/>
  <c r="D111" i="2"/>
  <c r="B111" i="2"/>
  <c r="I110" i="2"/>
  <c r="H110" i="2"/>
  <c r="G110" i="2"/>
  <c r="D110" i="2"/>
  <c r="B110" i="2"/>
  <c r="I109" i="2"/>
  <c r="H109" i="2"/>
  <c r="G109" i="2"/>
  <c r="D109" i="2"/>
  <c r="B109" i="2"/>
  <c r="I108" i="2"/>
  <c r="H108" i="2"/>
  <c r="G108" i="2"/>
  <c r="D108" i="2"/>
  <c r="B108" i="2"/>
  <c r="I107" i="2"/>
  <c r="H107" i="2"/>
  <c r="G107" i="2"/>
  <c r="D107" i="2"/>
  <c r="B107" i="2"/>
  <c r="I106" i="2"/>
  <c r="H106" i="2"/>
  <c r="G106" i="2"/>
  <c r="D106" i="2"/>
  <c r="B106" i="2"/>
  <c r="I105" i="2"/>
  <c r="H105" i="2"/>
  <c r="G105" i="2"/>
  <c r="D105" i="2"/>
  <c r="B105" i="2"/>
  <c r="I104" i="2"/>
  <c r="H104" i="2"/>
  <c r="G104" i="2"/>
  <c r="D104" i="2"/>
  <c r="B104" i="2"/>
  <c r="I103" i="2"/>
  <c r="H103" i="2"/>
  <c r="G103" i="2"/>
  <c r="D103" i="2"/>
  <c r="B103" i="2"/>
  <c r="I102" i="2"/>
  <c r="H102" i="2"/>
  <c r="G102" i="2"/>
  <c r="D102" i="2"/>
  <c r="B102" i="2"/>
  <c r="I101" i="2"/>
  <c r="H101" i="2"/>
  <c r="G101" i="2"/>
  <c r="D101" i="2"/>
  <c r="B101" i="2"/>
  <c r="I100" i="2"/>
  <c r="H100" i="2"/>
  <c r="G100" i="2"/>
  <c r="D100" i="2"/>
  <c r="B100" i="2"/>
  <c r="I99" i="2"/>
  <c r="H99" i="2"/>
  <c r="G99" i="2"/>
  <c r="D99" i="2"/>
  <c r="B99" i="2"/>
  <c r="I98" i="2"/>
  <c r="H98" i="2"/>
  <c r="G98" i="2"/>
  <c r="D98" i="2"/>
  <c r="B98" i="2"/>
  <c r="I97" i="2"/>
  <c r="H97" i="2"/>
  <c r="G97" i="2"/>
  <c r="D97" i="2"/>
  <c r="B97" i="2"/>
  <c r="I96" i="2"/>
  <c r="H96" i="2"/>
  <c r="G96" i="2"/>
  <c r="D96" i="2"/>
  <c r="B96" i="2"/>
  <c r="I95" i="2"/>
  <c r="H95" i="2"/>
  <c r="G95" i="2"/>
  <c r="D95" i="2"/>
  <c r="B95" i="2"/>
  <c r="I94" i="2"/>
  <c r="H94" i="2"/>
  <c r="G94" i="2"/>
  <c r="D94" i="2"/>
  <c r="B94" i="2"/>
  <c r="I93" i="2"/>
  <c r="H93" i="2"/>
  <c r="G93" i="2"/>
  <c r="D93" i="2"/>
  <c r="B93" i="2"/>
  <c r="I92" i="2"/>
  <c r="H92" i="2"/>
  <c r="G92" i="2"/>
  <c r="D92" i="2"/>
  <c r="B92" i="2"/>
  <c r="I91" i="2"/>
  <c r="H91" i="2"/>
  <c r="G91" i="2"/>
  <c r="D91" i="2"/>
  <c r="B91" i="2"/>
  <c r="I90" i="2"/>
  <c r="H90" i="2"/>
  <c r="G90" i="2"/>
  <c r="D90" i="2"/>
  <c r="B90" i="2"/>
  <c r="I89" i="2"/>
  <c r="H89" i="2"/>
  <c r="G89" i="2"/>
  <c r="D89" i="2"/>
  <c r="B89" i="2"/>
  <c r="I88" i="2"/>
  <c r="H88" i="2"/>
  <c r="G88" i="2"/>
  <c r="D88" i="2"/>
  <c r="B88" i="2"/>
  <c r="I87" i="2"/>
  <c r="H87" i="2"/>
  <c r="G87" i="2"/>
  <c r="D87" i="2"/>
  <c r="B87" i="2"/>
  <c r="I86" i="2"/>
  <c r="H86" i="2"/>
  <c r="G86" i="2"/>
  <c r="D86" i="2"/>
  <c r="B86" i="2"/>
  <c r="I85" i="2"/>
  <c r="H85" i="2"/>
  <c r="G85" i="2"/>
  <c r="D85" i="2"/>
  <c r="B85" i="2"/>
  <c r="I84" i="2"/>
  <c r="H84" i="2"/>
  <c r="G84" i="2"/>
  <c r="D84" i="2"/>
  <c r="B84" i="2"/>
  <c r="I83" i="2"/>
  <c r="H83" i="2"/>
  <c r="G83" i="2"/>
  <c r="D83" i="2"/>
  <c r="B83" i="2"/>
  <c r="I82" i="2"/>
  <c r="H82" i="2"/>
  <c r="G82" i="2"/>
  <c r="D82" i="2"/>
  <c r="B82" i="2"/>
  <c r="I81" i="2"/>
  <c r="H81" i="2"/>
  <c r="G81" i="2"/>
  <c r="D81" i="2"/>
  <c r="B81" i="2"/>
  <c r="I80" i="2"/>
  <c r="H80" i="2"/>
  <c r="G80" i="2"/>
  <c r="D80" i="2"/>
  <c r="B80" i="2"/>
  <c r="I79" i="2"/>
  <c r="H79" i="2"/>
  <c r="G79" i="2"/>
  <c r="D79" i="2"/>
  <c r="B79" i="2"/>
  <c r="I78" i="2"/>
  <c r="H78" i="2"/>
  <c r="G78" i="2"/>
  <c r="D78" i="2"/>
  <c r="B78" i="2"/>
  <c r="I77" i="2"/>
  <c r="H77" i="2"/>
  <c r="G77" i="2"/>
  <c r="D77" i="2"/>
  <c r="B77" i="2"/>
  <c r="I76" i="2"/>
  <c r="H76" i="2"/>
  <c r="G76" i="2"/>
  <c r="D76" i="2"/>
  <c r="B76" i="2"/>
  <c r="I75" i="2"/>
  <c r="H75" i="2"/>
  <c r="G75" i="2"/>
  <c r="D75" i="2"/>
  <c r="B75" i="2"/>
  <c r="I74" i="2"/>
  <c r="H74" i="2"/>
  <c r="G74" i="2"/>
  <c r="D74" i="2"/>
  <c r="B74" i="2"/>
  <c r="I73" i="2"/>
  <c r="H73" i="2"/>
  <c r="G73" i="2"/>
  <c r="D73" i="2"/>
  <c r="B73" i="2"/>
  <c r="I72" i="2"/>
  <c r="H72" i="2"/>
  <c r="G72" i="2"/>
  <c r="D72" i="2"/>
  <c r="B72" i="2"/>
  <c r="I71" i="2"/>
  <c r="H71" i="2"/>
  <c r="G71" i="2"/>
  <c r="D71" i="2"/>
  <c r="B71" i="2"/>
  <c r="I70" i="2"/>
  <c r="H70" i="2"/>
  <c r="G70" i="2"/>
  <c r="D70" i="2"/>
  <c r="B70" i="2"/>
  <c r="I69" i="2"/>
  <c r="H69" i="2"/>
  <c r="G69" i="2"/>
  <c r="D69" i="2"/>
  <c r="B69" i="2"/>
  <c r="I68" i="2"/>
  <c r="H68" i="2"/>
  <c r="G68" i="2"/>
  <c r="D68" i="2"/>
  <c r="B68" i="2"/>
  <c r="I67" i="2"/>
  <c r="H67" i="2"/>
  <c r="G67" i="2"/>
  <c r="D67" i="2"/>
  <c r="B67" i="2"/>
  <c r="I66" i="2"/>
  <c r="H66" i="2"/>
  <c r="G66" i="2"/>
  <c r="D66" i="2"/>
  <c r="B66" i="2"/>
  <c r="I65" i="2"/>
  <c r="H65" i="2"/>
  <c r="G65" i="2"/>
  <c r="D65" i="2"/>
  <c r="B65" i="2"/>
  <c r="I64" i="2"/>
  <c r="H64" i="2"/>
  <c r="G64" i="2"/>
  <c r="D64" i="2"/>
  <c r="B64" i="2"/>
  <c r="I63" i="2"/>
  <c r="H63" i="2"/>
  <c r="G63" i="2"/>
  <c r="D63" i="2"/>
  <c r="B63" i="2"/>
  <c r="I62" i="2"/>
  <c r="H62" i="2"/>
  <c r="G62" i="2"/>
  <c r="D62" i="2"/>
  <c r="B62" i="2"/>
  <c r="I61" i="2"/>
  <c r="H61" i="2"/>
  <c r="G61" i="2"/>
  <c r="D61" i="2"/>
  <c r="B61" i="2"/>
  <c r="I60" i="2"/>
  <c r="H60" i="2"/>
  <c r="G60" i="2"/>
  <c r="D60" i="2"/>
  <c r="B60" i="2"/>
  <c r="I59" i="2"/>
  <c r="H59" i="2"/>
  <c r="G59" i="2"/>
  <c r="D59" i="2"/>
  <c r="B59" i="2"/>
  <c r="I58" i="2"/>
  <c r="H58" i="2"/>
  <c r="G58" i="2"/>
  <c r="D58" i="2"/>
  <c r="B58" i="2"/>
  <c r="I57" i="2"/>
  <c r="H57" i="2"/>
  <c r="G57" i="2"/>
  <c r="D57" i="2"/>
  <c r="B57" i="2"/>
  <c r="I56" i="2"/>
  <c r="H56" i="2"/>
  <c r="G56" i="2"/>
  <c r="D56" i="2"/>
  <c r="B56" i="2"/>
  <c r="I55" i="2"/>
  <c r="H55" i="2"/>
  <c r="G55" i="2"/>
  <c r="D55" i="2"/>
  <c r="B55" i="2"/>
  <c r="I54" i="2"/>
  <c r="H54" i="2"/>
  <c r="G54" i="2"/>
  <c r="D54" i="2"/>
  <c r="B54" i="2"/>
  <c r="I53" i="2"/>
  <c r="H53" i="2"/>
  <c r="G53" i="2"/>
  <c r="D53" i="2"/>
  <c r="B53" i="2"/>
  <c r="I52" i="2"/>
  <c r="H52" i="2"/>
  <c r="G52" i="2"/>
  <c r="D52" i="2"/>
  <c r="B52" i="2"/>
  <c r="I51" i="2"/>
  <c r="H51" i="2"/>
  <c r="G51" i="2"/>
  <c r="D51" i="2"/>
  <c r="B51" i="2"/>
  <c r="I50" i="2"/>
  <c r="H50" i="2"/>
  <c r="G50" i="2"/>
  <c r="D50" i="2"/>
  <c r="B50" i="2"/>
  <c r="I49" i="2"/>
  <c r="H49" i="2"/>
  <c r="G49" i="2"/>
  <c r="D49" i="2"/>
  <c r="B49" i="2"/>
  <c r="I48" i="2"/>
  <c r="H48" i="2"/>
  <c r="G48" i="2"/>
  <c r="D48" i="2"/>
  <c r="B48" i="2"/>
  <c r="I47" i="2"/>
  <c r="H47" i="2"/>
  <c r="G47" i="2"/>
  <c r="D47" i="2"/>
  <c r="B47" i="2"/>
  <c r="I46" i="2"/>
  <c r="H46" i="2"/>
  <c r="G46" i="2"/>
  <c r="D46" i="2"/>
  <c r="B46" i="2"/>
  <c r="I45" i="2"/>
  <c r="H45" i="2"/>
  <c r="G45" i="2"/>
  <c r="D45" i="2"/>
  <c r="B45" i="2"/>
  <c r="I44" i="2"/>
  <c r="H44" i="2"/>
  <c r="G44" i="2"/>
  <c r="D44" i="2"/>
  <c r="B44" i="2"/>
  <c r="I43" i="2"/>
  <c r="H43" i="2"/>
  <c r="G43" i="2"/>
  <c r="D43" i="2"/>
  <c r="B43" i="2"/>
  <c r="I42" i="2"/>
  <c r="H42" i="2"/>
  <c r="G42" i="2"/>
  <c r="D42" i="2"/>
  <c r="B42" i="2"/>
  <c r="I41" i="2"/>
  <c r="H41" i="2"/>
  <c r="G41" i="2"/>
  <c r="D41" i="2"/>
  <c r="B41" i="2"/>
  <c r="I40" i="2"/>
  <c r="H40" i="2"/>
  <c r="G40" i="2"/>
  <c r="D40" i="2"/>
  <c r="B40" i="2"/>
  <c r="I39" i="2"/>
  <c r="H39" i="2"/>
  <c r="G39" i="2"/>
  <c r="D39" i="2"/>
  <c r="B39" i="2"/>
  <c r="I38" i="2"/>
  <c r="H38" i="2"/>
  <c r="G38" i="2"/>
  <c r="D38" i="2"/>
  <c r="B38" i="2"/>
  <c r="I37" i="2"/>
  <c r="H37" i="2"/>
  <c r="G37" i="2"/>
  <c r="D37" i="2"/>
  <c r="B37" i="2"/>
  <c r="I36" i="2"/>
  <c r="H36" i="2"/>
  <c r="G36" i="2"/>
  <c r="D36" i="2"/>
  <c r="B36" i="2"/>
  <c r="I35" i="2"/>
  <c r="H35" i="2"/>
  <c r="G35" i="2"/>
  <c r="D35" i="2"/>
  <c r="B35" i="2"/>
  <c r="I34" i="2"/>
  <c r="H34" i="2"/>
  <c r="G34" i="2"/>
  <c r="D34" i="2"/>
  <c r="B34" i="2"/>
  <c r="I33" i="2"/>
  <c r="H33" i="2"/>
  <c r="G33" i="2"/>
  <c r="D33" i="2"/>
  <c r="B33" i="2"/>
  <c r="I32" i="2"/>
  <c r="H32" i="2"/>
  <c r="G32" i="2"/>
  <c r="D32" i="2"/>
  <c r="B32" i="2"/>
  <c r="I31" i="2"/>
  <c r="H31" i="2"/>
  <c r="G31" i="2"/>
  <c r="D31" i="2"/>
  <c r="B31" i="2"/>
  <c r="I30" i="2"/>
  <c r="H30" i="2"/>
  <c r="G30" i="2"/>
  <c r="D30" i="2"/>
  <c r="B30" i="2"/>
  <c r="I29" i="2"/>
  <c r="H29" i="2"/>
  <c r="G29" i="2"/>
  <c r="D29" i="2"/>
  <c r="B29" i="2"/>
  <c r="I28" i="2"/>
  <c r="H28" i="2"/>
  <c r="G28" i="2"/>
  <c r="D28" i="2"/>
  <c r="B28" i="2"/>
  <c r="I27" i="2"/>
  <c r="H27" i="2"/>
  <c r="G27" i="2"/>
  <c r="D27" i="2"/>
  <c r="B27" i="2"/>
  <c r="I26" i="2"/>
  <c r="H26" i="2"/>
  <c r="G26" i="2"/>
  <c r="D26" i="2"/>
  <c r="B26" i="2"/>
  <c r="I25" i="2"/>
  <c r="H25" i="2"/>
  <c r="G25" i="2"/>
  <c r="D25" i="2"/>
  <c r="B25" i="2"/>
  <c r="I24" i="2"/>
  <c r="H24" i="2"/>
  <c r="G24" i="2"/>
  <c r="D24" i="2"/>
  <c r="B24" i="2"/>
  <c r="I23" i="2"/>
  <c r="H23" i="2"/>
  <c r="G23" i="2"/>
  <c r="D23" i="2"/>
  <c r="B23" i="2"/>
  <c r="I22" i="2"/>
  <c r="H22" i="2"/>
  <c r="G22" i="2"/>
  <c r="D22" i="2"/>
  <c r="B22" i="2"/>
  <c r="I21" i="2"/>
  <c r="H21" i="2"/>
  <c r="G21" i="2"/>
  <c r="D21" i="2"/>
  <c r="B21" i="2"/>
  <c r="I20" i="2"/>
  <c r="H20" i="2"/>
  <c r="G20" i="2"/>
  <c r="D20" i="2"/>
  <c r="B20" i="2"/>
  <c r="I19" i="2"/>
  <c r="H19" i="2"/>
  <c r="G19" i="2"/>
  <c r="D19" i="2"/>
  <c r="B19" i="2"/>
  <c r="I18" i="2"/>
  <c r="H18" i="2"/>
  <c r="G18" i="2"/>
  <c r="D18" i="2"/>
  <c r="B18" i="2"/>
  <c r="I17" i="2"/>
  <c r="H17" i="2"/>
  <c r="G17" i="2"/>
  <c r="D17" i="2"/>
  <c r="B17" i="2"/>
  <c r="I16" i="2"/>
  <c r="H16" i="2"/>
  <c r="G16" i="2"/>
  <c r="D16" i="2"/>
  <c r="B16" i="2"/>
  <c r="I15" i="2"/>
  <c r="H15" i="2"/>
  <c r="G15" i="2"/>
  <c r="D15" i="2"/>
  <c r="B15" i="2"/>
  <c r="I14" i="2"/>
  <c r="H14" i="2"/>
  <c r="G14" i="2"/>
  <c r="D14" i="2"/>
  <c r="B14" i="2"/>
  <c r="I13" i="2"/>
  <c r="H13" i="2"/>
  <c r="G13" i="2"/>
  <c r="D13" i="2"/>
  <c r="B13" i="2"/>
  <c r="I12" i="2"/>
  <c r="H12" i="2"/>
  <c r="G12" i="2"/>
  <c r="D12" i="2"/>
  <c r="B12" i="2"/>
  <c r="I11" i="2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A14" i="4"/>
  <c r="A13" i="4"/>
  <c r="A12" i="4"/>
  <c r="A11" i="4"/>
  <c r="A10" i="4"/>
  <c r="A9" i="4"/>
  <c r="A8" i="4"/>
  <c r="J116" i="2"/>
  <c r="J113" i="2"/>
  <c r="J109" i="2"/>
  <c r="J108" i="2"/>
  <c r="J107" i="2"/>
  <c r="J106" i="2"/>
  <c r="J104" i="2"/>
  <c r="J102" i="2"/>
  <c r="J100" i="2"/>
  <c r="J97" i="2"/>
  <c r="J96" i="2"/>
  <c r="J95" i="2"/>
  <c r="J92" i="2"/>
  <c r="J90" i="2"/>
  <c r="J88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1" i="2"/>
  <c r="A112" i="2"/>
  <c r="A113" i="2"/>
  <c r="A82" i="2"/>
  <c r="A83" i="2"/>
  <c r="F6" i="4"/>
  <c r="J18" i="2"/>
  <c r="J19" i="2"/>
  <c r="J20" i="2"/>
  <c r="J24" i="2"/>
  <c r="J26" i="2"/>
  <c r="J28" i="2"/>
  <c r="J32" i="2"/>
  <c r="J35" i="2"/>
  <c r="J38" i="2"/>
  <c r="J40" i="2"/>
  <c r="J44" i="2"/>
  <c r="J47" i="2"/>
  <c r="J50" i="2"/>
  <c r="J52" i="2"/>
  <c r="J54" i="2"/>
  <c r="J56" i="2"/>
  <c r="J59" i="2"/>
  <c r="J62" i="2"/>
  <c r="J64" i="2"/>
  <c r="J66" i="2"/>
  <c r="J68" i="2"/>
  <c r="J76" i="2"/>
  <c r="J80" i="2"/>
  <c r="J83" i="2"/>
  <c r="A14" i="1"/>
  <c r="A14" i="2" s="1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P54" i="3"/>
  <c r="B6" i="4"/>
  <c r="I7" i="2"/>
  <c r="H7" i="2"/>
  <c r="G7" i="2"/>
  <c r="H6" i="2"/>
  <c r="G6" i="2"/>
  <c r="D6" i="2"/>
  <c r="D7" i="2"/>
  <c r="B7" i="2"/>
  <c r="B6" i="2"/>
  <c r="E6" i="4"/>
  <c r="D6" i="4"/>
  <c r="A8" i="1"/>
  <c r="A8" i="2" s="1"/>
  <c r="A9" i="1"/>
  <c r="A9" i="2" s="1"/>
  <c r="A10" i="1"/>
  <c r="A10" i="2" s="1"/>
  <c r="A11" i="1"/>
  <c r="A11" i="2" s="1"/>
  <c r="A12" i="1"/>
  <c r="A12" i="2" s="1"/>
  <c r="A13" i="1"/>
  <c r="A13" i="2" s="1"/>
  <c r="J14" i="1"/>
  <c r="J14" i="2" s="1"/>
  <c r="J13" i="1"/>
  <c r="J13" i="2" s="1"/>
  <c r="J12" i="1"/>
  <c r="J12" i="2" s="1"/>
  <c r="J11" i="1"/>
  <c r="G11" i="4" s="1"/>
  <c r="J10" i="1"/>
  <c r="G10" i="4" s="1"/>
  <c r="J9" i="1"/>
  <c r="G9" i="4" s="1"/>
  <c r="J8" i="1"/>
  <c r="J8" i="2" s="1"/>
  <c r="J7" i="1"/>
  <c r="J6" i="1"/>
  <c r="J6" i="2" l="1"/>
  <c r="J7" i="2"/>
  <c r="J25" i="2"/>
  <c r="J82" i="2"/>
  <c r="J21" i="2"/>
  <c r="J42" i="2"/>
  <c r="J117" i="2"/>
  <c r="J101" i="2"/>
  <c r="J33" i="2"/>
  <c r="J45" i="2"/>
  <c r="J57" i="2"/>
  <c r="J10" i="2"/>
  <c r="J78" i="2"/>
  <c r="J49" i="2"/>
  <c r="J51" i="2"/>
  <c r="J23" i="2"/>
  <c r="J27" i="2"/>
  <c r="J15" i="2"/>
  <c r="J17" i="2"/>
  <c r="J58" i="2"/>
  <c r="J85" i="2"/>
  <c r="J81" i="2"/>
  <c r="J114" i="2"/>
  <c r="J69" i="2"/>
  <c r="J71" i="2"/>
  <c r="J73" i="2"/>
  <c r="J75" i="2"/>
  <c r="J77" i="2"/>
  <c r="J94" i="2"/>
  <c r="J30" i="2"/>
  <c r="J63" i="2"/>
  <c r="J65" i="2"/>
  <c r="J110" i="2"/>
  <c r="J61" i="2"/>
  <c r="J84" i="2"/>
  <c r="J86" i="2"/>
  <c r="J115" i="2"/>
  <c r="G8" i="4"/>
  <c r="J9" i="2"/>
  <c r="J16" i="2"/>
  <c r="J37" i="2"/>
  <c r="J70" i="2"/>
  <c r="J89" i="2"/>
  <c r="G13" i="4"/>
  <c r="J103" i="2"/>
  <c r="J11" i="2"/>
  <c r="J39" i="2"/>
  <c r="J72" i="2"/>
  <c r="J79" i="2"/>
  <c r="J91" i="2"/>
  <c r="J98" i="2"/>
  <c r="J34" i="2"/>
  <c r="J46" i="2"/>
  <c r="J53" i="2"/>
  <c r="J60" i="2"/>
  <c r="J67" i="2"/>
  <c r="J105" i="2"/>
  <c r="J112" i="2"/>
  <c r="J29" i="2"/>
  <c r="J41" i="2"/>
  <c r="J48" i="2"/>
  <c r="J74" i="2"/>
  <c r="J93" i="2"/>
  <c r="J36" i="2"/>
  <c r="G14" i="4"/>
  <c r="J22" i="2"/>
  <c r="J55" i="2"/>
  <c r="J31" i="2"/>
  <c r="J43" i="2"/>
  <c r="G7" i="4"/>
  <c r="G12" i="4"/>
  <c r="J111" i="2"/>
  <c r="J99" i="2"/>
  <c r="J87" i="2"/>
  <c r="G6" i="4"/>
  <c r="K67" i="3"/>
  <c r="K10" i="3" l="1"/>
  <c r="I6" i="2" l="1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7" i="1"/>
  <c r="A7" i="2" s="1"/>
  <c r="A6" i="1"/>
  <c r="A6" i="2" s="1"/>
  <c r="F29" i="3" l="1"/>
  <c r="G93" i="4" l="1"/>
  <c r="F30" i="3" s="1"/>
  <c r="G94" i="4" l="1"/>
  <c r="F31" i="3" s="1"/>
</calcChain>
</file>

<file path=xl/sharedStrings.xml><?xml version="1.0" encoding="utf-8"?>
<sst xmlns="http://schemas.openxmlformats.org/spreadsheetml/2006/main" count="409" uniqueCount="283">
  <si>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</si>
  <si>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</si>
  <si>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</si>
  <si>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</si>
  <si>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</si>
  <si>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</si>
  <si>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</si>
  <si>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</si>
  <si>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</si>
  <si>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</si>
  <si>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</si>
  <si>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ADM</t>
    <phoneticPr fontId="3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</si>
  <si>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</si>
  <si>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</si>
  <si>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</si>
  <si>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</si>
  <si>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</si>
  <si>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</si>
  <si>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</si>
  <si>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</si>
  <si>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</si>
  <si>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</si>
  <si>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</si>
  <si>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</si>
  <si>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</si>
  <si>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</si>
  <si>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</si>
  <si>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</si>
  <si>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</si>
  <si>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</si>
  <si>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</si>
  <si>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</si>
  <si>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</si>
  <si>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</si>
  <si>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</si>
  <si>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</si>
  <si>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</si>
  <si>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</si>
  <si>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</si>
  <si>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</si>
  <si>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</si>
  <si>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</si>
  <si>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</si>
  <si>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</si>
  <si>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</si>
  <si>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</si>
  <si>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</si>
  <si>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</si>
  <si>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</si>
  <si>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</si>
  <si>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</si>
  <si>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</si>
  <si>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</si>
  <si>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</si>
  <si>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</si>
  <si>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</si>
  <si>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</si>
  <si>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</si>
  <si>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</si>
  <si>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</si>
  <si>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</si>
  <si>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</si>
  <si>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</si>
  <si>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</si>
  <si>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</si>
  <si>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</si>
  <si>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</si>
  <si>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</si>
  <si>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</si>
  <si>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</si>
  <si>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</si>
  <si>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</si>
  <si>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</si>
  <si>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</si>
  <si>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</si>
  <si>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</si>
  <si>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</si>
  <si>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</si>
  <si>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</si>
  <si>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</si>
  <si>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</si>
  <si>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</si>
  <si>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</si>
  <si>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</si>
  <si>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</si>
  <si>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</si>
  <si>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</si>
  <si>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</si>
  <si>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</si>
  <si>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 xml:space="preserve">  Delivery &amp; Payment : Dong Chang Kim / Daeshin Admin. [ Mobile No. : +966 53 748 5762 / Email : kdchjs@daeshinplant.com ]</t>
  </si>
  <si>
    <t>Sales Manager</t>
  </si>
  <si>
    <t>One time</t>
  </si>
  <si>
    <t>Branch of Hyundai Engineering and Const. Co., Ltd. (HDEC)</t>
  </si>
  <si>
    <t>BRANCH OF HYUNDAI ENG. &amp; CONST. CO., LTD.</t>
  </si>
  <si>
    <t>Bank Account Details: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</si>
  <si>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</si>
  <si>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</si>
  <si>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</si>
  <si>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</si>
  <si>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</si>
  <si>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</si>
  <si>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</si>
  <si>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</si>
  <si>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YATCO</t>
  </si>
  <si>
    <t>YATCO(Yaqoot Arabia Trading Company)</t>
  </si>
  <si>
    <t>2050187866</t>
  </si>
  <si>
    <t>312249720500003</t>
  </si>
  <si>
    <t>Haris</t>
  </si>
  <si>
    <t>Mobile No. +966 565731662</t>
  </si>
  <si>
    <t>Abu Bakr Al-Razi Street Near Dharhan - Jubail Highway, Dammam 34223</t>
  </si>
  <si>
    <t>Mobile: +966 565731662</t>
  </si>
  <si>
    <t>509000010006080500631</t>
  </si>
  <si>
    <t>SA11 8000 0509 6080 1050 0631</t>
  </si>
  <si>
    <t>ALRAJHI BANK</t>
  </si>
  <si>
    <t>RJHISARI</t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</si>
  <si>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</si>
  <si>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</si>
  <si>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</si>
  <si>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</si>
  <si>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</si>
  <si>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</si>
  <si>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</si>
  <si>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</si>
  <si>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</si>
  <si>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</si>
  <si>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</si>
  <si>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</si>
  <si>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</si>
  <si>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</si>
  <si>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t>YAQOT ALARBYH COMPANY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</si>
  <si>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-MRS-0424</t>
    </r>
  </si>
  <si>
    <t>Diagonal Cutting Plier Dewesser 6"</t>
  </si>
  <si>
    <t xml:space="preserve">Scaffolding Caster Wheel </t>
  </si>
  <si>
    <t xml:space="preserve">Scaffolding Leather Gloves Red </t>
  </si>
  <si>
    <t xml:space="preserve">Steel Door Lock Full Set </t>
  </si>
  <si>
    <t xml:space="preserve">Welding Leather Apron </t>
  </si>
  <si>
    <t xml:space="preserve">Spray Paint-Red </t>
  </si>
  <si>
    <t>400Ml/400Grams, Asmaco, Made In Uae</t>
  </si>
  <si>
    <t xml:space="preserve">Belt Strap Wrench </t>
  </si>
  <si>
    <t xml:space="preserve">12" Clarke </t>
  </si>
  <si>
    <t xml:space="preserve"> Brand : Kaspro</t>
  </si>
  <si>
    <t xml:space="preserve"> 3Lb ( Brand : Kaspro ) </t>
  </si>
  <si>
    <t xml:space="preserve"> 4.8 X 300Mm ( 100Ea/Pkt - Brand : Giffex ) </t>
  </si>
  <si>
    <t xml:space="preserve">Cable Tie </t>
  </si>
  <si>
    <t xml:space="preserve">Carbon Brush For Chipping Machine </t>
  </si>
  <si>
    <t xml:space="preserve">Bosch 7Vc </t>
  </si>
  <si>
    <t xml:space="preserve">120Mm ( Brand : Clarke ) </t>
  </si>
  <si>
    <t xml:space="preserve">Center Punch  </t>
  </si>
  <si>
    <t xml:space="preserve"> (Brand - Tyvek) </t>
  </si>
  <si>
    <t>Chemical Coveral</t>
  </si>
  <si>
    <t xml:space="preserve">Combination Plier </t>
  </si>
  <si>
    <t xml:space="preserve">200Mm ( Brand : Giffex ) </t>
  </si>
  <si>
    <t xml:space="preserve">Combination Spanner - </t>
  </si>
  <si>
    <t xml:space="preserve">30Mm Roto </t>
  </si>
  <si>
    <t xml:space="preserve">Dr1/2"X22Mm ( Brand : Roto ) </t>
  </si>
  <si>
    <t xml:space="preserve">Dr1/2"X27Mm ( Brand : Roto ) </t>
  </si>
  <si>
    <t>Crow Foot Socket</t>
  </si>
  <si>
    <t xml:space="preserve">Crow Foot Socket </t>
  </si>
  <si>
    <t xml:space="preserve">- Dr1/2"X32Mm ( Brand : Roto ) </t>
  </si>
  <si>
    <t xml:space="preserve">- Dr1/2"X36Mm ( Brand : Roto ) </t>
  </si>
  <si>
    <t xml:space="preserve">End Cutting Top Cutter Pilier </t>
  </si>
  <si>
    <t xml:space="preserve">7" (Brand - Knippex) </t>
  </si>
  <si>
    <t xml:space="preserve">Flat Chisel </t>
  </si>
  <si>
    <t xml:space="preserve">16Mm X 400Mm (Brand - Clarke) </t>
  </si>
  <si>
    <t xml:space="preserve">Hacksaw Frame </t>
  </si>
  <si>
    <t xml:space="preserve">12" (Brand - Clarke) </t>
  </si>
  <si>
    <t>Hex Nut Ss</t>
  </si>
  <si>
    <t xml:space="preserve"> 5/8" </t>
  </si>
  <si>
    <t xml:space="preserve"> 5Ltr/Can ( Power-Up, Aw68 ) </t>
  </si>
  <si>
    <t xml:space="preserve">Impact Adapter Socket </t>
  </si>
  <si>
    <t xml:space="preserve">1/2" X 1/4" (Brand - Papersky) </t>
  </si>
  <si>
    <t xml:space="preserve">1/4" X 3/8" (Brand - Papersky) </t>
  </si>
  <si>
    <t xml:space="preserve">3/8" X 1/4" (Brand - Papersky) </t>
  </si>
  <si>
    <t xml:space="preserve">1" Drive, Size: 27Mm X 80Mm, Short ( Brand : Edge ) </t>
  </si>
  <si>
    <t xml:space="preserve">Impact Socket </t>
  </si>
  <si>
    <t xml:space="preserve">3/4" Drive, Size: 18Mm X 56Mm, Short ( Brand : Edge ) </t>
  </si>
  <si>
    <t>Impact Socket</t>
  </si>
  <si>
    <t xml:space="preserve"> 3/4" Drive, Size: 27Mm X 56Mm, Short ( Brand : Edge ) </t>
  </si>
  <si>
    <t xml:space="preserve">3/4" Drive, Size: 32Mm X 56Mm, Short ( Brand : Edge ) </t>
  </si>
  <si>
    <t xml:space="preserve">3/4" Drive, Size: 36Mm X 56Mm, Short ( Brand : Edge ) </t>
  </si>
  <si>
    <t xml:space="preserve">Dr 1/2" X 22Mm (Brand - Tower) </t>
  </si>
  <si>
    <t xml:space="preserve">Dr 1/2" X 32Mm (Brand - Tower) </t>
  </si>
  <si>
    <t xml:space="preserve">Dr 1/2"X 27Mm (Brand - Tower) </t>
  </si>
  <si>
    <t xml:space="preserve">Dr1" X 34Mm ( Brand : Clarke ) </t>
  </si>
  <si>
    <t xml:space="preserve">Dr1" X 36Mm ( Brand : Clarke ) </t>
  </si>
  <si>
    <t xml:space="preserve">Dr1" X 41Mm ( Brand : Clarke ) </t>
  </si>
  <si>
    <t xml:space="preserve">Indutrial Mist Fan </t>
  </si>
  <si>
    <t xml:space="preserve">220V 26" ( Brand : Giffex ) </t>
  </si>
  <si>
    <t xml:space="preserve">Interchangeable Torque Wrench </t>
  </si>
  <si>
    <t xml:space="preserve">Dr1/2" 50-350Nm,13-30Mm ( Brand : Max ) </t>
  </si>
  <si>
    <t xml:space="preserve">Magnetic Nut Setter </t>
  </si>
  <si>
    <t xml:space="preserve">Size : 8Mm ( Brand : Dewesser ) </t>
  </si>
  <si>
    <t>Magnetic Scaffolder Speed Level</t>
  </si>
  <si>
    <t xml:space="preserve"> ( Brand : Kaspro ) </t>
  </si>
  <si>
    <t xml:space="preserve">Magnetic Spirit Level </t>
  </si>
  <si>
    <t xml:space="preserve">300Mm ( Brand : Kaspro ) </t>
  </si>
  <si>
    <t xml:space="preserve">Measurement Tape </t>
  </si>
  <si>
    <t xml:space="preserve">5Mtr ( Brand : Roto ) </t>
  </si>
  <si>
    <t xml:space="preserve">Non-Sparking Flat Chisel </t>
  </si>
  <si>
    <t xml:space="preserve">25 X 200Mm ( Brand : Kaspro ) </t>
  </si>
  <si>
    <t xml:space="preserve"> 19 X 21Mm ( Brand : Kaspro ) </t>
  </si>
  <si>
    <t>Ratchet Spanner</t>
  </si>
  <si>
    <t>Rubber Hammer</t>
  </si>
  <si>
    <t xml:space="preserve"> 2Lb (Brand - Clarke) </t>
  </si>
  <si>
    <t xml:space="preserve">Scaffold Tag </t>
  </si>
  <si>
    <t xml:space="preserve">Green </t>
  </si>
  <si>
    <t xml:space="preserve"> Yellow </t>
  </si>
  <si>
    <t xml:space="preserve">Scaffolding Canvas Bag </t>
  </si>
  <si>
    <t xml:space="preserve"> 30Kg ( Brand : Kaspro ) </t>
  </si>
  <si>
    <t xml:space="preserve">Zinc Spray Black </t>
  </si>
  <si>
    <t xml:space="preserve">(Brand - Asmaco) </t>
  </si>
  <si>
    <t xml:space="preserve">White Clear Welding Glass </t>
  </si>
  <si>
    <t xml:space="preserve">( Brand : Kaspro ) </t>
  </si>
  <si>
    <t>Tube Cutter Blade</t>
  </si>
  <si>
    <t xml:space="preserve"> 1/8-11/8 ( Brand : Super Ego ) </t>
  </si>
  <si>
    <t xml:space="preserve">Torque Wrench </t>
  </si>
  <si>
    <t xml:space="preserve">Dr3/4" 110-500Nm Wp271043 Work Pro </t>
  </si>
  <si>
    <t xml:space="preserve">Dr3/4" 100-500Nm (Brand - Papersky) </t>
  </si>
  <si>
    <t xml:space="preserve">Dr1/2" 10-110Nm (Brand - Papersky) </t>
  </si>
  <si>
    <t xml:space="preserve">Tool Lanyard </t>
  </si>
  <si>
    <t xml:space="preserve">( Brand : Clarke ) </t>
  </si>
  <si>
    <t xml:space="preserve">Tin Snip Cutter </t>
  </si>
  <si>
    <t xml:space="preserve">10" Straight ( Brand : Kana ) </t>
  </si>
  <si>
    <t xml:space="preserve">Stud Bolt Ss </t>
  </si>
  <si>
    <t xml:space="preserve"> 5/8" X 3000Mm </t>
  </si>
  <si>
    <t>Std Scaffolding Canvas Bucket</t>
  </si>
  <si>
    <t xml:space="preserve">Tube Cutter </t>
  </si>
  <si>
    <t xml:space="preserve">Size : 3 - 30Mm , Stanley </t>
  </si>
  <si>
    <t xml:space="preserve">30M Chalk Line Set With </t>
  </si>
  <si>
    <t xml:space="preserve">115Grs Chalk And Level, Stanley </t>
  </si>
  <si>
    <t xml:space="preserve">Ss Half Round File </t>
  </si>
  <si>
    <t xml:space="preserve"> 12" ( Brand : Kaspro ) </t>
  </si>
  <si>
    <t xml:space="preserve">Ss Drill Bit </t>
  </si>
  <si>
    <t xml:space="preserve">8Mm ( Brand : Dweseer ) </t>
  </si>
  <si>
    <t>Ss Drill Bit</t>
  </si>
  <si>
    <t xml:space="preserve"> 6Mm ( Brand : Dweseer ) </t>
  </si>
  <si>
    <t xml:space="preserve"> 5Mm (Brand - Dewesser) </t>
  </si>
  <si>
    <t xml:space="preserve">10Mm ( Brand : Dweseer ) </t>
  </si>
  <si>
    <t xml:space="preserve"> 3Mm (Brand - Dewesser) </t>
  </si>
  <si>
    <t xml:space="preserve">Socket Adapter </t>
  </si>
  <si>
    <t xml:space="preserve">M 1/2"X F 3/4" (Brand - Tower) </t>
  </si>
  <si>
    <t xml:space="preserve">Sleeve Welding Tig Gloves </t>
  </si>
  <si>
    <t xml:space="preserve">12" </t>
  </si>
  <si>
    <t>Sleeve Welding Tig Gloves</t>
  </si>
  <si>
    <t xml:space="preserve">10" </t>
  </si>
  <si>
    <t xml:space="preserve">Sleeve Red Arc Welding Gloves </t>
  </si>
  <si>
    <t xml:space="preserve"> 16" </t>
  </si>
  <si>
    <t xml:space="preserve">Sholding Iron Past </t>
  </si>
  <si>
    <t xml:space="preserve">100Gm </t>
  </si>
  <si>
    <t xml:space="preserve">Sholding Iron Lead Wire </t>
  </si>
  <si>
    <t xml:space="preserve">1.2Mm X 100G </t>
  </si>
  <si>
    <t xml:space="preserve">Sholding Iron </t>
  </si>
  <si>
    <t xml:space="preserve">100 Watt </t>
  </si>
  <si>
    <t>Screw Driver</t>
  </si>
  <si>
    <t xml:space="preserve"> 6Mm X 150Mm (-) &amp; Cross (+) Type (Brand - Giffex) </t>
  </si>
  <si>
    <t>Scaffolding Tool Leather Belt</t>
  </si>
  <si>
    <t>Scaffolding Tool Lanyard</t>
  </si>
  <si>
    <t xml:space="preserve"> ( Brand : Clarke ) </t>
  </si>
  <si>
    <t>Scaffolding Tool Belt</t>
  </si>
  <si>
    <t xml:space="preserve">Scaffolding Spirit Level </t>
  </si>
  <si>
    <t xml:space="preserve">Dewalt Carbon Brush </t>
  </si>
  <si>
    <t xml:space="preserve">For Angle Grinder Machine - 4" </t>
  </si>
  <si>
    <t xml:space="preserve">Electrical Tape </t>
  </si>
  <si>
    <t xml:space="preserve">Yellow Giffex </t>
  </si>
  <si>
    <t xml:space="preserve">Hydraulic Bender Oil </t>
  </si>
  <si>
    <t>Impact Adapter Socket</t>
  </si>
  <si>
    <t>Wd40 Spary</t>
  </si>
  <si>
    <t xml:space="preserve"> 330Ml</t>
  </si>
  <si>
    <t>EA</t>
  </si>
  <si>
    <t>PKT</t>
  </si>
  <si>
    <t>PCS</t>
  </si>
  <si>
    <t>CAN</t>
  </si>
  <si>
    <t>SET</t>
  </si>
  <si>
    <t>NOS</t>
  </si>
  <si>
    <t>PAIR</t>
  </si>
  <si>
    <t>Diesel Generator Perfect</t>
  </si>
  <si>
    <t>DG6500E 5.5KW Brand: Perfect</t>
  </si>
  <si>
    <t>Brass Chipping Hammer</t>
  </si>
  <si>
    <t xml:space="preserve">Brass Hammer </t>
  </si>
  <si>
    <t>Brass Hand Wire Brush</t>
  </si>
  <si>
    <t xml:space="preserve">3.6 X 150Mm ( 100Ea/Pkt - Brand : Giffex ) </t>
  </si>
  <si>
    <t>QTN-C26-150723, QT-C26-0911</t>
  </si>
  <si>
    <t xml:space="preserve">Site Tools, Materials &amp; Equipment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</si>
</sst>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theme="0" tint="-0.34998626667073579"/>
      </right>
      <top/>
      <bottom style="thin">
        <color theme="0" tint="-0.499984740745262"/>
      </bottom>
      <diagonal/>
    </border>
    <border>
      <left style="thin">
        <color theme="0" tint="-0.34998626667073579"/>
      </left>
      <right/>
      <top/>
      <bottom style="thin">
        <color theme="0" tint="-0.499984740745262"/>
      </bottom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7" fillId="0" borderId="0" applyBorder="0"/>
    <xf numFmtId="0" fontId="36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92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9" xfId="1" applyFill="1" applyBorder="1" applyAlignment="1">
      <alignment vertical="center"/>
    </xf>
    <xf numFmtId="0" fontId="2" fillId="2" borderId="9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14" fillId="2" borderId="0" xfId="1" applyFont="1" applyFill="1" applyAlignment="1">
      <alignment vertical="center"/>
    </xf>
    <xf numFmtId="0" fontId="5" fillId="2" borderId="17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5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8" fillId="3" borderId="0" xfId="5" applyFont="1" applyFill="1" applyAlignment="1">
      <alignment horizontal="left" vertical="center"/>
    </xf>
    <xf numFmtId="169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17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8" fillId="0" borderId="0" xfId="6" applyFont="1"/>
    <xf numFmtId="0" fontId="28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7" fillId="0" borderId="0" xfId="6" applyFont="1" applyAlignment="1">
      <alignment vertical="top"/>
    </xf>
    <xf numFmtId="168" fontId="7" fillId="0" borderId="0" xfId="6" quotePrefix="1" applyNumberFormat="1" applyFont="1" applyAlignment="1">
      <alignment horizontal="left" vertical="top"/>
    </xf>
    <xf numFmtId="171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7" fillId="4" borderId="17" xfId="6" applyFont="1" applyFill="1" applyBorder="1" applyAlignment="1">
      <alignment horizontal="center" vertical="center" wrapText="1"/>
    </xf>
    <xf numFmtId="43" fontId="12" fillId="0" borderId="17" xfId="6" quotePrefix="1" applyNumberFormat="1" applyFont="1" applyBorder="1" applyAlignment="1">
      <alignment vertical="center" wrapText="1"/>
    </xf>
    <xf numFmtId="0" fontId="7" fillId="0" borderId="31" xfId="6" applyFont="1" applyBorder="1"/>
    <xf numFmtId="170" fontId="9" fillId="0" borderId="38" xfId="6" applyNumberFormat="1" applyFont="1" applyBorder="1" applyAlignment="1">
      <alignment horizontal="center" vertical="center" wrapText="1"/>
    </xf>
    <xf numFmtId="0" fontId="7" fillId="0" borderId="39" xfId="6" applyFont="1" applyBorder="1"/>
    <xf numFmtId="0" fontId="9" fillId="0" borderId="0" xfId="6" applyFont="1" applyAlignment="1">
      <alignment vertical="center"/>
    </xf>
    <xf numFmtId="0" fontId="25" fillId="0" borderId="40" xfId="6" applyFont="1" applyBorder="1" applyAlignment="1">
      <alignment vertical="center"/>
    </xf>
    <xf numFmtId="0" fontId="25" fillId="0" borderId="40" xfId="6" applyFont="1" applyBorder="1"/>
    <xf numFmtId="0" fontId="9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2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2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7" fillId="3" borderId="0" xfId="5" applyFont="1" applyFill="1" applyAlignment="1">
      <alignment horizontal="left" vertical="center"/>
    </xf>
    <xf numFmtId="169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2" xfId="6" quotePrefix="1" applyFont="1" applyBorder="1" applyAlignment="1">
      <alignment horizontal="center" vertical="center"/>
    </xf>
    <xf numFmtId="0" fontId="5" fillId="2" borderId="35" xfId="7" applyFont="1" applyFill="1" applyBorder="1" applyAlignment="1">
      <alignment horizontal="center" vertical="center" wrapText="1"/>
    </xf>
    <xf numFmtId="0" fontId="5" fillId="2" borderId="35" xfId="8" applyFont="1" applyFill="1" applyBorder="1" applyAlignment="1">
      <alignment horizontal="center" vertical="center"/>
    </xf>
    <xf numFmtId="43" fontId="5" fillId="0" borderId="35" xfId="9" quotePrefix="1" applyFont="1" applyFill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2" fillId="0" borderId="31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1" fillId="0" borderId="17" xfId="0" applyFont="1" applyBorder="1" applyAlignment="1">
      <alignment horizontal="center" vertical="center"/>
    </xf>
    <xf numFmtId="172" fontId="41" fillId="0" borderId="17" xfId="10" applyNumberFormat="1" applyFont="1" applyBorder="1" applyAlignment="1">
      <alignment horizontal="center" vertical="center"/>
    </xf>
    <xf numFmtId="0" fontId="5" fillId="2" borderId="17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0" fontId="2" fillId="0" borderId="8" xfId="0" quotePrefix="1" applyFont="1" applyBorder="1" applyAlignment="1">
      <alignment vertical="center" wrapText="1"/>
    </xf>
    <xf numFmtId="0" fontId="42" fillId="2" borderId="0" xfId="1" applyFont="1" applyFill="1" applyAlignment="1">
      <alignment vertical="center"/>
    </xf>
    <xf numFmtId="170" fontId="17" fillId="3" borderId="0" xfId="5" applyNumberFormat="1" applyFont="1" applyFill="1"/>
    <xf numFmtId="0" fontId="40" fillId="3" borderId="0" xfId="5" applyFont="1" applyFill="1" applyAlignment="1">
      <alignment horizontal="left" vertical="center"/>
    </xf>
    <xf numFmtId="170" fontId="24" fillId="3" borderId="0" xfId="5" applyNumberFormat="1" applyFont="1" applyFill="1"/>
    <xf numFmtId="0" fontId="51" fillId="3" borderId="0" xfId="5" applyFont="1" applyFill="1"/>
    <xf numFmtId="0" fontId="17" fillId="3" borderId="0" xfId="5" quotePrefix="1" applyFont="1" applyFill="1"/>
    <xf numFmtId="0" fontId="20" fillId="3" borderId="41" xfId="5" applyFont="1" applyFill="1" applyBorder="1"/>
    <xf numFmtId="0" fontId="17" fillId="3" borderId="41" xfId="5" applyFont="1" applyFill="1" applyBorder="1"/>
    <xf numFmtId="0" fontId="5" fillId="2" borderId="16" xfId="1" applyFont="1" applyFill="1" applyBorder="1" applyAlignment="1">
      <alignment horizontal="center" vertical="center"/>
    </xf>
    <xf numFmtId="0" fontId="52" fillId="2" borderId="0" xfId="1" applyFont="1" applyFill="1" applyAlignment="1">
      <alignment vertical="center"/>
    </xf>
    <xf numFmtId="0" fontId="55" fillId="0" borderId="0" xfId="2" applyFont="1" applyAlignment="1">
      <alignment vertical="center"/>
    </xf>
    <xf numFmtId="168" fontId="56" fillId="0" borderId="7" xfId="3" applyNumberFormat="1" applyFont="1" applyBorder="1" applyAlignment="1">
      <alignment horizontal="right"/>
    </xf>
    <xf numFmtId="0" fontId="5" fillId="2" borderId="16" xfId="1" applyFont="1" applyFill="1" applyBorder="1" applyAlignment="1">
      <alignment horizontal="center" vertical="center" wrapText="1"/>
    </xf>
    <xf numFmtId="0" fontId="5" fillId="2" borderId="14" xfId="1" applyFont="1" applyFill="1" applyBorder="1" applyAlignment="1">
      <alignment vertical="center"/>
    </xf>
    <xf numFmtId="0" fontId="5" fillId="2" borderId="9" xfId="1" applyFont="1" applyFill="1" applyBorder="1" applyAlignment="1">
      <alignment horizontal="center" vertical="center"/>
    </xf>
    <xf numFmtId="0" fontId="12" fillId="3" borderId="0" xfId="0" applyFont="1" applyFill="1">
      <alignment vertical="center"/>
    </xf>
    <xf numFmtId="0" fontId="12" fillId="3" borderId="42" xfId="0" applyFont="1" applyFill="1" applyBorder="1">
      <alignment vertical="center"/>
    </xf>
    <xf numFmtId="0" fontId="5" fillId="2" borderId="8" xfId="1" applyFont="1" applyFill="1" applyBorder="1" applyAlignment="1">
      <alignment vertical="center" wrapText="1"/>
    </xf>
    <xf numFmtId="15" fontId="25" fillId="3" borderId="0" xfId="5" applyNumberFormat="1" applyFont="1" applyFill="1"/>
    <xf numFmtId="0" fontId="7" fillId="2" borderId="44" xfId="1" quotePrefix="1" applyFont="1" applyFill="1" applyBorder="1" applyAlignment="1">
      <alignment vertical="center"/>
    </xf>
    <xf numFmtId="0" fontId="2" fillId="2" borderId="7" xfId="1" applyFill="1" applyBorder="1" applyAlignment="1">
      <alignment vertical="center"/>
    </xf>
    <xf numFmtId="0" fontId="2" fillId="2" borderId="7" xfId="1" applyFill="1" applyBorder="1" applyAlignment="1">
      <alignment vertical="center" wrapText="1"/>
    </xf>
    <xf numFmtId="0" fontId="2" fillId="2" borderId="12" xfId="1" applyFill="1" applyBorder="1" applyAlignment="1">
      <alignment horizontal="center" vertical="center"/>
    </xf>
    <xf numFmtId="167" fontId="2" fillId="0" borderId="11" xfId="0" applyNumberFormat="1" applyFont="1" applyBorder="1" applyAlignment="1">
      <alignment horizontal="right" vertical="center" wrapText="1"/>
    </xf>
    <xf numFmtId="0" fontId="2" fillId="2" borderId="12" xfId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40" fontId="13" fillId="0" borderId="8" xfId="0" applyNumberFormat="1" applyFont="1" applyBorder="1">
      <alignment vertical="center"/>
    </xf>
    <xf numFmtId="167" fontId="2" fillId="0" borderId="8" xfId="0" applyNumberFormat="1" applyFont="1" applyBorder="1" applyAlignment="1">
      <alignment horizontal="right" vertical="center" wrapText="1"/>
    </xf>
    <xf numFmtId="167" fontId="2" fillId="0" borderId="8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8" xfId="0" quotePrefix="1" applyFont="1" applyFill="1" applyBorder="1" applyAlignment="1">
      <alignment horizontal="center" vertical="center" wrapText="1"/>
    </xf>
    <xf numFmtId="0" fontId="2" fillId="2" borderId="11" xfId="1" applyFill="1" applyBorder="1" applyAlignment="1">
      <alignment horizontal="center" vertical="center" wrapText="1"/>
    </xf>
    <xf numFmtId="0" fontId="2" fillId="2" borderId="43" xfId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0" xfId="1" applyFont="1" applyFill="1" applyAlignment="1">
      <alignment horizontal="center" vertical="center" wrapText="1"/>
    </xf>
    <xf numFmtId="0" fontId="45" fillId="2" borderId="1" xfId="1" applyFont="1" applyFill="1" applyBorder="1" applyAlignment="1">
      <alignment horizontal="center" vertical="center"/>
    </xf>
    <xf numFmtId="0" fontId="45" fillId="2" borderId="2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46" fillId="2" borderId="4" xfId="1" applyFont="1" applyFill="1" applyBorder="1" applyAlignment="1">
      <alignment horizontal="center" vertical="center"/>
    </xf>
    <xf numFmtId="0" fontId="46" fillId="2" borderId="5" xfId="1" applyFont="1" applyFill="1" applyBorder="1" applyAlignment="1">
      <alignment horizontal="center" vertical="center"/>
    </xf>
    <xf numFmtId="0" fontId="46" fillId="2" borderId="6" xfId="1" applyFont="1" applyFill="1" applyBorder="1" applyAlignment="1">
      <alignment horizontal="center" vertical="center"/>
    </xf>
    <xf numFmtId="165" fontId="47" fillId="2" borderId="7" xfId="1" applyNumberFormat="1" applyFont="1" applyFill="1" applyBorder="1" applyAlignment="1">
      <alignment horizontal="left" vertical="center"/>
    </xf>
    <xf numFmtId="0" fontId="7" fillId="2" borderId="10" xfId="1" applyFont="1" applyFill="1" applyBorder="1" applyAlignment="1">
      <alignment horizontal="center" vertical="center" wrapText="1"/>
    </xf>
    <xf numFmtId="0" fontId="7" fillId="2" borderId="16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10" xfId="1" applyFont="1" applyFill="1" applyBorder="1" applyAlignment="1">
      <alignment horizontal="center" vertical="center"/>
    </xf>
    <xf numFmtId="0" fontId="7" fillId="2" borderId="16" xfId="1" applyFont="1" applyFill="1" applyBorder="1" applyAlignment="1">
      <alignment horizontal="center" vertical="center"/>
    </xf>
    <xf numFmtId="0" fontId="5" fillId="2" borderId="13" xfId="1" applyFont="1" applyFill="1" applyBorder="1" applyAlignment="1">
      <alignment horizontal="center" vertical="center"/>
    </xf>
    <xf numFmtId="0" fontId="5" fillId="2" borderId="14" xfId="1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5" fillId="2" borderId="13" xfId="1" applyFont="1" applyFill="1" applyBorder="1" applyAlignment="1">
      <alignment horizontal="center" vertical="center" wrapText="1"/>
    </xf>
    <xf numFmtId="0" fontId="5" fillId="2" borderId="14" xfId="1" applyFont="1" applyFill="1" applyBorder="1" applyAlignment="1">
      <alignment horizontal="center" vertical="center" wrapText="1"/>
    </xf>
    <xf numFmtId="0" fontId="14" fillId="2" borderId="17" xfId="1" applyFont="1" applyFill="1" applyBorder="1" applyAlignment="1">
      <alignment horizontal="center" vertical="center" wrapText="1"/>
    </xf>
    <xf numFmtId="0" fontId="14" fillId="2" borderId="17" xfId="1" applyFont="1" applyFill="1" applyBorder="1" applyAlignment="1">
      <alignment horizontal="center" vertical="center"/>
    </xf>
    <xf numFmtId="0" fontId="41" fillId="0" borderId="18" xfId="0" applyFont="1" applyBorder="1" applyAlignment="1">
      <alignment horizontal="left" vertical="center" wrapText="1"/>
    </xf>
    <xf numFmtId="0" fontId="41" fillId="0" borderId="19" xfId="0" applyFont="1" applyBorder="1" applyAlignment="1">
      <alignment horizontal="left" vertical="center" wrapText="1"/>
    </xf>
    <xf numFmtId="0" fontId="41" fillId="3" borderId="18" xfId="0" applyFont="1" applyFill="1" applyBorder="1" applyAlignment="1">
      <alignment horizontal="center" vertical="center" wrapText="1"/>
    </xf>
    <xf numFmtId="0" fontId="41" fillId="3" borderId="20" xfId="0" applyFont="1" applyFill="1" applyBorder="1" applyAlignment="1">
      <alignment horizontal="center" vertical="center" wrapText="1"/>
    </xf>
    <xf numFmtId="0" fontId="41" fillId="3" borderId="19" xfId="0" applyFont="1" applyFill="1" applyBorder="1" applyAlignment="1">
      <alignment horizontal="center" vertical="center" wrapText="1"/>
    </xf>
    <xf numFmtId="0" fontId="26" fillId="3" borderId="0" xfId="5" applyFont="1" applyFill="1" applyAlignment="1">
      <alignment horizontal="center"/>
    </xf>
    <xf numFmtId="168" fontId="31" fillId="3" borderId="0" xfId="5" quotePrefix="1" applyNumberFormat="1" applyFont="1" applyFill="1" applyAlignment="1">
      <alignment horizontal="left" vertical="center"/>
    </xf>
    <xf numFmtId="168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1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0" fontId="50" fillId="3" borderId="0" xfId="5" applyFont="1" applyFill="1" applyAlignment="1">
      <alignment horizontal="left" wrapText="1"/>
    </xf>
    <xf numFmtId="0" fontId="41" fillId="3" borderId="33" xfId="5" applyFont="1" applyFill="1" applyBorder="1" applyAlignment="1">
      <alignment horizontal="left" vertical="center" wrapText="1"/>
    </xf>
    <xf numFmtId="0" fontId="41" fillId="3" borderId="34" xfId="5" applyFont="1" applyFill="1" applyBorder="1" applyAlignment="1">
      <alignment horizontal="left" vertical="center" wrapText="1"/>
    </xf>
    <xf numFmtId="0" fontId="12" fillId="0" borderId="30" xfId="6" quotePrefix="1" applyFont="1" applyBorder="1" applyAlignment="1">
      <alignment horizontal="right" vertical="center"/>
    </xf>
    <xf numFmtId="0" fontId="12" fillId="0" borderId="17" xfId="6" quotePrefix="1" applyFont="1" applyBorder="1" applyAlignment="1">
      <alignment horizontal="right" vertical="center"/>
    </xf>
    <xf numFmtId="0" fontId="9" fillId="0" borderId="37" xfId="6" quotePrefix="1" applyFont="1" applyBorder="1" applyAlignment="1">
      <alignment horizontal="right" vertical="center"/>
    </xf>
    <xf numFmtId="0" fontId="9" fillId="0" borderId="38" xfId="6" quotePrefix="1" applyFont="1" applyBorder="1" applyAlignment="1">
      <alignment horizontal="right" vertical="center"/>
    </xf>
    <xf numFmtId="0" fontId="29" fillId="0" borderId="0" xfId="6" applyFont="1" applyAlignment="1">
      <alignment horizontal="center" vertical="center"/>
    </xf>
    <xf numFmtId="0" fontId="32" fillId="0" borderId="22" xfId="6" applyFont="1" applyBorder="1" applyAlignment="1">
      <alignment horizontal="right" vertical="center"/>
    </xf>
    <xf numFmtId="0" fontId="7" fillId="4" borderId="23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24" xfId="6" applyFont="1" applyFill="1" applyBorder="1" applyAlignment="1">
      <alignment horizontal="center" vertical="center" wrapText="1"/>
    </xf>
    <xf numFmtId="0" fontId="7" fillId="4" borderId="25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26" xfId="6" applyFont="1" applyFill="1" applyBorder="1" applyAlignment="1">
      <alignment horizontal="center" vertical="center" wrapText="1"/>
    </xf>
    <xf numFmtId="0" fontId="7" fillId="4" borderId="17" xfId="6" applyFont="1" applyFill="1" applyBorder="1" applyAlignment="1">
      <alignment horizontal="center" vertical="center" wrapText="1"/>
    </xf>
    <xf numFmtId="0" fontId="7" fillId="4" borderId="27" xfId="6" applyFont="1" applyFill="1" applyBorder="1" applyAlignment="1">
      <alignment horizontal="center" vertical="center" wrapText="1"/>
    </xf>
    <xf numFmtId="0" fontId="7" fillId="4" borderId="28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40607</xdr:colOff>
          <xdr:row>92</xdr:row>
          <xdr:rowOff>245143</xdr:rowOff>
        </xdr:from>
        <xdr:to>
          <xdr:col>11</xdr:col>
          <xdr:colOff>1652337</xdr:colOff>
          <xdr:row>99</xdr:row>
          <xdr:rowOff>232612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CC858A43-5394-5376-854B-8738BED6648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96:$Y$101" spid="_x0000_s135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426870" y="27937827"/>
              <a:ext cx="8459704" cy="234365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128"/>
  <sheetViews>
    <sheetView showGridLines="0" tabSelected="1" view="pageBreakPreview" topLeftCell="A76" zoomScale="95" zoomScaleNormal="95" zoomScaleSheetLayoutView="95" workbookViewId="0">
      <selection activeCell="P92" sqref="P92"/>
    </sheetView>
  </sheetViews>
  <sheetFormatPr defaultColWidth="9" defaultRowHeight="21" customHeight="1"/>
  <cols>
    <col min="1" max="1" width="4.7109375" style="2" customWidth="1"/>
    <col min="2" max="2" width="20.7109375" style="2" customWidth="1"/>
    <col min="3" max="3" width="10.42578125" style="2" customWidth="1"/>
    <col min="4" max="4" width="17.28515625" style="2" customWidth="1"/>
    <col min="5" max="5" width="11.28515625" style="2" customWidth="1"/>
    <col min="6" max="6" width="12.8554687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8" ht="49.9" customHeight="1">
      <c r="A1" s="104" t="s">
        <v>115</v>
      </c>
      <c r="B1" s="105"/>
      <c r="C1" s="93"/>
      <c r="D1" s="93"/>
      <c r="E1" s="93"/>
      <c r="F1" s="93"/>
      <c r="G1" s="1"/>
      <c r="J1" s="133" t="s">
        <v>81</v>
      </c>
      <c r="K1" s="134"/>
      <c r="L1" s="135"/>
    </row>
    <row r="2" spans="1:18" ht="20.100000000000001" customHeight="1">
      <c r="A2" s="3" t="s">
        <v>1</v>
      </c>
      <c r="B2" s="87"/>
      <c r="C2" s="87"/>
      <c r="D2" s="3" t="s">
        <v>116</v>
      </c>
      <c r="E2" s="87"/>
      <c r="F2" s="87"/>
      <c r="G2" s="87"/>
      <c r="H2" s="87"/>
      <c r="I2" s="4"/>
      <c r="J2" s="136" t="s">
        <v>88</v>
      </c>
      <c r="K2" s="137"/>
      <c r="L2" s="138"/>
    </row>
    <row r="3" spans="1:18" ht="20.100000000000001" customHeight="1">
      <c r="A3" s="3" t="s">
        <v>130</v>
      </c>
      <c r="B3" s="87"/>
      <c r="C3" s="87"/>
      <c r="D3" s="87"/>
      <c r="E3" s="139">
        <f>+L3+3</f>
        <v>46253</v>
      </c>
      <c r="F3" s="139"/>
      <c r="G3" s="139"/>
      <c r="H3" s="139"/>
      <c r="I3" s="139"/>
      <c r="J3" s="87"/>
      <c r="K3" s="87"/>
      <c r="L3" s="106">
        <v>46250</v>
      </c>
      <c r="M3" s="4"/>
    </row>
    <row r="4" spans="1:18" ht="15.95" customHeight="1">
      <c r="A4" s="142" t="s">
        <v>2</v>
      </c>
      <c r="B4" s="143" t="s">
        <v>3</v>
      </c>
      <c r="C4" s="143"/>
      <c r="D4" s="140" t="s">
        <v>4</v>
      </c>
      <c r="E4" s="140"/>
      <c r="F4" s="140"/>
      <c r="G4" s="144" t="s">
        <v>5</v>
      </c>
      <c r="H4" s="140" t="s">
        <v>6</v>
      </c>
      <c r="I4" s="140" t="s">
        <v>85</v>
      </c>
      <c r="J4" s="142" t="s">
        <v>86</v>
      </c>
      <c r="K4" s="140" t="s">
        <v>0</v>
      </c>
      <c r="L4" s="143" t="s">
        <v>7</v>
      </c>
    </row>
    <row r="5" spans="1:18" ht="15.95" customHeight="1">
      <c r="A5" s="140"/>
      <c r="B5" s="144"/>
      <c r="C5" s="144"/>
      <c r="D5" s="141"/>
      <c r="E5" s="141"/>
      <c r="F5" s="141"/>
      <c r="G5" s="145"/>
      <c r="H5" s="141"/>
      <c r="I5" s="141"/>
      <c r="J5" s="140"/>
      <c r="K5" s="141"/>
      <c r="L5" s="144"/>
    </row>
    <row r="6" spans="1:18" ht="24" customHeight="1">
      <c r="A6" s="5">
        <f t="shared" ref="A6:A69" si="0">ROW(A1)</f>
        <v>1</v>
      </c>
      <c r="B6" s="124" t="s">
        <v>136</v>
      </c>
      <c r="C6" s="124"/>
      <c r="D6" s="125" t="s">
        <v>137</v>
      </c>
      <c r="E6" s="125"/>
      <c r="F6" s="125"/>
      <c r="G6" s="120" t="s">
        <v>268</v>
      </c>
      <c r="H6" s="120">
        <v>2</v>
      </c>
      <c r="I6" s="121">
        <v>4.3</v>
      </c>
      <c r="J6" s="122">
        <f>H6*I6</f>
        <v>8.6</v>
      </c>
      <c r="K6" s="123" t="s">
        <v>103</v>
      </c>
      <c r="L6" s="94" t="s">
        <v>91</v>
      </c>
      <c r="R6" s="92"/>
    </row>
    <row r="7" spans="1:18" ht="24" customHeight="1">
      <c r="A7" s="5">
        <f t="shared" si="0"/>
        <v>2</v>
      </c>
      <c r="B7" s="124" t="s">
        <v>138</v>
      </c>
      <c r="C7" s="124"/>
      <c r="D7" s="125" t="s">
        <v>139</v>
      </c>
      <c r="E7" s="125"/>
      <c r="F7" s="125"/>
      <c r="G7" s="120" t="s">
        <v>268</v>
      </c>
      <c r="H7" s="120">
        <v>2</v>
      </c>
      <c r="I7" s="121">
        <v>41</v>
      </c>
      <c r="J7" s="122">
        <f t="shared" ref="J7:J14" si="1">H7*I7</f>
        <v>82</v>
      </c>
      <c r="K7" s="123"/>
      <c r="L7" s="94"/>
      <c r="R7" s="92"/>
    </row>
    <row r="8" spans="1:18" ht="24" customHeight="1">
      <c r="A8" s="5">
        <f t="shared" si="0"/>
        <v>3</v>
      </c>
      <c r="B8" s="124" t="s">
        <v>277</v>
      </c>
      <c r="C8" s="124"/>
      <c r="D8" s="125" t="s">
        <v>140</v>
      </c>
      <c r="E8" s="125"/>
      <c r="F8" s="125"/>
      <c r="G8" s="120" t="s">
        <v>268</v>
      </c>
      <c r="H8" s="120">
        <v>6</v>
      </c>
      <c r="I8" s="121">
        <v>175</v>
      </c>
      <c r="J8" s="122">
        <f t="shared" si="1"/>
        <v>1050</v>
      </c>
      <c r="K8" s="123"/>
      <c r="L8" s="94"/>
      <c r="R8" s="92"/>
    </row>
    <row r="9" spans="1:18" ht="24" customHeight="1">
      <c r="A9" s="5">
        <f t="shared" si="0"/>
        <v>4</v>
      </c>
      <c r="B9" s="124" t="s">
        <v>278</v>
      </c>
      <c r="C9" s="124"/>
      <c r="D9" s="125" t="s">
        <v>141</v>
      </c>
      <c r="E9" s="125"/>
      <c r="F9" s="125"/>
      <c r="G9" s="120" t="s">
        <v>268</v>
      </c>
      <c r="H9" s="120">
        <v>6</v>
      </c>
      <c r="I9" s="121">
        <v>145</v>
      </c>
      <c r="J9" s="122">
        <f t="shared" si="1"/>
        <v>870</v>
      </c>
      <c r="K9" s="123"/>
      <c r="L9" s="94"/>
      <c r="R9" s="92"/>
    </row>
    <row r="10" spans="1:18" ht="24" customHeight="1">
      <c r="A10" s="5">
        <f t="shared" si="0"/>
        <v>5</v>
      </c>
      <c r="B10" s="124" t="s">
        <v>279</v>
      </c>
      <c r="C10" s="124"/>
      <c r="D10" s="125" t="s">
        <v>193</v>
      </c>
      <c r="E10" s="125"/>
      <c r="F10" s="125"/>
      <c r="G10" s="120" t="s">
        <v>268</v>
      </c>
      <c r="H10" s="120">
        <v>6</v>
      </c>
      <c r="I10" s="121">
        <v>12.5</v>
      </c>
      <c r="J10" s="122">
        <f t="shared" si="1"/>
        <v>75</v>
      </c>
      <c r="K10" s="123"/>
      <c r="L10" s="94"/>
      <c r="R10" s="92"/>
    </row>
    <row r="11" spans="1:18" ht="24" customHeight="1">
      <c r="A11" s="5">
        <f t="shared" si="0"/>
        <v>6</v>
      </c>
      <c r="B11" s="124" t="s">
        <v>143</v>
      </c>
      <c r="C11" s="124"/>
      <c r="D11" s="125" t="s">
        <v>280</v>
      </c>
      <c r="E11" s="125"/>
      <c r="F11" s="125"/>
      <c r="G11" s="120" t="s">
        <v>269</v>
      </c>
      <c r="H11" s="120">
        <v>50</v>
      </c>
      <c r="I11" s="121">
        <v>6</v>
      </c>
      <c r="J11" s="122">
        <f t="shared" si="1"/>
        <v>300</v>
      </c>
      <c r="K11" s="123"/>
      <c r="L11" s="94"/>
      <c r="R11" s="92"/>
    </row>
    <row r="12" spans="1:18" ht="24" customHeight="1">
      <c r="A12" s="5">
        <f t="shared" si="0"/>
        <v>7</v>
      </c>
      <c r="B12" s="124" t="s">
        <v>143</v>
      </c>
      <c r="C12" s="124"/>
      <c r="D12" s="125" t="s">
        <v>142</v>
      </c>
      <c r="E12" s="125"/>
      <c r="F12" s="125"/>
      <c r="G12" s="120" t="s">
        <v>269</v>
      </c>
      <c r="H12" s="120">
        <v>50</v>
      </c>
      <c r="I12" s="121">
        <v>13</v>
      </c>
      <c r="J12" s="122">
        <f t="shared" si="1"/>
        <v>650</v>
      </c>
      <c r="K12" s="123"/>
      <c r="L12" s="94"/>
      <c r="R12" s="92"/>
    </row>
    <row r="13" spans="1:18" ht="24" customHeight="1">
      <c r="A13" s="5">
        <f t="shared" si="0"/>
        <v>8</v>
      </c>
      <c r="B13" s="124" t="s">
        <v>144</v>
      </c>
      <c r="C13" s="124"/>
      <c r="D13" s="125" t="s">
        <v>145</v>
      </c>
      <c r="E13" s="125"/>
      <c r="F13" s="125"/>
      <c r="G13" s="120" t="s">
        <v>268</v>
      </c>
      <c r="H13" s="120">
        <v>25</v>
      </c>
      <c r="I13" s="121">
        <v>88</v>
      </c>
      <c r="J13" s="122">
        <f t="shared" si="1"/>
        <v>2200</v>
      </c>
      <c r="K13" s="123"/>
      <c r="L13" s="94"/>
      <c r="R13" s="92"/>
    </row>
    <row r="14" spans="1:18" ht="24" customHeight="1">
      <c r="A14" s="5">
        <f t="shared" si="0"/>
        <v>9</v>
      </c>
      <c r="B14" s="124" t="s">
        <v>147</v>
      </c>
      <c r="C14" s="124"/>
      <c r="D14" s="125" t="s">
        <v>146</v>
      </c>
      <c r="E14" s="125"/>
      <c r="F14" s="125"/>
      <c r="G14" s="120" t="s">
        <v>268</v>
      </c>
      <c r="H14" s="120">
        <v>4</v>
      </c>
      <c r="I14" s="121">
        <v>8.5</v>
      </c>
      <c r="J14" s="122">
        <f t="shared" si="1"/>
        <v>34</v>
      </c>
      <c r="K14" s="123"/>
      <c r="L14" s="94"/>
      <c r="R14" s="92"/>
    </row>
    <row r="15" spans="1:18" ht="24" customHeight="1">
      <c r="A15" s="5">
        <f t="shared" si="0"/>
        <v>10</v>
      </c>
      <c r="B15" s="124" t="s">
        <v>149</v>
      </c>
      <c r="C15" s="124"/>
      <c r="D15" s="125" t="s">
        <v>148</v>
      </c>
      <c r="E15" s="125"/>
      <c r="F15" s="125"/>
      <c r="G15" s="120" t="s">
        <v>268</v>
      </c>
      <c r="H15" s="120">
        <v>250</v>
      </c>
      <c r="I15" s="121">
        <v>14</v>
      </c>
      <c r="J15" s="122">
        <f t="shared" ref="J15:J78" si="2">H15*I15</f>
        <v>3500</v>
      </c>
      <c r="K15" s="123"/>
      <c r="L15" s="94"/>
      <c r="R15" s="92"/>
    </row>
    <row r="16" spans="1:18" ht="24" customHeight="1">
      <c r="A16" s="5">
        <f t="shared" si="0"/>
        <v>11</v>
      </c>
      <c r="B16" s="124" t="s">
        <v>150</v>
      </c>
      <c r="C16" s="124"/>
      <c r="D16" s="125" t="s">
        <v>151</v>
      </c>
      <c r="E16" s="125"/>
      <c r="F16" s="125"/>
      <c r="G16" s="120" t="s">
        <v>270</v>
      </c>
      <c r="H16" s="120">
        <v>4</v>
      </c>
      <c r="I16" s="121">
        <v>14.5</v>
      </c>
      <c r="J16" s="122">
        <f t="shared" si="2"/>
        <v>58</v>
      </c>
      <c r="K16" s="123"/>
      <c r="L16" s="94"/>
      <c r="R16" s="92"/>
    </row>
    <row r="17" spans="1:18" ht="24" customHeight="1">
      <c r="A17" s="5">
        <f t="shared" si="0"/>
        <v>12</v>
      </c>
      <c r="B17" s="124" t="s">
        <v>152</v>
      </c>
      <c r="C17" s="124"/>
      <c r="D17" s="125" t="s">
        <v>153</v>
      </c>
      <c r="E17" s="125"/>
      <c r="F17" s="125"/>
      <c r="G17" s="120" t="s">
        <v>268</v>
      </c>
      <c r="H17" s="120">
        <v>30</v>
      </c>
      <c r="I17" s="121">
        <v>24</v>
      </c>
      <c r="J17" s="122">
        <f t="shared" si="2"/>
        <v>720</v>
      </c>
      <c r="K17" s="123"/>
      <c r="L17" s="94"/>
      <c r="R17" s="92"/>
    </row>
    <row r="18" spans="1:18" ht="24" customHeight="1">
      <c r="A18" s="5">
        <f t="shared" si="0"/>
        <v>13</v>
      </c>
      <c r="B18" s="124" t="s">
        <v>156</v>
      </c>
      <c r="C18" s="124"/>
      <c r="D18" s="125" t="s">
        <v>154</v>
      </c>
      <c r="E18" s="125"/>
      <c r="F18" s="125"/>
      <c r="G18" s="120" t="s">
        <v>268</v>
      </c>
      <c r="H18" s="120">
        <v>40</v>
      </c>
      <c r="I18" s="121">
        <v>50</v>
      </c>
      <c r="J18" s="122">
        <f t="shared" si="2"/>
        <v>2000</v>
      </c>
      <c r="K18" s="123"/>
      <c r="L18" s="94"/>
      <c r="R18" s="92"/>
    </row>
    <row r="19" spans="1:18" ht="24" customHeight="1">
      <c r="A19" s="5">
        <f t="shared" si="0"/>
        <v>14</v>
      </c>
      <c r="B19" s="124" t="s">
        <v>157</v>
      </c>
      <c r="C19" s="124"/>
      <c r="D19" s="125" t="s">
        <v>155</v>
      </c>
      <c r="E19" s="125"/>
      <c r="F19" s="125"/>
      <c r="G19" s="120" t="s">
        <v>268</v>
      </c>
      <c r="H19" s="120">
        <v>40</v>
      </c>
      <c r="I19" s="121">
        <v>60</v>
      </c>
      <c r="J19" s="122">
        <f t="shared" si="2"/>
        <v>2400</v>
      </c>
      <c r="K19" s="123"/>
      <c r="L19" s="94"/>
      <c r="R19" s="92"/>
    </row>
    <row r="20" spans="1:18" ht="24" customHeight="1">
      <c r="A20" s="5">
        <f t="shared" si="0"/>
        <v>15</v>
      </c>
      <c r="B20" s="124" t="s">
        <v>157</v>
      </c>
      <c r="C20" s="124"/>
      <c r="D20" s="126" t="s">
        <v>158</v>
      </c>
      <c r="E20" s="125"/>
      <c r="F20" s="125"/>
      <c r="G20" s="120" t="s">
        <v>268</v>
      </c>
      <c r="H20" s="120">
        <v>40</v>
      </c>
      <c r="I20" s="121">
        <v>65</v>
      </c>
      <c r="J20" s="122">
        <f t="shared" si="2"/>
        <v>2600</v>
      </c>
      <c r="K20" s="123"/>
      <c r="L20" s="94"/>
      <c r="R20" s="92"/>
    </row>
    <row r="21" spans="1:18" ht="24" customHeight="1">
      <c r="A21" s="5">
        <f t="shared" si="0"/>
        <v>16</v>
      </c>
      <c r="B21" s="124" t="s">
        <v>157</v>
      </c>
      <c r="C21" s="124"/>
      <c r="D21" s="126" t="s">
        <v>159</v>
      </c>
      <c r="E21" s="125"/>
      <c r="F21" s="125"/>
      <c r="G21" s="120" t="s">
        <v>268</v>
      </c>
      <c r="H21" s="120">
        <v>40</v>
      </c>
      <c r="I21" s="121">
        <v>72.5</v>
      </c>
      <c r="J21" s="122">
        <f t="shared" si="2"/>
        <v>2900</v>
      </c>
      <c r="K21" s="123"/>
      <c r="L21" s="94"/>
      <c r="R21" s="92"/>
    </row>
    <row r="22" spans="1:18" ht="24" customHeight="1">
      <c r="A22" s="5">
        <f t="shared" si="0"/>
        <v>17</v>
      </c>
      <c r="B22" s="124" t="s">
        <v>260</v>
      </c>
      <c r="C22" s="124"/>
      <c r="D22" s="125" t="s">
        <v>261</v>
      </c>
      <c r="E22" s="125"/>
      <c r="F22" s="125"/>
      <c r="G22" s="120" t="s">
        <v>268</v>
      </c>
      <c r="H22" s="120">
        <v>25</v>
      </c>
      <c r="I22" s="121">
        <v>13</v>
      </c>
      <c r="J22" s="122">
        <f t="shared" si="2"/>
        <v>325</v>
      </c>
      <c r="K22" s="123"/>
      <c r="L22" s="94"/>
      <c r="R22" s="92"/>
    </row>
    <row r="23" spans="1:18" ht="24" customHeight="1">
      <c r="A23" s="5">
        <f t="shared" si="0"/>
        <v>18</v>
      </c>
      <c r="B23" s="124" t="s">
        <v>131</v>
      </c>
      <c r="C23" s="124"/>
      <c r="D23" s="125"/>
      <c r="E23" s="125"/>
      <c r="F23" s="125"/>
      <c r="G23" s="120" t="s">
        <v>270</v>
      </c>
      <c r="H23" s="120">
        <v>3</v>
      </c>
      <c r="I23" s="121">
        <v>16</v>
      </c>
      <c r="J23" s="122">
        <f t="shared" si="2"/>
        <v>48</v>
      </c>
      <c r="K23" s="123"/>
      <c r="L23" s="94"/>
      <c r="R23" s="92"/>
    </row>
    <row r="24" spans="1:18" ht="24" customHeight="1">
      <c r="A24" s="5">
        <f t="shared" si="0"/>
        <v>19</v>
      </c>
      <c r="B24" s="124" t="s">
        <v>262</v>
      </c>
      <c r="C24" s="124"/>
      <c r="D24" s="125" t="s">
        <v>263</v>
      </c>
      <c r="E24" s="125"/>
      <c r="F24" s="125"/>
      <c r="G24" s="120" t="s">
        <v>268</v>
      </c>
      <c r="H24" s="120">
        <v>300</v>
      </c>
      <c r="I24" s="121">
        <v>2.1</v>
      </c>
      <c r="J24" s="122">
        <f t="shared" si="2"/>
        <v>630</v>
      </c>
      <c r="K24" s="123"/>
      <c r="L24" s="94"/>
      <c r="R24" s="92"/>
    </row>
    <row r="25" spans="1:18" ht="24" customHeight="1">
      <c r="A25" s="5">
        <f t="shared" si="0"/>
        <v>20</v>
      </c>
      <c r="B25" s="124" t="s">
        <v>160</v>
      </c>
      <c r="C25" s="124"/>
      <c r="D25" s="125" t="s">
        <v>161</v>
      </c>
      <c r="E25" s="125"/>
      <c r="F25" s="125"/>
      <c r="G25" s="120" t="s">
        <v>268</v>
      </c>
      <c r="H25" s="120">
        <v>3</v>
      </c>
      <c r="I25" s="121">
        <v>42</v>
      </c>
      <c r="J25" s="122">
        <f t="shared" si="2"/>
        <v>126</v>
      </c>
      <c r="K25" s="123"/>
      <c r="L25" s="94"/>
      <c r="R25" s="92"/>
    </row>
    <row r="26" spans="1:18" ht="24" customHeight="1">
      <c r="A26" s="5">
        <f t="shared" si="0"/>
        <v>21</v>
      </c>
      <c r="B26" s="124" t="s">
        <v>162</v>
      </c>
      <c r="C26" s="124"/>
      <c r="D26" s="125" t="s">
        <v>163</v>
      </c>
      <c r="E26" s="125"/>
      <c r="F26" s="125"/>
      <c r="G26" s="120" t="s">
        <v>268</v>
      </c>
      <c r="H26" s="120">
        <v>5</v>
      </c>
      <c r="I26" s="121">
        <v>12</v>
      </c>
      <c r="J26" s="122">
        <f t="shared" si="2"/>
        <v>60</v>
      </c>
      <c r="K26" s="123"/>
      <c r="L26" s="94"/>
      <c r="R26" s="92"/>
    </row>
    <row r="27" spans="1:18" ht="24" customHeight="1">
      <c r="A27" s="5">
        <f t="shared" si="0"/>
        <v>22</v>
      </c>
      <c r="B27" s="124" t="s">
        <v>164</v>
      </c>
      <c r="C27" s="124"/>
      <c r="D27" s="125" t="s">
        <v>165</v>
      </c>
      <c r="E27" s="125"/>
      <c r="F27" s="125"/>
      <c r="G27" s="120" t="s">
        <v>268</v>
      </c>
      <c r="H27" s="120">
        <v>10</v>
      </c>
      <c r="I27" s="121">
        <v>16</v>
      </c>
      <c r="J27" s="122">
        <f t="shared" si="2"/>
        <v>160</v>
      </c>
      <c r="K27" s="123"/>
      <c r="L27" s="94"/>
      <c r="R27" s="92"/>
    </row>
    <row r="28" spans="1:18" ht="24" customHeight="1">
      <c r="A28" s="5">
        <f t="shared" si="0"/>
        <v>23</v>
      </c>
      <c r="B28" s="124" t="s">
        <v>166</v>
      </c>
      <c r="C28" s="124"/>
      <c r="D28" s="125" t="s">
        <v>167</v>
      </c>
      <c r="E28" s="125"/>
      <c r="F28" s="125"/>
      <c r="G28" s="120" t="s">
        <v>268</v>
      </c>
      <c r="H28" s="120">
        <v>60</v>
      </c>
      <c r="I28" s="121">
        <v>4</v>
      </c>
      <c r="J28" s="122">
        <f t="shared" si="2"/>
        <v>240</v>
      </c>
      <c r="K28" s="123"/>
      <c r="L28" s="94"/>
      <c r="R28" s="92"/>
    </row>
    <row r="29" spans="1:18" ht="24" customHeight="1">
      <c r="A29" s="5">
        <f t="shared" si="0"/>
        <v>24</v>
      </c>
      <c r="B29" s="124" t="s">
        <v>264</v>
      </c>
      <c r="C29" s="124"/>
      <c r="D29" s="125" t="s">
        <v>168</v>
      </c>
      <c r="E29" s="125"/>
      <c r="F29" s="125"/>
      <c r="G29" s="120" t="s">
        <v>271</v>
      </c>
      <c r="H29" s="120">
        <v>5</v>
      </c>
      <c r="I29" s="121">
        <v>45</v>
      </c>
      <c r="J29" s="122">
        <f t="shared" si="2"/>
        <v>225</v>
      </c>
      <c r="K29" s="123"/>
      <c r="L29" s="94"/>
      <c r="R29" s="92"/>
    </row>
    <row r="30" spans="1:18" ht="24" customHeight="1">
      <c r="A30" s="5">
        <f t="shared" si="0"/>
        <v>25</v>
      </c>
      <c r="B30" s="124" t="s">
        <v>169</v>
      </c>
      <c r="C30" s="124"/>
      <c r="D30" s="125" t="s">
        <v>170</v>
      </c>
      <c r="E30" s="125"/>
      <c r="F30" s="125"/>
      <c r="G30" s="120" t="s">
        <v>270</v>
      </c>
      <c r="H30" s="120">
        <v>5</v>
      </c>
      <c r="I30" s="121">
        <v>25</v>
      </c>
      <c r="J30" s="122">
        <f t="shared" si="2"/>
        <v>125</v>
      </c>
      <c r="K30" s="123"/>
      <c r="L30" s="94"/>
      <c r="R30" s="92"/>
    </row>
    <row r="31" spans="1:18" ht="24" customHeight="1">
      <c r="A31" s="5">
        <f t="shared" si="0"/>
        <v>26</v>
      </c>
      <c r="B31" s="124" t="s">
        <v>265</v>
      </c>
      <c r="C31" s="124"/>
      <c r="D31" s="125" t="s">
        <v>171</v>
      </c>
      <c r="E31" s="125"/>
      <c r="F31" s="125"/>
      <c r="G31" s="120" t="s">
        <v>270</v>
      </c>
      <c r="H31" s="120">
        <v>5</v>
      </c>
      <c r="I31" s="121">
        <v>16</v>
      </c>
      <c r="J31" s="122">
        <f t="shared" si="2"/>
        <v>80</v>
      </c>
      <c r="K31" s="123"/>
      <c r="L31" s="94"/>
      <c r="R31" s="92"/>
    </row>
    <row r="32" spans="1:18" ht="24" customHeight="1">
      <c r="A32" s="5">
        <f t="shared" si="0"/>
        <v>27</v>
      </c>
      <c r="B32" s="124" t="s">
        <v>169</v>
      </c>
      <c r="C32" s="124"/>
      <c r="D32" s="125" t="s">
        <v>172</v>
      </c>
      <c r="E32" s="125"/>
      <c r="F32" s="125"/>
      <c r="G32" s="120" t="s">
        <v>270</v>
      </c>
      <c r="H32" s="120">
        <v>5</v>
      </c>
      <c r="I32" s="121">
        <v>15</v>
      </c>
      <c r="J32" s="122">
        <f t="shared" si="2"/>
        <v>75</v>
      </c>
      <c r="K32" s="123"/>
      <c r="L32" s="94"/>
      <c r="R32" s="92"/>
    </row>
    <row r="33" spans="1:18" ht="24" customHeight="1">
      <c r="A33" s="5">
        <f t="shared" si="0"/>
        <v>28</v>
      </c>
      <c r="B33" s="124" t="s">
        <v>174</v>
      </c>
      <c r="C33" s="124"/>
      <c r="D33" s="125" t="s">
        <v>173</v>
      </c>
      <c r="E33" s="125"/>
      <c r="F33" s="125"/>
      <c r="G33" s="120" t="s">
        <v>268</v>
      </c>
      <c r="H33" s="120">
        <v>20</v>
      </c>
      <c r="I33" s="121">
        <v>32</v>
      </c>
      <c r="J33" s="122">
        <f t="shared" si="2"/>
        <v>640</v>
      </c>
      <c r="K33" s="123"/>
      <c r="L33" s="94"/>
      <c r="R33" s="92"/>
    </row>
    <row r="34" spans="1:18" ht="24" customHeight="1">
      <c r="A34" s="5">
        <f t="shared" si="0"/>
        <v>29</v>
      </c>
      <c r="B34" s="124" t="s">
        <v>174</v>
      </c>
      <c r="C34" s="124"/>
      <c r="D34" s="125" t="s">
        <v>175</v>
      </c>
      <c r="E34" s="125"/>
      <c r="F34" s="125"/>
      <c r="G34" s="120" t="s">
        <v>268</v>
      </c>
      <c r="H34" s="120">
        <v>10</v>
      </c>
      <c r="I34" s="121">
        <v>20</v>
      </c>
      <c r="J34" s="122">
        <f t="shared" si="2"/>
        <v>200</v>
      </c>
      <c r="K34" s="123"/>
      <c r="L34" s="94"/>
      <c r="R34" s="92"/>
    </row>
    <row r="35" spans="1:18" ht="24" customHeight="1">
      <c r="A35" s="5">
        <f t="shared" si="0"/>
        <v>30</v>
      </c>
      <c r="B35" s="124" t="s">
        <v>176</v>
      </c>
      <c r="C35" s="124"/>
      <c r="D35" s="125" t="s">
        <v>177</v>
      </c>
      <c r="E35" s="125"/>
      <c r="F35" s="125"/>
      <c r="G35" s="120" t="s">
        <v>268</v>
      </c>
      <c r="H35" s="120">
        <v>15</v>
      </c>
      <c r="I35" s="121">
        <v>24</v>
      </c>
      <c r="J35" s="122">
        <f t="shared" si="2"/>
        <v>360</v>
      </c>
      <c r="K35" s="123"/>
      <c r="L35" s="94"/>
      <c r="R35" s="92"/>
    </row>
    <row r="36" spans="1:18" ht="24" customHeight="1">
      <c r="A36" s="5">
        <f t="shared" si="0"/>
        <v>31</v>
      </c>
      <c r="B36" s="124" t="s">
        <v>174</v>
      </c>
      <c r="C36" s="124"/>
      <c r="D36" s="125" t="s">
        <v>178</v>
      </c>
      <c r="E36" s="125"/>
      <c r="F36" s="125"/>
      <c r="G36" s="120" t="s">
        <v>268</v>
      </c>
      <c r="H36" s="120">
        <v>15</v>
      </c>
      <c r="I36" s="121">
        <v>28</v>
      </c>
      <c r="J36" s="122">
        <f t="shared" si="2"/>
        <v>420</v>
      </c>
      <c r="K36" s="123"/>
      <c r="L36" s="94"/>
      <c r="R36" s="92"/>
    </row>
    <row r="37" spans="1:18" ht="24" customHeight="1">
      <c r="A37" s="5">
        <f t="shared" si="0"/>
        <v>32</v>
      </c>
      <c r="B37" s="124" t="s">
        <v>174</v>
      </c>
      <c r="C37" s="124"/>
      <c r="D37" s="125" t="s">
        <v>179</v>
      </c>
      <c r="E37" s="125"/>
      <c r="F37" s="125"/>
      <c r="G37" s="120" t="s">
        <v>268</v>
      </c>
      <c r="H37" s="120">
        <v>15</v>
      </c>
      <c r="I37" s="121">
        <v>30</v>
      </c>
      <c r="J37" s="122">
        <f t="shared" si="2"/>
        <v>450</v>
      </c>
      <c r="K37" s="123"/>
      <c r="L37" s="94"/>
      <c r="R37" s="92"/>
    </row>
    <row r="38" spans="1:18" ht="24" customHeight="1">
      <c r="A38" s="5">
        <f t="shared" si="0"/>
        <v>33</v>
      </c>
      <c r="B38" s="124" t="s">
        <v>174</v>
      </c>
      <c r="C38" s="124"/>
      <c r="D38" s="125" t="s">
        <v>180</v>
      </c>
      <c r="E38" s="125"/>
      <c r="F38" s="125"/>
      <c r="G38" s="120" t="s">
        <v>270</v>
      </c>
      <c r="H38" s="120">
        <v>15</v>
      </c>
      <c r="I38" s="121">
        <v>18</v>
      </c>
      <c r="J38" s="122">
        <f t="shared" si="2"/>
        <v>270</v>
      </c>
      <c r="K38" s="123"/>
      <c r="L38" s="94"/>
      <c r="R38" s="92"/>
    </row>
    <row r="39" spans="1:18" ht="24" customHeight="1">
      <c r="A39" s="5">
        <f t="shared" si="0"/>
        <v>34</v>
      </c>
      <c r="B39" s="124" t="s">
        <v>174</v>
      </c>
      <c r="C39" s="124"/>
      <c r="D39" s="125" t="s">
        <v>181</v>
      </c>
      <c r="E39" s="125"/>
      <c r="F39" s="125"/>
      <c r="G39" s="120" t="s">
        <v>270</v>
      </c>
      <c r="H39" s="120">
        <v>8</v>
      </c>
      <c r="I39" s="121">
        <v>29</v>
      </c>
      <c r="J39" s="122">
        <f t="shared" si="2"/>
        <v>232</v>
      </c>
      <c r="K39" s="123"/>
      <c r="L39" s="94"/>
      <c r="R39" s="92"/>
    </row>
    <row r="40" spans="1:18" ht="24" customHeight="1">
      <c r="A40" s="5">
        <f t="shared" si="0"/>
        <v>35</v>
      </c>
      <c r="B40" s="124" t="s">
        <v>174</v>
      </c>
      <c r="C40" s="124"/>
      <c r="D40" s="125" t="s">
        <v>182</v>
      </c>
      <c r="E40" s="125"/>
      <c r="F40" s="125"/>
      <c r="G40" s="120" t="s">
        <v>270</v>
      </c>
      <c r="H40" s="120">
        <v>15</v>
      </c>
      <c r="I40" s="121">
        <v>26</v>
      </c>
      <c r="J40" s="122">
        <f t="shared" si="2"/>
        <v>390</v>
      </c>
      <c r="K40" s="123"/>
      <c r="L40" s="94"/>
      <c r="R40" s="92"/>
    </row>
    <row r="41" spans="1:18" ht="24" customHeight="1">
      <c r="A41" s="5">
        <f t="shared" si="0"/>
        <v>36</v>
      </c>
      <c r="B41" s="124" t="s">
        <v>174</v>
      </c>
      <c r="C41" s="124"/>
      <c r="D41" s="125" t="s">
        <v>183</v>
      </c>
      <c r="E41" s="125"/>
      <c r="F41" s="125"/>
      <c r="G41" s="120" t="s">
        <v>268</v>
      </c>
      <c r="H41" s="120">
        <v>10</v>
      </c>
      <c r="I41" s="121">
        <v>27</v>
      </c>
      <c r="J41" s="122">
        <f t="shared" si="2"/>
        <v>270</v>
      </c>
      <c r="K41" s="123"/>
      <c r="L41" s="94"/>
      <c r="R41" s="92"/>
    </row>
    <row r="42" spans="1:18" ht="24" customHeight="1">
      <c r="A42" s="5">
        <f t="shared" si="0"/>
        <v>37</v>
      </c>
      <c r="B42" s="124" t="s">
        <v>174</v>
      </c>
      <c r="C42" s="124"/>
      <c r="D42" s="125" t="s">
        <v>184</v>
      </c>
      <c r="E42" s="125"/>
      <c r="F42" s="125"/>
      <c r="G42" s="120" t="s">
        <v>268</v>
      </c>
      <c r="H42" s="120">
        <v>10</v>
      </c>
      <c r="I42" s="121">
        <v>28</v>
      </c>
      <c r="J42" s="122">
        <f t="shared" si="2"/>
        <v>280</v>
      </c>
      <c r="K42" s="123"/>
      <c r="L42" s="94"/>
      <c r="R42" s="92"/>
    </row>
    <row r="43" spans="1:18" ht="24" customHeight="1">
      <c r="A43" s="5">
        <f t="shared" si="0"/>
        <v>38</v>
      </c>
      <c r="B43" s="124" t="s">
        <v>174</v>
      </c>
      <c r="C43" s="124"/>
      <c r="D43" s="125" t="s">
        <v>185</v>
      </c>
      <c r="E43" s="125"/>
      <c r="F43" s="125"/>
      <c r="G43" s="120" t="s">
        <v>268</v>
      </c>
      <c r="H43" s="120">
        <v>10</v>
      </c>
      <c r="I43" s="121">
        <v>30</v>
      </c>
      <c r="J43" s="122">
        <f t="shared" si="2"/>
        <v>300</v>
      </c>
      <c r="K43" s="123"/>
      <c r="L43" s="94"/>
      <c r="R43" s="92"/>
    </row>
    <row r="44" spans="1:18" ht="24" customHeight="1">
      <c r="A44" s="5">
        <f t="shared" si="0"/>
        <v>39</v>
      </c>
      <c r="B44" s="124" t="s">
        <v>186</v>
      </c>
      <c r="C44" s="124"/>
      <c r="D44" s="125" t="s">
        <v>187</v>
      </c>
      <c r="E44" s="125"/>
      <c r="F44" s="125"/>
      <c r="G44" s="120" t="s">
        <v>270</v>
      </c>
      <c r="H44" s="120">
        <v>3</v>
      </c>
      <c r="I44" s="121">
        <v>620</v>
      </c>
      <c r="J44" s="122">
        <f t="shared" si="2"/>
        <v>1860</v>
      </c>
      <c r="K44" s="123"/>
      <c r="L44" s="94"/>
      <c r="R44" s="92"/>
    </row>
    <row r="45" spans="1:18" ht="24" customHeight="1">
      <c r="A45" s="5">
        <f t="shared" si="0"/>
        <v>40</v>
      </c>
      <c r="B45" s="124" t="s">
        <v>188</v>
      </c>
      <c r="C45" s="124"/>
      <c r="D45" s="125" t="s">
        <v>189</v>
      </c>
      <c r="E45" s="125"/>
      <c r="F45" s="125"/>
      <c r="G45" s="120" t="s">
        <v>272</v>
      </c>
      <c r="H45" s="120">
        <v>2</v>
      </c>
      <c r="I45" s="121">
        <v>1050</v>
      </c>
      <c r="J45" s="122">
        <f t="shared" si="2"/>
        <v>2100</v>
      </c>
      <c r="K45" s="123"/>
      <c r="L45" s="94"/>
      <c r="R45" s="92"/>
    </row>
    <row r="46" spans="1:18" ht="24" customHeight="1">
      <c r="A46" s="5">
        <f t="shared" si="0"/>
        <v>41</v>
      </c>
      <c r="B46" s="124" t="s">
        <v>190</v>
      </c>
      <c r="C46" s="124"/>
      <c r="D46" s="125" t="s">
        <v>191</v>
      </c>
      <c r="E46" s="125"/>
      <c r="F46" s="125"/>
      <c r="G46" s="120" t="s">
        <v>268</v>
      </c>
      <c r="H46" s="120">
        <v>10</v>
      </c>
      <c r="I46" s="121">
        <v>3</v>
      </c>
      <c r="J46" s="122">
        <f t="shared" si="2"/>
        <v>30</v>
      </c>
      <c r="K46" s="123"/>
      <c r="L46" s="94"/>
      <c r="R46" s="92"/>
    </row>
    <row r="47" spans="1:18" ht="24" customHeight="1">
      <c r="A47" s="5">
        <f t="shared" si="0"/>
        <v>42</v>
      </c>
      <c r="B47" s="124" t="s">
        <v>192</v>
      </c>
      <c r="C47" s="124"/>
      <c r="D47" s="125" t="s">
        <v>193</v>
      </c>
      <c r="E47" s="125"/>
      <c r="F47" s="125"/>
      <c r="G47" s="120" t="s">
        <v>268</v>
      </c>
      <c r="H47" s="120">
        <v>5</v>
      </c>
      <c r="I47" s="121">
        <v>30</v>
      </c>
      <c r="J47" s="122">
        <f t="shared" si="2"/>
        <v>150</v>
      </c>
      <c r="K47" s="123"/>
      <c r="L47" s="94"/>
      <c r="R47" s="92"/>
    </row>
    <row r="48" spans="1:18" ht="24" customHeight="1">
      <c r="A48" s="5">
        <f t="shared" si="0"/>
        <v>43</v>
      </c>
      <c r="B48" s="124" t="s">
        <v>194</v>
      </c>
      <c r="C48" s="124"/>
      <c r="D48" s="125" t="s">
        <v>195</v>
      </c>
      <c r="E48" s="125"/>
      <c r="F48" s="125"/>
      <c r="G48" s="120" t="s">
        <v>268</v>
      </c>
      <c r="H48" s="120">
        <v>60</v>
      </c>
      <c r="I48" s="121">
        <v>20</v>
      </c>
      <c r="J48" s="122">
        <f t="shared" si="2"/>
        <v>1200</v>
      </c>
      <c r="K48" s="123"/>
      <c r="L48" s="94"/>
      <c r="R48" s="92"/>
    </row>
    <row r="49" spans="1:18" ht="24" customHeight="1">
      <c r="A49" s="5">
        <f t="shared" si="0"/>
        <v>44</v>
      </c>
      <c r="B49" s="124" t="s">
        <v>196</v>
      </c>
      <c r="C49" s="124"/>
      <c r="D49" s="125" t="s">
        <v>197</v>
      </c>
      <c r="E49" s="125"/>
      <c r="F49" s="125"/>
      <c r="G49" s="120" t="s">
        <v>268</v>
      </c>
      <c r="H49" s="120">
        <v>20</v>
      </c>
      <c r="I49" s="121">
        <v>8.5</v>
      </c>
      <c r="J49" s="122">
        <f t="shared" si="2"/>
        <v>170</v>
      </c>
      <c r="K49" s="123"/>
      <c r="L49" s="94"/>
      <c r="R49" s="92"/>
    </row>
    <row r="50" spans="1:18" ht="24" customHeight="1">
      <c r="A50" s="5">
        <f t="shared" si="0"/>
        <v>45</v>
      </c>
      <c r="B50" s="124" t="s">
        <v>198</v>
      </c>
      <c r="C50" s="124"/>
      <c r="D50" s="125" t="s">
        <v>199</v>
      </c>
      <c r="E50" s="125"/>
      <c r="F50" s="125"/>
      <c r="G50" s="120" t="s">
        <v>268</v>
      </c>
      <c r="H50" s="120">
        <v>6</v>
      </c>
      <c r="I50" s="121">
        <v>210</v>
      </c>
      <c r="J50" s="122">
        <f t="shared" si="2"/>
        <v>1260</v>
      </c>
      <c r="K50" s="123"/>
      <c r="L50" s="94"/>
      <c r="R50" s="92"/>
    </row>
    <row r="51" spans="1:18" ht="24" customHeight="1">
      <c r="A51" s="5">
        <f t="shared" si="0"/>
        <v>46</v>
      </c>
      <c r="B51" s="124" t="s">
        <v>201</v>
      </c>
      <c r="C51" s="124"/>
      <c r="D51" s="125" t="s">
        <v>200</v>
      </c>
      <c r="E51" s="125"/>
      <c r="F51" s="125"/>
      <c r="G51" s="120" t="s">
        <v>268</v>
      </c>
      <c r="H51" s="120">
        <v>60</v>
      </c>
      <c r="I51" s="121">
        <v>35</v>
      </c>
      <c r="J51" s="122">
        <f t="shared" si="2"/>
        <v>2100</v>
      </c>
      <c r="K51" s="123"/>
      <c r="L51" s="94"/>
      <c r="R51" s="92"/>
    </row>
    <row r="52" spans="1:18" ht="24" customHeight="1">
      <c r="A52" s="5">
        <f t="shared" si="0"/>
        <v>47</v>
      </c>
      <c r="B52" s="124" t="s">
        <v>202</v>
      </c>
      <c r="C52" s="124"/>
      <c r="D52" s="125" t="s">
        <v>203</v>
      </c>
      <c r="E52" s="125"/>
      <c r="F52" s="125"/>
      <c r="G52" s="120" t="s">
        <v>268</v>
      </c>
      <c r="H52" s="120">
        <v>30</v>
      </c>
      <c r="I52" s="121">
        <v>12</v>
      </c>
      <c r="J52" s="122">
        <f t="shared" si="2"/>
        <v>360</v>
      </c>
      <c r="K52" s="123"/>
      <c r="L52" s="94"/>
      <c r="R52" s="92"/>
    </row>
    <row r="53" spans="1:18" ht="24" customHeight="1">
      <c r="A53" s="5">
        <f t="shared" si="0"/>
        <v>48</v>
      </c>
      <c r="B53" s="124" t="s">
        <v>204</v>
      </c>
      <c r="C53" s="124"/>
      <c r="D53" s="125" t="s">
        <v>205</v>
      </c>
      <c r="E53" s="125"/>
      <c r="F53" s="125"/>
      <c r="G53" s="120" t="s">
        <v>268</v>
      </c>
      <c r="H53" s="120">
        <v>200</v>
      </c>
      <c r="I53" s="121">
        <v>2.4</v>
      </c>
      <c r="J53" s="122">
        <f t="shared" si="2"/>
        <v>480</v>
      </c>
      <c r="K53" s="123"/>
      <c r="L53" s="94"/>
      <c r="R53" s="92"/>
    </row>
    <row r="54" spans="1:18" ht="24" customHeight="1">
      <c r="A54" s="5">
        <f t="shared" si="0"/>
        <v>49</v>
      </c>
      <c r="B54" s="124" t="s">
        <v>204</v>
      </c>
      <c r="C54" s="124"/>
      <c r="D54" s="125" t="s">
        <v>206</v>
      </c>
      <c r="E54" s="125"/>
      <c r="F54" s="125"/>
      <c r="G54" s="120" t="s">
        <v>268</v>
      </c>
      <c r="H54" s="120">
        <v>500</v>
      </c>
      <c r="I54" s="121">
        <v>2.4</v>
      </c>
      <c r="J54" s="122">
        <f t="shared" si="2"/>
        <v>1200</v>
      </c>
      <c r="K54" s="123"/>
      <c r="L54" s="94"/>
      <c r="R54" s="92"/>
    </row>
    <row r="55" spans="1:18" ht="24" customHeight="1">
      <c r="A55" s="5">
        <f t="shared" si="0"/>
        <v>50</v>
      </c>
      <c r="B55" s="124" t="s">
        <v>207</v>
      </c>
      <c r="C55" s="124"/>
      <c r="D55" s="125" t="s">
        <v>208</v>
      </c>
      <c r="E55" s="125"/>
      <c r="F55" s="125"/>
      <c r="G55" s="120" t="s">
        <v>268</v>
      </c>
      <c r="H55" s="120">
        <v>10</v>
      </c>
      <c r="I55" s="121">
        <v>76</v>
      </c>
      <c r="J55" s="122">
        <f t="shared" si="2"/>
        <v>760</v>
      </c>
      <c r="K55" s="123"/>
      <c r="L55" s="94"/>
      <c r="R55" s="92"/>
    </row>
    <row r="56" spans="1:18" ht="24" customHeight="1">
      <c r="A56" s="5">
        <f t="shared" si="0"/>
        <v>51</v>
      </c>
      <c r="B56" s="124" t="s">
        <v>132</v>
      </c>
      <c r="C56" s="124"/>
      <c r="D56" s="125"/>
      <c r="E56" s="125"/>
      <c r="F56" s="125"/>
      <c r="G56" s="120" t="s">
        <v>273</v>
      </c>
      <c r="H56" s="120">
        <v>12</v>
      </c>
      <c r="I56" s="121">
        <v>195</v>
      </c>
      <c r="J56" s="122">
        <f t="shared" si="2"/>
        <v>2340</v>
      </c>
      <c r="K56" s="123"/>
      <c r="L56" s="94"/>
      <c r="R56" s="92"/>
    </row>
    <row r="57" spans="1:18" ht="24" customHeight="1">
      <c r="A57" s="5">
        <f t="shared" si="0"/>
        <v>52</v>
      </c>
      <c r="B57" s="124" t="s">
        <v>133</v>
      </c>
      <c r="C57" s="124"/>
      <c r="D57" s="125"/>
      <c r="E57" s="125"/>
      <c r="F57" s="125"/>
      <c r="G57" s="120" t="s">
        <v>274</v>
      </c>
      <c r="H57" s="120">
        <v>500</v>
      </c>
      <c r="I57" s="121">
        <v>4.5</v>
      </c>
      <c r="J57" s="122">
        <f t="shared" si="2"/>
        <v>2250</v>
      </c>
      <c r="K57" s="123"/>
      <c r="L57" s="94"/>
      <c r="R57" s="92"/>
    </row>
    <row r="58" spans="1:18" ht="24" customHeight="1">
      <c r="A58" s="5">
        <f t="shared" si="0"/>
        <v>53</v>
      </c>
      <c r="B58" s="124" t="s">
        <v>259</v>
      </c>
      <c r="C58" s="124"/>
      <c r="D58" s="125" t="s">
        <v>212</v>
      </c>
      <c r="E58" s="125"/>
      <c r="F58" s="125"/>
      <c r="G58" s="120" t="s">
        <v>268</v>
      </c>
      <c r="H58" s="120">
        <v>3</v>
      </c>
      <c r="I58" s="121">
        <v>29</v>
      </c>
      <c r="J58" s="122">
        <f t="shared" si="2"/>
        <v>87</v>
      </c>
      <c r="K58" s="123"/>
      <c r="L58" s="94"/>
      <c r="R58" s="92"/>
    </row>
    <row r="59" spans="1:18" ht="24" customHeight="1">
      <c r="A59" s="5">
        <f t="shared" si="0"/>
        <v>54</v>
      </c>
      <c r="B59" s="124" t="s">
        <v>258</v>
      </c>
      <c r="C59" s="124"/>
      <c r="D59" s="125" t="s">
        <v>193</v>
      </c>
      <c r="E59" s="125"/>
      <c r="F59" s="125"/>
      <c r="G59" s="120" t="s">
        <v>268</v>
      </c>
      <c r="H59" s="120">
        <v>60</v>
      </c>
      <c r="I59" s="121">
        <v>85</v>
      </c>
      <c r="J59" s="122">
        <f t="shared" si="2"/>
        <v>5100</v>
      </c>
      <c r="K59" s="123"/>
      <c r="L59" s="94"/>
      <c r="R59" s="92"/>
    </row>
    <row r="60" spans="1:18" ht="24" customHeight="1">
      <c r="A60" s="5">
        <f t="shared" si="0"/>
        <v>55</v>
      </c>
      <c r="B60" s="124" t="s">
        <v>256</v>
      </c>
      <c r="C60" s="124"/>
      <c r="D60" s="125" t="s">
        <v>257</v>
      </c>
      <c r="E60" s="125"/>
      <c r="F60" s="125"/>
      <c r="G60" s="120" t="s">
        <v>268</v>
      </c>
      <c r="H60" s="120">
        <v>60</v>
      </c>
      <c r="I60" s="121">
        <v>13</v>
      </c>
      <c r="J60" s="122">
        <f t="shared" si="2"/>
        <v>780</v>
      </c>
      <c r="K60" s="123"/>
      <c r="L60" s="94"/>
      <c r="R60" s="92"/>
    </row>
    <row r="61" spans="1:18" ht="24" customHeight="1">
      <c r="A61" s="5">
        <f t="shared" si="0"/>
        <v>56</v>
      </c>
      <c r="B61" s="124" t="s">
        <v>255</v>
      </c>
      <c r="C61" s="124"/>
      <c r="D61" s="125" t="s">
        <v>193</v>
      </c>
      <c r="E61" s="125"/>
      <c r="F61" s="125"/>
      <c r="G61" s="120" t="s">
        <v>268</v>
      </c>
      <c r="H61" s="120">
        <v>3</v>
      </c>
      <c r="I61" s="121">
        <v>85</v>
      </c>
      <c r="J61" s="122">
        <f t="shared" si="2"/>
        <v>255</v>
      </c>
      <c r="K61" s="123"/>
      <c r="L61" s="94"/>
      <c r="R61" s="92"/>
    </row>
    <row r="62" spans="1:18" ht="24" customHeight="1">
      <c r="A62" s="5">
        <f t="shared" si="0"/>
        <v>57</v>
      </c>
      <c r="B62" s="124" t="s">
        <v>253</v>
      </c>
      <c r="C62" s="124"/>
      <c r="D62" s="125" t="s">
        <v>254</v>
      </c>
      <c r="E62" s="125"/>
      <c r="F62" s="125"/>
      <c r="G62" s="120" t="s">
        <v>268</v>
      </c>
      <c r="H62" s="120">
        <v>20</v>
      </c>
      <c r="I62" s="121">
        <v>10</v>
      </c>
      <c r="J62" s="122">
        <f t="shared" si="2"/>
        <v>200</v>
      </c>
      <c r="K62" s="123"/>
      <c r="L62" s="94"/>
      <c r="R62" s="92"/>
    </row>
    <row r="63" spans="1:18" ht="24" customHeight="1">
      <c r="A63" s="5">
        <f t="shared" si="0"/>
        <v>58</v>
      </c>
      <c r="B63" s="124" t="s">
        <v>251</v>
      </c>
      <c r="C63" s="124"/>
      <c r="D63" s="125" t="s">
        <v>252</v>
      </c>
      <c r="E63" s="125"/>
      <c r="F63" s="125"/>
      <c r="G63" s="120" t="s">
        <v>268</v>
      </c>
      <c r="H63" s="120">
        <v>1</v>
      </c>
      <c r="I63" s="121">
        <v>12</v>
      </c>
      <c r="J63" s="122">
        <f t="shared" si="2"/>
        <v>12</v>
      </c>
      <c r="K63" s="123"/>
      <c r="L63" s="94"/>
      <c r="R63" s="92"/>
    </row>
    <row r="64" spans="1:18" ht="24" customHeight="1">
      <c r="A64" s="5">
        <f t="shared" si="0"/>
        <v>59</v>
      </c>
      <c r="B64" s="124" t="s">
        <v>249</v>
      </c>
      <c r="C64" s="124"/>
      <c r="D64" s="125" t="s">
        <v>250</v>
      </c>
      <c r="E64" s="125"/>
      <c r="F64" s="125"/>
      <c r="G64" s="120" t="s">
        <v>268</v>
      </c>
      <c r="H64" s="120">
        <v>1</v>
      </c>
      <c r="I64" s="121">
        <v>17</v>
      </c>
      <c r="J64" s="122">
        <f t="shared" si="2"/>
        <v>17</v>
      </c>
      <c r="K64" s="123"/>
      <c r="L64" s="94"/>
      <c r="R64" s="92"/>
    </row>
    <row r="65" spans="1:18" ht="24" customHeight="1">
      <c r="A65" s="5">
        <f t="shared" si="0"/>
        <v>60</v>
      </c>
      <c r="B65" s="124" t="s">
        <v>247</v>
      </c>
      <c r="C65" s="124"/>
      <c r="D65" s="125" t="s">
        <v>248</v>
      </c>
      <c r="E65" s="125"/>
      <c r="F65" s="125"/>
      <c r="G65" s="120" t="s">
        <v>268</v>
      </c>
      <c r="H65" s="120">
        <v>1</v>
      </c>
      <c r="I65" s="121">
        <v>12</v>
      </c>
      <c r="J65" s="122">
        <f t="shared" si="2"/>
        <v>12</v>
      </c>
      <c r="K65" s="123"/>
      <c r="L65" s="94"/>
      <c r="R65" s="92"/>
    </row>
    <row r="66" spans="1:18" ht="24" customHeight="1">
      <c r="A66" s="5">
        <f t="shared" si="0"/>
        <v>61</v>
      </c>
      <c r="B66" s="124" t="s">
        <v>245</v>
      </c>
      <c r="C66" s="124"/>
      <c r="D66" s="125" t="s">
        <v>246</v>
      </c>
      <c r="E66" s="125"/>
      <c r="F66" s="125"/>
      <c r="G66" s="120" t="s">
        <v>274</v>
      </c>
      <c r="H66" s="120">
        <v>100</v>
      </c>
      <c r="I66" s="121">
        <v>8</v>
      </c>
      <c r="J66" s="122">
        <f t="shared" si="2"/>
        <v>800</v>
      </c>
      <c r="K66" s="123"/>
      <c r="L66" s="94"/>
      <c r="R66" s="92"/>
    </row>
    <row r="67" spans="1:18" ht="24" customHeight="1">
      <c r="A67" s="5">
        <f t="shared" si="0"/>
        <v>62</v>
      </c>
      <c r="B67" s="124" t="s">
        <v>243</v>
      </c>
      <c r="C67" s="124"/>
      <c r="D67" s="125" t="s">
        <v>244</v>
      </c>
      <c r="E67" s="125"/>
      <c r="F67" s="125"/>
      <c r="G67" s="120" t="s">
        <v>274</v>
      </c>
      <c r="H67" s="120">
        <v>200</v>
      </c>
      <c r="I67" s="121">
        <v>6</v>
      </c>
      <c r="J67" s="122">
        <f t="shared" si="2"/>
        <v>1200</v>
      </c>
      <c r="K67" s="123"/>
      <c r="L67" s="94"/>
      <c r="R67" s="92"/>
    </row>
    <row r="68" spans="1:18" ht="24" customHeight="1">
      <c r="A68" s="5">
        <f t="shared" si="0"/>
        <v>63</v>
      </c>
      <c r="B68" s="124" t="s">
        <v>241</v>
      </c>
      <c r="C68" s="124"/>
      <c r="D68" s="125" t="s">
        <v>242</v>
      </c>
      <c r="E68" s="125"/>
      <c r="F68" s="125"/>
      <c r="G68" s="120" t="s">
        <v>274</v>
      </c>
      <c r="H68" s="120">
        <v>100</v>
      </c>
      <c r="I68" s="121">
        <v>7</v>
      </c>
      <c r="J68" s="122">
        <f t="shared" si="2"/>
        <v>700</v>
      </c>
      <c r="K68" s="123"/>
      <c r="L68" s="94"/>
      <c r="R68" s="92"/>
    </row>
    <row r="69" spans="1:18" ht="24" customHeight="1">
      <c r="A69" s="5">
        <f t="shared" si="0"/>
        <v>64</v>
      </c>
      <c r="B69" s="124" t="s">
        <v>239</v>
      </c>
      <c r="C69" s="124"/>
      <c r="D69" s="125" t="s">
        <v>240</v>
      </c>
      <c r="E69" s="125"/>
      <c r="F69" s="125"/>
      <c r="G69" s="120" t="s">
        <v>268</v>
      </c>
      <c r="H69" s="120">
        <v>4</v>
      </c>
      <c r="I69" s="121">
        <v>38</v>
      </c>
      <c r="J69" s="122">
        <f t="shared" si="2"/>
        <v>152</v>
      </c>
      <c r="K69" s="123"/>
      <c r="L69" s="94"/>
      <c r="R69" s="92"/>
    </row>
    <row r="70" spans="1:18" ht="24" customHeight="1">
      <c r="A70" s="5">
        <f t="shared" ref="A70:A91" si="3">ROW(A65)</f>
        <v>65</v>
      </c>
      <c r="B70" s="124" t="s">
        <v>232</v>
      </c>
      <c r="C70" s="124"/>
      <c r="D70" s="125" t="s">
        <v>237</v>
      </c>
      <c r="E70" s="125"/>
      <c r="F70" s="125"/>
      <c r="G70" s="120" t="s">
        <v>270</v>
      </c>
      <c r="H70" s="120">
        <v>30</v>
      </c>
      <c r="I70" s="121">
        <v>7</v>
      </c>
      <c r="J70" s="122">
        <f t="shared" si="2"/>
        <v>210</v>
      </c>
      <c r="K70" s="123"/>
      <c r="L70" s="94"/>
      <c r="R70" s="92"/>
    </row>
    <row r="71" spans="1:18" ht="24" customHeight="1">
      <c r="A71" s="5">
        <f t="shared" si="3"/>
        <v>66</v>
      </c>
      <c r="B71" s="124" t="s">
        <v>234</v>
      </c>
      <c r="C71" s="124"/>
      <c r="D71" s="125" t="s">
        <v>238</v>
      </c>
      <c r="E71" s="125"/>
      <c r="F71" s="125"/>
      <c r="G71" s="120" t="s">
        <v>268</v>
      </c>
      <c r="H71" s="120">
        <v>100</v>
      </c>
      <c r="I71" s="121">
        <v>2.5</v>
      </c>
      <c r="J71" s="122">
        <f t="shared" si="2"/>
        <v>250</v>
      </c>
      <c r="K71" s="123"/>
      <c r="L71" s="94"/>
      <c r="R71" s="92"/>
    </row>
    <row r="72" spans="1:18" ht="24" customHeight="1">
      <c r="A72" s="5">
        <f t="shared" si="3"/>
        <v>67</v>
      </c>
      <c r="B72" s="124" t="s">
        <v>234</v>
      </c>
      <c r="C72" s="124"/>
      <c r="D72" s="125" t="s">
        <v>236</v>
      </c>
      <c r="E72" s="125"/>
      <c r="F72" s="125"/>
      <c r="G72" s="120" t="s">
        <v>268</v>
      </c>
      <c r="H72" s="120">
        <v>100</v>
      </c>
      <c r="I72" s="121">
        <v>4.5</v>
      </c>
      <c r="J72" s="122">
        <f t="shared" si="2"/>
        <v>450</v>
      </c>
      <c r="K72" s="123"/>
      <c r="L72" s="94"/>
      <c r="R72" s="92"/>
    </row>
    <row r="73" spans="1:18" ht="24" customHeight="1">
      <c r="A73" s="5">
        <f t="shared" si="3"/>
        <v>68</v>
      </c>
      <c r="B73" s="124" t="s">
        <v>234</v>
      </c>
      <c r="C73" s="124"/>
      <c r="D73" s="125" t="s">
        <v>235</v>
      </c>
      <c r="E73" s="125"/>
      <c r="F73" s="125"/>
      <c r="G73" s="120" t="s">
        <v>270</v>
      </c>
      <c r="H73" s="120">
        <v>30</v>
      </c>
      <c r="I73" s="121">
        <v>6</v>
      </c>
      <c r="J73" s="122">
        <f t="shared" si="2"/>
        <v>180</v>
      </c>
      <c r="K73" s="123"/>
      <c r="L73" s="94"/>
      <c r="R73" s="92"/>
    </row>
    <row r="74" spans="1:18" ht="24" customHeight="1">
      <c r="A74" s="5">
        <f t="shared" si="3"/>
        <v>69</v>
      </c>
      <c r="B74" s="124" t="s">
        <v>232</v>
      </c>
      <c r="C74" s="124"/>
      <c r="D74" s="125" t="s">
        <v>233</v>
      </c>
      <c r="E74" s="125"/>
      <c r="F74" s="125"/>
      <c r="G74" s="120" t="s">
        <v>270</v>
      </c>
      <c r="H74" s="120">
        <v>30</v>
      </c>
      <c r="I74" s="121">
        <v>4.5</v>
      </c>
      <c r="J74" s="122">
        <f t="shared" si="2"/>
        <v>135</v>
      </c>
      <c r="K74" s="123"/>
      <c r="L74" s="94"/>
      <c r="R74" s="92"/>
    </row>
    <row r="75" spans="1:18" ht="24" customHeight="1">
      <c r="A75" s="5">
        <f t="shared" si="3"/>
        <v>70</v>
      </c>
      <c r="B75" s="124" t="s">
        <v>230</v>
      </c>
      <c r="C75" s="124"/>
      <c r="D75" s="125" t="s">
        <v>231</v>
      </c>
      <c r="E75" s="125"/>
      <c r="F75" s="125"/>
      <c r="G75" s="120" t="s">
        <v>268</v>
      </c>
      <c r="H75" s="120">
        <v>20</v>
      </c>
      <c r="I75" s="121">
        <v>90</v>
      </c>
      <c r="J75" s="122">
        <f t="shared" si="2"/>
        <v>1800</v>
      </c>
      <c r="K75" s="123"/>
      <c r="L75" s="94"/>
      <c r="R75" s="92"/>
    </row>
    <row r="76" spans="1:18" ht="24" customHeight="1">
      <c r="A76" s="5">
        <f t="shared" si="3"/>
        <v>71</v>
      </c>
      <c r="B76" s="124" t="s">
        <v>228</v>
      </c>
      <c r="C76" s="124"/>
      <c r="D76" s="125" t="s">
        <v>229</v>
      </c>
      <c r="E76" s="125"/>
      <c r="F76" s="125"/>
      <c r="G76" s="120" t="s">
        <v>268</v>
      </c>
      <c r="H76" s="120">
        <v>4</v>
      </c>
      <c r="I76" s="121">
        <v>21</v>
      </c>
      <c r="J76" s="122">
        <f t="shared" si="2"/>
        <v>84</v>
      </c>
      <c r="K76" s="123"/>
      <c r="L76" s="94"/>
      <c r="R76" s="92"/>
    </row>
    <row r="77" spans="1:18" ht="24" customHeight="1">
      <c r="A77" s="5">
        <f t="shared" si="3"/>
        <v>72</v>
      </c>
      <c r="B77" s="124" t="s">
        <v>226</v>
      </c>
      <c r="C77" s="124"/>
      <c r="D77" s="125" t="s">
        <v>227</v>
      </c>
      <c r="E77" s="125"/>
      <c r="F77" s="125"/>
      <c r="G77" s="120" t="s">
        <v>273</v>
      </c>
      <c r="H77" s="120">
        <v>20</v>
      </c>
      <c r="I77" s="121">
        <v>60</v>
      </c>
      <c r="J77" s="122">
        <f t="shared" si="2"/>
        <v>1200</v>
      </c>
      <c r="K77" s="123"/>
      <c r="L77" s="94"/>
      <c r="R77" s="92"/>
    </row>
    <row r="78" spans="1:18" ht="24" customHeight="1">
      <c r="A78" s="5">
        <f t="shared" si="3"/>
        <v>73</v>
      </c>
      <c r="B78" s="124" t="s">
        <v>225</v>
      </c>
      <c r="C78" s="124"/>
      <c r="D78" s="125" t="s">
        <v>193</v>
      </c>
      <c r="E78" s="125"/>
      <c r="F78" s="125"/>
      <c r="G78" s="120" t="s">
        <v>268</v>
      </c>
      <c r="H78" s="120">
        <v>4</v>
      </c>
      <c r="I78" s="121">
        <v>76</v>
      </c>
      <c r="J78" s="122">
        <f t="shared" si="2"/>
        <v>304</v>
      </c>
      <c r="K78" s="123"/>
      <c r="L78" s="94"/>
      <c r="R78" s="92"/>
    </row>
    <row r="79" spans="1:18" ht="24" customHeight="1">
      <c r="A79" s="5">
        <f t="shared" si="3"/>
        <v>74</v>
      </c>
      <c r="B79" s="124" t="s">
        <v>134</v>
      </c>
      <c r="C79" s="124"/>
      <c r="D79" s="125"/>
      <c r="E79" s="125"/>
      <c r="F79" s="125"/>
      <c r="G79" s="120" t="s">
        <v>272</v>
      </c>
      <c r="H79" s="120">
        <v>1</v>
      </c>
      <c r="I79" s="121">
        <v>195</v>
      </c>
      <c r="J79" s="122">
        <f t="shared" ref="J79:J90" si="4">H79*I79</f>
        <v>195</v>
      </c>
      <c r="K79" s="123"/>
      <c r="L79" s="94"/>
      <c r="R79" s="92"/>
    </row>
    <row r="80" spans="1:18" ht="24" customHeight="1">
      <c r="A80" s="5">
        <f t="shared" si="3"/>
        <v>75</v>
      </c>
      <c r="B80" s="124" t="s">
        <v>223</v>
      </c>
      <c r="C80" s="124"/>
      <c r="D80" s="125" t="s">
        <v>224</v>
      </c>
      <c r="E80" s="125"/>
      <c r="F80" s="125"/>
      <c r="G80" s="120" t="s">
        <v>268</v>
      </c>
      <c r="H80" s="120">
        <v>1</v>
      </c>
      <c r="I80" s="121">
        <v>200</v>
      </c>
      <c r="J80" s="122">
        <f t="shared" si="4"/>
        <v>200</v>
      </c>
      <c r="K80" s="123"/>
      <c r="L80" s="94"/>
      <c r="R80" s="92"/>
    </row>
    <row r="81" spans="1:26" ht="24" customHeight="1">
      <c r="A81" s="5">
        <f t="shared" si="3"/>
        <v>76</v>
      </c>
      <c r="B81" s="124" t="s">
        <v>221</v>
      </c>
      <c r="C81" s="124"/>
      <c r="D81" s="125" t="s">
        <v>222</v>
      </c>
      <c r="E81" s="125"/>
      <c r="F81" s="125"/>
      <c r="G81" s="120" t="s">
        <v>268</v>
      </c>
      <c r="H81" s="120">
        <v>4</v>
      </c>
      <c r="I81" s="121">
        <v>16</v>
      </c>
      <c r="J81" s="122">
        <f t="shared" si="4"/>
        <v>64</v>
      </c>
      <c r="K81" s="123"/>
      <c r="L81" s="94"/>
      <c r="R81" s="92"/>
    </row>
    <row r="82" spans="1:26" ht="24" customHeight="1">
      <c r="A82" s="5">
        <f t="shared" si="3"/>
        <v>77</v>
      </c>
      <c r="B82" s="124" t="s">
        <v>219</v>
      </c>
      <c r="C82" s="124"/>
      <c r="D82" s="125" t="s">
        <v>220</v>
      </c>
      <c r="E82" s="125"/>
      <c r="F82" s="125"/>
      <c r="G82" s="120" t="s">
        <v>268</v>
      </c>
      <c r="H82" s="120">
        <v>6</v>
      </c>
      <c r="I82" s="121">
        <v>13</v>
      </c>
      <c r="J82" s="122">
        <f t="shared" si="4"/>
        <v>78</v>
      </c>
      <c r="K82" s="123"/>
      <c r="L82" s="94"/>
      <c r="R82" s="92"/>
    </row>
    <row r="83" spans="1:26" ht="24" customHeight="1">
      <c r="A83" s="5">
        <f t="shared" si="3"/>
        <v>78</v>
      </c>
      <c r="B83" s="124" t="s">
        <v>215</v>
      </c>
      <c r="C83" s="124"/>
      <c r="D83" s="125" t="s">
        <v>218</v>
      </c>
      <c r="E83" s="125"/>
      <c r="F83" s="125"/>
      <c r="G83" s="120" t="s">
        <v>270</v>
      </c>
      <c r="H83" s="120">
        <v>15</v>
      </c>
      <c r="I83" s="121">
        <v>350</v>
      </c>
      <c r="J83" s="122">
        <f t="shared" si="4"/>
        <v>5250</v>
      </c>
      <c r="K83" s="123"/>
      <c r="L83" s="94"/>
      <c r="R83" s="92"/>
    </row>
    <row r="84" spans="1:26" ht="24" customHeight="1">
      <c r="A84" s="5">
        <f t="shared" si="3"/>
        <v>79</v>
      </c>
      <c r="B84" s="124" t="s">
        <v>215</v>
      </c>
      <c r="C84" s="124"/>
      <c r="D84" s="125" t="s">
        <v>217</v>
      </c>
      <c r="E84" s="125"/>
      <c r="F84" s="125"/>
      <c r="G84" s="120" t="s">
        <v>270</v>
      </c>
      <c r="H84" s="120">
        <v>5</v>
      </c>
      <c r="I84" s="121">
        <v>1050</v>
      </c>
      <c r="J84" s="122">
        <f t="shared" si="4"/>
        <v>5250</v>
      </c>
      <c r="K84" s="123"/>
      <c r="L84" s="94"/>
      <c r="R84" s="92"/>
    </row>
    <row r="85" spans="1:26" ht="24" customHeight="1">
      <c r="A85" s="5">
        <f t="shared" si="3"/>
        <v>80</v>
      </c>
      <c r="B85" s="124" t="s">
        <v>215</v>
      </c>
      <c r="C85" s="124"/>
      <c r="D85" s="125" t="s">
        <v>216</v>
      </c>
      <c r="E85" s="125"/>
      <c r="F85" s="125"/>
      <c r="G85" s="120" t="s">
        <v>270</v>
      </c>
      <c r="H85" s="120">
        <v>10</v>
      </c>
      <c r="I85" s="121">
        <v>700</v>
      </c>
      <c r="J85" s="122">
        <f t="shared" si="4"/>
        <v>7000</v>
      </c>
      <c r="K85" s="123"/>
      <c r="L85" s="94"/>
      <c r="R85" s="92"/>
    </row>
    <row r="86" spans="1:26" ht="24" customHeight="1">
      <c r="A86" s="5">
        <f t="shared" si="3"/>
        <v>81</v>
      </c>
      <c r="B86" s="124" t="s">
        <v>213</v>
      </c>
      <c r="C86" s="124"/>
      <c r="D86" s="125" t="s">
        <v>214</v>
      </c>
      <c r="E86" s="125"/>
      <c r="F86" s="125"/>
      <c r="G86" s="120" t="s">
        <v>270</v>
      </c>
      <c r="H86" s="120">
        <v>85</v>
      </c>
      <c r="I86" s="121">
        <v>20</v>
      </c>
      <c r="J86" s="122">
        <f t="shared" si="4"/>
        <v>1700</v>
      </c>
      <c r="K86" s="123"/>
      <c r="L86" s="94"/>
      <c r="R86" s="92"/>
    </row>
    <row r="87" spans="1:26" ht="24" customHeight="1">
      <c r="A87" s="5">
        <f t="shared" si="3"/>
        <v>82</v>
      </c>
      <c r="B87" s="124" t="s">
        <v>266</v>
      </c>
      <c r="C87" s="124"/>
      <c r="D87" s="125" t="s">
        <v>267</v>
      </c>
      <c r="E87" s="125"/>
      <c r="F87" s="125"/>
      <c r="G87" s="120" t="s">
        <v>270</v>
      </c>
      <c r="H87" s="120">
        <v>220</v>
      </c>
      <c r="I87" s="121">
        <v>17</v>
      </c>
      <c r="J87" s="122">
        <f t="shared" si="4"/>
        <v>3740</v>
      </c>
      <c r="K87" s="123"/>
      <c r="L87" s="94"/>
      <c r="R87" s="92"/>
    </row>
    <row r="88" spans="1:26" ht="24" customHeight="1">
      <c r="A88" s="5">
        <f t="shared" si="3"/>
        <v>83</v>
      </c>
      <c r="B88" s="124" t="s">
        <v>135</v>
      </c>
      <c r="C88" s="124"/>
      <c r="D88" s="125"/>
      <c r="E88" s="125"/>
      <c r="F88" s="125"/>
      <c r="G88" s="120" t="s">
        <v>268</v>
      </c>
      <c r="H88" s="120">
        <v>50</v>
      </c>
      <c r="I88" s="121">
        <v>11.5</v>
      </c>
      <c r="J88" s="122">
        <f t="shared" si="4"/>
        <v>575</v>
      </c>
      <c r="K88" s="123"/>
      <c r="L88" s="94"/>
      <c r="R88" s="92"/>
    </row>
    <row r="89" spans="1:26" ht="24" customHeight="1">
      <c r="A89" s="5">
        <f t="shared" si="3"/>
        <v>84</v>
      </c>
      <c r="B89" s="124" t="s">
        <v>211</v>
      </c>
      <c r="C89" s="124"/>
      <c r="D89" s="125" t="s">
        <v>212</v>
      </c>
      <c r="E89" s="125"/>
      <c r="F89" s="125"/>
      <c r="G89" s="120" t="s">
        <v>268</v>
      </c>
      <c r="H89" s="120">
        <v>500</v>
      </c>
      <c r="I89" s="121">
        <v>0.4</v>
      </c>
      <c r="J89" s="122">
        <f t="shared" si="4"/>
        <v>200</v>
      </c>
      <c r="K89" s="123"/>
      <c r="L89" s="94"/>
      <c r="R89" s="92"/>
    </row>
    <row r="90" spans="1:26" ht="24" customHeight="1">
      <c r="A90" s="5">
        <f t="shared" si="3"/>
        <v>85</v>
      </c>
      <c r="B90" s="124" t="s">
        <v>209</v>
      </c>
      <c r="C90" s="124"/>
      <c r="D90" s="125" t="s">
        <v>210</v>
      </c>
      <c r="E90" s="125"/>
      <c r="F90" s="125"/>
      <c r="G90" s="120" t="s">
        <v>268</v>
      </c>
      <c r="H90" s="120">
        <v>5</v>
      </c>
      <c r="I90" s="121">
        <v>30</v>
      </c>
      <c r="J90" s="122">
        <f t="shared" si="4"/>
        <v>150</v>
      </c>
      <c r="K90" s="123"/>
      <c r="L90" s="94"/>
      <c r="R90" s="92"/>
    </row>
    <row r="91" spans="1:26" ht="24" customHeight="1">
      <c r="A91" s="5">
        <f t="shared" si="3"/>
        <v>86</v>
      </c>
      <c r="B91" s="124" t="s">
        <v>275</v>
      </c>
      <c r="C91" s="124"/>
      <c r="D91" s="125" t="s">
        <v>276</v>
      </c>
      <c r="E91" s="125"/>
      <c r="F91" s="125"/>
      <c r="G91" s="120" t="s">
        <v>268</v>
      </c>
      <c r="H91" s="120">
        <v>4</v>
      </c>
      <c r="I91" s="121">
        <v>3650</v>
      </c>
      <c r="J91" s="122">
        <f t="shared" ref="J91" si="5">H91*I91</f>
        <v>14600</v>
      </c>
      <c r="K91" s="123"/>
      <c r="L91" s="94"/>
      <c r="R91" s="92"/>
    </row>
    <row r="92" spans="1:26" ht="23.25" customHeight="1">
      <c r="A92" s="127" t="s">
        <v>8</v>
      </c>
      <c r="B92" s="128"/>
      <c r="C92" s="114"/>
      <c r="D92" s="115"/>
      <c r="E92" s="115"/>
      <c r="F92" s="115"/>
      <c r="G92" s="116"/>
      <c r="H92" s="116"/>
      <c r="I92" s="117" t="s">
        <v>9</v>
      </c>
      <c r="J92" s="118">
        <f>SUM(J6:J91)</f>
        <v>94543.6</v>
      </c>
      <c r="K92" s="118"/>
      <c r="L92" s="119"/>
    </row>
    <row r="93" spans="1:26" ht="20.100000000000001" customHeight="1">
      <c r="A93" s="6" t="s">
        <v>10</v>
      </c>
      <c r="B93" s="7"/>
      <c r="C93" s="7"/>
      <c r="D93" s="7"/>
      <c r="E93" s="7"/>
      <c r="F93" s="7"/>
      <c r="G93" s="7"/>
      <c r="H93" s="7"/>
      <c r="I93" s="7"/>
      <c r="J93" s="7"/>
      <c r="K93" s="8"/>
      <c r="L93" s="9"/>
    </row>
    <row r="94" spans="1:26" ht="18" customHeight="1">
      <c r="A94" s="10"/>
      <c r="J94" s="1"/>
      <c r="K94" s="1"/>
      <c r="O94" s="11"/>
      <c r="P94" s="11"/>
      <c r="Q94" s="11"/>
      <c r="R94" s="11"/>
      <c r="S94" s="11"/>
      <c r="T94" s="11"/>
      <c r="U94" s="11"/>
      <c r="V94" s="11"/>
      <c r="W94" s="11"/>
      <c r="Y94" s="150"/>
      <c r="Z94" s="11"/>
    </row>
    <row r="95" spans="1:26" ht="50.1" customHeight="1">
      <c r="Y95" s="151"/>
    </row>
    <row r="96" spans="1:26" ht="15" customHeight="1">
      <c r="O96" s="146" t="s">
        <v>117</v>
      </c>
      <c r="P96" s="152"/>
      <c r="Q96" s="152"/>
      <c r="R96" s="147"/>
      <c r="S96" s="103"/>
      <c r="T96" s="146" t="s">
        <v>118</v>
      </c>
      <c r="U96" s="152"/>
      <c r="V96" s="152"/>
      <c r="W96" s="152"/>
      <c r="X96" s="152"/>
      <c r="Y96" s="147"/>
    </row>
    <row r="97" spans="15:25" ht="15" customHeight="1">
      <c r="O97" s="153" t="s">
        <v>119</v>
      </c>
      <c r="P97" s="129" t="s">
        <v>120</v>
      </c>
      <c r="Q97" s="153" t="s">
        <v>121</v>
      </c>
      <c r="R97" s="129" t="s">
        <v>122</v>
      </c>
      <c r="S97" s="103"/>
      <c r="T97" s="153" t="s">
        <v>123</v>
      </c>
      <c r="U97" s="129" t="s">
        <v>124</v>
      </c>
      <c r="V97" s="146" t="s">
        <v>125</v>
      </c>
      <c r="W97" s="152"/>
      <c r="X97" s="147"/>
      <c r="Y97" s="129" t="s">
        <v>126</v>
      </c>
    </row>
    <row r="98" spans="15:25" ht="18" customHeight="1">
      <c r="O98" s="131"/>
      <c r="P98" s="130"/>
      <c r="Q98" s="131"/>
      <c r="R98" s="130"/>
      <c r="S98" s="107"/>
      <c r="T98" s="131"/>
      <c r="U98" s="130"/>
      <c r="V98" s="13" t="s">
        <v>119</v>
      </c>
      <c r="W98" s="154" t="s">
        <v>127</v>
      </c>
      <c r="X98" s="155"/>
      <c r="Y98" s="130"/>
    </row>
    <row r="99" spans="15:25" ht="50.1" customHeight="1">
      <c r="O99" s="14"/>
      <c r="P99" s="14"/>
      <c r="Q99" s="14"/>
      <c r="R99" s="14"/>
      <c r="S99" s="103"/>
      <c r="T99" s="14"/>
      <c r="U99" s="14"/>
      <c r="V99" s="14"/>
      <c r="W99" s="146"/>
      <c r="X99" s="147"/>
      <c r="Y99" s="108"/>
    </row>
    <row r="100" spans="15:25" ht="36" customHeight="1">
      <c r="W100" s="109"/>
      <c r="X100" s="148" t="s">
        <v>128</v>
      </c>
      <c r="Y100" s="12" t="s">
        <v>126</v>
      </c>
    </row>
    <row r="101" spans="15:25" ht="50.1" customHeight="1">
      <c r="O101" s="110"/>
      <c r="P101" s="110"/>
      <c r="Q101" s="110"/>
      <c r="R101" s="110"/>
      <c r="S101" s="110"/>
      <c r="T101" s="110"/>
      <c r="U101" s="110"/>
      <c r="V101" s="110"/>
      <c r="W101" s="111"/>
      <c r="X101" s="149"/>
      <c r="Y101" s="112"/>
    </row>
    <row r="102" spans="15:25" ht="19.899999999999999" customHeight="1"/>
    <row r="103" spans="15:25" ht="17.45" customHeight="1">
      <c r="O103" s="132"/>
      <c r="P103" s="132"/>
    </row>
    <row r="104" spans="15:25" ht="19.899999999999999" customHeight="1">
      <c r="O104" s="132"/>
      <c r="P104" s="132"/>
    </row>
    <row r="105" spans="15:25" ht="14.25">
      <c r="O105" s="11"/>
      <c r="P105" s="11"/>
      <c r="Q105" s="11"/>
    </row>
    <row r="106" spans="15:25" ht="65.099999999999994" customHeight="1"/>
    <row r="107" spans="15:25" ht="14.25">
      <c r="O107" s="11"/>
      <c r="P107" s="11"/>
    </row>
    <row r="108" spans="15:25" ht="19.899999999999999" customHeight="1"/>
    <row r="109" spans="15:25" ht="14.25"/>
    <row r="110" spans="15:25" ht="19.899999999999999" customHeight="1"/>
    <row r="111" spans="15:25" ht="14.25"/>
    <row r="112" spans="15:25" ht="19.899999999999999" customHeight="1"/>
    <row r="113" spans="15:19" ht="19.899999999999999" customHeight="1"/>
    <row r="114" spans="15:19" ht="64.900000000000006" customHeight="1"/>
    <row r="116" spans="15:19" ht="19.899999999999999" customHeight="1"/>
    <row r="117" spans="15:19" ht="19.899999999999999" customHeight="1"/>
    <row r="118" spans="15:19" ht="64.900000000000006" customHeight="1"/>
    <row r="122" spans="15:19" ht="21" customHeight="1">
      <c r="O122" s="129" t="s">
        <v>12</v>
      </c>
      <c r="P122" s="129" t="s">
        <v>12</v>
      </c>
      <c r="S122" s="129" t="s">
        <v>11</v>
      </c>
    </row>
    <row r="123" spans="15:19" ht="21" customHeight="1">
      <c r="O123" s="130"/>
      <c r="P123" s="130"/>
      <c r="S123" s="131"/>
    </row>
    <row r="124" spans="15:19" ht="64.900000000000006" customHeight="1">
      <c r="O124" s="14"/>
      <c r="P124" s="14"/>
      <c r="S124" s="15"/>
    </row>
    <row r="125" spans="15:19" ht="7.15" customHeight="1"/>
    <row r="126" spans="15:19" ht="21" customHeight="1">
      <c r="O126" s="129" t="s">
        <v>12</v>
      </c>
      <c r="P126" s="129" t="s">
        <v>12</v>
      </c>
      <c r="S126" s="129" t="s">
        <v>13</v>
      </c>
    </row>
    <row r="127" spans="15:19" ht="21" customHeight="1">
      <c r="O127" s="130"/>
      <c r="P127" s="130"/>
      <c r="S127" s="131"/>
    </row>
    <row r="128" spans="15:19" ht="64.900000000000006" customHeight="1">
      <c r="O128" s="14"/>
      <c r="P128" s="14"/>
      <c r="S128" s="14"/>
    </row>
  </sheetData>
  <mergeCells count="207">
    <mergeCell ref="W99:X99"/>
    <mergeCell ref="X100:X101"/>
    <mergeCell ref="Y94:Y95"/>
    <mergeCell ref="O96:R96"/>
    <mergeCell ref="T96:Y96"/>
    <mergeCell ref="O97:O98"/>
    <mergeCell ref="Q97:Q98"/>
    <mergeCell ref="R97:R98"/>
    <mergeCell ref="T97:T98"/>
    <mergeCell ref="U97:U98"/>
    <mergeCell ref="V97:X97"/>
    <mergeCell ref="Y97:Y98"/>
    <mergeCell ref="W98:X98"/>
    <mergeCell ref="B7:C7"/>
    <mergeCell ref="D7:F7"/>
    <mergeCell ref="B8:C8"/>
    <mergeCell ref="D8:F8"/>
    <mergeCell ref="A4:A5"/>
    <mergeCell ref="B4:C5"/>
    <mergeCell ref="D4:F5"/>
    <mergeCell ref="G4:G5"/>
    <mergeCell ref="H4:H5"/>
    <mergeCell ref="J1:L1"/>
    <mergeCell ref="J2:L2"/>
    <mergeCell ref="E3:I3"/>
    <mergeCell ref="I4:I5"/>
    <mergeCell ref="J4:J5"/>
    <mergeCell ref="K4:K5"/>
    <mergeCell ref="L4:L5"/>
    <mergeCell ref="B6:C6"/>
    <mergeCell ref="D6:F6"/>
    <mergeCell ref="O126:O127"/>
    <mergeCell ref="P126:P127"/>
    <mergeCell ref="S126:S127"/>
    <mergeCell ref="O103:O104"/>
    <mergeCell ref="P103:P104"/>
    <mergeCell ref="O122:O123"/>
    <mergeCell ref="P122:P123"/>
    <mergeCell ref="D9:F9"/>
    <mergeCell ref="D13:F13"/>
    <mergeCell ref="D14:F14"/>
    <mergeCell ref="D10:F10"/>
    <mergeCell ref="D11:F11"/>
    <mergeCell ref="D12:F12"/>
    <mergeCell ref="B15:C15"/>
    <mergeCell ref="D15:F15"/>
    <mergeCell ref="B16:C16"/>
    <mergeCell ref="D16:F16"/>
    <mergeCell ref="B17:C17"/>
    <mergeCell ref="D17:F17"/>
    <mergeCell ref="A92:B92"/>
    <mergeCell ref="P97:P98"/>
    <mergeCell ref="S122:S123"/>
    <mergeCell ref="B21:C21"/>
    <mergeCell ref="D21:F21"/>
    <mergeCell ref="B22:C22"/>
    <mergeCell ref="D22:F22"/>
    <mergeCell ref="B23:C23"/>
    <mergeCell ref="D23:F23"/>
    <mergeCell ref="B18:C18"/>
    <mergeCell ref="D18:F18"/>
    <mergeCell ref="B19:C19"/>
    <mergeCell ref="D19:F19"/>
    <mergeCell ref="B20:C20"/>
    <mergeCell ref="D20:F20"/>
    <mergeCell ref="B27:C27"/>
    <mergeCell ref="D27:F27"/>
    <mergeCell ref="B28:C28"/>
    <mergeCell ref="D28:F28"/>
    <mergeCell ref="B29:C29"/>
    <mergeCell ref="D29:F29"/>
    <mergeCell ref="B24:C24"/>
    <mergeCell ref="D24:F24"/>
    <mergeCell ref="B25:C25"/>
    <mergeCell ref="D25:F25"/>
    <mergeCell ref="B26:C26"/>
    <mergeCell ref="D26:F26"/>
    <mergeCell ref="B33:C33"/>
    <mergeCell ref="D33:F33"/>
    <mergeCell ref="B34:C34"/>
    <mergeCell ref="D34:F34"/>
    <mergeCell ref="B35:C35"/>
    <mergeCell ref="D35:F35"/>
    <mergeCell ref="B30:C30"/>
    <mergeCell ref="D30:F30"/>
    <mergeCell ref="B31:C31"/>
    <mergeCell ref="D31:F31"/>
    <mergeCell ref="B32:C32"/>
    <mergeCell ref="D32:F32"/>
    <mergeCell ref="B39:C39"/>
    <mergeCell ref="D39:F39"/>
    <mergeCell ref="B40:C40"/>
    <mergeCell ref="D40:F40"/>
    <mergeCell ref="B41:C41"/>
    <mergeCell ref="D41:F41"/>
    <mergeCell ref="B36:C36"/>
    <mergeCell ref="D36:F36"/>
    <mergeCell ref="B37:C37"/>
    <mergeCell ref="D37:F37"/>
    <mergeCell ref="B38:C38"/>
    <mergeCell ref="D38:F38"/>
    <mergeCell ref="B45:C45"/>
    <mergeCell ref="D45:F45"/>
    <mergeCell ref="B46:C46"/>
    <mergeCell ref="D46:F46"/>
    <mergeCell ref="B47:C47"/>
    <mergeCell ref="D47:F47"/>
    <mergeCell ref="B42:C42"/>
    <mergeCell ref="D42:F42"/>
    <mergeCell ref="B43:C43"/>
    <mergeCell ref="D43:F43"/>
    <mergeCell ref="B44:C44"/>
    <mergeCell ref="D44:F44"/>
    <mergeCell ref="B51:C51"/>
    <mergeCell ref="D51:F51"/>
    <mergeCell ref="B52:C52"/>
    <mergeCell ref="D52:F52"/>
    <mergeCell ref="B53:C53"/>
    <mergeCell ref="D53:F53"/>
    <mergeCell ref="B48:C48"/>
    <mergeCell ref="D48:F48"/>
    <mergeCell ref="B49:C49"/>
    <mergeCell ref="D49:F49"/>
    <mergeCell ref="B50:C50"/>
    <mergeCell ref="D50:F50"/>
    <mergeCell ref="B57:C57"/>
    <mergeCell ref="D57:F57"/>
    <mergeCell ref="B58:C58"/>
    <mergeCell ref="D58:F58"/>
    <mergeCell ref="B59:C59"/>
    <mergeCell ref="D59:F59"/>
    <mergeCell ref="B54:C54"/>
    <mergeCell ref="D54:F54"/>
    <mergeCell ref="B55:C55"/>
    <mergeCell ref="D55:F55"/>
    <mergeCell ref="B56:C56"/>
    <mergeCell ref="D56:F56"/>
    <mergeCell ref="B63:C63"/>
    <mergeCell ref="D63:F63"/>
    <mergeCell ref="B64:C64"/>
    <mergeCell ref="D64:F64"/>
    <mergeCell ref="B65:C65"/>
    <mergeCell ref="D65:F65"/>
    <mergeCell ref="B60:C60"/>
    <mergeCell ref="D60:F60"/>
    <mergeCell ref="B61:C61"/>
    <mergeCell ref="D61:F61"/>
    <mergeCell ref="B62:C62"/>
    <mergeCell ref="D62:F62"/>
    <mergeCell ref="B69:C69"/>
    <mergeCell ref="D69:F69"/>
    <mergeCell ref="B70:C70"/>
    <mergeCell ref="D70:F70"/>
    <mergeCell ref="B71:C71"/>
    <mergeCell ref="D71:F71"/>
    <mergeCell ref="B66:C66"/>
    <mergeCell ref="D66:F66"/>
    <mergeCell ref="B67:C67"/>
    <mergeCell ref="D67:F67"/>
    <mergeCell ref="B68:C68"/>
    <mergeCell ref="D68:F68"/>
    <mergeCell ref="B75:C75"/>
    <mergeCell ref="D75:F75"/>
    <mergeCell ref="B76:C76"/>
    <mergeCell ref="D76:F76"/>
    <mergeCell ref="B77:C77"/>
    <mergeCell ref="D77:F77"/>
    <mergeCell ref="B72:C72"/>
    <mergeCell ref="D72:F72"/>
    <mergeCell ref="B73:C73"/>
    <mergeCell ref="D73:F73"/>
    <mergeCell ref="B74:C74"/>
    <mergeCell ref="D74:F74"/>
    <mergeCell ref="B82:C82"/>
    <mergeCell ref="D82:F82"/>
    <mergeCell ref="B83:C83"/>
    <mergeCell ref="D83:F83"/>
    <mergeCell ref="B78:C78"/>
    <mergeCell ref="D78:F78"/>
    <mergeCell ref="B79:C79"/>
    <mergeCell ref="D79:F79"/>
    <mergeCell ref="B80:C80"/>
    <mergeCell ref="D80:F80"/>
    <mergeCell ref="B14:C14"/>
    <mergeCell ref="B91:C91"/>
    <mergeCell ref="D91:F91"/>
    <mergeCell ref="B9:C9"/>
    <mergeCell ref="B10:C10"/>
    <mergeCell ref="B11:C11"/>
    <mergeCell ref="B12:C12"/>
    <mergeCell ref="B13:C13"/>
    <mergeCell ref="B90:C90"/>
    <mergeCell ref="D90:F90"/>
    <mergeCell ref="B87:C87"/>
    <mergeCell ref="D87:F87"/>
    <mergeCell ref="B88:C88"/>
    <mergeCell ref="D88:F88"/>
    <mergeCell ref="B89:C89"/>
    <mergeCell ref="D89:F89"/>
    <mergeCell ref="B84:C84"/>
    <mergeCell ref="D84:F84"/>
    <mergeCell ref="B85:C85"/>
    <mergeCell ref="D85:F85"/>
    <mergeCell ref="B86:C86"/>
    <mergeCell ref="D86:F86"/>
    <mergeCell ref="B81:C81"/>
    <mergeCell ref="D81:F81"/>
  </mergeCells>
  <phoneticPr fontId="3" type="noConversion"/>
  <printOptions horizontalCentered="1"/>
  <pageMargins left="0.39370078740157499" right="0.39370078740157499" top="0.39370078740157499" bottom="0.39370078740157499" header="0" footer="0"/>
  <pageSetup paperSize="9" scale="84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17"/>
  <sheetViews>
    <sheetView showGridLines="0" zoomScale="95" zoomScaleNormal="95" zoomScaleSheetLayoutView="70" workbookViewId="0">
      <pane ySplit="5" topLeftCell="A115" activePane="bottomLeft" state="frozen"/>
      <selection activeCell="D30" sqref="D30"/>
      <selection pane="bottomLeft" activeCell="H119" sqref="H119"/>
    </sheetView>
  </sheetViews>
  <sheetFormatPr defaultColWidth="9" defaultRowHeight="21" customHeight="1"/>
  <cols>
    <col min="1" max="1" width="6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5" t="s">
        <v>87</v>
      </c>
      <c r="B1" s="86"/>
      <c r="C1" s="86"/>
      <c r="D1" s="86"/>
      <c r="E1" s="86"/>
      <c r="F1" s="86"/>
      <c r="G1" s="1"/>
      <c r="J1" s="133" t="str">
        <f>+MRS!J1</f>
        <v>DAESHIN PLANT</v>
      </c>
      <c r="K1" s="135"/>
    </row>
    <row r="2" spans="1:18" ht="24.95" customHeight="1">
      <c r="A2" s="3" t="str">
        <f>+MRS!A2</f>
        <v xml:space="preserve">  PJT :  SACE2           </v>
      </c>
      <c r="B2" s="87"/>
      <c r="C2" s="87"/>
      <c r="D2" s="3" t="str">
        <f>+MRS!D2</f>
        <v>Division (In charge Name) : ADMIN MANAGER (Dong Chang Kim)</v>
      </c>
      <c r="E2" s="87"/>
      <c r="F2" s="87"/>
      <c r="G2" s="16"/>
      <c r="H2" s="16"/>
      <c r="I2" s="16"/>
      <c r="J2" s="136" t="str">
        <f>+MRS!J2</f>
        <v>Subcontract name (SAC2-SC-IK-SMP-01)</v>
      </c>
      <c r="K2" s="138"/>
    </row>
    <row r="3" spans="1:18" ht="24.95" customHeight="1">
      <c r="A3" s="3" t="str">
        <f>+MRS!A3</f>
        <v xml:space="preserve">  MRS No : SAC2-DS-MRS-0424</v>
      </c>
      <c r="B3" s="87"/>
      <c r="C3" s="87"/>
      <c r="D3" s="87"/>
      <c r="E3" s="87"/>
      <c r="F3" s="87"/>
      <c r="G3" s="87"/>
      <c r="H3" s="87"/>
      <c r="I3" s="87"/>
      <c r="J3" s="87"/>
      <c r="K3" s="88">
        <f>+MRS!L3</f>
        <v>46250</v>
      </c>
    </row>
    <row r="4" spans="1:18" ht="15.95" customHeight="1">
      <c r="A4" s="156" t="s">
        <v>2</v>
      </c>
      <c r="B4" s="157" t="s">
        <v>14</v>
      </c>
      <c r="C4" s="157"/>
      <c r="D4" s="156" t="s">
        <v>4</v>
      </c>
      <c r="E4" s="156"/>
      <c r="F4" s="156"/>
      <c r="G4" s="157" t="s">
        <v>5</v>
      </c>
      <c r="H4" s="156" t="s">
        <v>82</v>
      </c>
      <c r="I4" s="156" t="s">
        <v>15</v>
      </c>
      <c r="J4" s="156" t="s">
        <v>16</v>
      </c>
      <c r="K4" s="157" t="s">
        <v>7</v>
      </c>
    </row>
    <row r="5" spans="1:18" ht="15.95" customHeight="1">
      <c r="A5" s="156"/>
      <c r="B5" s="157"/>
      <c r="C5" s="157"/>
      <c r="D5" s="156"/>
      <c r="E5" s="156"/>
      <c r="F5" s="156"/>
      <c r="G5" s="157"/>
      <c r="H5" s="156"/>
      <c r="I5" s="156"/>
      <c r="J5" s="156"/>
      <c r="K5" s="157"/>
    </row>
    <row r="6" spans="1:18" ht="105" customHeight="1">
      <c r="A6" s="17">
        <f>+MRS!A6</f>
        <v>1</v>
      </c>
      <c r="B6" s="158" t="str">
        <f>MRS!B6</f>
        <v xml:space="preserve">Spray Paint-Red </v>
      </c>
      <c r="C6" s="159"/>
      <c r="D6" s="160" t="str">
        <f>MRS!D6</f>
        <v>400Ml/400Grams, Asmaco, Made In Uae</v>
      </c>
      <c r="E6" s="161"/>
      <c r="F6" s="162"/>
      <c r="G6" s="89" t="str">
        <f>MRS!G6</f>
        <v>EA</v>
      </c>
      <c r="H6" s="89">
        <f>MRS!H6</f>
        <v>2</v>
      </c>
      <c r="I6" s="90">
        <f>MRS!I6</f>
        <v>4.3</v>
      </c>
      <c r="J6" s="90">
        <f>MRS!J6</f>
        <v>8.6</v>
      </c>
      <c r="K6" s="91"/>
      <c r="O6" s="92"/>
      <c r="P6" s="92"/>
      <c r="R6" s="92"/>
    </row>
    <row r="7" spans="1:18" ht="105" customHeight="1">
      <c r="A7" s="17">
        <f>+MRS!A7</f>
        <v>2</v>
      </c>
      <c r="B7" s="158" t="str">
        <f>MRS!B7</f>
        <v xml:space="preserve">Belt Strap Wrench </v>
      </c>
      <c r="C7" s="159"/>
      <c r="D7" s="160" t="str">
        <f>MRS!D7</f>
        <v xml:space="preserve">12" Clarke </v>
      </c>
      <c r="E7" s="161"/>
      <c r="F7" s="162"/>
      <c r="G7" s="89" t="str">
        <f>MRS!G7</f>
        <v>EA</v>
      </c>
      <c r="H7" s="89">
        <f>MRS!H7</f>
        <v>2</v>
      </c>
      <c r="I7" s="90">
        <f>MRS!I7</f>
        <v>41</v>
      </c>
      <c r="J7" s="90">
        <f>MRS!J7</f>
        <v>82</v>
      </c>
      <c r="K7" s="91"/>
      <c r="O7" s="92"/>
      <c r="P7" s="92"/>
      <c r="R7" s="92"/>
    </row>
    <row r="8" spans="1:18" ht="105" customHeight="1">
      <c r="A8" s="17">
        <f>+MRS!A8</f>
        <v>3</v>
      </c>
      <c r="B8" s="158" t="str">
        <f>MRS!B8</f>
        <v>Brass Chipping Hammer</v>
      </c>
      <c r="C8" s="159"/>
      <c r="D8" s="160" t="str">
        <f>MRS!D8</f>
        <v xml:space="preserve"> Brand : Kaspro</v>
      </c>
      <c r="E8" s="161"/>
      <c r="F8" s="162"/>
      <c r="G8" s="89" t="str">
        <f>MRS!G8</f>
        <v>EA</v>
      </c>
      <c r="H8" s="89">
        <f>MRS!H8</f>
        <v>6</v>
      </c>
      <c r="I8" s="90">
        <f>MRS!I8</f>
        <v>175</v>
      </c>
      <c r="J8" s="90">
        <f>MRS!J8</f>
        <v>1050</v>
      </c>
      <c r="K8" s="91"/>
      <c r="O8" s="92"/>
      <c r="P8" s="92"/>
      <c r="R8" s="92"/>
    </row>
    <row r="9" spans="1:18" ht="105" customHeight="1">
      <c r="A9" s="17">
        <f>+MRS!A9</f>
        <v>4</v>
      </c>
      <c r="B9" s="158" t="str">
        <f>MRS!B9</f>
        <v xml:space="preserve">Brass Hammer </v>
      </c>
      <c r="C9" s="159"/>
      <c r="D9" s="160" t="str">
        <f>MRS!D9</f>
        <v xml:space="preserve"> 3Lb ( Brand : Kaspro ) </v>
      </c>
      <c r="E9" s="161"/>
      <c r="F9" s="162"/>
      <c r="G9" s="89" t="str">
        <f>MRS!G9</f>
        <v>EA</v>
      </c>
      <c r="H9" s="89">
        <f>MRS!H9</f>
        <v>6</v>
      </c>
      <c r="I9" s="90">
        <f>MRS!I9</f>
        <v>145</v>
      </c>
      <c r="J9" s="90">
        <f>MRS!J9</f>
        <v>870</v>
      </c>
      <c r="K9" s="91"/>
      <c r="O9" s="92"/>
      <c r="P9" s="92"/>
      <c r="R9" s="92"/>
    </row>
    <row r="10" spans="1:18" ht="105" customHeight="1">
      <c r="A10" s="17">
        <f>+MRS!A10</f>
        <v>5</v>
      </c>
      <c r="B10" s="158" t="str">
        <f>MRS!B10</f>
        <v>Brass Hand Wire Brush</v>
      </c>
      <c r="C10" s="159"/>
      <c r="D10" s="160" t="str">
        <f>MRS!D10</f>
        <v xml:space="preserve"> ( Brand : Kaspro ) </v>
      </c>
      <c r="E10" s="161"/>
      <c r="F10" s="162"/>
      <c r="G10" s="89" t="str">
        <f>MRS!G10</f>
        <v>EA</v>
      </c>
      <c r="H10" s="89">
        <f>MRS!H10</f>
        <v>6</v>
      </c>
      <c r="I10" s="90">
        <f>MRS!I10</f>
        <v>12.5</v>
      </c>
      <c r="J10" s="90">
        <f>MRS!J10</f>
        <v>75</v>
      </c>
      <c r="K10" s="91"/>
      <c r="O10" s="92"/>
      <c r="P10" s="92"/>
      <c r="R10" s="92"/>
    </row>
    <row r="11" spans="1:18" ht="105" customHeight="1">
      <c r="A11" s="17">
        <f>+MRS!A11</f>
        <v>6</v>
      </c>
      <c r="B11" s="158" t="str">
        <f>MRS!B11</f>
        <v xml:space="preserve">Cable Tie </v>
      </c>
      <c r="C11" s="159"/>
      <c r="D11" s="160" t="str">
        <f>MRS!D11</f>
        <v xml:space="preserve">3.6 X 150Mm ( 100Ea/Pkt - Brand : Giffex ) </v>
      </c>
      <c r="E11" s="161"/>
      <c r="F11" s="162"/>
      <c r="G11" s="89" t="str">
        <f>MRS!G11</f>
        <v>PKT</v>
      </c>
      <c r="H11" s="89">
        <f>MRS!H11</f>
        <v>50</v>
      </c>
      <c r="I11" s="90">
        <f>MRS!I11</f>
        <v>6</v>
      </c>
      <c r="J11" s="90">
        <f>MRS!J11</f>
        <v>300</v>
      </c>
      <c r="K11" s="91"/>
      <c r="O11" s="92"/>
      <c r="P11" s="92"/>
      <c r="R11" s="92"/>
    </row>
    <row r="12" spans="1:18" ht="105" customHeight="1">
      <c r="A12" s="17">
        <f>+MRS!A12</f>
        <v>7</v>
      </c>
      <c r="B12" s="158" t="str">
        <f>MRS!B12</f>
        <v xml:space="preserve">Cable Tie </v>
      </c>
      <c r="C12" s="159"/>
      <c r="D12" s="160" t="str">
        <f>MRS!D12</f>
        <v xml:space="preserve"> 4.8 X 300Mm ( 100Ea/Pkt - Brand : Giffex ) </v>
      </c>
      <c r="E12" s="161"/>
      <c r="F12" s="162"/>
      <c r="G12" s="89" t="str">
        <f>MRS!G12</f>
        <v>PKT</v>
      </c>
      <c r="H12" s="89">
        <f>MRS!H12</f>
        <v>50</v>
      </c>
      <c r="I12" s="90">
        <f>MRS!I12</f>
        <v>13</v>
      </c>
      <c r="J12" s="90">
        <f>MRS!J12</f>
        <v>650</v>
      </c>
      <c r="K12" s="91"/>
      <c r="O12" s="92"/>
      <c r="P12" s="92"/>
      <c r="R12" s="92"/>
    </row>
    <row r="13" spans="1:18" ht="105" customHeight="1">
      <c r="A13" s="17">
        <f>+MRS!A13</f>
        <v>8</v>
      </c>
      <c r="B13" s="158" t="str">
        <f>MRS!B13</f>
        <v xml:space="preserve">Carbon Brush For Chipping Machine </v>
      </c>
      <c r="C13" s="159"/>
      <c r="D13" s="160" t="str">
        <f>MRS!D13</f>
        <v xml:space="preserve">Bosch 7Vc </v>
      </c>
      <c r="E13" s="161"/>
      <c r="F13" s="162"/>
      <c r="G13" s="89" t="str">
        <f>MRS!G13</f>
        <v>EA</v>
      </c>
      <c r="H13" s="89">
        <f>MRS!H13</f>
        <v>25</v>
      </c>
      <c r="I13" s="90">
        <f>MRS!I13</f>
        <v>88</v>
      </c>
      <c r="J13" s="90">
        <f>MRS!J13</f>
        <v>2200</v>
      </c>
      <c r="K13" s="91"/>
      <c r="O13" s="92"/>
      <c r="P13" s="92"/>
      <c r="R13" s="92"/>
    </row>
    <row r="14" spans="1:18" ht="105" customHeight="1">
      <c r="A14" s="17">
        <f>+MRS!A14</f>
        <v>9</v>
      </c>
      <c r="B14" s="158" t="str">
        <f>MRS!B14</f>
        <v xml:space="preserve">Center Punch  </v>
      </c>
      <c r="C14" s="159"/>
      <c r="D14" s="160" t="str">
        <f>MRS!D14</f>
        <v xml:space="preserve">120Mm ( Brand : Clarke ) </v>
      </c>
      <c r="E14" s="161"/>
      <c r="F14" s="162"/>
      <c r="G14" s="89" t="str">
        <f>MRS!G14</f>
        <v>EA</v>
      </c>
      <c r="H14" s="89">
        <f>MRS!H14</f>
        <v>4</v>
      </c>
      <c r="I14" s="90">
        <f>MRS!I14</f>
        <v>8.5</v>
      </c>
      <c r="J14" s="90">
        <f>MRS!J14</f>
        <v>34</v>
      </c>
      <c r="K14" s="91"/>
      <c r="O14" s="92"/>
      <c r="P14" s="92"/>
      <c r="R14" s="92"/>
    </row>
    <row r="15" spans="1:18" ht="105" customHeight="1">
      <c r="A15" s="17" t="e">
        <f>+MRS!#REF!</f>
        <v>#REF!</v>
      </c>
      <c r="B15" s="158" t="e">
        <f>MRS!#REF!</f>
        <v>#REF!</v>
      </c>
      <c r="C15" s="159"/>
      <c r="D15" s="160" t="e">
        <f>MRS!#REF!</f>
        <v>#REF!</v>
      </c>
      <c r="E15" s="161"/>
      <c r="F15" s="162"/>
      <c r="G15" s="89" t="e">
        <f>MRS!#REF!</f>
        <v>#REF!</v>
      </c>
      <c r="H15" s="89" t="e">
        <f>MRS!#REF!</f>
        <v>#REF!</v>
      </c>
      <c r="I15" s="90" t="e">
        <f>MRS!#REF!</f>
        <v>#REF!</v>
      </c>
      <c r="J15" s="90" t="e">
        <f>MRS!#REF!</f>
        <v>#REF!</v>
      </c>
      <c r="K15" s="91"/>
      <c r="O15" s="92"/>
      <c r="P15" s="92"/>
      <c r="R15" s="92"/>
    </row>
    <row r="16" spans="1:18" ht="105" customHeight="1">
      <c r="A16" s="17" t="e">
        <f>+MRS!#REF!</f>
        <v>#REF!</v>
      </c>
      <c r="B16" s="158" t="e">
        <f>MRS!#REF!</f>
        <v>#REF!</v>
      </c>
      <c r="C16" s="159"/>
      <c r="D16" s="160" t="e">
        <f>MRS!#REF!</f>
        <v>#REF!</v>
      </c>
      <c r="E16" s="161"/>
      <c r="F16" s="162"/>
      <c r="G16" s="89" t="e">
        <f>MRS!#REF!</f>
        <v>#REF!</v>
      </c>
      <c r="H16" s="89" t="e">
        <f>MRS!#REF!</f>
        <v>#REF!</v>
      </c>
      <c r="I16" s="90" t="e">
        <f>MRS!#REF!</f>
        <v>#REF!</v>
      </c>
      <c r="J16" s="90" t="e">
        <f>MRS!#REF!</f>
        <v>#REF!</v>
      </c>
      <c r="K16" s="91"/>
      <c r="O16" s="92"/>
      <c r="P16" s="92"/>
      <c r="R16" s="92"/>
    </row>
    <row r="17" spans="1:18" ht="105" customHeight="1">
      <c r="A17" s="17" t="e">
        <f>+MRS!#REF!</f>
        <v>#REF!</v>
      </c>
      <c r="B17" s="158" t="e">
        <f>MRS!#REF!</f>
        <v>#REF!</v>
      </c>
      <c r="C17" s="159"/>
      <c r="D17" s="160" t="e">
        <f>MRS!#REF!</f>
        <v>#REF!</v>
      </c>
      <c r="E17" s="161"/>
      <c r="F17" s="162"/>
      <c r="G17" s="89" t="e">
        <f>MRS!#REF!</f>
        <v>#REF!</v>
      </c>
      <c r="H17" s="89" t="e">
        <f>MRS!#REF!</f>
        <v>#REF!</v>
      </c>
      <c r="I17" s="90" t="e">
        <f>MRS!#REF!</f>
        <v>#REF!</v>
      </c>
      <c r="J17" s="90" t="e">
        <f>MRS!#REF!</f>
        <v>#REF!</v>
      </c>
      <c r="K17" s="91"/>
      <c r="O17" s="92"/>
      <c r="P17" s="92"/>
      <c r="R17" s="92"/>
    </row>
    <row r="18" spans="1:18" ht="105" customHeight="1">
      <c r="A18" s="17" t="e">
        <f>+MRS!#REF!</f>
        <v>#REF!</v>
      </c>
      <c r="B18" s="158" t="e">
        <f>MRS!#REF!</f>
        <v>#REF!</v>
      </c>
      <c r="C18" s="159"/>
      <c r="D18" s="160" t="e">
        <f>MRS!#REF!</f>
        <v>#REF!</v>
      </c>
      <c r="E18" s="161"/>
      <c r="F18" s="162"/>
      <c r="G18" s="89" t="e">
        <f>MRS!#REF!</f>
        <v>#REF!</v>
      </c>
      <c r="H18" s="89" t="e">
        <f>MRS!#REF!</f>
        <v>#REF!</v>
      </c>
      <c r="I18" s="90" t="e">
        <f>MRS!#REF!</f>
        <v>#REF!</v>
      </c>
      <c r="J18" s="90" t="e">
        <f>MRS!#REF!</f>
        <v>#REF!</v>
      </c>
      <c r="K18" s="91"/>
      <c r="O18" s="92"/>
      <c r="P18" s="92"/>
      <c r="R18" s="92"/>
    </row>
    <row r="19" spans="1:18" ht="105" customHeight="1">
      <c r="A19" s="17" t="e">
        <f>+MRS!#REF!</f>
        <v>#REF!</v>
      </c>
      <c r="B19" s="158" t="e">
        <f>MRS!#REF!</f>
        <v>#REF!</v>
      </c>
      <c r="C19" s="159"/>
      <c r="D19" s="160" t="e">
        <f>MRS!#REF!</f>
        <v>#REF!</v>
      </c>
      <c r="E19" s="161"/>
      <c r="F19" s="162"/>
      <c r="G19" s="89" t="e">
        <f>MRS!#REF!</f>
        <v>#REF!</v>
      </c>
      <c r="H19" s="89" t="e">
        <f>MRS!#REF!</f>
        <v>#REF!</v>
      </c>
      <c r="I19" s="90" t="e">
        <f>MRS!#REF!</f>
        <v>#REF!</v>
      </c>
      <c r="J19" s="90" t="e">
        <f>MRS!#REF!</f>
        <v>#REF!</v>
      </c>
      <c r="K19" s="91"/>
      <c r="O19" s="92"/>
      <c r="P19" s="92"/>
      <c r="R19" s="92"/>
    </row>
    <row r="20" spans="1:18" ht="105" customHeight="1">
      <c r="A20" s="17" t="e">
        <f>+MRS!#REF!</f>
        <v>#REF!</v>
      </c>
      <c r="B20" s="158" t="e">
        <f>MRS!#REF!</f>
        <v>#REF!</v>
      </c>
      <c r="C20" s="159"/>
      <c r="D20" s="160" t="e">
        <f>MRS!#REF!</f>
        <v>#REF!</v>
      </c>
      <c r="E20" s="161"/>
      <c r="F20" s="162"/>
      <c r="G20" s="89" t="e">
        <f>MRS!#REF!</f>
        <v>#REF!</v>
      </c>
      <c r="H20" s="89" t="e">
        <f>MRS!#REF!</f>
        <v>#REF!</v>
      </c>
      <c r="I20" s="90" t="e">
        <f>MRS!#REF!</f>
        <v>#REF!</v>
      </c>
      <c r="J20" s="90" t="e">
        <f>MRS!#REF!</f>
        <v>#REF!</v>
      </c>
      <c r="K20" s="91"/>
      <c r="O20" s="92"/>
      <c r="P20" s="92"/>
      <c r="R20" s="92"/>
    </row>
    <row r="21" spans="1:18" ht="105" customHeight="1">
      <c r="A21" s="17" t="e">
        <f>+MRS!#REF!</f>
        <v>#REF!</v>
      </c>
      <c r="B21" s="158" t="e">
        <f>MRS!#REF!</f>
        <v>#REF!</v>
      </c>
      <c r="C21" s="159"/>
      <c r="D21" s="160" t="e">
        <f>MRS!#REF!</f>
        <v>#REF!</v>
      </c>
      <c r="E21" s="161"/>
      <c r="F21" s="162"/>
      <c r="G21" s="89" t="e">
        <f>MRS!#REF!</f>
        <v>#REF!</v>
      </c>
      <c r="H21" s="89" t="e">
        <f>MRS!#REF!</f>
        <v>#REF!</v>
      </c>
      <c r="I21" s="90" t="e">
        <f>MRS!#REF!</f>
        <v>#REF!</v>
      </c>
      <c r="J21" s="90" t="e">
        <f>MRS!#REF!</f>
        <v>#REF!</v>
      </c>
      <c r="K21" s="91"/>
      <c r="O21" s="92"/>
      <c r="P21" s="92"/>
      <c r="R21" s="92"/>
    </row>
    <row r="22" spans="1:18" ht="105" customHeight="1">
      <c r="A22" s="17" t="e">
        <f>+MRS!#REF!</f>
        <v>#REF!</v>
      </c>
      <c r="B22" s="158" t="e">
        <f>MRS!#REF!</f>
        <v>#REF!</v>
      </c>
      <c r="C22" s="159"/>
      <c r="D22" s="160" t="e">
        <f>MRS!#REF!</f>
        <v>#REF!</v>
      </c>
      <c r="E22" s="161"/>
      <c r="F22" s="162"/>
      <c r="G22" s="89" t="e">
        <f>MRS!#REF!</f>
        <v>#REF!</v>
      </c>
      <c r="H22" s="89" t="e">
        <f>MRS!#REF!</f>
        <v>#REF!</v>
      </c>
      <c r="I22" s="90" t="e">
        <f>MRS!#REF!</f>
        <v>#REF!</v>
      </c>
      <c r="J22" s="90" t="e">
        <f>MRS!#REF!</f>
        <v>#REF!</v>
      </c>
      <c r="K22" s="91"/>
      <c r="O22" s="92"/>
      <c r="P22" s="92"/>
      <c r="R22" s="92"/>
    </row>
    <row r="23" spans="1:18" ht="105" customHeight="1">
      <c r="A23" s="17" t="e">
        <f>+MRS!#REF!</f>
        <v>#REF!</v>
      </c>
      <c r="B23" s="158" t="e">
        <f>MRS!#REF!</f>
        <v>#REF!</v>
      </c>
      <c r="C23" s="159"/>
      <c r="D23" s="160" t="e">
        <f>MRS!#REF!</f>
        <v>#REF!</v>
      </c>
      <c r="E23" s="161"/>
      <c r="F23" s="162"/>
      <c r="G23" s="89" t="e">
        <f>MRS!#REF!</f>
        <v>#REF!</v>
      </c>
      <c r="H23" s="89" t="e">
        <f>MRS!#REF!</f>
        <v>#REF!</v>
      </c>
      <c r="I23" s="90" t="e">
        <f>MRS!#REF!</f>
        <v>#REF!</v>
      </c>
      <c r="J23" s="90" t="e">
        <f>MRS!#REF!</f>
        <v>#REF!</v>
      </c>
      <c r="K23" s="91"/>
      <c r="O23" s="92"/>
      <c r="P23" s="92"/>
      <c r="R23" s="92"/>
    </row>
    <row r="24" spans="1:18" ht="105" customHeight="1">
      <c r="A24" s="17" t="e">
        <f>+MRS!#REF!</f>
        <v>#REF!</v>
      </c>
      <c r="B24" s="158" t="e">
        <f>MRS!#REF!</f>
        <v>#REF!</v>
      </c>
      <c r="C24" s="159"/>
      <c r="D24" s="160" t="e">
        <f>MRS!#REF!</f>
        <v>#REF!</v>
      </c>
      <c r="E24" s="161"/>
      <c r="F24" s="162"/>
      <c r="G24" s="89" t="e">
        <f>MRS!#REF!</f>
        <v>#REF!</v>
      </c>
      <c r="H24" s="89" t="e">
        <f>MRS!#REF!</f>
        <v>#REF!</v>
      </c>
      <c r="I24" s="90" t="e">
        <f>MRS!#REF!</f>
        <v>#REF!</v>
      </c>
      <c r="J24" s="90" t="e">
        <f>MRS!#REF!</f>
        <v>#REF!</v>
      </c>
      <c r="K24" s="91"/>
      <c r="O24" s="92"/>
      <c r="P24" s="92"/>
      <c r="R24" s="92"/>
    </row>
    <row r="25" spans="1:18" ht="105" customHeight="1">
      <c r="A25" s="17" t="e">
        <f>+MRS!#REF!</f>
        <v>#REF!</v>
      </c>
      <c r="B25" s="158" t="e">
        <f>MRS!#REF!</f>
        <v>#REF!</v>
      </c>
      <c r="C25" s="159"/>
      <c r="D25" s="160" t="e">
        <f>MRS!#REF!</f>
        <v>#REF!</v>
      </c>
      <c r="E25" s="161"/>
      <c r="F25" s="162"/>
      <c r="G25" s="89" t="e">
        <f>MRS!#REF!</f>
        <v>#REF!</v>
      </c>
      <c r="H25" s="89" t="e">
        <f>MRS!#REF!</f>
        <v>#REF!</v>
      </c>
      <c r="I25" s="90" t="e">
        <f>MRS!#REF!</f>
        <v>#REF!</v>
      </c>
      <c r="J25" s="90" t="e">
        <f>MRS!#REF!</f>
        <v>#REF!</v>
      </c>
      <c r="K25" s="91"/>
      <c r="O25" s="92"/>
      <c r="P25" s="92"/>
      <c r="R25" s="92"/>
    </row>
    <row r="26" spans="1:18" ht="105" customHeight="1">
      <c r="A26" s="17" t="e">
        <f>+MRS!#REF!</f>
        <v>#REF!</v>
      </c>
      <c r="B26" s="158" t="e">
        <f>MRS!#REF!</f>
        <v>#REF!</v>
      </c>
      <c r="C26" s="159"/>
      <c r="D26" s="160" t="e">
        <f>MRS!#REF!</f>
        <v>#REF!</v>
      </c>
      <c r="E26" s="161"/>
      <c r="F26" s="162"/>
      <c r="G26" s="89" t="e">
        <f>MRS!#REF!</f>
        <v>#REF!</v>
      </c>
      <c r="H26" s="89" t="e">
        <f>MRS!#REF!</f>
        <v>#REF!</v>
      </c>
      <c r="I26" s="90" t="e">
        <f>MRS!#REF!</f>
        <v>#REF!</v>
      </c>
      <c r="J26" s="90" t="e">
        <f>MRS!#REF!</f>
        <v>#REF!</v>
      </c>
      <c r="K26" s="91"/>
      <c r="O26" s="92"/>
      <c r="P26" s="92"/>
      <c r="R26" s="92"/>
    </row>
    <row r="27" spans="1:18" ht="105" customHeight="1">
      <c r="A27" s="17" t="e">
        <f>+MRS!#REF!</f>
        <v>#REF!</v>
      </c>
      <c r="B27" s="158" t="e">
        <f>MRS!#REF!</f>
        <v>#REF!</v>
      </c>
      <c r="C27" s="159"/>
      <c r="D27" s="160" t="e">
        <f>MRS!#REF!</f>
        <v>#REF!</v>
      </c>
      <c r="E27" s="161"/>
      <c r="F27" s="162"/>
      <c r="G27" s="89" t="e">
        <f>MRS!#REF!</f>
        <v>#REF!</v>
      </c>
      <c r="H27" s="89" t="e">
        <f>MRS!#REF!</f>
        <v>#REF!</v>
      </c>
      <c r="I27" s="90" t="e">
        <f>MRS!#REF!</f>
        <v>#REF!</v>
      </c>
      <c r="J27" s="90" t="e">
        <f>MRS!#REF!</f>
        <v>#REF!</v>
      </c>
      <c r="K27" s="91"/>
      <c r="O27" s="92"/>
      <c r="P27" s="92"/>
      <c r="R27" s="92"/>
    </row>
    <row r="28" spans="1:18" ht="105" customHeight="1">
      <c r="A28" s="17" t="e">
        <f>+MRS!#REF!</f>
        <v>#REF!</v>
      </c>
      <c r="B28" s="158" t="e">
        <f>MRS!#REF!</f>
        <v>#REF!</v>
      </c>
      <c r="C28" s="159"/>
      <c r="D28" s="160" t="e">
        <f>MRS!#REF!</f>
        <v>#REF!</v>
      </c>
      <c r="E28" s="161"/>
      <c r="F28" s="162"/>
      <c r="G28" s="89" t="e">
        <f>MRS!#REF!</f>
        <v>#REF!</v>
      </c>
      <c r="H28" s="89" t="e">
        <f>MRS!#REF!</f>
        <v>#REF!</v>
      </c>
      <c r="I28" s="90" t="e">
        <f>MRS!#REF!</f>
        <v>#REF!</v>
      </c>
      <c r="J28" s="90" t="e">
        <f>MRS!#REF!</f>
        <v>#REF!</v>
      </c>
      <c r="K28" s="91"/>
      <c r="O28" s="92"/>
      <c r="P28" s="92"/>
      <c r="R28" s="92"/>
    </row>
    <row r="29" spans="1:18" ht="105" customHeight="1">
      <c r="A29" s="17" t="e">
        <f>+MRS!#REF!</f>
        <v>#REF!</v>
      </c>
      <c r="B29" s="158" t="e">
        <f>MRS!#REF!</f>
        <v>#REF!</v>
      </c>
      <c r="C29" s="159"/>
      <c r="D29" s="160" t="e">
        <f>MRS!#REF!</f>
        <v>#REF!</v>
      </c>
      <c r="E29" s="161"/>
      <c r="F29" s="162"/>
      <c r="G29" s="89" t="e">
        <f>MRS!#REF!</f>
        <v>#REF!</v>
      </c>
      <c r="H29" s="89" t="e">
        <f>MRS!#REF!</f>
        <v>#REF!</v>
      </c>
      <c r="I29" s="90" t="e">
        <f>MRS!#REF!</f>
        <v>#REF!</v>
      </c>
      <c r="J29" s="90" t="e">
        <f>MRS!#REF!</f>
        <v>#REF!</v>
      </c>
      <c r="K29" s="91"/>
      <c r="O29" s="92"/>
      <c r="P29" s="92"/>
      <c r="R29" s="92"/>
    </row>
    <row r="30" spans="1:18" ht="105" customHeight="1">
      <c r="A30" s="17" t="e">
        <f>+MRS!#REF!</f>
        <v>#REF!</v>
      </c>
      <c r="B30" s="158" t="e">
        <f>MRS!#REF!</f>
        <v>#REF!</v>
      </c>
      <c r="C30" s="159"/>
      <c r="D30" s="160" t="e">
        <f>MRS!#REF!</f>
        <v>#REF!</v>
      </c>
      <c r="E30" s="161"/>
      <c r="F30" s="162"/>
      <c r="G30" s="89" t="e">
        <f>MRS!#REF!</f>
        <v>#REF!</v>
      </c>
      <c r="H30" s="89" t="e">
        <f>MRS!#REF!</f>
        <v>#REF!</v>
      </c>
      <c r="I30" s="90" t="e">
        <f>MRS!#REF!</f>
        <v>#REF!</v>
      </c>
      <c r="J30" s="90" t="e">
        <f>MRS!#REF!</f>
        <v>#REF!</v>
      </c>
      <c r="K30" s="91"/>
      <c r="O30" s="92"/>
      <c r="P30" s="92"/>
      <c r="R30" s="92"/>
    </row>
    <row r="31" spans="1:18" ht="105" customHeight="1">
      <c r="A31" s="17" t="e">
        <f>+MRS!#REF!</f>
        <v>#REF!</v>
      </c>
      <c r="B31" s="158" t="e">
        <f>MRS!#REF!</f>
        <v>#REF!</v>
      </c>
      <c r="C31" s="159"/>
      <c r="D31" s="160" t="e">
        <f>MRS!#REF!</f>
        <v>#REF!</v>
      </c>
      <c r="E31" s="161"/>
      <c r="F31" s="162"/>
      <c r="G31" s="89" t="e">
        <f>MRS!#REF!</f>
        <v>#REF!</v>
      </c>
      <c r="H31" s="89" t="e">
        <f>MRS!#REF!</f>
        <v>#REF!</v>
      </c>
      <c r="I31" s="90" t="e">
        <f>MRS!#REF!</f>
        <v>#REF!</v>
      </c>
      <c r="J31" s="90" t="e">
        <f>MRS!#REF!</f>
        <v>#REF!</v>
      </c>
      <c r="K31" s="91"/>
      <c r="O31" s="92"/>
      <c r="P31" s="92"/>
      <c r="R31" s="92"/>
    </row>
    <row r="32" spans="1:18" ht="105" customHeight="1">
      <c r="A32" s="17" t="e">
        <f>+MRS!#REF!</f>
        <v>#REF!</v>
      </c>
      <c r="B32" s="158" t="e">
        <f>MRS!#REF!</f>
        <v>#REF!</v>
      </c>
      <c r="C32" s="159"/>
      <c r="D32" s="160" t="e">
        <f>MRS!#REF!</f>
        <v>#REF!</v>
      </c>
      <c r="E32" s="161"/>
      <c r="F32" s="162"/>
      <c r="G32" s="89" t="e">
        <f>MRS!#REF!</f>
        <v>#REF!</v>
      </c>
      <c r="H32" s="89" t="e">
        <f>MRS!#REF!</f>
        <v>#REF!</v>
      </c>
      <c r="I32" s="90" t="e">
        <f>MRS!#REF!</f>
        <v>#REF!</v>
      </c>
      <c r="J32" s="90" t="e">
        <f>MRS!#REF!</f>
        <v>#REF!</v>
      </c>
      <c r="K32" s="91"/>
      <c r="O32" s="92"/>
      <c r="P32" s="92"/>
      <c r="R32" s="92"/>
    </row>
    <row r="33" spans="1:18" ht="105" customHeight="1">
      <c r="A33" s="17" t="e">
        <f>+MRS!#REF!</f>
        <v>#REF!</v>
      </c>
      <c r="B33" s="158" t="e">
        <f>MRS!#REF!</f>
        <v>#REF!</v>
      </c>
      <c r="C33" s="159"/>
      <c r="D33" s="160" t="e">
        <f>MRS!#REF!</f>
        <v>#REF!</v>
      </c>
      <c r="E33" s="161"/>
      <c r="F33" s="162"/>
      <c r="G33" s="89" t="e">
        <f>MRS!#REF!</f>
        <v>#REF!</v>
      </c>
      <c r="H33" s="89" t="e">
        <f>MRS!#REF!</f>
        <v>#REF!</v>
      </c>
      <c r="I33" s="90" t="e">
        <f>MRS!#REF!</f>
        <v>#REF!</v>
      </c>
      <c r="J33" s="90" t="e">
        <f>MRS!#REF!</f>
        <v>#REF!</v>
      </c>
      <c r="K33" s="91"/>
      <c r="O33" s="92"/>
      <c r="P33" s="92"/>
      <c r="R33" s="92"/>
    </row>
    <row r="34" spans="1:18" ht="105" customHeight="1">
      <c r="A34" s="17" t="e">
        <f>+MRS!#REF!</f>
        <v>#REF!</v>
      </c>
      <c r="B34" s="158" t="e">
        <f>MRS!#REF!</f>
        <v>#REF!</v>
      </c>
      <c r="C34" s="159"/>
      <c r="D34" s="160" t="e">
        <f>MRS!#REF!</f>
        <v>#REF!</v>
      </c>
      <c r="E34" s="161"/>
      <c r="F34" s="162"/>
      <c r="G34" s="89" t="e">
        <f>MRS!#REF!</f>
        <v>#REF!</v>
      </c>
      <c r="H34" s="89" t="e">
        <f>MRS!#REF!</f>
        <v>#REF!</v>
      </c>
      <c r="I34" s="90" t="e">
        <f>MRS!#REF!</f>
        <v>#REF!</v>
      </c>
      <c r="J34" s="90" t="e">
        <f>MRS!#REF!</f>
        <v>#REF!</v>
      </c>
      <c r="K34" s="91"/>
      <c r="O34" s="92"/>
      <c r="P34" s="92"/>
      <c r="R34" s="92"/>
    </row>
    <row r="35" spans="1:18" ht="105" customHeight="1">
      <c r="A35" s="17" t="e">
        <f>+MRS!#REF!</f>
        <v>#REF!</v>
      </c>
      <c r="B35" s="158" t="e">
        <f>MRS!#REF!</f>
        <v>#REF!</v>
      </c>
      <c r="C35" s="159"/>
      <c r="D35" s="160" t="e">
        <f>MRS!#REF!</f>
        <v>#REF!</v>
      </c>
      <c r="E35" s="161"/>
      <c r="F35" s="162"/>
      <c r="G35" s="89" t="e">
        <f>MRS!#REF!</f>
        <v>#REF!</v>
      </c>
      <c r="H35" s="89" t="e">
        <f>MRS!#REF!</f>
        <v>#REF!</v>
      </c>
      <c r="I35" s="90" t="e">
        <f>MRS!#REF!</f>
        <v>#REF!</v>
      </c>
      <c r="J35" s="90" t="e">
        <f>MRS!#REF!</f>
        <v>#REF!</v>
      </c>
      <c r="K35" s="91"/>
      <c r="O35" s="92"/>
      <c r="P35" s="92"/>
      <c r="R35" s="92"/>
    </row>
    <row r="36" spans="1:18" ht="105" customHeight="1">
      <c r="A36" s="17" t="e">
        <f>+MRS!#REF!</f>
        <v>#REF!</v>
      </c>
      <c r="B36" s="158" t="e">
        <f>MRS!#REF!</f>
        <v>#REF!</v>
      </c>
      <c r="C36" s="159"/>
      <c r="D36" s="160" t="e">
        <f>MRS!#REF!</f>
        <v>#REF!</v>
      </c>
      <c r="E36" s="161"/>
      <c r="F36" s="162"/>
      <c r="G36" s="89" t="e">
        <f>MRS!#REF!</f>
        <v>#REF!</v>
      </c>
      <c r="H36" s="89" t="e">
        <f>MRS!#REF!</f>
        <v>#REF!</v>
      </c>
      <c r="I36" s="90" t="e">
        <f>MRS!#REF!</f>
        <v>#REF!</v>
      </c>
      <c r="J36" s="90" t="e">
        <f>MRS!#REF!</f>
        <v>#REF!</v>
      </c>
      <c r="K36" s="91"/>
      <c r="O36" s="92"/>
      <c r="P36" s="92"/>
      <c r="R36" s="92"/>
    </row>
    <row r="37" spans="1:18" ht="105" customHeight="1">
      <c r="A37" s="17" t="e">
        <f>+MRS!#REF!</f>
        <v>#REF!</v>
      </c>
      <c r="B37" s="158" t="e">
        <f>MRS!#REF!</f>
        <v>#REF!</v>
      </c>
      <c r="C37" s="159"/>
      <c r="D37" s="160" t="e">
        <f>MRS!#REF!</f>
        <v>#REF!</v>
      </c>
      <c r="E37" s="161"/>
      <c r="F37" s="162"/>
      <c r="G37" s="89" t="e">
        <f>MRS!#REF!</f>
        <v>#REF!</v>
      </c>
      <c r="H37" s="89" t="e">
        <f>MRS!#REF!</f>
        <v>#REF!</v>
      </c>
      <c r="I37" s="90" t="e">
        <f>MRS!#REF!</f>
        <v>#REF!</v>
      </c>
      <c r="J37" s="90" t="e">
        <f>MRS!#REF!</f>
        <v>#REF!</v>
      </c>
      <c r="K37" s="91"/>
      <c r="O37" s="92"/>
      <c r="P37" s="92"/>
      <c r="R37" s="92"/>
    </row>
    <row r="38" spans="1:18" ht="105" customHeight="1">
      <c r="A38" s="17" t="e">
        <f>+MRS!#REF!</f>
        <v>#REF!</v>
      </c>
      <c r="B38" s="158" t="e">
        <f>MRS!#REF!</f>
        <v>#REF!</v>
      </c>
      <c r="C38" s="159"/>
      <c r="D38" s="160" t="e">
        <f>MRS!#REF!</f>
        <v>#REF!</v>
      </c>
      <c r="E38" s="161"/>
      <c r="F38" s="162"/>
      <c r="G38" s="89" t="e">
        <f>MRS!#REF!</f>
        <v>#REF!</v>
      </c>
      <c r="H38" s="89" t="e">
        <f>MRS!#REF!</f>
        <v>#REF!</v>
      </c>
      <c r="I38" s="90" t="e">
        <f>MRS!#REF!</f>
        <v>#REF!</v>
      </c>
      <c r="J38" s="90" t="e">
        <f>MRS!#REF!</f>
        <v>#REF!</v>
      </c>
      <c r="K38" s="91"/>
      <c r="O38" s="92"/>
      <c r="P38" s="92"/>
      <c r="R38" s="92"/>
    </row>
    <row r="39" spans="1:18" ht="105" customHeight="1">
      <c r="A39" s="17" t="e">
        <f>+MRS!#REF!</f>
        <v>#REF!</v>
      </c>
      <c r="B39" s="158" t="e">
        <f>MRS!#REF!</f>
        <v>#REF!</v>
      </c>
      <c r="C39" s="159"/>
      <c r="D39" s="160" t="e">
        <f>MRS!#REF!</f>
        <v>#REF!</v>
      </c>
      <c r="E39" s="161"/>
      <c r="F39" s="162"/>
      <c r="G39" s="89" t="e">
        <f>MRS!#REF!</f>
        <v>#REF!</v>
      </c>
      <c r="H39" s="89" t="e">
        <f>MRS!#REF!</f>
        <v>#REF!</v>
      </c>
      <c r="I39" s="90" t="e">
        <f>MRS!#REF!</f>
        <v>#REF!</v>
      </c>
      <c r="J39" s="90" t="e">
        <f>MRS!#REF!</f>
        <v>#REF!</v>
      </c>
      <c r="K39" s="91"/>
      <c r="O39" s="92"/>
      <c r="P39" s="92"/>
      <c r="R39" s="92"/>
    </row>
    <row r="40" spans="1:18" ht="105" customHeight="1">
      <c r="A40" s="17" t="e">
        <f>+MRS!#REF!</f>
        <v>#REF!</v>
      </c>
      <c r="B40" s="158" t="e">
        <f>MRS!#REF!</f>
        <v>#REF!</v>
      </c>
      <c r="C40" s="159"/>
      <c r="D40" s="160" t="e">
        <f>MRS!#REF!</f>
        <v>#REF!</v>
      </c>
      <c r="E40" s="161"/>
      <c r="F40" s="162"/>
      <c r="G40" s="89" t="e">
        <f>MRS!#REF!</f>
        <v>#REF!</v>
      </c>
      <c r="H40" s="89" t="e">
        <f>MRS!#REF!</f>
        <v>#REF!</v>
      </c>
      <c r="I40" s="90" t="e">
        <f>MRS!#REF!</f>
        <v>#REF!</v>
      </c>
      <c r="J40" s="90" t="e">
        <f>MRS!#REF!</f>
        <v>#REF!</v>
      </c>
      <c r="K40" s="91"/>
      <c r="O40" s="92"/>
      <c r="P40" s="92"/>
      <c r="R40" s="92"/>
    </row>
    <row r="41" spans="1:18" ht="105" customHeight="1">
      <c r="A41" s="17" t="e">
        <f>+MRS!#REF!</f>
        <v>#REF!</v>
      </c>
      <c r="B41" s="158" t="e">
        <f>MRS!#REF!</f>
        <v>#REF!</v>
      </c>
      <c r="C41" s="159"/>
      <c r="D41" s="160" t="e">
        <f>MRS!#REF!</f>
        <v>#REF!</v>
      </c>
      <c r="E41" s="161"/>
      <c r="F41" s="162"/>
      <c r="G41" s="89" t="e">
        <f>MRS!#REF!</f>
        <v>#REF!</v>
      </c>
      <c r="H41" s="89" t="e">
        <f>MRS!#REF!</f>
        <v>#REF!</v>
      </c>
      <c r="I41" s="90" t="e">
        <f>MRS!#REF!</f>
        <v>#REF!</v>
      </c>
      <c r="J41" s="90" t="e">
        <f>MRS!#REF!</f>
        <v>#REF!</v>
      </c>
      <c r="K41" s="91"/>
      <c r="O41" s="92"/>
      <c r="P41" s="92"/>
      <c r="R41" s="92"/>
    </row>
    <row r="42" spans="1:18" ht="105" customHeight="1">
      <c r="A42" s="17" t="e">
        <f>+MRS!#REF!</f>
        <v>#REF!</v>
      </c>
      <c r="B42" s="158" t="e">
        <f>MRS!#REF!</f>
        <v>#REF!</v>
      </c>
      <c r="C42" s="159"/>
      <c r="D42" s="160" t="e">
        <f>MRS!#REF!</f>
        <v>#REF!</v>
      </c>
      <c r="E42" s="161"/>
      <c r="F42" s="162"/>
      <c r="G42" s="89" t="e">
        <f>MRS!#REF!</f>
        <v>#REF!</v>
      </c>
      <c r="H42" s="89" t="e">
        <f>MRS!#REF!</f>
        <v>#REF!</v>
      </c>
      <c r="I42" s="90" t="e">
        <f>MRS!#REF!</f>
        <v>#REF!</v>
      </c>
      <c r="J42" s="90" t="e">
        <f>MRS!#REF!</f>
        <v>#REF!</v>
      </c>
      <c r="K42" s="91"/>
      <c r="O42" s="92"/>
      <c r="P42" s="92"/>
      <c r="R42" s="92"/>
    </row>
    <row r="43" spans="1:18" ht="105" customHeight="1">
      <c r="A43" s="17" t="e">
        <f>+MRS!#REF!</f>
        <v>#REF!</v>
      </c>
      <c r="B43" s="158" t="e">
        <f>MRS!#REF!</f>
        <v>#REF!</v>
      </c>
      <c r="C43" s="159"/>
      <c r="D43" s="160" t="e">
        <f>MRS!#REF!</f>
        <v>#REF!</v>
      </c>
      <c r="E43" s="161"/>
      <c r="F43" s="162"/>
      <c r="G43" s="89" t="e">
        <f>MRS!#REF!</f>
        <v>#REF!</v>
      </c>
      <c r="H43" s="89" t="e">
        <f>MRS!#REF!</f>
        <v>#REF!</v>
      </c>
      <c r="I43" s="90" t="e">
        <f>MRS!#REF!</f>
        <v>#REF!</v>
      </c>
      <c r="J43" s="90" t="e">
        <f>MRS!#REF!</f>
        <v>#REF!</v>
      </c>
      <c r="K43" s="91"/>
      <c r="O43" s="92"/>
      <c r="P43" s="92"/>
      <c r="R43" s="92"/>
    </row>
    <row r="44" spans="1:18" ht="105" customHeight="1">
      <c r="A44" s="17" t="e">
        <f>+MRS!#REF!</f>
        <v>#REF!</v>
      </c>
      <c r="B44" s="158" t="e">
        <f>MRS!#REF!</f>
        <v>#REF!</v>
      </c>
      <c r="C44" s="159"/>
      <c r="D44" s="160" t="e">
        <f>MRS!#REF!</f>
        <v>#REF!</v>
      </c>
      <c r="E44" s="161"/>
      <c r="F44" s="162"/>
      <c r="G44" s="89" t="e">
        <f>MRS!#REF!</f>
        <v>#REF!</v>
      </c>
      <c r="H44" s="89" t="e">
        <f>MRS!#REF!</f>
        <v>#REF!</v>
      </c>
      <c r="I44" s="90" t="e">
        <f>MRS!#REF!</f>
        <v>#REF!</v>
      </c>
      <c r="J44" s="90" t="e">
        <f>MRS!#REF!</f>
        <v>#REF!</v>
      </c>
      <c r="K44" s="91"/>
      <c r="O44" s="92"/>
      <c r="P44" s="92"/>
      <c r="R44" s="92"/>
    </row>
    <row r="45" spans="1:18" ht="105" customHeight="1">
      <c r="A45" s="17" t="e">
        <f>+MRS!#REF!</f>
        <v>#REF!</v>
      </c>
      <c r="B45" s="158" t="e">
        <f>MRS!#REF!</f>
        <v>#REF!</v>
      </c>
      <c r="C45" s="159"/>
      <c r="D45" s="160" t="e">
        <f>MRS!#REF!</f>
        <v>#REF!</v>
      </c>
      <c r="E45" s="161"/>
      <c r="F45" s="162"/>
      <c r="G45" s="89" t="e">
        <f>MRS!#REF!</f>
        <v>#REF!</v>
      </c>
      <c r="H45" s="89" t="e">
        <f>MRS!#REF!</f>
        <v>#REF!</v>
      </c>
      <c r="I45" s="90" t="e">
        <f>MRS!#REF!</f>
        <v>#REF!</v>
      </c>
      <c r="J45" s="90" t="e">
        <f>MRS!#REF!</f>
        <v>#REF!</v>
      </c>
      <c r="K45" s="91"/>
      <c r="O45" s="92"/>
      <c r="P45" s="92"/>
      <c r="R45" s="92"/>
    </row>
    <row r="46" spans="1:18" ht="105" customHeight="1">
      <c r="A46" s="17" t="e">
        <f>+MRS!#REF!</f>
        <v>#REF!</v>
      </c>
      <c r="B46" s="158" t="e">
        <f>MRS!#REF!</f>
        <v>#REF!</v>
      </c>
      <c r="C46" s="159"/>
      <c r="D46" s="160" t="e">
        <f>MRS!#REF!</f>
        <v>#REF!</v>
      </c>
      <c r="E46" s="161"/>
      <c r="F46" s="162"/>
      <c r="G46" s="89" t="e">
        <f>MRS!#REF!</f>
        <v>#REF!</v>
      </c>
      <c r="H46" s="89" t="e">
        <f>MRS!#REF!</f>
        <v>#REF!</v>
      </c>
      <c r="I46" s="90" t="e">
        <f>MRS!#REF!</f>
        <v>#REF!</v>
      </c>
      <c r="J46" s="90" t="e">
        <f>MRS!#REF!</f>
        <v>#REF!</v>
      </c>
      <c r="K46" s="91"/>
      <c r="O46" s="92"/>
      <c r="P46" s="92"/>
      <c r="R46" s="92"/>
    </row>
    <row r="47" spans="1:18" ht="105" customHeight="1">
      <c r="A47" s="17" t="e">
        <f>+MRS!#REF!</f>
        <v>#REF!</v>
      </c>
      <c r="B47" s="158" t="e">
        <f>MRS!#REF!</f>
        <v>#REF!</v>
      </c>
      <c r="C47" s="159"/>
      <c r="D47" s="160" t="e">
        <f>MRS!#REF!</f>
        <v>#REF!</v>
      </c>
      <c r="E47" s="161"/>
      <c r="F47" s="162"/>
      <c r="G47" s="89" t="e">
        <f>MRS!#REF!</f>
        <v>#REF!</v>
      </c>
      <c r="H47" s="89" t="e">
        <f>MRS!#REF!</f>
        <v>#REF!</v>
      </c>
      <c r="I47" s="90" t="e">
        <f>MRS!#REF!</f>
        <v>#REF!</v>
      </c>
      <c r="J47" s="90" t="e">
        <f>MRS!#REF!</f>
        <v>#REF!</v>
      </c>
      <c r="K47" s="91"/>
      <c r="O47" s="92"/>
      <c r="P47" s="92"/>
      <c r="R47" s="92"/>
    </row>
    <row r="48" spans="1:18" ht="105" customHeight="1">
      <c r="A48" s="17" t="e">
        <f>+MRS!#REF!</f>
        <v>#REF!</v>
      </c>
      <c r="B48" s="158" t="e">
        <f>MRS!#REF!</f>
        <v>#REF!</v>
      </c>
      <c r="C48" s="159"/>
      <c r="D48" s="160" t="e">
        <f>MRS!#REF!</f>
        <v>#REF!</v>
      </c>
      <c r="E48" s="161"/>
      <c r="F48" s="162"/>
      <c r="G48" s="89" t="e">
        <f>MRS!#REF!</f>
        <v>#REF!</v>
      </c>
      <c r="H48" s="89" t="e">
        <f>MRS!#REF!</f>
        <v>#REF!</v>
      </c>
      <c r="I48" s="90" t="e">
        <f>MRS!#REF!</f>
        <v>#REF!</v>
      </c>
      <c r="J48" s="90" t="e">
        <f>MRS!#REF!</f>
        <v>#REF!</v>
      </c>
      <c r="K48" s="91"/>
      <c r="O48" s="92"/>
      <c r="P48" s="92"/>
      <c r="R48" s="92"/>
    </row>
    <row r="49" spans="1:18" ht="105" customHeight="1">
      <c r="A49" s="17" t="e">
        <f>+MRS!#REF!</f>
        <v>#REF!</v>
      </c>
      <c r="B49" s="158" t="e">
        <f>MRS!#REF!</f>
        <v>#REF!</v>
      </c>
      <c r="C49" s="159"/>
      <c r="D49" s="160" t="e">
        <f>MRS!#REF!</f>
        <v>#REF!</v>
      </c>
      <c r="E49" s="161"/>
      <c r="F49" s="162"/>
      <c r="G49" s="89" t="e">
        <f>MRS!#REF!</f>
        <v>#REF!</v>
      </c>
      <c r="H49" s="89" t="e">
        <f>MRS!#REF!</f>
        <v>#REF!</v>
      </c>
      <c r="I49" s="90" t="e">
        <f>MRS!#REF!</f>
        <v>#REF!</v>
      </c>
      <c r="J49" s="90" t="e">
        <f>MRS!#REF!</f>
        <v>#REF!</v>
      </c>
      <c r="K49" s="91"/>
      <c r="O49" s="92"/>
      <c r="P49" s="92"/>
      <c r="R49" s="92"/>
    </row>
    <row r="50" spans="1:18" ht="105" customHeight="1">
      <c r="A50" s="17" t="e">
        <f>+MRS!#REF!</f>
        <v>#REF!</v>
      </c>
      <c r="B50" s="158" t="e">
        <f>MRS!#REF!</f>
        <v>#REF!</v>
      </c>
      <c r="C50" s="159"/>
      <c r="D50" s="160" t="e">
        <f>MRS!#REF!</f>
        <v>#REF!</v>
      </c>
      <c r="E50" s="161"/>
      <c r="F50" s="162"/>
      <c r="G50" s="89" t="e">
        <f>MRS!#REF!</f>
        <v>#REF!</v>
      </c>
      <c r="H50" s="89" t="e">
        <f>MRS!#REF!</f>
        <v>#REF!</v>
      </c>
      <c r="I50" s="90" t="e">
        <f>MRS!#REF!</f>
        <v>#REF!</v>
      </c>
      <c r="J50" s="90" t="e">
        <f>MRS!#REF!</f>
        <v>#REF!</v>
      </c>
      <c r="K50" s="91"/>
      <c r="O50" s="92"/>
      <c r="P50" s="92"/>
      <c r="R50" s="92"/>
    </row>
    <row r="51" spans="1:18" ht="105" customHeight="1">
      <c r="A51" s="17" t="e">
        <f>+MRS!#REF!</f>
        <v>#REF!</v>
      </c>
      <c r="B51" s="158" t="e">
        <f>MRS!#REF!</f>
        <v>#REF!</v>
      </c>
      <c r="C51" s="159"/>
      <c r="D51" s="160" t="e">
        <f>MRS!#REF!</f>
        <v>#REF!</v>
      </c>
      <c r="E51" s="161"/>
      <c r="F51" s="162"/>
      <c r="G51" s="89" t="e">
        <f>MRS!#REF!</f>
        <v>#REF!</v>
      </c>
      <c r="H51" s="89" t="e">
        <f>MRS!#REF!</f>
        <v>#REF!</v>
      </c>
      <c r="I51" s="90" t="e">
        <f>MRS!#REF!</f>
        <v>#REF!</v>
      </c>
      <c r="J51" s="90" t="e">
        <f>MRS!#REF!</f>
        <v>#REF!</v>
      </c>
      <c r="K51" s="91"/>
      <c r="O51" s="92"/>
      <c r="P51" s="92"/>
      <c r="R51" s="92"/>
    </row>
    <row r="52" spans="1:18" ht="105" customHeight="1">
      <c r="A52" s="17" t="e">
        <f>+MRS!#REF!</f>
        <v>#REF!</v>
      </c>
      <c r="B52" s="158" t="e">
        <f>MRS!#REF!</f>
        <v>#REF!</v>
      </c>
      <c r="C52" s="159"/>
      <c r="D52" s="160" t="e">
        <f>MRS!#REF!</f>
        <v>#REF!</v>
      </c>
      <c r="E52" s="161"/>
      <c r="F52" s="162"/>
      <c r="G52" s="89" t="e">
        <f>MRS!#REF!</f>
        <v>#REF!</v>
      </c>
      <c r="H52" s="89" t="e">
        <f>MRS!#REF!</f>
        <v>#REF!</v>
      </c>
      <c r="I52" s="90" t="e">
        <f>MRS!#REF!</f>
        <v>#REF!</v>
      </c>
      <c r="J52" s="90" t="e">
        <f>MRS!#REF!</f>
        <v>#REF!</v>
      </c>
      <c r="K52" s="91"/>
      <c r="O52" s="92"/>
      <c r="P52" s="92"/>
      <c r="R52" s="92"/>
    </row>
    <row r="53" spans="1:18" ht="105" customHeight="1">
      <c r="A53" s="17" t="e">
        <f>+MRS!#REF!</f>
        <v>#REF!</v>
      </c>
      <c r="B53" s="158" t="e">
        <f>MRS!#REF!</f>
        <v>#REF!</v>
      </c>
      <c r="C53" s="159"/>
      <c r="D53" s="160" t="e">
        <f>MRS!#REF!</f>
        <v>#REF!</v>
      </c>
      <c r="E53" s="161"/>
      <c r="F53" s="162"/>
      <c r="G53" s="89" t="e">
        <f>MRS!#REF!</f>
        <v>#REF!</v>
      </c>
      <c r="H53" s="89" t="e">
        <f>MRS!#REF!</f>
        <v>#REF!</v>
      </c>
      <c r="I53" s="90" t="e">
        <f>MRS!#REF!</f>
        <v>#REF!</v>
      </c>
      <c r="J53" s="90" t="e">
        <f>MRS!#REF!</f>
        <v>#REF!</v>
      </c>
      <c r="K53" s="91"/>
      <c r="O53" s="92"/>
      <c r="P53" s="92"/>
      <c r="R53" s="92"/>
    </row>
    <row r="54" spans="1:18" ht="105" customHeight="1">
      <c r="A54" s="17" t="e">
        <f>+MRS!#REF!</f>
        <v>#REF!</v>
      </c>
      <c r="B54" s="158" t="e">
        <f>MRS!#REF!</f>
        <v>#REF!</v>
      </c>
      <c r="C54" s="159"/>
      <c r="D54" s="160" t="e">
        <f>MRS!#REF!</f>
        <v>#REF!</v>
      </c>
      <c r="E54" s="161"/>
      <c r="F54" s="162"/>
      <c r="G54" s="89" t="e">
        <f>MRS!#REF!</f>
        <v>#REF!</v>
      </c>
      <c r="H54" s="89" t="e">
        <f>MRS!#REF!</f>
        <v>#REF!</v>
      </c>
      <c r="I54" s="90" t="e">
        <f>MRS!#REF!</f>
        <v>#REF!</v>
      </c>
      <c r="J54" s="90" t="e">
        <f>MRS!#REF!</f>
        <v>#REF!</v>
      </c>
      <c r="K54" s="91"/>
      <c r="O54" s="92"/>
      <c r="P54" s="92"/>
      <c r="R54" s="92"/>
    </row>
    <row r="55" spans="1:18" ht="105" customHeight="1">
      <c r="A55" s="17" t="e">
        <f>+MRS!#REF!</f>
        <v>#REF!</v>
      </c>
      <c r="B55" s="158" t="e">
        <f>MRS!#REF!</f>
        <v>#REF!</v>
      </c>
      <c r="C55" s="159"/>
      <c r="D55" s="160" t="e">
        <f>MRS!#REF!</f>
        <v>#REF!</v>
      </c>
      <c r="E55" s="161"/>
      <c r="F55" s="162"/>
      <c r="G55" s="89" t="e">
        <f>MRS!#REF!</f>
        <v>#REF!</v>
      </c>
      <c r="H55" s="89" t="e">
        <f>MRS!#REF!</f>
        <v>#REF!</v>
      </c>
      <c r="I55" s="90" t="e">
        <f>MRS!#REF!</f>
        <v>#REF!</v>
      </c>
      <c r="J55" s="90" t="e">
        <f>MRS!#REF!</f>
        <v>#REF!</v>
      </c>
      <c r="K55" s="91"/>
      <c r="O55" s="92"/>
      <c r="P55" s="92"/>
      <c r="R55" s="92"/>
    </row>
    <row r="56" spans="1:18" ht="105" customHeight="1">
      <c r="A56" s="17" t="e">
        <f>+MRS!#REF!</f>
        <v>#REF!</v>
      </c>
      <c r="B56" s="158" t="e">
        <f>MRS!#REF!</f>
        <v>#REF!</v>
      </c>
      <c r="C56" s="159"/>
      <c r="D56" s="160" t="e">
        <f>MRS!#REF!</f>
        <v>#REF!</v>
      </c>
      <c r="E56" s="161"/>
      <c r="F56" s="162"/>
      <c r="G56" s="89" t="e">
        <f>MRS!#REF!</f>
        <v>#REF!</v>
      </c>
      <c r="H56" s="89" t="e">
        <f>MRS!#REF!</f>
        <v>#REF!</v>
      </c>
      <c r="I56" s="90" t="e">
        <f>MRS!#REF!</f>
        <v>#REF!</v>
      </c>
      <c r="J56" s="90" t="e">
        <f>MRS!#REF!</f>
        <v>#REF!</v>
      </c>
      <c r="K56" s="91"/>
      <c r="O56" s="92"/>
      <c r="P56" s="92"/>
      <c r="R56" s="92"/>
    </row>
    <row r="57" spans="1:18" ht="105" customHeight="1">
      <c r="A57" s="17" t="e">
        <f>+MRS!#REF!</f>
        <v>#REF!</v>
      </c>
      <c r="B57" s="158" t="e">
        <f>MRS!#REF!</f>
        <v>#REF!</v>
      </c>
      <c r="C57" s="159"/>
      <c r="D57" s="160" t="e">
        <f>MRS!#REF!</f>
        <v>#REF!</v>
      </c>
      <c r="E57" s="161"/>
      <c r="F57" s="162"/>
      <c r="G57" s="89" t="e">
        <f>MRS!#REF!</f>
        <v>#REF!</v>
      </c>
      <c r="H57" s="89" t="e">
        <f>MRS!#REF!</f>
        <v>#REF!</v>
      </c>
      <c r="I57" s="90" t="e">
        <f>MRS!#REF!</f>
        <v>#REF!</v>
      </c>
      <c r="J57" s="90" t="e">
        <f>MRS!#REF!</f>
        <v>#REF!</v>
      </c>
      <c r="K57" s="91"/>
      <c r="O57" s="92"/>
      <c r="P57" s="92"/>
      <c r="R57" s="92"/>
    </row>
    <row r="58" spans="1:18" ht="105" customHeight="1">
      <c r="A58" s="17" t="e">
        <f>+MRS!#REF!</f>
        <v>#REF!</v>
      </c>
      <c r="B58" s="158" t="e">
        <f>MRS!#REF!</f>
        <v>#REF!</v>
      </c>
      <c r="C58" s="159"/>
      <c r="D58" s="160" t="e">
        <f>MRS!#REF!</f>
        <v>#REF!</v>
      </c>
      <c r="E58" s="161"/>
      <c r="F58" s="162"/>
      <c r="G58" s="89" t="e">
        <f>MRS!#REF!</f>
        <v>#REF!</v>
      </c>
      <c r="H58" s="89" t="e">
        <f>MRS!#REF!</f>
        <v>#REF!</v>
      </c>
      <c r="I58" s="90" t="e">
        <f>MRS!#REF!</f>
        <v>#REF!</v>
      </c>
      <c r="J58" s="90" t="e">
        <f>MRS!#REF!</f>
        <v>#REF!</v>
      </c>
      <c r="K58" s="91"/>
      <c r="O58" s="92"/>
      <c r="P58" s="92"/>
      <c r="R58" s="92"/>
    </row>
    <row r="59" spans="1:18" ht="105" customHeight="1">
      <c r="A59" s="17" t="e">
        <f>+MRS!#REF!</f>
        <v>#REF!</v>
      </c>
      <c r="B59" s="158" t="e">
        <f>MRS!#REF!</f>
        <v>#REF!</v>
      </c>
      <c r="C59" s="159"/>
      <c r="D59" s="160" t="e">
        <f>MRS!#REF!</f>
        <v>#REF!</v>
      </c>
      <c r="E59" s="161"/>
      <c r="F59" s="162"/>
      <c r="G59" s="89" t="e">
        <f>MRS!#REF!</f>
        <v>#REF!</v>
      </c>
      <c r="H59" s="89" t="e">
        <f>MRS!#REF!</f>
        <v>#REF!</v>
      </c>
      <c r="I59" s="90" t="e">
        <f>MRS!#REF!</f>
        <v>#REF!</v>
      </c>
      <c r="J59" s="90" t="e">
        <f>MRS!#REF!</f>
        <v>#REF!</v>
      </c>
      <c r="K59" s="91"/>
      <c r="O59" s="92"/>
      <c r="P59" s="92"/>
      <c r="R59" s="92"/>
    </row>
    <row r="60" spans="1:18" ht="105" customHeight="1">
      <c r="A60" s="17" t="e">
        <f>+MRS!#REF!</f>
        <v>#REF!</v>
      </c>
      <c r="B60" s="158" t="e">
        <f>MRS!#REF!</f>
        <v>#REF!</v>
      </c>
      <c r="C60" s="159"/>
      <c r="D60" s="160" t="e">
        <f>MRS!#REF!</f>
        <v>#REF!</v>
      </c>
      <c r="E60" s="161"/>
      <c r="F60" s="162"/>
      <c r="G60" s="89" t="e">
        <f>MRS!#REF!</f>
        <v>#REF!</v>
      </c>
      <c r="H60" s="89" t="e">
        <f>MRS!#REF!</f>
        <v>#REF!</v>
      </c>
      <c r="I60" s="90" t="e">
        <f>MRS!#REF!</f>
        <v>#REF!</v>
      </c>
      <c r="J60" s="90" t="e">
        <f>MRS!#REF!</f>
        <v>#REF!</v>
      </c>
      <c r="K60" s="91"/>
      <c r="O60" s="92"/>
      <c r="P60" s="92"/>
      <c r="R60" s="92"/>
    </row>
    <row r="61" spans="1:18" ht="105" customHeight="1">
      <c r="A61" s="17" t="e">
        <f>+MRS!#REF!</f>
        <v>#REF!</v>
      </c>
      <c r="B61" s="158" t="e">
        <f>MRS!#REF!</f>
        <v>#REF!</v>
      </c>
      <c r="C61" s="159"/>
      <c r="D61" s="160" t="e">
        <f>MRS!#REF!</f>
        <v>#REF!</v>
      </c>
      <c r="E61" s="161"/>
      <c r="F61" s="162"/>
      <c r="G61" s="89" t="e">
        <f>MRS!#REF!</f>
        <v>#REF!</v>
      </c>
      <c r="H61" s="89" t="e">
        <f>MRS!#REF!</f>
        <v>#REF!</v>
      </c>
      <c r="I61" s="90" t="e">
        <f>MRS!#REF!</f>
        <v>#REF!</v>
      </c>
      <c r="J61" s="90" t="e">
        <f>MRS!#REF!</f>
        <v>#REF!</v>
      </c>
      <c r="K61" s="91"/>
      <c r="O61" s="92"/>
      <c r="P61" s="92"/>
      <c r="R61" s="92"/>
    </row>
    <row r="62" spans="1:18" ht="105" customHeight="1">
      <c r="A62" s="17" t="e">
        <f>+MRS!#REF!</f>
        <v>#REF!</v>
      </c>
      <c r="B62" s="158" t="e">
        <f>MRS!#REF!</f>
        <v>#REF!</v>
      </c>
      <c r="C62" s="159"/>
      <c r="D62" s="160" t="e">
        <f>MRS!#REF!</f>
        <v>#REF!</v>
      </c>
      <c r="E62" s="161"/>
      <c r="F62" s="162"/>
      <c r="G62" s="89" t="e">
        <f>MRS!#REF!</f>
        <v>#REF!</v>
      </c>
      <c r="H62" s="89" t="e">
        <f>MRS!#REF!</f>
        <v>#REF!</v>
      </c>
      <c r="I62" s="90" t="e">
        <f>MRS!#REF!</f>
        <v>#REF!</v>
      </c>
      <c r="J62" s="90" t="e">
        <f>MRS!#REF!</f>
        <v>#REF!</v>
      </c>
      <c r="K62" s="91"/>
      <c r="O62" s="92"/>
      <c r="P62" s="92"/>
      <c r="R62" s="92"/>
    </row>
    <row r="63" spans="1:18" ht="105" customHeight="1">
      <c r="A63" s="17" t="e">
        <f>+MRS!#REF!</f>
        <v>#REF!</v>
      </c>
      <c r="B63" s="158" t="e">
        <f>MRS!#REF!</f>
        <v>#REF!</v>
      </c>
      <c r="C63" s="159"/>
      <c r="D63" s="160" t="e">
        <f>MRS!#REF!</f>
        <v>#REF!</v>
      </c>
      <c r="E63" s="161"/>
      <c r="F63" s="162"/>
      <c r="G63" s="89" t="e">
        <f>MRS!#REF!</f>
        <v>#REF!</v>
      </c>
      <c r="H63" s="89" t="e">
        <f>MRS!#REF!</f>
        <v>#REF!</v>
      </c>
      <c r="I63" s="90" t="e">
        <f>MRS!#REF!</f>
        <v>#REF!</v>
      </c>
      <c r="J63" s="90" t="e">
        <f>MRS!#REF!</f>
        <v>#REF!</v>
      </c>
      <c r="K63" s="91"/>
      <c r="O63" s="92"/>
      <c r="P63" s="92"/>
      <c r="R63" s="92"/>
    </row>
    <row r="64" spans="1:18" ht="105" customHeight="1">
      <c r="A64" s="17" t="e">
        <f>+MRS!#REF!</f>
        <v>#REF!</v>
      </c>
      <c r="B64" s="158" t="e">
        <f>MRS!#REF!</f>
        <v>#REF!</v>
      </c>
      <c r="C64" s="159"/>
      <c r="D64" s="160" t="e">
        <f>MRS!#REF!</f>
        <v>#REF!</v>
      </c>
      <c r="E64" s="161"/>
      <c r="F64" s="162"/>
      <c r="G64" s="89" t="e">
        <f>MRS!#REF!</f>
        <v>#REF!</v>
      </c>
      <c r="H64" s="89" t="e">
        <f>MRS!#REF!</f>
        <v>#REF!</v>
      </c>
      <c r="I64" s="90" t="e">
        <f>MRS!#REF!</f>
        <v>#REF!</v>
      </c>
      <c r="J64" s="90" t="e">
        <f>MRS!#REF!</f>
        <v>#REF!</v>
      </c>
      <c r="K64" s="91"/>
      <c r="O64" s="92"/>
      <c r="P64" s="92"/>
      <c r="R64" s="92"/>
    </row>
    <row r="65" spans="1:18" ht="105" customHeight="1">
      <c r="A65" s="17" t="e">
        <f>+MRS!#REF!</f>
        <v>#REF!</v>
      </c>
      <c r="B65" s="158" t="e">
        <f>MRS!#REF!</f>
        <v>#REF!</v>
      </c>
      <c r="C65" s="159"/>
      <c r="D65" s="160" t="e">
        <f>MRS!#REF!</f>
        <v>#REF!</v>
      </c>
      <c r="E65" s="161"/>
      <c r="F65" s="162"/>
      <c r="G65" s="89" t="e">
        <f>MRS!#REF!</f>
        <v>#REF!</v>
      </c>
      <c r="H65" s="89" t="e">
        <f>MRS!#REF!</f>
        <v>#REF!</v>
      </c>
      <c r="I65" s="90" t="e">
        <f>MRS!#REF!</f>
        <v>#REF!</v>
      </c>
      <c r="J65" s="90" t="e">
        <f>MRS!#REF!</f>
        <v>#REF!</v>
      </c>
      <c r="K65" s="91"/>
      <c r="O65" s="92"/>
      <c r="P65" s="92"/>
      <c r="R65" s="92"/>
    </row>
    <row r="66" spans="1:18" ht="105" customHeight="1">
      <c r="A66" s="17" t="e">
        <f>+MRS!#REF!</f>
        <v>#REF!</v>
      </c>
      <c r="B66" s="158" t="e">
        <f>MRS!#REF!</f>
        <v>#REF!</v>
      </c>
      <c r="C66" s="159"/>
      <c r="D66" s="160" t="e">
        <f>MRS!#REF!</f>
        <v>#REF!</v>
      </c>
      <c r="E66" s="161"/>
      <c r="F66" s="162"/>
      <c r="G66" s="89" t="e">
        <f>MRS!#REF!</f>
        <v>#REF!</v>
      </c>
      <c r="H66" s="89" t="e">
        <f>MRS!#REF!</f>
        <v>#REF!</v>
      </c>
      <c r="I66" s="90" t="e">
        <f>MRS!#REF!</f>
        <v>#REF!</v>
      </c>
      <c r="J66" s="90" t="e">
        <f>MRS!#REF!</f>
        <v>#REF!</v>
      </c>
      <c r="K66" s="91"/>
      <c r="O66" s="92"/>
      <c r="P66" s="92"/>
      <c r="R66" s="92"/>
    </row>
    <row r="67" spans="1:18" ht="105" customHeight="1">
      <c r="A67" s="17" t="e">
        <f>+MRS!#REF!</f>
        <v>#REF!</v>
      </c>
      <c r="B67" s="158" t="e">
        <f>MRS!#REF!</f>
        <v>#REF!</v>
      </c>
      <c r="C67" s="159"/>
      <c r="D67" s="160" t="e">
        <f>MRS!#REF!</f>
        <v>#REF!</v>
      </c>
      <c r="E67" s="161"/>
      <c r="F67" s="162"/>
      <c r="G67" s="89" t="e">
        <f>MRS!#REF!</f>
        <v>#REF!</v>
      </c>
      <c r="H67" s="89" t="e">
        <f>MRS!#REF!</f>
        <v>#REF!</v>
      </c>
      <c r="I67" s="90" t="e">
        <f>MRS!#REF!</f>
        <v>#REF!</v>
      </c>
      <c r="J67" s="90" t="e">
        <f>MRS!#REF!</f>
        <v>#REF!</v>
      </c>
      <c r="K67" s="91"/>
      <c r="O67" s="92"/>
      <c r="P67" s="92"/>
      <c r="R67" s="92"/>
    </row>
    <row r="68" spans="1:18" ht="105" customHeight="1">
      <c r="A68" s="17" t="e">
        <f>+MRS!#REF!</f>
        <v>#REF!</v>
      </c>
      <c r="B68" s="158" t="e">
        <f>MRS!#REF!</f>
        <v>#REF!</v>
      </c>
      <c r="C68" s="159"/>
      <c r="D68" s="160" t="e">
        <f>MRS!#REF!</f>
        <v>#REF!</v>
      </c>
      <c r="E68" s="161"/>
      <c r="F68" s="162"/>
      <c r="G68" s="89" t="e">
        <f>MRS!#REF!</f>
        <v>#REF!</v>
      </c>
      <c r="H68" s="89" t="e">
        <f>MRS!#REF!</f>
        <v>#REF!</v>
      </c>
      <c r="I68" s="90" t="e">
        <f>MRS!#REF!</f>
        <v>#REF!</v>
      </c>
      <c r="J68" s="90" t="e">
        <f>MRS!#REF!</f>
        <v>#REF!</v>
      </c>
      <c r="K68" s="91"/>
      <c r="O68" s="92"/>
      <c r="P68" s="92"/>
      <c r="R68" s="92"/>
    </row>
    <row r="69" spans="1:18" ht="105" customHeight="1">
      <c r="A69" s="17" t="e">
        <f>+MRS!#REF!</f>
        <v>#REF!</v>
      </c>
      <c r="B69" s="158" t="e">
        <f>MRS!#REF!</f>
        <v>#REF!</v>
      </c>
      <c r="C69" s="159"/>
      <c r="D69" s="160" t="e">
        <f>MRS!#REF!</f>
        <v>#REF!</v>
      </c>
      <c r="E69" s="161"/>
      <c r="F69" s="162"/>
      <c r="G69" s="89" t="e">
        <f>MRS!#REF!</f>
        <v>#REF!</v>
      </c>
      <c r="H69" s="89" t="e">
        <f>MRS!#REF!</f>
        <v>#REF!</v>
      </c>
      <c r="I69" s="90" t="e">
        <f>MRS!#REF!</f>
        <v>#REF!</v>
      </c>
      <c r="J69" s="90" t="e">
        <f>MRS!#REF!</f>
        <v>#REF!</v>
      </c>
      <c r="K69" s="91"/>
      <c r="O69" s="92"/>
      <c r="P69" s="92"/>
      <c r="R69" s="92"/>
    </row>
    <row r="70" spans="1:18" ht="105" customHeight="1">
      <c r="A70" s="17" t="e">
        <f>+MRS!#REF!</f>
        <v>#REF!</v>
      </c>
      <c r="B70" s="158" t="e">
        <f>MRS!#REF!</f>
        <v>#REF!</v>
      </c>
      <c r="C70" s="159"/>
      <c r="D70" s="160" t="e">
        <f>MRS!#REF!</f>
        <v>#REF!</v>
      </c>
      <c r="E70" s="161"/>
      <c r="F70" s="162"/>
      <c r="G70" s="89" t="e">
        <f>MRS!#REF!</f>
        <v>#REF!</v>
      </c>
      <c r="H70" s="89" t="e">
        <f>MRS!#REF!</f>
        <v>#REF!</v>
      </c>
      <c r="I70" s="90" t="e">
        <f>MRS!#REF!</f>
        <v>#REF!</v>
      </c>
      <c r="J70" s="90" t="e">
        <f>MRS!#REF!</f>
        <v>#REF!</v>
      </c>
      <c r="K70" s="91"/>
      <c r="O70" s="92"/>
      <c r="P70" s="92"/>
      <c r="R70" s="92"/>
    </row>
    <row r="71" spans="1:18" ht="105" customHeight="1">
      <c r="A71" s="17" t="e">
        <f>+MRS!#REF!</f>
        <v>#REF!</v>
      </c>
      <c r="B71" s="158" t="e">
        <f>MRS!#REF!</f>
        <v>#REF!</v>
      </c>
      <c r="C71" s="159"/>
      <c r="D71" s="160" t="e">
        <f>MRS!#REF!</f>
        <v>#REF!</v>
      </c>
      <c r="E71" s="161"/>
      <c r="F71" s="162"/>
      <c r="G71" s="89" t="e">
        <f>MRS!#REF!</f>
        <v>#REF!</v>
      </c>
      <c r="H71" s="89" t="e">
        <f>MRS!#REF!</f>
        <v>#REF!</v>
      </c>
      <c r="I71" s="90" t="e">
        <f>MRS!#REF!</f>
        <v>#REF!</v>
      </c>
      <c r="J71" s="90" t="e">
        <f>MRS!#REF!</f>
        <v>#REF!</v>
      </c>
      <c r="K71" s="91"/>
      <c r="O71" s="92"/>
      <c r="P71" s="92"/>
      <c r="R71" s="92"/>
    </row>
    <row r="72" spans="1:18" ht="105" customHeight="1">
      <c r="A72" s="17" t="e">
        <f>+MRS!#REF!</f>
        <v>#REF!</v>
      </c>
      <c r="B72" s="158" t="e">
        <f>MRS!#REF!</f>
        <v>#REF!</v>
      </c>
      <c r="C72" s="159"/>
      <c r="D72" s="160" t="e">
        <f>MRS!#REF!</f>
        <v>#REF!</v>
      </c>
      <c r="E72" s="161"/>
      <c r="F72" s="162"/>
      <c r="G72" s="89" t="e">
        <f>MRS!#REF!</f>
        <v>#REF!</v>
      </c>
      <c r="H72" s="89" t="e">
        <f>MRS!#REF!</f>
        <v>#REF!</v>
      </c>
      <c r="I72" s="90" t="e">
        <f>MRS!#REF!</f>
        <v>#REF!</v>
      </c>
      <c r="J72" s="90" t="e">
        <f>MRS!#REF!</f>
        <v>#REF!</v>
      </c>
      <c r="K72" s="91"/>
      <c r="O72" s="92"/>
      <c r="P72" s="92"/>
      <c r="R72" s="92"/>
    </row>
    <row r="73" spans="1:18" ht="105" customHeight="1">
      <c r="A73" s="17" t="e">
        <f>+MRS!#REF!</f>
        <v>#REF!</v>
      </c>
      <c r="B73" s="158" t="e">
        <f>MRS!#REF!</f>
        <v>#REF!</v>
      </c>
      <c r="C73" s="159"/>
      <c r="D73" s="160" t="e">
        <f>MRS!#REF!</f>
        <v>#REF!</v>
      </c>
      <c r="E73" s="161"/>
      <c r="F73" s="162"/>
      <c r="G73" s="89" t="e">
        <f>MRS!#REF!</f>
        <v>#REF!</v>
      </c>
      <c r="H73" s="89" t="e">
        <f>MRS!#REF!</f>
        <v>#REF!</v>
      </c>
      <c r="I73" s="90" t="e">
        <f>MRS!#REF!</f>
        <v>#REF!</v>
      </c>
      <c r="J73" s="90" t="e">
        <f>MRS!#REF!</f>
        <v>#REF!</v>
      </c>
      <c r="K73" s="91"/>
      <c r="O73" s="92"/>
      <c r="P73" s="92"/>
      <c r="R73" s="92"/>
    </row>
    <row r="74" spans="1:18" ht="105" customHeight="1">
      <c r="A74" s="17" t="e">
        <f>+MRS!#REF!</f>
        <v>#REF!</v>
      </c>
      <c r="B74" s="158" t="e">
        <f>MRS!#REF!</f>
        <v>#REF!</v>
      </c>
      <c r="C74" s="159"/>
      <c r="D74" s="160" t="e">
        <f>MRS!#REF!</f>
        <v>#REF!</v>
      </c>
      <c r="E74" s="161"/>
      <c r="F74" s="162"/>
      <c r="G74" s="89" t="e">
        <f>MRS!#REF!</f>
        <v>#REF!</v>
      </c>
      <c r="H74" s="89" t="e">
        <f>MRS!#REF!</f>
        <v>#REF!</v>
      </c>
      <c r="I74" s="90" t="e">
        <f>MRS!#REF!</f>
        <v>#REF!</v>
      </c>
      <c r="J74" s="90" t="e">
        <f>MRS!#REF!</f>
        <v>#REF!</v>
      </c>
      <c r="K74" s="91"/>
      <c r="O74" s="92"/>
      <c r="P74" s="92"/>
      <c r="R74" s="92"/>
    </row>
    <row r="75" spans="1:18" ht="105" customHeight="1">
      <c r="A75" s="17" t="e">
        <f>+MRS!#REF!</f>
        <v>#REF!</v>
      </c>
      <c r="B75" s="158" t="e">
        <f>MRS!#REF!</f>
        <v>#REF!</v>
      </c>
      <c r="C75" s="159"/>
      <c r="D75" s="160" t="e">
        <f>MRS!#REF!</f>
        <v>#REF!</v>
      </c>
      <c r="E75" s="161"/>
      <c r="F75" s="162"/>
      <c r="G75" s="89" t="e">
        <f>MRS!#REF!</f>
        <v>#REF!</v>
      </c>
      <c r="H75" s="89" t="e">
        <f>MRS!#REF!</f>
        <v>#REF!</v>
      </c>
      <c r="I75" s="90" t="e">
        <f>MRS!#REF!</f>
        <v>#REF!</v>
      </c>
      <c r="J75" s="90" t="e">
        <f>MRS!#REF!</f>
        <v>#REF!</v>
      </c>
      <c r="K75" s="91"/>
      <c r="O75" s="92"/>
      <c r="P75" s="92"/>
      <c r="R75" s="92"/>
    </row>
    <row r="76" spans="1:18" ht="105" customHeight="1">
      <c r="A76" s="17" t="e">
        <f>+MRS!#REF!</f>
        <v>#REF!</v>
      </c>
      <c r="B76" s="158" t="e">
        <f>MRS!#REF!</f>
        <v>#REF!</v>
      </c>
      <c r="C76" s="159"/>
      <c r="D76" s="160" t="e">
        <f>MRS!#REF!</f>
        <v>#REF!</v>
      </c>
      <c r="E76" s="161"/>
      <c r="F76" s="162"/>
      <c r="G76" s="89" t="e">
        <f>MRS!#REF!</f>
        <v>#REF!</v>
      </c>
      <c r="H76" s="89" t="e">
        <f>MRS!#REF!</f>
        <v>#REF!</v>
      </c>
      <c r="I76" s="90" t="e">
        <f>MRS!#REF!</f>
        <v>#REF!</v>
      </c>
      <c r="J76" s="90" t="e">
        <f>MRS!#REF!</f>
        <v>#REF!</v>
      </c>
      <c r="K76" s="91"/>
      <c r="O76" s="92"/>
      <c r="P76" s="92"/>
      <c r="R76" s="92"/>
    </row>
    <row r="77" spans="1:18" ht="105" customHeight="1">
      <c r="A77" s="17" t="e">
        <f>+MRS!#REF!</f>
        <v>#REF!</v>
      </c>
      <c r="B77" s="158" t="e">
        <f>MRS!#REF!</f>
        <v>#REF!</v>
      </c>
      <c r="C77" s="159"/>
      <c r="D77" s="160" t="e">
        <f>MRS!#REF!</f>
        <v>#REF!</v>
      </c>
      <c r="E77" s="161"/>
      <c r="F77" s="162"/>
      <c r="G77" s="89" t="e">
        <f>MRS!#REF!</f>
        <v>#REF!</v>
      </c>
      <c r="H77" s="89" t="e">
        <f>MRS!#REF!</f>
        <v>#REF!</v>
      </c>
      <c r="I77" s="90" t="e">
        <f>MRS!#REF!</f>
        <v>#REF!</v>
      </c>
      <c r="J77" s="90" t="e">
        <f>MRS!#REF!</f>
        <v>#REF!</v>
      </c>
      <c r="K77" s="91"/>
      <c r="O77" s="92"/>
      <c r="P77" s="92"/>
      <c r="R77" s="92"/>
    </row>
    <row r="78" spans="1:18" ht="105" customHeight="1">
      <c r="A78" s="17" t="e">
        <f>+MRS!#REF!</f>
        <v>#REF!</v>
      </c>
      <c r="B78" s="158" t="e">
        <f>MRS!#REF!</f>
        <v>#REF!</v>
      </c>
      <c r="C78" s="159"/>
      <c r="D78" s="160" t="e">
        <f>MRS!#REF!</f>
        <v>#REF!</v>
      </c>
      <c r="E78" s="161"/>
      <c r="F78" s="162"/>
      <c r="G78" s="89" t="e">
        <f>MRS!#REF!</f>
        <v>#REF!</v>
      </c>
      <c r="H78" s="89" t="e">
        <f>MRS!#REF!</f>
        <v>#REF!</v>
      </c>
      <c r="I78" s="90" t="e">
        <f>MRS!#REF!</f>
        <v>#REF!</v>
      </c>
      <c r="J78" s="90" t="e">
        <f>MRS!#REF!</f>
        <v>#REF!</v>
      </c>
      <c r="K78" s="91"/>
      <c r="O78" s="92"/>
      <c r="P78" s="92"/>
      <c r="R78" s="92"/>
    </row>
    <row r="79" spans="1:18" ht="105" customHeight="1">
      <c r="A79" s="17" t="e">
        <f>+MRS!#REF!</f>
        <v>#REF!</v>
      </c>
      <c r="B79" s="158" t="e">
        <f>MRS!#REF!</f>
        <v>#REF!</v>
      </c>
      <c r="C79" s="159"/>
      <c r="D79" s="160" t="e">
        <f>MRS!#REF!</f>
        <v>#REF!</v>
      </c>
      <c r="E79" s="161"/>
      <c r="F79" s="162"/>
      <c r="G79" s="89" t="e">
        <f>MRS!#REF!</f>
        <v>#REF!</v>
      </c>
      <c r="H79" s="89" t="e">
        <f>MRS!#REF!</f>
        <v>#REF!</v>
      </c>
      <c r="I79" s="90" t="e">
        <f>MRS!#REF!</f>
        <v>#REF!</v>
      </c>
      <c r="J79" s="90" t="e">
        <f>MRS!#REF!</f>
        <v>#REF!</v>
      </c>
      <c r="K79" s="91"/>
      <c r="O79" s="92"/>
      <c r="P79" s="92"/>
      <c r="R79" s="92"/>
    </row>
    <row r="80" spans="1:18" ht="105" customHeight="1">
      <c r="A80" s="17" t="e">
        <f>+MRS!#REF!</f>
        <v>#REF!</v>
      </c>
      <c r="B80" s="158" t="e">
        <f>MRS!#REF!</f>
        <v>#REF!</v>
      </c>
      <c r="C80" s="159"/>
      <c r="D80" s="160" t="e">
        <f>MRS!#REF!</f>
        <v>#REF!</v>
      </c>
      <c r="E80" s="161"/>
      <c r="F80" s="162"/>
      <c r="G80" s="89" t="e">
        <f>MRS!#REF!</f>
        <v>#REF!</v>
      </c>
      <c r="H80" s="89" t="e">
        <f>MRS!#REF!</f>
        <v>#REF!</v>
      </c>
      <c r="I80" s="90" t="e">
        <f>MRS!#REF!</f>
        <v>#REF!</v>
      </c>
      <c r="J80" s="90" t="e">
        <f>MRS!#REF!</f>
        <v>#REF!</v>
      </c>
      <c r="K80" s="91"/>
      <c r="O80" s="92"/>
      <c r="P80" s="92"/>
      <c r="R80" s="92"/>
    </row>
    <row r="81" spans="1:18" ht="105" customHeight="1">
      <c r="A81" s="17" t="e">
        <f>+MRS!#REF!</f>
        <v>#REF!</v>
      </c>
      <c r="B81" s="158" t="e">
        <f>MRS!#REF!</f>
        <v>#REF!</v>
      </c>
      <c r="C81" s="159"/>
      <c r="D81" s="160" t="e">
        <f>MRS!#REF!</f>
        <v>#REF!</v>
      </c>
      <c r="E81" s="161"/>
      <c r="F81" s="162"/>
      <c r="G81" s="89" t="e">
        <f>MRS!#REF!</f>
        <v>#REF!</v>
      </c>
      <c r="H81" s="89" t="e">
        <f>MRS!#REF!</f>
        <v>#REF!</v>
      </c>
      <c r="I81" s="90" t="e">
        <f>MRS!#REF!</f>
        <v>#REF!</v>
      </c>
      <c r="J81" s="90" t="e">
        <f>MRS!#REF!</f>
        <v>#REF!</v>
      </c>
      <c r="K81" s="91"/>
      <c r="O81" s="92"/>
      <c r="P81" s="92"/>
      <c r="R81" s="92"/>
    </row>
    <row r="82" spans="1:18" ht="105" customHeight="1">
      <c r="A82" s="17" t="e">
        <f>+MRS!#REF!</f>
        <v>#REF!</v>
      </c>
      <c r="B82" s="158" t="e">
        <f>MRS!#REF!</f>
        <v>#REF!</v>
      </c>
      <c r="C82" s="159"/>
      <c r="D82" s="160" t="e">
        <f>MRS!#REF!</f>
        <v>#REF!</v>
      </c>
      <c r="E82" s="161"/>
      <c r="F82" s="162"/>
      <c r="G82" s="89" t="e">
        <f>MRS!#REF!</f>
        <v>#REF!</v>
      </c>
      <c r="H82" s="89" t="e">
        <f>MRS!#REF!</f>
        <v>#REF!</v>
      </c>
      <c r="I82" s="90" t="e">
        <f>MRS!#REF!</f>
        <v>#REF!</v>
      </c>
      <c r="J82" s="90" t="e">
        <f>MRS!#REF!</f>
        <v>#REF!</v>
      </c>
      <c r="K82" s="91"/>
      <c r="O82" s="92"/>
      <c r="P82" s="92"/>
      <c r="R82" s="92"/>
    </row>
    <row r="83" spans="1:18" ht="105" customHeight="1">
      <c r="A83" s="17" t="e">
        <f>+MRS!#REF!</f>
        <v>#REF!</v>
      </c>
      <c r="B83" s="158" t="e">
        <f>MRS!#REF!</f>
        <v>#REF!</v>
      </c>
      <c r="C83" s="159"/>
      <c r="D83" s="160" t="e">
        <f>MRS!#REF!</f>
        <v>#REF!</v>
      </c>
      <c r="E83" s="161"/>
      <c r="F83" s="162"/>
      <c r="G83" s="89" t="e">
        <f>MRS!#REF!</f>
        <v>#REF!</v>
      </c>
      <c r="H83" s="89" t="e">
        <f>MRS!#REF!</f>
        <v>#REF!</v>
      </c>
      <c r="I83" s="90" t="e">
        <f>MRS!#REF!</f>
        <v>#REF!</v>
      </c>
      <c r="J83" s="90" t="e">
        <f>MRS!#REF!</f>
        <v>#REF!</v>
      </c>
      <c r="K83" s="91"/>
      <c r="O83" s="92"/>
      <c r="P83" s="92"/>
      <c r="R83" s="92"/>
    </row>
    <row r="84" spans="1:18" ht="105" customHeight="1">
      <c r="A84" s="17" t="e">
        <f>+MRS!#REF!</f>
        <v>#REF!</v>
      </c>
      <c r="B84" s="158" t="e">
        <f>MRS!#REF!</f>
        <v>#REF!</v>
      </c>
      <c r="C84" s="159"/>
      <c r="D84" s="160" t="e">
        <f>MRS!#REF!</f>
        <v>#REF!</v>
      </c>
      <c r="E84" s="161"/>
      <c r="F84" s="162"/>
      <c r="G84" s="89" t="e">
        <f>MRS!#REF!</f>
        <v>#REF!</v>
      </c>
      <c r="H84" s="89" t="e">
        <f>MRS!#REF!</f>
        <v>#REF!</v>
      </c>
      <c r="I84" s="90" t="e">
        <f>MRS!#REF!</f>
        <v>#REF!</v>
      </c>
      <c r="J84" s="90" t="e">
        <f>MRS!#REF!</f>
        <v>#REF!</v>
      </c>
      <c r="K84" s="91"/>
      <c r="O84" s="92"/>
      <c r="P84" s="92"/>
      <c r="R84" s="92"/>
    </row>
    <row r="85" spans="1:18" ht="105" customHeight="1">
      <c r="A85" s="17" t="e">
        <f>+MRS!#REF!</f>
        <v>#REF!</v>
      </c>
      <c r="B85" s="158" t="e">
        <f>MRS!#REF!</f>
        <v>#REF!</v>
      </c>
      <c r="C85" s="159"/>
      <c r="D85" s="160" t="e">
        <f>MRS!#REF!</f>
        <v>#REF!</v>
      </c>
      <c r="E85" s="161"/>
      <c r="F85" s="162"/>
      <c r="G85" s="89" t="e">
        <f>MRS!#REF!</f>
        <v>#REF!</v>
      </c>
      <c r="H85" s="89" t="e">
        <f>MRS!#REF!</f>
        <v>#REF!</v>
      </c>
      <c r="I85" s="90" t="e">
        <f>MRS!#REF!</f>
        <v>#REF!</v>
      </c>
      <c r="J85" s="90" t="e">
        <f>MRS!#REF!</f>
        <v>#REF!</v>
      </c>
      <c r="K85" s="91"/>
      <c r="O85" s="92"/>
      <c r="P85" s="92"/>
      <c r="R85" s="92"/>
    </row>
    <row r="86" spans="1:18" ht="105" customHeight="1">
      <c r="A86" s="17" t="e">
        <f>+MRS!#REF!</f>
        <v>#REF!</v>
      </c>
      <c r="B86" s="158" t="e">
        <f>MRS!#REF!</f>
        <v>#REF!</v>
      </c>
      <c r="C86" s="159"/>
      <c r="D86" s="160" t="e">
        <f>MRS!#REF!</f>
        <v>#REF!</v>
      </c>
      <c r="E86" s="161"/>
      <c r="F86" s="162"/>
      <c r="G86" s="89" t="e">
        <f>MRS!#REF!</f>
        <v>#REF!</v>
      </c>
      <c r="H86" s="89" t="e">
        <f>MRS!#REF!</f>
        <v>#REF!</v>
      </c>
      <c r="I86" s="90" t="e">
        <f>MRS!#REF!</f>
        <v>#REF!</v>
      </c>
      <c r="J86" s="90" t="e">
        <f>MRS!#REF!</f>
        <v>#REF!</v>
      </c>
      <c r="K86" s="91"/>
      <c r="O86" s="92"/>
      <c r="P86" s="92"/>
      <c r="R86" s="92"/>
    </row>
    <row r="87" spans="1:18" ht="105" customHeight="1">
      <c r="A87" s="17" t="e">
        <f>+MRS!#REF!</f>
        <v>#REF!</v>
      </c>
      <c r="B87" s="158" t="e">
        <f>MRS!#REF!</f>
        <v>#REF!</v>
      </c>
      <c r="C87" s="159"/>
      <c r="D87" s="160" t="e">
        <f>MRS!#REF!</f>
        <v>#REF!</v>
      </c>
      <c r="E87" s="161"/>
      <c r="F87" s="162"/>
      <c r="G87" s="89" t="e">
        <f>MRS!#REF!</f>
        <v>#REF!</v>
      </c>
      <c r="H87" s="89" t="e">
        <f>MRS!#REF!</f>
        <v>#REF!</v>
      </c>
      <c r="I87" s="90" t="e">
        <f>MRS!#REF!</f>
        <v>#REF!</v>
      </c>
      <c r="J87" s="90" t="e">
        <f>MRS!#REF!</f>
        <v>#REF!</v>
      </c>
      <c r="K87" s="91"/>
      <c r="O87" s="92"/>
      <c r="P87" s="92"/>
      <c r="R87" s="92"/>
    </row>
    <row r="88" spans="1:18" ht="105" customHeight="1">
      <c r="A88" s="17" t="e">
        <f>+MRS!#REF!</f>
        <v>#REF!</v>
      </c>
      <c r="B88" s="158" t="e">
        <f>MRS!#REF!</f>
        <v>#REF!</v>
      </c>
      <c r="C88" s="159"/>
      <c r="D88" s="160" t="e">
        <f>MRS!#REF!</f>
        <v>#REF!</v>
      </c>
      <c r="E88" s="161"/>
      <c r="F88" s="162"/>
      <c r="G88" s="89" t="e">
        <f>MRS!#REF!</f>
        <v>#REF!</v>
      </c>
      <c r="H88" s="89" t="e">
        <f>MRS!#REF!</f>
        <v>#REF!</v>
      </c>
      <c r="I88" s="90" t="e">
        <f>MRS!#REF!</f>
        <v>#REF!</v>
      </c>
      <c r="J88" s="90" t="e">
        <f>MRS!#REF!</f>
        <v>#REF!</v>
      </c>
      <c r="K88" s="91"/>
      <c r="O88" s="92"/>
      <c r="P88" s="92"/>
      <c r="R88" s="92"/>
    </row>
    <row r="89" spans="1:18" ht="105" customHeight="1">
      <c r="A89" s="17" t="e">
        <f>+MRS!#REF!</f>
        <v>#REF!</v>
      </c>
      <c r="B89" s="158" t="e">
        <f>MRS!#REF!</f>
        <v>#REF!</v>
      </c>
      <c r="C89" s="159"/>
      <c r="D89" s="160" t="e">
        <f>MRS!#REF!</f>
        <v>#REF!</v>
      </c>
      <c r="E89" s="161"/>
      <c r="F89" s="162"/>
      <c r="G89" s="89" t="e">
        <f>MRS!#REF!</f>
        <v>#REF!</v>
      </c>
      <c r="H89" s="89" t="e">
        <f>MRS!#REF!</f>
        <v>#REF!</v>
      </c>
      <c r="I89" s="90" t="e">
        <f>MRS!#REF!</f>
        <v>#REF!</v>
      </c>
      <c r="J89" s="90" t="e">
        <f>MRS!#REF!</f>
        <v>#REF!</v>
      </c>
      <c r="K89" s="91"/>
      <c r="O89" s="92"/>
      <c r="P89" s="92"/>
      <c r="R89" s="92"/>
    </row>
    <row r="90" spans="1:18" ht="105" customHeight="1">
      <c r="A90" s="17" t="e">
        <f>+MRS!#REF!</f>
        <v>#REF!</v>
      </c>
      <c r="B90" s="158" t="e">
        <f>MRS!#REF!</f>
        <v>#REF!</v>
      </c>
      <c r="C90" s="159"/>
      <c r="D90" s="160" t="e">
        <f>MRS!#REF!</f>
        <v>#REF!</v>
      </c>
      <c r="E90" s="161"/>
      <c r="F90" s="162"/>
      <c r="G90" s="89" t="e">
        <f>MRS!#REF!</f>
        <v>#REF!</v>
      </c>
      <c r="H90" s="89" t="e">
        <f>MRS!#REF!</f>
        <v>#REF!</v>
      </c>
      <c r="I90" s="90" t="e">
        <f>MRS!#REF!</f>
        <v>#REF!</v>
      </c>
      <c r="J90" s="90" t="e">
        <f>MRS!#REF!</f>
        <v>#REF!</v>
      </c>
      <c r="K90" s="91"/>
      <c r="O90" s="92"/>
      <c r="P90" s="92"/>
      <c r="R90" s="92"/>
    </row>
    <row r="91" spans="1:18" ht="105" customHeight="1">
      <c r="A91" s="17" t="e">
        <f>+MRS!#REF!</f>
        <v>#REF!</v>
      </c>
      <c r="B91" s="158" t="e">
        <f>MRS!#REF!</f>
        <v>#REF!</v>
      </c>
      <c r="C91" s="159"/>
      <c r="D91" s="160" t="e">
        <f>MRS!#REF!</f>
        <v>#REF!</v>
      </c>
      <c r="E91" s="161"/>
      <c r="F91" s="162"/>
      <c r="G91" s="89" t="e">
        <f>MRS!#REF!</f>
        <v>#REF!</v>
      </c>
      <c r="H91" s="89" t="e">
        <f>MRS!#REF!</f>
        <v>#REF!</v>
      </c>
      <c r="I91" s="90" t="e">
        <f>MRS!#REF!</f>
        <v>#REF!</v>
      </c>
      <c r="J91" s="90" t="e">
        <f>MRS!#REF!</f>
        <v>#REF!</v>
      </c>
      <c r="K91" s="91"/>
      <c r="O91" s="92"/>
      <c r="P91" s="92"/>
      <c r="R91" s="92"/>
    </row>
    <row r="92" spans="1:18" ht="105" customHeight="1">
      <c r="A92" s="17" t="e">
        <f>+MRS!#REF!</f>
        <v>#REF!</v>
      </c>
      <c r="B92" s="158" t="e">
        <f>MRS!#REF!</f>
        <v>#REF!</v>
      </c>
      <c r="C92" s="159"/>
      <c r="D92" s="160" t="e">
        <f>MRS!#REF!</f>
        <v>#REF!</v>
      </c>
      <c r="E92" s="161"/>
      <c r="F92" s="162"/>
      <c r="G92" s="89" t="e">
        <f>MRS!#REF!</f>
        <v>#REF!</v>
      </c>
      <c r="H92" s="89" t="e">
        <f>MRS!#REF!</f>
        <v>#REF!</v>
      </c>
      <c r="I92" s="90" t="e">
        <f>MRS!#REF!</f>
        <v>#REF!</v>
      </c>
      <c r="J92" s="90" t="e">
        <f>MRS!#REF!</f>
        <v>#REF!</v>
      </c>
      <c r="K92" s="91"/>
      <c r="O92" s="92"/>
      <c r="P92" s="92"/>
      <c r="R92" s="92"/>
    </row>
    <row r="93" spans="1:18" ht="105" customHeight="1">
      <c r="A93" s="17" t="e">
        <f>+MRS!#REF!</f>
        <v>#REF!</v>
      </c>
      <c r="B93" s="158" t="e">
        <f>MRS!#REF!</f>
        <v>#REF!</v>
      </c>
      <c r="C93" s="159"/>
      <c r="D93" s="160" t="e">
        <f>MRS!#REF!</f>
        <v>#REF!</v>
      </c>
      <c r="E93" s="161"/>
      <c r="F93" s="162"/>
      <c r="G93" s="89" t="e">
        <f>MRS!#REF!</f>
        <v>#REF!</v>
      </c>
      <c r="H93" s="89" t="e">
        <f>MRS!#REF!</f>
        <v>#REF!</v>
      </c>
      <c r="I93" s="90" t="e">
        <f>MRS!#REF!</f>
        <v>#REF!</v>
      </c>
      <c r="J93" s="90" t="e">
        <f>MRS!#REF!</f>
        <v>#REF!</v>
      </c>
      <c r="K93" s="91"/>
      <c r="O93" s="92"/>
      <c r="P93" s="92"/>
      <c r="R93" s="92"/>
    </row>
    <row r="94" spans="1:18" ht="105" customHeight="1">
      <c r="A94" s="17" t="e">
        <f>+MRS!#REF!</f>
        <v>#REF!</v>
      </c>
      <c r="B94" s="158" t="e">
        <f>MRS!#REF!</f>
        <v>#REF!</v>
      </c>
      <c r="C94" s="159"/>
      <c r="D94" s="160" t="e">
        <f>MRS!#REF!</f>
        <v>#REF!</v>
      </c>
      <c r="E94" s="161"/>
      <c r="F94" s="162"/>
      <c r="G94" s="89" t="e">
        <f>MRS!#REF!</f>
        <v>#REF!</v>
      </c>
      <c r="H94" s="89" t="e">
        <f>MRS!#REF!</f>
        <v>#REF!</v>
      </c>
      <c r="I94" s="90" t="e">
        <f>MRS!#REF!</f>
        <v>#REF!</v>
      </c>
      <c r="J94" s="90" t="e">
        <f>MRS!#REF!</f>
        <v>#REF!</v>
      </c>
      <c r="K94" s="91"/>
      <c r="O94" s="92"/>
      <c r="P94" s="92"/>
      <c r="R94" s="92"/>
    </row>
    <row r="95" spans="1:18" ht="105" customHeight="1">
      <c r="A95" s="17" t="e">
        <f>+MRS!#REF!</f>
        <v>#REF!</v>
      </c>
      <c r="B95" s="158" t="e">
        <f>MRS!#REF!</f>
        <v>#REF!</v>
      </c>
      <c r="C95" s="159"/>
      <c r="D95" s="160" t="e">
        <f>MRS!#REF!</f>
        <v>#REF!</v>
      </c>
      <c r="E95" s="161"/>
      <c r="F95" s="162"/>
      <c r="G95" s="89" t="e">
        <f>MRS!#REF!</f>
        <v>#REF!</v>
      </c>
      <c r="H95" s="89" t="e">
        <f>MRS!#REF!</f>
        <v>#REF!</v>
      </c>
      <c r="I95" s="90" t="e">
        <f>MRS!#REF!</f>
        <v>#REF!</v>
      </c>
      <c r="J95" s="90" t="e">
        <f>MRS!#REF!</f>
        <v>#REF!</v>
      </c>
      <c r="K95" s="91"/>
      <c r="O95" s="92"/>
      <c r="P95" s="92"/>
      <c r="R95" s="92"/>
    </row>
    <row r="96" spans="1:18" ht="105" customHeight="1">
      <c r="A96" s="17" t="e">
        <f>+MRS!#REF!</f>
        <v>#REF!</v>
      </c>
      <c r="B96" s="158" t="e">
        <f>MRS!#REF!</f>
        <v>#REF!</v>
      </c>
      <c r="C96" s="159"/>
      <c r="D96" s="160" t="e">
        <f>MRS!#REF!</f>
        <v>#REF!</v>
      </c>
      <c r="E96" s="161"/>
      <c r="F96" s="162"/>
      <c r="G96" s="89" t="e">
        <f>MRS!#REF!</f>
        <v>#REF!</v>
      </c>
      <c r="H96" s="89" t="e">
        <f>MRS!#REF!</f>
        <v>#REF!</v>
      </c>
      <c r="I96" s="90" t="e">
        <f>MRS!#REF!</f>
        <v>#REF!</v>
      </c>
      <c r="J96" s="90" t="e">
        <f>MRS!#REF!</f>
        <v>#REF!</v>
      </c>
      <c r="K96" s="91"/>
      <c r="O96" s="92"/>
      <c r="P96" s="92"/>
      <c r="R96" s="92"/>
    </row>
    <row r="97" spans="1:18" ht="105" customHeight="1">
      <c r="A97" s="17" t="e">
        <f>+MRS!#REF!</f>
        <v>#REF!</v>
      </c>
      <c r="B97" s="158" t="e">
        <f>MRS!#REF!</f>
        <v>#REF!</v>
      </c>
      <c r="C97" s="159"/>
      <c r="D97" s="160" t="e">
        <f>MRS!#REF!</f>
        <v>#REF!</v>
      </c>
      <c r="E97" s="161"/>
      <c r="F97" s="162"/>
      <c r="G97" s="89" t="e">
        <f>MRS!#REF!</f>
        <v>#REF!</v>
      </c>
      <c r="H97" s="89" t="e">
        <f>MRS!#REF!</f>
        <v>#REF!</v>
      </c>
      <c r="I97" s="90" t="e">
        <f>MRS!#REF!</f>
        <v>#REF!</v>
      </c>
      <c r="J97" s="90" t="e">
        <f>MRS!#REF!</f>
        <v>#REF!</v>
      </c>
      <c r="K97" s="91"/>
      <c r="O97" s="92"/>
      <c r="P97" s="92"/>
      <c r="R97" s="92"/>
    </row>
    <row r="98" spans="1:18" ht="105" customHeight="1">
      <c r="A98" s="17" t="e">
        <f>+MRS!#REF!</f>
        <v>#REF!</v>
      </c>
      <c r="B98" s="158" t="e">
        <f>MRS!#REF!</f>
        <v>#REF!</v>
      </c>
      <c r="C98" s="159"/>
      <c r="D98" s="160" t="e">
        <f>MRS!#REF!</f>
        <v>#REF!</v>
      </c>
      <c r="E98" s="161"/>
      <c r="F98" s="162"/>
      <c r="G98" s="89" t="e">
        <f>MRS!#REF!</f>
        <v>#REF!</v>
      </c>
      <c r="H98" s="89" t="e">
        <f>MRS!#REF!</f>
        <v>#REF!</v>
      </c>
      <c r="I98" s="90" t="e">
        <f>MRS!#REF!</f>
        <v>#REF!</v>
      </c>
      <c r="J98" s="90" t="e">
        <f>MRS!#REF!</f>
        <v>#REF!</v>
      </c>
      <c r="K98" s="91"/>
      <c r="O98" s="92"/>
      <c r="P98" s="92"/>
      <c r="R98" s="92"/>
    </row>
    <row r="99" spans="1:18" ht="105" customHeight="1">
      <c r="A99" s="17" t="e">
        <f>+MRS!#REF!</f>
        <v>#REF!</v>
      </c>
      <c r="B99" s="158" t="e">
        <f>MRS!#REF!</f>
        <v>#REF!</v>
      </c>
      <c r="C99" s="159"/>
      <c r="D99" s="160" t="e">
        <f>MRS!#REF!</f>
        <v>#REF!</v>
      </c>
      <c r="E99" s="161"/>
      <c r="F99" s="162"/>
      <c r="G99" s="89" t="e">
        <f>MRS!#REF!</f>
        <v>#REF!</v>
      </c>
      <c r="H99" s="89" t="e">
        <f>MRS!#REF!</f>
        <v>#REF!</v>
      </c>
      <c r="I99" s="90" t="e">
        <f>MRS!#REF!</f>
        <v>#REF!</v>
      </c>
      <c r="J99" s="90" t="e">
        <f>MRS!#REF!</f>
        <v>#REF!</v>
      </c>
      <c r="K99" s="91"/>
      <c r="O99" s="92"/>
      <c r="P99" s="92"/>
      <c r="R99" s="92"/>
    </row>
    <row r="100" spans="1:18" ht="105" customHeight="1">
      <c r="A100" s="17" t="e">
        <f>+MRS!#REF!</f>
        <v>#REF!</v>
      </c>
      <c r="B100" s="158" t="e">
        <f>MRS!#REF!</f>
        <v>#REF!</v>
      </c>
      <c r="C100" s="159"/>
      <c r="D100" s="160" t="e">
        <f>MRS!#REF!</f>
        <v>#REF!</v>
      </c>
      <c r="E100" s="161"/>
      <c r="F100" s="162"/>
      <c r="G100" s="89" t="e">
        <f>MRS!#REF!</f>
        <v>#REF!</v>
      </c>
      <c r="H100" s="89" t="e">
        <f>MRS!#REF!</f>
        <v>#REF!</v>
      </c>
      <c r="I100" s="90" t="e">
        <f>MRS!#REF!</f>
        <v>#REF!</v>
      </c>
      <c r="J100" s="90" t="e">
        <f>MRS!#REF!</f>
        <v>#REF!</v>
      </c>
      <c r="K100" s="91"/>
      <c r="O100" s="92"/>
      <c r="P100" s="92"/>
      <c r="R100" s="92"/>
    </row>
    <row r="101" spans="1:18" ht="105" customHeight="1">
      <c r="A101" s="17" t="e">
        <f>+MRS!#REF!</f>
        <v>#REF!</v>
      </c>
      <c r="B101" s="158" t="e">
        <f>MRS!#REF!</f>
        <v>#REF!</v>
      </c>
      <c r="C101" s="159"/>
      <c r="D101" s="160" t="e">
        <f>MRS!#REF!</f>
        <v>#REF!</v>
      </c>
      <c r="E101" s="161"/>
      <c r="F101" s="162"/>
      <c r="G101" s="89" t="e">
        <f>MRS!#REF!</f>
        <v>#REF!</v>
      </c>
      <c r="H101" s="89" t="e">
        <f>MRS!#REF!</f>
        <v>#REF!</v>
      </c>
      <c r="I101" s="90" t="e">
        <f>MRS!#REF!</f>
        <v>#REF!</v>
      </c>
      <c r="J101" s="90" t="e">
        <f>MRS!#REF!</f>
        <v>#REF!</v>
      </c>
      <c r="K101" s="91"/>
      <c r="O101" s="92"/>
      <c r="P101" s="92"/>
      <c r="R101" s="92"/>
    </row>
    <row r="102" spans="1:18" ht="105" customHeight="1">
      <c r="A102" s="17" t="e">
        <f>+MRS!#REF!</f>
        <v>#REF!</v>
      </c>
      <c r="B102" s="158" t="e">
        <f>MRS!#REF!</f>
        <v>#REF!</v>
      </c>
      <c r="C102" s="159"/>
      <c r="D102" s="160" t="e">
        <f>MRS!#REF!</f>
        <v>#REF!</v>
      </c>
      <c r="E102" s="161"/>
      <c r="F102" s="162"/>
      <c r="G102" s="89" t="e">
        <f>MRS!#REF!</f>
        <v>#REF!</v>
      </c>
      <c r="H102" s="89" t="e">
        <f>MRS!#REF!</f>
        <v>#REF!</v>
      </c>
      <c r="I102" s="90" t="e">
        <f>MRS!#REF!</f>
        <v>#REF!</v>
      </c>
      <c r="J102" s="90" t="e">
        <f>MRS!#REF!</f>
        <v>#REF!</v>
      </c>
      <c r="K102" s="91"/>
      <c r="O102" s="92"/>
      <c r="P102" s="92"/>
      <c r="R102" s="92"/>
    </row>
    <row r="103" spans="1:18" ht="105" customHeight="1">
      <c r="A103" s="17" t="e">
        <f>+MRS!#REF!</f>
        <v>#REF!</v>
      </c>
      <c r="B103" s="158" t="e">
        <f>MRS!#REF!</f>
        <v>#REF!</v>
      </c>
      <c r="C103" s="159"/>
      <c r="D103" s="160" t="e">
        <f>MRS!#REF!</f>
        <v>#REF!</v>
      </c>
      <c r="E103" s="161"/>
      <c r="F103" s="162"/>
      <c r="G103" s="89" t="e">
        <f>MRS!#REF!</f>
        <v>#REF!</v>
      </c>
      <c r="H103" s="89" t="e">
        <f>MRS!#REF!</f>
        <v>#REF!</v>
      </c>
      <c r="I103" s="90" t="e">
        <f>MRS!#REF!</f>
        <v>#REF!</v>
      </c>
      <c r="J103" s="90" t="e">
        <f>MRS!#REF!</f>
        <v>#REF!</v>
      </c>
      <c r="K103" s="91"/>
      <c r="O103" s="92"/>
      <c r="P103" s="92"/>
      <c r="R103" s="92"/>
    </row>
    <row r="104" spans="1:18" ht="105" customHeight="1">
      <c r="A104" s="17" t="e">
        <f>+MRS!#REF!</f>
        <v>#REF!</v>
      </c>
      <c r="B104" s="158" t="e">
        <f>MRS!#REF!</f>
        <v>#REF!</v>
      </c>
      <c r="C104" s="159"/>
      <c r="D104" s="160" t="e">
        <f>MRS!#REF!</f>
        <v>#REF!</v>
      </c>
      <c r="E104" s="161"/>
      <c r="F104" s="162"/>
      <c r="G104" s="89" t="e">
        <f>MRS!#REF!</f>
        <v>#REF!</v>
      </c>
      <c r="H104" s="89" t="e">
        <f>MRS!#REF!</f>
        <v>#REF!</v>
      </c>
      <c r="I104" s="90" t="e">
        <f>MRS!#REF!</f>
        <v>#REF!</v>
      </c>
      <c r="J104" s="90" t="e">
        <f>MRS!#REF!</f>
        <v>#REF!</v>
      </c>
      <c r="K104" s="91"/>
      <c r="O104" s="92"/>
      <c r="P104" s="92"/>
      <c r="R104" s="92"/>
    </row>
    <row r="105" spans="1:18" ht="105" customHeight="1">
      <c r="A105" s="17" t="e">
        <f>+MRS!#REF!</f>
        <v>#REF!</v>
      </c>
      <c r="B105" s="158" t="e">
        <f>MRS!#REF!</f>
        <v>#REF!</v>
      </c>
      <c r="C105" s="159"/>
      <c r="D105" s="160" t="e">
        <f>MRS!#REF!</f>
        <v>#REF!</v>
      </c>
      <c r="E105" s="161"/>
      <c r="F105" s="162"/>
      <c r="G105" s="89" t="e">
        <f>MRS!#REF!</f>
        <v>#REF!</v>
      </c>
      <c r="H105" s="89" t="e">
        <f>MRS!#REF!</f>
        <v>#REF!</v>
      </c>
      <c r="I105" s="90" t="e">
        <f>MRS!#REF!</f>
        <v>#REF!</v>
      </c>
      <c r="J105" s="90" t="e">
        <f>MRS!#REF!</f>
        <v>#REF!</v>
      </c>
      <c r="K105" s="91"/>
      <c r="O105" s="92"/>
      <c r="P105" s="92"/>
      <c r="R105" s="92"/>
    </row>
    <row r="106" spans="1:18" ht="105" customHeight="1">
      <c r="A106" s="17" t="e">
        <f>+MRS!#REF!</f>
        <v>#REF!</v>
      </c>
      <c r="B106" s="158" t="e">
        <f>MRS!#REF!</f>
        <v>#REF!</v>
      </c>
      <c r="C106" s="159"/>
      <c r="D106" s="160" t="e">
        <f>MRS!#REF!</f>
        <v>#REF!</v>
      </c>
      <c r="E106" s="161"/>
      <c r="F106" s="162"/>
      <c r="G106" s="89" t="e">
        <f>MRS!#REF!</f>
        <v>#REF!</v>
      </c>
      <c r="H106" s="89" t="e">
        <f>MRS!#REF!</f>
        <v>#REF!</v>
      </c>
      <c r="I106" s="90" t="e">
        <f>MRS!#REF!</f>
        <v>#REF!</v>
      </c>
      <c r="J106" s="90" t="e">
        <f>MRS!#REF!</f>
        <v>#REF!</v>
      </c>
      <c r="K106" s="91"/>
      <c r="O106" s="92"/>
      <c r="P106" s="92"/>
      <c r="R106" s="92"/>
    </row>
    <row r="107" spans="1:18" ht="105" customHeight="1">
      <c r="A107" s="17" t="e">
        <f>+MRS!#REF!</f>
        <v>#REF!</v>
      </c>
      <c r="B107" s="158" t="e">
        <f>MRS!#REF!</f>
        <v>#REF!</v>
      </c>
      <c r="C107" s="159"/>
      <c r="D107" s="160" t="e">
        <f>MRS!#REF!</f>
        <v>#REF!</v>
      </c>
      <c r="E107" s="161"/>
      <c r="F107" s="162"/>
      <c r="G107" s="89" t="e">
        <f>MRS!#REF!</f>
        <v>#REF!</v>
      </c>
      <c r="H107" s="89" t="e">
        <f>MRS!#REF!</f>
        <v>#REF!</v>
      </c>
      <c r="I107" s="90" t="e">
        <f>MRS!#REF!</f>
        <v>#REF!</v>
      </c>
      <c r="J107" s="90" t="e">
        <f>MRS!#REF!</f>
        <v>#REF!</v>
      </c>
      <c r="K107" s="91"/>
      <c r="O107" s="92"/>
      <c r="P107" s="92"/>
      <c r="R107" s="92"/>
    </row>
    <row r="108" spans="1:18" ht="105" customHeight="1">
      <c r="A108" s="17" t="e">
        <f>+MRS!#REF!</f>
        <v>#REF!</v>
      </c>
      <c r="B108" s="158" t="e">
        <f>MRS!#REF!</f>
        <v>#REF!</v>
      </c>
      <c r="C108" s="159"/>
      <c r="D108" s="160" t="e">
        <f>MRS!#REF!</f>
        <v>#REF!</v>
      </c>
      <c r="E108" s="161"/>
      <c r="F108" s="162"/>
      <c r="G108" s="89" t="e">
        <f>MRS!#REF!</f>
        <v>#REF!</v>
      </c>
      <c r="H108" s="89" t="e">
        <f>MRS!#REF!</f>
        <v>#REF!</v>
      </c>
      <c r="I108" s="90" t="e">
        <f>MRS!#REF!</f>
        <v>#REF!</v>
      </c>
      <c r="J108" s="90" t="e">
        <f>MRS!#REF!</f>
        <v>#REF!</v>
      </c>
      <c r="K108" s="91"/>
      <c r="O108" s="92"/>
      <c r="P108" s="92"/>
      <c r="R108" s="92"/>
    </row>
    <row r="109" spans="1:18" ht="105" customHeight="1">
      <c r="A109" s="17" t="e">
        <f>+MRS!#REF!</f>
        <v>#REF!</v>
      </c>
      <c r="B109" s="158" t="e">
        <f>MRS!#REF!</f>
        <v>#REF!</v>
      </c>
      <c r="C109" s="159"/>
      <c r="D109" s="160" t="e">
        <f>MRS!#REF!</f>
        <v>#REF!</v>
      </c>
      <c r="E109" s="161"/>
      <c r="F109" s="162"/>
      <c r="G109" s="89" t="e">
        <f>MRS!#REF!</f>
        <v>#REF!</v>
      </c>
      <c r="H109" s="89" t="e">
        <f>MRS!#REF!</f>
        <v>#REF!</v>
      </c>
      <c r="I109" s="90" t="e">
        <f>MRS!#REF!</f>
        <v>#REF!</v>
      </c>
      <c r="J109" s="90" t="e">
        <f>MRS!#REF!</f>
        <v>#REF!</v>
      </c>
      <c r="K109" s="91"/>
      <c r="O109" s="92"/>
      <c r="P109" s="92"/>
      <c r="R109" s="92"/>
    </row>
    <row r="110" spans="1:18" ht="105" customHeight="1">
      <c r="A110" s="17" t="e">
        <f>+MRS!#REF!</f>
        <v>#REF!</v>
      </c>
      <c r="B110" s="158" t="e">
        <f>MRS!#REF!</f>
        <v>#REF!</v>
      </c>
      <c r="C110" s="159"/>
      <c r="D110" s="160" t="e">
        <f>MRS!#REF!</f>
        <v>#REF!</v>
      </c>
      <c r="E110" s="161"/>
      <c r="F110" s="162"/>
      <c r="G110" s="89" t="e">
        <f>MRS!#REF!</f>
        <v>#REF!</v>
      </c>
      <c r="H110" s="89" t="e">
        <f>MRS!#REF!</f>
        <v>#REF!</v>
      </c>
      <c r="I110" s="90" t="e">
        <f>MRS!#REF!</f>
        <v>#REF!</v>
      </c>
      <c r="J110" s="90" t="e">
        <f>MRS!#REF!</f>
        <v>#REF!</v>
      </c>
      <c r="K110" s="91"/>
      <c r="O110" s="92"/>
      <c r="P110" s="92"/>
      <c r="R110" s="92"/>
    </row>
    <row r="111" spans="1:18" ht="105" customHeight="1">
      <c r="A111" s="17" t="e">
        <f>+MRS!#REF!</f>
        <v>#REF!</v>
      </c>
      <c r="B111" s="158" t="e">
        <f>MRS!#REF!</f>
        <v>#REF!</v>
      </c>
      <c r="C111" s="159"/>
      <c r="D111" s="160" t="e">
        <f>MRS!#REF!</f>
        <v>#REF!</v>
      </c>
      <c r="E111" s="161"/>
      <c r="F111" s="162"/>
      <c r="G111" s="89" t="e">
        <f>MRS!#REF!</f>
        <v>#REF!</v>
      </c>
      <c r="H111" s="89" t="e">
        <f>MRS!#REF!</f>
        <v>#REF!</v>
      </c>
      <c r="I111" s="90" t="e">
        <f>MRS!#REF!</f>
        <v>#REF!</v>
      </c>
      <c r="J111" s="90" t="e">
        <f>MRS!#REF!</f>
        <v>#REF!</v>
      </c>
      <c r="K111" s="91"/>
      <c r="O111" s="92"/>
      <c r="P111" s="92"/>
      <c r="R111" s="92"/>
    </row>
    <row r="112" spans="1:18" ht="105" customHeight="1">
      <c r="A112" s="17" t="e">
        <f>+MRS!#REF!</f>
        <v>#REF!</v>
      </c>
      <c r="B112" s="158" t="e">
        <f>MRS!#REF!</f>
        <v>#REF!</v>
      </c>
      <c r="C112" s="159"/>
      <c r="D112" s="160" t="e">
        <f>MRS!#REF!</f>
        <v>#REF!</v>
      </c>
      <c r="E112" s="161"/>
      <c r="F112" s="162"/>
      <c r="G112" s="89" t="e">
        <f>MRS!#REF!</f>
        <v>#REF!</v>
      </c>
      <c r="H112" s="89" t="e">
        <f>MRS!#REF!</f>
        <v>#REF!</v>
      </c>
      <c r="I112" s="90" t="e">
        <f>MRS!#REF!</f>
        <v>#REF!</v>
      </c>
      <c r="J112" s="90" t="e">
        <f>MRS!#REF!</f>
        <v>#REF!</v>
      </c>
      <c r="K112" s="91"/>
      <c r="O112" s="92"/>
      <c r="P112" s="92"/>
      <c r="R112" s="92"/>
    </row>
    <row r="113" spans="1:18" ht="105" customHeight="1">
      <c r="A113" s="17" t="e">
        <f>+MRS!#REF!</f>
        <v>#REF!</v>
      </c>
      <c r="B113" s="158" t="e">
        <f>MRS!#REF!</f>
        <v>#REF!</v>
      </c>
      <c r="C113" s="159"/>
      <c r="D113" s="160" t="e">
        <f>MRS!#REF!</f>
        <v>#REF!</v>
      </c>
      <c r="E113" s="161"/>
      <c r="F113" s="162"/>
      <c r="G113" s="89" t="e">
        <f>MRS!#REF!</f>
        <v>#REF!</v>
      </c>
      <c r="H113" s="89" t="e">
        <f>MRS!#REF!</f>
        <v>#REF!</v>
      </c>
      <c r="I113" s="90" t="e">
        <f>MRS!#REF!</f>
        <v>#REF!</v>
      </c>
      <c r="J113" s="90" t="e">
        <f>MRS!#REF!</f>
        <v>#REF!</v>
      </c>
      <c r="K113" s="91"/>
      <c r="O113" s="92"/>
      <c r="P113" s="92"/>
      <c r="R113" s="92"/>
    </row>
    <row r="114" spans="1:18" ht="105" customHeight="1">
      <c r="A114" s="17" t="e">
        <f>+MRS!#REF!</f>
        <v>#REF!</v>
      </c>
      <c r="B114" s="158" t="e">
        <f>MRS!#REF!</f>
        <v>#REF!</v>
      </c>
      <c r="C114" s="159"/>
      <c r="D114" s="160" t="e">
        <f>MRS!#REF!</f>
        <v>#REF!</v>
      </c>
      <c r="E114" s="161"/>
      <c r="F114" s="162"/>
      <c r="G114" s="89" t="e">
        <f>MRS!#REF!</f>
        <v>#REF!</v>
      </c>
      <c r="H114" s="89" t="e">
        <f>MRS!#REF!</f>
        <v>#REF!</v>
      </c>
      <c r="I114" s="90" t="e">
        <f>MRS!#REF!</f>
        <v>#REF!</v>
      </c>
      <c r="J114" s="90" t="e">
        <f>MRS!#REF!</f>
        <v>#REF!</v>
      </c>
      <c r="K114" s="91"/>
      <c r="O114" s="92"/>
      <c r="P114" s="92"/>
      <c r="R114" s="92"/>
    </row>
    <row r="115" spans="1:18" ht="105" customHeight="1">
      <c r="A115" s="17" t="e">
        <f>+MRS!#REF!</f>
        <v>#REF!</v>
      </c>
      <c r="B115" s="158" t="e">
        <f>MRS!#REF!</f>
        <v>#REF!</v>
      </c>
      <c r="C115" s="159"/>
      <c r="D115" s="160" t="e">
        <f>MRS!#REF!</f>
        <v>#REF!</v>
      </c>
      <c r="E115" s="161"/>
      <c r="F115" s="162"/>
      <c r="G115" s="89" t="e">
        <f>MRS!#REF!</f>
        <v>#REF!</v>
      </c>
      <c r="H115" s="89" t="e">
        <f>MRS!#REF!</f>
        <v>#REF!</v>
      </c>
      <c r="I115" s="90" t="e">
        <f>MRS!#REF!</f>
        <v>#REF!</v>
      </c>
      <c r="J115" s="90" t="e">
        <f>MRS!#REF!</f>
        <v>#REF!</v>
      </c>
      <c r="K115" s="91"/>
      <c r="O115" s="92"/>
      <c r="P115" s="92"/>
      <c r="R115" s="92"/>
    </row>
    <row r="116" spans="1:18" ht="105" customHeight="1">
      <c r="A116" s="17" t="e">
        <f>+MRS!#REF!</f>
        <v>#REF!</v>
      </c>
      <c r="B116" s="158" t="e">
        <f>MRS!#REF!</f>
        <v>#REF!</v>
      </c>
      <c r="C116" s="159"/>
      <c r="D116" s="160" t="e">
        <f>MRS!#REF!</f>
        <v>#REF!</v>
      </c>
      <c r="E116" s="161"/>
      <c r="F116" s="162"/>
      <c r="G116" s="89" t="e">
        <f>MRS!#REF!</f>
        <v>#REF!</v>
      </c>
      <c r="H116" s="89" t="e">
        <f>MRS!#REF!</f>
        <v>#REF!</v>
      </c>
      <c r="I116" s="90" t="e">
        <f>MRS!#REF!</f>
        <v>#REF!</v>
      </c>
      <c r="J116" s="90" t="e">
        <f>MRS!#REF!</f>
        <v>#REF!</v>
      </c>
      <c r="K116" s="91"/>
      <c r="O116" s="92"/>
      <c r="P116" s="92"/>
      <c r="R116" s="92"/>
    </row>
    <row r="117" spans="1:18" ht="105" customHeight="1">
      <c r="A117" s="17" t="e">
        <f>+MRS!#REF!</f>
        <v>#REF!</v>
      </c>
      <c r="B117" s="158" t="e">
        <f>MRS!#REF!</f>
        <v>#REF!</v>
      </c>
      <c r="C117" s="159"/>
      <c r="D117" s="160" t="e">
        <f>MRS!#REF!</f>
        <v>#REF!</v>
      </c>
      <c r="E117" s="161"/>
      <c r="F117" s="162"/>
      <c r="G117" s="89" t="e">
        <f>MRS!#REF!</f>
        <v>#REF!</v>
      </c>
      <c r="H117" s="89" t="e">
        <f>MRS!#REF!</f>
        <v>#REF!</v>
      </c>
      <c r="I117" s="90" t="e">
        <f>MRS!#REF!</f>
        <v>#REF!</v>
      </c>
      <c r="J117" s="90" t="e">
        <f>MRS!#REF!</f>
        <v>#REF!</v>
      </c>
      <c r="K117" s="91"/>
      <c r="O117" s="92"/>
      <c r="P117" s="92"/>
      <c r="R117" s="92"/>
    </row>
  </sheetData>
  <mergeCells count="234">
    <mergeCell ref="B115:C115"/>
    <mergeCell ref="D115:F115"/>
    <mergeCell ref="B116:C116"/>
    <mergeCell ref="D116:F116"/>
    <mergeCell ref="B117:C117"/>
    <mergeCell ref="D117:F117"/>
    <mergeCell ref="B112:C112"/>
    <mergeCell ref="D112:F112"/>
    <mergeCell ref="B113:C113"/>
    <mergeCell ref="D113:F113"/>
    <mergeCell ref="B114:C114"/>
    <mergeCell ref="D114:F114"/>
    <mergeCell ref="B109:C109"/>
    <mergeCell ref="D109:F109"/>
    <mergeCell ref="B110:C110"/>
    <mergeCell ref="D110:F110"/>
    <mergeCell ref="B111:C111"/>
    <mergeCell ref="D111:F111"/>
    <mergeCell ref="B106:C106"/>
    <mergeCell ref="D106:F106"/>
    <mergeCell ref="B107:C107"/>
    <mergeCell ref="D107:F107"/>
    <mergeCell ref="B108:C108"/>
    <mergeCell ref="D108:F108"/>
    <mergeCell ref="B103:C103"/>
    <mergeCell ref="D103:F103"/>
    <mergeCell ref="B104:C104"/>
    <mergeCell ref="D104:F104"/>
    <mergeCell ref="B105:C105"/>
    <mergeCell ref="D105:F105"/>
    <mergeCell ref="B100:C100"/>
    <mergeCell ref="D100:F100"/>
    <mergeCell ref="B101:C101"/>
    <mergeCell ref="D101:F101"/>
    <mergeCell ref="B102:C102"/>
    <mergeCell ref="D102:F102"/>
    <mergeCell ref="B97:C97"/>
    <mergeCell ref="D97:F97"/>
    <mergeCell ref="B98:C98"/>
    <mergeCell ref="D98:F98"/>
    <mergeCell ref="B99:C99"/>
    <mergeCell ref="D99:F99"/>
    <mergeCell ref="B94:C94"/>
    <mergeCell ref="D94:F94"/>
    <mergeCell ref="B95:C95"/>
    <mergeCell ref="D95:F95"/>
    <mergeCell ref="B96:C96"/>
    <mergeCell ref="D96:F96"/>
    <mergeCell ref="B91:C91"/>
    <mergeCell ref="D91:F91"/>
    <mergeCell ref="B92:C92"/>
    <mergeCell ref="D92:F92"/>
    <mergeCell ref="B93:C93"/>
    <mergeCell ref="D93:F93"/>
    <mergeCell ref="B88:C88"/>
    <mergeCell ref="D88:F88"/>
    <mergeCell ref="B89:C89"/>
    <mergeCell ref="D89:F89"/>
    <mergeCell ref="B90:C90"/>
    <mergeCell ref="D90:F90"/>
    <mergeCell ref="B85:C85"/>
    <mergeCell ref="D85:F85"/>
    <mergeCell ref="B86:C86"/>
    <mergeCell ref="D86:F86"/>
    <mergeCell ref="B87:C87"/>
    <mergeCell ref="D87:F87"/>
    <mergeCell ref="B82:C82"/>
    <mergeCell ref="D82:F82"/>
    <mergeCell ref="B83:C83"/>
    <mergeCell ref="D83:F83"/>
    <mergeCell ref="B84:C84"/>
    <mergeCell ref="D84:F84"/>
    <mergeCell ref="B79:C79"/>
    <mergeCell ref="D79:F79"/>
    <mergeCell ref="B80:C80"/>
    <mergeCell ref="D80:F80"/>
    <mergeCell ref="B81:C81"/>
    <mergeCell ref="D81:F81"/>
    <mergeCell ref="B76:C76"/>
    <mergeCell ref="D76:F76"/>
    <mergeCell ref="B77:C77"/>
    <mergeCell ref="D77:F77"/>
    <mergeCell ref="B78:C78"/>
    <mergeCell ref="D78:F78"/>
    <mergeCell ref="B73:C73"/>
    <mergeCell ref="D73:F73"/>
    <mergeCell ref="B74:C74"/>
    <mergeCell ref="D74:F74"/>
    <mergeCell ref="B75:C75"/>
    <mergeCell ref="D75:F75"/>
    <mergeCell ref="B70:C70"/>
    <mergeCell ref="D70:F70"/>
    <mergeCell ref="B71:C71"/>
    <mergeCell ref="D71:F71"/>
    <mergeCell ref="B72:C72"/>
    <mergeCell ref="D72:F72"/>
    <mergeCell ref="B67:C67"/>
    <mergeCell ref="D67:F67"/>
    <mergeCell ref="B68:C68"/>
    <mergeCell ref="D68:F68"/>
    <mergeCell ref="B69:C69"/>
    <mergeCell ref="D69:F69"/>
    <mergeCell ref="B64:C64"/>
    <mergeCell ref="D64:F64"/>
    <mergeCell ref="B65:C65"/>
    <mergeCell ref="D65:F65"/>
    <mergeCell ref="B66:C66"/>
    <mergeCell ref="D66:F66"/>
    <mergeCell ref="B61:C61"/>
    <mergeCell ref="D61:F61"/>
    <mergeCell ref="B62:C62"/>
    <mergeCell ref="D62:F62"/>
    <mergeCell ref="B63:C63"/>
    <mergeCell ref="D63:F63"/>
    <mergeCell ref="B58:C58"/>
    <mergeCell ref="D58:F58"/>
    <mergeCell ref="B59:C59"/>
    <mergeCell ref="D59:F59"/>
    <mergeCell ref="B60:C60"/>
    <mergeCell ref="D60:F60"/>
    <mergeCell ref="B55:C55"/>
    <mergeCell ref="D55:F55"/>
    <mergeCell ref="B56:C56"/>
    <mergeCell ref="D56:F56"/>
    <mergeCell ref="B57:C57"/>
    <mergeCell ref="D57:F57"/>
    <mergeCell ref="B52:C52"/>
    <mergeCell ref="D52:F52"/>
    <mergeCell ref="B53:C53"/>
    <mergeCell ref="D53:F53"/>
    <mergeCell ref="B54:C54"/>
    <mergeCell ref="D54:F54"/>
    <mergeCell ref="B49:C49"/>
    <mergeCell ref="D49:F49"/>
    <mergeCell ref="B50:C50"/>
    <mergeCell ref="D50:F50"/>
    <mergeCell ref="B51:C51"/>
    <mergeCell ref="D51:F51"/>
    <mergeCell ref="B46:C46"/>
    <mergeCell ref="D46:F46"/>
    <mergeCell ref="B47:C47"/>
    <mergeCell ref="D47:F47"/>
    <mergeCell ref="B48:C48"/>
    <mergeCell ref="D48:F48"/>
    <mergeCell ref="B43:C43"/>
    <mergeCell ref="D43:F43"/>
    <mergeCell ref="B44:C44"/>
    <mergeCell ref="D44:F44"/>
    <mergeCell ref="B45:C45"/>
    <mergeCell ref="D45:F45"/>
    <mergeCell ref="B40:C40"/>
    <mergeCell ref="D40:F40"/>
    <mergeCell ref="B41:C41"/>
    <mergeCell ref="D41:F41"/>
    <mergeCell ref="B42:C42"/>
    <mergeCell ref="D42:F42"/>
    <mergeCell ref="B37:C37"/>
    <mergeCell ref="D37:F37"/>
    <mergeCell ref="B38:C38"/>
    <mergeCell ref="D38:F38"/>
    <mergeCell ref="B39:C39"/>
    <mergeCell ref="D39:F39"/>
    <mergeCell ref="B34:C34"/>
    <mergeCell ref="D34:F34"/>
    <mergeCell ref="B35:C35"/>
    <mergeCell ref="D35:F35"/>
    <mergeCell ref="B36:C36"/>
    <mergeCell ref="D36:F36"/>
    <mergeCell ref="B31:C31"/>
    <mergeCell ref="D31:F31"/>
    <mergeCell ref="B32:C32"/>
    <mergeCell ref="D32:F32"/>
    <mergeCell ref="B33:C33"/>
    <mergeCell ref="D33:F33"/>
    <mergeCell ref="B28:C28"/>
    <mergeCell ref="D28:F28"/>
    <mergeCell ref="B29:C29"/>
    <mergeCell ref="D29:F29"/>
    <mergeCell ref="B30:C30"/>
    <mergeCell ref="D30:F30"/>
    <mergeCell ref="B25:C25"/>
    <mergeCell ref="D25:F25"/>
    <mergeCell ref="B26:C26"/>
    <mergeCell ref="D26:F26"/>
    <mergeCell ref="B27:C27"/>
    <mergeCell ref="D27:F27"/>
    <mergeCell ref="B22:C22"/>
    <mergeCell ref="D22:F22"/>
    <mergeCell ref="B23:C23"/>
    <mergeCell ref="D23:F23"/>
    <mergeCell ref="B24:C24"/>
    <mergeCell ref="D24:F24"/>
    <mergeCell ref="D17:F17"/>
    <mergeCell ref="J1:K1"/>
    <mergeCell ref="J2:K2"/>
    <mergeCell ref="B7:C7"/>
    <mergeCell ref="D7:F7"/>
    <mergeCell ref="B8:C8"/>
    <mergeCell ref="D8:F8"/>
    <mergeCell ref="B9:C9"/>
    <mergeCell ref="D9:F9"/>
    <mergeCell ref="B10:C10"/>
    <mergeCell ref="D10:F10"/>
    <mergeCell ref="G4:G5"/>
    <mergeCell ref="H4:H5"/>
    <mergeCell ref="I4:I5"/>
    <mergeCell ref="J4:J5"/>
    <mergeCell ref="K4:K5"/>
    <mergeCell ref="B6:C6"/>
    <mergeCell ref="D6:F6"/>
    <mergeCell ref="A4:A5"/>
    <mergeCell ref="B4:C5"/>
    <mergeCell ref="D4:F5"/>
    <mergeCell ref="B21:C21"/>
    <mergeCell ref="D21:F21"/>
    <mergeCell ref="B18:C18"/>
    <mergeCell ref="D18:F18"/>
    <mergeCell ref="B19:C19"/>
    <mergeCell ref="D19:F19"/>
    <mergeCell ref="B20:C20"/>
    <mergeCell ref="D20:F2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18" zoomScale="130" zoomScaleNormal="100" zoomScaleSheetLayoutView="130" workbookViewId="0">
      <selection activeCell="L35" sqref="L35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2.42578125" style="22" bestFit="1" customWidth="1"/>
    <col min="5" max="5" width="2.5703125" style="22" customWidth="1"/>
    <col min="6" max="6" width="15.42578125" style="22" customWidth="1"/>
    <col min="7" max="7" width="6.5703125" style="22" customWidth="1"/>
    <col min="8" max="10" width="9.140625" style="22"/>
    <col min="11" max="11" width="9.7109375" style="22" bestFit="1" customWidth="1"/>
    <col min="12" max="12" width="9.42578125" style="22" bestFit="1" customWidth="1"/>
    <col min="13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93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67" customFormat="1" ht="13.5">
      <c r="B9" s="65" t="s">
        <v>22</v>
      </c>
      <c r="C9" s="66" t="s">
        <v>104</v>
      </c>
      <c r="D9" s="34"/>
      <c r="E9" s="34"/>
    </row>
    <row r="10" spans="2:13" s="34" customFormat="1">
      <c r="B10" s="65"/>
      <c r="C10" s="34" t="s">
        <v>23</v>
      </c>
      <c r="D10" s="69" t="s">
        <v>105</v>
      </c>
      <c r="J10" s="34" t="s">
        <v>24</v>
      </c>
      <c r="K10" s="164">
        <f>MRS!L3</f>
        <v>46250</v>
      </c>
      <c r="L10" s="165"/>
      <c r="M10" s="165"/>
    </row>
    <row r="11" spans="2:13" s="34" customFormat="1">
      <c r="B11" s="65"/>
      <c r="C11" s="68" t="s">
        <v>25</v>
      </c>
      <c r="D11" s="69" t="s">
        <v>106</v>
      </c>
      <c r="J11" s="34" t="s">
        <v>26</v>
      </c>
      <c r="K11" s="166" t="str">
        <f>SUBSTITUTE(SUBSTITUTE(+MRS!A3,"  MRS No : ",""),"-MRS","-PO")</f>
        <v>SAC2-DS-PO-0424</v>
      </c>
      <c r="L11" s="166"/>
      <c r="M11" s="166"/>
    </row>
    <row r="12" spans="2:13" s="34" customFormat="1">
      <c r="B12" s="65"/>
      <c r="C12" s="68" t="s">
        <v>27</v>
      </c>
      <c r="D12" s="34" t="s">
        <v>107</v>
      </c>
      <c r="J12" s="34" t="s">
        <v>28</v>
      </c>
    </row>
    <row r="13" spans="2:13" s="34" customFormat="1">
      <c r="B13" s="65"/>
      <c r="C13" s="70"/>
      <c r="D13" s="69" t="s">
        <v>108</v>
      </c>
      <c r="J13" s="34" t="s">
        <v>29</v>
      </c>
    </row>
    <row r="14" spans="2:13" s="34" customFormat="1">
      <c r="B14" s="65"/>
      <c r="C14" s="97" t="s">
        <v>109</v>
      </c>
      <c r="J14" s="34" t="s">
        <v>30</v>
      </c>
      <c r="K14" s="34" t="s">
        <v>281</v>
      </c>
    </row>
    <row r="15" spans="2:13" s="34" customFormat="1">
      <c r="B15" s="65"/>
      <c r="C15" s="68" t="s">
        <v>110</v>
      </c>
      <c r="J15" s="34" t="s">
        <v>31</v>
      </c>
      <c r="K15" s="71">
        <v>46249</v>
      </c>
      <c r="L15" s="113">
        <v>46247</v>
      </c>
    </row>
    <row r="16" spans="2:13" s="34" customFormat="1">
      <c r="C16" s="70"/>
      <c r="K16" s="71"/>
    </row>
    <row r="17" spans="2:13" ht="6" customHeight="1">
      <c r="C17" s="25"/>
      <c r="K17" s="26"/>
    </row>
    <row r="18" spans="2:13" ht="20.25">
      <c r="B18" s="167" t="s">
        <v>32</v>
      </c>
      <c r="C18" s="167"/>
      <c r="D18" s="167"/>
      <c r="E18" s="167"/>
      <c r="F18" s="167"/>
      <c r="G18" s="167"/>
      <c r="H18" s="167"/>
      <c r="I18" s="167"/>
      <c r="J18" s="167"/>
      <c r="K18" s="167"/>
      <c r="L18" s="167"/>
      <c r="M18" s="167"/>
    </row>
    <row r="19" spans="2:13" ht="12" customHeight="1"/>
    <row r="20" spans="2:13" s="27" customFormat="1" ht="12" customHeight="1">
      <c r="B20" s="168" t="s">
        <v>33</v>
      </c>
      <c r="C20" s="168"/>
      <c r="D20" s="168"/>
      <c r="E20" s="168"/>
      <c r="F20" s="168"/>
      <c r="G20" s="168"/>
      <c r="H20" s="168"/>
      <c r="I20" s="168"/>
      <c r="J20" s="168"/>
      <c r="K20" s="168"/>
      <c r="L20" s="168"/>
      <c r="M20" s="168"/>
    </row>
    <row r="21" spans="2:13" s="27" customFormat="1" ht="12" customHeight="1">
      <c r="B21" s="168" t="s">
        <v>34</v>
      </c>
      <c r="C21" s="168"/>
      <c r="D21" s="168"/>
      <c r="E21" s="168"/>
      <c r="F21" s="168"/>
      <c r="G21" s="168"/>
      <c r="H21" s="168"/>
      <c r="I21" s="168"/>
      <c r="J21" s="168"/>
      <c r="K21" s="168"/>
      <c r="L21" s="168"/>
      <c r="M21" s="168"/>
    </row>
    <row r="22" spans="2:13" s="27" customFormat="1" ht="12" customHeight="1">
      <c r="B22" s="168" t="s">
        <v>35</v>
      </c>
      <c r="C22" s="168"/>
      <c r="D22" s="168"/>
      <c r="E22" s="168"/>
      <c r="F22" s="168"/>
      <c r="G22" s="168"/>
      <c r="H22" s="168"/>
      <c r="I22" s="168"/>
      <c r="J22" s="168"/>
      <c r="K22" s="168"/>
      <c r="L22" s="168"/>
      <c r="M22" s="168"/>
    </row>
    <row r="23" spans="2:13" ht="3.75" customHeight="1">
      <c r="B23" s="169"/>
      <c r="C23" s="169"/>
      <c r="D23" s="169"/>
      <c r="E23" s="169"/>
      <c r="F23" s="169"/>
      <c r="G23" s="169"/>
      <c r="H23" s="169"/>
      <c r="I23" s="169"/>
      <c r="J23" s="169"/>
      <c r="K23" s="169"/>
      <c r="L23" s="169"/>
      <c r="M23" s="169"/>
    </row>
    <row r="24" spans="2:13" ht="6.95" customHeight="1">
      <c r="B24" s="170"/>
      <c r="C24" s="170"/>
      <c r="D24" s="170"/>
      <c r="E24" s="170"/>
      <c r="F24" s="170"/>
      <c r="G24" s="170"/>
      <c r="H24" s="170"/>
      <c r="I24" s="170"/>
      <c r="J24" s="170"/>
      <c r="K24" s="170"/>
      <c r="L24" s="170"/>
      <c r="M24" s="170"/>
    </row>
    <row r="25" spans="2:13" s="28" customFormat="1" ht="15" customHeight="1">
      <c r="B25" s="28">
        <v>1</v>
      </c>
      <c r="C25" s="28" t="s">
        <v>36</v>
      </c>
    </row>
    <row r="26" spans="2:13" s="34" customFormat="1" ht="15" customHeight="1">
      <c r="B26" s="66"/>
      <c r="C26" s="69" t="s">
        <v>282</v>
      </c>
      <c r="M26" s="72" t="s">
        <v>37</v>
      </c>
    </row>
    <row r="27" spans="2:13" ht="11.1" customHeight="1">
      <c r="B27" s="28"/>
    </row>
    <row r="28" spans="2:13" ht="15" customHeight="1">
      <c r="B28" s="28">
        <v>2</v>
      </c>
      <c r="C28" s="28" t="s">
        <v>38</v>
      </c>
    </row>
    <row r="29" spans="2:13" ht="15" customHeight="1">
      <c r="B29" s="28"/>
      <c r="C29" s="22" t="s">
        <v>39</v>
      </c>
      <c r="E29" s="22" t="s">
        <v>40</v>
      </c>
      <c r="F29" s="98">
        <f>'PO 2nd page'!G92</f>
        <v>94543.6</v>
      </c>
      <c r="G29" s="96"/>
      <c r="H29" s="96"/>
      <c r="M29" s="29"/>
    </row>
    <row r="30" spans="2:13" ht="15" customHeight="1">
      <c r="B30" s="28"/>
      <c r="C30" s="22" t="s">
        <v>41</v>
      </c>
      <c r="E30" s="22" t="s">
        <v>40</v>
      </c>
      <c r="F30" s="98">
        <f>'PO 2nd page'!G93</f>
        <v>14181.54</v>
      </c>
      <c r="G30" s="96"/>
      <c r="H30" s="96"/>
    </row>
    <row r="31" spans="2:13" ht="15" customHeight="1">
      <c r="B31" s="28"/>
      <c r="C31" s="22" t="s">
        <v>42</v>
      </c>
      <c r="D31" s="30"/>
      <c r="E31" s="22" t="s">
        <v>40</v>
      </c>
      <c r="F31" s="98">
        <f>'PO 2nd page'!G94</f>
        <v>108725.14000000001</v>
      </c>
      <c r="G31" s="96"/>
      <c r="H31" s="96"/>
    </row>
    <row r="32" spans="2:13" ht="11.1" customHeight="1">
      <c r="B32" s="28"/>
    </row>
    <row r="33" spans="2:13" ht="15" customHeight="1">
      <c r="B33" s="28">
        <v>3</v>
      </c>
      <c r="C33" s="28" t="s">
        <v>43</v>
      </c>
    </row>
    <row r="34" spans="2:13" ht="12" customHeight="1">
      <c r="B34" s="28"/>
      <c r="C34" s="18" t="s">
        <v>44</v>
      </c>
    </row>
    <row r="35" spans="2:13" ht="12" customHeight="1">
      <c r="B35" s="28"/>
      <c r="C35" s="18" t="s">
        <v>45</v>
      </c>
    </row>
    <row r="36" spans="2:13" ht="12" customHeight="1">
      <c r="B36" s="28"/>
      <c r="C36" s="18" t="s">
        <v>46</v>
      </c>
    </row>
    <row r="37" spans="2:13" ht="6" customHeight="1">
      <c r="B37" s="28"/>
    </row>
    <row r="38" spans="2:13" ht="15" customHeight="1">
      <c r="B38" s="28">
        <v>4</v>
      </c>
      <c r="C38" s="28" t="s">
        <v>47</v>
      </c>
    </row>
    <row r="39" spans="2:13" ht="12" customHeight="1">
      <c r="B39" s="28"/>
      <c r="C39" s="22" t="s">
        <v>48</v>
      </c>
    </row>
    <row r="40" spans="2:13" ht="6" customHeight="1">
      <c r="B40" s="28"/>
    </row>
    <row r="41" spans="2:13" ht="15" customHeight="1">
      <c r="B41" s="28">
        <v>5</v>
      </c>
      <c r="C41" s="28" t="s">
        <v>49</v>
      </c>
    </row>
    <row r="42" spans="2:13" ht="12" customHeight="1">
      <c r="B42" s="28"/>
      <c r="C42" s="31" t="s">
        <v>50</v>
      </c>
      <c r="D42" s="32"/>
      <c r="E42" s="33"/>
      <c r="F42" s="33"/>
      <c r="G42" s="33"/>
      <c r="H42" s="33"/>
      <c r="I42" s="33"/>
      <c r="J42" s="33"/>
      <c r="K42" s="33"/>
      <c r="L42" s="33"/>
      <c r="M42" s="33"/>
    </row>
    <row r="43" spans="2:13" ht="12" customHeight="1">
      <c r="B43" s="28"/>
      <c r="C43" s="31" t="s">
        <v>51</v>
      </c>
      <c r="D43" s="32"/>
      <c r="E43" s="33"/>
      <c r="F43" s="33"/>
      <c r="G43" s="33"/>
      <c r="H43" s="33"/>
      <c r="I43" s="33"/>
      <c r="J43" s="33"/>
      <c r="K43" s="33"/>
      <c r="L43" s="33"/>
      <c r="M43" s="33"/>
    </row>
    <row r="44" spans="2:13" ht="12" customHeight="1">
      <c r="B44" s="28"/>
      <c r="C44" s="31" t="s">
        <v>52</v>
      </c>
      <c r="D44" s="32"/>
      <c r="E44" s="33"/>
      <c r="F44" s="33"/>
      <c r="G44" s="33"/>
      <c r="H44" s="33"/>
      <c r="I44" s="33"/>
      <c r="J44" s="33"/>
      <c r="K44" s="33"/>
      <c r="L44" s="33"/>
      <c r="M44" s="33"/>
    </row>
    <row r="45" spans="2:13" ht="12" customHeight="1">
      <c r="B45" s="28"/>
      <c r="C45" s="31" t="s">
        <v>53</v>
      </c>
      <c r="D45" s="32"/>
      <c r="E45" s="33"/>
      <c r="F45" s="33"/>
      <c r="G45" s="33"/>
      <c r="H45" s="33"/>
      <c r="I45" s="33"/>
      <c r="J45" s="33"/>
      <c r="K45" s="33"/>
      <c r="L45" s="33"/>
      <c r="M45" s="33"/>
    </row>
    <row r="46" spans="2:13" ht="12" customHeight="1">
      <c r="B46" s="28"/>
      <c r="C46" s="34" t="s">
        <v>54</v>
      </c>
      <c r="D46" s="35"/>
      <c r="E46" s="36"/>
      <c r="F46" s="36"/>
      <c r="G46" s="36"/>
      <c r="H46" s="36"/>
      <c r="I46" s="36"/>
      <c r="J46" s="36"/>
      <c r="K46" s="36"/>
      <c r="L46" s="36"/>
      <c r="M46" s="36"/>
    </row>
    <row r="47" spans="2:13" ht="6" customHeight="1">
      <c r="B47" s="28"/>
    </row>
    <row r="48" spans="2:13" ht="15" customHeight="1">
      <c r="B48" s="28">
        <v>6</v>
      </c>
      <c r="C48" s="28" t="s">
        <v>55</v>
      </c>
    </row>
    <row r="49" spans="2:16" s="34" customFormat="1" ht="12" customHeight="1">
      <c r="B49" s="73" t="s">
        <v>56</v>
      </c>
      <c r="C49" s="74" t="s">
        <v>89</v>
      </c>
      <c r="P49" s="75"/>
    </row>
    <row r="50" spans="2:16" s="76" customFormat="1" ht="12" customHeight="1">
      <c r="B50" s="77" t="s">
        <v>56</v>
      </c>
      <c r="C50" s="74" t="s">
        <v>84</v>
      </c>
    </row>
    <row r="51" spans="2:16" s="76" customFormat="1" ht="12" customHeight="1">
      <c r="B51" s="77" t="s">
        <v>56</v>
      </c>
      <c r="C51" s="74" t="s">
        <v>83</v>
      </c>
    </row>
    <row r="52" spans="2:16" s="76" customFormat="1" ht="6" customHeight="1">
      <c r="B52" s="77"/>
      <c r="C52" s="74"/>
    </row>
    <row r="53" spans="2:16" ht="15" customHeight="1">
      <c r="B53" s="37">
        <v>7</v>
      </c>
      <c r="C53" s="28" t="s">
        <v>94</v>
      </c>
    </row>
    <row r="54" spans="2:16" ht="12" customHeight="1">
      <c r="B54" s="77" t="s">
        <v>56</v>
      </c>
      <c r="C54" s="99" t="s">
        <v>96</v>
      </c>
      <c r="F54" s="22" t="s">
        <v>129</v>
      </c>
      <c r="P54" s="22" t="str">
        <f>UPPER(F54)</f>
        <v>YAQOT ALARBYH COMPANY</v>
      </c>
    </row>
    <row r="55" spans="2:16" ht="12" customHeight="1">
      <c r="B55" s="77" t="s">
        <v>56</v>
      </c>
      <c r="C55" s="99" t="s">
        <v>97</v>
      </c>
      <c r="F55" s="100" t="s">
        <v>111</v>
      </c>
    </row>
    <row r="56" spans="2:16" ht="12" customHeight="1">
      <c r="B56" s="77" t="s">
        <v>56</v>
      </c>
      <c r="C56" s="99" t="s">
        <v>98</v>
      </c>
      <c r="F56" s="22" t="s">
        <v>112</v>
      </c>
    </row>
    <row r="57" spans="2:16" ht="12" customHeight="1">
      <c r="B57" s="77" t="s">
        <v>56</v>
      </c>
      <c r="C57" s="99" t="s">
        <v>99</v>
      </c>
      <c r="F57" s="22" t="s">
        <v>113</v>
      </c>
    </row>
    <row r="58" spans="2:16" ht="12" customHeight="1">
      <c r="B58" s="77" t="s">
        <v>56</v>
      </c>
      <c r="C58" s="99" t="s">
        <v>100</v>
      </c>
      <c r="F58" s="22" t="s">
        <v>114</v>
      </c>
    </row>
    <row r="59" spans="2:16" ht="12" customHeight="1">
      <c r="B59" s="77" t="s">
        <v>56</v>
      </c>
      <c r="C59" s="99" t="s">
        <v>101</v>
      </c>
      <c r="F59" s="22" t="s">
        <v>95</v>
      </c>
    </row>
    <row r="60" spans="2:16" ht="12" customHeight="1">
      <c r="B60" s="77"/>
      <c r="C60" s="99" t="s">
        <v>102</v>
      </c>
    </row>
    <row r="61" spans="2:16" ht="6.75" customHeight="1">
      <c r="B61" s="77"/>
      <c r="C61" s="99"/>
    </row>
    <row r="62" spans="2:16" ht="6" customHeight="1">
      <c r="B62" s="101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</row>
    <row r="63" spans="2:16" ht="11.1" customHeight="1">
      <c r="B63" s="37"/>
    </row>
    <row r="64" spans="2:16">
      <c r="B64" s="28" t="s">
        <v>57</v>
      </c>
      <c r="J64" s="28" t="s">
        <v>58</v>
      </c>
    </row>
    <row r="65" spans="1:13" ht="41.25" customHeight="1"/>
    <row r="66" spans="1:13" ht="13.5" customHeight="1">
      <c r="B66" s="22" t="s">
        <v>59</v>
      </c>
      <c r="J66" s="22" t="s">
        <v>59</v>
      </c>
    </row>
    <row r="67" spans="1:13" ht="13.5" customHeight="1">
      <c r="B67" s="22" t="s">
        <v>60</v>
      </c>
      <c r="J67" s="22" t="s">
        <v>61</v>
      </c>
      <c r="K67" s="18" t="str">
        <f>D12</f>
        <v>Haris</v>
      </c>
    </row>
    <row r="68" spans="1:13" ht="13.5" customHeight="1">
      <c r="B68" s="22" t="s">
        <v>62</v>
      </c>
      <c r="J68" s="22" t="s">
        <v>63</v>
      </c>
      <c r="K68" s="18" t="s">
        <v>90</v>
      </c>
    </row>
    <row r="69" spans="1:13" ht="13.5" customHeight="1">
      <c r="B69" s="22" t="s">
        <v>64</v>
      </c>
      <c r="J69" s="22" t="s">
        <v>65</v>
      </c>
    </row>
    <row r="70" spans="1:13" s="24" customFormat="1" ht="24.75" customHeight="1">
      <c r="B70" s="21" t="s">
        <v>92</v>
      </c>
      <c r="J70" s="171" t="str">
        <f>C9</f>
        <v>YATCO(Yaqoot Arabia Trading Company)</v>
      </c>
      <c r="K70" s="171"/>
      <c r="L70" s="171"/>
      <c r="M70" s="171"/>
    </row>
    <row r="71" spans="1:13" ht="27.95" customHeight="1">
      <c r="A71" s="163" t="s">
        <v>66</v>
      </c>
      <c r="B71" s="163"/>
      <c r="C71" s="163"/>
      <c r="D71" s="163"/>
      <c r="E71" s="163"/>
      <c r="F71" s="163"/>
      <c r="G71" s="163"/>
      <c r="H71" s="163"/>
      <c r="I71" s="163"/>
      <c r="J71" s="163"/>
      <c r="K71" s="163"/>
      <c r="L71" s="163"/>
      <c r="M71" s="163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7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102"/>
  <sheetViews>
    <sheetView showGridLines="0" view="pageBreakPreview" topLeftCell="A79" zoomScaleSheetLayoutView="100" zoomScalePageLayoutView="55" workbookViewId="0">
      <selection activeCell="J91" sqref="J91"/>
    </sheetView>
  </sheetViews>
  <sheetFormatPr defaultColWidth="9" defaultRowHeight="12.75"/>
  <cols>
    <col min="1" max="1" width="8.5703125" style="38" customWidth="1"/>
    <col min="2" max="2" width="25.5703125" style="39" customWidth="1"/>
    <col min="3" max="3" width="23.5703125" style="39" customWidth="1"/>
    <col min="4" max="4" width="8.5703125" style="38" customWidth="1"/>
    <col min="5" max="5" width="13.5703125" style="38" customWidth="1"/>
    <col min="6" max="6" width="15.5703125" style="38" customWidth="1"/>
    <col min="7" max="7" width="19.85546875" style="38" customWidth="1"/>
    <col min="8" max="8" width="17.140625" style="38" customWidth="1"/>
    <col min="9" max="9" width="0.85546875" style="38" customWidth="1"/>
    <col min="10" max="251" width="9" style="38"/>
    <col min="252" max="252" width="8.7109375" style="38" customWidth="1"/>
    <col min="253" max="253" width="45.140625" style="38" customWidth="1"/>
    <col min="254" max="254" width="13.28515625" style="38" customWidth="1"/>
    <col min="255" max="255" width="9.42578125" style="38" customWidth="1"/>
    <col min="256" max="256" width="6.42578125" style="38" customWidth="1"/>
    <col min="257" max="257" width="11.5703125" style="38" customWidth="1"/>
    <col min="258" max="258" width="12.85546875" style="38" bestFit="1" customWidth="1"/>
    <col min="259" max="259" width="25.5703125" style="38" customWidth="1"/>
    <col min="260" max="507" width="9" style="38"/>
    <col min="508" max="508" width="8.7109375" style="38" customWidth="1"/>
    <col min="509" max="509" width="45.140625" style="38" customWidth="1"/>
    <col min="510" max="510" width="13.28515625" style="38" customWidth="1"/>
    <col min="511" max="511" width="9.42578125" style="38" customWidth="1"/>
    <col min="512" max="512" width="6.42578125" style="38" customWidth="1"/>
    <col min="513" max="513" width="11.5703125" style="38" customWidth="1"/>
    <col min="514" max="514" width="12.85546875" style="38" bestFit="1" customWidth="1"/>
    <col min="515" max="515" width="25.5703125" style="38" customWidth="1"/>
    <col min="516" max="763" width="9" style="38"/>
    <col min="764" max="764" width="8.7109375" style="38" customWidth="1"/>
    <col min="765" max="765" width="45.140625" style="38" customWidth="1"/>
    <col min="766" max="766" width="13.28515625" style="38" customWidth="1"/>
    <col min="767" max="767" width="9.42578125" style="38" customWidth="1"/>
    <col min="768" max="768" width="6.42578125" style="38" customWidth="1"/>
    <col min="769" max="769" width="11.5703125" style="38" customWidth="1"/>
    <col min="770" max="770" width="12.85546875" style="38" bestFit="1" customWidth="1"/>
    <col min="771" max="771" width="25.5703125" style="38" customWidth="1"/>
    <col min="772" max="1019" width="9" style="38"/>
    <col min="1020" max="1020" width="8.7109375" style="38" customWidth="1"/>
    <col min="1021" max="1021" width="45.140625" style="38" customWidth="1"/>
    <col min="1022" max="1022" width="13.28515625" style="38" customWidth="1"/>
    <col min="1023" max="1023" width="9.42578125" style="38" customWidth="1"/>
    <col min="1024" max="1024" width="6.42578125" style="38" customWidth="1"/>
    <col min="1025" max="1025" width="11.5703125" style="38" customWidth="1"/>
    <col min="1026" max="1026" width="12.85546875" style="38" bestFit="1" customWidth="1"/>
    <col min="1027" max="1027" width="25.5703125" style="38" customWidth="1"/>
    <col min="1028" max="1275" width="9" style="38"/>
    <col min="1276" max="1276" width="8.7109375" style="38" customWidth="1"/>
    <col min="1277" max="1277" width="45.140625" style="38" customWidth="1"/>
    <col min="1278" max="1278" width="13.28515625" style="38" customWidth="1"/>
    <col min="1279" max="1279" width="9.42578125" style="38" customWidth="1"/>
    <col min="1280" max="1280" width="6.42578125" style="38" customWidth="1"/>
    <col min="1281" max="1281" width="11.5703125" style="38" customWidth="1"/>
    <col min="1282" max="1282" width="12.85546875" style="38" bestFit="1" customWidth="1"/>
    <col min="1283" max="1283" width="25.5703125" style="38" customWidth="1"/>
    <col min="1284" max="1531" width="9" style="38"/>
    <col min="1532" max="1532" width="8.7109375" style="38" customWidth="1"/>
    <col min="1533" max="1533" width="45.140625" style="38" customWidth="1"/>
    <col min="1534" max="1534" width="13.28515625" style="38" customWidth="1"/>
    <col min="1535" max="1535" width="9.42578125" style="38" customWidth="1"/>
    <col min="1536" max="1536" width="6.42578125" style="38" customWidth="1"/>
    <col min="1537" max="1537" width="11.5703125" style="38" customWidth="1"/>
    <col min="1538" max="1538" width="12.85546875" style="38" bestFit="1" customWidth="1"/>
    <col min="1539" max="1539" width="25.5703125" style="38" customWidth="1"/>
    <col min="1540" max="1787" width="9" style="38"/>
    <col min="1788" max="1788" width="8.7109375" style="38" customWidth="1"/>
    <col min="1789" max="1789" width="45.140625" style="38" customWidth="1"/>
    <col min="1790" max="1790" width="13.28515625" style="38" customWidth="1"/>
    <col min="1791" max="1791" width="9.42578125" style="38" customWidth="1"/>
    <col min="1792" max="1792" width="6.42578125" style="38" customWidth="1"/>
    <col min="1793" max="1793" width="11.5703125" style="38" customWidth="1"/>
    <col min="1794" max="1794" width="12.85546875" style="38" bestFit="1" customWidth="1"/>
    <col min="1795" max="1795" width="25.5703125" style="38" customWidth="1"/>
    <col min="1796" max="2043" width="9" style="38"/>
    <col min="2044" max="2044" width="8.7109375" style="38" customWidth="1"/>
    <col min="2045" max="2045" width="45.140625" style="38" customWidth="1"/>
    <col min="2046" max="2046" width="13.28515625" style="38" customWidth="1"/>
    <col min="2047" max="2047" width="9.42578125" style="38" customWidth="1"/>
    <col min="2048" max="2048" width="6.42578125" style="38" customWidth="1"/>
    <col min="2049" max="2049" width="11.5703125" style="38" customWidth="1"/>
    <col min="2050" max="2050" width="12.85546875" style="38" bestFit="1" customWidth="1"/>
    <col min="2051" max="2051" width="25.5703125" style="38" customWidth="1"/>
    <col min="2052" max="2299" width="9" style="38"/>
    <col min="2300" max="2300" width="8.7109375" style="38" customWidth="1"/>
    <col min="2301" max="2301" width="45.140625" style="38" customWidth="1"/>
    <col min="2302" max="2302" width="13.28515625" style="38" customWidth="1"/>
    <col min="2303" max="2303" width="9.42578125" style="38" customWidth="1"/>
    <col min="2304" max="2304" width="6.42578125" style="38" customWidth="1"/>
    <col min="2305" max="2305" width="11.5703125" style="38" customWidth="1"/>
    <col min="2306" max="2306" width="12.85546875" style="38" bestFit="1" customWidth="1"/>
    <col min="2307" max="2307" width="25.5703125" style="38" customWidth="1"/>
    <col min="2308" max="2555" width="9" style="38"/>
    <col min="2556" max="2556" width="8.7109375" style="38" customWidth="1"/>
    <col min="2557" max="2557" width="45.140625" style="38" customWidth="1"/>
    <col min="2558" max="2558" width="13.28515625" style="38" customWidth="1"/>
    <col min="2559" max="2559" width="9.42578125" style="38" customWidth="1"/>
    <col min="2560" max="2560" width="6.42578125" style="38" customWidth="1"/>
    <col min="2561" max="2561" width="11.5703125" style="38" customWidth="1"/>
    <col min="2562" max="2562" width="12.85546875" style="38" bestFit="1" customWidth="1"/>
    <col min="2563" max="2563" width="25.5703125" style="38" customWidth="1"/>
    <col min="2564" max="2811" width="9" style="38"/>
    <col min="2812" max="2812" width="8.7109375" style="38" customWidth="1"/>
    <col min="2813" max="2813" width="45.140625" style="38" customWidth="1"/>
    <col min="2814" max="2814" width="13.28515625" style="38" customWidth="1"/>
    <col min="2815" max="2815" width="9.42578125" style="38" customWidth="1"/>
    <col min="2816" max="2816" width="6.42578125" style="38" customWidth="1"/>
    <col min="2817" max="2817" width="11.5703125" style="38" customWidth="1"/>
    <col min="2818" max="2818" width="12.85546875" style="38" bestFit="1" customWidth="1"/>
    <col min="2819" max="2819" width="25.5703125" style="38" customWidth="1"/>
    <col min="2820" max="3067" width="9" style="38"/>
    <col min="3068" max="3068" width="8.7109375" style="38" customWidth="1"/>
    <col min="3069" max="3069" width="45.140625" style="38" customWidth="1"/>
    <col min="3070" max="3070" width="13.28515625" style="38" customWidth="1"/>
    <col min="3071" max="3071" width="9.42578125" style="38" customWidth="1"/>
    <col min="3072" max="3072" width="6.42578125" style="38" customWidth="1"/>
    <col min="3073" max="3073" width="11.5703125" style="38" customWidth="1"/>
    <col min="3074" max="3074" width="12.85546875" style="38" bestFit="1" customWidth="1"/>
    <col min="3075" max="3075" width="25.5703125" style="38" customWidth="1"/>
    <col min="3076" max="3323" width="9" style="38"/>
    <col min="3324" max="3324" width="8.7109375" style="38" customWidth="1"/>
    <col min="3325" max="3325" width="45.140625" style="38" customWidth="1"/>
    <col min="3326" max="3326" width="13.28515625" style="38" customWidth="1"/>
    <col min="3327" max="3327" width="9.42578125" style="38" customWidth="1"/>
    <col min="3328" max="3328" width="6.42578125" style="38" customWidth="1"/>
    <col min="3329" max="3329" width="11.5703125" style="38" customWidth="1"/>
    <col min="3330" max="3330" width="12.85546875" style="38" bestFit="1" customWidth="1"/>
    <col min="3331" max="3331" width="25.5703125" style="38" customWidth="1"/>
    <col min="3332" max="3579" width="9" style="38"/>
    <col min="3580" max="3580" width="8.7109375" style="38" customWidth="1"/>
    <col min="3581" max="3581" width="45.140625" style="38" customWidth="1"/>
    <col min="3582" max="3582" width="13.28515625" style="38" customWidth="1"/>
    <col min="3583" max="3583" width="9.42578125" style="38" customWidth="1"/>
    <col min="3584" max="3584" width="6.42578125" style="38" customWidth="1"/>
    <col min="3585" max="3585" width="11.5703125" style="38" customWidth="1"/>
    <col min="3586" max="3586" width="12.85546875" style="38" bestFit="1" customWidth="1"/>
    <col min="3587" max="3587" width="25.5703125" style="38" customWidth="1"/>
    <col min="3588" max="3835" width="9" style="38"/>
    <col min="3836" max="3836" width="8.7109375" style="38" customWidth="1"/>
    <col min="3837" max="3837" width="45.140625" style="38" customWidth="1"/>
    <col min="3838" max="3838" width="13.28515625" style="38" customWidth="1"/>
    <col min="3839" max="3839" width="9.42578125" style="38" customWidth="1"/>
    <col min="3840" max="3840" width="6.42578125" style="38" customWidth="1"/>
    <col min="3841" max="3841" width="11.5703125" style="38" customWidth="1"/>
    <col min="3842" max="3842" width="12.85546875" style="38" bestFit="1" customWidth="1"/>
    <col min="3843" max="3843" width="25.5703125" style="38" customWidth="1"/>
    <col min="3844" max="4091" width="9" style="38"/>
    <col min="4092" max="4092" width="8.7109375" style="38" customWidth="1"/>
    <col min="4093" max="4093" width="45.140625" style="38" customWidth="1"/>
    <col min="4094" max="4094" width="13.28515625" style="38" customWidth="1"/>
    <col min="4095" max="4095" width="9.42578125" style="38" customWidth="1"/>
    <col min="4096" max="4096" width="6.42578125" style="38" customWidth="1"/>
    <col min="4097" max="4097" width="11.5703125" style="38" customWidth="1"/>
    <col min="4098" max="4098" width="12.85546875" style="38" bestFit="1" customWidth="1"/>
    <col min="4099" max="4099" width="25.5703125" style="38" customWidth="1"/>
    <col min="4100" max="4347" width="9" style="38"/>
    <col min="4348" max="4348" width="8.7109375" style="38" customWidth="1"/>
    <col min="4349" max="4349" width="45.140625" style="38" customWidth="1"/>
    <col min="4350" max="4350" width="13.28515625" style="38" customWidth="1"/>
    <col min="4351" max="4351" width="9.42578125" style="38" customWidth="1"/>
    <col min="4352" max="4352" width="6.42578125" style="38" customWidth="1"/>
    <col min="4353" max="4353" width="11.5703125" style="38" customWidth="1"/>
    <col min="4354" max="4354" width="12.85546875" style="38" bestFit="1" customWidth="1"/>
    <col min="4355" max="4355" width="25.5703125" style="38" customWidth="1"/>
    <col min="4356" max="4603" width="9" style="38"/>
    <col min="4604" max="4604" width="8.7109375" style="38" customWidth="1"/>
    <col min="4605" max="4605" width="45.140625" style="38" customWidth="1"/>
    <col min="4606" max="4606" width="13.28515625" style="38" customWidth="1"/>
    <col min="4607" max="4607" width="9.42578125" style="38" customWidth="1"/>
    <col min="4608" max="4608" width="6.42578125" style="38" customWidth="1"/>
    <col min="4609" max="4609" width="11.5703125" style="38" customWidth="1"/>
    <col min="4610" max="4610" width="12.85546875" style="38" bestFit="1" customWidth="1"/>
    <col min="4611" max="4611" width="25.5703125" style="38" customWidth="1"/>
    <col min="4612" max="4859" width="9" style="38"/>
    <col min="4860" max="4860" width="8.7109375" style="38" customWidth="1"/>
    <col min="4861" max="4861" width="45.140625" style="38" customWidth="1"/>
    <col min="4862" max="4862" width="13.28515625" style="38" customWidth="1"/>
    <col min="4863" max="4863" width="9.42578125" style="38" customWidth="1"/>
    <col min="4864" max="4864" width="6.42578125" style="38" customWidth="1"/>
    <col min="4865" max="4865" width="11.5703125" style="38" customWidth="1"/>
    <col min="4866" max="4866" width="12.85546875" style="38" bestFit="1" customWidth="1"/>
    <col min="4867" max="4867" width="25.5703125" style="38" customWidth="1"/>
    <col min="4868" max="5115" width="9" style="38"/>
    <col min="5116" max="5116" width="8.7109375" style="38" customWidth="1"/>
    <col min="5117" max="5117" width="45.140625" style="38" customWidth="1"/>
    <col min="5118" max="5118" width="13.28515625" style="38" customWidth="1"/>
    <col min="5119" max="5119" width="9.42578125" style="38" customWidth="1"/>
    <col min="5120" max="5120" width="6.42578125" style="38" customWidth="1"/>
    <col min="5121" max="5121" width="11.5703125" style="38" customWidth="1"/>
    <col min="5122" max="5122" width="12.85546875" style="38" bestFit="1" customWidth="1"/>
    <col min="5123" max="5123" width="25.5703125" style="38" customWidth="1"/>
    <col min="5124" max="5371" width="9" style="38"/>
    <col min="5372" max="5372" width="8.7109375" style="38" customWidth="1"/>
    <col min="5373" max="5373" width="45.140625" style="38" customWidth="1"/>
    <col min="5374" max="5374" width="13.28515625" style="38" customWidth="1"/>
    <col min="5375" max="5375" width="9.42578125" style="38" customWidth="1"/>
    <col min="5376" max="5376" width="6.42578125" style="38" customWidth="1"/>
    <col min="5377" max="5377" width="11.5703125" style="38" customWidth="1"/>
    <col min="5378" max="5378" width="12.85546875" style="38" bestFit="1" customWidth="1"/>
    <col min="5379" max="5379" width="25.5703125" style="38" customWidth="1"/>
    <col min="5380" max="5627" width="9" style="38"/>
    <col min="5628" max="5628" width="8.7109375" style="38" customWidth="1"/>
    <col min="5629" max="5629" width="45.140625" style="38" customWidth="1"/>
    <col min="5630" max="5630" width="13.28515625" style="38" customWidth="1"/>
    <col min="5631" max="5631" width="9.42578125" style="38" customWidth="1"/>
    <col min="5632" max="5632" width="6.42578125" style="38" customWidth="1"/>
    <col min="5633" max="5633" width="11.5703125" style="38" customWidth="1"/>
    <col min="5634" max="5634" width="12.85546875" style="38" bestFit="1" customWidth="1"/>
    <col min="5635" max="5635" width="25.5703125" style="38" customWidth="1"/>
    <col min="5636" max="5883" width="9" style="38"/>
    <col min="5884" max="5884" width="8.7109375" style="38" customWidth="1"/>
    <col min="5885" max="5885" width="45.140625" style="38" customWidth="1"/>
    <col min="5886" max="5886" width="13.28515625" style="38" customWidth="1"/>
    <col min="5887" max="5887" width="9.42578125" style="38" customWidth="1"/>
    <col min="5888" max="5888" width="6.42578125" style="38" customWidth="1"/>
    <col min="5889" max="5889" width="11.5703125" style="38" customWidth="1"/>
    <col min="5890" max="5890" width="12.85546875" style="38" bestFit="1" customWidth="1"/>
    <col min="5891" max="5891" width="25.5703125" style="38" customWidth="1"/>
    <col min="5892" max="6139" width="9" style="38"/>
    <col min="6140" max="6140" width="8.7109375" style="38" customWidth="1"/>
    <col min="6141" max="6141" width="45.140625" style="38" customWidth="1"/>
    <col min="6142" max="6142" width="13.28515625" style="38" customWidth="1"/>
    <col min="6143" max="6143" width="9.42578125" style="38" customWidth="1"/>
    <col min="6144" max="6144" width="6.42578125" style="38" customWidth="1"/>
    <col min="6145" max="6145" width="11.5703125" style="38" customWidth="1"/>
    <col min="6146" max="6146" width="12.85546875" style="38" bestFit="1" customWidth="1"/>
    <col min="6147" max="6147" width="25.5703125" style="38" customWidth="1"/>
    <col min="6148" max="6395" width="9" style="38"/>
    <col min="6396" max="6396" width="8.7109375" style="38" customWidth="1"/>
    <col min="6397" max="6397" width="45.140625" style="38" customWidth="1"/>
    <col min="6398" max="6398" width="13.28515625" style="38" customWidth="1"/>
    <col min="6399" max="6399" width="9.42578125" style="38" customWidth="1"/>
    <col min="6400" max="6400" width="6.42578125" style="38" customWidth="1"/>
    <col min="6401" max="6401" width="11.5703125" style="38" customWidth="1"/>
    <col min="6402" max="6402" width="12.85546875" style="38" bestFit="1" customWidth="1"/>
    <col min="6403" max="6403" width="25.5703125" style="38" customWidth="1"/>
    <col min="6404" max="6651" width="9" style="38"/>
    <col min="6652" max="6652" width="8.7109375" style="38" customWidth="1"/>
    <col min="6653" max="6653" width="45.140625" style="38" customWidth="1"/>
    <col min="6654" max="6654" width="13.28515625" style="38" customWidth="1"/>
    <col min="6655" max="6655" width="9.42578125" style="38" customWidth="1"/>
    <col min="6656" max="6656" width="6.42578125" style="38" customWidth="1"/>
    <col min="6657" max="6657" width="11.5703125" style="38" customWidth="1"/>
    <col min="6658" max="6658" width="12.85546875" style="38" bestFit="1" customWidth="1"/>
    <col min="6659" max="6659" width="25.5703125" style="38" customWidth="1"/>
    <col min="6660" max="6907" width="9" style="38"/>
    <col min="6908" max="6908" width="8.7109375" style="38" customWidth="1"/>
    <col min="6909" max="6909" width="45.140625" style="38" customWidth="1"/>
    <col min="6910" max="6910" width="13.28515625" style="38" customWidth="1"/>
    <col min="6911" max="6911" width="9.42578125" style="38" customWidth="1"/>
    <col min="6912" max="6912" width="6.42578125" style="38" customWidth="1"/>
    <col min="6913" max="6913" width="11.5703125" style="38" customWidth="1"/>
    <col min="6914" max="6914" width="12.85546875" style="38" bestFit="1" customWidth="1"/>
    <col min="6915" max="6915" width="25.5703125" style="38" customWidth="1"/>
    <col min="6916" max="7163" width="9" style="38"/>
    <col min="7164" max="7164" width="8.7109375" style="38" customWidth="1"/>
    <col min="7165" max="7165" width="45.140625" style="38" customWidth="1"/>
    <col min="7166" max="7166" width="13.28515625" style="38" customWidth="1"/>
    <col min="7167" max="7167" width="9.42578125" style="38" customWidth="1"/>
    <col min="7168" max="7168" width="6.42578125" style="38" customWidth="1"/>
    <col min="7169" max="7169" width="11.5703125" style="38" customWidth="1"/>
    <col min="7170" max="7170" width="12.85546875" style="38" bestFit="1" customWidth="1"/>
    <col min="7171" max="7171" width="25.5703125" style="38" customWidth="1"/>
    <col min="7172" max="7419" width="9" style="38"/>
    <col min="7420" max="7420" width="8.7109375" style="38" customWidth="1"/>
    <col min="7421" max="7421" width="45.140625" style="38" customWidth="1"/>
    <col min="7422" max="7422" width="13.28515625" style="38" customWidth="1"/>
    <col min="7423" max="7423" width="9.42578125" style="38" customWidth="1"/>
    <col min="7424" max="7424" width="6.42578125" style="38" customWidth="1"/>
    <col min="7425" max="7425" width="11.5703125" style="38" customWidth="1"/>
    <col min="7426" max="7426" width="12.85546875" style="38" bestFit="1" customWidth="1"/>
    <col min="7427" max="7427" width="25.5703125" style="38" customWidth="1"/>
    <col min="7428" max="7675" width="9" style="38"/>
    <col min="7676" max="7676" width="8.7109375" style="38" customWidth="1"/>
    <col min="7677" max="7677" width="45.140625" style="38" customWidth="1"/>
    <col min="7678" max="7678" width="13.28515625" style="38" customWidth="1"/>
    <col min="7679" max="7679" width="9.42578125" style="38" customWidth="1"/>
    <col min="7680" max="7680" width="6.42578125" style="38" customWidth="1"/>
    <col min="7681" max="7681" width="11.5703125" style="38" customWidth="1"/>
    <col min="7682" max="7682" width="12.85546875" style="38" bestFit="1" customWidth="1"/>
    <col min="7683" max="7683" width="25.5703125" style="38" customWidth="1"/>
    <col min="7684" max="7931" width="9" style="38"/>
    <col min="7932" max="7932" width="8.7109375" style="38" customWidth="1"/>
    <col min="7933" max="7933" width="45.140625" style="38" customWidth="1"/>
    <col min="7934" max="7934" width="13.28515625" style="38" customWidth="1"/>
    <col min="7935" max="7935" width="9.42578125" style="38" customWidth="1"/>
    <col min="7936" max="7936" width="6.42578125" style="38" customWidth="1"/>
    <col min="7937" max="7937" width="11.5703125" style="38" customWidth="1"/>
    <col min="7938" max="7938" width="12.85546875" style="38" bestFit="1" customWidth="1"/>
    <col min="7939" max="7939" width="25.5703125" style="38" customWidth="1"/>
    <col min="7940" max="8187" width="9" style="38"/>
    <col min="8188" max="8188" width="8.7109375" style="38" customWidth="1"/>
    <col min="8189" max="8189" width="45.140625" style="38" customWidth="1"/>
    <col min="8190" max="8190" width="13.28515625" style="38" customWidth="1"/>
    <col min="8191" max="8191" width="9.42578125" style="38" customWidth="1"/>
    <col min="8192" max="8192" width="6.42578125" style="38" customWidth="1"/>
    <col min="8193" max="8193" width="11.5703125" style="38" customWidth="1"/>
    <col min="8194" max="8194" width="12.85546875" style="38" bestFit="1" customWidth="1"/>
    <col min="8195" max="8195" width="25.5703125" style="38" customWidth="1"/>
    <col min="8196" max="8443" width="9" style="38"/>
    <col min="8444" max="8444" width="8.7109375" style="38" customWidth="1"/>
    <col min="8445" max="8445" width="45.140625" style="38" customWidth="1"/>
    <col min="8446" max="8446" width="13.28515625" style="38" customWidth="1"/>
    <col min="8447" max="8447" width="9.42578125" style="38" customWidth="1"/>
    <col min="8448" max="8448" width="6.42578125" style="38" customWidth="1"/>
    <col min="8449" max="8449" width="11.5703125" style="38" customWidth="1"/>
    <col min="8450" max="8450" width="12.85546875" style="38" bestFit="1" customWidth="1"/>
    <col min="8451" max="8451" width="25.5703125" style="38" customWidth="1"/>
    <col min="8452" max="8699" width="9" style="38"/>
    <col min="8700" max="8700" width="8.7109375" style="38" customWidth="1"/>
    <col min="8701" max="8701" width="45.140625" style="38" customWidth="1"/>
    <col min="8702" max="8702" width="13.28515625" style="38" customWidth="1"/>
    <col min="8703" max="8703" width="9.42578125" style="38" customWidth="1"/>
    <col min="8704" max="8704" width="6.42578125" style="38" customWidth="1"/>
    <col min="8705" max="8705" width="11.5703125" style="38" customWidth="1"/>
    <col min="8706" max="8706" width="12.85546875" style="38" bestFit="1" customWidth="1"/>
    <col min="8707" max="8707" width="25.5703125" style="38" customWidth="1"/>
    <col min="8708" max="8955" width="9" style="38"/>
    <col min="8956" max="8956" width="8.7109375" style="38" customWidth="1"/>
    <col min="8957" max="8957" width="45.140625" style="38" customWidth="1"/>
    <col min="8958" max="8958" width="13.28515625" style="38" customWidth="1"/>
    <col min="8959" max="8959" width="9.42578125" style="38" customWidth="1"/>
    <col min="8960" max="8960" width="6.42578125" style="38" customWidth="1"/>
    <col min="8961" max="8961" width="11.5703125" style="38" customWidth="1"/>
    <col min="8962" max="8962" width="12.85546875" style="38" bestFit="1" customWidth="1"/>
    <col min="8963" max="8963" width="25.5703125" style="38" customWidth="1"/>
    <col min="8964" max="9211" width="9" style="38"/>
    <col min="9212" max="9212" width="8.7109375" style="38" customWidth="1"/>
    <col min="9213" max="9213" width="45.140625" style="38" customWidth="1"/>
    <col min="9214" max="9214" width="13.28515625" style="38" customWidth="1"/>
    <col min="9215" max="9215" width="9.42578125" style="38" customWidth="1"/>
    <col min="9216" max="9216" width="6.42578125" style="38" customWidth="1"/>
    <col min="9217" max="9217" width="11.5703125" style="38" customWidth="1"/>
    <col min="9218" max="9218" width="12.85546875" style="38" bestFit="1" customWidth="1"/>
    <col min="9219" max="9219" width="25.5703125" style="38" customWidth="1"/>
    <col min="9220" max="9467" width="9" style="38"/>
    <col min="9468" max="9468" width="8.7109375" style="38" customWidth="1"/>
    <col min="9469" max="9469" width="45.140625" style="38" customWidth="1"/>
    <col min="9470" max="9470" width="13.28515625" style="38" customWidth="1"/>
    <col min="9471" max="9471" width="9.42578125" style="38" customWidth="1"/>
    <col min="9472" max="9472" width="6.42578125" style="38" customWidth="1"/>
    <col min="9473" max="9473" width="11.5703125" style="38" customWidth="1"/>
    <col min="9474" max="9474" width="12.85546875" style="38" bestFit="1" customWidth="1"/>
    <col min="9475" max="9475" width="25.5703125" style="38" customWidth="1"/>
    <col min="9476" max="9723" width="9" style="38"/>
    <col min="9724" max="9724" width="8.7109375" style="38" customWidth="1"/>
    <col min="9725" max="9725" width="45.140625" style="38" customWidth="1"/>
    <col min="9726" max="9726" width="13.28515625" style="38" customWidth="1"/>
    <col min="9727" max="9727" width="9.42578125" style="38" customWidth="1"/>
    <col min="9728" max="9728" width="6.42578125" style="38" customWidth="1"/>
    <col min="9729" max="9729" width="11.5703125" style="38" customWidth="1"/>
    <col min="9730" max="9730" width="12.85546875" style="38" bestFit="1" customWidth="1"/>
    <col min="9731" max="9731" width="25.5703125" style="38" customWidth="1"/>
    <col min="9732" max="9979" width="9" style="38"/>
    <col min="9980" max="9980" width="8.7109375" style="38" customWidth="1"/>
    <col min="9981" max="9981" width="45.140625" style="38" customWidth="1"/>
    <col min="9982" max="9982" width="13.28515625" style="38" customWidth="1"/>
    <col min="9983" max="9983" width="9.42578125" style="38" customWidth="1"/>
    <col min="9984" max="9984" width="6.42578125" style="38" customWidth="1"/>
    <col min="9985" max="9985" width="11.5703125" style="38" customWidth="1"/>
    <col min="9986" max="9986" width="12.85546875" style="38" bestFit="1" customWidth="1"/>
    <col min="9987" max="9987" width="25.5703125" style="38" customWidth="1"/>
    <col min="9988" max="10235" width="9" style="38"/>
    <col min="10236" max="10236" width="8.7109375" style="38" customWidth="1"/>
    <col min="10237" max="10237" width="45.140625" style="38" customWidth="1"/>
    <col min="10238" max="10238" width="13.28515625" style="38" customWidth="1"/>
    <col min="10239" max="10239" width="9.42578125" style="38" customWidth="1"/>
    <col min="10240" max="10240" width="6.42578125" style="38" customWidth="1"/>
    <col min="10241" max="10241" width="11.5703125" style="38" customWidth="1"/>
    <col min="10242" max="10242" width="12.85546875" style="38" bestFit="1" customWidth="1"/>
    <col min="10243" max="10243" width="25.5703125" style="38" customWidth="1"/>
    <col min="10244" max="10491" width="9" style="38"/>
    <col min="10492" max="10492" width="8.7109375" style="38" customWidth="1"/>
    <col min="10493" max="10493" width="45.140625" style="38" customWidth="1"/>
    <col min="10494" max="10494" width="13.28515625" style="38" customWidth="1"/>
    <col min="10495" max="10495" width="9.42578125" style="38" customWidth="1"/>
    <col min="10496" max="10496" width="6.42578125" style="38" customWidth="1"/>
    <col min="10497" max="10497" width="11.5703125" style="38" customWidth="1"/>
    <col min="10498" max="10498" width="12.85546875" style="38" bestFit="1" customWidth="1"/>
    <col min="10499" max="10499" width="25.5703125" style="38" customWidth="1"/>
    <col min="10500" max="10747" width="9" style="38"/>
    <col min="10748" max="10748" width="8.7109375" style="38" customWidth="1"/>
    <col min="10749" max="10749" width="45.140625" style="38" customWidth="1"/>
    <col min="10750" max="10750" width="13.28515625" style="38" customWidth="1"/>
    <col min="10751" max="10751" width="9.42578125" style="38" customWidth="1"/>
    <col min="10752" max="10752" width="6.42578125" style="38" customWidth="1"/>
    <col min="10753" max="10753" width="11.5703125" style="38" customWidth="1"/>
    <col min="10754" max="10754" width="12.85546875" style="38" bestFit="1" customWidth="1"/>
    <col min="10755" max="10755" width="25.5703125" style="38" customWidth="1"/>
    <col min="10756" max="11003" width="9" style="38"/>
    <col min="11004" max="11004" width="8.7109375" style="38" customWidth="1"/>
    <col min="11005" max="11005" width="45.140625" style="38" customWidth="1"/>
    <col min="11006" max="11006" width="13.28515625" style="38" customWidth="1"/>
    <col min="11007" max="11007" width="9.42578125" style="38" customWidth="1"/>
    <col min="11008" max="11008" width="6.42578125" style="38" customWidth="1"/>
    <col min="11009" max="11009" width="11.5703125" style="38" customWidth="1"/>
    <col min="11010" max="11010" width="12.85546875" style="38" bestFit="1" customWidth="1"/>
    <col min="11011" max="11011" width="25.5703125" style="38" customWidth="1"/>
    <col min="11012" max="11259" width="9" style="38"/>
    <col min="11260" max="11260" width="8.7109375" style="38" customWidth="1"/>
    <col min="11261" max="11261" width="45.140625" style="38" customWidth="1"/>
    <col min="11262" max="11262" width="13.28515625" style="38" customWidth="1"/>
    <col min="11263" max="11263" width="9.42578125" style="38" customWidth="1"/>
    <col min="11264" max="11264" width="6.42578125" style="38" customWidth="1"/>
    <col min="11265" max="11265" width="11.5703125" style="38" customWidth="1"/>
    <col min="11266" max="11266" width="12.85546875" style="38" bestFit="1" customWidth="1"/>
    <col min="11267" max="11267" width="25.5703125" style="38" customWidth="1"/>
    <col min="11268" max="11515" width="9" style="38"/>
    <col min="11516" max="11516" width="8.7109375" style="38" customWidth="1"/>
    <col min="11517" max="11517" width="45.140625" style="38" customWidth="1"/>
    <col min="11518" max="11518" width="13.28515625" style="38" customWidth="1"/>
    <col min="11519" max="11519" width="9.42578125" style="38" customWidth="1"/>
    <col min="11520" max="11520" width="6.42578125" style="38" customWidth="1"/>
    <col min="11521" max="11521" width="11.5703125" style="38" customWidth="1"/>
    <col min="11522" max="11522" width="12.85546875" style="38" bestFit="1" customWidth="1"/>
    <col min="11523" max="11523" width="25.5703125" style="38" customWidth="1"/>
    <col min="11524" max="11771" width="9" style="38"/>
    <col min="11772" max="11772" width="8.7109375" style="38" customWidth="1"/>
    <col min="11773" max="11773" width="45.140625" style="38" customWidth="1"/>
    <col min="11774" max="11774" width="13.28515625" style="38" customWidth="1"/>
    <col min="11775" max="11775" width="9.42578125" style="38" customWidth="1"/>
    <col min="11776" max="11776" width="6.42578125" style="38" customWidth="1"/>
    <col min="11777" max="11777" width="11.5703125" style="38" customWidth="1"/>
    <col min="11778" max="11778" width="12.85546875" style="38" bestFit="1" customWidth="1"/>
    <col min="11779" max="11779" width="25.5703125" style="38" customWidth="1"/>
    <col min="11780" max="12027" width="9" style="38"/>
    <col min="12028" max="12028" width="8.7109375" style="38" customWidth="1"/>
    <col min="12029" max="12029" width="45.140625" style="38" customWidth="1"/>
    <col min="12030" max="12030" width="13.28515625" style="38" customWidth="1"/>
    <col min="12031" max="12031" width="9.42578125" style="38" customWidth="1"/>
    <col min="12032" max="12032" width="6.42578125" style="38" customWidth="1"/>
    <col min="12033" max="12033" width="11.5703125" style="38" customWidth="1"/>
    <col min="12034" max="12034" width="12.85546875" style="38" bestFit="1" customWidth="1"/>
    <col min="12035" max="12035" width="25.5703125" style="38" customWidth="1"/>
    <col min="12036" max="12283" width="9" style="38"/>
    <col min="12284" max="12284" width="8.7109375" style="38" customWidth="1"/>
    <col min="12285" max="12285" width="45.140625" style="38" customWidth="1"/>
    <col min="12286" max="12286" width="13.28515625" style="38" customWidth="1"/>
    <col min="12287" max="12287" width="9.42578125" style="38" customWidth="1"/>
    <col min="12288" max="12288" width="6.42578125" style="38" customWidth="1"/>
    <col min="12289" max="12289" width="11.5703125" style="38" customWidth="1"/>
    <col min="12290" max="12290" width="12.85546875" style="38" bestFit="1" customWidth="1"/>
    <col min="12291" max="12291" width="25.5703125" style="38" customWidth="1"/>
    <col min="12292" max="12539" width="9" style="38"/>
    <col min="12540" max="12540" width="8.7109375" style="38" customWidth="1"/>
    <col min="12541" max="12541" width="45.140625" style="38" customWidth="1"/>
    <col min="12542" max="12542" width="13.28515625" style="38" customWidth="1"/>
    <col min="12543" max="12543" width="9.42578125" style="38" customWidth="1"/>
    <col min="12544" max="12544" width="6.42578125" style="38" customWidth="1"/>
    <col min="12545" max="12545" width="11.5703125" style="38" customWidth="1"/>
    <col min="12546" max="12546" width="12.85546875" style="38" bestFit="1" customWidth="1"/>
    <col min="12547" max="12547" width="25.5703125" style="38" customWidth="1"/>
    <col min="12548" max="12795" width="9" style="38"/>
    <col min="12796" max="12796" width="8.7109375" style="38" customWidth="1"/>
    <col min="12797" max="12797" width="45.140625" style="38" customWidth="1"/>
    <col min="12798" max="12798" width="13.28515625" style="38" customWidth="1"/>
    <col min="12799" max="12799" width="9.42578125" style="38" customWidth="1"/>
    <col min="12800" max="12800" width="6.42578125" style="38" customWidth="1"/>
    <col min="12801" max="12801" width="11.5703125" style="38" customWidth="1"/>
    <col min="12802" max="12802" width="12.85546875" style="38" bestFit="1" customWidth="1"/>
    <col min="12803" max="12803" width="25.5703125" style="38" customWidth="1"/>
    <col min="12804" max="13051" width="9" style="38"/>
    <col min="13052" max="13052" width="8.7109375" style="38" customWidth="1"/>
    <col min="13053" max="13053" width="45.140625" style="38" customWidth="1"/>
    <col min="13054" max="13054" width="13.28515625" style="38" customWidth="1"/>
    <col min="13055" max="13055" width="9.42578125" style="38" customWidth="1"/>
    <col min="13056" max="13056" width="6.42578125" style="38" customWidth="1"/>
    <col min="13057" max="13057" width="11.5703125" style="38" customWidth="1"/>
    <col min="13058" max="13058" width="12.85546875" style="38" bestFit="1" customWidth="1"/>
    <col min="13059" max="13059" width="25.5703125" style="38" customWidth="1"/>
    <col min="13060" max="13307" width="9" style="38"/>
    <col min="13308" max="13308" width="8.7109375" style="38" customWidth="1"/>
    <col min="13309" max="13309" width="45.140625" style="38" customWidth="1"/>
    <col min="13310" max="13310" width="13.28515625" style="38" customWidth="1"/>
    <col min="13311" max="13311" width="9.42578125" style="38" customWidth="1"/>
    <col min="13312" max="13312" width="6.42578125" style="38" customWidth="1"/>
    <col min="13313" max="13313" width="11.5703125" style="38" customWidth="1"/>
    <col min="13314" max="13314" width="12.85546875" style="38" bestFit="1" customWidth="1"/>
    <col min="13315" max="13315" width="25.5703125" style="38" customWidth="1"/>
    <col min="13316" max="13563" width="9" style="38"/>
    <col min="13564" max="13564" width="8.7109375" style="38" customWidth="1"/>
    <col min="13565" max="13565" width="45.140625" style="38" customWidth="1"/>
    <col min="13566" max="13566" width="13.28515625" style="38" customWidth="1"/>
    <col min="13567" max="13567" width="9.42578125" style="38" customWidth="1"/>
    <col min="13568" max="13568" width="6.42578125" style="38" customWidth="1"/>
    <col min="13569" max="13569" width="11.5703125" style="38" customWidth="1"/>
    <col min="13570" max="13570" width="12.85546875" style="38" bestFit="1" customWidth="1"/>
    <col min="13571" max="13571" width="25.5703125" style="38" customWidth="1"/>
    <col min="13572" max="13819" width="9" style="38"/>
    <col min="13820" max="13820" width="8.7109375" style="38" customWidth="1"/>
    <col min="13821" max="13821" width="45.140625" style="38" customWidth="1"/>
    <col min="13822" max="13822" width="13.28515625" style="38" customWidth="1"/>
    <col min="13823" max="13823" width="9.42578125" style="38" customWidth="1"/>
    <col min="13824" max="13824" width="6.42578125" style="38" customWidth="1"/>
    <col min="13825" max="13825" width="11.5703125" style="38" customWidth="1"/>
    <col min="13826" max="13826" width="12.85546875" style="38" bestFit="1" customWidth="1"/>
    <col min="13827" max="13827" width="25.5703125" style="38" customWidth="1"/>
    <col min="13828" max="14075" width="9" style="38"/>
    <col min="14076" max="14076" width="8.7109375" style="38" customWidth="1"/>
    <col min="14077" max="14077" width="45.140625" style="38" customWidth="1"/>
    <col min="14078" max="14078" width="13.28515625" style="38" customWidth="1"/>
    <col min="14079" max="14079" width="9.42578125" style="38" customWidth="1"/>
    <col min="14080" max="14080" width="6.42578125" style="38" customWidth="1"/>
    <col min="14081" max="14081" width="11.5703125" style="38" customWidth="1"/>
    <col min="14082" max="14082" width="12.85546875" style="38" bestFit="1" customWidth="1"/>
    <col min="14083" max="14083" width="25.5703125" style="38" customWidth="1"/>
    <col min="14084" max="14331" width="9" style="38"/>
    <col min="14332" max="14332" width="8.7109375" style="38" customWidth="1"/>
    <col min="14333" max="14333" width="45.140625" style="38" customWidth="1"/>
    <col min="14334" max="14334" width="13.28515625" style="38" customWidth="1"/>
    <col min="14335" max="14335" width="9.42578125" style="38" customWidth="1"/>
    <col min="14336" max="14336" width="6.42578125" style="38" customWidth="1"/>
    <col min="14337" max="14337" width="11.5703125" style="38" customWidth="1"/>
    <col min="14338" max="14338" width="12.85546875" style="38" bestFit="1" customWidth="1"/>
    <col min="14339" max="14339" width="25.5703125" style="38" customWidth="1"/>
    <col min="14340" max="14587" width="9" style="38"/>
    <col min="14588" max="14588" width="8.7109375" style="38" customWidth="1"/>
    <col min="14589" max="14589" width="45.140625" style="38" customWidth="1"/>
    <col min="14590" max="14590" width="13.28515625" style="38" customWidth="1"/>
    <col min="14591" max="14591" width="9.42578125" style="38" customWidth="1"/>
    <col min="14592" max="14592" width="6.42578125" style="38" customWidth="1"/>
    <col min="14593" max="14593" width="11.5703125" style="38" customWidth="1"/>
    <col min="14594" max="14594" width="12.85546875" style="38" bestFit="1" customWidth="1"/>
    <col min="14595" max="14595" width="25.5703125" style="38" customWidth="1"/>
    <col min="14596" max="14843" width="9" style="38"/>
    <col min="14844" max="14844" width="8.7109375" style="38" customWidth="1"/>
    <col min="14845" max="14845" width="45.140625" style="38" customWidth="1"/>
    <col min="14846" max="14846" width="13.28515625" style="38" customWidth="1"/>
    <col min="14847" max="14847" width="9.42578125" style="38" customWidth="1"/>
    <col min="14848" max="14848" width="6.42578125" style="38" customWidth="1"/>
    <col min="14849" max="14849" width="11.5703125" style="38" customWidth="1"/>
    <col min="14850" max="14850" width="12.85546875" style="38" bestFit="1" customWidth="1"/>
    <col min="14851" max="14851" width="25.5703125" style="38" customWidth="1"/>
    <col min="14852" max="15099" width="9" style="38"/>
    <col min="15100" max="15100" width="8.7109375" style="38" customWidth="1"/>
    <col min="15101" max="15101" width="45.140625" style="38" customWidth="1"/>
    <col min="15102" max="15102" width="13.28515625" style="38" customWidth="1"/>
    <col min="15103" max="15103" width="9.42578125" style="38" customWidth="1"/>
    <col min="15104" max="15104" width="6.42578125" style="38" customWidth="1"/>
    <col min="15105" max="15105" width="11.5703125" style="38" customWidth="1"/>
    <col min="15106" max="15106" width="12.85546875" style="38" bestFit="1" customWidth="1"/>
    <col min="15107" max="15107" width="25.5703125" style="38" customWidth="1"/>
    <col min="15108" max="15355" width="9" style="38"/>
    <col min="15356" max="15356" width="8.7109375" style="38" customWidth="1"/>
    <col min="15357" max="15357" width="45.140625" style="38" customWidth="1"/>
    <col min="15358" max="15358" width="13.28515625" style="38" customWidth="1"/>
    <col min="15359" max="15359" width="9.42578125" style="38" customWidth="1"/>
    <col min="15360" max="15360" width="6.42578125" style="38" customWidth="1"/>
    <col min="15361" max="15361" width="11.5703125" style="38" customWidth="1"/>
    <col min="15362" max="15362" width="12.85546875" style="38" bestFit="1" customWidth="1"/>
    <col min="15363" max="15363" width="25.5703125" style="38" customWidth="1"/>
    <col min="15364" max="15611" width="9" style="38"/>
    <col min="15612" max="15612" width="8.7109375" style="38" customWidth="1"/>
    <col min="15613" max="15613" width="45.140625" style="38" customWidth="1"/>
    <col min="15614" max="15614" width="13.28515625" style="38" customWidth="1"/>
    <col min="15615" max="15615" width="9.42578125" style="38" customWidth="1"/>
    <col min="15616" max="15616" width="6.42578125" style="38" customWidth="1"/>
    <col min="15617" max="15617" width="11.5703125" style="38" customWidth="1"/>
    <col min="15618" max="15618" width="12.85546875" style="38" bestFit="1" customWidth="1"/>
    <col min="15619" max="15619" width="25.5703125" style="38" customWidth="1"/>
    <col min="15620" max="15867" width="9" style="38"/>
    <col min="15868" max="15868" width="8.7109375" style="38" customWidth="1"/>
    <col min="15869" max="15869" width="45.140625" style="38" customWidth="1"/>
    <col min="15870" max="15870" width="13.28515625" style="38" customWidth="1"/>
    <col min="15871" max="15871" width="9.42578125" style="38" customWidth="1"/>
    <col min="15872" max="15872" width="6.42578125" style="38" customWidth="1"/>
    <col min="15873" max="15873" width="11.5703125" style="38" customWidth="1"/>
    <col min="15874" max="15874" width="12.85546875" style="38" bestFit="1" customWidth="1"/>
    <col min="15875" max="15875" width="25.5703125" style="38" customWidth="1"/>
    <col min="15876" max="16123" width="9" style="38"/>
    <col min="16124" max="16124" width="8.7109375" style="38" customWidth="1"/>
    <col min="16125" max="16125" width="45.140625" style="38" customWidth="1"/>
    <col min="16126" max="16126" width="13.28515625" style="38" customWidth="1"/>
    <col min="16127" max="16127" width="9.42578125" style="38" customWidth="1"/>
    <col min="16128" max="16128" width="6.42578125" style="38" customWidth="1"/>
    <col min="16129" max="16129" width="11.5703125" style="38" customWidth="1"/>
    <col min="16130" max="16130" width="12.85546875" style="38" bestFit="1" customWidth="1"/>
    <col min="16131" max="16131" width="25.5703125" style="38" customWidth="1"/>
    <col min="16132" max="16384" width="9" style="38"/>
  </cols>
  <sheetData>
    <row r="1" spans="1:13" ht="16.5" customHeight="1"/>
    <row r="2" spans="1:13" ht="27" customHeight="1">
      <c r="A2" s="40" t="s">
        <v>67</v>
      </c>
      <c r="B2" s="40" t="str">
        <f>+'PO 1st page'!K11</f>
        <v>SAC2-DS-PO-0424</v>
      </c>
      <c r="C2" s="178" t="s">
        <v>68</v>
      </c>
      <c r="D2" s="178"/>
      <c r="E2" s="178"/>
      <c r="F2" s="178"/>
      <c r="G2" s="41"/>
      <c r="H2" s="41"/>
    </row>
    <row r="3" spans="1:13" s="47" customFormat="1" ht="28.5" customHeight="1" thickBot="1">
      <c r="A3" s="42" t="s">
        <v>69</v>
      </c>
      <c r="B3" s="43">
        <f>+'PO 1st page'!K10</f>
        <v>46250</v>
      </c>
      <c r="C3" s="44"/>
      <c r="D3" s="45"/>
      <c r="E3" s="179" t="s">
        <v>70</v>
      </c>
      <c r="F3" s="179"/>
      <c r="G3" s="179"/>
      <c r="H3" s="179"/>
      <c r="I3" s="46"/>
    </row>
    <row r="4" spans="1:13" s="48" customFormat="1" ht="28.5" customHeight="1" thickTop="1">
      <c r="A4" s="180" t="s">
        <v>71</v>
      </c>
      <c r="B4" s="182" t="s">
        <v>72</v>
      </c>
      <c r="C4" s="183"/>
      <c r="D4" s="186" t="s">
        <v>73</v>
      </c>
      <c r="E4" s="186" t="s">
        <v>74</v>
      </c>
      <c r="F4" s="188" t="str">
        <f>'PO 1st page'!C9</f>
        <v>YATCO(Yaqoot Arabia Trading Company)</v>
      </c>
      <c r="G4" s="189"/>
      <c r="H4" s="190" t="s">
        <v>75</v>
      </c>
      <c r="K4" s="49"/>
      <c r="L4" s="49"/>
      <c r="M4" s="49"/>
    </row>
    <row r="5" spans="1:13" s="48" customFormat="1" ht="21.95" customHeight="1">
      <c r="A5" s="181"/>
      <c r="B5" s="184"/>
      <c r="C5" s="185"/>
      <c r="D5" s="187"/>
      <c r="E5" s="187"/>
      <c r="F5" s="50" t="s">
        <v>76</v>
      </c>
      <c r="G5" s="50" t="s">
        <v>42</v>
      </c>
      <c r="H5" s="191"/>
      <c r="K5" s="49"/>
      <c r="L5" s="49"/>
      <c r="M5" s="49"/>
    </row>
    <row r="6" spans="1:13" s="48" customFormat="1" ht="32.1" customHeight="1">
      <c r="A6" s="78">
        <f t="shared" ref="A6:A69" si="0">ROW(A1)</f>
        <v>1</v>
      </c>
      <c r="B6" s="172" t="str">
        <f>MRS!B6&amp;" "&amp;MRS!D6</f>
        <v>Spray Paint-Red  400Ml/400Grams, Asmaco, Made In Uae</v>
      </c>
      <c r="C6" s="173"/>
      <c r="D6" s="79" t="str">
        <f>MRS!G6</f>
        <v>EA</v>
      </c>
      <c r="E6" s="80">
        <f>MRS!H6</f>
        <v>2</v>
      </c>
      <c r="F6" s="81">
        <f>MRS!I6</f>
        <v>4.3</v>
      </c>
      <c r="G6" s="81">
        <f>MRS!J6</f>
        <v>8.6</v>
      </c>
      <c r="H6" s="82" t="s">
        <v>91</v>
      </c>
      <c r="K6" s="83"/>
      <c r="L6" s="84"/>
      <c r="M6" s="49"/>
    </row>
    <row r="7" spans="1:13" s="48" customFormat="1" ht="32.1" customHeight="1">
      <c r="A7" s="78">
        <f t="shared" si="0"/>
        <v>2</v>
      </c>
      <c r="B7" s="172" t="str">
        <f>MRS!B7&amp;" "&amp;MRS!D7</f>
        <v xml:space="preserve">Belt Strap Wrench  12" Clarke </v>
      </c>
      <c r="C7" s="173"/>
      <c r="D7" s="79" t="str">
        <f>MRS!G7</f>
        <v>EA</v>
      </c>
      <c r="E7" s="80">
        <f>MRS!H7</f>
        <v>2</v>
      </c>
      <c r="F7" s="81">
        <f>MRS!I7</f>
        <v>41</v>
      </c>
      <c r="G7" s="81">
        <f>MRS!J7</f>
        <v>82</v>
      </c>
      <c r="H7" s="82"/>
      <c r="K7" s="83"/>
      <c r="L7" s="84"/>
      <c r="M7" s="49"/>
    </row>
    <row r="8" spans="1:13" s="48" customFormat="1" ht="32.1" customHeight="1">
      <c r="A8" s="78">
        <f t="shared" si="0"/>
        <v>3</v>
      </c>
      <c r="B8" s="172" t="str">
        <f>MRS!B8&amp;" "&amp;MRS!D8</f>
        <v>Brass Chipping Hammer  Brand : Kaspro</v>
      </c>
      <c r="C8" s="173"/>
      <c r="D8" s="79" t="str">
        <f>MRS!G8</f>
        <v>EA</v>
      </c>
      <c r="E8" s="80">
        <f>MRS!H8</f>
        <v>6</v>
      </c>
      <c r="F8" s="81">
        <f>MRS!I8</f>
        <v>175</v>
      </c>
      <c r="G8" s="81">
        <f>MRS!J8</f>
        <v>1050</v>
      </c>
      <c r="H8" s="82"/>
      <c r="K8" s="49"/>
      <c r="L8" s="49"/>
      <c r="M8" s="49"/>
    </row>
    <row r="9" spans="1:13" s="48" customFormat="1" ht="32.1" customHeight="1">
      <c r="A9" s="78">
        <f t="shared" si="0"/>
        <v>4</v>
      </c>
      <c r="B9" s="172" t="str">
        <f>MRS!B9&amp;" "&amp;MRS!D9</f>
        <v xml:space="preserve">Brass Hammer   3Lb ( Brand : Kaspro ) </v>
      </c>
      <c r="C9" s="173"/>
      <c r="D9" s="79" t="str">
        <f>MRS!G9</f>
        <v>EA</v>
      </c>
      <c r="E9" s="80">
        <f>MRS!H9</f>
        <v>6</v>
      </c>
      <c r="F9" s="81">
        <f>MRS!I9</f>
        <v>145</v>
      </c>
      <c r="G9" s="81">
        <f>MRS!J9</f>
        <v>870</v>
      </c>
      <c r="H9" s="85"/>
    </row>
    <row r="10" spans="1:13" s="48" customFormat="1" ht="32.1" customHeight="1">
      <c r="A10" s="78">
        <f t="shared" si="0"/>
        <v>5</v>
      </c>
      <c r="B10" s="172" t="str">
        <f>MRS!B10&amp;" "&amp;MRS!D10</f>
        <v xml:space="preserve">Brass Hand Wire Brush  ( Brand : Kaspro ) </v>
      </c>
      <c r="C10" s="173"/>
      <c r="D10" s="79" t="str">
        <f>MRS!G10</f>
        <v>EA</v>
      </c>
      <c r="E10" s="80">
        <f>MRS!H10</f>
        <v>6</v>
      </c>
      <c r="F10" s="81">
        <f>MRS!I10</f>
        <v>12.5</v>
      </c>
      <c r="G10" s="81">
        <f>MRS!J10</f>
        <v>75</v>
      </c>
      <c r="H10" s="85"/>
    </row>
    <row r="11" spans="1:13" s="48" customFormat="1" ht="32.1" customHeight="1">
      <c r="A11" s="78">
        <f t="shared" si="0"/>
        <v>6</v>
      </c>
      <c r="B11" s="172" t="str">
        <f>MRS!B11&amp;" "&amp;MRS!D11</f>
        <v xml:space="preserve">Cable Tie  3.6 X 150Mm ( 100Ea/Pkt - Brand : Giffex ) </v>
      </c>
      <c r="C11" s="173"/>
      <c r="D11" s="79" t="str">
        <f>MRS!G11</f>
        <v>PKT</v>
      </c>
      <c r="E11" s="80">
        <f>MRS!H11</f>
        <v>50</v>
      </c>
      <c r="F11" s="81">
        <f>MRS!I11</f>
        <v>6</v>
      </c>
      <c r="G11" s="81">
        <f>MRS!J11</f>
        <v>300</v>
      </c>
      <c r="H11" s="85"/>
    </row>
    <row r="12" spans="1:13" s="48" customFormat="1" ht="32.1" customHeight="1">
      <c r="A12" s="78">
        <f t="shared" si="0"/>
        <v>7</v>
      </c>
      <c r="B12" s="172" t="str">
        <f>MRS!B12&amp;" "&amp;MRS!D12</f>
        <v xml:space="preserve">Cable Tie   4.8 X 300Mm ( 100Ea/Pkt - Brand : Giffex ) </v>
      </c>
      <c r="C12" s="173"/>
      <c r="D12" s="79" t="str">
        <f>MRS!G12</f>
        <v>PKT</v>
      </c>
      <c r="E12" s="80">
        <f>MRS!H12</f>
        <v>50</v>
      </c>
      <c r="F12" s="81">
        <f>MRS!I12</f>
        <v>13</v>
      </c>
      <c r="G12" s="81">
        <f>MRS!J12</f>
        <v>650</v>
      </c>
      <c r="H12" s="85"/>
    </row>
    <row r="13" spans="1:13" s="48" customFormat="1" ht="32.1" customHeight="1">
      <c r="A13" s="78">
        <f t="shared" si="0"/>
        <v>8</v>
      </c>
      <c r="B13" s="172" t="str">
        <f>MRS!B13&amp;" "&amp;MRS!D13</f>
        <v xml:space="preserve">Carbon Brush For Chipping Machine  Bosch 7Vc </v>
      </c>
      <c r="C13" s="173"/>
      <c r="D13" s="79" t="str">
        <f>MRS!G13</f>
        <v>EA</v>
      </c>
      <c r="E13" s="80">
        <f>MRS!H13</f>
        <v>25</v>
      </c>
      <c r="F13" s="81">
        <f>MRS!I13</f>
        <v>88</v>
      </c>
      <c r="G13" s="81">
        <f>MRS!J13</f>
        <v>2200</v>
      </c>
      <c r="H13" s="85"/>
    </row>
    <row r="14" spans="1:13" s="48" customFormat="1" ht="32.1" customHeight="1">
      <c r="A14" s="78">
        <f t="shared" si="0"/>
        <v>9</v>
      </c>
      <c r="B14" s="172" t="str">
        <f>MRS!B14&amp;" "&amp;MRS!D14</f>
        <v xml:space="preserve">Center Punch   120Mm ( Brand : Clarke ) </v>
      </c>
      <c r="C14" s="173"/>
      <c r="D14" s="79" t="str">
        <f>MRS!G14</f>
        <v>EA</v>
      </c>
      <c r="E14" s="80">
        <f>MRS!H14</f>
        <v>4</v>
      </c>
      <c r="F14" s="81">
        <f>MRS!I14</f>
        <v>8.5</v>
      </c>
      <c r="G14" s="81">
        <f>MRS!J14</f>
        <v>34</v>
      </c>
      <c r="H14" s="85"/>
    </row>
    <row r="15" spans="1:13" s="48" customFormat="1" ht="32.1" customHeight="1">
      <c r="A15" s="78">
        <f t="shared" si="0"/>
        <v>10</v>
      </c>
      <c r="B15" s="172" t="str">
        <f>MRS!B15&amp;" "&amp;MRS!D15</f>
        <v xml:space="preserve">Chemical Coveral  (Brand - Tyvek) </v>
      </c>
      <c r="C15" s="173"/>
      <c r="D15" s="79" t="str">
        <f>MRS!G15</f>
        <v>EA</v>
      </c>
      <c r="E15" s="80">
        <f>MRS!H15</f>
        <v>250</v>
      </c>
      <c r="F15" s="81">
        <f>MRS!I15</f>
        <v>14</v>
      </c>
      <c r="G15" s="81">
        <f>MRS!J15</f>
        <v>3500</v>
      </c>
      <c r="H15" s="85"/>
    </row>
    <row r="16" spans="1:13" s="48" customFormat="1" ht="32.1" customHeight="1">
      <c r="A16" s="78">
        <f t="shared" si="0"/>
        <v>11</v>
      </c>
      <c r="B16" s="172" t="str">
        <f>MRS!B16&amp;" "&amp;MRS!D16</f>
        <v xml:space="preserve">Combination Plier  200Mm ( Brand : Giffex ) </v>
      </c>
      <c r="C16" s="173"/>
      <c r="D16" s="79" t="str">
        <f>MRS!G16</f>
        <v>PCS</v>
      </c>
      <c r="E16" s="80">
        <f>MRS!H16</f>
        <v>4</v>
      </c>
      <c r="F16" s="81">
        <f>MRS!I16</f>
        <v>14.5</v>
      </c>
      <c r="G16" s="81">
        <f>MRS!J16</f>
        <v>58</v>
      </c>
      <c r="H16" s="85"/>
    </row>
    <row r="17" spans="1:8" s="48" customFormat="1" ht="32.1" customHeight="1">
      <c r="A17" s="78">
        <f t="shared" si="0"/>
        <v>12</v>
      </c>
      <c r="B17" s="172" t="str">
        <f>MRS!B17&amp;" "&amp;MRS!D17</f>
        <v xml:space="preserve">Combination Spanner -  30Mm Roto </v>
      </c>
      <c r="C17" s="173"/>
      <c r="D17" s="79" t="str">
        <f>MRS!G17</f>
        <v>EA</v>
      </c>
      <c r="E17" s="80">
        <f>MRS!H17</f>
        <v>30</v>
      </c>
      <c r="F17" s="81">
        <f>MRS!I17</f>
        <v>24</v>
      </c>
      <c r="G17" s="81">
        <f>MRS!J17</f>
        <v>720</v>
      </c>
      <c r="H17" s="85"/>
    </row>
    <row r="18" spans="1:8" s="48" customFormat="1" ht="32.1" customHeight="1">
      <c r="A18" s="78">
        <f t="shared" si="0"/>
        <v>13</v>
      </c>
      <c r="B18" s="172" t="str">
        <f>MRS!B18&amp;" "&amp;MRS!D18</f>
        <v xml:space="preserve">Crow Foot Socket Dr1/2"X22Mm ( Brand : Roto ) </v>
      </c>
      <c r="C18" s="173"/>
      <c r="D18" s="79" t="str">
        <f>MRS!G18</f>
        <v>EA</v>
      </c>
      <c r="E18" s="80">
        <f>MRS!H18</f>
        <v>40</v>
      </c>
      <c r="F18" s="81">
        <f>MRS!I18</f>
        <v>50</v>
      </c>
      <c r="G18" s="81">
        <f>MRS!J18</f>
        <v>2000</v>
      </c>
      <c r="H18" s="85"/>
    </row>
    <row r="19" spans="1:8" s="48" customFormat="1" ht="32.1" customHeight="1">
      <c r="A19" s="78">
        <f t="shared" si="0"/>
        <v>14</v>
      </c>
      <c r="B19" s="172" t="str">
        <f>MRS!B19&amp;" "&amp;MRS!D19</f>
        <v xml:space="preserve">Crow Foot Socket  Dr1/2"X27Mm ( Brand : Roto ) </v>
      </c>
      <c r="C19" s="173"/>
      <c r="D19" s="79" t="str">
        <f>MRS!G19</f>
        <v>EA</v>
      </c>
      <c r="E19" s="80">
        <f>MRS!H19</f>
        <v>40</v>
      </c>
      <c r="F19" s="81">
        <f>MRS!I19</f>
        <v>60</v>
      </c>
      <c r="G19" s="81">
        <f>MRS!J19</f>
        <v>2400</v>
      </c>
      <c r="H19" s="85"/>
    </row>
    <row r="20" spans="1:8" s="48" customFormat="1" ht="32.1" customHeight="1">
      <c r="A20" s="78">
        <f t="shared" si="0"/>
        <v>15</v>
      </c>
      <c r="B20" s="172" t="str">
        <f>MRS!B20&amp;" "&amp;MRS!D20</f>
        <v xml:space="preserve">Crow Foot Socket  - Dr1/2"X32Mm ( Brand : Roto ) </v>
      </c>
      <c r="C20" s="173"/>
      <c r="D20" s="79" t="str">
        <f>MRS!G20</f>
        <v>EA</v>
      </c>
      <c r="E20" s="80">
        <f>MRS!H20</f>
        <v>40</v>
      </c>
      <c r="F20" s="81">
        <f>MRS!I20</f>
        <v>65</v>
      </c>
      <c r="G20" s="81">
        <f>MRS!J20</f>
        <v>2600</v>
      </c>
      <c r="H20" s="85"/>
    </row>
    <row r="21" spans="1:8" s="48" customFormat="1" ht="32.1" customHeight="1">
      <c r="A21" s="78">
        <f t="shared" si="0"/>
        <v>16</v>
      </c>
      <c r="B21" s="172" t="str">
        <f>MRS!B21&amp;" "&amp;MRS!D21</f>
        <v xml:space="preserve">Crow Foot Socket  - Dr1/2"X36Mm ( Brand : Roto ) </v>
      </c>
      <c r="C21" s="173"/>
      <c r="D21" s="79" t="str">
        <f>MRS!G21</f>
        <v>EA</v>
      </c>
      <c r="E21" s="80">
        <f>MRS!H21</f>
        <v>40</v>
      </c>
      <c r="F21" s="81">
        <f>MRS!I21</f>
        <v>72.5</v>
      </c>
      <c r="G21" s="81">
        <f>MRS!J21</f>
        <v>2900</v>
      </c>
      <c r="H21" s="85"/>
    </row>
    <row r="22" spans="1:8" s="48" customFormat="1" ht="32.1" customHeight="1">
      <c r="A22" s="78">
        <f t="shared" si="0"/>
        <v>17</v>
      </c>
      <c r="B22" s="172" t="str">
        <f>MRS!B22&amp;" "&amp;MRS!D22</f>
        <v xml:space="preserve">Dewalt Carbon Brush  For Angle Grinder Machine - 4" </v>
      </c>
      <c r="C22" s="173"/>
      <c r="D22" s="79" t="str">
        <f>MRS!G22</f>
        <v>EA</v>
      </c>
      <c r="E22" s="80">
        <f>MRS!H22</f>
        <v>25</v>
      </c>
      <c r="F22" s="81">
        <f>MRS!I22</f>
        <v>13</v>
      </c>
      <c r="G22" s="81">
        <f>MRS!J22</f>
        <v>325</v>
      </c>
      <c r="H22" s="85"/>
    </row>
    <row r="23" spans="1:8" s="48" customFormat="1" ht="32.1" customHeight="1">
      <c r="A23" s="78">
        <f t="shared" si="0"/>
        <v>18</v>
      </c>
      <c r="B23" s="172" t="str">
        <f>MRS!B23&amp;" "&amp;MRS!D23</f>
        <v xml:space="preserve">Diagonal Cutting Plier Dewesser 6" </v>
      </c>
      <c r="C23" s="173"/>
      <c r="D23" s="79" t="str">
        <f>MRS!G23</f>
        <v>PCS</v>
      </c>
      <c r="E23" s="80">
        <f>MRS!H23</f>
        <v>3</v>
      </c>
      <c r="F23" s="81">
        <f>MRS!I23</f>
        <v>16</v>
      </c>
      <c r="G23" s="81">
        <f>MRS!J23</f>
        <v>48</v>
      </c>
      <c r="H23" s="85"/>
    </row>
    <row r="24" spans="1:8" s="48" customFormat="1" ht="32.1" customHeight="1">
      <c r="A24" s="78">
        <f t="shared" si="0"/>
        <v>19</v>
      </c>
      <c r="B24" s="172" t="str">
        <f>MRS!B24&amp;" "&amp;MRS!D24</f>
        <v xml:space="preserve">Electrical Tape  Yellow Giffex </v>
      </c>
      <c r="C24" s="173"/>
      <c r="D24" s="79" t="str">
        <f>MRS!G24</f>
        <v>EA</v>
      </c>
      <c r="E24" s="80">
        <f>MRS!H24</f>
        <v>300</v>
      </c>
      <c r="F24" s="81">
        <f>MRS!I24</f>
        <v>2.1</v>
      </c>
      <c r="G24" s="81">
        <f>MRS!J24</f>
        <v>630</v>
      </c>
      <c r="H24" s="85"/>
    </row>
    <row r="25" spans="1:8" s="48" customFormat="1" ht="32.1" customHeight="1">
      <c r="A25" s="78">
        <f t="shared" si="0"/>
        <v>20</v>
      </c>
      <c r="B25" s="172" t="str">
        <f>MRS!B25&amp;" "&amp;MRS!D25</f>
        <v xml:space="preserve">End Cutting Top Cutter Pilier  7" (Brand - Knippex) </v>
      </c>
      <c r="C25" s="173"/>
      <c r="D25" s="79" t="str">
        <f>MRS!G25</f>
        <v>EA</v>
      </c>
      <c r="E25" s="80">
        <f>MRS!H25</f>
        <v>3</v>
      </c>
      <c r="F25" s="81">
        <f>MRS!I25</f>
        <v>42</v>
      </c>
      <c r="G25" s="81">
        <f>MRS!J25</f>
        <v>126</v>
      </c>
      <c r="H25" s="85"/>
    </row>
    <row r="26" spans="1:8" s="48" customFormat="1" ht="32.1" customHeight="1">
      <c r="A26" s="78">
        <f t="shared" si="0"/>
        <v>21</v>
      </c>
      <c r="B26" s="172" t="str">
        <f>MRS!B26&amp;" "&amp;MRS!D26</f>
        <v xml:space="preserve">Flat Chisel  16Mm X 400Mm (Brand - Clarke) </v>
      </c>
      <c r="C26" s="173"/>
      <c r="D26" s="79" t="str">
        <f>MRS!G26</f>
        <v>EA</v>
      </c>
      <c r="E26" s="80">
        <f>MRS!H26</f>
        <v>5</v>
      </c>
      <c r="F26" s="81">
        <f>MRS!I26</f>
        <v>12</v>
      </c>
      <c r="G26" s="81">
        <f>MRS!J26</f>
        <v>60</v>
      </c>
      <c r="H26" s="85"/>
    </row>
    <row r="27" spans="1:8" s="48" customFormat="1" ht="32.1" customHeight="1">
      <c r="A27" s="78">
        <f t="shared" si="0"/>
        <v>22</v>
      </c>
      <c r="B27" s="172" t="str">
        <f>MRS!B27&amp;" "&amp;MRS!D27</f>
        <v xml:space="preserve">Hacksaw Frame  12" (Brand - Clarke) </v>
      </c>
      <c r="C27" s="173"/>
      <c r="D27" s="79" t="str">
        <f>MRS!G27</f>
        <v>EA</v>
      </c>
      <c r="E27" s="80">
        <f>MRS!H27</f>
        <v>10</v>
      </c>
      <c r="F27" s="81">
        <f>MRS!I27</f>
        <v>16</v>
      </c>
      <c r="G27" s="81">
        <f>MRS!J27</f>
        <v>160</v>
      </c>
      <c r="H27" s="85"/>
    </row>
    <row r="28" spans="1:8" s="48" customFormat="1" ht="32.1" customHeight="1">
      <c r="A28" s="78">
        <f t="shared" si="0"/>
        <v>23</v>
      </c>
      <c r="B28" s="172" t="str">
        <f>MRS!B28&amp;" "&amp;MRS!D28</f>
        <v xml:space="preserve">Hex Nut Ss  5/8" </v>
      </c>
      <c r="C28" s="173"/>
      <c r="D28" s="79" t="str">
        <f>MRS!G28</f>
        <v>EA</v>
      </c>
      <c r="E28" s="80">
        <f>MRS!H28</f>
        <v>60</v>
      </c>
      <c r="F28" s="81">
        <f>MRS!I28</f>
        <v>4</v>
      </c>
      <c r="G28" s="81">
        <f>MRS!J28</f>
        <v>240</v>
      </c>
      <c r="H28" s="85"/>
    </row>
    <row r="29" spans="1:8" s="48" customFormat="1" ht="32.1" customHeight="1">
      <c r="A29" s="78">
        <f t="shared" si="0"/>
        <v>24</v>
      </c>
      <c r="B29" s="172" t="str">
        <f>MRS!B29&amp;" "&amp;MRS!D29</f>
        <v xml:space="preserve">Hydraulic Bender Oil   5Ltr/Can ( Power-Up, Aw68 ) </v>
      </c>
      <c r="C29" s="173"/>
      <c r="D29" s="79" t="str">
        <f>MRS!G29</f>
        <v>CAN</v>
      </c>
      <c r="E29" s="80">
        <f>MRS!H29</f>
        <v>5</v>
      </c>
      <c r="F29" s="81">
        <f>MRS!I29</f>
        <v>45</v>
      </c>
      <c r="G29" s="81">
        <f>MRS!J29</f>
        <v>225</v>
      </c>
      <c r="H29" s="85"/>
    </row>
    <row r="30" spans="1:8" s="48" customFormat="1" ht="32.1" customHeight="1">
      <c r="A30" s="78">
        <f t="shared" si="0"/>
        <v>25</v>
      </c>
      <c r="B30" s="172" t="str">
        <f>MRS!B30&amp;" "&amp;MRS!D30</f>
        <v xml:space="preserve">Impact Adapter Socket  1/2" X 1/4" (Brand - Papersky) </v>
      </c>
      <c r="C30" s="173"/>
      <c r="D30" s="79" t="str">
        <f>MRS!G30</f>
        <v>PCS</v>
      </c>
      <c r="E30" s="80">
        <f>MRS!H30</f>
        <v>5</v>
      </c>
      <c r="F30" s="81">
        <f>MRS!I30</f>
        <v>25</v>
      </c>
      <c r="G30" s="81">
        <f>MRS!J30</f>
        <v>125</v>
      </c>
      <c r="H30" s="85"/>
    </row>
    <row r="31" spans="1:8" s="48" customFormat="1" ht="32.1" customHeight="1">
      <c r="A31" s="78">
        <f t="shared" si="0"/>
        <v>26</v>
      </c>
      <c r="B31" s="172" t="str">
        <f>MRS!B31&amp;" "&amp;MRS!D31</f>
        <v xml:space="preserve">Impact Adapter Socket 1/4" X 3/8" (Brand - Papersky) </v>
      </c>
      <c r="C31" s="173"/>
      <c r="D31" s="79" t="str">
        <f>MRS!G31</f>
        <v>PCS</v>
      </c>
      <c r="E31" s="80">
        <f>MRS!H31</f>
        <v>5</v>
      </c>
      <c r="F31" s="81">
        <f>MRS!I31</f>
        <v>16</v>
      </c>
      <c r="G31" s="81">
        <f>MRS!J31</f>
        <v>80</v>
      </c>
      <c r="H31" s="85"/>
    </row>
    <row r="32" spans="1:8" s="48" customFormat="1" ht="32.1" customHeight="1">
      <c r="A32" s="78">
        <f t="shared" si="0"/>
        <v>27</v>
      </c>
      <c r="B32" s="172" t="str">
        <f>MRS!B32&amp;" "&amp;MRS!D32</f>
        <v xml:space="preserve">Impact Adapter Socket  3/8" X 1/4" (Brand - Papersky) </v>
      </c>
      <c r="C32" s="173"/>
      <c r="D32" s="79" t="str">
        <f>MRS!G32</f>
        <v>PCS</v>
      </c>
      <c r="E32" s="80">
        <f>MRS!H32</f>
        <v>5</v>
      </c>
      <c r="F32" s="81">
        <f>MRS!I32</f>
        <v>15</v>
      </c>
      <c r="G32" s="81">
        <f>MRS!J32</f>
        <v>75</v>
      </c>
      <c r="H32" s="85"/>
    </row>
    <row r="33" spans="1:8" s="48" customFormat="1" ht="32.1" customHeight="1">
      <c r="A33" s="78">
        <f t="shared" si="0"/>
        <v>28</v>
      </c>
      <c r="B33" s="172" t="str">
        <f>MRS!B33&amp;" "&amp;MRS!D33</f>
        <v xml:space="preserve">Impact Socket  1" Drive, Size: 27Mm X 80Mm, Short ( Brand : Edge ) </v>
      </c>
      <c r="C33" s="173"/>
      <c r="D33" s="79" t="str">
        <f>MRS!G33</f>
        <v>EA</v>
      </c>
      <c r="E33" s="80">
        <f>MRS!H33</f>
        <v>20</v>
      </c>
      <c r="F33" s="81">
        <f>MRS!I33</f>
        <v>32</v>
      </c>
      <c r="G33" s="81">
        <f>MRS!J33</f>
        <v>640</v>
      </c>
      <c r="H33" s="85"/>
    </row>
    <row r="34" spans="1:8" s="48" customFormat="1" ht="32.1" customHeight="1">
      <c r="A34" s="78">
        <f t="shared" si="0"/>
        <v>29</v>
      </c>
      <c r="B34" s="172" t="str">
        <f>MRS!B34&amp;" "&amp;MRS!D34</f>
        <v xml:space="preserve">Impact Socket  3/4" Drive, Size: 18Mm X 56Mm, Short ( Brand : Edge ) </v>
      </c>
      <c r="C34" s="173"/>
      <c r="D34" s="79" t="str">
        <f>MRS!G34</f>
        <v>EA</v>
      </c>
      <c r="E34" s="80">
        <f>MRS!H34</f>
        <v>10</v>
      </c>
      <c r="F34" s="81">
        <f>MRS!I34</f>
        <v>20</v>
      </c>
      <c r="G34" s="81">
        <f>MRS!J34</f>
        <v>200</v>
      </c>
      <c r="H34" s="85"/>
    </row>
    <row r="35" spans="1:8" s="48" customFormat="1" ht="32.1" customHeight="1">
      <c r="A35" s="78">
        <f t="shared" si="0"/>
        <v>30</v>
      </c>
      <c r="B35" s="172" t="str">
        <f>MRS!B35&amp;" "&amp;MRS!D35</f>
        <v xml:space="preserve">Impact Socket  3/4" Drive, Size: 27Mm X 56Mm, Short ( Brand : Edge ) </v>
      </c>
      <c r="C35" s="173"/>
      <c r="D35" s="79" t="str">
        <f>MRS!G35</f>
        <v>EA</v>
      </c>
      <c r="E35" s="80">
        <f>MRS!H35</f>
        <v>15</v>
      </c>
      <c r="F35" s="81">
        <f>MRS!I35</f>
        <v>24</v>
      </c>
      <c r="G35" s="81">
        <f>MRS!J35</f>
        <v>360</v>
      </c>
      <c r="H35" s="85"/>
    </row>
    <row r="36" spans="1:8" s="48" customFormat="1" ht="32.1" customHeight="1">
      <c r="A36" s="78">
        <f t="shared" si="0"/>
        <v>31</v>
      </c>
      <c r="B36" s="172" t="str">
        <f>MRS!B36&amp;" "&amp;MRS!D36</f>
        <v xml:space="preserve">Impact Socket  3/4" Drive, Size: 32Mm X 56Mm, Short ( Brand : Edge ) </v>
      </c>
      <c r="C36" s="173"/>
      <c r="D36" s="79" t="str">
        <f>MRS!G36</f>
        <v>EA</v>
      </c>
      <c r="E36" s="80">
        <f>MRS!H36</f>
        <v>15</v>
      </c>
      <c r="F36" s="81">
        <f>MRS!I36</f>
        <v>28</v>
      </c>
      <c r="G36" s="81">
        <f>MRS!J36</f>
        <v>420</v>
      </c>
      <c r="H36" s="85"/>
    </row>
    <row r="37" spans="1:8" s="48" customFormat="1" ht="32.1" customHeight="1">
      <c r="A37" s="78">
        <f t="shared" si="0"/>
        <v>32</v>
      </c>
      <c r="B37" s="172" t="str">
        <f>MRS!B37&amp;" "&amp;MRS!D37</f>
        <v xml:space="preserve">Impact Socket  3/4" Drive, Size: 36Mm X 56Mm, Short ( Brand : Edge ) </v>
      </c>
      <c r="C37" s="173"/>
      <c r="D37" s="79" t="str">
        <f>MRS!G37</f>
        <v>EA</v>
      </c>
      <c r="E37" s="80">
        <f>MRS!H37</f>
        <v>15</v>
      </c>
      <c r="F37" s="81">
        <f>MRS!I37</f>
        <v>30</v>
      </c>
      <c r="G37" s="81">
        <f>MRS!J37</f>
        <v>450</v>
      </c>
      <c r="H37" s="85"/>
    </row>
    <row r="38" spans="1:8" s="48" customFormat="1" ht="32.1" customHeight="1">
      <c r="A38" s="78">
        <f t="shared" si="0"/>
        <v>33</v>
      </c>
      <c r="B38" s="172" t="str">
        <f>MRS!B38&amp;" "&amp;MRS!D38</f>
        <v xml:space="preserve">Impact Socket  Dr 1/2" X 22Mm (Brand - Tower) </v>
      </c>
      <c r="C38" s="173"/>
      <c r="D38" s="79" t="str">
        <f>MRS!G38</f>
        <v>PCS</v>
      </c>
      <c r="E38" s="80">
        <f>MRS!H38</f>
        <v>15</v>
      </c>
      <c r="F38" s="81">
        <f>MRS!I38</f>
        <v>18</v>
      </c>
      <c r="G38" s="81">
        <f>MRS!J38</f>
        <v>270</v>
      </c>
      <c r="H38" s="85"/>
    </row>
    <row r="39" spans="1:8" s="48" customFormat="1" ht="32.1" customHeight="1">
      <c r="A39" s="78">
        <f t="shared" si="0"/>
        <v>34</v>
      </c>
      <c r="B39" s="172" t="str">
        <f>MRS!B39&amp;" "&amp;MRS!D39</f>
        <v xml:space="preserve">Impact Socket  Dr 1/2" X 32Mm (Brand - Tower) </v>
      </c>
      <c r="C39" s="173"/>
      <c r="D39" s="79" t="str">
        <f>MRS!G39</f>
        <v>PCS</v>
      </c>
      <c r="E39" s="80">
        <f>MRS!H39</f>
        <v>8</v>
      </c>
      <c r="F39" s="81">
        <f>MRS!I39</f>
        <v>29</v>
      </c>
      <c r="G39" s="81">
        <f>MRS!J39</f>
        <v>232</v>
      </c>
      <c r="H39" s="85"/>
    </row>
    <row r="40" spans="1:8" s="48" customFormat="1" ht="32.1" customHeight="1">
      <c r="A40" s="78">
        <f t="shared" si="0"/>
        <v>35</v>
      </c>
      <c r="B40" s="172" t="str">
        <f>MRS!B40&amp;" "&amp;MRS!D40</f>
        <v xml:space="preserve">Impact Socket  Dr 1/2"X 27Mm (Brand - Tower) </v>
      </c>
      <c r="C40" s="173"/>
      <c r="D40" s="79" t="str">
        <f>MRS!G40</f>
        <v>PCS</v>
      </c>
      <c r="E40" s="80">
        <f>MRS!H40</f>
        <v>15</v>
      </c>
      <c r="F40" s="81">
        <f>MRS!I40</f>
        <v>26</v>
      </c>
      <c r="G40" s="81">
        <f>MRS!J40</f>
        <v>390</v>
      </c>
      <c r="H40" s="85"/>
    </row>
    <row r="41" spans="1:8" s="48" customFormat="1" ht="32.1" customHeight="1">
      <c r="A41" s="78">
        <f t="shared" si="0"/>
        <v>36</v>
      </c>
      <c r="B41" s="172" t="str">
        <f>MRS!B41&amp;" "&amp;MRS!D41</f>
        <v xml:space="preserve">Impact Socket  Dr1" X 34Mm ( Brand : Clarke ) </v>
      </c>
      <c r="C41" s="173"/>
      <c r="D41" s="79" t="str">
        <f>MRS!G41</f>
        <v>EA</v>
      </c>
      <c r="E41" s="80">
        <f>MRS!H41</f>
        <v>10</v>
      </c>
      <c r="F41" s="81">
        <f>MRS!I41</f>
        <v>27</v>
      </c>
      <c r="G41" s="81">
        <f>MRS!J41</f>
        <v>270</v>
      </c>
      <c r="H41" s="85"/>
    </row>
    <row r="42" spans="1:8" s="48" customFormat="1" ht="32.1" customHeight="1">
      <c r="A42" s="78">
        <f t="shared" si="0"/>
        <v>37</v>
      </c>
      <c r="B42" s="172" t="str">
        <f>MRS!B42&amp;" "&amp;MRS!D42</f>
        <v xml:space="preserve">Impact Socket  Dr1" X 36Mm ( Brand : Clarke ) </v>
      </c>
      <c r="C42" s="173"/>
      <c r="D42" s="79" t="str">
        <f>MRS!G42</f>
        <v>EA</v>
      </c>
      <c r="E42" s="80">
        <f>MRS!H42</f>
        <v>10</v>
      </c>
      <c r="F42" s="81">
        <f>MRS!I42</f>
        <v>28</v>
      </c>
      <c r="G42" s="81">
        <f>MRS!J42</f>
        <v>280</v>
      </c>
      <c r="H42" s="85"/>
    </row>
    <row r="43" spans="1:8" s="48" customFormat="1" ht="32.1" customHeight="1">
      <c r="A43" s="78">
        <f t="shared" si="0"/>
        <v>38</v>
      </c>
      <c r="B43" s="172" t="str">
        <f>MRS!B43&amp;" "&amp;MRS!D43</f>
        <v xml:space="preserve">Impact Socket  Dr1" X 41Mm ( Brand : Clarke ) </v>
      </c>
      <c r="C43" s="173"/>
      <c r="D43" s="79" t="str">
        <f>MRS!G43</f>
        <v>EA</v>
      </c>
      <c r="E43" s="80">
        <f>MRS!H43</f>
        <v>10</v>
      </c>
      <c r="F43" s="81">
        <f>MRS!I43</f>
        <v>30</v>
      </c>
      <c r="G43" s="81">
        <f>MRS!J43</f>
        <v>300</v>
      </c>
      <c r="H43" s="85"/>
    </row>
    <row r="44" spans="1:8" s="48" customFormat="1" ht="32.1" customHeight="1">
      <c r="A44" s="78">
        <f t="shared" si="0"/>
        <v>39</v>
      </c>
      <c r="B44" s="172" t="str">
        <f>MRS!B44&amp;" "&amp;MRS!D44</f>
        <v xml:space="preserve">Indutrial Mist Fan  220V 26" ( Brand : Giffex ) </v>
      </c>
      <c r="C44" s="173"/>
      <c r="D44" s="79" t="str">
        <f>MRS!G44</f>
        <v>PCS</v>
      </c>
      <c r="E44" s="80">
        <f>MRS!H44</f>
        <v>3</v>
      </c>
      <c r="F44" s="81">
        <f>MRS!I44</f>
        <v>620</v>
      </c>
      <c r="G44" s="81">
        <f>MRS!J44</f>
        <v>1860</v>
      </c>
      <c r="H44" s="85"/>
    </row>
    <row r="45" spans="1:8" s="48" customFormat="1" ht="32.1" customHeight="1">
      <c r="A45" s="78">
        <f t="shared" si="0"/>
        <v>40</v>
      </c>
      <c r="B45" s="172" t="str">
        <f>MRS!B45&amp;" "&amp;MRS!D45</f>
        <v xml:space="preserve">Interchangeable Torque Wrench  Dr1/2" 50-350Nm,13-30Mm ( Brand : Max ) </v>
      </c>
      <c r="C45" s="173"/>
      <c r="D45" s="79" t="str">
        <f>MRS!G45</f>
        <v>SET</v>
      </c>
      <c r="E45" s="80">
        <f>MRS!H45</f>
        <v>2</v>
      </c>
      <c r="F45" s="81">
        <f>MRS!I45</f>
        <v>1050</v>
      </c>
      <c r="G45" s="81">
        <f>MRS!J45</f>
        <v>2100</v>
      </c>
      <c r="H45" s="85"/>
    </row>
    <row r="46" spans="1:8" s="48" customFormat="1" ht="32.1" customHeight="1">
      <c r="A46" s="78">
        <f t="shared" si="0"/>
        <v>41</v>
      </c>
      <c r="B46" s="172" t="str">
        <f>MRS!B46&amp;" "&amp;MRS!D46</f>
        <v xml:space="preserve">Magnetic Nut Setter  Size : 8Mm ( Brand : Dewesser ) </v>
      </c>
      <c r="C46" s="173"/>
      <c r="D46" s="79" t="str">
        <f>MRS!G46</f>
        <v>EA</v>
      </c>
      <c r="E46" s="80">
        <f>MRS!H46</f>
        <v>10</v>
      </c>
      <c r="F46" s="81">
        <f>MRS!I46</f>
        <v>3</v>
      </c>
      <c r="G46" s="81">
        <f>MRS!J46</f>
        <v>30</v>
      </c>
      <c r="H46" s="85"/>
    </row>
    <row r="47" spans="1:8" s="48" customFormat="1" ht="32.1" customHeight="1">
      <c r="A47" s="78">
        <f t="shared" si="0"/>
        <v>42</v>
      </c>
      <c r="B47" s="172" t="str">
        <f>MRS!B47&amp;" "&amp;MRS!D47</f>
        <v xml:space="preserve">Magnetic Scaffolder Speed Level  ( Brand : Kaspro ) </v>
      </c>
      <c r="C47" s="173"/>
      <c r="D47" s="79" t="str">
        <f>MRS!G47</f>
        <v>EA</v>
      </c>
      <c r="E47" s="80">
        <f>MRS!H47</f>
        <v>5</v>
      </c>
      <c r="F47" s="81">
        <f>MRS!I47</f>
        <v>30</v>
      </c>
      <c r="G47" s="81">
        <f>MRS!J47</f>
        <v>150</v>
      </c>
      <c r="H47" s="85"/>
    </row>
    <row r="48" spans="1:8" s="48" customFormat="1" ht="32.1" customHeight="1">
      <c r="A48" s="78">
        <f t="shared" si="0"/>
        <v>43</v>
      </c>
      <c r="B48" s="172" t="str">
        <f>MRS!B48&amp;" "&amp;MRS!D48</f>
        <v xml:space="preserve">Magnetic Spirit Level  300Mm ( Brand : Kaspro ) </v>
      </c>
      <c r="C48" s="173"/>
      <c r="D48" s="79" t="str">
        <f>MRS!G48</f>
        <v>EA</v>
      </c>
      <c r="E48" s="80">
        <f>MRS!H48</f>
        <v>60</v>
      </c>
      <c r="F48" s="81">
        <f>MRS!I48</f>
        <v>20</v>
      </c>
      <c r="G48" s="81">
        <f>MRS!J48</f>
        <v>1200</v>
      </c>
      <c r="H48" s="85"/>
    </row>
    <row r="49" spans="1:8" s="48" customFormat="1" ht="32.1" customHeight="1">
      <c r="A49" s="78">
        <f t="shared" si="0"/>
        <v>44</v>
      </c>
      <c r="B49" s="172" t="str">
        <f>MRS!B49&amp;" "&amp;MRS!D49</f>
        <v xml:space="preserve">Measurement Tape  5Mtr ( Brand : Roto ) </v>
      </c>
      <c r="C49" s="173"/>
      <c r="D49" s="79" t="str">
        <f>MRS!G49</f>
        <v>EA</v>
      </c>
      <c r="E49" s="80">
        <f>MRS!H49</f>
        <v>20</v>
      </c>
      <c r="F49" s="81">
        <f>MRS!I49</f>
        <v>8.5</v>
      </c>
      <c r="G49" s="81">
        <f>MRS!J49</f>
        <v>170</v>
      </c>
      <c r="H49" s="85"/>
    </row>
    <row r="50" spans="1:8" s="48" customFormat="1" ht="32.1" customHeight="1">
      <c r="A50" s="78">
        <f t="shared" si="0"/>
        <v>45</v>
      </c>
      <c r="B50" s="172" t="str">
        <f>MRS!B50&amp;" "&amp;MRS!D50</f>
        <v xml:space="preserve">Non-Sparking Flat Chisel  25 X 200Mm ( Brand : Kaspro ) </v>
      </c>
      <c r="C50" s="173"/>
      <c r="D50" s="79" t="str">
        <f>MRS!G50</f>
        <v>EA</v>
      </c>
      <c r="E50" s="80">
        <f>MRS!H50</f>
        <v>6</v>
      </c>
      <c r="F50" s="81">
        <f>MRS!I50</f>
        <v>210</v>
      </c>
      <c r="G50" s="81">
        <f>MRS!J50</f>
        <v>1260</v>
      </c>
      <c r="H50" s="85"/>
    </row>
    <row r="51" spans="1:8" s="48" customFormat="1" ht="32.1" customHeight="1">
      <c r="A51" s="78">
        <f t="shared" si="0"/>
        <v>46</v>
      </c>
      <c r="B51" s="172" t="str">
        <f>MRS!B51&amp;" "&amp;MRS!D51</f>
        <v xml:space="preserve">Ratchet Spanner  19 X 21Mm ( Brand : Kaspro ) </v>
      </c>
      <c r="C51" s="173"/>
      <c r="D51" s="79" t="str">
        <f>MRS!G51</f>
        <v>EA</v>
      </c>
      <c r="E51" s="80">
        <f>MRS!H51</f>
        <v>60</v>
      </c>
      <c r="F51" s="81">
        <f>MRS!I51</f>
        <v>35</v>
      </c>
      <c r="G51" s="81">
        <f>MRS!J51</f>
        <v>2100</v>
      </c>
      <c r="H51" s="85"/>
    </row>
    <row r="52" spans="1:8" s="48" customFormat="1" ht="32.1" customHeight="1">
      <c r="A52" s="78">
        <f t="shared" si="0"/>
        <v>47</v>
      </c>
      <c r="B52" s="172" t="str">
        <f>MRS!B52&amp;" "&amp;MRS!D52</f>
        <v xml:space="preserve">Rubber Hammer  2Lb (Brand - Clarke) </v>
      </c>
      <c r="C52" s="173"/>
      <c r="D52" s="79" t="str">
        <f>MRS!G52</f>
        <v>EA</v>
      </c>
      <c r="E52" s="80">
        <f>MRS!H52</f>
        <v>30</v>
      </c>
      <c r="F52" s="81">
        <f>MRS!I52</f>
        <v>12</v>
      </c>
      <c r="G52" s="81">
        <f>MRS!J52</f>
        <v>360</v>
      </c>
      <c r="H52" s="85"/>
    </row>
    <row r="53" spans="1:8" s="48" customFormat="1" ht="32.1" customHeight="1">
      <c r="A53" s="78">
        <f t="shared" si="0"/>
        <v>48</v>
      </c>
      <c r="B53" s="172" t="str">
        <f>MRS!B53&amp;" "&amp;MRS!D53</f>
        <v xml:space="preserve">Scaffold Tag  Green </v>
      </c>
      <c r="C53" s="173"/>
      <c r="D53" s="79" t="str">
        <f>MRS!G53</f>
        <v>EA</v>
      </c>
      <c r="E53" s="80">
        <f>MRS!H53</f>
        <v>200</v>
      </c>
      <c r="F53" s="81">
        <f>MRS!I53</f>
        <v>2.4</v>
      </c>
      <c r="G53" s="81">
        <f>MRS!J53</f>
        <v>480</v>
      </c>
      <c r="H53" s="85"/>
    </row>
    <row r="54" spans="1:8" s="48" customFormat="1" ht="32.1" customHeight="1">
      <c r="A54" s="78">
        <f t="shared" si="0"/>
        <v>49</v>
      </c>
      <c r="B54" s="172" t="str">
        <f>MRS!B54&amp;" "&amp;MRS!D54</f>
        <v xml:space="preserve">Scaffold Tag   Yellow </v>
      </c>
      <c r="C54" s="173"/>
      <c r="D54" s="79" t="str">
        <f>MRS!G54</f>
        <v>EA</v>
      </c>
      <c r="E54" s="80">
        <f>MRS!H54</f>
        <v>500</v>
      </c>
      <c r="F54" s="81">
        <f>MRS!I54</f>
        <v>2.4</v>
      </c>
      <c r="G54" s="81">
        <f>MRS!J54</f>
        <v>1200</v>
      </c>
      <c r="H54" s="85"/>
    </row>
    <row r="55" spans="1:8" s="48" customFormat="1" ht="32.1" customHeight="1">
      <c r="A55" s="78">
        <f t="shared" si="0"/>
        <v>50</v>
      </c>
      <c r="B55" s="172" t="str">
        <f>MRS!B55&amp;" "&amp;MRS!D55</f>
        <v xml:space="preserve">Scaffolding Canvas Bag   30Kg ( Brand : Kaspro ) </v>
      </c>
      <c r="C55" s="173"/>
      <c r="D55" s="79" t="str">
        <f>MRS!G55</f>
        <v>EA</v>
      </c>
      <c r="E55" s="80">
        <f>MRS!H55</f>
        <v>10</v>
      </c>
      <c r="F55" s="81">
        <f>MRS!I55</f>
        <v>76</v>
      </c>
      <c r="G55" s="81">
        <f>MRS!J55</f>
        <v>760</v>
      </c>
      <c r="H55" s="85"/>
    </row>
    <row r="56" spans="1:8" s="48" customFormat="1" ht="32.1" customHeight="1">
      <c r="A56" s="78">
        <f t="shared" si="0"/>
        <v>51</v>
      </c>
      <c r="B56" s="172" t="str">
        <f>MRS!B56&amp;" "&amp;MRS!D56</f>
        <v xml:space="preserve">Scaffolding Caster Wheel  </v>
      </c>
      <c r="C56" s="173"/>
      <c r="D56" s="79" t="str">
        <f>MRS!G56</f>
        <v>NOS</v>
      </c>
      <c r="E56" s="80">
        <f>MRS!H56</f>
        <v>12</v>
      </c>
      <c r="F56" s="81">
        <f>MRS!I56</f>
        <v>195</v>
      </c>
      <c r="G56" s="81">
        <f>MRS!J56</f>
        <v>2340</v>
      </c>
      <c r="H56" s="85"/>
    </row>
    <row r="57" spans="1:8" s="48" customFormat="1" ht="32.1" customHeight="1">
      <c r="A57" s="78">
        <f t="shared" si="0"/>
        <v>52</v>
      </c>
      <c r="B57" s="172" t="str">
        <f>MRS!B57&amp;" "&amp;MRS!D57</f>
        <v xml:space="preserve">Scaffolding Leather Gloves Red  </v>
      </c>
      <c r="C57" s="173"/>
      <c r="D57" s="79" t="str">
        <f>MRS!G57</f>
        <v>PAIR</v>
      </c>
      <c r="E57" s="80">
        <f>MRS!H57</f>
        <v>500</v>
      </c>
      <c r="F57" s="81">
        <f>MRS!I57</f>
        <v>4.5</v>
      </c>
      <c r="G57" s="81">
        <f>MRS!J57</f>
        <v>2250</v>
      </c>
      <c r="H57" s="85"/>
    </row>
    <row r="58" spans="1:8" s="48" customFormat="1" ht="32.1" customHeight="1">
      <c r="A58" s="78">
        <f t="shared" si="0"/>
        <v>53</v>
      </c>
      <c r="B58" s="172" t="str">
        <f>MRS!B58&amp;" "&amp;MRS!D58</f>
        <v xml:space="preserve">Scaffolding Spirit Level  ( Brand : Kaspro ) </v>
      </c>
      <c r="C58" s="173"/>
      <c r="D58" s="79" t="str">
        <f>MRS!G58</f>
        <v>EA</v>
      </c>
      <c r="E58" s="80">
        <f>MRS!H58</f>
        <v>3</v>
      </c>
      <c r="F58" s="81">
        <f>MRS!I58</f>
        <v>29</v>
      </c>
      <c r="G58" s="81">
        <f>MRS!J58</f>
        <v>87</v>
      </c>
      <c r="H58" s="85"/>
    </row>
    <row r="59" spans="1:8" s="48" customFormat="1" ht="32.1" customHeight="1">
      <c r="A59" s="78">
        <f t="shared" si="0"/>
        <v>54</v>
      </c>
      <c r="B59" s="172" t="str">
        <f>MRS!B59&amp;" "&amp;MRS!D59</f>
        <v xml:space="preserve">Scaffolding Tool Belt  ( Brand : Kaspro ) </v>
      </c>
      <c r="C59" s="173"/>
      <c r="D59" s="79" t="str">
        <f>MRS!G59</f>
        <v>EA</v>
      </c>
      <c r="E59" s="80">
        <f>MRS!H59</f>
        <v>60</v>
      </c>
      <c r="F59" s="81">
        <f>MRS!I59</f>
        <v>85</v>
      </c>
      <c r="G59" s="81">
        <f>MRS!J59</f>
        <v>5100</v>
      </c>
      <c r="H59" s="85"/>
    </row>
    <row r="60" spans="1:8" s="48" customFormat="1" ht="32.1" customHeight="1">
      <c r="A60" s="78">
        <f t="shared" si="0"/>
        <v>55</v>
      </c>
      <c r="B60" s="172" t="str">
        <f>MRS!B60&amp;" "&amp;MRS!D60</f>
        <v xml:space="preserve">Scaffolding Tool Lanyard  ( Brand : Clarke ) </v>
      </c>
      <c r="C60" s="173"/>
      <c r="D60" s="79" t="str">
        <f>MRS!G60</f>
        <v>EA</v>
      </c>
      <c r="E60" s="80">
        <f>MRS!H60</f>
        <v>60</v>
      </c>
      <c r="F60" s="81">
        <f>MRS!I60</f>
        <v>13</v>
      </c>
      <c r="G60" s="81">
        <f>MRS!J60</f>
        <v>780</v>
      </c>
      <c r="H60" s="85"/>
    </row>
    <row r="61" spans="1:8" s="48" customFormat="1" ht="32.1" customHeight="1">
      <c r="A61" s="78">
        <f t="shared" si="0"/>
        <v>56</v>
      </c>
      <c r="B61" s="172" t="str">
        <f>MRS!B61&amp;" "&amp;MRS!D61</f>
        <v xml:space="preserve">Scaffolding Tool Leather Belt  ( Brand : Kaspro ) </v>
      </c>
      <c r="C61" s="173"/>
      <c r="D61" s="79" t="str">
        <f>MRS!G61</f>
        <v>EA</v>
      </c>
      <c r="E61" s="80">
        <f>MRS!H61</f>
        <v>3</v>
      </c>
      <c r="F61" s="81">
        <f>MRS!I61</f>
        <v>85</v>
      </c>
      <c r="G61" s="81">
        <f>MRS!J61</f>
        <v>255</v>
      </c>
      <c r="H61" s="85"/>
    </row>
    <row r="62" spans="1:8" s="48" customFormat="1" ht="32.1" customHeight="1">
      <c r="A62" s="78">
        <f t="shared" si="0"/>
        <v>57</v>
      </c>
      <c r="B62" s="172" t="str">
        <f>MRS!B62&amp;" "&amp;MRS!D62</f>
        <v xml:space="preserve">Screw Driver  6Mm X 150Mm (-) &amp; Cross (+) Type (Brand - Giffex) </v>
      </c>
      <c r="C62" s="173"/>
      <c r="D62" s="79" t="str">
        <f>MRS!G62</f>
        <v>EA</v>
      </c>
      <c r="E62" s="80">
        <f>MRS!H62</f>
        <v>20</v>
      </c>
      <c r="F62" s="81">
        <f>MRS!I62</f>
        <v>10</v>
      </c>
      <c r="G62" s="81">
        <f>MRS!J62</f>
        <v>200</v>
      </c>
      <c r="H62" s="85"/>
    </row>
    <row r="63" spans="1:8" s="48" customFormat="1" ht="32.1" customHeight="1">
      <c r="A63" s="78">
        <f t="shared" si="0"/>
        <v>58</v>
      </c>
      <c r="B63" s="172" t="str">
        <f>MRS!B63&amp;" "&amp;MRS!D63</f>
        <v xml:space="preserve">Sholding Iron  100 Watt </v>
      </c>
      <c r="C63" s="173"/>
      <c r="D63" s="79" t="str">
        <f>MRS!G63</f>
        <v>EA</v>
      </c>
      <c r="E63" s="80">
        <f>MRS!H63</f>
        <v>1</v>
      </c>
      <c r="F63" s="81">
        <f>MRS!I63</f>
        <v>12</v>
      </c>
      <c r="G63" s="81">
        <f>MRS!J63</f>
        <v>12</v>
      </c>
      <c r="H63" s="85"/>
    </row>
    <row r="64" spans="1:8" s="48" customFormat="1" ht="32.1" customHeight="1">
      <c r="A64" s="78">
        <f t="shared" si="0"/>
        <v>59</v>
      </c>
      <c r="B64" s="172" t="str">
        <f>MRS!B64&amp;" "&amp;MRS!D64</f>
        <v xml:space="preserve">Sholding Iron Lead Wire  1.2Mm X 100G </v>
      </c>
      <c r="C64" s="173"/>
      <c r="D64" s="79" t="str">
        <f>MRS!G64</f>
        <v>EA</v>
      </c>
      <c r="E64" s="80">
        <f>MRS!H64</f>
        <v>1</v>
      </c>
      <c r="F64" s="81">
        <f>MRS!I64</f>
        <v>17</v>
      </c>
      <c r="G64" s="81">
        <f>MRS!J64</f>
        <v>17</v>
      </c>
      <c r="H64" s="85"/>
    </row>
    <row r="65" spans="1:8" s="48" customFormat="1" ht="32.1" customHeight="1">
      <c r="A65" s="78">
        <f t="shared" si="0"/>
        <v>60</v>
      </c>
      <c r="B65" s="172" t="str">
        <f>MRS!B65&amp;" "&amp;MRS!D65</f>
        <v xml:space="preserve">Sholding Iron Past  100Gm </v>
      </c>
      <c r="C65" s="173"/>
      <c r="D65" s="79" t="str">
        <f>MRS!G65</f>
        <v>EA</v>
      </c>
      <c r="E65" s="80">
        <f>MRS!H65</f>
        <v>1</v>
      </c>
      <c r="F65" s="81">
        <f>MRS!I65</f>
        <v>12</v>
      </c>
      <c r="G65" s="81">
        <f>MRS!J65</f>
        <v>12</v>
      </c>
      <c r="H65" s="85"/>
    </row>
    <row r="66" spans="1:8" s="48" customFormat="1" ht="32.1" customHeight="1">
      <c r="A66" s="78">
        <f t="shared" si="0"/>
        <v>61</v>
      </c>
      <c r="B66" s="172" t="str">
        <f>MRS!B66&amp;" "&amp;MRS!D66</f>
        <v xml:space="preserve">Sleeve Red Arc Welding Gloves   16" </v>
      </c>
      <c r="C66" s="173"/>
      <c r="D66" s="79" t="str">
        <f>MRS!G66</f>
        <v>PAIR</v>
      </c>
      <c r="E66" s="80">
        <f>MRS!H66</f>
        <v>100</v>
      </c>
      <c r="F66" s="81">
        <f>MRS!I66</f>
        <v>8</v>
      </c>
      <c r="G66" s="81">
        <f>MRS!J66</f>
        <v>800</v>
      </c>
      <c r="H66" s="85"/>
    </row>
    <row r="67" spans="1:8" s="48" customFormat="1" ht="32.1" customHeight="1">
      <c r="A67" s="78">
        <f t="shared" si="0"/>
        <v>62</v>
      </c>
      <c r="B67" s="172" t="str">
        <f>MRS!B67&amp;" "&amp;MRS!D67</f>
        <v xml:space="preserve">Sleeve Welding Tig Gloves 10" </v>
      </c>
      <c r="C67" s="173"/>
      <c r="D67" s="79" t="str">
        <f>MRS!G67</f>
        <v>PAIR</v>
      </c>
      <c r="E67" s="80">
        <f>MRS!H67</f>
        <v>200</v>
      </c>
      <c r="F67" s="81">
        <f>MRS!I67</f>
        <v>6</v>
      </c>
      <c r="G67" s="81">
        <f>MRS!J67</f>
        <v>1200</v>
      </c>
      <c r="H67" s="85"/>
    </row>
    <row r="68" spans="1:8" s="48" customFormat="1" ht="32.1" customHeight="1">
      <c r="A68" s="78">
        <f t="shared" si="0"/>
        <v>63</v>
      </c>
      <c r="B68" s="172" t="str">
        <f>MRS!B68&amp;" "&amp;MRS!D68</f>
        <v xml:space="preserve">Sleeve Welding Tig Gloves  12" </v>
      </c>
      <c r="C68" s="173"/>
      <c r="D68" s="79" t="str">
        <f>MRS!G68</f>
        <v>PAIR</v>
      </c>
      <c r="E68" s="80">
        <f>MRS!H68</f>
        <v>100</v>
      </c>
      <c r="F68" s="81">
        <f>MRS!I68</f>
        <v>7</v>
      </c>
      <c r="G68" s="81">
        <f>MRS!J68</f>
        <v>700</v>
      </c>
      <c r="H68" s="85"/>
    </row>
    <row r="69" spans="1:8" s="48" customFormat="1" ht="32.1" customHeight="1">
      <c r="A69" s="78">
        <f t="shared" si="0"/>
        <v>64</v>
      </c>
      <c r="B69" s="172" t="str">
        <f>MRS!B69&amp;" "&amp;MRS!D69</f>
        <v xml:space="preserve">Socket Adapter  M 1/2"X F 3/4" (Brand - Tower) </v>
      </c>
      <c r="C69" s="173"/>
      <c r="D69" s="79" t="str">
        <f>MRS!G69</f>
        <v>EA</v>
      </c>
      <c r="E69" s="80">
        <f>MRS!H69</f>
        <v>4</v>
      </c>
      <c r="F69" s="81">
        <f>MRS!I69</f>
        <v>38</v>
      </c>
      <c r="G69" s="81">
        <f>MRS!J69</f>
        <v>152</v>
      </c>
      <c r="H69" s="85"/>
    </row>
    <row r="70" spans="1:8" s="48" customFormat="1" ht="32.1" customHeight="1">
      <c r="A70" s="78">
        <f t="shared" ref="A70:A91" si="1">ROW(A65)</f>
        <v>65</v>
      </c>
      <c r="B70" s="172" t="str">
        <f>MRS!B70&amp;" "&amp;MRS!D70</f>
        <v xml:space="preserve">Ss Drill Bit  10Mm ( Brand : Dweseer ) </v>
      </c>
      <c r="C70" s="173"/>
      <c r="D70" s="79" t="str">
        <f>MRS!G70</f>
        <v>PCS</v>
      </c>
      <c r="E70" s="80">
        <f>MRS!H70</f>
        <v>30</v>
      </c>
      <c r="F70" s="81">
        <f>MRS!I70</f>
        <v>7</v>
      </c>
      <c r="G70" s="81">
        <f>MRS!J70</f>
        <v>210</v>
      </c>
      <c r="H70" s="85"/>
    </row>
    <row r="71" spans="1:8" s="48" customFormat="1" ht="32.1" customHeight="1">
      <c r="A71" s="78">
        <f t="shared" si="1"/>
        <v>66</v>
      </c>
      <c r="B71" s="172" t="str">
        <f>MRS!B71&amp;" "&amp;MRS!D71</f>
        <v xml:space="preserve">Ss Drill Bit  3Mm (Brand - Dewesser) </v>
      </c>
      <c r="C71" s="173"/>
      <c r="D71" s="79" t="str">
        <f>MRS!G71</f>
        <v>EA</v>
      </c>
      <c r="E71" s="80">
        <f>MRS!H71</f>
        <v>100</v>
      </c>
      <c r="F71" s="81">
        <f>MRS!I71</f>
        <v>2.5</v>
      </c>
      <c r="G71" s="81">
        <f>MRS!J71</f>
        <v>250</v>
      </c>
      <c r="H71" s="85"/>
    </row>
    <row r="72" spans="1:8" s="48" customFormat="1" ht="32.1" customHeight="1">
      <c r="A72" s="78">
        <f t="shared" si="1"/>
        <v>67</v>
      </c>
      <c r="B72" s="172" t="str">
        <f>MRS!B72&amp;" "&amp;MRS!D72</f>
        <v xml:space="preserve">Ss Drill Bit  5Mm (Brand - Dewesser) </v>
      </c>
      <c r="C72" s="173"/>
      <c r="D72" s="79" t="str">
        <f>MRS!G72</f>
        <v>EA</v>
      </c>
      <c r="E72" s="80">
        <f>MRS!H72</f>
        <v>100</v>
      </c>
      <c r="F72" s="81">
        <f>MRS!I72</f>
        <v>4.5</v>
      </c>
      <c r="G72" s="81">
        <f>MRS!J72</f>
        <v>450</v>
      </c>
      <c r="H72" s="85"/>
    </row>
    <row r="73" spans="1:8" s="48" customFormat="1" ht="32.1" customHeight="1">
      <c r="A73" s="78">
        <f t="shared" si="1"/>
        <v>68</v>
      </c>
      <c r="B73" s="172" t="str">
        <f>MRS!B73&amp;" "&amp;MRS!D73</f>
        <v xml:space="preserve">Ss Drill Bit  6Mm ( Brand : Dweseer ) </v>
      </c>
      <c r="C73" s="173"/>
      <c r="D73" s="79" t="str">
        <f>MRS!G73</f>
        <v>PCS</v>
      </c>
      <c r="E73" s="80">
        <f>MRS!H73</f>
        <v>30</v>
      </c>
      <c r="F73" s="81">
        <f>MRS!I73</f>
        <v>6</v>
      </c>
      <c r="G73" s="81">
        <f>MRS!J73</f>
        <v>180</v>
      </c>
      <c r="H73" s="85"/>
    </row>
    <row r="74" spans="1:8" s="48" customFormat="1" ht="32.1" customHeight="1">
      <c r="A74" s="78">
        <f t="shared" si="1"/>
        <v>69</v>
      </c>
      <c r="B74" s="172" t="str">
        <f>MRS!B74&amp;" "&amp;MRS!D74</f>
        <v xml:space="preserve">Ss Drill Bit  8Mm ( Brand : Dweseer ) </v>
      </c>
      <c r="C74" s="173"/>
      <c r="D74" s="79" t="str">
        <f>MRS!G74</f>
        <v>PCS</v>
      </c>
      <c r="E74" s="80">
        <f>MRS!H74</f>
        <v>30</v>
      </c>
      <c r="F74" s="81">
        <f>MRS!I74</f>
        <v>4.5</v>
      </c>
      <c r="G74" s="81">
        <f>MRS!J74</f>
        <v>135</v>
      </c>
      <c r="H74" s="85"/>
    </row>
    <row r="75" spans="1:8" s="48" customFormat="1" ht="32.1" customHeight="1">
      <c r="A75" s="78">
        <f t="shared" si="1"/>
        <v>70</v>
      </c>
      <c r="B75" s="172" t="str">
        <f>MRS!B75&amp;" "&amp;MRS!D75</f>
        <v xml:space="preserve">Ss Half Round File   12" ( Brand : Kaspro ) </v>
      </c>
      <c r="C75" s="173"/>
      <c r="D75" s="79" t="str">
        <f>MRS!G75</f>
        <v>EA</v>
      </c>
      <c r="E75" s="80">
        <f>MRS!H75</f>
        <v>20</v>
      </c>
      <c r="F75" s="81">
        <f>MRS!I75</f>
        <v>90</v>
      </c>
      <c r="G75" s="81">
        <f>MRS!J75</f>
        <v>1800</v>
      </c>
      <c r="H75" s="85"/>
    </row>
    <row r="76" spans="1:8" s="48" customFormat="1" ht="32.1" customHeight="1">
      <c r="A76" s="78">
        <f t="shared" si="1"/>
        <v>71</v>
      </c>
      <c r="B76" s="172" t="str">
        <f>MRS!B76&amp;" "&amp;MRS!D76</f>
        <v xml:space="preserve">30M Chalk Line Set With  115Grs Chalk And Level, Stanley </v>
      </c>
      <c r="C76" s="173"/>
      <c r="D76" s="79" t="str">
        <f>MRS!G76</f>
        <v>EA</v>
      </c>
      <c r="E76" s="80">
        <f>MRS!H76</f>
        <v>4</v>
      </c>
      <c r="F76" s="81">
        <f>MRS!I76</f>
        <v>21</v>
      </c>
      <c r="G76" s="81">
        <f>MRS!J76</f>
        <v>84</v>
      </c>
      <c r="H76" s="85"/>
    </row>
    <row r="77" spans="1:8" s="48" customFormat="1" ht="32.1" customHeight="1">
      <c r="A77" s="78">
        <f t="shared" si="1"/>
        <v>72</v>
      </c>
      <c r="B77" s="172" t="str">
        <f>MRS!B77&amp;" "&amp;MRS!D77</f>
        <v xml:space="preserve">Tube Cutter  Size : 3 - 30Mm , Stanley </v>
      </c>
      <c r="C77" s="173"/>
      <c r="D77" s="79" t="str">
        <f>MRS!G77</f>
        <v>NOS</v>
      </c>
      <c r="E77" s="80">
        <f>MRS!H77</f>
        <v>20</v>
      </c>
      <c r="F77" s="81">
        <f>MRS!I77</f>
        <v>60</v>
      </c>
      <c r="G77" s="81">
        <f>MRS!J77</f>
        <v>1200</v>
      </c>
      <c r="H77" s="85"/>
    </row>
    <row r="78" spans="1:8" s="48" customFormat="1" ht="32.1" customHeight="1">
      <c r="A78" s="78">
        <f t="shared" si="1"/>
        <v>73</v>
      </c>
      <c r="B78" s="172" t="str">
        <f>MRS!B78&amp;" "&amp;MRS!D78</f>
        <v xml:space="preserve">Std Scaffolding Canvas Bucket  ( Brand : Kaspro ) </v>
      </c>
      <c r="C78" s="173"/>
      <c r="D78" s="79" t="str">
        <f>MRS!G78</f>
        <v>EA</v>
      </c>
      <c r="E78" s="80">
        <f>MRS!H78</f>
        <v>4</v>
      </c>
      <c r="F78" s="81">
        <f>MRS!I78</f>
        <v>76</v>
      </c>
      <c r="G78" s="81">
        <f>MRS!J78</f>
        <v>304</v>
      </c>
      <c r="H78" s="85"/>
    </row>
    <row r="79" spans="1:8" s="48" customFormat="1" ht="32.1" customHeight="1">
      <c r="A79" s="78">
        <f t="shared" si="1"/>
        <v>74</v>
      </c>
      <c r="B79" s="172" t="str">
        <f>MRS!B79&amp;" "&amp;MRS!D79</f>
        <v xml:space="preserve">Steel Door Lock Full Set  </v>
      </c>
      <c r="C79" s="173"/>
      <c r="D79" s="79" t="str">
        <f>MRS!G79</f>
        <v>SET</v>
      </c>
      <c r="E79" s="80">
        <f>MRS!H79</f>
        <v>1</v>
      </c>
      <c r="F79" s="81">
        <f>MRS!I79</f>
        <v>195</v>
      </c>
      <c r="G79" s="81">
        <f>MRS!J79</f>
        <v>195</v>
      </c>
      <c r="H79" s="85"/>
    </row>
    <row r="80" spans="1:8" s="48" customFormat="1" ht="32.1" customHeight="1">
      <c r="A80" s="78">
        <f t="shared" si="1"/>
        <v>75</v>
      </c>
      <c r="B80" s="172" t="str">
        <f>MRS!B80&amp;" "&amp;MRS!D80</f>
        <v xml:space="preserve">Stud Bolt Ss   5/8" X 3000Mm </v>
      </c>
      <c r="C80" s="173"/>
      <c r="D80" s="79" t="str">
        <f>MRS!G80</f>
        <v>EA</v>
      </c>
      <c r="E80" s="80">
        <f>MRS!H80</f>
        <v>1</v>
      </c>
      <c r="F80" s="81">
        <f>MRS!I80</f>
        <v>200</v>
      </c>
      <c r="G80" s="81">
        <f>MRS!J80</f>
        <v>200</v>
      </c>
      <c r="H80" s="85"/>
    </row>
    <row r="81" spans="1:9" s="48" customFormat="1" ht="32.1" customHeight="1">
      <c r="A81" s="78">
        <f t="shared" si="1"/>
        <v>76</v>
      </c>
      <c r="B81" s="172" t="str">
        <f>MRS!B81&amp;" "&amp;MRS!D81</f>
        <v xml:space="preserve">Tin Snip Cutter  10" Straight ( Brand : Kana ) </v>
      </c>
      <c r="C81" s="173"/>
      <c r="D81" s="79" t="str">
        <f>MRS!G81</f>
        <v>EA</v>
      </c>
      <c r="E81" s="80">
        <f>MRS!H81</f>
        <v>4</v>
      </c>
      <c r="F81" s="81">
        <f>MRS!I81</f>
        <v>16</v>
      </c>
      <c r="G81" s="81">
        <f>MRS!J81</f>
        <v>64</v>
      </c>
      <c r="H81" s="85"/>
    </row>
    <row r="82" spans="1:9" s="48" customFormat="1" ht="32.1" customHeight="1">
      <c r="A82" s="78">
        <f t="shared" si="1"/>
        <v>77</v>
      </c>
      <c r="B82" s="172" t="str">
        <f>MRS!B82&amp;" "&amp;MRS!D82</f>
        <v xml:space="preserve">Tool Lanyard  ( Brand : Clarke ) </v>
      </c>
      <c r="C82" s="173"/>
      <c r="D82" s="79" t="str">
        <f>MRS!G82</f>
        <v>EA</v>
      </c>
      <c r="E82" s="80">
        <f>MRS!H82</f>
        <v>6</v>
      </c>
      <c r="F82" s="81">
        <f>MRS!I82</f>
        <v>13</v>
      </c>
      <c r="G82" s="81">
        <f>MRS!J82</f>
        <v>78</v>
      </c>
      <c r="H82" s="85"/>
    </row>
    <row r="83" spans="1:9" s="48" customFormat="1" ht="32.1" customHeight="1">
      <c r="A83" s="78">
        <f t="shared" si="1"/>
        <v>78</v>
      </c>
      <c r="B83" s="172" t="str">
        <f>MRS!B83&amp;" "&amp;MRS!D83</f>
        <v xml:space="preserve">Torque Wrench  Dr1/2" 10-110Nm (Brand - Papersky) </v>
      </c>
      <c r="C83" s="173"/>
      <c r="D83" s="79" t="str">
        <f>MRS!G83</f>
        <v>PCS</v>
      </c>
      <c r="E83" s="80">
        <f>MRS!H83</f>
        <v>15</v>
      </c>
      <c r="F83" s="81">
        <f>MRS!I83</f>
        <v>350</v>
      </c>
      <c r="G83" s="81">
        <f>MRS!J83</f>
        <v>5250</v>
      </c>
      <c r="H83" s="85"/>
    </row>
    <row r="84" spans="1:9" s="48" customFormat="1" ht="32.1" customHeight="1">
      <c r="A84" s="78">
        <f t="shared" si="1"/>
        <v>79</v>
      </c>
      <c r="B84" s="172" t="str">
        <f>MRS!B84&amp;" "&amp;MRS!D84</f>
        <v xml:space="preserve">Torque Wrench  Dr3/4" 100-500Nm (Brand - Papersky) </v>
      </c>
      <c r="C84" s="173"/>
      <c r="D84" s="79" t="str">
        <f>MRS!G84</f>
        <v>PCS</v>
      </c>
      <c r="E84" s="80">
        <f>MRS!H84</f>
        <v>5</v>
      </c>
      <c r="F84" s="81">
        <f>MRS!I84</f>
        <v>1050</v>
      </c>
      <c r="G84" s="81">
        <f>MRS!J84</f>
        <v>5250</v>
      </c>
      <c r="H84" s="85"/>
    </row>
    <row r="85" spans="1:9" s="48" customFormat="1" ht="32.1" customHeight="1">
      <c r="A85" s="78">
        <f t="shared" si="1"/>
        <v>80</v>
      </c>
      <c r="B85" s="172" t="str">
        <f>MRS!B85&amp;" "&amp;MRS!D85</f>
        <v xml:space="preserve">Torque Wrench  Dr3/4" 110-500Nm Wp271043 Work Pro </v>
      </c>
      <c r="C85" s="173"/>
      <c r="D85" s="79" t="str">
        <f>MRS!G85</f>
        <v>PCS</v>
      </c>
      <c r="E85" s="80">
        <f>MRS!H85</f>
        <v>10</v>
      </c>
      <c r="F85" s="81">
        <f>MRS!I85</f>
        <v>700</v>
      </c>
      <c r="G85" s="81">
        <f>MRS!J85</f>
        <v>7000</v>
      </c>
      <c r="H85" s="85"/>
    </row>
    <row r="86" spans="1:9" s="48" customFormat="1" ht="32.1" customHeight="1">
      <c r="A86" s="78">
        <f t="shared" si="1"/>
        <v>81</v>
      </c>
      <c r="B86" s="172" t="str">
        <f>MRS!B86&amp;" "&amp;MRS!D86</f>
        <v xml:space="preserve">Tube Cutter Blade  1/8-11/8 ( Brand : Super Ego ) </v>
      </c>
      <c r="C86" s="173"/>
      <c r="D86" s="79" t="str">
        <f>MRS!G86</f>
        <v>PCS</v>
      </c>
      <c r="E86" s="80">
        <f>MRS!H86</f>
        <v>85</v>
      </c>
      <c r="F86" s="81">
        <f>MRS!I86</f>
        <v>20</v>
      </c>
      <c r="G86" s="81">
        <f>MRS!J86</f>
        <v>1700</v>
      </c>
      <c r="H86" s="85"/>
    </row>
    <row r="87" spans="1:9" s="48" customFormat="1" ht="32.1" customHeight="1">
      <c r="A87" s="78">
        <f t="shared" si="1"/>
        <v>82</v>
      </c>
      <c r="B87" s="172" t="str">
        <f>MRS!B87&amp;" "&amp;MRS!D87</f>
        <v>Wd40 Spary  330Ml</v>
      </c>
      <c r="C87" s="173"/>
      <c r="D87" s="79" t="str">
        <f>MRS!G87</f>
        <v>PCS</v>
      </c>
      <c r="E87" s="80">
        <f>MRS!H87</f>
        <v>220</v>
      </c>
      <c r="F87" s="81">
        <f>MRS!I87</f>
        <v>17</v>
      </c>
      <c r="G87" s="81">
        <f>MRS!J87</f>
        <v>3740</v>
      </c>
      <c r="H87" s="85"/>
    </row>
    <row r="88" spans="1:9" s="48" customFormat="1" ht="32.1" customHeight="1">
      <c r="A88" s="78">
        <f t="shared" si="1"/>
        <v>83</v>
      </c>
      <c r="B88" s="172" t="str">
        <f>MRS!B88&amp;" "&amp;MRS!D88</f>
        <v xml:space="preserve">Welding Leather Apron  </v>
      </c>
      <c r="C88" s="173"/>
      <c r="D88" s="79" t="str">
        <f>MRS!G88</f>
        <v>EA</v>
      </c>
      <c r="E88" s="80">
        <f>MRS!H88</f>
        <v>50</v>
      </c>
      <c r="F88" s="81">
        <f>MRS!I88</f>
        <v>11.5</v>
      </c>
      <c r="G88" s="81">
        <f>MRS!J88</f>
        <v>575</v>
      </c>
      <c r="H88" s="85"/>
    </row>
    <row r="89" spans="1:9" s="48" customFormat="1" ht="32.1" customHeight="1">
      <c r="A89" s="78">
        <f t="shared" si="1"/>
        <v>84</v>
      </c>
      <c r="B89" s="172" t="str">
        <f>MRS!B89&amp;" "&amp;MRS!D89</f>
        <v xml:space="preserve">White Clear Welding Glass  ( Brand : Kaspro ) </v>
      </c>
      <c r="C89" s="173"/>
      <c r="D89" s="79" t="str">
        <f>MRS!G89</f>
        <v>EA</v>
      </c>
      <c r="E89" s="80">
        <f>MRS!H89</f>
        <v>500</v>
      </c>
      <c r="F89" s="81">
        <f>MRS!I89</f>
        <v>0.4</v>
      </c>
      <c r="G89" s="81">
        <f>MRS!J89</f>
        <v>200</v>
      </c>
      <c r="H89" s="85"/>
    </row>
    <row r="90" spans="1:9" s="48" customFormat="1" ht="32.1" customHeight="1">
      <c r="A90" s="78">
        <f t="shared" si="1"/>
        <v>85</v>
      </c>
      <c r="B90" s="172" t="str">
        <f>MRS!B90&amp;" "&amp;MRS!D90</f>
        <v xml:space="preserve">Zinc Spray Black  (Brand - Asmaco) </v>
      </c>
      <c r="C90" s="173"/>
      <c r="D90" s="79" t="str">
        <f>MRS!G90</f>
        <v>EA</v>
      </c>
      <c r="E90" s="80">
        <f>MRS!H90</f>
        <v>5</v>
      </c>
      <c r="F90" s="81">
        <f>MRS!I90</f>
        <v>30</v>
      </c>
      <c r="G90" s="81">
        <f>MRS!J90</f>
        <v>150</v>
      </c>
      <c r="H90" s="85"/>
    </row>
    <row r="91" spans="1:9" s="48" customFormat="1" ht="32.1" customHeight="1">
      <c r="A91" s="78">
        <f t="shared" si="1"/>
        <v>86</v>
      </c>
      <c r="B91" s="172" t="str">
        <f>MRS!B91&amp;" "&amp;MRS!D91</f>
        <v>Diesel Generator Perfect DG6500E 5.5KW Brand: Perfect</v>
      </c>
      <c r="C91" s="173"/>
      <c r="D91" s="79" t="str">
        <f>MRS!G91</f>
        <v>EA</v>
      </c>
      <c r="E91" s="80">
        <f>MRS!H91</f>
        <v>4</v>
      </c>
      <c r="F91" s="81">
        <f>MRS!I91</f>
        <v>3650</v>
      </c>
      <c r="G91" s="81">
        <f>MRS!J91</f>
        <v>14600</v>
      </c>
      <c r="H91" s="85"/>
    </row>
    <row r="92" spans="1:9" s="48" customFormat="1" ht="23.1" customHeight="1">
      <c r="A92" s="174" t="s">
        <v>77</v>
      </c>
      <c r="B92" s="175"/>
      <c r="C92" s="175"/>
      <c r="D92" s="175"/>
      <c r="E92" s="175"/>
      <c r="F92" s="175"/>
      <c r="G92" s="51">
        <f>SUM(G6:G91)</f>
        <v>94543.6</v>
      </c>
      <c r="H92" s="52"/>
    </row>
    <row r="93" spans="1:9" s="48" customFormat="1" ht="23.1" customHeight="1">
      <c r="A93" s="174" t="s">
        <v>41</v>
      </c>
      <c r="B93" s="175"/>
      <c r="C93" s="175"/>
      <c r="D93" s="175"/>
      <c r="E93" s="175"/>
      <c r="F93" s="175"/>
      <c r="G93" s="51">
        <f>+G92*0.15</f>
        <v>14181.54</v>
      </c>
      <c r="H93" s="52"/>
    </row>
    <row r="94" spans="1:9" s="48" customFormat="1" ht="24.95" customHeight="1" thickBot="1">
      <c r="A94" s="176" t="s">
        <v>78</v>
      </c>
      <c r="B94" s="177"/>
      <c r="C94" s="177"/>
      <c r="D94" s="177"/>
      <c r="E94" s="177"/>
      <c r="F94" s="177"/>
      <c r="G94" s="53">
        <f>G93+G92</f>
        <v>108725.14000000001</v>
      </c>
      <c r="H94" s="54"/>
    </row>
    <row r="95" spans="1:9" ht="15.75" thickTop="1">
      <c r="A95" s="55" t="str">
        <f>" 1) Above Price are as per your quotation with ref "&amp;'PO 1st page'!K14</f>
        <v xml:space="preserve"> 1) Above Price are as per your quotation with ref QTN-C26-150723, QT-C26-0911</v>
      </c>
      <c r="B95" s="56"/>
      <c r="C95" s="56"/>
      <c r="D95" s="57"/>
      <c r="E95" s="57"/>
      <c r="F95" s="57"/>
      <c r="G95" s="57"/>
      <c r="H95" s="57"/>
    </row>
    <row r="96" spans="1:9" ht="15">
      <c r="A96" s="58" t="s">
        <v>79</v>
      </c>
      <c r="B96" s="59"/>
      <c r="C96" s="59"/>
      <c r="D96" s="60"/>
      <c r="E96" s="60"/>
      <c r="F96" s="60"/>
      <c r="G96" s="60"/>
      <c r="H96" s="60"/>
      <c r="I96" s="61"/>
    </row>
    <row r="97" spans="1:13" ht="15.75">
      <c r="A97" s="62"/>
    </row>
    <row r="98" spans="1:13">
      <c r="A98" s="163" t="s">
        <v>80</v>
      </c>
      <c r="B98" s="163"/>
      <c r="C98" s="163"/>
      <c r="D98" s="163"/>
      <c r="E98" s="163"/>
      <c r="F98" s="163"/>
      <c r="G98" s="163"/>
      <c r="H98" s="163"/>
      <c r="I98" s="63"/>
      <c r="J98" s="63"/>
      <c r="K98" s="63"/>
      <c r="L98" s="63"/>
      <c r="M98" s="63"/>
    </row>
    <row r="99" spans="1:13" ht="15.75">
      <c r="A99" s="62"/>
      <c r="C99" s="64"/>
    </row>
    <row r="100" spans="1:13" ht="15.75">
      <c r="A100" s="62"/>
      <c r="C100" s="64"/>
    </row>
    <row r="102" spans="1:13" ht="12" customHeight="1"/>
  </sheetData>
  <mergeCells count="98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92:F92"/>
    <mergeCell ref="A93:F93"/>
    <mergeCell ref="A94:F94"/>
    <mergeCell ref="A98:H98"/>
    <mergeCell ref="B12:C12"/>
    <mergeCell ref="B14:C14"/>
    <mergeCell ref="B13:C13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91:C91"/>
    <mergeCell ref="B89:C89"/>
    <mergeCell ref="B90:C90"/>
    <mergeCell ref="B84:C84"/>
    <mergeCell ref="B85:C85"/>
    <mergeCell ref="B86:C86"/>
    <mergeCell ref="B87:C87"/>
    <mergeCell ref="B88:C88"/>
  </mergeCells>
  <phoneticPr fontId="6" type="noConversion"/>
  <printOptions horizontalCentered="1"/>
  <pageMargins left="0.39370078740157499" right="0.39370078740157499" top="0.39370078740157499" bottom="0.39370078740157499" header="0" footer="0"/>
  <pageSetup paperSize="9" scale="71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MRS!Print_Titles</vt:lpstr>
      <vt:lpstr>'MRS LIST'!Print_Titles</vt:lpstr>
      <vt:lpstr>'PO 2nd page'!Print_Titles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2026-08-17T02:47:39Z</cp:lastPrinted>
  <dcterms:created xsi:type="dcterms:W3CDTF">2024-10-20T11:50:19Z</dcterms:created>
  <dcterms:modified xsi:type="dcterms:W3CDTF">2026-08-17T03:22:41Z</dcterms:modified>
</cp:coreProperties>
</file>