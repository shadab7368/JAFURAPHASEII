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F956A5CF-F5DD-41A2-BBC9-83CCB285F19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1"/>
  <c r="D7" i="4"/>
  <c r="K59" i="3" l="1"/>
  <c r="H6" i="4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<sst xmlns="http://schemas.openxmlformats.org/spreadsheetml/2006/main" count="157" uniqueCount="123">
  <si>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</si>
  <si>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</si>
  <si>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</si>
  <si>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</si>
  <si>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</si>
  <si>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</si>
  <si>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</si>
  <si>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</si>
  <si>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</si>
  <si>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</si>
  <si>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</si>
  <si>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</si>
  <si>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</si>
  <si>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</si>
  <si>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</si>
  <si>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</si>
  <si>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</si>
  <si>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</si>
  <si>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</si>
  <si>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</si>
  <si>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</si>
  <si>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</si>
  <si>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</si>
  <si>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</si>
  <si>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</si>
  <si>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</si>
  <si>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</si>
  <si>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</si>
  <si>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</si>
  <si>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</si>
  <si>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</si>
  <si>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</si>
  <si>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</si>
  <si>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</si>
  <si>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</si>
  <si>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</si>
  <si>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</si>
  <si>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</si>
  <si>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</si>
  <si>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</si>
  <si>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</si>
  <si>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</si>
  <si>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</si>
  <si>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</si>
  <si>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</si>
  <si>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</si>
  <si>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</si>
  <si>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</si>
  <si>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</si>
  <si>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</si>
  <si>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</si>
  <si>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</si>
  <si>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</si>
  <si>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</si>
  <si>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</si>
  <si>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</si>
  <si>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</si>
  <si>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</si>
  <si>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</si>
  <si>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</si>
  <si>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</si>
  <si>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</si>
  <si>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</si>
  <si>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</si>
  <si>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</si>
  <si>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</si>
  <si>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</si>
  <si>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</si>
  <si>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</si>
  <si>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</si>
  <si>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</si>
  <si>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</si>
  <si>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</si>
  <si>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</si>
  <si>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</si>
  <si>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</si>
  <si>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</si>
  <si>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</si>
  <si>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</si>
  <si>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</si>
  <si>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</si>
  <si>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</si>
  <si>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</si>
  <si>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</si>
  <si>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</si>
  <si>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</si>
  <si>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</si>
  <si>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</si>
  <si>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</si>
  <si>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</si>
  <si>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</si>
  <si>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</si>
  <si>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</si>
  <si>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</si>
  <si>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</si>
  <si>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</si>
  <si>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</si>
  <si>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</si>
  <si>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</si>
  <si>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</si>
  <si>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</si>
  <si>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</si>
  <si>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</si>
  <si>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</si>
  <si>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</si>
  <si>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</si>
  <si>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</si>
  <si>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</si>
  <si>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</si>
  <si>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</si>
  <si>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</si>
  <si>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</si>
  <si>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</si>
  <si>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</si>
  <si>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</si>
  <si>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-MRS-0068</t>
    </r>
  </si>
  <si>
    <t>Tower Light</t>
  </si>
  <si>
    <t>TUV Certified</t>
  </si>
  <si>
    <t>Tower Light Mob &amp; De-Mob. Charge</t>
  </si>
  <si>
    <t>PC-EQTN2025-1620</t>
  </si>
  <si>
    <t>TUV Certified Tower Light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</si>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</sst>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4" sqref="O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113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111</v>
      </c>
      <c r="E2" s="101"/>
      <c r="F2" s="101"/>
      <c r="G2" s="101"/>
      <c r="H2" s="101"/>
      <c r="I2" s="4"/>
      <c r="J2" s="144" t="s">
        <v>114</v>
      </c>
      <c r="K2" s="145"/>
      <c r="L2" s="146"/>
    </row>
    <row r="3" spans="1:19" ht="20.100000000000001" customHeight="1">
      <c r="A3" s="3" t="s">
        <v>115</v>
      </c>
      <c r="B3" s="101"/>
      <c r="C3" s="101"/>
      <c r="D3" s="101"/>
      <c r="E3" s="147">
        <f>+L3</f>
        <v>45787</v>
      </c>
      <c r="F3" s="147"/>
      <c r="G3" s="147"/>
      <c r="H3" s="147"/>
      <c r="I3" s="147"/>
      <c r="J3" s="101"/>
      <c r="K3" s="101"/>
      <c r="L3" s="122">
        <v>45787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95</v>
      </c>
      <c r="J4" s="148" t="s">
        <v>96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116</v>
      </c>
      <c r="C6" s="130"/>
      <c r="D6" s="131" t="s">
        <v>117</v>
      </c>
      <c r="E6" s="132"/>
      <c r="F6" s="133"/>
      <c r="G6" s="111" t="s">
        <v>91</v>
      </c>
      <c r="H6" s="112">
        <v>4</v>
      </c>
      <c r="I6" s="113">
        <v>2800</v>
      </c>
      <c r="J6" s="113">
        <f>H6*I6</f>
        <v>11200</v>
      </c>
      <c r="K6" s="114" t="s">
        <v>100</v>
      </c>
      <c r="L6" s="115" t="s">
        <v>99</v>
      </c>
      <c r="S6" s="106"/>
    </row>
    <row r="7" spans="1:19" ht="22.5" customHeight="1">
      <c r="A7" s="5">
        <f t="shared" si="0"/>
        <v>2</v>
      </c>
      <c r="B7" s="129" t="s">
        <v>118</v>
      </c>
      <c r="C7" s="130"/>
      <c r="D7" s="140" t="s">
        <v>107</v>
      </c>
      <c r="E7" s="132"/>
      <c r="F7" s="133"/>
      <c r="G7" s="111" t="s">
        <v>108</v>
      </c>
      <c r="H7" s="112">
        <v>2</v>
      </c>
      <c r="I7" s="113">
        <v>1000</v>
      </c>
      <c r="J7" s="113">
        <f>H7*I7</f>
        <v>2000</v>
      </c>
      <c r="K7" s="114" t="s">
        <v>100</v>
      </c>
      <c r="L7" s="115" t="s">
        <v>110</v>
      </c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13200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SAC2-DS-MRS-0068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45787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92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Tower Light</v>
      </c>
      <c r="C6" s="166"/>
      <c r="D6" s="167" t="str">
        <f>MRS!D6</f>
        <v>TUV Certified</v>
      </c>
      <c r="E6" s="168"/>
      <c r="F6" s="169"/>
      <c r="G6" s="103" t="str">
        <f>MRS!G6</f>
        <v>Month</v>
      </c>
      <c r="H6" s="103">
        <f>MRS!H6</f>
        <v>4</v>
      </c>
      <c r="I6" s="104">
        <f>MRS!I6</f>
        <v>2800</v>
      </c>
      <c r="J6" s="104">
        <f>MRS!J6</f>
        <v>11200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Tower Light Mob &amp; De-Mob. Charge</v>
      </c>
      <c r="C7" s="166"/>
      <c r="D7" s="167" t="str">
        <f>MRS!D7</f>
        <v>Mob. &amp; De-Mob. / per unit - lump sum</v>
      </c>
      <c r="E7" s="168"/>
      <c r="F7" s="169"/>
      <c r="G7" s="103" t="str">
        <f>MRS!G7</f>
        <v>L/S</v>
      </c>
      <c r="H7" s="103">
        <f>MRS!H7</f>
        <v>2</v>
      </c>
      <c r="I7" s="104">
        <f>MRS!I7</f>
        <v>1000</v>
      </c>
      <c r="J7" s="104">
        <f>MRS!J7</f>
        <v>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9" zoomScale="160" zoomScaleNormal="100" zoomScaleSheetLayoutView="160" workbookViewId="0">
      <selection activeCell="A63" sqref="A63:M6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101</v>
      </c>
      <c r="D9" s="39"/>
      <c r="E9" s="39"/>
    </row>
    <row r="10" spans="2:13" s="39" customFormat="1">
      <c r="B10" s="72"/>
      <c r="C10" s="39" t="s">
        <v>32</v>
      </c>
      <c r="D10" s="76">
        <v>2055132011</v>
      </c>
      <c r="J10" s="39" t="s">
        <v>33</v>
      </c>
      <c r="K10" s="173">
        <f>MRS!L3</f>
        <v>45787</v>
      </c>
      <c r="L10" s="174"/>
      <c r="M10" s="174"/>
    </row>
    <row r="11" spans="2:13" s="39" customFormat="1">
      <c r="B11" s="72"/>
      <c r="C11" s="75" t="s">
        <v>34</v>
      </c>
      <c r="D11" s="76" t="s">
        <v>109</v>
      </c>
      <c r="J11" s="39" t="s">
        <v>35</v>
      </c>
      <c r="K11" s="175" t="str">
        <f>SUBSTITUTE(SUBSTITUTE(+MRS!A3,"  MRS No : ",""),"-MRS","-PO")</f>
        <v>SAC2-DS-PO-0068</v>
      </c>
      <c r="L11" s="175"/>
      <c r="M11" s="175"/>
    </row>
    <row r="12" spans="2:13" s="39" customFormat="1">
      <c r="B12" s="72"/>
      <c r="C12" s="75" t="s">
        <v>36</v>
      </c>
      <c r="D12" s="39" t="s">
        <v>102</v>
      </c>
      <c r="J12" s="39" t="s">
        <v>37</v>
      </c>
    </row>
    <row r="13" spans="2:13" s="39" customFormat="1">
      <c r="B13" s="72"/>
      <c r="C13" s="77"/>
      <c r="D13" s="76" t="s">
        <v>103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119</v>
      </c>
    </row>
    <row r="15" spans="2:13" s="39" customFormat="1">
      <c r="B15" s="72"/>
      <c r="C15" s="77" t="s">
        <v>104</v>
      </c>
      <c r="J15" s="39" t="s">
        <v>40</v>
      </c>
      <c r="K15" s="78">
        <v>45787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120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98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112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Aarzoo</v>
      </c>
    </row>
    <row r="60" spans="1:16" ht="18" customHeight="1">
      <c r="B60" s="26" t="s">
        <v>71</v>
      </c>
      <c r="J60" s="26" t="s">
        <v>72</v>
      </c>
      <c r="K60" s="22" t="s">
        <v>105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122</v>
      </c>
      <c r="J62" s="181" t="str">
        <f>C9</f>
        <v>PCCL(Power Care Co. Ltd.)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SAC2-DS-PO-0068</v>
      </c>
      <c r="C2" s="188" t="s">
        <v>77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45787</v>
      </c>
      <c r="C3" s="51"/>
      <c r="D3" s="52"/>
      <c r="E3" s="189" t="s">
        <v>79</v>
      </c>
      <c r="F3" s="189"/>
      <c r="G3" s="189"/>
      <c r="H3" s="189"/>
      <c r="I3" s="53"/>
    </row>
    <row r="4" spans="1:13" s="55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PCCL(Power Care Co. Ltd.)</v>
      </c>
      <c r="G4" s="199"/>
      <c r="H4" s="200" t="s">
        <v>84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85</v>
      </c>
      <c r="G5" s="57" t="s">
        <v>51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Tower Light</v>
      </c>
      <c r="C6" s="203"/>
      <c r="D6" s="86" t="str">
        <f>+'MRS LIST'!G6</f>
        <v>Month</v>
      </c>
      <c r="E6" s="87">
        <f>+'MRS LIST'!H6</f>
        <v>4</v>
      </c>
      <c r="F6" s="88">
        <f>+'MRS LIST'!I6</f>
        <v>2800</v>
      </c>
      <c r="G6" s="89">
        <f>+'MRS LIST'!J6</f>
        <v>11200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Tower Light Mob &amp; De-Mob. Charge</v>
      </c>
      <c r="C7" s="203"/>
      <c r="D7" s="86" t="str">
        <f>+'MRS LIST'!G7</f>
        <v>L/S</v>
      </c>
      <c r="E7" s="87">
        <f>+'MRS LIST'!H7</f>
        <v>2</v>
      </c>
      <c r="F7" s="88">
        <f>+'MRS LIST'!I7</f>
        <v>1000</v>
      </c>
      <c r="G7" s="89">
        <f>+'MRS LIST'!J7</f>
        <v>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13200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1980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15180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PC-EQTN2025-1620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2025-05-11T05:25:24Z</cp:lastPrinted>
  <dcterms:created xsi:type="dcterms:W3CDTF">2024-10-20T11:50:19Z</dcterms:created>
  <dcterms:modified xsi:type="dcterms:W3CDTF">2025-05-11T05:26:13Z</dcterms:modified>
</cp:coreProperties>
</file>