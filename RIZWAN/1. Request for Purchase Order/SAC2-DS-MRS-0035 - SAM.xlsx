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B821A565-B90F-4A2A-8B55-7B4D24A836F3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F9" i="4"/>
  <c r="E9" i="4"/>
  <c r="D9" i="4"/>
  <c r="G8" i="4"/>
  <c r="F8" i="4"/>
  <c r="E8" i="4"/>
  <c r="D8" i="4"/>
  <c r="B9" i="4"/>
  <c r="B8" i="4"/>
  <c r="G7" i="4"/>
  <c r="F7" i="4"/>
  <c r="E7" i="4"/>
  <c r="D7" i="4"/>
  <c r="B7" i="4"/>
  <c r="J9" i="1"/>
  <c r="J9" i="2" s="1"/>
  <c r="J8" i="1"/>
  <c r="J8" i="2" s="1"/>
  <c r="J7" i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<sst xmlns="http://schemas.openxmlformats.org/spreadsheetml/2006/main" count="164" uniqueCount="124">
  <si>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</si>
  <si>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</si>
  <si>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</si>
  <si>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</si>
  <si>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</si>
  <si>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</si>
  <si>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</si>
  <si>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</si>
  <si>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</si>
  <si>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</si>
  <si>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</si>
  <si>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</si>
  <si>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</si>
  <si>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</si>
  <si>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</si>
  <si>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</si>
  <si>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</si>
  <si>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</si>
  <si>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</si>
  <si>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</si>
  <si>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</si>
  <si>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</si>
  <si>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</si>
  <si>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</si>
  <si>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</si>
  <si>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</si>
  <si>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</si>
  <si>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</si>
  <si>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</si>
  <si>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</si>
  <si>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</si>
  <si>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</si>
  <si>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</si>
  <si>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</si>
  <si>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</si>
  <si>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</si>
  <si>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</si>
  <si>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</si>
  <si>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</si>
  <si>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</si>
  <si>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</si>
  <si>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</si>
  <si>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</si>
  <si>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</si>
  <si>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</si>
  <si>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</si>
  <si>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</si>
  <si>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</si>
  <si>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</si>
  <si>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</si>
  <si>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</si>
  <si>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</si>
  <si>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</si>
  <si>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</si>
  <si>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</si>
  <si>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</si>
  <si>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</si>
  <si>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</si>
  <si>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</si>
  <si>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</si>
  <si>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</si>
  <si>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</si>
  <si>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</si>
  <si>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</si>
  <si>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</si>
  <si>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</si>
  <si>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</si>
  <si>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</si>
  <si>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</si>
  <si>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</si>
  <si>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</si>
  <si>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</si>
  <si>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</si>
  <si>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</si>
  <si>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</si>
  <si>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</si>
  <si>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</si>
  <si>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</si>
  <si>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</si>
  <si>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</si>
  <si>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</si>
  <si>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</si>
  <si>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</si>
  <si>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</si>
  <si>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</si>
  <si>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</si>
  <si>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</si>
  <si>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</si>
  <si>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</si>
  <si>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</si>
  <si>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</si>
  <si>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</si>
  <si>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</si>
  <si>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</si>
  <si>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</si>
  <si>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</si>
  <si>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</si>
  <si>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</si>
  <si>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</si>
  <si>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SSAM</t>
  </si>
  <si>
    <t>SSAM(Sultan Sulaiman Abdul Muneem Al Juhni Contracting Est.</t>
  </si>
  <si>
    <t>Mohammad Safwan</t>
  </si>
  <si>
    <t>Operation Manager</t>
  </si>
  <si>
    <t>+966 59 1252163 / Email:samest99@gmail.com</t>
  </si>
  <si>
    <t>Bldg. No 4441Sahad IBN Umar, al Safat District, al Jubail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</si>
  <si>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</si>
  <si>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</si>
  <si>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-MRS-0035</t>
    </r>
  </si>
  <si>
    <t>Sweet Water</t>
  </si>
  <si>
    <t>6,000 Liters</t>
  </si>
  <si>
    <t>32,000 Liters</t>
  </si>
  <si>
    <t>18,000 Liters</t>
  </si>
  <si>
    <t>ICE</t>
  </si>
  <si>
    <t>4 KG/PACK</t>
  </si>
  <si>
    <t>PACK</t>
  </si>
  <si>
    <t>TRIP</t>
  </si>
  <si>
    <t>Division (In charge Name) : ADMIN MANAGER (Dong Chang Kim)</t>
  </si>
  <si>
    <t>SULTAN/HDEC/P2-001-25</t>
  </si>
  <si>
    <t>Supply &amp; Delivery of Sweet Water &amp; Ice</t>
  </si>
  <si>
    <t>Monthly Based</t>
  </si>
  <si>
    <t>4700123002</t>
  </si>
  <si>
    <t>310903944300003</t>
  </si>
  <si>
    <t>Subcontract name (SAC2-SC-IK-SMP-01)</t>
  </si>
  <si>
    <t xml:space="preserve">  Delivery &amp; Payment : Dong Chang Kim / Daeshin Admin. [ Mobile No. : +966 53 748 5762 / Email : kdchjs@daeshinplant.com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</si>
</sst>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3" fillId="3" borderId="0" xfId="0" applyFont="1" applyFill="1" applyAlignment="1"/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21" sqref="D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116</v>
      </c>
      <c r="E2" s="101"/>
      <c r="F2" s="101"/>
      <c r="G2" s="101"/>
      <c r="H2" s="101"/>
      <c r="I2" s="4"/>
      <c r="J2" s="128" t="s">
        <v>122</v>
      </c>
      <c r="K2" s="129"/>
      <c r="L2" s="130"/>
    </row>
    <row r="3" spans="1:19" ht="20.100000000000001" customHeight="1">
      <c r="A3" s="3" t="s">
        <v>107</v>
      </c>
      <c r="B3" s="101"/>
      <c r="C3" s="101"/>
      <c r="D3" s="101"/>
      <c r="E3" s="131">
        <f>+L3</f>
        <v>45720</v>
      </c>
      <c r="F3" s="131"/>
      <c r="G3" s="131"/>
      <c r="H3" s="131"/>
      <c r="I3" s="131"/>
      <c r="J3" s="101"/>
      <c r="K3" s="101"/>
      <c r="L3" s="122">
        <v>45720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108</v>
      </c>
      <c r="C6" s="145"/>
      <c r="D6" s="146" t="s">
        <v>109</v>
      </c>
      <c r="E6" s="147"/>
      <c r="F6" s="148"/>
      <c r="G6" s="111" t="s">
        <v>115</v>
      </c>
      <c r="H6" s="112">
        <v>1</v>
      </c>
      <c r="I6" s="113">
        <v>295</v>
      </c>
      <c r="J6" s="113">
        <f>H6*I6</f>
        <v>295</v>
      </c>
      <c r="K6" s="114" t="s">
        <v>99</v>
      </c>
      <c r="L6" s="115"/>
      <c r="S6" s="106"/>
    </row>
    <row r="7" spans="1:19" ht="22.5" customHeight="1">
      <c r="A7" s="5">
        <f t="shared" si="0"/>
        <v>2</v>
      </c>
      <c r="B7" s="144" t="s">
        <v>108</v>
      </c>
      <c r="C7" s="145"/>
      <c r="D7" s="149" t="s">
        <v>111</v>
      </c>
      <c r="E7" s="147"/>
      <c r="F7" s="148"/>
      <c r="G7" s="111" t="s">
        <v>115</v>
      </c>
      <c r="H7" s="112">
        <v>1</v>
      </c>
      <c r="I7" s="113">
        <v>800</v>
      </c>
      <c r="J7" s="113">
        <f t="shared" ref="J7:J8" si="1">H7*I7</f>
        <v>800</v>
      </c>
      <c r="K7" s="114" t="s">
        <v>99</v>
      </c>
      <c r="L7" s="115"/>
      <c r="S7" s="106"/>
    </row>
    <row r="8" spans="1:19" ht="22.5" customHeight="1">
      <c r="A8" s="5">
        <f t="shared" si="0"/>
        <v>3</v>
      </c>
      <c r="B8" s="144" t="s">
        <v>108</v>
      </c>
      <c r="C8" s="145"/>
      <c r="D8" s="146" t="s">
        <v>110</v>
      </c>
      <c r="E8" s="147"/>
      <c r="F8" s="148"/>
      <c r="G8" s="111" t="s">
        <v>115</v>
      </c>
      <c r="H8" s="112">
        <v>1</v>
      </c>
      <c r="I8" s="113">
        <v>950</v>
      </c>
      <c r="J8" s="113">
        <f t="shared" si="1"/>
        <v>950</v>
      </c>
      <c r="K8" s="114" t="s">
        <v>99</v>
      </c>
      <c r="L8" s="115"/>
      <c r="S8" s="106"/>
    </row>
    <row r="9" spans="1:19" ht="22.5" customHeight="1">
      <c r="A9" s="5">
        <f t="shared" si="0"/>
        <v>4</v>
      </c>
      <c r="B9" s="144" t="s">
        <v>112</v>
      </c>
      <c r="C9" s="145"/>
      <c r="D9" s="146" t="s">
        <v>113</v>
      </c>
      <c r="E9" s="147"/>
      <c r="F9" s="148"/>
      <c r="G9" s="111" t="s">
        <v>114</v>
      </c>
      <c r="H9" s="112">
        <v>1</v>
      </c>
      <c r="I9" s="113">
        <v>5.5</v>
      </c>
      <c r="J9" s="113">
        <f t="shared" ref="J9" si="2">H9*I9</f>
        <v>5.5</v>
      </c>
      <c r="K9" s="114" t="s">
        <v>99</v>
      </c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2050.5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SAC2-DS-MRS-0035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45720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Sweet Water</v>
      </c>
      <c r="C6" s="163"/>
      <c r="D6" s="164" t="str">
        <f>MRS!D6</f>
        <v>6,000 Liters</v>
      </c>
      <c r="E6" s="165"/>
      <c r="F6" s="166"/>
      <c r="G6" s="103" t="str">
        <f>MRS!G6</f>
        <v>TRIP</v>
      </c>
      <c r="H6" s="103">
        <f>MRS!H6</f>
        <v>1</v>
      </c>
      <c r="I6" s="104">
        <f>MRS!I6</f>
        <v>295</v>
      </c>
      <c r="J6" s="104">
        <f>MRS!J6</f>
        <v>295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Sweet Water</v>
      </c>
      <c r="C7" s="163"/>
      <c r="D7" s="164" t="str">
        <f>MRS!D7</f>
        <v>18,000 Liters</v>
      </c>
      <c r="E7" s="165"/>
      <c r="F7" s="166"/>
      <c r="G7" s="103" t="str">
        <f>MRS!G7</f>
        <v>TRIP</v>
      </c>
      <c r="H7" s="103">
        <f>MRS!H7</f>
        <v>1</v>
      </c>
      <c r="I7" s="104">
        <f>MRS!I7</f>
        <v>800</v>
      </c>
      <c r="J7" s="104">
        <f>MRS!J7</f>
        <v>800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 t="str">
        <f>MRS!B8</f>
        <v>Sweet Water</v>
      </c>
      <c r="C8" s="163"/>
      <c r="D8" s="164" t="str">
        <f>MRS!D8</f>
        <v>32,000 Liters</v>
      </c>
      <c r="E8" s="165"/>
      <c r="F8" s="166"/>
      <c r="G8" s="103" t="str">
        <f>MRS!G8</f>
        <v>TRIP</v>
      </c>
      <c r="H8" s="103">
        <f>MRS!H8</f>
        <v>1</v>
      </c>
      <c r="I8" s="104">
        <f>MRS!I8</f>
        <v>950</v>
      </c>
      <c r="J8" s="104">
        <f>MRS!J8</f>
        <v>950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 t="str">
        <f>MRS!B9</f>
        <v>ICE</v>
      </c>
      <c r="C9" s="163"/>
      <c r="D9" s="164" t="str">
        <f>MRS!D9</f>
        <v>4 KG/PACK</v>
      </c>
      <c r="E9" s="165"/>
      <c r="F9" s="166"/>
      <c r="G9" s="103" t="str">
        <f>MRS!G9</f>
        <v>PACK</v>
      </c>
      <c r="H9" s="103">
        <f>MRS!H9</f>
        <v>1</v>
      </c>
      <c r="I9" s="104">
        <f>MRS!I9</f>
        <v>5.5</v>
      </c>
      <c r="J9" s="104">
        <f>MRS!J9</f>
        <v>5.5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" zoomScale="130" zoomScaleNormal="100" zoomScaleSheetLayoutView="130" workbookViewId="0">
      <selection activeCell="P20" sqref="P2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 t="s">
        <v>120</v>
      </c>
      <c r="J10" s="39" t="s">
        <v>34</v>
      </c>
      <c r="K10" s="173">
        <f>MRS!L3</f>
        <v>45720</v>
      </c>
      <c r="L10" s="174"/>
      <c r="M10" s="174"/>
    </row>
    <row r="11" spans="2:13" s="39" customFormat="1">
      <c r="B11" s="72"/>
      <c r="C11" s="75" t="s">
        <v>35</v>
      </c>
      <c r="D11" s="76" t="s">
        <v>121</v>
      </c>
      <c r="J11" s="39" t="s">
        <v>36</v>
      </c>
      <c r="K11" s="175" t="str">
        <f>SUBSTITUTE(SUBSTITUTE(+MRS!A3,"  MRS No : ",""),"-MRS","-PO")</f>
        <v>SAC2-DS-PO-0035</v>
      </c>
      <c r="L11" s="175"/>
      <c r="M11" s="175"/>
    </row>
    <row r="12" spans="2:13" s="39" customFormat="1">
      <c r="B12" s="72"/>
      <c r="C12" s="75" t="s">
        <v>37</v>
      </c>
      <c r="D12" s="39" t="s">
        <v>101</v>
      </c>
      <c r="J12" s="39" t="s">
        <v>38</v>
      </c>
    </row>
    <row r="13" spans="2:13" s="39" customFormat="1">
      <c r="B13" s="72"/>
      <c r="C13" s="77"/>
      <c r="D13" s="76" t="s">
        <v>103</v>
      </c>
      <c r="J13" s="39" t="s">
        <v>39</v>
      </c>
    </row>
    <row r="14" spans="2:13" s="39" customFormat="1">
      <c r="B14" s="72"/>
      <c r="C14" s="77" t="s">
        <v>104</v>
      </c>
      <c r="J14" s="39" t="s">
        <v>40</v>
      </c>
      <c r="K14" s="39" t="s">
        <v>117</v>
      </c>
    </row>
    <row r="15" spans="2:13" s="39" customFormat="1">
      <c r="B15" s="72"/>
      <c r="C15" s="77" t="s">
        <v>105</v>
      </c>
      <c r="J15" s="39" t="s">
        <v>41</v>
      </c>
      <c r="K15" s="78">
        <v>45671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119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204" t="s">
        <v>123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Mohammad Safwan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SSAM(Sultan Sulaiman Abdul Muneem Al Juhni Contracting Est.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6" sqref="G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SAC2-DS-PO-0035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45720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SSAM(Sultan Sulaiman Abdul Muneem Al Juhni Contracting Est.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Sweet Water</v>
      </c>
      <c r="C6" s="183"/>
      <c r="D6" s="86" t="str">
        <f>+'MRS LIST'!G6</f>
        <v>TRIP</v>
      </c>
      <c r="E6" s="87">
        <f>+'MRS LIST'!H6</f>
        <v>1</v>
      </c>
      <c r="F6" s="88">
        <f>+'MRS LIST'!I6</f>
        <v>295</v>
      </c>
      <c r="G6" s="89">
        <f>+'MRS LIST'!J6</f>
        <v>295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+'MRS LIST'!B7</f>
        <v>Sweet Water</v>
      </c>
      <c r="C7" s="183"/>
      <c r="D7" s="86" t="str">
        <f>+'MRS LIST'!G7</f>
        <v>TRIP</v>
      </c>
      <c r="E7" s="87">
        <f>+'MRS LIST'!H7</f>
        <v>1</v>
      </c>
      <c r="F7" s="88">
        <f>+'MRS LIST'!I7</f>
        <v>800</v>
      </c>
      <c r="G7" s="89">
        <f>+'MRS LIST'!J7</f>
        <v>800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+'MRS LIST'!B8</f>
        <v>Sweet Water</v>
      </c>
      <c r="C8" s="183"/>
      <c r="D8" s="86" t="str">
        <f>+'MRS LIST'!G8</f>
        <v>TRIP</v>
      </c>
      <c r="E8" s="87">
        <f>+'MRS LIST'!H8</f>
        <v>1</v>
      </c>
      <c r="F8" s="88">
        <f>+'MRS LIST'!I8</f>
        <v>950</v>
      </c>
      <c r="G8" s="89">
        <f>+'MRS LIST'!J8</f>
        <v>950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+'MRS LIST'!B9</f>
        <v>ICE</v>
      </c>
      <c r="C9" s="183"/>
      <c r="D9" s="86" t="str">
        <f>+'MRS LIST'!G9</f>
        <v>PACK</v>
      </c>
      <c r="E9" s="87">
        <f>+'MRS LIST'!H9</f>
        <v>1</v>
      </c>
      <c r="F9" s="88">
        <f>+'MRS LIST'!I9</f>
        <v>5.5</v>
      </c>
      <c r="G9" s="89">
        <f>+'MRS LIST'!J9</f>
        <v>5.5</v>
      </c>
      <c r="H9" s="90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88</v>
      </c>
      <c r="B18" s="199"/>
      <c r="C18" s="199"/>
      <c r="D18" s="199"/>
      <c r="E18" s="199"/>
      <c r="F18" s="199"/>
      <c r="G18" s="58">
        <f>SUM(G6:G17)</f>
        <v>2050.5</v>
      </c>
      <c r="H18" s="59"/>
    </row>
    <row r="19" spans="1:13" s="55" customFormat="1" ht="23.1" customHeight="1">
      <c r="A19" s="198" t="s">
        <v>51</v>
      </c>
      <c r="B19" s="199"/>
      <c r="C19" s="199"/>
      <c r="D19" s="199"/>
      <c r="E19" s="199"/>
      <c r="F19" s="199"/>
      <c r="G19" s="58">
        <f>+G18*0.15</f>
        <v>307.57499999999999</v>
      </c>
      <c r="H19" s="59"/>
    </row>
    <row r="20" spans="1:13" s="55" customFormat="1" ht="24.95" customHeight="1" thickBot="1">
      <c r="A20" s="200" t="s">
        <v>89</v>
      </c>
      <c r="B20" s="201"/>
      <c r="C20" s="201"/>
      <c r="D20" s="201"/>
      <c r="E20" s="201"/>
      <c r="F20" s="201"/>
      <c r="G20" s="60">
        <f>G19+G18</f>
        <v>2358.0749999999998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SULTAN/HDEC/P2-001-25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2025-03-04T10:52:54Z</cp:lastPrinted>
  <dcterms:created xsi:type="dcterms:W3CDTF">2024-10-20T11:50:19Z</dcterms:created>
  <dcterms:modified xsi:type="dcterms:W3CDTF">2025-03-04T10:53:41Z</dcterms:modified>
</cp:coreProperties>
</file>