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8A5DDA4-61E1-4A4A-8E57-71D61973B73D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<sst xmlns="http://schemas.openxmlformats.org/spreadsheetml/2006/main" count="146" uniqueCount="112">
  <si>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</si>
  <si>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</si>
  <si>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</si>
  <si>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</si>
  <si>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</si>
  <si>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</si>
  <si>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</si>
  <si>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</si>
  <si>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</si>
  <si>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</si>
  <si>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</si>
  <si>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</si>
  <si>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</si>
  <si>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</si>
  <si>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</si>
  <si>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</si>
  <si>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</si>
  <si>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</si>
  <si>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</si>
  <si>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</si>
  <si>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</si>
  <si>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</si>
  <si>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</si>
  <si>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</si>
  <si>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</si>
  <si>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</si>
  <si>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</si>
  <si>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</si>
  <si>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</si>
  <si>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</si>
  <si>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</si>
  <si>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</si>
  <si>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</si>
  <si>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</si>
  <si>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</si>
  <si>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</si>
  <si>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</si>
  <si>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</si>
  <si>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</si>
  <si>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</si>
  <si>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</si>
  <si>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</si>
  <si>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</si>
  <si>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</si>
  <si>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</si>
  <si>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</si>
  <si>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</si>
  <si>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: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</si>
  <si>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</si>
  <si>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</si>
  <si>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</si>
  <si>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</si>
  <si>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</si>
  <si>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</si>
  <si>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</si>
  <si>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</si>
  <si>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</si>
  <si>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</si>
  <si>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</si>
  <si>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</si>
  <si>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</si>
  <si>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</si>
  <si>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</si>
  <si>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</si>
  <si>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</si>
  <si>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</si>
  <si>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</si>
  <si>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</si>
  <si>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</si>
  <si>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</si>
  <si>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</si>
  <si>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</si>
  <si>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</si>
  <si>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</si>
  <si>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</si>
  <si>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</si>
  <si>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</si>
  <si>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</si>
  <si>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</si>
  <si>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</si>
  <si>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</si>
  <si>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</si>
  <si>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</si>
  <si>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</si>
  <si>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</si>
  <si>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</si>
  <si>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</si>
  <si>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</si>
  <si>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</si>
  <si>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</si>
  <si>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</si>
  <si>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</si>
  <si>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</si>
  <si>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</si>
  <si>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</si>
  <si>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</si>
  <si>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</si>
  <si>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Recruitment Charges</t>
  </si>
  <si>
    <t>Visa Fee, Mandatory Insurance, Agency Fee</t>
  </si>
  <si>
    <t>EA</t>
  </si>
  <si>
    <r>
      <t>Unit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</si>
  <si>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r>
      <t>Total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</si>
  <si>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t>OMANFIL</t>
  </si>
  <si>
    <t>One Time</t>
  </si>
  <si>
    <r>
      <t xml:space="preserve">Grand Total in </t>
    </r>
    <r>
      <rPr>
        <b/>
        <sz val="11"/>
        <color rgb="FFFF0000"/>
        <rFont val="Arial"/>
        <family val="2"/>
      </rPr>
      <t>USD</t>
    </r>
  </si>
  <si>
    <t>Omanfil International Manpower Development Corporation</t>
  </si>
  <si>
    <t>OVERSEAS</t>
  </si>
  <si>
    <t>L.La-anan / M. Mecader</t>
  </si>
  <si>
    <t>+632 8821 1650 / Email:manpower@omanfil.com</t>
  </si>
  <si>
    <t>Manila (PHILIPPINES)</t>
  </si>
  <si>
    <t>Sum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</si>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</sst>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_([$USD]\ * #,##0.00_);_([$USD]\ * \(#,##0.00\);_([$USD]\ * &quot;-&quot;??_);_(@_)"/>
  </numFmts>
  <fonts count="52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175" fontId="51" fillId="0" borderId="43" xfId="6" applyNumberFormat="1" applyFont="1" applyBorder="1" applyAlignment="1">
      <alignment horizontal="center" vertical="center" wrapText="1"/>
    </xf>
    <xf numFmtId="175" fontId="7" fillId="0" borderId="16" xfId="0" applyNumberFormat="1" applyFont="1" applyBorder="1" applyAlignment="1">
      <alignment horizontal="right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5" fontId="17" fillId="3" borderId="0" xfId="5" applyNumberFormat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09"/>
      <c r="C1" s="109"/>
      <c r="D1" s="109"/>
      <c r="E1" s="109"/>
      <c r="F1" s="109"/>
      <c r="G1" s="1"/>
      <c r="J1" s="143" t="s">
        <v>86</v>
      </c>
      <c r="K1" s="144"/>
      <c r="L1" s="145"/>
    </row>
    <row r="2" spans="1:19" ht="20.100000000000001" customHeight="1">
      <c r="A2" s="3" t="s">
        <v>1</v>
      </c>
      <c r="B2" s="100"/>
      <c r="C2" s="100"/>
      <c r="D2" s="3" t="s">
        <v>92</v>
      </c>
      <c r="E2" s="100"/>
      <c r="F2" s="100"/>
      <c r="G2" s="100"/>
      <c r="H2" s="100"/>
      <c r="I2" s="4"/>
      <c r="J2" s="146" t="s">
        <v>93</v>
      </c>
      <c r="K2" s="147"/>
      <c r="L2" s="148"/>
    </row>
    <row r="3" spans="1:19" ht="20.100000000000001" customHeight="1">
      <c r="A3" s="3" t="s">
        <v>111</v>
      </c>
      <c r="B3" s="100"/>
      <c r="C3" s="100"/>
      <c r="D3" s="100"/>
      <c r="E3" s="149">
        <f>+L3</f>
        <v>45929</v>
      </c>
      <c r="F3" s="149"/>
      <c r="G3" s="149"/>
      <c r="H3" s="149"/>
      <c r="I3" s="149"/>
      <c r="J3" s="100"/>
      <c r="K3" s="100"/>
      <c r="L3" s="121">
        <v>45929</v>
      </c>
      <c r="M3" s="4"/>
    </row>
    <row r="4" spans="1:19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100</v>
      </c>
      <c r="J4" s="150" t="s">
        <v>101</v>
      </c>
      <c r="K4" s="160" t="s">
        <v>0</v>
      </c>
      <c r="L4" s="151" t="s">
        <v>7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9" ht="22.5" customHeight="1">
      <c r="A6" s="5">
        <f t="shared" ref="A6:A15" si="0">ROW(A1)</f>
        <v>1</v>
      </c>
      <c r="B6" s="131" t="s">
        <v>97</v>
      </c>
      <c r="C6" s="132"/>
      <c r="D6" s="133" t="s">
        <v>98</v>
      </c>
      <c r="E6" s="134"/>
      <c r="F6" s="135"/>
      <c r="G6" s="110" t="s">
        <v>99</v>
      </c>
      <c r="H6" s="111">
        <v>1</v>
      </c>
      <c r="I6" s="112">
        <v>4213</v>
      </c>
      <c r="J6" s="112">
        <f>H6*I6</f>
        <v>4213</v>
      </c>
      <c r="K6" s="113" t="s">
        <v>102</v>
      </c>
      <c r="L6" s="114" t="s">
        <v>103</v>
      </c>
      <c r="S6" s="105"/>
    </row>
    <row r="7" spans="1:19" ht="22.5" customHeight="1">
      <c r="A7" s="5">
        <f t="shared" si="0"/>
        <v>2</v>
      </c>
      <c r="B7" s="131"/>
      <c r="C7" s="132"/>
      <c r="D7" s="142"/>
      <c r="E7" s="134"/>
      <c r="F7" s="135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110</v>
      </c>
      <c r="J16" s="126">
        <f>SUM(J6:J15)</f>
        <v>4213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7" t="s">
        <v>16</v>
      </c>
      <c r="Q21" s="127" t="s">
        <v>17</v>
      </c>
    </row>
    <row r="22" spans="1:22" ht="18" customHeight="1">
      <c r="O22" s="18" t="s">
        <v>18</v>
      </c>
      <c r="P22" s="129"/>
      <c r="Q22" s="129"/>
      <c r="S22" s="138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20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20</v>
      </c>
      <c r="P46" s="127" t="s">
        <v>20</v>
      </c>
      <c r="Q46" s="127" t="s">
        <v>20</v>
      </c>
      <c r="T46" s="127" t="s">
        <v>21</v>
      </c>
      <c r="U46" s="127" t="s">
        <v>12</v>
      </c>
      <c r="V46" s="127" t="s">
        <v>20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20</v>
      </c>
      <c r="P50" s="127" t="s">
        <v>20</v>
      </c>
      <c r="Q50" s="127" t="s">
        <v>20</v>
      </c>
      <c r="T50" s="127" t="s">
        <v>12</v>
      </c>
      <c r="U50" s="127" t="s">
        <v>21</v>
      </c>
      <c r="V50" s="127" t="s">
        <v>20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91</v>
      </c>
      <c r="B1" s="99"/>
      <c r="C1" s="99"/>
      <c r="D1" s="99"/>
      <c r="E1" s="99"/>
      <c r="F1" s="9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SAC2-DS-MRS-0134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45929</v>
      </c>
    </row>
    <row r="4" spans="1:18" ht="15.95" customHeight="1">
      <c r="A4" s="172" t="s">
        <v>2</v>
      </c>
      <c r="B4" s="173" t="s">
        <v>22</v>
      </c>
      <c r="C4" s="173"/>
      <c r="D4" s="172" t="s">
        <v>4</v>
      </c>
      <c r="E4" s="172"/>
      <c r="F4" s="172"/>
      <c r="G4" s="173" t="s">
        <v>5</v>
      </c>
      <c r="H4" s="172" t="s">
        <v>87</v>
      </c>
      <c r="I4" s="172" t="s">
        <v>23</v>
      </c>
      <c r="J4" s="172" t="s">
        <v>24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Recruitment Charges</v>
      </c>
      <c r="C6" s="168"/>
      <c r="D6" s="169" t="str">
        <f>MRS!D6</f>
        <v>Visa Fee, Mandatory Insurance, Agency Fee</v>
      </c>
      <c r="E6" s="170"/>
      <c r="F6" s="171"/>
      <c r="G6" s="102" t="str">
        <f>MRS!G6</f>
        <v>EA</v>
      </c>
      <c r="H6" s="102">
        <f>MRS!H6</f>
        <v>1</v>
      </c>
      <c r="I6" s="103">
        <f>MRS!I6</f>
        <v>4213</v>
      </c>
      <c r="J6" s="103">
        <f>MRS!J6</f>
        <v>4213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F31" sqref="F31:G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105</v>
      </c>
      <c r="D9" s="39"/>
      <c r="E9" s="39"/>
    </row>
    <row r="10" spans="2:13" s="39" customFormat="1">
      <c r="B10" s="71"/>
      <c r="C10" s="39" t="s">
        <v>31</v>
      </c>
      <c r="D10" s="75" t="s">
        <v>106</v>
      </c>
      <c r="J10" s="39" t="s">
        <v>32</v>
      </c>
      <c r="K10" s="175">
        <f>MRS!L3</f>
        <v>45929</v>
      </c>
      <c r="L10" s="176"/>
      <c r="M10" s="176"/>
    </row>
    <row r="11" spans="2:13" s="39" customFormat="1">
      <c r="B11" s="71"/>
      <c r="C11" s="74" t="s">
        <v>33</v>
      </c>
      <c r="D11" s="75" t="s">
        <v>106</v>
      </c>
      <c r="J11" s="39" t="s">
        <v>34</v>
      </c>
      <c r="K11" s="177" t="str">
        <f>SUBSTITUTE(SUBSTITUTE(+MRS!A3,"  MRS No : ",""),"-MRS","-PO")</f>
        <v>SAC2-DS-PO-0134</v>
      </c>
      <c r="L11" s="177"/>
      <c r="M11" s="177"/>
    </row>
    <row r="12" spans="2:13" s="39" customFormat="1">
      <c r="B12" s="71"/>
      <c r="C12" s="74" t="s">
        <v>35</v>
      </c>
      <c r="D12" s="39" t="s">
        <v>107</v>
      </c>
      <c r="J12" s="39" t="s">
        <v>36</v>
      </c>
    </row>
    <row r="13" spans="2:13" s="39" customFormat="1">
      <c r="B13" s="71"/>
      <c r="C13" s="76"/>
      <c r="D13" s="75" t="s">
        <v>108</v>
      </c>
      <c r="J13" s="39" t="s">
        <v>37</v>
      </c>
    </row>
    <row r="14" spans="2:13" s="39" customFormat="1">
      <c r="B14" s="71"/>
      <c r="C14" s="76"/>
      <c r="D14" s="39" t="s">
        <v>109</v>
      </c>
      <c r="J14" s="39" t="s">
        <v>38</v>
      </c>
      <c r="K14" s="39" t="s">
        <v>62</v>
      </c>
    </row>
    <row r="15" spans="2:13" s="39" customFormat="1">
      <c r="B15" s="71"/>
      <c r="C15" s="76"/>
      <c r="J15" s="39" t="s">
        <v>39</v>
      </c>
      <c r="K15" s="77" t="s">
        <v>62</v>
      </c>
    </row>
    <row r="16" spans="2:13" s="39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40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41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42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43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2"/>
      <c r="C26" s="75" t="s">
        <v>97</v>
      </c>
      <c r="M26" s="78" t="s">
        <v>45</v>
      </c>
    </row>
    <row r="27" spans="2:13" ht="12" customHeight="1">
      <c r="B27" s="32"/>
      <c r="C27" s="124"/>
    </row>
    <row r="28" spans="2:13" ht="20.100000000000001" customHeight="1">
      <c r="B28" s="32">
        <v>2</v>
      </c>
      <c r="C28" s="32" t="s">
        <v>46</v>
      </c>
    </row>
    <row r="29" spans="2:13" ht="9" customHeight="1">
      <c r="B29" s="32"/>
      <c r="F29" s="182"/>
      <c r="G29" s="182"/>
      <c r="H29" s="33"/>
      <c r="M29" s="34"/>
    </row>
    <row r="30" spans="2:13" ht="15" hidden="1" customHeight="1">
      <c r="B30" s="32"/>
      <c r="F30" s="183"/>
      <c r="G30" s="183"/>
    </row>
    <row r="31" spans="2:13" ht="15" customHeight="1">
      <c r="B31" s="32"/>
      <c r="C31" s="26" t="s">
        <v>48</v>
      </c>
      <c r="D31" s="35"/>
      <c r="E31" s="26" t="s">
        <v>47</v>
      </c>
      <c r="F31" s="182">
        <v>4213</v>
      </c>
      <c r="G31" s="18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9" customFormat="1" ht="15" customHeight="1">
      <c r="B49" s="79" t="s">
        <v>62</v>
      </c>
      <c r="C49" s="80" t="s">
        <v>89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88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L.La-anan / M. Mecader</v>
      </c>
    </row>
    <row r="60" spans="1:16" ht="18" customHeight="1">
      <c r="B60" s="26" t="s">
        <v>68</v>
      </c>
      <c r="J60" s="26" t="s">
        <v>69</v>
      </c>
      <c r="K60" s="22"/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95</v>
      </c>
      <c r="J62" s="184" t="str">
        <f>C9</f>
        <v>Omanfil International Manpower Development Corporation</v>
      </c>
      <c r="K62" s="184"/>
      <c r="L62" s="184"/>
      <c r="M62" s="184"/>
    </row>
    <row r="63" spans="1:16" ht="27.95" customHeight="1">
      <c r="A63" s="174" t="s">
        <v>72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F4" sqref="F4:G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SAC2-DS-PO-0134</v>
      </c>
      <c r="C2" s="193" t="s">
        <v>74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45929</v>
      </c>
      <c r="C3" s="51"/>
      <c r="D3" s="52"/>
      <c r="E3" s="194" t="s">
        <v>76</v>
      </c>
      <c r="F3" s="194"/>
      <c r="G3" s="194"/>
      <c r="H3" s="194"/>
      <c r="I3" s="53"/>
    </row>
    <row r="4" spans="1:13" s="55" customFormat="1" ht="28.5" customHeight="1" thickTop="1">
      <c r="A4" s="195" t="s">
        <v>77</v>
      </c>
      <c r="B4" s="197" t="s">
        <v>78</v>
      </c>
      <c r="C4" s="198"/>
      <c r="D4" s="201" t="s">
        <v>79</v>
      </c>
      <c r="E4" s="201" t="s">
        <v>80</v>
      </c>
      <c r="F4" s="203" t="str">
        <f>'PO 1st page'!C9</f>
        <v>Omanfil International Manpower Development Corporation</v>
      </c>
      <c r="G4" s="204"/>
      <c r="H4" s="205" t="s">
        <v>81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82</v>
      </c>
      <c r="G5" s="57" t="s">
        <v>48</v>
      </c>
      <c r="H5" s="206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1" t="str">
        <f>CONCATENATE(MRS!B6," ",MRS!D6)</f>
        <v>Recruitment Charges Visa Fee, Mandatory Insurance, Agency Fee</v>
      </c>
      <c r="C6" s="192"/>
      <c r="D6" s="85" t="str">
        <f>+'MRS LIST'!G6</f>
        <v>EA</v>
      </c>
      <c r="E6" s="86">
        <f>+'MRS LIST'!H6</f>
        <v>1</v>
      </c>
      <c r="F6" s="87">
        <f>+'MRS LIST'!I6</f>
        <v>4213</v>
      </c>
      <c r="G6" s="88">
        <f>+'MRS LIST'!J6</f>
        <v>4213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91"/>
      <c r="C7" s="192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91"/>
      <c r="C8" s="192"/>
      <c r="D8" s="85"/>
      <c r="E8" s="86"/>
      <c r="F8" s="87"/>
      <c r="G8" s="88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91"/>
      <c r="C9" s="192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91"/>
      <c r="C10" s="192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91"/>
      <c r="C11" s="192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89"/>
      <c r="C12" s="190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9"/>
      <c r="C13" s="190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9"/>
      <c r="C14" s="190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9"/>
      <c r="C15" s="190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9"/>
      <c r="C16" s="190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9"/>
      <c r="C17" s="190"/>
      <c r="D17" s="93"/>
      <c r="E17" s="94"/>
      <c r="F17" s="95"/>
      <c r="G17" s="96"/>
      <c r="H17" s="97"/>
    </row>
    <row r="18" spans="1:13" s="55" customFormat="1" ht="23.1" customHeight="1">
      <c r="A18" s="185" t="s">
        <v>83</v>
      </c>
      <c r="B18" s="186"/>
      <c r="C18" s="186"/>
      <c r="D18" s="186"/>
      <c r="E18" s="186"/>
      <c r="F18" s="186"/>
      <c r="G18" s="58">
        <f>SUM(G6:G17)</f>
        <v>4213</v>
      </c>
      <c r="H18" s="59"/>
    </row>
    <row r="19" spans="1:13" s="55" customFormat="1" ht="23.1" customHeight="1">
      <c r="A19" s="185"/>
      <c r="B19" s="186"/>
      <c r="C19" s="186"/>
      <c r="D19" s="186"/>
      <c r="E19" s="186"/>
      <c r="F19" s="186"/>
      <c r="G19" s="58"/>
      <c r="H19" s="59"/>
    </row>
    <row r="20" spans="1:13" s="55" customFormat="1" ht="24.95" customHeight="1" thickBot="1">
      <c r="A20" s="187" t="s">
        <v>104</v>
      </c>
      <c r="B20" s="188"/>
      <c r="C20" s="188"/>
      <c r="D20" s="188"/>
      <c r="E20" s="188"/>
      <c r="F20" s="188"/>
      <c r="G20" s="125">
        <f>G19+G18</f>
        <v>4213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-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84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85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2025-09-30T04:00:26Z</cp:lastPrinted>
  <dcterms:created xsi:type="dcterms:W3CDTF">2024-10-20T11:50:19Z</dcterms:created>
  <dcterms:modified xsi:type="dcterms:W3CDTF">2025-09-30T04:00:32Z</dcterms:modified>
</cp:coreProperties>
</file>