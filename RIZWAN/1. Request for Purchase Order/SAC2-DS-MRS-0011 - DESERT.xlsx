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A9846AA3-C1BD-46D2-B5A9-6EB043797D20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<sst xmlns="http://schemas.openxmlformats.org/spreadsheetml/2006/main" count="152" uniqueCount="117">
  <si>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</si>
  <si>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</si>
  <si>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</si>
  <si>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</si>
  <si>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</si>
  <si>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</si>
  <si>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</si>
  <si>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</si>
  <si>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</si>
  <si>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</si>
  <si>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</si>
  <si>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</si>
  <si>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</si>
  <si>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</si>
  <si>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</si>
  <si>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</si>
  <si>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</si>
  <si>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</si>
  <si>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</si>
  <si>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</si>
  <si>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</si>
  <si>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</si>
  <si>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</si>
  <si>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</si>
  <si>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</si>
  <si>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</si>
  <si>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</si>
  <si>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</si>
  <si>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</si>
  <si>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</si>
  <si>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</si>
  <si>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</si>
  <si>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</si>
  <si>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</si>
  <si>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</si>
  <si>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</si>
  <si>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</si>
  <si>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</si>
  <si>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</si>
  <si>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</si>
  <si>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</si>
  <si>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</si>
  <si>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</si>
  <si>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</si>
  <si>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</si>
  <si>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</si>
  <si>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</si>
  <si>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</si>
  <si>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</si>
  <si>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</si>
  <si>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</si>
  <si>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</si>
  <si>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</si>
  <si>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</si>
  <si>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</si>
  <si>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</si>
  <si>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</si>
  <si>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</si>
  <si>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</si>
  <si>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</si>
  <si>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</si>
  <si>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</si>
  <si>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</si>
  <si>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</si>
  <si>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</si>
  <si>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</si>
  <si>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</si>
  <si>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</si>
  <si>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</si>
  <si>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</si>
  <si>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</si>
  <si>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</si>
  <si>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</si>
  <si>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</si>
  <si>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</si>
  <si>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</si>
  <si>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</si>
  <si>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</si>
  <si>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</si>
  <si>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</si>
  <si>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</si>
  <si>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</si>
  <si>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</si>
  <si>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</si>
  <si>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</si>
  <si>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</si>
  <si>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</si>
  <si>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</si>
  <si>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</si>
  <si>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</si>
  <si>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</si>
  <si>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</si>
  <si>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</si>
  <si>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</si>
  <si>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</si>
  <si>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</si>
  <si>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</si>
  <si>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</si>
  <si>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</si>
  <si>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</si>
  <si>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</si>
  <si>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</si>
  <si>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</si>
  <si>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</si>
  <si>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</si>
  <si>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DSGC</t>
  </si>
  <si>
    <t>DSGC(Desert Solution General Contracting Company LLC)</t>
  </si>
  <si>
    <t>311318994400003</t>
  </si>
  <si>
    <t>Bldg No . 4645  King Fahad Street, Opposite Jubail Mall , Al Jubail</t>
  </si>
  <si>
    <t>Shameer Rehaman</t>
  </si>
  <si>
    <t>+966 53 3121661 / Email:shameer@desertsolutionindus.com</t>
  </si>
  <si>
    <t>Landline: +966 13 362 3735 / Mobile : +966 533121661</t>
  </si>
  <si>
    <t>Managing Partner</t>
  </si>
  <si>
    <t>Bus</t>
  </si>
  <si>
    <t>Bus with Driver</t>
  </si>
  <si>
    <t>DSCE/DAE/Q-10797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</si>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</sst>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102</v>
      </c>
      <c r="B1" s="110"/>
      <c r="C1" s="110"/>
      <c r="D1" s="110"/>
      <c r="E1" s="110"/>
      <c r="F1" s="110"/>
      <c r="G1" s="1"/>
      <c r="J1" s="140" t="s">
        <v>93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43" t="s">
        <v>2</v>
      </c>
      <c r="K2" s="144"/>
      <c r="L2" s="145"/>
    </row>
    <row r="3" spans="1:19" ht="20.100000000000001" customHeight="1">
      <c r="A3" s="3" t="s">
        <v>116</v>
      </c>
      <c r="B3" s="101"/>
      <c r="C3" s="101"/>
      <c r="D3" s="101"/>
      <c r="E3" s="146">
        <f>+L3</f>
        <v>45652</v>
      </c>
      <c r="F3" s="146"/>
      <c r="G3" s="146"/>
      <c r="H3" s="146"/>
      <c r="I3" s="146"/>
      <c r="J3" s="101"/>
      <c r="K3" s="101"/>
      <c r="L3" s="122">
        <v>45652</v>
      </c>
      <c r="M3" s="4"/>
    </row>
    <row r="4" spans="1:19" ht="15.95" customHeight="1">
      <c r="A4" s="147" t="s">
        <v>3</v>
      </c>
      <c r="B4" s="148" t="s">
        <v>4</v>
      </c>
      <c r="C4" s="148"/>
      <c r="D4" s="149" t="s">
        <v>5</v>
      </c>
      <c r="E4" s="150"/>
      <c r="F4" s="151"/>
      <c r="G4" s="155" t="s">
        <v>6</v>
      </c>
      <c r="H4" s="157" t="s">
        <v>7</v>
      </c>
      <c r="I4" s="157" t="s">
        <v>99</v>
      </c>
      <c r="J4" s="147" t="s">
        <v>100</v>
      </c>
      <c r="K4" s="157" t="s">
        <v>0</v>
      </c>
      <c r="L4" s="148" t="s">
        <v>8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113</v>
      </c>
      <c r="C6" s="129"/>
      <c r="D6" s="130" t="s">
        <v>114</v>
      </c>
      <c r="E6" s="131"/>
      <c r="F6" s="132"/>
      <c r="G6" s="111" t="s">
        <v>94</v>
      </c>
      <c r="H6" s="112">
        <v>1</v>
      </c>
      <c r="I6" s="113">
        <v>11500</v>
      </c>
      <c r="J6" s="113">
        <f>H6*I6</f>
        <v>11500</v>
      </c>
      <c r="K6" s="114" t="s">
        <v>105</v>
      </c>
      <c r="L6" s="115" t="s">
        <v>104</v>
      </c>
      <c r="S6" s="106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9</v>
      </c>
      <c r="B16" s="134"/>
      <c r="C16" s="117"/>
      <c r="D16" s="118"/>
      <c r="E16" s="118"/>
      <c r="F16" s="118"/>
      <c r="G16" s="119"/>
      <c r="H16" s="119"/>
      <c r="I16" s="120" t="s">
        <v>10</v>
      </c>
      <c r="J16" s="113">
        <f>SUM(J6:J15)</f>
        <v>11500</v>
      </c>
      <c r="K16" s="113"/>
      <c r="L16" s="121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24" t="s">
        <v>18</v>
      </c>
      <c r="Q21" s="124" t="s">
        <v>19</v>
      </c>
    </row>
    <row r="22" spans="1:22" ht="18" customHeight="1">
      <c r="O22" s="18" t="s">
        <v>20</v>
      </c>
      <c r="P22" s="126"/>
      <c r="Q22" s="126"/>
      <c r="S22" s="135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2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22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22</v>
      </c>
      <c r="P46" s="124" t="s">
        <v>22</v>
      </c>
      <c r="Q46" s="124" t="s">
        <v>22</v>
      </c>
      <c r="T46" s="124" t="s">
        <v>23</v>
      </c>
      <c r="U46" s="124" t="s">
        <v>14</v>
      </c>
      <c r="V46" s="124" t="s">
        <v>22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22</v>
      </c>
      <c r="P50" s="124" t="s">
        <v>22</v>
      </c>
      <c r="Q50" s="124" t="s">
        <v>22</v>
      </c>
      <c r="T50" s="124" t="s">
        <v>14</v>
      </c>
      <c r="U50" s="124" t="s">
        <v>23</v>
      </c>
      <c r="V50" s="124" t="s">
        <v>22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8" sqref="O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(Subcontract No.)</v>
      </c>
      <c r="K2" s="145"/>
    </row>
    <row r="3" spans="1:18" ht="24.95" customHeight="1">
      <c r="A3" s="3" t="str">
        <f>+MRS!A3</f>
        <v xml:space="preserve">  MRS No : SAC2-DS-MRS-0011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45652</v>
      </c>
    </row>
    <row r="4" spans="1:18" ht="15.95" customHeight="1">
      <c r="A4" s="169" t="s">
        <v>3</v>
      </c>
      <c r="B4" s="170" t="s">
        <v>24</v>
      </c>
      <c r="C4" s="170"/>
      <c r="D4" s="169" t="s">
        <v>5</v>
      </c>
      <c r="E4" s="169"/>
      <c r="F4" s="169"/>
      <c r="G4" s="170" t="s">
        <v>6</v>
      </c>
      <c r="H4" s="169" t="s">
        <v>95</v>
      </c>
      <c r="I4" s="169" t="s">
        <v>25</v>
      </c>
      <c r="J4" s="169" t="s">
        <v>26</v>
      </c>
      <c r="K4" s="170" t="s">
        <v>8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Bus</v>
      </c>
      <c r="C6" s="165"/>
      <c r="D6" s="166" t="str">
        <f>MRS!D6</f>
        <v>Bus with Driver</v>
      </c>
      <c r="E6" s="167"/>
      <c r="F6" s="168"/>
      <c r="G6" s="103" t="str">
        <f>MRS!G6</f>
        <v>Month</v>
      </c>
      <c r="H6" s="103">
        <f>MRS!H6</f>
        <v>1</v>
      </c>
      <c r="I6" s="104">
        <f>MRS!I6</f>
        <v>11500</v>
      </c>
      <c r="J6" s="104">
        <f>MRS!J6</f>
        <v>11500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9" zoomScale="130" zoomScaleNormal="100" zoomScaleSheetLayoutView="130" workbookViewId="0">
      <selection activeCell="P32" sqref="P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106</v>
      </c>
      <c r="D9" s="39"/>
      <c r="E9" s="39"/>
    </row>
    <row r="10" spans="2:13" s="39" customFormat="1">
      <c r="B10" s="72"/>
      <c r="C10" s="39" t="s">
        <v>34</v>
      </c>
      <c r="D10" s="76">
        <v>2055104339</v>
      </c>
      <c r="J10" s="39" t="s">
        <v>35</v>
      </c>
      <c r="K10" s="172">
        <f>MRS!L3</f>
        <v>45652</v>
      </c>
      <c r="L10" s="173"/>
      <c r="M10" s="173"/>
    </row>
    <row r="11" spans="2:13" s="39" customFormat="1">
      <c r="B11" s="72"/>
      <c r="C11" s="75" t="s">
        <v>36</v>
      </c>
      <c r="D11" s="76" t="s">
        <v>107</v>
      </c>
      <c r="J11" s="39" t="s">
        <v>37</v>
      </c>
      <c r="K11" s="174" t="str">
        <f>SUBSTITUTE(SUBSTITUTE(+MRS!A3,"  MRS No : ",""),"-MRS","-PO")</f>
        <v>SAC2-DS-PO-0011</v>
      </c>
      <c r="L11" s="174"/>
      <c r="M11" s="174"/>
    </row>
    <row r="12" spans="2:13" s="39" customFormat="1">
      <c r="B12" s="72"/>
      <c r="C12" s="75" t="s">
        <v>38</v>
      </c>
      <c r="D12" s="39" t="s">
        <v>109</v>
      </c>
      <c r="J12" s="39" t="s">
        <v>39</v>
      </c>
    </row>
    <row r="13" spans="2:13" s="39" customFormat="1">
      <c r="B13" s="72"/>
      <c r="C13" s="77"/>
      <c r="D13" s="76" t="s">
        <v>110</v>
      </c>
      <c r="J13" s="39" t="s">
        <v>40</v>
      </c>
    </row>
    <row r="14" spans="2:13" s="39" customFormat="1">
      <c r="B14" s="72"/>
      <c r="C14" s="77" t="s">
        <v>108</v>
      </c>
      <c r="J14" s="39" t="s">
        <v>41</v>
      </c>
      <c r="K14" s="39" t="s">
        <v>115</v>
      </c>
    </row>
    <row r="15" spans="2:13" s="39" customFormat="1">
      <c r="B15" s="72"/>
      <c r="C15" s="77" t="s">
        <v>111</v>
      </c>
      <c r="J15" s="39" t="s">
        <v>42</v>
      </c>
      <c r="K15" s="78">
        <v>45636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45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46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114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79" t="s">
        <v>103</v>
      </c>
      <c r="G29" s="179"/>
      <c r="H29" s="33"/>
      <c r="M29" s="34"/>
    </row>
    <row r="30" spans="2:13" ht="15" customHeight="1">
      <c r="B30" s="32"/>
      <c r="C30" s="26" t="s">
        <v>52</v>
      </c>
      <c r="E30" s="26" t="s">
        <v>51</v>
      </c>
      <c r="F30" s="179"/>
      <c r="G30" s="179"/>
    </row>
    <row r="31" spans="2:13" ht="15" customHeight="1">
      <c r="B31" s="32"/>
      <c r="C31" s="26" t="s">
        <v>53</v>
      </c>
      <c r="D31" s="35"/>
      <c r="E31" s="26" t="s">
        <v>51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97</v>
      </c>
      <c r="P49" s="82"/>
    </row>
    <row r="50" spans="1:16" s="83" customFormat="1" ht="15" customHeight="1">
      <c r="B50" s="84" t="s">
        <v>67</v>
      </c>
      <c r="C50" s="81" t="s">
        <v>98</v>
      </c>
    </row>
    <row r="51" spans="1:16" s="83" customFormat="1" ht="15" customHeight="1">
      <c r="B51" s="84" t="s">
        <v>67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D12</f>
        <v>Shameer Rehaman</v>
      </c>
    </row>
    <row r="60" spans="1:16" ht="18" customHeight="1">
      <c r="B60" s="26" t="s">
        <v>73</v>
      </c>
      <c r="J60" s="26" t="s">
        <v>74</v>
      </c>
      <c r="K60" s="22" t="s">
        <v>112</v>
      </c>
    </row>
    <row r="61" spans="1:16" ht="15" customHeight="1">
      <c r="B61" s="26" t="s">
        <v>75</v>
      </c>
      <c r="J61" s="26" t="s">
        <v>76</v>
      </c>
    </row>
    <row r="62" spans="1:16" s="28" customFormat="1" ht="24.75" customHeight="1">
      <c r="B62" s="25" t="s">
        <v>77</v>
      </c>
      <c r="J62" s="180" t="str">
        <f>C9</f>
        <v>DSGC(Desert Solution General Contracting Company LLC)</v>
      </c>
      <c r="K62" s="180"/>
      <c r="L62" s="180"/>
      <c r="M62" s="180"/>
    </row>
    <row r="63" spans="1:16" ht="27.95" customHeight="1">
      <c r="A63" s="171" t="s">
        <v>78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J15" sqref="J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SAC2-DS-PO-0011</v>
      </c>
      <c r="C2" s="187" t="s">
        <v>80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45652</v>
      </c>
      <c r="C3" s="51"/>
      <c r="D3" s="52"/>
      <c r="E3" s="188" t="s">
        <v>82</v>
      </c>
      <c r="F3" s="188"/>
      <c r="G3" s="188"/>
      <c r="H3" s="188"/>
      <c r="I3" s="53"/>
    </row>
    <row r="4" spans="1:13" s="55" customFormat="1" ht="28.5" customHeight="1" thickTop="1">
      <c r="A4" s="189" t="s">
        <v>83</v>
      </c>
      <c r="B4" s="191" t="s">
        <v>84</v>
      </c>
      <c r="C4" s="192"/>
      <c r="D4" s="195" t="s">
        <v>85</v>
      </c>
      <c r="E4" s="195" t="s">
        <v>86</v>
      </c>
      <c r="F4" s="197" t="str">
        <f>'PO 1st page'!C9</f>
        <v>DSGC(Desert Solution General Contracting Company LLC)</v>
      </c>
      <c r="G4" s="198"/>
      <c r="H4" s="199" t="s">
        <v>87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88</v>
      </c>
      <c r="G5" s="57" t="s">
        <v>53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Bus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11500</v>
      </c>
      <c r="G6" s="89">
        <f>+'MRS LIST'!J6</f>
        <v>11500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89</v>
      </c>
      <c r="B18" s="182"/>
      <c r="C18" s="182"/>
      <c r="D18" s="182"/>
      <c r="E18" s="182"/>
      <c r="F18" s="182"/>
      <c r="G18" s="58">
        <f>SUM(G6:G17)</f>
        <v>11500</v>
      </c>
      <c r="H18" s="59"/>
    </row>
    <row r="19" spans="1:13" s="55" customFormat="1" ht="23.1" customHeight="1">
      <c r="A19" s="181" t="s">
        <v>52</v>
      </c>
      <c r="B19" s="182"/>
      <c r="C19" s="182"/>
      <c r="D19" s="182"/>
      <c r="E19" s="182"/>
      <c r="F19" s="182"/>
      <c r="G19" s="58">
        <f>+G18*0.15</f>
        <v>1725</v>
      </c>
      <c r="H19" s="59"/>
    </row>
    <row r="20" spans="1:13" s="55" customFormat="1" ht="24.95" customHeight="1" thickBot="1">
      <c r="A20" s="183" t="s">
        <v>90</v>
      </c>
      <c r="B20" s="184"/>
      <c r="C20" s="184"/>
      <c r="D20" s="184"/>
      <c r="E20" s="184"/>
      <c r="F20" s="184"/>
      <c r="G20" s="60">
        <f>G19+G18</f>
        <v>13225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DSCE/DAE/Q-10797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92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2024-12-28T13:42:59Z</cp:lastPrinted>
  <dcterms:created xsi:type="dcterms:W3CDTF">2024-10-20T11:50:19Z</dcterms:created>
  <dcterms:modified xsi:type="dcterms:W3CDTF">2024-12-28T13:55:18Z</dcterms:modified>
</cp:coreProperties>
</file>