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674CDF51-215F-47B9-AC13-768A487F3B6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<sst xmlns="http://schemas.openxmlformats.org/spreadsheetml/2006/main" count="154" uniqueCount="119">
  <si>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</si>
  <si>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</si>
  <si>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</si>
  <si>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</si>
  <si>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</si>
  <si>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</si>
  <si>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</si>
  <si>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</si>
  <si>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</si>
  <si>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</si>
  <si>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</si>
  <si>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</si>
  <si>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</si>
  <si>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</si>
  <si>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</si>
  <si>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</si>
  <si>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</si>
  <si>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</si>
  <si>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</si>
  <si>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</si>
  <si>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</si>
  <si>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</si>
  <si>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</si>
  <si>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</si>
  <si>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</si>
  <si>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</si>
  <si>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</si>
  <si>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</si>
  <si>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</si>
  <si>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</si>
  <si>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</si>
  <si>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</si>
  <si>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</si>
  <si>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</si>
  <si>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</si>
  <si>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</si>
  <si>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</si>
  <si>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</si>
  <si>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</si>
  <si>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</si>
  <si>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</si>
  <si>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</si>
  <si>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</si>
  <si>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</si>
  <si>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</si>
  <si>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</si>
  <si>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</si>
  <si>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</si>
  <si>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</si>
  <si>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</si>
  <si>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</si>
  <si>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</si>
  <si>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</si>
  <si>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</si>
  <si>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</si>
  <si>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</si>
  <si>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</si>
  <si>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</si>
  <si>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</si>
  <si>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</si>
  <si>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</si>
  <si>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</si>
  <si>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</si>
  <si>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</si>
  <si>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</si>
  <si>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</si>
  <si>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</si>
  <si>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</si>
  <si>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</si>
  <si>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</si>
  <si>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</si>
  <si>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</si>
  <si>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</si>
  <si>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</si>
  <si>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</si>
  <si>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</si>
  <si>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</si>
  <si>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</si>
  <si>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</si>
  <si>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</si>
  <si>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</si>
  <si>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</si>
  <si>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</si>
  <si>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</si>
  <si>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</si>
  <si>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</si>
  <si>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</si>
  <si>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</si>
  <si>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</si>
  <si>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</si>
  <si>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</si>
  <si>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</si>
  <si>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</si>
  <si>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</si>
  <si>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</si>
  <si>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</si>
  <si>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</si>
  <si>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SSAM</t>
  </si>
  <si>
    <t>SSAM(Sultan Sulaiman Abdul Muneem Al Juhni Contracting Est.</t>
  </si>
  <si>
    <t>Mohammad Safwan</t>
  </si>
  <si>
    <t>Operation Manager</t>
  </si>
  <si>
    <t>+966 59 1252163 / Email:samest99@gmail.com</t>
  </si>
  <si>
    <t>Bldg. No 4441Sahad IBN Umar, al Safat District, al Jubail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</si>
  <si>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</si>
  <si>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</si>
  <si>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</si>
  <si>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4700123002</t>
  </si>
  <si>
    <t>310903944300003</t>
  </si>
  <si>
    <t>Subcontract name (SAC2-SC-IK-SMP-01)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</si>
  <si>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</si>
  <si>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-MRS-0075</t>
    </r>
  </si>
  <si>
    <t>Scaffolding Supervisor</t>
  </si>
  <si>
    <t>Aramco Certified</t>
  </si>
  <si>
    <t>Hour</t>
  </si>
  <si>
    <t>SULTAN/PHASE2/MP/11-25</t>
  </si>
  <si>
    <t>Hourly Based</t>
  </si>
  <si>
    <t>Scaffolding Supervisor Aramco Approved</t>
  </si>
  <si>
    <t>Hyundai Engineering and Const. Co., Ltd. (HDEC)</t>
  </si>
  <si>
    <t>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</si>
</sst>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2" sqref="J2:L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104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105</v>
      </c>
      <c r="E2" s="101"/>
      <c r="F2" s="101"/>
      <c r="G2" s="101"/>
      <c r="H2" s="101"/>
      <c r="I2" s="4"/>
      <c r="J2" s="157" t="s">
        <v>108</v>
      </c>
      <c r="K2" s="158"/>
      <c r="L2" s="159"/>
    </row>
    <row r="3" spans="1:19" ht="20.100000000000001" customHeight="1">
      <c r="A3" s="3" t="s">
        <v>110</v>
      </c>
      <c r="B3" s="101"/>
      <c r="C3" s="101"/>
      <c r="D3" s="101"/>
      <c r="E3" s="144">
        <f>+L3</f>
        <v>45805</v>
      </c>
      <c r="F3" s="144"/>
      <c r="G3" s="144"/>
      <c r="H3" s="144"/>
      <c r="I3" s="144"/>
      <c r="J3" s="101"/>
      <c r="K3" s="101"/>
      <c r="L3" s="122">
        <v>45805</v>
      </c>
      <c r="M3" s="4"/>
    </row>
    <row r="4" spans="1:19" ht="15.95" customHeight="1">
      <c r="A4" s="145" t="s">
        <v>2</v>
      </c>
      <c r="B4" s="146" t="s">
        <v>3</v>
      </c>
      <c r="C4" s="146"/>
      <c r="D4" s="147" t="s">
        <v>4</v>
      </c>
      <c r="E4" s="148"/>
      <c r="F4" s="149"/>
      <c r="G4" s="153" t="s">
        <v>5</v>
      </c>
      <c r="H4" s="155" t="s">
        <v>6</v>
      </c>
      <c r="I4" s="155" t="s">
        <v>94</v>
      </c>
      <c r="J4" s="145" t="s">
        <v>95</v>
      </c>
      <c r="K4" s="155" t="s">
        <v>0</v>
      </c>
      <c r="L4" s="146" t="s">
        <v>7</v>
      </c>
    </row>
    <row r="5" spans="1:19" ht="15.95" customHeight="1">
      <c r="A5" s="145"/>
      <c r="B5" s="146"/>
      <c r="C5" s="146"/>
      <c r="D5" s="150"/>
      <c r="E5" s="151"/>
      <c r="F5" s="152"/>
      <c r="G5" s="154"/>
      <c r="H5" s="156"/>
      <c r="I5" s="156"/>
      <c r="J5" s="145"/>
      <c r="K5" s="156"/>
      <c r="L5" s="146"/>
    </row>
    <row r="6" spans="1:19" ht="22.5" customHeight="1">
      <c r="A6" s="5">
        <f t="shared" ref="A6:A15" si="0">ROW(A1)</f>
        <v>1</v>
      </c>
      <c r="B6" s="129" t="s">
        <v>111</v>
      </c>
      <c r="C6" s="130"/>
      <c r="D6" s="131" t="s">
        <v>112</v>
      </c>
      <c r="E6" s="132"/>
      <c r="F6" s="133"/>
      <c r="G6" s="111" t="s">
        <v>113</v>
      </c>
      <c r="H6" s="112">
        <v>1</v>
      </c>
      <c r="I6" s="113">
        <v>135</v>
      </c>
      <c r="J6" s="113">
        <f>H6*I6</f>
        <v>135</v>
      </c>
      <c r="K6" s="114" t="s">
        <v>97</v>
      </c>
      <c r="L6" s="115" t="s">
        <v>115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135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7" t="str">
        <f>+MRS!J2</f>
        <v>Subcontract name (SAC2-SC-IK-SMP-01)</v>
      </c>
      <c r="K2" s="159"/>
    </row>
    <row r="3" spans="1:18" ht="24.95" customHeight="1">
      <c r="A3" s="3" t="str">
        <f>+MRS!A3</f>
        <v xml:space="preserve">  MRS No : SAC2-DS-MRS-0075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45805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Scaffolding Supervisor</v>
      </c>
      <c r="C6" s="166"/>
      <c r="D6" s="167" t="str">
        <f>MRS!D6</f>
        <v>Aramco Certified</v>
      </c>
      <c r="E6" s="168"/>
      <c r="F6" s="169"/>
      <c r="G6" s="103" t="str">
        <f>MRS!G6</f>
        <v>Hour</v>
      </c>
      <c r="H6" s="103">
        <f>MRS!H6</f>
        <v>1</v>
      </c>
      <c r="I6" s="104">
        <f>MRS!I6</f>
        <v>135</v>
      </c>
      <c r="J6" s="104">
        <f>MRS!J6</f>
        <v>135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I59" sqref="I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118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98</v>
      </c>
      <c r="D9" s="39"/>
      <c r="E9" s="39"/>
    </row>
    <row r="10" spans="2:13" s="39" customFormat="1">
      <c r="B10" s="72"/>
      <c r="C10" s="39" t="s">
        <v>32</v>
      </c>
      <c r="D10" s="76" t="s">
        <v>106</v>
      </c>
      <c r="J10" s="39" t="s">
        <v>33</v>
      </c>
      <c r="K10" s="173">
        <f>MRS!L3</f>
        <v>45805</v>
      </c>
      <c r="L10" s="174"/>
      <c r="M10" s="174"/>
    </row>
    <row r="11" spans="2:13" s="39" customFormat="1">
      <c r="B11" s="72"/>
      <c r="C11" s="75" t="s">
        <v>34</v>
      </c>
      <c r="D11" s="76" t="s">
        <v>107</v>
      </c>
      <c r="J11" s="39" t="s">
        <v>35</v>
      </c>
      <c r="K11" s="175" t="str">
        <f>SUBSTITUTE(SUBSTITUTE(+MRS!A3,"  MRS No : ",""),"-MRS","-PO")</f>
        <v>SAC2-DS-PO-0075</v>
      </c>
      <c r="L11" s="175"/>
      <c r="M11" s="175"/>
    </row>
    <row r="12" spans="2:13" s="39" customFormat="1">
      <c r="B12" s="72"/>
      <c r="C12" s="75" t="s">
        <v>36</v>
      </c>
      <c r="D12" s="39" t="s">
        <v>99</v>
      </c>
      <c r="J12" s="39" t="s">
        <v>37</v>
      </c>
    </row>
    <row r="13" spans="2:13" s="39" customFormat="1">
      <c r="B13" s="72"/>
      <c r="C13" s="77"/>
      <c r="D13" s="76" t="s">
        <v>101</v>
      </c>
      <c r="J13" s="39" t="s">
        <v>38</v>
      </c>
    </row>
    <row r="14" spans="2:13" s="39" customFormat="1">
      <c r="B14" s="72"/>
      <c r="C14" s="77" t="s">
        <v>102</v>
      </c>
      <c r="J14" s="39" t="s">
        <v>39</v>
      </c>
      <c r="K14" s="39" t="s">
        <v>114</v>
      </c>
    </row>
    <row r="15" spans="2:13" s="39" customFormat="1">
      <c r="B15" s="72"/>
      <c r="C15" s="77" t="s">
        <v>103</v>
      </c>
      <c r="J15" s="39" t="s">
        <v>40</v>
      </c>
      <c r="K15" s="78">
        <v>45803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116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115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109</v>
      </c>
      <c r="P49" s="82"/>
    </row>
    <row r="50" spans="1:16" s="83" customFormat="1" ht="15" customHeight="1">
      <c r="B50" s="84" t="s">
        <v>65</v>
      </c>
      <c r="C50" s="81" t="s">
        <v>93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Mohammad Safwan</v>
      </c>
    </row>
    <row r="60" spans="1:16" ht="18" customHeight="1">
      <c r="B60" s="26" t="s">
        <v>71</v>
      </c>
      <c r="J60" s="26" t="s">
        <v>72</v>
      </c>
      <c r="K60" s="22" t="s">
        <v>100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117</v>
      </c>
      <c r="J62" s="181" t="str">
        <f>C9</f>
        <v>SSAM(Sultan Sulaiman Abdul Muneem Al Juhni Contracting Est.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SAC2-DS-PO-0075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45805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SSAM(Sultan Sulaiman Abdul Muneem Al Juhni Contracting Est.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'PO 1st page'!C26</f>
        <v>Scaffolding Supervisor Aramco Approved</v>
      </c>
      <c r="C6" s="189"/>
      <c r="D6" s="86" t="str">
        <f>+'MRS LIST'!G6</f>
        <v>Hour</v>
      </c>
      <c r="E6" s="87">
        <f>+'MRS LIST'!H6</f>
        <v>1</v>
      </c>
      <c r="F6" s="88">
        <f>+'MRS LIST'!I6</f>
        <v>135</v>
      </c>
      <c r="G6" s="89">
        <f>+'MRS LIST'!J6</f>
        <v>135</v>
      </c>
      <c r="H6" s="90" t="s">
        <v>115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8"/>
      <c r="C7" s="18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/>
      <c r="C8" s="189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135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20.25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155.25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SULTAN/PHASE2/MP/11-25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2025-05-28T04:23:39Z</cp:lastPrinted>
  <dcterms:created xsi:type="dcterms:W3CDTF">2024-10-20T11:50:19Z</dcterms:created>
  <dcterms:modified xsi:type="dcterms:W3CDTF">2025-05-28T06:15:39Z</dcterms:modified>
</cp:coreProperties>
</file>