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6BFA90D-98D1-41C6-AB04-7BAE62685DB2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D7" i="4"/>
  <c r="D8" i="4"/>
  <c r="D9" i="4"/>
  <c r="D10" i="4"/>
  <c r="D11" i="4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F12" i="4" s="1"/>
  <c r="H12" i="2"/>
  <c r="G12" i="2"/>
  <c r="I11" i="2"/>
  <c r="F11" i="4" s="1"/>
  <c r="H11" i="2"/>
  <c r="G11" i="2"/>
  <c r="I10" i="2"/>
  <c r="F10" i="4" s="1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J7" i="2" s="1"/>
  <c r="G7" i="4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<sst xmlns="http://schemas.openxmlformats.org/spreadsheetml/2006/main" count="171" uniqueCount="135">
  <si>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</si>
  <si>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</si>
  <si>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</si>
  <si>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</si>
  <si>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</si>
  <si>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</si>
  <si>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</si>
  <si>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</si>
  <si>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</si>
  <si>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</si>
  <si>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</si>
  <si>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</si>
  <si>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</si>
  <si>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</si>
  <si>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</si>
  <si>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</si>
  <si>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</si>
  <si>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</si>
  <si>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</si>
  <si>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</si>
  <si>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</si>
  <si>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</si>
  <si>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</si>
  <si>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</si>
  <si>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</si>
  <si>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</si>
  <si>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</si>
  <si>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</si>
  <si>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</si>
  <si>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</si>
  <si>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</si>
  <si>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</si>
  <si>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</si>
  <si>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</si>
  <si>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</si>
  <si>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</si>
  <si>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</si>
  <si>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</si>
  <si>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</si>
  <si>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</si>
  <si>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</si>
  <si>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</si>
  <si>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</si>
  <si>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</si>
  <si>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</si>
  <si>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</si>
  <si>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</si>
  <si>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</si>
  <si>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</si>
  <si>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</si>
  <si>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</si>
  <si>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</si>
  <si>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</si>
  <si>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</si>
  <si>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</si>
  <si>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</si>
  <si>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</si>
  <si>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</si>
  <si>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</si>
  <si>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</si>
  <si>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</si>
  <si>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</si>
  <si>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</si>
  <si>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</si>
  <si>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</si>
  <si>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</si>
  <si>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</si>
  <si>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</si>
  <si>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</si>
  <si>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</si>
  <si>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</si>
  <si>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</si>
  <si>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</si>
  <si>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</si>
  <si>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</si>
  <si>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</si>
  <si>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</si>
  <si>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</si>
  <si>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</si>
  <si>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</si>
  <si>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</si>
  <si>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</si>
  <si>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</si>
  <si>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</si>
  <si>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</si>
  <si>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</si>
  <si>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</si>
  <si>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</si>
  <si>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</si>
  <si>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</si>
  <si>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</si>
  <si>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</si>
  <si>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</si>
  <si>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</si>
  <si>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</si>
  <si>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</si>
  <si>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</si>
  <si>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</si>
  <si>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</si>
  <si>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</si>
  <si>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</si>
  <si>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</si>
  <si>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</si>
  <si>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</si>
  <si>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</si>
  <si>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</si>
  <si>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</si>
  <si>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</si>
  <si>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</si>
  <si>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</si>
  <si>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</si>
  <si>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</si>
  <si>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</si>
  <si>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</si>
  <si>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</si>
  <si>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</si>
  <si>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</si>
  <si>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</si>
  <si>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</si>
  <si>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</si>
  <si>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</si>
  <si>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</si>
  <si>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</si>
  <si>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</si>
  <si>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-MRS-0330</t>
    </r>
  </si>
  <si>
    <t>Welding Rod</t>
  </si>
  <si>
    <t xml:space="preserve"> E7018-1 H4R 2.6mm S-7018.1H Vac-Pack Hyundai Korea</t>
  </si>
  <si>
    <t xml:space="preserve"> E7018-1 H4R 4.0mm S-7018.1H Vac-Pack Hyundai Korea</t>
  </si>
  <si>
    <t xml:space="preserve"> ER70S-3 2.4mm ST-50.3 Hyundai Korea</t>
  </si>
  <si>
    <t xml:space="preserve"> ER316L 2.4mm ST-316L Hyundai Korea</t>
  </si>
  <si>
    <t xml:space="preserve"> ER316L 2.0mm ST-316L Hyundai Korea</t>
  </si>
  <si>
    <t xml:space="preserve"> ER316L 1.6mm ST-316L Hyundai Korea</t>
  </si>
  <si>
    <t>KG</t>
  </si>
  <si>
    <t>Welding Rods</t>
  </si>
  <si>
    <t>Q-20263208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</si>
</sst>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topLeftCell="A6" zoomScale="95" zoomScaleNormal="95" zoomScaleSheetLayoutView="95" workbookViewId="0">
      <selection activeCell="O17" sqref="O1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5" t="s">
        <v>87</v>
      </c>
      <c r="K1" s="136"/>
      <c r="L1" s="13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8" t="s">
        <v>94</v>
      </c>
      <c r="K2" s="139"/>
      <c r="L2" s="140"/>
    </row>
    <row r="3" spans="1:18" ht="20.100000000000001" customHeight="1">
      <c r="A3" s="3" t="s">
        <v>124</v>
      </c>
      <c r="B3" s="93"/>
      <c r="C3" s="93"/>
      <c r="D3" s="93"/>
      <c r="E3" s="141">
        <f>+L3</f>
        <v>46186</v>
      </c>
      <c r="F3" s="141"/>
      <c r="G3" s="141"/>
      <c r="H3" s="141"/>
      <c r="I3" s="141"/>
      <c r="J3" s="93"/>
      <c r="K3" s="93"/>
      <c r="L3" s="105">
        <v>46186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42" t="s">
        <v>6</v>
      </c>
      <c r="I4" s="142" t="s">
        <v>91</v>
      </c>
      <c r="J4" s="144" t="s">
        <v>92</v>
      </c>
      <c r="K4" s="142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43"/>
      <c r="I5" s="143"/>
      <c r="J5" s="144"/>
      <c r="K5" s="143"/>
      <c r="L5" s="145"/>
    </row>
    <row r="6" spans="1:18" ht="35.25" customHeight="1">
      <c r="A6" s="5">
        <f t="shared" ref="A6:A15" si="0">ROW(A1)</f>
        <v>1</v>
      </c>
      <c r="B6" s="130" t="s">
        <v>125</v>
      </c>
      <c r="C6" s="131"/>
      <c r="D6" s="132" t="s">
        <v>126</v>
      </c>
      <c r="E6" s="133"/>
      <c r="F6" s="134"/>
      <c r="G6" s="112" t="s">
        <v>132</v>
      </c>
      <c r="H6" s="112">
        <v>2500</v>
      </c>
      <c r="I6" s="113">
        <v>19</v>
      </c>
      <c r="J6" s="100">
        <f>H6*I6</f>
        <v>47500</v>
      </c>
      <c r="K6" s="101" t="s">
        <v>98</v>
      </c>
      <c r="L6" s="102" t="s">
        <v>106</v>
      </c>
      <c r="R6" s="98"/>
    </row>
    <row r="7" spans="1:18" ht="35.25" customHeight="1">
      <c r="A7" s="5">
        <f t="shared" si="0"/>
        <v>2</v>
      </c>
      <c r="B7" s="130" t="s">
        <v>125</v>
      </c>
      <c r="C7" s="131"/>
      <c r="D7" s="132" t="s">
        <v>127</v>
      </c>
      <c r="E7" s="133"/>
      <c r="F7" s="134"/>
      <c r="G7" s="112" t="s">
        <v>132</v>
      </c>
      <c r="H7" s="112">
        <v>20</v>
      </c>
      <c r="I7" s="113">
        <v>17</v>
      </c>
      <c r="J7" s="100">
        <f t="shared" ref="J7:J15" si="1">H7*I7</f>
        <v>340</v>
      </c>
      <c r="K7" s="101"/>
      <c r="L7" s="102"/>
      <c r="R7" s="98"/>
    </row>
    <row r="8" spans="1:18" ht="35.25" customHeight="1">
      <c r="A8" s="5">
        <f t="shared" si="0"/>
        <v>3</v>
      </c>
      <c r="B8" s="130" t="s">
        <v>125</v>
      </c>
      <c r="C8" s="131"/>
      <c r="D8" s="132" t="s">
        <v>128</v>
      </c>
      <c r="E8" s="133"/>
      <c r="F8" s="134"/>
      <c r="G8" s="112" t="s">
        <v>132</v>
      </c>
      <c r="H8" s="112">
        <v>1000</v>
      </c>
      <c r="I8" s="113">
        <v>15.7</v>
      </c>
      <c r="J8" s="100">
        <f t="shared" si="1"/>
        <v>15700</v>
      </c>
      <c r="K8" s="101"/>
      <c r="L8" s="102"/>
      <c r="R8" s="98"/>
    </row>
    <row r="9" spans="1:18" ht="35.25" customHeight="1">
      <c r="A9" s="5">
        <f t="shared" si="0"/>
        <v>4</v>
      </c>
      <c r="B9" s="130" t="s">
        <v>125</v>
      </c>
      <c r="C9" s="131"/>
      <c r="D9" s="132" t="s">
        <v>129</v>
      </c>
      <c r="E9" s="133"/>
      <c r="F9" s="134"/>
      <c r="G9" s="112" t="s">
        <v>132</v>
      </c>
      <c r="H9" s="112">
        <v>240</v>
      </c>
      <c r="I9" s="113">
        <v>79</v>
      </c>
      <c r="J9" s="100">
        <f t="shared" si="1"/>
        <v>18960</v>
      </c>
      <c r="K9" s="101"/>
      <c r="L9" s="102"/>
      <c r="R9" s="98"/>
    </row>
    <row r="10" spans="1:18" ht="35.25" customHeight="1">
      <c r="A10" s="5">
        <f t="shared" si="0"/>
        <v>5</v>
      </c>
      <c r="B10" s="130" t="s">
        <v>125</v>
      </c>
      <c r="C10" s="131"/>
      <c r="D10" s="132" t="s">
        <v>130</v>
      </c>
      <c r="E10" s="133"/>
      <c r="F10" s="134"/>
      <c r="G10" s="112" t="s">
        <v>132</v>
      </c>
      <c r="H10" s="112">
        <v>260</v>
      </c>
      <c r="I10" s="113">
        <v>80</v>
      </c>
      <c r="J10" s="100">
        <f t="shared" si="1"/>
        <v>20800</v>
      </c>
      <c r="K10" s="101"/>
      <c r="L10" s="102"/>
      <c r="R10" s="98"/>
    </row>
    <row r="11" spans="1:18" ht="35.25" customHeight="1">
      <c r="A11" s="5">
        <f t="shared" si="0"/>
        <v>6</v>
      </c>
      <c r="B11" s="130" t="s">
        <v>125</v>
      </c>
      <c r="C11" s="131"/>
      <c r="D11" s="132" t="s">
        <v>131</v>
      </c>
      <c r="E11" s="133"/>
      <c r="F11" s="134"/>
      <c r="G11" s="112" t="s">
        <v>132</v>
      </c>
      <c r="H11" s="112">
        <v>200</v>
      </c>
      <c r="I11" s="113">
        <v>79</v>
      </c>
      <c r="J11" s="100">
        <f t="shared" si="1"/>
        <v>15800</v>
      </c>
      <c r="K11" s="101"/>
      <c r="L11" s="102"/>
      <c r="R11" s="98"/>
    </row>
    <row r="12" spans="1:18" ht="23.25" hidden="1" customHeight="1">
      <c r="A12" s="5">
        <f t="shared" si="0"/>
        <v>7</v>
      </c>
      <c r="B12" s="130"/>
      <c r="C12" s="131"/>
      <c r="D12" s="132"/>
      <c r="E12" s="133"/>
      <c r="F12" s="134"/>
      <c r="G12" s="112"/>
      <c r="H12" s="112"/>
      <c r="I12" s="113"/>
      <c r="J12" s="100"/>
      <c r="K12" s="101"/>
      <c r="L12" s="102"/>
      <c r="R12" s="98"/>
    </row>
    <row r="13" spans="1:18" ht="23.25" hidden="1" customHeight="1">
      <c r="A13" s="5">
        <f t="shared" si="0"/>
        <v>8</v>
      </c>
      <c r="B13" s="130"/>
      <c r="C13" s="131"/>
      <c r="D13" s="132"/>
      <c r="E13" s="133"/>
      <c r="F13" s="161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hidden="1" customHeight="1">
      <c r="A14" s="5">
        <f t="shared" si="0"/>
        <v>9</v>
      </c>
      <c r="B14" s="130"/>
      <c r="C14" s="131"/>
      <c r="D14" s="132"/>
      <c r="E14" s="133"/>
      <c r="F14" s="161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hidden="1" customHeight="1">
      <c r="A15" s="5">
        <f t="shared" si="0"/>
        <v>10</v>
      </c>
      <c r="B15" s="130"/>
      <c r="C15" s="131"/>
      <c r="D15" s="132"/>
      <c r="E15" s="133"/>
      <c r="F15" s="161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54" t="s">
        <v>8</v>
      </c>
      <c r="B16" s="15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119100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48.75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SAC2-DS-MRS-0330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46186</v>
      </c>
    </row>
    <row r="4" spans="1:18" ht="15.95" customHeight="1">
      <c r="A4" s="168" t="s">
        <v>2</v>
      </c>
      <c r="B4" s="169" t="s">
        <v>20</v>
      </c>
      <c r="C4" s="169"/>
      <c r="D4" s="168" t="s">
        <v>4</v>
      </c>
      <c r="E4" s="168"/>
      <c r="F4" s="168"/>
      <c r="G4" s="169" t="s">
        <v>5</v>
      </c>
      <c r="H4" s="168" t="s">
        <v>88</v>
      </c>
      <c r="I4" s="168" t="s">
        <v>21</v>
      </c>
      <c r="J4" s="168" t="s">
        <v>22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63" t="str">
        <f>MRS!B6</f>
        <v>Welding Rod</v>
      </c>
      <c r="C6" s="164"/>
      <c r="D6" s="165" t="str">
        <f>MRS!D6</f>
        <v xml:space="preserve"> E7018-1 H4R 2.6mm S-7018.1H Vac-Pack Hyundai Korea</v>
      </c>
      <c r="E6" s="166"/>
      <c r="F6" s="167"/>
      <c r="G6" s="95" t="str">
        <f>MRS!G6</f>
        <v>KG</v>
      </c>
      <c r="H6" s="95">
        <f>MRS!H6</f>
        <v>2500</v>
      </c>
      <c r="I6" s="96">
        <f>MRS!I6</f>
        <v>19</v>
      </c>
      <c r="J6" s="96">
        <f>MRS!J6</f>
        <v>47500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3" t="str">
        <f>MRS!B7</f>
        <v>Welding Rod</v>
      </c>
      <c r="C7" s="164"/>
      <c r="D7" s="165" t="str">
        <f>MRS!D7</f>
        <v xml:space="preserve"> E7018-1 H4R 4.0mm S-7018.1H Vac-Pack Hyundai Korea</v>
      </c>
      <c r="E7" s="166"/>
      <c r="F7" s="167"/>
      <c r="G7" s="95" t="str">
        <f>MRS!G7</f>
        <v>KG</v>
      </c>
      <c r="H7" s="95">
        <f>MRS!H7</f>
        <v>20</v>
      </c>
      <c r="I7" s="96">
        <f>MRS!I7</f>
        <v>17</v>
      </c>
      <c r="J7" s="96">
        <f>MRS!J7</f>
        <v>340</v>
      </c>
      <c r="K7" s="97"/>
      <c r="O7" s="98"/>
      <c r="P7" s="98"/>
      <c r="R7" s="98"/>
    </row>
    <row r="8" spans="1:18" ht="105" customHeight="1">
      <c r="A8" s="21">
        <f>+MRS!A8</f>
        <v>3</v>
      </c>
      <c r="B8" s="163" t="str">
        <f>MRS!B8</f>
        <v>Welding Rod</v>
      </c>
      <c r="C8" s="164"/>
      <c r="D8" s="165" t="str">
        <f>MRS!D8</f>
        <v xml:space="preserve"> ER70S-3 2.4mm ST-50.3 Hyundai Korea</v>
      </c>
      <c r="E8" s="166"/>
      <c r="F8" s="167"/>
      <c r="G8" s="95" t="str">
        <f>MRS!G8</f>
        <v>KG</v>
      </c>
      <c r="H8" s="95">
        <f>MRS!H8</f>
        <v>1000</v>
      </c>
      <c r="I8" s="96">
        <f>MRS!I8</f>
        <v>15.7</v>
      </c>
      <c r="J8" s="96">
        <f>MRS!J8</f>
        <v>15700</v>
      </c>
      <c r="K8" s="97"/>
      <c r="O8" s="98"/>
      <c r="P8" s="98"/>
      <c r="R8" s="98"/>
    </row>
    <row r="9" spans="1:18" ht="105" customHeight="1">
      <c r="A9" s="21">
        <f>+MRS!A9</f>
        <v>4</v>
      </c>
      <c r="B9" s="163" t="str">
        <f>MRS!B9</f>
        <v>Welding Rod</v>
      </c>
      <c r="C9" s="164"/>
      <c r="D9" s="165" t="str">
        <f>MRS!D9</f>
        <v xml:space="preserve"> ER316L 2.4mm ST-316L Hyundai Korea</v>
      </c>
      <c r="E9" s="166"/>
      <c r="F9" s="167"/>
      <c r="G9" s="95" t="str">
        <f>MRS!G9</f>
        <v>KG</v>
      </c>
      <c r="H9" s="95">
        <f>MRS!H9</f>
        <v>240</v>
      </c>
      <c r="I9" s="96">
        <f>MRS!I9</f>
        <v>79</v>
      </c>
      <c r="J9" s="96">
        <f>MRS!J9</f>
        <v>18960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3" t="str">
        <f>MRS!B10</f>
        <v>Welding Rod</v>
      </c>
      <c r="C10" s="164"/>
      <c r="D10" s="165" t="str">
        <f>MRS!D10</f>
        <v xml:space="preserve"> ER316L 2.0mm ST-316L Hyundai Korea</v>
      </c>
      <c r="E10" s="166"/>
      <c r="F10" s="167"/>
      <c r="G10" s="95" t="str">
        <f>MRS!G10</f>
        <v>KG</v>
      </c>
      <c r="H10" s="95">
        <f>MRS!H10</f>
        <v>260</v>
      </c>
      <c r="I10" s="96">
        <f>MRS!I10</f>
        <v>80</v>
      </c>
      <c r="J10" s="96">
        <f>MRS!J10</f>
        <v>20800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3" t="str">
        <f>MRS!B11</f>
        <v>Welding Rod</v>
      </c>
      <c r="C11" s="164"/>
      <c r="D11" s="165" t="str">
        <f>MRS!D11</f>
        <v xml:space="preserve"> ER316L 1.6mm ST-316L Hyundai Korea</v>
      </c>
      <c r="E11" s="166"/>
      <c r="F11" s="167"/>
      <c r="G11" s="95" t="str">
        <f>MRS!G11</f>
        <v>KG</v>
      </c>
      <c r="H11" s="95">
        <f>MRS!H11</f>
        <v>200</v>
      </c>
      <c r="I11" s="96">
        <f>MRS!I11</f>
        <v>79</v>
      </c>
      <c r="J11" s="96">
        <f>MRS!J11</f>
        <v>15800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3">
        <f>MRS!B12</f>
        <v>0</v>
      </c>
      <c r="C12" s="164"/>
      <c r="D12" s="165">
        <f>MRS!D12</f>
        <v>0</v>
      </c>
      <c r="E12" s="166"/>
      <c r="F12" s="16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3">
        <f>MRS!B13</f>
        <v>0</v>
      </c>
      <c r="C13" s="164"/>
      <c r="D13" s="165">
        <f>MRS!D13</f>
        <v>0</v>
      </c>
      <c r="E13" s="166"/>
      <c r="F13" s="16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3">
        <f>MRS!B14</f>
        <v>0</v>
      </c>
      <c r="C14" s="164"/>
      <c r="D14" s="165">
        <f>MRS!D14</f>
        <v>0</v>
      </c>
      <c r="E14" s="166"/>
      <c r="F14" s="16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3">
        <f>MRS!B15</f>
        <v>0</v>
      </c>
      <c r="C15" s="164"/>
      <c r="D15" s="165">
        <f>MRS!D15</f>
        <v>0</v>
      </c>
      <c r="E15" s="166"/>
      <c r="F15" s="16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3"/>
      <c r="C16" s="164"/>
      <c r="D16" s="165"/>
      <c r="E16" s="166"/>
      <c r="F16" s="16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3"/>
      <c r="C17" s="164"/>
      <c r="D17" s="165"/>
      <c r="E17" s="166"/>
      <c r="F17" s="16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3"/>
      <c r="C18" s="164"/>
      <c r="D18" s="165"/>
      <c r="E18" s="166"/>
      <c r="F18" s="16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3"/>
      <c r="C19" s="164"/>
      <c r="D19" s="165"/>
      <c r="E19" s="166"/>
      <c r="F19" s="16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3"/>
      <c r="C20" s="164"/>
      <c r="D20" s="165"/>
      <c r="E20" s="166"/>
      <c r="F20" s="16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3"/>
      <c r="C21" s="164"/>
      <c r="D21" s="165"/>
      <c r="E21" s="166"/>
      <c r="F21" s="16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6" zoomScale="130" zoomScaleNormal="100" zoomScaleSheetLayoutView="130" workbookViewId="0">
      <selection activeCell="K68" sqref="K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2">
        <f>MRS!L3</f>
        <v>46186</v>
      </c>
      <c r="L10" s="123"/>
      <c r="M10" s="123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4" t="str">
        <f>SUBSTITUTE(SUBSTITUTE(+MRS!A3,"  MRS No : ",""),"-MRS","-PO")</f>
        <v>SAC2-DS-PO-0330</v>
      </c>
      <c r="L11" s="124"/>
      <c r="M11" s="124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134</v>
      </c>
    </row>
    <row r="15" spans="2:13" s="38" customFormat="1">
      <c r="B15" s="69"/>
      <c r="C15" s="72" t="s">
        <v>104</v>
      </c>
      <c r="J15" s="38" t="s">
        <v>37</v>
      </c>
      <c r="K15" s="75">
        <v>46183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133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119100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17865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136965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7" t="s">
        <v>116</v>
      </c>
      <c r="F54" s="26" t="s">
        <v>111</v>
      </c>
    </row>
    <row r="55" spans="2:16" ht="12" customHeight="1">
      <c r="B55" s="81" t="s">
        <v>62</v>
      </c>
      <c r="C55" s="117" t="s">
        <v>117</v>
      </c>
      <c r="F55" s="118" t="s">
        <v>112</v>
      </c>
    </row>
    <row r="56" spans="2:16" ht="12" customHeight="1">
      <c r="B56" s="81" t="s">
        <v>62</v>
      </c>
      <c r="C56" s="117" t="s">
        <v>118</v>
      </c>
      <c r="F56" s="26" t="s">
        <v>123</v>
      </c>
    </row>
    <row r="57" spans="2:16" ht="12" customHeight="1">
      <c r="B57" s="81" t="s">
        <v>62</v>
      </c>
      <c r="C57" s="117" t="s">
        <v>119</v>
      </c>
      <c r="F57" s="26" t="s">
        <v>113</v>
      </c>
    </row>
    <row r="58" spans="2:16" ht="12" customHeight="1">
      <c r="B58" s="81" t="s">
        <v>62</v>
      </c>
      <c r="C58" s="117" t="s">
        <v>120</v>
      </c>
      <c r="F58" s="26" t="s">
        <v>114</v>
      </c>
    </row>
    <row r="59" spans="2:16" ht="12" customHeight="1">
      <c r="B59" s="81" t="s">
        <v>62</v>
      </c>
      <c r="C59" s="117" t="s">
        <v>121</v>
      </c>
      <c r="F59" s="26" t="s">
        <v>115</v>
      </c>
    </row>
    <row r="60" spans="2:16" ht="12" customHeight="1">
      <c r="B60" s="81"/>
      <c r="C60" s="117" t="s">
        <v>122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9" t="str">
        <f>C9</f>
        <v>JSAJ(Jassim Saif Amer Aljaberi Trading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5" zoomScaleSheetLayoutView="100" zoomScalePageLayoutView="55" workbookViewId="0">
      <selection activeCell="O9" sqref="O9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SAC2-DS-PO-0330</v>
      </c>
      <c r="C2" s="172" t="s">
        <v>74</v>
      </c>
      <c r="D2" s="172"/>
      <c r="E2" s="172"/>
      <c r="F2" s="172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46186</v>
      </c>
      <c r="C3" s="48"/>
      <c r="D3" s="49"/>
      <c r="E3" s="173" t="s">
        <v>76</v>
      </c>
      <c r="F3" s="173"/>
      <c r="G3" s="173"/>
      <c r="H3" s="173"/>
      <c r="I3" s="50"/>
    </row>
    <row r="4" spans="1:13" s="52" customFormat="1" ht="28.5" customHeight="1" thickTop="1">
      <c r="A4" s="174" t="s">
        <v>77</v>
      </c>
      <c r="B4" s="176" t="s">
        <v>78</v>
      </c>
      <c r="C4" s="177"/>
      <c r="D4" s="180" t="s">
        <v>79</v>
      </c>
      <c r="E4" s="180" t="s">
        <v>80</v>
      </c>
      <c r="F4" s="182" t="str">
        <f>'PO 1st page'!C9</f>
        <v>JSAJ(Jassim Saif Amer Aljaberi Trading Est.)</v>
      </c>
      <c r="G4" s="183"/>
      <c r="H4" s="184" t="s">
        <v>81</v>
      </c>
      <c r="K4" s="53"/>
      <c r="L4" s="53"/>
      <c r="M4" s="53"/>
    </row>
    <row r="5" spans="1:13" s="52" customFormat="1" ht="21.95" customHeight="1">
      <c r="A5" s="175"/>
      <c r="B5" s="178"/>
      <c r="C5" s="179"/>
      <c r="D5" s="181"/>
      <c r="E5" s="181"/>
      <c r="F5" s="54" t="s">
        <v>82</v>
      </c>
      <c r="G5" s="54" t="s">
        <v>48</v>
      </c>
      <c r="H5" s="185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0" t="str">
        <f>MRS!B6&amp;" "&amp;MRS!D6</f>
        <v>Welding Rod  E7018-1 H4R 2.6mm S-7018.1H Vac-Pack Hyundai Korea</v>
      </c>
      <c r="C6" s="171"/>
      <c r="D6" s="83" t="str">
        <f>MRS!G6</f>
        <v>KG</v>
      </c>
      <c r="E6" s="84">
        <f>MRS!H6</f>
        <v>2500</v>
      </c>
      <c r="F6" s="85">
        <f>+'MRS LIST'!I6</f>
        <v>19</v>
      </c>
      <c r="G6" s="86">
        <f>+'MRS LIST'!J6</f>
        <v>47500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>Welding Rod  E7018-1 H4R 4.0mm S-7018.1H Vac-Pack Hyundai Korea</v>
      </c>
      <c r="C7" s="171"/>
      <c r="D7" s="83" t="str">
        <f>MRS!G7</f>
        <v>KG</v>
      </c>
      <c r="E7" s="84">
        <f>MRS!H7</f>
        <v>20</v>
      </c>
      <c r="F7" s="85">
        <f>+'MRS LIST'!I7</f>
        <v>17</v>
      </c>
      <c r="G7" s="86">
        <f>+'MRS LIST'!J7</f>
        <v>340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0" t="str">
        <f>MRS!B8&amp;" "&amp;MRS!D8</f>
        <v>Welding Rod  ER70S-3 2.4mm ST-50.3 Hyundai Korea</v>
      </c>
      <c r="C8" s="171"/>
      <c r="D8" s="83" t="str">
        <f>MRS!G8</f>
        <v>KG</v>
      </c>
      <c r="E8" s="84">
        <f>MRS!H8</f>
        <v>1000</v>
      </c>
      <c r="F8" s="85">
        <f>+'MRS LIST'!I8</f>
        <v>15.7</v>
      </c>
      <c r="G8" s="86">
        <f>+'MRS LIST'!J8</f>
        <v>15700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0" t="str">
        <f>MRS!B9&amp;" "&amp;MRS!D9</f>
        <v>Welding Rod  ER316L 2.4mm ST-316L Hyundai Korea</v>
      </c>
      <c r="C9" s="171"/>
      <c r="D9" s="83" t="str">
        <f>MRS!G9</f>
        <v>KG</v>
      </c>
      <c r="E9" s="84">
        <f>MRS!H9</f>
        <v>240</v>
      </c>
      <c r="F9" s="85">
        <f>+'MRS LIST'!I9</f>
        <v>79</v>
      </c>
      <c r="G9" s="86">
        <f>+'MRS LIST'!J9</f>
        <v>18960</v>
      </c>
      <c r="H9" s="91"/>
    </row>
    <row r="10" spans="1:13" s="52" customFormat="1" ht="32.1" customHeight="1">
      <c r="A10" s="90">
        <f t="shared" si="0"/>
        <v>5</v>
      </c>
      <c r="B10" s="170" t="str">
        <f>MRS!B10&amp;" "&amp;MRS!D10</f>
        <v>Welding Rod  ER316L 2.0mm ST-316L Hyundai Korea</v>
      </c>
      <c r="C10" s="171"/>
      <c r="D10" s="83" t="str">
        <f>MRS!G10</f>
        <v>KG</v>
      </c>
      <c r="E10" s="84">
        <f>MRS!H10</f>
        <v>260</v>
      </c>
      <c r="F10" s="85">
        <f>+'MRS LIST'!I10</f>
        <v>80</v>
      </c>
      <c r="G10" s="86">
        <f>+'MRS LIST'!J10</f>
        <v>20800</v>
      </c>
      <c r="H10" s="91"/>
    </row>
    <row r="11" spans="1:13" s="52" customFormat="1" ht="32.1" customHeight="1">
      <c r="A11" s="90">
        <f t="shared" si="0"/>
        <v>6</v>
      </c>
      <c r="B11" s="170" t="str">
        <f>MRS!B11&amp;" "&amp;MRS!D11</f>
        <v>Welding Rod  ER316L 1.6mm ST-316L Hyundai Korea</v>
      </c>
      <c r="C11" s="171"/>
      <c r="D11" s="83" t="str">
        <f>MRS!G11</f>
        <v>KG</v>
      </c>
      <c r="E11" s="84">
        <f>MRS!H11</f>
        <v>200</v>
      </c>
      <c r="F11" s="85">
        <f>+'MRS LIST'!I11</f>
        <v>79</v>
      </c>
      <c r="G11" s="86">
        <f>+'MRS LIST'!J11</f>
        <v>15800</v>
      </c>
      <c r="H11" s="91"/>
    </row>
    <row r="12" spans="1:13" s="52" customFormat="1" ht="32.1" customHeight="1">
      <c r="A12" s="90">
        <f t="shared" si="0"/>
        <v>7</v>
      </c>
      <c r="B12" s="170" t="str">
        <f>MRS!B12&amp;" "&amp;MRS!D12</f>
        <v xml:space="preserve"> </v>
      </c>
      <c r="C12" s="171"/>
      <c r="D12" s="83"/>
      <c r="E12" s="84"/>
      <c r="F12" s="85">
        <f>+'MRS LIST'!I12</f>
        <v>0</v>
      </c>
      <c r="G12" s="86">
        <f>+'MRS LIST'!J12</f>
        <v>0</v>
      </c>
      <c r="H12" s="91"/>
    </row>
    <row r="13" spans="1:13" s="52" customFormat="1" ht="32.1" customHeight="1">
      <c r="A13" s="90">
        <f t="shared" si="0"/>
        <v>8</v>
      </c>
      <c r="B13" s="170"/>
      <c r="C13" s="171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0"/>
      <c r="C14" s="171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0"/>
      <c r="C15" s="171"/>
      <c r="D15" s="83"/>
      <c r="E15" s="84"/>
      <c r="F15" s="85"/>
      <c r="G15" s="86"/>
      <c r="H15" s="91"/>
    </row>
    <row r="16" spans="1:13" s="52" customFormat="1" ht="32.1" customHeight="1">
      <c r="A16" s="90"/>
      <c r="B16" s="170"/>
      <c r="C16" s="171"/>
      <c r="D16" s="83"/>
      <c r="E16" s="84"/>
      <c r="F16" s="85"/>
      <c r="G16" s="86"/>
      <c r="H16" s="91"/>
    </row>
    <row r="17" spans="1:13" s="52" customFormat="1" ht="32.1" customHeight="1">
      <c r="A17" s="90"/>
      <c r="B17" s="170"/>
      <c r="C17" s="171"/>
      <c r="D17" s="83"/>
      <c r="E17" s="84"/>
      <c r="F17" s="85"/>
      <c r="G17" s="86"/>
      <c r="H17" s="91"/>
    </row>
    <row r="18" spans="1:13" s="52" customFormat="1" ht="32.1" customHeight="1">
      <c r="A18" s="90"/>
      <c r="B18" s="170"/>
      <c r="C18" s="171"/>
      <c r="D18" s="83"/>
      <c r="E18" s="84"/>
      <c r="F18" s="85"/>
      <c r="G18" s="86"/>
      <c r="H18" s="91"/>
    </row>
    <row r="19" spans="1:13" s="52" customFormat="1" ht="32.1" customHeight="1">
      <c r="A19" s="90"/>
      <c r="B19" s="170"/>
      <c r="C19" s="171"/>
      <c r="D19" s="83"/>
      <c r="E19" s="84"/>
      <c r="F19" s="85"/>
      <c r="G19" s="86"/>
      <c r="H19" s="91"/>
    </row>
    <row r="20" spans="1:13" s="52" customFormat="1" ht="32.1" customHeight="1">
      <c r="A20" s="90"/>
      <c r="B20" s="170"/>
      <c r="C20" s="171"/>
      <c r="D20" s="83"/>
      <c r="E20" s="84"/>
      <c r="F20" s="85"/>
      <c r="G20" s="86"/>
      <c r="H20" s="91"/>
    </row>
    <row r="21" spans="1:13" s="52" customFormat="1" ht="32.1" customHeight="1">
      <c r="A21" s="90"/>
      <c r="B21" s="170"/>
      <c r="C21" s="171"/>
      <c r="D21" s="83"/>
      <c r="E21" s="84"/>
      <c r="F21" s="85"/>
      <c r="G21" s="86"/>
      <c r="H21" s="91"/>
    </row>
    <row r="22" spans="1:13" s="52" customFormat="1" ht="23.1" customHeight="1">
      <c r="A22" s="186" t="s">
        <v>83</v>
      </c>
      <c r="B22" s="187"/>
      <c r="C22" s="187"/>
      <c r="D22" s="187"/>
      <c r="E22" s="187"/>
      <c r="F22" s="187"/>
      <c r="G22" s="55">
        <f>SUM(G6:G21)</f>
        <v>119100</v>
      </c>
      <c r="H22" s="56"/>
    </row>
    <row r="23" spans="1:13" s="52" customFormat="1" ht="23.1" customHeight="1">
      <c r="A23" s="186" t="s">
        <v>47</v>
      </c>
      <c r="B23" s="187"/>
      <c r="C23" s="187"/>
      <c r="D23" s="187"/>
      <c r="E23" s="187"/>
      <c r="F23" s="187"/>
      <c r="G23" s="55">
        <f>+G22*0.15</f>
        <v>17865</v>
      </c>
      <c r="H23" s="56"/>
    </row>
    <row r="24" spans="1:13" s="52" customFormat="1" ht="24.95" customHeight="1" thickBot="1">
      <c r="A24" s="188" t="s">
        <v>84</v>
      </c>
      <c r="B24" s="189"/>
      <c r="C24" s="189"/>
      <c r="D24" s="189"/>
      <c r="E24" s="189"/>
      <c r="F24" s="189"/>
      <c r="G24" s="57">
        <f>G23+G22</f>
        <v>136965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Q-20263208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2026-06-13T04:05:55Z</cp:lastPrinted>
  <dcterms:created xsi:type="dcterms:W3CDTF">2024-10-20T11:50:19Z</dcterms:created>
  <dcterms:modified xsi:type="dcterms:W3CDTF">2026-08-03T14:36:01Z</dcterms:modified>
</cp:coreProperties>
</file>