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2F9F6AA2-6077-4080-8F95-9533CBFB535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5" r:id="rId1"/>
    <sheet name="MRS LIST" sheetId="2" r:id="rId2"/>
    <sheet name="PO 1st page" sheetId="3" r:id="rId3"/>
    <sheet name="PO 2nd page" sheetId="4" r:id="rId4"/>
  </sheets>
  <externalReferences>
    <externalReference r:id="rId5"/>
    <externalReference r:id="rId6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E6" i="4"/>
  <c r="F6" i="4"/>
  <c r="G6" i="4"/>
  <c r="D6" i="4"/>
  <c r="B6" i="4"/>
  <c r="C26" i="3"/>
  <c r="K11" i="3"/>
  <c r="K10" i="3"/>
  <c r="J6" i="5"/>
  <c r="E3" i="5"/>
  <c r="A6" i="5"/>
  <c r="A7" i="5"/>
  <c r="A8" i="5"/>
  <c r="A9" i="5"/>
  <c r="A10" i="5"/>
  <c r="A11" i="5"/>
  <c r="J11" i="5"/>
  <c r="J16" i="5" s="1"/>
  <c r="A12" i="5"/>
  <c r="A13" i="5"/>
  <c r="A14" i="5"/>
  <c r="A15" i="5"/>
  <c r="P54" i="3" l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67" i="3"/>
  <c r="H7" i="2"/>
  <c r="G7" i="2"/>
  <c r="D7" i="2"/>
  <c r="B7" i="2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B2" i="4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6" i="2" l="1"/>
  <c r="G18" i="4" s="1"/>
  <c r="G19" i="4" l="1"/>
  <c r="G20" i="4" l="1"/>
</calcChain>
</file>

<file path=xl/sharedStrings.xml><?xml version="1.0" encoding="utf-8"?>
<sst xmlns="http://schemas.openxmlformats.org/spreadsheetml/2006/main" count="166" uniqueCount="136">
  <si>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</si>
  <si>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</si>
  <si>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</si>
  <si>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</si>
  <si>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</si>
  <si>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</si>
  <si>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</si>
  <si>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</si>
  <si>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</si>
  <si>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</si>
  <si>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</si>
  <si>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</si>
  <si>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</si>
  <si>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</si>
  <si>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</si>
  <si>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</si>
  <si>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</si>
  <si>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</si>
  <si>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</si>
  <si>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</si>
  <si>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</si>
  <si>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</si>
  <si>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</si>
  <si>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</si>
  <si>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</si>
  <si>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</si>
  <si>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</si>
  <si>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</si>
  <si>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</si>
  <si>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</si>
  <si>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</si>
  <si>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</si>
  <si>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</si>
  <si>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</si>
  <si>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</si>
  <si>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</si>
  <si>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</si>
  <si>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</si>
  <si>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</si>
  <si>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</si>
  <si>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</si>
  <si>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</si>
  <si>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</si>
  <si>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</si>
  <si>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</si>
  <si>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</si>
  <si>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</si>
  <si>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</si>
  <si>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</si>
  <si>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</si>
  <si>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</si>
  <si>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</si>
  <si>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</si>
  <si>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</si>
  <si>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</si>
  <si>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</si>
  <si>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</si>
  <si>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</si>
  <si>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</si>
  <si>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</si>
  <si>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</si>
  <si>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</si>
  <si>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</si>
  <si>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</si>
  <si>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</si>
  <si>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</si>
  <si>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</si>
  <si>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</si>
  <si>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</si>
  <si>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</si>
  <si>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</si>
  <si>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</si>
  <si>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</si>
  <si>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</si>
  <si>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</si>
  <si>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</si>
  <si>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</si>
  <si>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</si>
  <si>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</si>
  <si>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</si>
  <si>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</si>
  <si>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</si>
  <si>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</si>
  <si>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</si>
  <si>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</si>
  <si>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</si>
  <si>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</si>
  <si>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</si>
  <si>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</si>
  <si>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</si>
  <si>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</si>
  <si>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</si>
  <si>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</si>
  <si>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</si>
  <si>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ZEAL TECH</t>
  </si>
  <si>
    <t>ZEAL (Zeal Tech Gen. Contracting Est.)</t>
  </si>
  <si>
    <t>2055130456</t>
  </si>
  <si>
    <t>Mohammed Riyaz</t>
  </si>
  <si>
    <t>Mobile No. +966 58 0089955 / email: info@zealtechksa.com</t>
  </si>
  <si>
    <t>Mobile: +966 58 0089955</t>
  </si>
  <si>
    <t>Al-Amir Naif Street - Jubail City Center, Al-Jubail 35514-6599 KSA</t>
  </si>
  <si>
    <t>Business Coordinator</t>
  </si>
  <si>
    <t>311083780900003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</si>
  <si>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</si>
  <si>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</si>
  <si>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</si>
  <si>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</si>
  <si>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</si>
  <si>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</si>
  <si>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</si>
  <si>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</si>
  <si>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</si>
  <si>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ZEAL TECH GEN. CONTRACTING EST.</t>
  </si>
  <si>
    <t>01400008660300</t>
  </si>
  <si>
    <t>THE SAUDI NATIONAL BANK</t>
  </si>
  <si>
    <t>NCBKSAJE</t>
  </si>
  <si>
    <t>SA89 1000 0001 4000 0866 0300</t>
  </si>
  <si>
    <t>Light Driver</t>
  </si>
  <si>
    <t>Hour</t>
  </si>
  <si>
    <t>Monthly Based</t>
  </si>
  <si>
    <t>ZT/QT/616-25</t>
  </si>
  <si>
    <t>ADM</t>
    <phoneticPr fontId="13" type="noConversion"/>
  </si>
  <si>
    <t>HEC</t>
    <phoneticPr fontId="13" type="noConversion"/>
  </si>
  <si>
    <t>Manager</t>
    <phoneticPr fontId="8" type="noConversion"/>
  </si>
  <si>
    <t>In Charge</t>
    <phoneticPr fontId="8" type="noConversion"/>
  </si>
  <si>
    <t>Account</t>
    <phoneticPr fontId="8" type="noConversion"/>
  </si>
  <si>
    <t>Subcon(PC)</t>
    <phoneticPr fontId="8" type="noConversion"/>
  </si>
  <si>
    <t>Construction</t>
    <phoneticPr fontId="8" type="noConversion"/>
  </si>
  <si>
    <t>PM</t>
    <phoneticPr fontId="8" type="noConversion"/>
  </si>
  <si>
    <t>PCM</t>
    <phoneticPr fontId="8" type="noConversion"/>
  </si>
  <si>
    <t>ADM</t>
    <phoneticPr fontId="8" type="noConversion"/>
  </si>
  <si>
    <t>HDEC</t>
    <phoneticPr fontId="8" type="noConversion"/>
  </si>
  <si>
    <t>SUB-CON</t>
    <phoneticPr fontId="8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</si>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</sst>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1"/>
      <color rgb="FF0000FF"/>
      <name val="Arial"/>
      <family val="2"/>
    </font>
    <font>
      <sz val="16"/>
      <name val="Arial"/>
      <family val="2"/>
    </font>
    <font>
      <b/>
      <sz val="11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9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1" fillId="3" borderId="0" xfId="5" applyFont="1" applyFill="1"/>
    <xf numFmtId="0" fontId="18" fillId="3" borderId="0" xfId="5" quotePrefix="1" applyFont="1" applyFill="1"/>
    <xf numFmtId="0" fontId="6" fillId="2" borderId="21" xfId="1" applyFont="1" applyFill="1" applyBorder="1" applyAlignment="1">
      <alignment horizontal="center" vertical="center"/>
    </xf>
    <xf numFmtId="170" fontId="52" fillId="0" borderId="7" xfId="3" applyNumberFormat="1" applyFont="1" applyBorder="1" applyAlignment="1">
      <alignment horizontal="right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46" xfId="0" applyFont="1" applyFill="1" applyBorder="1">
      <alignment vertical="center"/>
    </xf>
    <xf numFmtId="0" fontId="13" fillId="3" borderId="0" xfId="0" applyFont="1" applyFill="1">
      <alignment vertical="center"/>
    </xf>
    <xf numFmtId="0" fontId="13" fillId="3" borderId="12" xfId="0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3" fillId="2" borderId="8" xfId="27" applyNumberFormat="1" applyFont="1" applyFill="1" applyBorder="1" applyAlignment="1">
      <alignment horizontal="center" vertical="center" wrapText="1"/>
    </xf>
    <xf numFmtId="0" fontId="53" fillId="0" borderId="8" xfId="0" quotePrefix="1" applyFont="1" applyBorder="1" applyAlignment="1">
      <alignment horizontal="left" vertical="center" wrapText="1"/>
    </xf>
    <xf numFmtId="0" fontId="10" fillId="0" borderId="0" xfId="28" applyFont="1" applyAlignment="1">
      <alignment vertical="center"/>
    </xf>
    <xf numFmtId="0" fontId="54" fillId="0" borderId="0" xfId="28" applyFont="1" applyAlignment="1">
      <alignment vertical="center"/>
    </xf>
    <xf numFmtId="0" fontId="55" fillId="2" borderId="0" xfId="1" applyFont="1" applyFill="1" applyAlignment="1">
      <alignment vertical="center"/>
    </xf>
  </cellXfs>
  <cellStyles count="29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[0] 2 2 5" xfId="27" xr:uid="{05DF428D-2BA2-45B2-A2D7-58524AD47A8A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2 5" xfId="28" xr:uid="{CEDFDDCE-ADF8-49E8-95A4-FC5F5338BF65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746459</xdr:colOff>
          <xdr:row>17</xdr:row>
          <xdr:rowOff>65672</xdr:rowOff>
        </xdr:from>
        <xdr:ext cx="8422105" cy="2336132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31E7373-DFBE-46E0-B754-6B336D2B0B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51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8538" y="5048751"/>
              <a:ext cx="8422105" cy="233613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ESHIN%20FILES%20PHASE%20II\Richard\phase%202%20files\1.%20Request%20for%20Purchase%20Order\SAC2-DS-MRS-0479%20-%20SKILLS.xlsx" TargetMode="External"/><Relationship Id="rId1" Type="http://schemas.openxmlformats.org/officeDocument/2006/relationships/externalLinkPath" Target="SAC2-DS-MRS-0479%20-%20SKIL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RS"/>
      <sheetName val="MRS LIST"/>
      <sheetName val="PO 1st page"/>
      <sheetName val="PO 2nd pag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B56-AE3F-4B7D-9368-AFF7565B1A22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216" t="s">
        <v>134</v>
      </c>
      <c r="B1" s="215"/>
      <c r="C1" s="214"/>
      <c r="D1" s="214"/>
      <c r="E1" s="214"/>
      <c r="F1" s="214"/>
      <c r="G1" s="1"/>
      <c r="J1" s="135" t="s">
        <v>81</v>
      </c>
      <c r="K1" s="136"/>
      <c r="L1" s="137"/>
    </row>
    <row r="2" spans="1:19" ht="20.100000000000001" customHeight="1">
      <c r="A2" s="3" t="s">
        <v>1</v>
      </c>
      <c r="B2" s="95"/>
      <c r="C2" s="95"/>
      <c r="D2" s="3" t="s">
        <v>133</v>
      </c>
      <c r="E2" s="95"/>
      <c r="F2" s="95"/>
      <c r="G2" s="95"/>
      <c r="H2" s="95"/>
      <c r="I2" s="4"/>
      <c r="J2" s="138" t="s">
        <v>88</v>
      </c>
      <c r="K2" s="139"/>
      <c r="L2" s="140"/>
    </row>
    <row r="3" spans="1:19" ht="20.100000000000001" customHeight="1">
      <c r="A3" s="3" t="s">
        <v>135</v>
      </c>
      <c r="B3" s="95"/>
      <c r="C3" s="95"/>
      <c r="D3" s="95"/>
      <c r="E3" s="141">
        <f>+L3+3</f>
        <v>46299</v>
      </c>
      <c r="F3" s="141"/>
      <c r="G3" s="141"/>
      <c r="H3" s="141"/>
      <c r="I3" s="141"/>
      <c r="J3" s="95"/>
      <c r="K3" s="95"/>
      <c r="L3" s="120">
        <v>46296</v>
      </c>
      <c r="M3" s="4"/>
    </row>
    <row r="4" spans="1:19" ht="15.95" customHeight="1">
      <c r="A4" s="142" t="s">
        <v>2</v>
      </c>
      <c r="B4" s="143" t="s">
        <v>3</v>
      </c>
      <c r="C4" s="143"/>
      <c r="D4" s="144" t="s">
        <v>4</v>
      </c>
      <c r="E4" s="145"/>
      <c r="F4" s="146"/>
      <c r="G4" s="150" t="s">
        <v>5</v>
      </c>
      <c r="H4" s="152" t="s">
        <v>6</v>
      </c>
      <c r="I4" s="152" t="s">
        <v>85</v>
      </c>
      <c r="J4" s="142" t="s">
        <v>86</v>
      </c>
      <c r="K4" s="152" t="s">
        <v>0</v>
      </c>
      <c r="L4" s="143" t="s">
        <v>7</v>
      </c>
    </row>
    <row r="5" spans="1:19" ht="15.95" customHeight="1">
      <c r="A5" s="142"/>
      <c r="B5" s="143"/>
      <c r="C5" s="143"/>
      <c r="D5" s="147"/>
      <c r="E5" s="148"/>
      <c r="F5" s="149"/>
      <c r="G5" s="151"/>
      <c r="H5" s="153"/>
      <c r="I5" s="153"/>
      <c r="J5" s="142"/>
      <c r="K5" s="153"/>
      <c r="L5" s="143"/>
    </row>
    <row r="6" spans="1:19" ht="22.5" customHeight="1">
      <c r="A6" s="212">
        <f>ROW(A1)</f>
        <v>1</v>
      </c>
      <c r="B6" s="125" t="s">
        <v>117</v>
      </c>
      <c r="C6" s="126"/>
      <c r="D6" s="127"/>
      <c r="E6" s="128"/>
      <c r="F6" s="129"/>
      <c r="G6" s="104" t="s">
        <v>118</v>
      </c>
      <c r="H6" s="105">
        <v>1</v>
      </c>
      <c r="I6" s="106">
        <v>15</v>
      </c>
      <c r="J6" s="106">
        <f>I6*H6</f>
        <v>15</v>
      </c>
      <c r="K6" s="107" t="s">
        <v>94</v>
      </c>
      <c r="L6" s="108" t="s">
        <v>119</v>
      </c>
      <c r="S6" s="100"/>
    </row>
    <row r="7" spans="1:19" ht="22.5" customHeight="1">
      <c r="A7" s="212">
        <f>ROW(A2)</f>
        <v>2</v>
      </c>
      <c r="B7" s="125"/>
      <c r="C7" s="126"/>
      <c r="D7" s="127"/>
      <c r="E7" s="128"/>
      <c r="F7" s="129"/>
      <c r="G7" s="104"/>
      <c r="H7" s="105"/>
      <c r="I7" s="106"/>
      <c r="J7" s="106"/>
      <c r="K7" s="107"/>
      <c r="L7" s="213"/>
      <c r="S7" s="100"/>
    </row>
    <row r="8" spans="1:19" ht="22.5" customHeight="1">
      <c r="A8" s="212">
        <f>ROW(A3)</f>
        <v>3</v>
      </c>
      <c r="B8" s="125"/>
      <c r="C8" s="126"/>
      <c r="D8" s="127"/>
      <c r="E8" s="128"/>
      <c r="F8" s="129"/>
      <c r="G8" s="104"/>
      <c r="H8" s="105"/>
      <c r="I8" s="106"/>
      <c r="J8" s="106"/>
      <c r="K8" s="107"/>
      <c r="L8" s="108"/>
      <c r="P8" s="2" t="s">
        <v>90</v>
      </c>
      <c r="S8" s="100"/>
    </row>
    <row r="9" spans="1:19" ht="22.5" customHeight="1">
      <c r="A9" s="212">
        <f>ROW(A4)</f>
        <v>4</v>
      </c>
      <c r="B9" s="125"/>
      <c r="C9" s="126"/>
      <c r="D9" s="127"/>
      <c r="E9" s="128"/>
      <c r="F9" s="129"/>
      <c r="G9" s="104"/>
      <c r="H9" s="105"/>
      <c r="I9" s="106"/>
      <c r="J9" s="106"/>
      <c r="K9" s="107"/>
      <c r="L9" s="108"/>
      <c r="S9" s="100"/>
    </row>
    <row r="10" spans="1:19" ht="22.5" customHeight="1">
      <c r="A10" s="212">
        <f>ROW(A5)</f>
        <v>5</v>
      </c>
      <c r="B10" s="133"/>
      <c r="C10" s="133"/>
      <c r="D10" s="134"/>
      <c r="E10" s="134"/>
      <c r="F10" s="134"/>
      <c r="G10" s="104"/>
      <c r="H10" s="105"/>
      <c r="I10" s="109"/>
      <c r="J10" s="106"/>
      <c r="K10" s="107"/>
      <c r="L10" s="104"/>
      <c r="S10" s="100"/>
    </row>
    <row r="11" spans="1:19" ht="22.5" customHeight="1">
      <c r="A11" s="212">
        <f>ROW(A6)</f>
        <v>6</v>
      </c>
      <c r="B11" s="125"/>
      <c r="C11" s="126"/>
      <c r="D11" s="127"/>
      <c r="E11" s="128"/>
      <c r="F11" s="129"/>
      <c r="G11" s="104"/>
      <c r="H11" s="105"/>
      <c r="I11" s="106"/>
      <c r="J11" s="106">
        <f>H11*I11</f>
        <v>0</v>
      </c>
      <c r="K11" s="107"/>
      <c r="L11" s="108"/>
      <c r="S11" s="100"/>
    </row>
    <row r="12" spans="1:19" ht="22.5" customHeight="1">
      <c r="A12" s="212">
        <f>ROW(A7)</f>
        <v>7</v>
      </c>
      <c r="B12" s="133"/>
      <c r="C12" s="133"/>
      <c r="D12" s="134"/>
      <c r="E12" s="134"/>
      <c r="F12" s="134"/>
      <c r="G12" s="104"/>
      <c r="H12" s="105"/>
      <c r="I12" s="109"/>
      <c r="J12" s="106"/>
      <c r="K12" s="107"/>
      <c r="L12" s="104"/>
      <c r="S12" s="100"/>
    </row>
    <row r="13" spans="1:19" ht="22.5" customHeight="1">
      <c r="A13" s="212">
        <f>ROW(A8)</f>
        <v>8</v>
      </c>
      <c r="B13" s="125"/>
      <c r="C13" s="126"/>
      <c r="D13" s="127"/>
      <c r="E13" s="128"/>
      <c r="F13" s="129"/>
      <c r="G13" s="104"/>
      <c r="H13" s="105"/>
      <c r="I13" s="106"/>
      <c r="J13" s="106"/>
      <c r="K13" s="107"/>
      <c r="L13" s="108"/>
      <c r="S13" s="100"/>
    </row>
    <row r="14" spans="1:19" ht="22.5" customHeight="1">
      <c r="A14" s="212">
        <f>ROW(A9)</f>
        <v>9</v>
      </c>
      <c r="B14" s="125"/>
      <c r="C14" s="126"/>
      <c r="D14" s="127"/>
      <c r="E14" s="128"/>
      <c r="F14" s="129"/>
      <c r="G14" s="104"/>
      <c r="H14" s="105"/>
      <c r="I14" s="106"/>
      <c r="J14" s="106"/>
      <c r="K14" s="107"/>
      <c r="L14" s="108"/>
      <c r="S14" s="100"/>
    </row>
    <row r="15" spans="1:19" ht="22.5" customHeight="1">
      <c r="A15" s="212">
        <f>ROW(A10)</f>
        <v>10</v>
      </c>
      <c r="B15" s="125"/>
      <c r="C15" s="126"/>
      <c r="D15" s="127"/>
      <c r="E15" s="128"/>
      <c r="F15" s="129"/>
      <c r="G15" s="104"/>
      <c r="H15" s="105"/>
      <c r="I15" s="106"/>
      <c r="J15" s="106"/>
      <c r="K15" s="107"/>
      <c r="L15" s="108"/>
      <c r="S15" s="100"/>
    </row>
    <row r="16" spans="1:19" ht="22.5" customHeight="1">
      <c r="A16" s="130" t="s">
        <v>8</v>
      </c>
      <c r="B16" s="131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15</v>
      </c>
      <c r="K16" s="106"/>
      <c r="L16" s="114"/>
    </row>
    <row r="17" spans="1:26" ht="20.100000000000001" customHeight="1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 spans="1:26" ht="18" customHeight="1">
      <c r="A18" s="9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211"/>
      <c r="Z18" s="10"/>
    </row>
    <row r="19" spans="1:26" ht="50.1" customHeight="1">
      <c r="Y19" s="210"/>
    </row>
    <row r="20" spans="1:26" ht="15" customHeight="1">
      <c r="O20" s="205" t="s">
        <v>132</v>
      </c>
      <c r="P20" s="209"/>
      <c r="Q20" s="209"/>
      <c r="R20" s="204"/>
      <c r="S20" s="119"/>
      <c r="T20" s="205" t="s">
        <v>131</v>
      </c>
      <c r="U20" s="209"/>
      <c r="V20" s="209"/>
      <c r="W20" s="209"/>
      <c r="X20" s="209"/>
      <c r="Y20" s="204"/>
    </row>
    <row r="21" spans="1:26" ht="15" customHeight="1">
      <c r="O21" s="132" t="s">
        <v>124</v>
      </c>
      <c r="P21" s="121" t="s">
        <v>130</v>
      </c>
      <c r="Q21" s="132" t="s">
        <v>129</v>
      </c>
      <c r="R21" s="121" t="s">
        <v>128</v>
      </c>
      <c r="S21" s="119"/>
      <c r="T21" s="132" t="s">
        <v>127</v>
      </c>
      <c r="U21" s="121" t="s">
        <v>126</v>
      </c>
      <c r="V21" s="205" t="s">
        <v>125</v>
      </c>
      <c r="W21" s="209"/>
      <c r="X21" s="204"/>
      <c r="Y21" s="121" t="s">
        <v>121</v>
      </c>
    </row>
    <row r="22" spans="1:26" ht="18" customHeight="1">
      <c r="O22" s="122"/>
      <c r="P22" s="123"/>
      <c r="Q22" s="122"/>
      <c r="R22" s="123"/>
      <c r="S22" s="208"/>
      <c r="T22" s="122"/>
      <c r="U22" s="123"/>
      <c r="V22" s="12" t="s">
        <v>124</v>
      </c>
      <c r="W22" s="207" t="s">
        <v>123</v>
      </c>
      <c r="X22" s="206"/>
      <c r="Y22" s="123"/>
    </row>
    <row r="23" spans="1:26" ht="50.1" customHeight="1">
      <c r="O23" s="13"/>
      <c r="P23" s="13"/>
      <c r="Q23" s="13"/>
      <c r="R23" s="13"/>
      <c r="S23" s="119"/>
      <c r="T23" s="13"/>
      <c r="U23" s="13"/>
      <c r="V23" s="13"/>
      <c r="W23" s="205"/>
      <c r="X23" s="204"/>
      <c r="Y23" s="203"/>
    </row>
    <row r="24" spans="1:26" ht="36" customHeight="1">
      <c r="W24" s="202"/>
      <c r="X24" s="201" t="s">
        <v>122</v>
      </c>
      <c r="Y24" s="11" t="s">
        <v>121</v>
      </c>
    </row>
    <row r="25" spans="1:26" ht="50.1" customHeight="1">
      <c r="O25" s="200"/>
      <c r="P25" s="200"/>
      <c r="Q25" s="200"/>
      <c r="R25" s="200"/>
      <c r="S25" s="200"/>
      <c r="T25" s="200"/>
      <c r="U25" s="200"/>
      <c r="V25" s="200"/>
      <c r="W25" s="199"/>
      <c r="X25" s="198"/>
      <c r="Y25" s="197"/>
    </row>
    <row r="26" spans="1:26" ht="19.899999999999999" customHeight="1"/>
    <row r="27" spans="1:26" ht="17.45" customHeight="1">
      <c r="O27" s="124"/>
      <c r="P27" s="124"/>
      <c r="Q27" s="124"/>
    </row>
    <row r="28" spans="1:26" ht="19.899999999999999" customHeight="1">
      <c r="O28" s="124"/>
      <c r="P28" s="124"/>
      <c r="Q28" s="124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1" t="s">
        <v>12</v>
      </c>
    </row>
    <row r="41" spans="15:22" ht="19.899999999999999" customHeight="1">
      <c r="T41" s="123"/>
    </row>
    <row r="42" spans="15:22" ht="64.900000000000006" customHeight="1">
      <c r="T42" s="13"/>
    </row>
    <row r="46" spans="15:22" ht="21" customHeight="1">
      <c r="O46" s="121" t="s">
        <v>12</v>
      </c>
      <c r="P46" s="121" t="s">
        <v>12</v>
      </c>
      <c r="Q46" s="121" t="s">
        <v>12</v>
      </c>
      <c r="T46" s="121" t="s">
        <v>13</v>
      </c>
      <c r="U46" s="121" t="s">
        <v>11</v>
      </c>
      <c r="V46" s="121" t="s">
        <v>12</v>
      </c>
    </row>
    <row r="47" spans="15:22" ht="21" customHeight="1">
      <c r="O47" s="123"/>
      <c r="P47" s="123"/>
      <c r="Q47" s="123"/>
      <c r="T47" s="122"/>
      <c r="U47" s="122"/>
      <c r="V47" s="123"/>
    </row>
    <row r="48" spans="15:22" ht="64.900000000000006" customHeight="1">
      <c r="O48" s="13"/>
      <c r="P48" s="13"/>
      <c r="Q48" s="13"/>
      <c r="T48" s="13"/>
      <c r="U48" s="14"/>
      <c r="V48" s="13"/>
    </row>
    <row r="49" spans="15:22" ht="7.15" customHeight="1"/>
    <row r="50" spans="15:22" ht="21" customHeight="1">
      <c r="O50" s="121" t="s">
        <v>12</v>
      </c>
      <c r="P50" s="121" t="s">
        <v>12</v>
      </c>
      <c r="Q50" s="121" t="s">
        <v>12</v>
      </c>
      <c r="T50" s="121" t="s">
        <v>11</v>
      </c>
      <c r="U50" s="121" t="s">
        <v>13</v>
      </c>
      <c r="V50" s="121" t="s">
        <v>12</v>
      </c>
    </row>
    <row r="51" spans="15:22" ht="21" customHeight="1">
      <c r="O51" s="123"/>
      <c r="P51" s="123"/>
      <c r="Q51" s="123"/>
      <c r="T51" s="122"/>
      <c r="U51" s="122"/>
      <c r="V51" s="123"/>
    </row>
    <row r="52" spans="15:22" ht="64.900000000000006" customHeight="1">
      <c r="O52" s="13"/>
      <c r="P52" s="13"/>
      <c r="Q52" s="13"/>
      <c r="T52" s="14"/>
      <c r="U52" s="13"/>
      <c r="V52" s="13"/>
    </row>
  </sheetData>
  <mergeCells count="63">
    <mergeCell ref="Y21:Y22"/>
    <mergeCell ref="W22:X22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U46:U47"/>
    <mergeCell ref="V46:V47"/>
    <mergeCell ref="O50:O51"/>
    <mergeCell ref="P50:P51"/>
    <mergeCell ref="Q50:Q51"/>
    <mergeCell ref="T50:T51"/>
    <mergeCell ref="U50:U51"/>
    <mergeCell ref="V50:V51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B14:C14"/>
    <mergeCell ref="D14:F14"/>
    <mergeCell ref="B15:C15"/>
    <mergeCell ref="D15:F15"/>
    <mergeCell ref="A16:B16"/>
    <mergeCell ref="P21:P22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K4:K5"/>
    <mergeCell ref="L4:L5"/>
    <mergeCell ref="B6:C6"/>
    <mergeCell ref="D6:F6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</mergeCells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87</v>
      </c>
      <c r="B1" s="94"/>
      <c r="C1" s="94"/>
      <c r="D1" s="94"/>
      <c r="E1" s="94"/>
      <c r="F1" s="94"/>
      <c r="G1" s="1"/>
      <c r="J1" s="135" t="e">
        <f>+#REF!</f>
        <v>#REF!</v>
      </c>
      <c r="K1" s="137"/>
    </row>
    <row r="2" spans="1:18" ht="24.95" customHeight="1">
      <c r="A2" s="3" t="e">
        <f>+#REF!</f>
        <v>#REF!</v>
      </c>
      <c r="B2" s="95"/>
      <c r="C2" s="95"/>
      <c r="D2" s="3" t="e">
        <f>+#REF!</f>
        <v>#REF!</v>
      </c>
      <c r="E2" s="95"/>
      <c r="F2" s="95"/>
      <c r="G2" s="15"/>
      <c r="H2" s="15"/>
      <c r="I2" s="15"/>
      <c r="J2" s="138" t="e">
        <f>+#REF!</f>
        <v>#REF!</v>
      </c>
      <c r="K2" s="140"/>
    </row>
    <row r="3" spans="1:18" ht="24.95" customHeight="1">
      <c r="A3" s="3" t="e">
        <f>+#REF!</f>
        <v>#REF!</v>
      </c>
      <c r="B3" s="95"/>
      <c r="C3" s="95"/>
      <c r="D3" s="95"/>
      <c r="E3" s="95"/>
      <c r="F3" s="95"/>
      <c r="G3" s="95"/>
      <c r="H3" s="95"/>
      <c r="I3" s="95"/>
      <c r="J3" s="95"/>
      <c r="K3" s="96" t="e">
        <f>+#REF!</f>
        <v>#REF!</v>
      </c>
    </row>
    <row r="4" spans="1:18" ht="15.95" customHeight="1">
      <c r="A4" s="164" t="s">
        <v>2</v>
      </c>
      <c r="B4" s="165" t="s">
        <v>14</v>
      </c>
      <c r="C4" s="165"/>
      <c r="D4" s="164" t="s">
        <v>4</v>
      </c>
      <c r="E4" s="164"/>
      <c r="F4" s="164"/>
      <c r="G4" s="165" t="s">
        <v>5</v>
      </c>
      <c r="H4" s="164" t="s">
        <v>82</v>
      </c>
      <c r="I4" s="164" t="s">
        <v>15</v>
      </c>
      <c r="J4" s="164" t="s">
        <v>16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16" t="e">
        <f>+#REF!</f>
        <v>#REF!</v>
      </c>
      <c r="B6" s="159" t="e">
        <f>#REF!</f>
        <v>#REF!</v>
      </c>
      <c r="C6" s="160"/>
      <c r="D6" s="161" t="e">
        <f>#REF!</f>
        <v>#REF!</v>
      </c>
      <c r="E6" s="162"/>
      <c r="F6" s="163"/>
      <c r="G6" s="97" t="e">
        <f>#REF!</f>
        <v>#REF!</v>
      </c>
      <c r="H6" s="97" t="e">
        <f>#REF!</f>
        <v>#REF!</v>
      </c>
      <c r="I6" s="98" t="e">
        <f>#REF!</f>
        <v>#REF!</v>
      </c>
      <c r="J6" s="98" t="e">
        <f>#REF!</f>
        <v>#REF!</v>
      </c>
      <c r="K6" s="99"/>
      <c r="O6" s="100"/>
      <c r="P6" s="100"/>
      <c r="R6" s="100"/>
    </row>
    <row r="7" spans="1:18" ht="105" customHeight="1">
      <c r="A7" s="16" t="e">
        <f>+#REF!</f>
        <v>#REF!</v>
      </c>
      <c r="B7" s="159" t="e">
        <f>#REF!</f>
        <v>#REF!</v>
      </c>
      <c r="C7" s="160"/>
      <c r="D7" s="161" t="e">
        <f>#REF!</f>
        <v>#REF!</v>
      </c>
      <c r="E7" s="162"/>
      <c r="F7" s="163"/>
      <c r="G7" s="97" t="e">
        <f>#REF!</f>
        <v>#REF!</v>
      </c>
      <c r="H7" s="97" t="e">
        <f>#REF!</f>
        <v>#REF!</v>
      </c>
      <c r="I7" s="98" t="e">
        <f>#REF!</f>
        <v>#REF!</v>
      </c>
      <c r="J7" s="98" t="e">
        <f>#REF!</f>
        <v>#REF!</v>
      </c>
      <c r="K7" s="99"/>
      <c r="O7" s="100"/>
      <c r="P7" s="100"/>
      <c r="R7" s="100"/>
    </row>
    <row r="8" spans="1:18" ht="105" customHeight="1">
      <c r="A8" s="16" t="e">
        <f>+#REF!</f>
        <v>#REF!</v>
      </c>
      <c r="B8" s="159" t="e">
        <f>#REF!</f>
        <v>#REF!</v>
      </c>
      <c r="C8" s="160"/>
      <c r="D8" s="161" t="e">
        <f>#REF!</f>
        <v>#REF!</v>
      </c>
      <c r="E8" s="162"/>
      <c r="F8" s="163"/>
      <c r="G8" s="97" t="e">
        <f>#REF!</f>
        <v>#REF!</v>
      </c>
      <c r="H8" s="97" t="e">
        <f>#REF!</f>
        <v>#REF!</v>
      </c>
      <c r="I8" s="98" t="e">
        <f>#REF!</f>
        <v>#REF!</v>
      </c>
      <c r="J8" s="98" t="e">
        <f>#REF!</f>
        <v>#REF!</v>
      </c>
      <c r="K8" s="99"/>
      <c r="O8" s="100"/>
      <c r="P8" s="100"/>
      <c r="R8" s="100"/>
    </row>
    <row r="9" spans="1:18" ht="105" customHeight="1">
      <c r="A9" s="16" t="e">
        <f>+#REF!</f>
        <v>#REF!</v>
      </c>
      <c r="B9" s="159" t="e">
        <f>#REF!</f>
        <v>#REF!</v>
      </c>
      <c r="C9" s="160"/>
      <c r="D9" s="161" t="e">
        <f>#REF!</f>
        <v>#REF!</v>
      </c>
      <c r="E9" s="162"/>
      <c r="F9" s="163"/>
      <c r="G9" s="97" t="e">
        <f>#REF!</f>
        <v>#REF!</v>
      </c>
      <c r="H9" s="97" t="e">
        <f>#REF!</f>
        <v>#REF!</v>
      </c>
      <c r="I9" s="98" t="e">
        <f>#REF!</f>
        <v>#REF!</v>
      </c>
      <c r="J9" s="98" t="e">
        <f>#REF!</f>
        <v>#REF!</v>
      </c>
      <c r="K9" s="99"/>
      <c r="O9" s="100"/>
      <c r="P9" s="100"/>
      <c r="R9" s="100"/>
    </row>
    <row r="10" spans="1:18" ht="105" customHeight="1">
      <c r="A10" s="16" t="e">
        <f>+#REF!</f>
        <v>#REF!</v>
      </c>
      <c r="B10" s="159" t="e">
        <f>#REF!</f>
        <v>#REF!</v>
      </c>
      <c r="C10" s="160"/>
      <c r="D10" s="161" t="e">
        <f>#REF!</f>
        <v>#REF!</v>
      </c>
      <c r="E10" s="162"/>
      <c r="F10" s="163"/>
      <c r="G10" s="97" t="e">
        <f>#REF!</f>
        <v>#REF!</v>
      </c>
      <c r="H10" s="97" t="e">
        <f>#REF!</f>
        <v>#REF!</v>
      </c>
      <c r="I10" s="98" t="e">
        <f>#REF!</f>
        <v>#REF!</v>
      </c>
      <c r="J10" s="98" t="e">
        <f>#REF!</f>
        <v>#REF!</v>
      </c>
      <c r="K10" s="99"/>
      <c r="O10" s="100"/>
      <c r="P10" s="100"/>
      <c r="R10" s="100"/>
    </row>
    <row r="11" spans="1:18" ht="105" customHeight="1">
      <c r="A11" s="16" t="e">
        <f>+#REF!</f>
        <v>#REF!</v>
      </c>
      <c r="B11" s="159" t="e">
        <f>#REF!</f>
        <v>#REF!</v>
      </c>
      <c r="C11" s="160"/>
      <c r="D11" s="161" t="e">
        <f>#REF!</f>
        <v>#REF!</v>
      </c>
      <c r="E11" s="162"/>
      <c r="F11" s="163"/>
      <c r="G11" s="97" t="e">
        <f>#REF!</f>
        <v>#REF!</v>
      </c>
      <c r="H11" s="97" t="e">
        <f>#REF!</f>
        <v>#REF!</v>
      </c>
      <c r="I11" s="98" t="e">
        <f>#REF!</f>
        <v>#REF!</v>
      </c>
      <c r="J11" s="98" t="e">
        <f>#REF!</f>
        <v>#REF!</v>
      </c>
      <c r="K11" s="99"/>
      <c r="O11" s="100"/>
      <c r="P11" s="100"/>
      <c r="R11" s="100"/>
    </row>
    <row r="12" spans="1:18" ht="105" customHeight="1">
      <c r="A12" s="16" t="e">
        <f>+#REF!</f>
        <v>#REF!</v>
      </c>
      <c r="B12" s="154"/>
      <c r="C12" s="155"/>
      <c r="D12" s="156"/>
      <c r="E12" s="157"/>
      <c r="F12" s="158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16" t="e">
        <f>+#REF!</f>
        <v>#REF!</v>
      </c>
      <c r="B13" s="154"/>
      <c r="C13" s="155"/>
      <c r="D13" s="156"/>
      <c r="E13" s="157"/>
      <c r="F13" s="158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16" t="e">
        <f>+#REF!</f>
        <v>#REF!</v>
      </c>
      <c r="B14" s="154"/>
      <c r="C14" s="155"/>
      <c r="D14" s="156"/>
      <c r="E14" s="157"/>
      <c r="F14" s="158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16" t="e">
        <f>+#REF!</f>
        <v>#REF!</v>
      </c>
      <c r="B15" s="154"/>
      <c r="C15" s="155"/>
      <c r="D15" s="156"/>
      <c r="E15" s="157"/>
      <c r="F15" s="158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16" t="e">
        <f>+#REF!</f>
        <v>#REF!</v>
      </c>
      <c r="B16" s="154"/>
      <c r="C16" s="155"/>
      <c r="D16" s="156"/>
      <c r="E16" s="157"/>
      <c r="F16" s="158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16" t="e">
        <f>+#REF!</f>
        <v>#REF!</v>
      </c>
      <c r="B17" s="154"/>
      <c r="C17" s="155"/>
      <c r="D17" s="156"/>
      <c r="E17" s="157"/>
      <c r="F17" s="158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C27" sqref="C27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92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8" customFormat="1" ht="13.5">
      <c r="B9" s="66" t="s">
        <v>22</v>
      </c>
      <c r="C9" s="67" t="s">
        <v>95</v>
      </c>
      <c r="D9" s="33"/>
      <c r="E9" s="33"/>
    </row>
    <row r="10" spans="2:13" s="33" customFormat="1">
      <c r="B10" s="66"/>
      <c r="C10" s="33" t="s">
        <v>23</v>
      </c>
      <c r="D10" s="70" t="s">
        <v>96</v>
      </c>
      <c r="J10" s="33" t="s">
        <v>24</v>
      </c>
      <c r="K10" s="167">
        <f>MRS!L3</f>
        <v>46296</v>
      </c>
      <c r="L10" s="168"/>
      <c r="M10" s="168"/>
    </row>
    <row r="11" spans="2:13" s="33" customFormat="1">
      <c r="B11" s="66"/>
      <c r="C11" s="69" t="s">
        <v>25</v>
      </c>
      <c r="D11" s="70" t="s">
        <v>102</v>
      </c>
      <c r="J11" s="33" t="s">
        <v>26</v>
      </c>
      <c r="K11" s="169" t="str">
        <f>SUBSTITUTE(SUBSTITUTE(+MRS!A3,"  MRS No : ",""),"-MRS","-PO")</f>
        <v xml:space="preserve"> SAC2-DS-PO-0480</v>
      </c>
      <c r="L11" s="169"/>
      <c r="M11" s="169"/>
    </row>
    <row r="12" spans="2:13" s="33" customFormat="1">
      <c r="B12" s="66"/>
      <c r="C12" s="69" t="s">
        <v>27</v>
      </c>
      <c r="D12" s="33" t="s">
        <v>97</v>
      </c>
      <c r="J12" s="33" t="s">
        <v>28</v>
      </c>
    </row>
    <row r="13" spans="2:13" s="33" customFormat="1">
      <c r="B13" s="66"/>
      <c r="C13" s="71"/>
      <c r="D13" s="70" t="s">
        <v>98</v>
      </c>
      <c r="J13" s="33" t="s">
        <v>29</v>
      </c>
    </row>
    <row r="14" spans="2:13" s="33" customFormat="1">
      <c r="B14" s="66"/>
      <c r="C14" s="71" t="s">
        <v>100</v>
      </c>
      <c r="J14" s="33" t="s">
        <v>30</v>
      </c>
      <c r="K14" s="33" t="s">
        <v>120</v>
      </c>
    </row>
    <row r="15" spans="2:13" s="33" customFormat="1">
      <c r="B15" s="66"/>
      <c r="C15" s="71" t="s">
        <v>99</v>
      </c>
      <c r="J15" s="33" t="s">
        <v>31</v>
      </c>
      <c r="K15" s="72">
        <v>46217</v>
      </c>
    </row>
    <row r="16" spans="2:13" s="33" customFormat="1">
      <c r="C16" s="71"/>
      <c r="K16" s="72"/>
    </row>
    <row r="17" spans="2:13" ht="6" customHeight="1">
      <c r="C17" s="24"/>
      <c r="K17" s="25"/>
    </row>
    <row r="18" spans="2:13" ht="20.25">
      <c r="B18" s="170" t="s">
        <v>32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</row>
    <row r="19" spans="2:13" ht="12" customHeight="1"/>
    <row r="20" spans="2:13" s="26" customFormat="1" ht="12" customHeight="1">
      <c r="B20" s="171" t="s">
        <v>33</v>
      </c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</row>
    <row r="21" spans="2:13" s="26" customFormat="1" ht="12" customHeight="1">
      <c r="B21" s="171" t="s">
        <v>34</v>
      </c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</row>
    <row r="22" spans="2:13" s="26" customFormat="1" ht="12" customHeight="1">
      <c r="B22" s="171" t="s">
        <v>35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2:13" ht="6.95" customHeight="1"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2:13" ht="6.95" customHeight="1"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</row>
    <row r="25" spans="2:13" s="27" customFormat="1" ht="15" customHeight="1">
      <c r="B25" s="27">
        <v>1</v>
      </c>
      <c r="C25" s="27" t="s">
        <v>36</v>
      </c>
    </row>
    <row r="26" spans="2:13" s="33" customFormat="1" ht="12" customHeight="1">
      <c r="B26" s="67"/>
      <c r="C26" s="70" t="str">
        <f>MRS!B6</f>
        <v>Light Driver</v>
      </c>
      <c r="M26" s="73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2" customHeight="1">
      <c r="B29" s="27"/>
      <c r="C29" s="21" t="s">
        <v>39</v>
      </c>
      <c r="E29" s="21" t="s">
        <v>40</v>
      </c>
      <c r="F29" s="116" t="s">
        <v>93</v>
      </c>
      <c r="G29" s="116"/>
      <c r="H29" s="116"/>
      <c r="M29" s="28"/>
    </row>
    <row r="30" spans="2:13" ht="12" customHeight="1">
      <c r="B30" s="27"/>
      <c r="C30" s="21" t="s">
        <v>41</v>
      </c>
      <c r="E30" s="21" t="s">
        <v>40</v>
      </c>
      <c r="F30" s="116"/>
      <c r="G30" s="116"/>
      <c r="H30" s="116"/>
    </row>
    <row r="31" spans="2:13" ht="12" customHeight="1">
      <c r="B31" s="27"/>
      <c r="C31" s="21" t="s">
        <v>42</v>
      </c>
      <c r="D31" s="29"/>
      <c r="E31" s="21" t="s">
        <v>40</v>
      </c>
      <c r="F31" s="116"/>
      <c r="G31" s="116"/>
      <c r="H31" s="116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4" t="s">
        <v>56</v>
      </c>
      <c r="C49" s="75" t="s">
        <v>89</v>
      </c>
      <c r="P49" s="76"/>
    </row>
    <row r="50" spans="2:16" s="77" customFormat="1" ht="12" customHeight="1">
      <c r="B50" s="78" t="s">
        <v>56</v>
      </c>
      <c r="C50" s="75" t="s">
        <v>84</v>
      </c>
    </row>
    <row r="51" spans="2:16" s="77" customFormat="1" ht="12" customHeight="1">
      <c r="B51" s="78" t="s">
        <v>56</v>
      </c>
      <c r="C51" s="75" t="s">
        <v>83</v>
      </c>
    </row>
    <row r="52" spans="2:16" s="77" customFormat="1" ht="6" customHeight="1">
      <c r="B52" s="78"/>
      <c r="C52" s="75"/>
    </row>
    <row r="53" spans="2:16" ht="15" customHeight="1">
      <c r="B53" s="36">
        <v>7</v>
      </c>
      <c r="C53" s="27" t="s">
        <v>103</v>
      </c>
    </row>
    <row r="54" spans="2:16" ht="12" customHeight="1">
      <c r="B54" s="78" t="s">
        <v>56</v>
      </c>
      <c r="C54" s="117" t="s">
        <v>104</v>
      </c>
      <c r="F54" s="118" t="s">
        <v>112</v>
      </c>
      <c r="P54" s="21" t="str">
        <f>UPPER(F54)</f>
        <v>ZEAL TECH GEN. CONTRACTING EST.</v>
      </c>
    </row>
    <row r="55" spans="2:16" ht="12" customHeight="1">
      <c r="B55" s="78" t="s">
        <v>56</v>
      </c>
      <c r="C55" s="117" t="s">
        <v>105</v>
      </c>
      <c r="F55" s="118" t="s">
        <v>113</v>
      </c>
    </row>
    <row r="56" spans="2:16" ht="12" customHeight="1">
      <c r="B56" s="78" t="s">
        <v>56</v>
      </c>
      <c r="C56" s="117" t="s">
        <v>106</v>
      </c>
      <c r="F56" s="118" t="s">
        <v>116</v>
      </c>
    </row>
    <row r="57" spans="2:16" ht="12" customHeight="1">
      <c r="B57" s="78" t="s">
        <v>56</v>
      </c>
      <c r="C57" s="117" t="s">
        <v>107</v>
      </c>
      <c r="F57" s="21" t="s">
        <v>114</v>
      </c>
    </row>
    <row r="58" spans="2:16" ht="12" customHeight="1">
      <c r="B58" s="78" t="s">
        <v>56</v>
      </c>
      <c r="C58" s="117" t="s">
        <v>108</v>
      </c>
      <c r="F58" s="21" t="s">
        <v>115</v>
      </c>
    </row>
    <row r="59" spans="2:16" ht="12" customHeight="1">
      <c r="B59" s="78" t="s">
        <v>56</v>
      </c>
      <c r="C59" s="117" t="s">
        <v>109</v>
      </c>
      <c r="F59" s="21" t="s">
        <v>110</v>
      </c>
    </row>
    <row r="60" spans="2:16" ht="12" customHeight="1">
      <c r="B60" s="78"/>
      <c r="C60" s="117" t="s">
        <v>111</v>
      </c>
    </row>
    <row r="61" spans="2:16" ht="3" customHeight="1"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</row>
    <row r="62" spans="2:16" ht="3" customHeight="1">
      <c r="B62" s="27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50.1" customHeight="1"/>
    <row r="66" spans="1:13" ht="18" customHeight="1">
      <c r="B66" s="21" t="s">
        <v>59</v>
      </c>
      <c r="J66" s="21" t="s">
        <v>59</v>
      </c>
    </row>
    <row r="67" spans="1:13" ht="18" customHeight="1">
      <c r="B67" s="21" t="s">
        <v>60</v>
      </c>
      <c r="J67" s="21" t="s">
        <v>61</v>
      </c>
      <c r="K67" s="17" t="str">
        <f>D12</f>
        <v>Mohammed Riyaz</v>
      </c>
    </row>
    <row r="68" spans="1:13" ht="18" customHeight="1">
      <c r="B68" s="21" t="s">
        <v>62</v>
      </c>
      <c r="J68" s="21" t="s">
        <v>63</v>
      </c>
      <c r="K68" s="17" t="s">
        <v>101</v>
      </c>
    </row>
    <row r="69" spans="1:13" ht="15" customHeight="1">
      <c r="B69" s="21" t="s">
        <v>64</v>
      </c>
      <c r="J69" s="21" t="s">
        <v>65</v>
      </c>
    </row>
    <row r="70" spans="1:13" s="23" customFormat="1" ht="24.75" customHeight="1">
      <c r="B70" s="20" t="s">
        <v>91</v>
      </c>
      <c r="J70" s="174" t="str">
        <f>C9</f>
        <v>ZEAL (Zeal Tech Gen. Contracting Est.)</v>
      </c>
      <c r="K70" s="174"/>
      <c r="L70" s="174"/>
      <c r="M70" s="174"/>
    </row>
    <row r="71" spans="1:13" ht="27.95" customHeight="1">
      <c r="A71" s="166" t="s">
        <v>66</v>
      </c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6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39" customWidth="1"/>
    <col min="2" max="2" width="25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67</v>
      </c>
      <c r="B2" s="41" t="str">
        <f>+'PO 1st page'!K11</f>
        <v xml:space="preserve"> SAC2-DS-PO-0480</v>
      </c>
      <c r="C2" s="183" t="s">
        <v>68</v>
      </c>
      <c r="D2" s="183"/>
      <c r="E2" s="183"/>
      <c r="F2" s="183"/>
      <c r="G2" s="42"/>
      <c r="H2" s="42"/>
    </row>
    <row r="3" spans="1:13" s="48" customFormat="1" ht="28.5" customHeight="1" thickBot="1">
      <c r="A3" s="43" t="s">
        <v>69</v>
      </c>
      <c r="B3" s="44">
        <f>+'PO 1st page'!K10</f>
        <v>46296</v>
      </c>
      <c r="C3" s="45"/>
      <c r="D3" s="46"/>
      <c r="E3" s="184" t="s">
        <v>70</v>
      </c>
      <c r="F3" s="184"/>
      <c r="G3" s="184"/>
      <c r="H3" s="184"/>
      <c r="I3" s="47"/>
    </row>
    <row r="4" spans="1:13" s="49" customFormat="1" ht="28.5" customHeight="1" thickTop="1">
      <c r="A4" s="185" t="s">
        <v>71</v>
      </c>
      <c r="B4" s="187" t="s">
        <v>72</v>
      </c>
      <c r="C4" s="188"/>
      <c r="D4" s="191" t="s">
        <v>73</v>
      </c>
      <c r="E4" s="191" t="s">
        <v>74</v>
      </c>
      <c r="F4" s="193" t="str">
        <f>'PO 1st page'!C9</f>
        <v>ZEAL (Zeal Tech Gen. Contracting Est.)</v>
      </c>
      <c r="G4" s="194"/>
      <c r="H4" s="195" t="s">
        <v>75</v>
      </c>
      <c r="K4" s="50"/>
      <c r="L4" s="50"/>
      <c r="M4" s="50"/>
    </row>
    <row r="5" spans="1:13" s="49" customFormat="1" ht="21.95" customHeight="1">
      <c r="A5" s="186"/>
      <c r="B5" s="189"/>
      <c r="C5" s="190"/>
      <c r="D5" s="192"/>
      <c r="E5" s="192"/>
      <c r="F5" s="51" t="s">
        <v>76</v>
      </c>
      <c r="G5" s="51" t="s">
        <v>42</v>
      </c>
      <c r="H5" s="196"/>
      <c r="K5" s="50"/>
      <c r="L5" s="50"/>
      <c r="M5" s="50"/>
    </row>
    <row r="6" spans="1:13" s="49" customFormat="1" ht="32.1" customHeight="1">
      <c r="A6" s="79">
        <f t="shared" ref="A6:A17" si="0">ROW(A1)</f>
        <v>1</v>
      </c>
      <c r="B6" s="181" t="str">
        <f>CONCATENATE(MRS!B6," ",MRS!D6)</f>
        <v xml:space="preserve">Light Driver </v>
      </c>
      <c r="C6" s="182"/>
      <c r="D6" s="80" t="str">
        <f>MRS!G6</f>
        <v>Hour</v>
      </c>
      <c r="E6" s="80">
        <f>MRS!H6</f>
        <v>1</v>
      </c>
      <c r="F6" s="80">
        <f>MRS!I6</f>
        <v>15</v>
      </c>
      <c r="G6" s="80">
        <f>MRS!J6</f>
        <v>15</v>
      </c>
      <c r="H6" s="84" t="str">
        <f>MRS!L6</f>
        <v>Monthly Based</v>
      </c>
      <c r="K6" s="85"/>
      <c r="L6" s="86"/>
      <c r="M6" s="50"/>
    </row>
    <row r="7" spans="1:13" s="49" customFormat="1" ht="32.1" customHeight="1">
      <c r="A7" s="79">
        <f t="shared" si="0"/>
        <v>2</v>
      </c>
      <c r="B7" s="181"/>
      <c r="C7" s="182"/>
      <c r="D7" s="80"/>
      <c r="E7" s="81"/>
      <c r="F7" s="82"/>
      <c r="G7" s="83"/>
      <c r="H7" s="84"/>
      <c r="K7" s="85"/>
      <c r="L7" s="86"/>
      <c r="M7" s="50"/>
    </row>
    <row r="8" spans="1:13" s="49" customFormat="1" ht="32.1" customHeight="1">
      <c r="A8" s="87">
        <f t="shared" si="0"/>
        <v>3</v>
      </c>
      <c r="B8" s="181"/>
      <c r="C8" s="182"/>
      <c r="D8" s="80"/>
      <c r="E8" s="81"/>
      <c r="F8" s="82"/>
      <c r="G8" s="83"/>
      <c r="H8" s="92"/>
      <c r="K8" s="50"/>
      <c r="L8" s="50"/>
      <c r="M8" s="50"/>
    </row>
    <row r="9" spans="1:13" s="49" customFormat="1" ht="32.1" customHeight="1">
      <c r="A9" s="87">
        <f t="shared" si="0"/>
        <v>4</v>
      </c>
      <c r="B9" s="181"/>
      <c r="C9" s="182"/>
      <c r="D9" s="80"/>
      <c r="E9" s="81"/>
      <c r="F9" s="82"/>
      <c r="G9" s="83"/>
      <c r="H9" s="92"/>
    </row>
    <row r="10" spans="1:13" s="49" customFormat="1" ht="32.1" customHeight="1">
      <c r="A10" s="87">
        <f t="shared" si="0"/>
        <v>5</v>
      </c>
      <c r="B10" s="181"/>
      <c r="C10" s="182"/>
      <c r="D10" s="80"/>
      <c r="E10" s="81"/>
      <c r="F10" s="82"/>
      <c r="G10" s="83"/>
      <c r="H10" s="92"/>
    </row>
    <row r="11" spans="1:13" s="49" customFormat="1" ht="32.1" customHeight="1">
      <c r="A11" s="87">
        <f t="shared" si="0"/>
        <v>6</v>
      </c>
      <c r="B11" s="181"/>
      <c r="C11" s="182"/>
      <c r="D11" s="80"/>
      <c r="E11" s="81"/>
      <c r="F11" s="82"/>
      <c r="G11" s="83"/>
      <c r="H11" s="92"/>
    </row>
    <row r="12" spans="1:13" s="49" customFormat="1" ht="32.1" customHeight="1">
      <c r="A12" s="87">
        <f t="shared" si="0"/>
        <v>7</v>
      </c>
      <c r="B12" s="179"/>
      <c r="C12" s="180"/>
      <c r="D12" s="88"/>
      <c r="E12" s="89"/>
      <c r="F12" s="90"/>
      <c r="G12" s="91"/>
      <c r="H12" s="92"/>
    </row>
    <row r="13" spans="1:13" s="49" customFormat="1" ht="32.1" customHeight="1">
      <c r="A13" s="87">
        <f t="shared" si="0"/>
        <v>8</v>
      </c>
      <c r="B13" s="179"/>
      <c r="C13" s="180"/>
      <c r="D13" s="88"/>
      <c r="E13" s="89"/>
      <c r="F13" s="90"/>
      <c r="G13" s="91"/>
      <c r="H13" s="92"/>
    </row>
    <row r="14" spans="1:13" s="49" customFormat="1" ht="32.1" customHeight="1">
      <c r="A14" s="87">
        <f t="shared" si="0"/>
        <v>9</v>
      </c>
      <c r="B14" s="179"/>
      <c r="C14" s="180"/>
      <c r="D14" s="88"/>
      <c r="E14" s="89"/>
      <c r="F14" s="93"/>
      <c r="G14" s="91"/>
      <c r="H14" s="92"/>
    </row>
    <row r="15" spans="1:13" s="49" customFormat="1" ht="32.1" customHeight="1">
      <c r="A15" s="87">
        <f t="shared" si="0"/>
        <v>10</v>
      </c>
      <c r="B15" s="179"/>
      <c r="C15" s="180"/>
      <c r="D15" s="88"/>
      <c r="E15" s="89"/>
      <c r="F15" s="93"/>
      <c r="G15" s="91"/>
      <c r="H15" s="92"/>
    </row>
    <row r="16" spans="1:13" s="49" customFormat="1" ht="32.1" customHeight="1">
      <c r="A16" s="87">
        <f t="shared" si="0"/>
        <v>11</v>
      </c>
      <c r="B16" s="179"/>
      <c r="C16" s="180"/>
      <c r="D16" s="88"/>
      <c r="E16" s="89"/>
      <c r="F16" s="90"/>
      <c r="G16" s="91"/>
      <c r="H16" s="92"/>
      <c r="J16" s="49" t="s">
        <v>90</v>
      </c>
    </row>
    <row r="17" spans="1:13" s="49" customFormat="1" ht="32.1" customHeight="1">
      <c r="A17" s="87">
        <f t="shared" si="0"/>
        <v>12</v>
      </c>
      <c r="B17" s="179"/>
      <c r="C17" s="180"/>
      <c r="D17" s="88"/>
      <c r="E17" s="89"/>
      <c r="F17" s="90"/>
      <c r="G17" s="91"/>
      <c r="H17" s="92"/>
    </row>
    <row r="18" spans="1:13" s="49" customFormat="1" ht="23.1" customHeight="1">
      <c r="A18" s="175" t="s">
        <v>77</v>
      </c>
      <c r="B18" s="176"/>
      <c r="C18" s="176"/>
      <c r="D18" s="176"/>
      <c r="E18" s="176"/>
      <c r="F18" s="176"/>
      <c r="G18" s="52">
        <f>SUM(G6:G17)</f>
        <v>15</v>
      </c>
      <c r="H18" s="53"/>
    </row>
    <row r="19" spans="1:13" s="49" customFormat="1" ht="23.1" customHeight="1">
      <c r="A19" s="175" t="s">
        <v>41</v>
      </c>
      <c r="B19" s="176"/>
      <c r="C19" s="176"/>
      <c r="D19" s="176"/>
      <c r="E19" s="176"/>
      <c r="F19" s="176"/>
      <c r="G19" s="52">
        <f>+G18*0.15</f>
        <v>2.25</v>
      </c>
      <c r="H19" s="53"/>
    </row>
    <row r="20" spans="1:13" s="49" customFormat="1" ht="24.95" customHeight="1" thickBot="1">
      <c r="A20" s="177" t="s">
        <v>78</v>
      </c>
      <c r="B20" s="178"/>
      <c r="C20" s="178"/>
      <c r="D20" s="178"/>
      <c r="E20" s="178"/>
      <c r="F20" s="178"/>
      <c r="G20" s="54">
        <f>G19+G18</f>
        <v>17.25</v>
      </c>
      <c r="H20" s="55"/>
    </row>
    <row r="21" spans="1:13" ht="15.75" thickTop="1">
      <c r="A21" s="56" t="str">
        <f>" 1) Above Price are as per your quotation with ref "&amp;'PO 1st page'!K14</f>
        <v xml:space="preserve"> 1) Above Price are as per your quotation with ref ZT/QT/616-25</v>
      </c>
      <c r="B21" s="57"/>
      <c r="C21" s="57"/>
      <c r="D21" s="58"/>
      <c r="E21" s="58"/>
      <c r="F21" s="58"/>
      <c r="G21" s="58"/>
      <c r="H21" s="58"/>
    </row>
    <row r="22" spans="1:13" ht="15">
      <c r="A22" s="59" t="s">
        <v>79</v>
      </c>
      <c r="B22" s="60"/>
      <c r="C22" s="60"/>
      <c r="D22" s="61"/>
      <c r="E22" s="61"/>
      <c r="F22" s="61"/>
      <c r="G22" s="61"/>
      <c r="H22" s="61"/>
      <c r="I22" s="62"/>
    </row>
    <row r="23" spans="1:13" ht="15.75">
      <c r="A23" s="63"/>
    </row>
    <row r="24" spans="1:13">
      <c r="A24" s="166" t="s">
        <v>80</v>
      </c>
      <c r="B24" s="166"/>
      <c r="C24" s="166"/>
      <c r="D24" s="166"/>
      <c r="E24" s="166"/>
      <c r="F24" s="166"/>
      <c r="G24" s="166"/>
      <c r="H24" s="166"/>
      <c r="I24" s="64"/>
      <c r="J24" s="64"/>
      <c r="K24" s="64"/>
      <c r="L24" s="64"/>
      <c r="M24" s="64"/>
    </row>
    <row r="25" spans="1:13" ht="15.75">
      <c r="A25" s="63"/>
      <c r="C25" s="65"/>
    </row>
    <row r="26" spans="1:13" ht="15.75">
      <c r="A26" s="63"/>
      <c r="C26" s="65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2026-10-01T08:57:25Z</cp:lastPrinted>
  <dcterms:created xsi:type="dcterms:W3CDTF">2024-10-20T11:50:19Z</dcterms:created>
  <dcterms:modified xsi:type="dcterms:W3CDTF">2026-10-01T08:59:42Z</dcterms:modified>
</cp:coreProperties>
</file>