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6743A70-6B0A-4825-83ED-263A2DC09356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<sst xmlns="http://schemas.openxmlformats.org/spreadsheetml/2006/main" count="135" uniqueCount="114">
  <si>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</si>
  <si>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</si>
  <si>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</si>
  <si>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</si>
  <si>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</si>
  <si>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</si>
  <si>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</si>
  <si>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</si>
  <si>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</si>
  <si>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</si>
  <si>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</si>
  <si>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</si>
  <si>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</si>
  <si>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</si>
  <si>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</si>
  <si>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</si>
  <si>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</si>
  <si>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</si>
  <si>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</si>
  <si>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</si>
  <si>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</si>
  <si>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</si>
  <si>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</si>
  <si>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</si>
  <si>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</si>
  <si>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</si>
  <si>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</si>
  <si>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</si>
  <si>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</si>
  <si>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</si>
  <si>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</si>
  <si>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</si>
  <si>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</si>
  <si>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</si>
  <si>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</si>
  <si>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</si>
  <si>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</si>
  <si>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</si>
  <si>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</si>
  <si>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</si>
  <si>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</si>
  <si>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</si>
  <si>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</si>
  <si>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</si>
  <si>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</si>
  <si>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</si>
  <si>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</si>
  <si>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</si>
  <si>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</si>
  <si>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</si>
  <si>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</si>
  <si>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</si>
  <si>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</si>
  <si>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</si>
  <si>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</si>
  <si>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</si>
  <si>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</si>
  <si>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</si>
  <si>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</si>
  <si>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</si>
  <si>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</si>
  <si>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</si>
  <si>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</si>
  <si>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</si>
  <si>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</si>
  <si>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</si>
  <si>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</si>
  <si>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</si>
  <si>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</si>
  <si>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</si>
  <si>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</si>
  <si>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</si>
  <si>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</si>
  <si>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</si>
  <si>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</si>
  <si>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</si>
  <si>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</si>
  <si>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</si>
  <si>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</si>
  <si>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</si>
  <si>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</si>
  <si>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</si>
  <si>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</si>
  <si>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</si>
  <si>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</si>
  <si>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</si>
  <si>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</si>
  <si>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</si>
  <si>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</si>
  <si>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</si>
  <si>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</si>
  <si>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</si>
  <si>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</si>
  <si>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</si>
  <si>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</si>
  <si>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</si>
  <si>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</si>
  <si>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</si>
  <si>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</si>
  <si>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</si>
  <si>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EECE</t>
  </si>
  <si>
    <t>Light Driver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</si>
  <si>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</si>
  <si>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</si>
  <si>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-MRS-0161</t>
    </r>
  </si>
  <si>
    <t>Monthly</t>
  </si>
  <si>
    <t>NUGCE(Noor United Gen. Contracting Est.)</t>
  </si>
  <si>
    <t>2051228179</t>
  </si>
  <si>
    <t>310447656100003</t>
  </si>
  <si>
    <t>Md Roijul Islam</t>
  </si>
  <si>
    <t>Mobile No. +966 54 717 3708 / email: noorunited08@gmail.com</t>
  </si>
  <si>
    <t>P.O. Box 61149, Al Jubail 31951, Kingdom of Saudi Arabia</t>
  </si>
  <si>
    <t xml:space="preserve">Mobile: +966 54 717 3708 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</si>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</sst>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882316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56158" y="4983079"/>
              <a:ext cx="395087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50" t="s">
        <v>87</v>
      </c>
      <c r="K1" s="151"/>
      <c r="L1" s="152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53" t="s">
        <v>94</v>
      </c>
      <c r="K2" s="154"/>
      <c r="L2" s="155"/>
    </row>
    <row r="3" spans="1:18" ht="20.100000000000001" customHeight="1">
      <c r="A3" s="3" t="s">
        <v>104</v>
      </c>
      <c r="B3" s="100"/>
      <c r="C3" s="100"/>
      <c r="D3" s="100"/>
      <c r="E3" s="156">
        <f>+L3</f>
        <v>45673</v>
      </c>
      <c r="F3" s="156"/>
      <c r="G3" s="156"/>
      <c r="H3" s="156"/>
      <c r="I3" s="156"/>
      <c r="J3" s="100"/>
      <c r="K3" s="100"/>
      <c r="L3" s="121">
        <v>45673</v>
      </c>
      <c r="M3" s="4"/>
    </row>
    <row r="4" spans="1:18" ht="15.95" customHeight="1">
      <c r="A4" s="157" t="s">
        <v>2</v>
      </c>
      <c r="B4" s="158" t="s">
        <v>3</v>
      </c>
      <c r="C4" s="158"/>
      <c r="D4" s="159" t="s">
        <v>4</v>
      </c>
      <c r="E4" s="160"/>
      <c r="F4" s="161"/>
      <c r="G4" s="165" t="s">
        <v>5</v>
      </c>
      <c r="H4" s="167" t="s">
        <v>6</v>
      </c>
      <c r="I4" s="167" t="s">
        <v>91</v>
      </c>
      <c r="J4" s="157" t="s">
        <v>92</v>
      </c>
      <c r="K4" s="167" t="s">
        <v>0</v>
      </c>
      <c r="L4" s="158" t="s">
        <v>7</v>
      </c>
    </row>
    <row r="5" spans="1:18" ht="15.95" customHeight="1">
      <c r="A5" s="157"/>
      <c r="B5" s="158"/>
      <c r="C5" s="158"/>
      <c r="D5" s="162"/>
      <c r="E5" s="163"/>
      <c r="F5" s="164"/>
      <c r="G5" s="166"/>
      <c r="H5" s="168"/>
      <c r="I5" s="168"/>
      <c r="J5" s="157"/>
      <c r="K5" s="168"/>
      <c r="L5" s="158"/>
    </row>
    <row r="6" spans="1:18" ht="22.5" customHeight="1">
      <c r="A6" s="5">
        <f t="shared" ref="A6:A15" si="0">ROW(A1)</f>
        <v>1</v>
      </c>
      <c r="B6" s="138" t="s">
        <v>101</v>
      </c>
      <c r="C6" s="139"/>
      <c r="D6" s="140"/>
      <c r="E6" s="141"/>
      <c r="F6" s="142"/>
      <c r="G6" s="110" t="s">
        <v>99</v>
      </c>
      <c r="H6" s="111">
        <v>1</v>
      </c>
      <c r="I6" s="112">
        <v>15</v>
      </c>
      <c r="J6" s="112">
        <f>I6*H6</f>
        <v>15</v>
      </c>
      <c r="K6" s="113" t="s">
        <v>100</v>
      </c>
      <c r="L6" s="114" t="s">
        <v>105</v>
      </c>
      <c r="R6" s="105"/>
    </row>
    <row r="7" spans="1:18" ht="22.5" customHeight="1">
      <c r="A7" s="5">
        <f t="shared" si="0"/>
        <v>2</v>
      </c>
      <c r="B7" s="138"/>
      <c r="C7" s="139"/>
      <c r="D7" s="149"/>
      <c r="E7" s="141"/>
      <c r="F7" s="142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38"/>
      <c r="C8" s="139"/>
      <c r="D8" s="140"/>
      <c r="E8" s="141"/>
      <c r="F8" s="142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38"/>
      <c r="C9" s="139"/>
      <c r="D9" s="140"/>
      <c r="E9" s="141"/>
      <c r="F9" s="142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7"/>
      <c r="C10" s="147"/>
      <c r="D10" s="148"/>
      <c r="E10" s="148"/>
      <c r="F10" s="148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8"/>
      <c r="C11" s="139"/>
      <c r="D11" s="140"/>
      <c r="E11" s="141"/>
      <c r="F11" s="142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7"/>
      <c r="C12" s="147"/>
      <c r="D12" s="148"/>
      <c r="E12" s="148"/>
      <c r="F12" s="148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8"/>
      <c r="C13" s="139"/>
      <c r="D13" s="140"/>
      <c r="E13" s="141"/>
      <c r="F13" s="142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8"/>
      <c r="C14" s="139"/>
      <c r="D14" s="140"/>
      <c r="E14" s="141"/>
      <c r="F14" s="142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8"/>
      <c r="C15" s="139"/>
      <c r="D15" s="140"/>
      <c r="E15" s="141"/>
      <c r="F15" s="142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43" t="s">
        <v>8</v>
      </c>
      <c r="B16" s="144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5" t="s">
        <v>11</v>
      </c>
      <c r="S18" s="13" t="s">
        <v>12</v>
      </c>
    </row>
    <row r="19" spans="1:19" ht="50.1" customHeight="1">
      <c r="R19" s="146"/>
      <c r="S19" s="15"/>
    </row>
    <row r="20" spans="1:19" ht="17.100000000000001" customHeight="1">
      <c r="O20" s="11"/>
      <c r="P20" s="11"/>
      <c r="R20" s="135"/>
      <c r="S20" s="15" t="s">
        <v>13</v>
      </c>
    </row>
    <row r="21" spans="1:19" ht="15" customHeight="1">
      <c r="O21" s="17" t="s">
        <v>14</v>
      </c>
      <c r="P21" s="134" t="s">
        <v>15</v>
      </c>
    </row>
    <row r="22" spans="1:19" ht="18" customHeight="1">
      <c r="O22" s="18" t="s">
        <v>16</v>
      </c>
      <c r="P22" s="136"/>
      <c r="R22" s="145" t="s">
        <v>17</v>
      </c>
      <c r="S22" s="12" t="s">
        <v>12</v>
      </c>
    </row>
    <row r="23" spans="1:19" ht="50.1" customHeight="1">
      <c r="O23" s="14"/>
      <c r="P23" s="14"/>
      <c r="R23" s="146"/>
      <c r="S23" s="19"/>
    </row>
    <row r="24" spans="1:19" ht="17.100000000000001" customHeight="1">
      <c r="O24" s="16" t="s">
        <v>13</v>
      </c>
      <c r="P24" s="16" t="s">
        <v>13</v>
      </c>
      <c r="R24" s="135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7"/>
      <c r="P27" s="137"/>
    </row>
    <row r="28" spans="1:19" ht="19.899999999999999" customHeight="1">
      <c r="O28" s="137"/>
      <c r="P28" s="137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4" t="s">
        <v>18</v>
      </c>
      <c r="P46" s="134" t="s">
        <v>18</v>
      </c>
      <c r="S46" s="134" t="s">
        <v>12</v>
      </c>
    </row>
    <row r="47" spans="15:19" ht="21" customHeight="1">
      <c r="O47" s="136"/>
      <c r="P47" s="136"/>
      <c r="S47" s="135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4" t="s">
        <v>18</v>
      </c>
      <c r="P50" s="134" t="s">
        <v>18</v>
      </c>
      <c r="S50" s="134" t="s">
        <v>19</v>
      </c>
    </row>
    <row r="51" spans="15:19" ht="21" customHeight="1">
      <c r="O51" s="136"/>
      <c r="P51" s="136"/>
      <c r="S51" s="135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27:O28"/>
    <mergeCell ref="P27:P28"/>
    <mergeCell ref="O46:O47"/>
    <mergeCell ref="P46:P47"/>
    <mergeCell ref="S46:S47"/>
    <mergeCell ref="O50:O51"/>
    <mergeCell ref="P50:P51"/>
    <mergeCell ref="S50:S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50" t="str">
        <f>+MRS!J1</f>
        <v>DAESHIN PLANT</v>
      </c>
      <c r="K1" s="152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53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SAC2-DS-MRS-0161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45673</v>
      </c>
    </row>
    <row r="4" spans="1:18" ht="15.95" customHeight="1">
      <c r="A4" s="179" t="s">
        <v>2</v>
      </c>
      <c r="B4" s="180" t="s">
        <v>20</v>
      </c>
      <c r="C4" s="180"/>
      <c r="D4" s="179" t="s">
        <v>4</v>
      </c>
      <c r="E4" s="179"/>
      <c r="F4" s="179"/>
      <c r="G4" s="180" t="s">
        <v>5</v>
      </c>
      <c r="H4" s="179" t="s">
        <v>88</v>
      </c>
      <c r="I4" s="179" t="s">
        <v>21</v>
      </c>
      <c r="J4" s="179" t="s">
        <v>22</v>
      </c>
      <c r="K4" s="180" t="s">
        <v>7</v>
      </c>
    </row>
    <row r="5" spans="1:18" ht="15.95" customHeight="1">
      <c r="A5" s="179"/>
      <c r="B5" s="180"/>
      <c r="C5" s="180"/>
      <c r="D5" s="179"/>
      <c r="E5" s="179"/>
      <c r="F5" s="179"/>
      <c r="G5" s="180"/>
      <c r="H5" s="179"/>
      <c r="I5" s="179"/>
      <c r="J5" s="179"/>
      <c r="K5" s="180"/>
    </row>
    <row r="6" spans="1:18" ht="105" customHeight="1">
      <c r="A6" s="21">
        <f>+MRS!A6</f>
        <v>1</v>
      </c>
      <c r="B6" s="174" t="str">
        <f>MRS!B6</f>
        <v>Light Driver</v>
      </c>
      <c r="C6" s="175"/>
      <c r="D6" s="176">
        <f>MRS!D6</f>
        <v>0</v>
      </c>
      <c r="E6" s="177"/>
      <c r="F6" s="178"/>
      <c r="G6" s="102" t="str">
        <f>MRS!G6</f>
        <v>HR</v>
      </c>
      <c r="H6" s="102">
        <f>MRS!H6</f>
        <v>1</v>
      </c>
      <c r="I6" s="103">
        <f>MRS!I6</f>
        <v>15</v>
      </c>
      <c r="J6" s="103">
        <f>MRS!J6</f>
        <v>15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74">
        <f>MRS!B7</f>
        <v>0</v>
      </c>
      <c r="C7" s="175"/>
      <c r="D7" s="176">
        <f>MRS!D7</f>
        <v>0</v>
      </c>
      <c r="E7" s="177"/>
      <c r="F7" s="178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74">
        <f>MRS!B8</f>
        <v>0</v>
      </c>
      <c r="C8" s="175"/>
      <c r="D8" s="176">
        <f>MRS!D8</f>
        <v>0</v>
      </c>
      <c r="E8" s="177"/>
      <c r="F8" s="178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74">
        <f>MRS!B9</f>
        <v>0</v>
      </c>
      <c r="C9" s="175"/>
      <c r="D9" s="176">
        <f>MRS!D9</f>
        <v>0</v>
      </c>
      <c r="E9" s="177"/>
      <c r="F9" s="178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74">
        <f>MRS!B10</f>
        <v>0</v>
      </c>
      <c r="C10" s="175"/>
      <c r="D10" s="176">
        <f>MRS!D10</f>
        <v>0</v>
      </c>
      <c r="E10" s="177"/>
      <c r="F10" s="178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74">
        <f>MRS!B11</f>
        <v>0</v>
      </c>
      <c r="C11" s="175"/>
      <c r="D11" s="176">
        <f>MRS!D11</f>
        <v>0</v>
      </c>
      <c r="E11" s="177"/>
      <c r="F11" s="178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L16" sqref="L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106</v>
      </c>
      <c r="D9" s="38"/>
      <c r="E9" s="38"/>
    </row>
    <row r="10" spans="2:13" s="38" customFormat="1">
      <c r="B10" s="71"/>
      <c r="C10" s="38" t="s">
        <v>29</v>
      </c>
      <c r="D10" s="75" t="s">
        <v>107</v>
      </c>
      <c r="J10" s="38" t="s">
        <v>30</v>
      </c>
      <c r="K10" s="126">
        <f>MRS!L3</f>
        <v>45673</v>
      </c>
      <c r="L10" s="127"/>
      <c r="M10" s="127"/>
    </row>
    <row r="11" spans="2:13" s="38" customFormat="1">
      <c r="B11" s="71"/>
      <c r="C11" s="74" t="s">
        <v>31</v>
      </c>
      <c r="D11" s="75" t="s">
        <v>108</v>
      </c>
      <c r="J11" s="38" t="s">
        <v>32</v>
      </c>
      <c r="K11" s="128" t="str">
        <f>SUBSTITUTE(SUBSTITUTE(+MRS!A3,"  MRS No : ",""),"-MRS","-PO")</f>
        <v>SAC2-DS-PO-0161</v>
      </c>
      <c r="L11" s="128"/>
      <c r="M11" s="128"/>
    </row>
    <row r="12" spans="2:13" s="38" customFormat="1">
      <c r="B12" s="71"/>
      <c r="C12" s="74" t="s">
        <v>33</v>
      </c>
      <c r="D12" s="38" t="s">
        <v>109</v>
      </c>
      <c r="J12" s="38" t="s">
        <v>34</v>
      </c>
    </row>
    <row r="13" spans="2:13" s="38" customFormat="1">
      <c r="B13" s="71"/>
      <c r="C13" s="76"/>
      <c r="D13" s="75" t="s">
        <v>110</v>
      </c>
      <c r="J13" s="38" t="s">
        <v>35</v>
      </c>
    </row>
    <row r="14" spans="2:13" s="38" customFormat="1">
      <c r="B14" s="71"/>
      <c r="C14" s="76" t="s">
        <v>111</v>
      </c>
      <c r="J14" s="38" t="s">
        <v>36</v>
      </c>
    </row>
    <row r="15" spans="2:13" s="38" customFormat="1">
      <c r="B15" s="71"/>
      <c r="C15" s="76" t="s">
        <v>112</v>
      </c>
      <c r="J15" s="38" t="s">
        <v>37</v>
      </c>
      <c r="K15" s="77">
        <v>45976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29" t="s">
        <v>38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31" customFormat="1" ht="12" customHeight="1">
      <c r="B20" s="130" t="s">
        <v>39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31" customFormat="1" ht="12" customHeight="1">
      <c r="B21" s="130" t="s">
        <v>40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31" customFormat="1" ht="12" customHeight="1">
      <c r="B22" s="130" t="s">
        <v>41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32" customFormat="1" ht="20.100000000000001" customHeight="1">
      <c r="B25" s="32">
        <v>1</v>
      </c>
      <c r="C25" s="32" t="s">
        <v>42</v>
      </c>
    </row>
    <row r="26" spans="2:13" s="38" customFormat="1" ht="15" customHeight="1">
      <c r="B26" s="72"/>
      <c r="C26" s="75" t="str">
        <f>MRS!B6</f>
        <v>Light Driver</v>
      </c>
      <c r="M26" s="78" t="s">
        <v>43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24" t="s">
        <v>105</v>
      </c>
      <c r="G29" s="124"/>
      <c r="H29" s="124"/>
      <c r="M29" s="33"/>
    </row>
    <row r="30" spans="2:13" ht="15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5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Md Roijul Islam</v>
      </c>
    </row>
    <row r="60" spans="1:16" ht="18" customHeight="1">
      <c r="B60" s="26" t="s">
        <v>68</v>
      </c>
      <c r="J60" s="26" t="s">
        <v>69</v>
      </c>
      <c r="K60" s="22" t="s">
        <v>113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102</v>
      </c>
      <c r="J62" s="133" t="str">
        <f>C9</f>
        <v>NUGCE(Noor United Gen. Contracting Est.)</v>
      </c>
      <c r="K62" s="133"/>
      <c r="L62" s="133"/>
      <c r="M62" s="133"/>
    </row>
    <row r="63" spans="1:16" ht="27.95" customHeight="1">
      <c r="A63" s="125" t="s">
        <v>72</v>
      </c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6" sqref="D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SAC2-DS-PO-0161</v>
      </c>
      <c r="C2" s="189" t="s">
        <v>74</v>
      </c>
      <c r="D2" s="189"/>
      <c r="E2" s="189"/>
      <c r="F2" s="189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45673</v>
      </c>
      <c r="C3" s="50"/>
      <c r="D3" s="51"/>
      <c r="E3" s="190" t="s">
        <v>76</v>
      </c>
      <c r="F3" s="190"/>
      <c r="G3" s="190"/>
      <c r="H3" s="190"/>
      <c r="I3" s="52"/>
    </row>
    <row r="4" spans="1:13" s="54" customFormat="1" ht="28.5" customHeight="1" thickTop="1">
      <c r="A4" s="191" t="s">
        <v>77</v>
      </c>
      <c r="B4" s="193" t="s">
        <v>78</v>
      </c>
      <c r="C4" s="194"/>
      <c r="D4" s="197" t="s">
        <v>79</v>
      </c>
      <c r="E4" s="197" t="s">
        <v>80</v>
      </c>
      <c r="F4" s="199" t="str">
        <f>'PO 1st page'!C9</f>
        <v>NUGCE(Noor United Gen. Contracting Est.)</v>
      </c>
      <c r="G4" s="200"/>
      <c r="H4" s="201" t="s">
        <v>81</v>
      </c>
      <c r="K4" s="55"/>
      <c r="L4" s="55"/>
      <c r="M4" s="55"/>
    </row>
    <row r="5" spans="1:13" s="54" customFormat="1" ht="21.95" customHeight="1">
      <c r="A5" s="192"/>
      <c r="B5" s="195"/>
      <c r="C5" s="196"/>
      <c r="D5" s="198"/>
      <c r="E5" s="198"/>
      <c r="F5" s="56" t="s">
        <v>82</v>
      </c>
      <c r="G5" s="56" t="s">
        <v>48</v>
      </c>
      <c r="H5" s="202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7" t="str">
        <f>+'MRS LIST'!B6</f>
        <v>Light Driver</v>
      </c>
      <c r="C6" s="188"/>
      <c r="D6" s="85" t="str">
        <f>+'MRS LIST'!G6</f>
        <v>HR</v>
      </c>
      <c r="E6" s="86">
        <f>+'MRS LIST'!H6</f>
        <v>1</v>
      </c>
      <c r="F6" s="87">
        <f>+'MRS LIST'!I6</f>
        <v>15</v>
      </c>
      <c r="G6" s="88">
        <f>+'MRS LIST'!J6</f>
        <v>15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5"/>
      <c r="C12" s="186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5"/>
      <c r="C13" s="186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5"/>
      <c r="C14" s="186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5"/>
      <c r="C15" s="186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5"/>
      <c r="C16" s="186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5"/>
      <c r="C17" s="186"/>
      <c r="D17" s="93"/>
      <c r="E17" s="94"/>
      <c r="F17" s="95"/>
      <c r="G17" s="96"/>
      <c r="H17" s="97"/>
    </row>
    <row r="18" spans="1:13" s="54" customFormat="1" ht="23.1" customHeight="1">
      <c r="A18" s="181" t="s">
        <v>83</v>
      </c>
      <c r="B18" s="182"/>
      <c r="C18" s="182"/>
      <c r="D18" s="182"/>
      <c r="E18" s="182"/>
      <c r="F18" s="182"/>
      <c r="G18" s="57">
        <f>SUM(G6:G17)</f>
        <v>15</v>
      </c>
      <c r="H18" s="58"/>
    </row>
    <row r="19" spans="1:13" s="54" customFormat="1" ht="23.1" customHeight="1">
      <c r="A19" s="181" t="s">
        <v>47</v>
      </c>
      <c r="B19" s="182"/>
      <c r="C19" s="182"/>
      <c r="D19" s="182"/>
      <c r="E19" s="182"/>
      <c r="F19" s="182"/>
      <c r="G19" s="57">
        <f>+G18*0.15</f>
        <v>2.25</v>
      </c>
      <c r="H19" s="58"/>
    </row>
    <row r="20" spans="1:13" s="54" customFormat="1" ht="24.95" customHeight="1" thickBot="1">
      <c r="A20" s="183" t="s">
        <v>84</v>
      </c>
      <c r="B20" s="184"/>
      <c r="C20" s="184"/>
      <c r="D20" s="184"/>
      <c r="E20" s="184"/>
      <c r="F20" s="184"/>
      <c r="G20" s="59">
        <f>G19+G18</f>
        <v>17.25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25" t="s">
        <v>86</v>
      </c>
      <c r="B24" s="125"/>
      <c r="C24" s="125"/>
      <c r="D24" s="125"/>
      <c r="E24" s="125"/>
      <c r="F24" s="125"/>
      <c r="G24" s="125"/>
      <c r="H24" s="125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2025-11-16T02:40:24Z</cp:lastPrinted>
  <dcterms:created xsi:type="dcterms:W3CDTF">2024-10-20T11:50:19Z</dcterms:created>
  <dcterms:modified xsi:type="dcterms:W3CDTF">2025-11-16T02:40:26Z</dcterms:modified>
</cp:coreProperties>
</file>