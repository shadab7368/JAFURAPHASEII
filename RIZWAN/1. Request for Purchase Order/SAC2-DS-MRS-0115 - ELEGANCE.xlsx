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07AA4596-F669-430A-A15B-7B73C9E297C2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  <c r="C26" i="3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59" i="3"/>
  <c r="E3" i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<sst xmlns="http://schemas.openxmlformats.org/spreadsheetml/2006/main" count="153" uniqueCount="118">
  <si>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</si>
  <si>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</si>
  <si>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</si>
  <si>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</si>
  <si>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</si>
  <si>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</si>
  <si>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</si>
  <si>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</si>
  <si>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</si>
  <si>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</si>
  <si>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</si>
  <si>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</si>
  <si>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</si>
  <si>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</si>
  <si>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</si>
  <si>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</si>
  <si>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</si>
  <si>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</si>
  <si>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</si>
  <si>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</si>
  <si>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</si>
  <si>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</si>
  <si>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</si>
  <si>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</si>
  <si>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</si>
  <si>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</si>
  <si>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</si>
  <si>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</si>
  <si>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</si>
  <si>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</si>
  <si>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</si>
  <si>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</si>
  <si>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</si>
  <si>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</si>
  <si>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</si>
  <si>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</si>
  <si>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</si>
  <si>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</si>
  <si>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</si>
  <si>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</si>
  <si>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</si>
  <si>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</si>
  <si>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</si>
  <si>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</si>
  <si>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</si>
  <si>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</si>
  <si>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</si>
  <si>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</si>
  <si>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</si>
  <si>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</si>
  <si>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</si>
  <si>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</si>
  <si>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</si>
  <si>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</si>
  <si>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</si>
  <si>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</si>
  <si>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</si>
  <si>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</si>
  <si>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</si>
  <si>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</si>
  <si>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</si>
  <si>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</si>
  <si>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</si>
  <si>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</si>
  <si>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</si>
  <si>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</si>
  <si>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</si>
  <si>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</si>
  <si>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</si>
  <si>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</si>
  <si>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</si>
  <si>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</si>
  <si>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</si>
  <si>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</si>
  <si>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</si>
  <si>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</si>
  <si>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</si>
  <si>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</si>
  <si>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</si>
  <si>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</si>
  <si>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</si>
  <si>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</si>
  <si>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</si>
  <si>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</si>
  <si>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</si>
  <si>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</si>
  <si>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</si>
  <si>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</si>
  <si>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</si>
  <si>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</si>
  <si>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</si>
  <si>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</si>
  <si>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</si>
  <si>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</si>
  <si>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</si>
  <si>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</si>
  <si>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</si>
  <si>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</si>
  <si>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</si>
  <si>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</si>
  <si>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</si>
  <si>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</si>
  <si>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HR</t>
  </si>
  <si>
    <t>Hourly Rate</t>
  </si>
  <si>
    <t>EECE</t>
  </si>
  <si>
    <t>EECE(Elegance East Contracting Est.)</t>
  </si>
  <si>
    <t>2050176801</t>
  </si>
  <si>
    <t>310031087600003</t>
  </si>
  <si>
    <t>Azmal</t>
  </si>
  <si>
    <t>Mobile No. +966 53 6373734 / email: azmal@eleganceksa.com</t>
  </si>
  <si>
    <t xml:space="preserve">Mobile: +966 53 6373734 </t>
  </si>
  <si>
    <t>Al Jubail , Kingdom of Saudi Arabia</t>
  </si>
  <si>
    <t>General Manager</t>
  </si>
  <si>
    <t>Branch of Hyundai Engineering and Const. Co., Ltd. (HDEC)</t>
  </si>
  <si>
    <t>BRANCH OF HYUNDAI ENG. &amp; CONST. CO., LTD.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</si>
  <si>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-MRS-0115</t>
    </r>
  </si>
  <si>
    <t>Work Permit Receiver</t>
  </si>
  <si>
    <t>ELEGANCE 25/0217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</si>
</sst>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3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8" fillId="3" borderId="0" xfId="5" applyNumberFormat="1" applyFont="1" applyFill="1"/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621632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4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895474" y="4983079"/>
              <a:ext cx="4211554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F20" sqref="F2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99</v>
      </c>
      <c r="B1" s="109"/>
      <c r="C1" s="109"/>
      <c r="D1" s="109"/>
      <c r="E1" s="109"/>
      <c r="F1" s="109"/>
      <c r="G1" s="1"/>
      <c r="J1" s="125" t="s">
        <v>90</v>
      </c>
      <c r="K1" s="126"/>
      <c r="L1" s="127"/>
    </row>
    <row r="2" spans="1:19" ht="20.100000000000001" customHeight="1">
      <c r="A2" s="3" t="s">
        <v>1</v>
      </c>
      <c r="B2" s="100"/>
      <c r="C2" s="100"/>
      <c r="D2" s="3" t="s">
        <v>98</v>
      </c>
      <c r="E2" s="100"/>
      <c r="F2" s="100"/>
      <c r="G2" s="100"/>
      <c r="H2" s="100"/>
      <c r="I2" s="4"/>
      <c r="J2" s="128" t="s">
        <v>97</v>
      </c>
      <c r="K2" s="129"/>
      <c r="L2" s="130"/>
    </row>
    <row r="3" spans="1:19" ht="20.100000000000001" customHeight="1">
      <c r="A3" s="3" t="s">
        <v>115</v>
      </c>
      <c r="B3" s="100"/>
      <c r="C3" s="100"/>
      <c r="D3" s="100"/>
      <c r="E3" s="131">
        <f>+L3</f>
        <v>45896</v>
      </c>
      <c r="F3" s="131"/>
      <c r="G3" s="131"/>
      <c r="H3" s="131"/>
      <c r="I3" s="131"/>
      <c r="J3" s="100"/>
      <c r="K3" s="100"/>
      <c r="L3" s="121">
        <v>45896</v>
      </c>
      <c r="M3" s="4"/>
    </row>
    <row r="4" spans="1:19" ht="15.95" customHeight="1">
      <c r="A4" s="132" t="s">
        <v>2</v>
      </c>
      <c r="B4" s="133" t="s">
        <v>3</v>
      </c>
      <c r="C4" s="133"/>
      <c r="D4" s="134" t="s">
        <v>4</v>
      </c>
      <c r="E4" s="135"/>
      <c r="F4" s="136"/>
      <c r="G4" s="140" t="s">
        <v>5</v>
      </c>
      <c r="H4" s="142" t="s">
        <v>6</v>
      </c>
      <c r="I4" s="142" t="s">
        <v>94</v>
      </c>
      <c r="J4" s="132" t="s">
        <v>95</v>
      </c>
      <c r="K4" s="142" t="s">
        <v>0</v>
      </c>
      <c r="L4" s="133" t="s">
        <v>7</v>
      </c>
    </row>
    <row r="5" spans="1:19" ht="15.95" customHeight="1">
      <c r="A5" s="132"/>
      <c r="B5" s="133"/>
      <c r="C5" s="133"/>
      <c r="D5" s="137"/>
      <c r="E5" s="138"/>
      <c r="F5" s="139"/>
      <c r="G5" s="141"/>
      <c r="H5" s="143"/>
      <c r="I5" s="143"/>
      <c r="J5" s="132"/>
      <c r="K5" s="143"/>
      <c r="L5" s="133"/>
    </row>
    <row r="6" spans="1:19" ht="22.5" customHeight="1">
      <c r="A6" s="5">
        <f t="shared" ref="A6:A15" si="0">ROW(A1)</f>
        <v>1</v>
      </c>
      <c r="B6" s="144" t="s">
        <v>116</v>
      </c>
      <c r="C6" s="145"/>
      <c r="D6" s="146"/>
      <c r="E6" s="147"/>
      <c r="F6" s="148"/>
      <c r="G6" s="110" t="s">
        <v>102</v>
      </c>
      <c r="H6" s="111">
        <v>1</v>
      </c>
      <c r="I6" s="112">
        <v>30</v>
      </c>
      <c r="J6" s="112">
        <f>I6*H6</f>
        <v>30</v>
      </c>
      <c r="K6" s="113" t="s">
        <v>104</v>
      </c>
      <c r="L6" s="114" t="s">
        <v>103</v>
      </c>
      <c r="S6" s="105"/>
    </row>
    <row r="7" spans="1:19" ht="22.5" customHeight="1">
      <c r="A7" s="5">
        <f t="shared" si="0"/>
        <v>2</v>
      </c>
      <c r="B7" s="144"/>
      <c r="C7" s="145"/>
      <c r="D7" s="149"/>
      <c r="E7" s="147"/>
      <c r="F7" s="148"/>
      <c r="G7" s="110"/>
      <c r="H7" s="111"/>
      <c r="I7" s="112"/>
      <c r="J7" s="112"/>
      <c r="K7" s="113"/>
      <c r="L7" s="114"/>
      <c r="S7" s="105"/>
    </row>
    <row r="8" spans="1:19" ht="22.5" customHeight="1">
      <c r="A8" s="5">
        <f t="shared" si="0"/>
        <v>3</v>
      </c>
      <c r="B8" s="144"/>
      <c r="C8" s="145"/>
      <c r="D8" s="146"/>
      <c r="E8" s="147"/>
      <c r="F8" s="148"/>
      <c r="G8" s="110"/>
      <c r="H8" s="111"/>
      <c r="I8" s="112"/>
      <c r="J8" s="112"/>
      <c r="K8" s="113"/>
      <c r="L8" s="114"/>
      <c r="P8" s="2" t="s">
        <v>101</v>
      </c>
      <c r="S8" s="105"/>
    </row>
    <row r="9" spans="1:19" ht="22.5" customHeight="1">
      <c r="A9" s="5">
        <f t="shared" si="0"/>
        <v>4</v>
      </c>
      <c r="B9" s="144"/>
      <c r="C9" s="145"/>
      <c r="D9" s="146"/>
      <c r="E9" s="147"/>
      <c r="F9" s="148"/>
      <c r="G9" s="110"/>
      <c r="H9" s="111"/>
      <c r="I9" s="112"/>
      <c r="J9" s="112"/>
      <c r="K9" s="113"/>
      <c r="L9" s="114"/>
      <c r="S9" s="105"/>
    </row>
    <row r="10" spans="1:19" ht="22.5" customHeight="1">
      <c r="A10" s="5">
        <f t="shared" si="0"/>
        <v>5</v>
      </c>
      <c r="B10" s="150"/>
      <c r="C10" s="150"/>
      <c r="D10" s="151"/>
      <c r="E10" s="151"/>
      <c r="F10" s="151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44"/>
      <c r="C11" s="145"/>
      <c r="D11" s="146"/>
      <c r="E11" s="147"/>
      <c r="F11" s="148"/>
      <c r="G11" s="110"/>
      <c r="H11" s="111"/>
      <c r="I11" s="112"/>
      <c r="J11" s="112">
        <f t="shared" ref="J11" si="1">H11*I11</f>
        <v>0</v>
      </c>
      <c r="K11" s="113"/>
      <c r="L11" s="114"/>
      <c r="S11" s="105"/>
    </row>
    <row r="12" spans="1:19" ht="22.5" customHeight="1">
      <c r="A12" s="5">
        <f t="shared" si="0"/>
        <v>7</v>
      </c>
      <c r="B12" s="150"/>
      <c r="C12" s="150"/>
      <c r="D12" s="151"/>
      <c r="E12" s="151"/>
      <c r="F12" s="151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44"/>
      <c r="C13" s="145"/>
      <c r="D13" s="146"/>
      <c r="E13" s="147"/>
      <c r="F13" s="148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44"/>
      <c r="C14" s="145"/>
      <c r="D14" s="146"/>
      <c r="E14" s="147"/>
      <c r="F14" s="148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44"/>
      <c r="C15" s="145"/>
      <c r="D15" s="146"/>
      <c r="E15" s="147"/>
      <c r="F15" s="148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52" t="s">
        <v>8</v>
      </c>
      <c r="B16" s="153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30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4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5"/>
      <c r="T19" s="14"/>
      <c r="U19" s="15"/>
      <c r="V19" s="14"/>
    </row>
    <row r="20" spans="1:22" ht="17.100000000000001" customHeight="1">
      <c r="O20" s="11"/>
      <c r="P20" s="11"/>
      <c r="Q20" s="11"/>
      <c r="S20" s="15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7" t="s">
        <v>17</v>
      </c>
      <c r="Q21" s="157" t="s">
        <v>18</v>
      </c>
    </row>
    <row r="22" spans="1:22" ht="18" customHeight="1">
      <c r="O22" s="18" t="s">
        <v>19</v>
      </c>
      <c r="P22" s="158"/>
      <c r="Q22" s="158"/>
      <c r="S22" s="154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5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9"/>
      <c r="P27" s="159"/>
      <c r="Q27" s="159"/>
    </row>
    <row r="28" spans="1:22" ht="19.899999999999999" customHeight="1">
      <c r="O28" s="159"/>
      <c r="P28" s="159"/>
      <c r="Q28" s="15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7" t="s">
        <v>21</v>
      </c>
    </row>
    <row r="41" spans="15:22" ht="19.899999999999999" customHeight="1">
      <c r="T41" s="158"/>
    </row>
    <row r="42" spans="15:22" ht="64.900000000000006" customHeight="1">
      <c r="T42" s="14"/>
    </row>
    <row r="46" spans="15:22" ht="21" customHeight="1">
      <c r="O46" s="157" t="s">
        <v>21</v>
      </c>
      <c r="P46" s="157" t="s">
        <v>21</v>
      </c>
      <c r="Q46" s="157" t="s">
        <v>21</v>
      </c>
      <c r="T46" s="157" t="s">
        <v>22</v>
      </c>
      <c r="U46" s="157" t="s">
        <v>13</v>
      </c>
      <c r="V46" s="157" t="s">
        <v>21</v>
      </c>
    </row>
    <row r="47" spans="15:22" ht="21" customHeight="1">
      <c r="O47" s="158"/>
      <c r="P47" s="158"/>
      <c r="Q47" s="158"/>
      <c r="T47" s="156"/>
      <c r="U47" s="156"/>
      <c r="V47" s="15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7" t="s">
        <v>21</v>
      </c>
      <c r="P50" s="157" t="s">
        <v>21</v>
      </c>
      <c r="Q50" s="157" t="s">
        <v>21</v>
      </c>
      <c r="T50" s="157" t="s">
        <v>13</v>
      </c>
      <c r="U50" s="157" t="s">
        <v>22</v>
      </c>
      <c r="V50" s="157" t="s">
        <v>21</v>
      </c>
    </row>
    <row r="51" spans="15:22" ht="21" customHeight="1">
      <c r="O51" s="158"/>
      <c r="P51" s="158"/>
      <c r="Q51" s="158"/>
      <c r="T51" s="156"/>
      <c r="U51" s="156"/>
      <c r="V51" s="15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96</v>
      </c>
      <c r="B1" s="99"/>
      <c r="C1" s="99"/>
      <c r="D1" s="99"/>
      <c r="E1" s="99"/>
      <c r="F1" s="99"/>
      <c r="G1" s="1"/>
      <c r="J1" s="125" t="str">
        <f>+MRS!J1</f>
        <v>DAESHIN PLANT</v>
      </c>
      <c r="K1" s="127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28" t="str">
        <f>+MRS!J2</f>
        <v>Subcontract name (SAC2-SC-IK-SMP-01)</v>
      </c>
      <c r="K2" s="130"/>
    </row>
    <row r="3" spans="1:18" ht="24.95" customHeight="1">
      <c r="A3" s="3" t="str">
        <f>+MRS!A3</f>
        <v xml:space="preserve">  MRS No : SAC2-DS-MRS-0115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45896</v>
      </c>
    </row>
    <row r="4" spans="1:18" ht="15.95" customHeight="1">
      <c r="A4" s="160" t="s">
        <v>2</v>
      </c>
      <c r="B4" s="161" t="s">
        <v>23</v>
      </c>
      <c r="C4" s="161"/>
      <c r="D4" s="160" t="s">
        <v>4</v>
      </c>
      <c r="E4" s="160"/>
      <c r="F4" s="160"/>
      <c r="G4" s="161" t="s">
        <v>5</v>
      </c>
      <c r="H4" s="160" t="s">
        <v>91</v>
      </c>
      <c r="I4" s="160" t="s">
        <v>24</v>
      </c>
      <c r="J4" s="160" t="s">
        <v>25</v>
      </c>
      <c r="K4" s="161" t="s">
        <v>7</v>
      </c>
    </row>
    <row r="5" spans="1:18" ht="15.95" customHeight="1">
      <c r="A5" s="160"/>
      <c r="B5" s="161"/>
      <c r="C5" s="161"/>
      <c r="D5" s="160"/>
      <c r="E5" s="160"/>
      <c r="F5" s="160"/>
      <c r="G5" s="161"/>
      <c r="H5" s="160"/>
      <c r="I5" s="160"/>
      <c r="J5" s="160"/>
      <c r="K5" s="161"/>
    </row>
    <row r="6" spans="1:18" ht="105" customHeight="1">
      <c r="A6" s="21">
        <f>+MRS!A6</f>
        <v>1</v>
      </c>
      <c r="B6" s="162" t="str">
        <f>MRS!B6</f>
        <v>Work Permit Receiver</v>
      </c>
      <c r="C6" s="163"/>
      <c r="D6" s="164">
        <f>MRS!D6</f>
        <v>0</v>
      </c>
      <c r="E6" s="165"/>
      <c r="F6" s="166"/>
      <c r="G6" s="102" t="str">
        <f>MRS!G6</f>
        <v>HR</v>
      </c>
      <c r="H6" s="102">
        <f>MRS!H6</f>
        <v>1</v>
      </c>
      <c r="I6" s="103">
        <f>MRS!I6</f>
        <v>30</v>
      </c>
      <c r="J6" s="103">
        <f>MRS!J6</f>
        <v>30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2">
        <f>MRS!B7</f>
        <v>0</v>
      </c>
      <c r="C7" s="163"/>
      <c r="D7" s="164">
        <f>MRS!D7</f>
        <v>0</v>
      </c>
      <c r="E7" s="165"/>
      <c r="F7" s="166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2">
        <f>MRS!B8</f>
        <v>0</v>
      </c>
      <c r="C8" s="163"/>
      <c r="D8" s="164">
        <f>MRS!D8</f>
        <v>0</v>
      </c>
      <c r="E8" s="165"/>
      <c r="F8" s="166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2">
        <f>MRS!B9</f>
        <v>0</v>
      </c>
      <c r="C9" s="163"/>
      <c r="D9" s="164">
        <f>MRS!D9</f>
        <v>0</v>
      </c>
      <c r="E9" s="165"/>
      <c r="F9" s="166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2">
        <f>MRS!B10</f>
        <v>0</v>
      </c>
      <c r="C10" s="163"/>
      <c r="D10" s="164">
        <f>MRS!D10</f>
        <v>0</v>
      </c>
      <c r="E10" s="165"/>
      <c r="F10" s="166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2">
        <f>MRS!B11</f>
        <v>0</v>
      </c>
      <c r="C11" s="163"/>
      <c r="D11" s="164">
        <f>MRS!D11</f>
        <v>0</v>
      </c>
      <c r="E11" s="165"/>
      <c r="F11" s="166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7"/>
      <c r="C12" s="168"/>
      <c r="D12" s="169"/>
      <c r="E12" s="170"/>
      <c r="F12" s="171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7"/>
      <c r="C13" s="168"/>
      <c r="D13" s="169"/>
      <c r="E13" s="170"/>
      <c r="F13" s="171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7"/>
      <c r="C14" s="168"/>
      <c r="D14" s="169"/>
      <c r="E14" s="170"/>
      <c r="F14" s="171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7"/>
      <c r="C15" s="168"/>
      <c r="D15" s="169"/>
      <c r="E15" s="170"/>
      <c r="F15" s="171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7"/>
      <c r="C16" s="168"/>
      <c r="D16" s="169"/>
      <c r="E16" s="170"/>
      <c r="F16" s="171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7"/>
      <c r="C17" s="168"/>
      <c r="D17" s="169"/>
      <c r="E17" s="170"/>
      <c r="F17" s="171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G29" sqref="G2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114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105</v>
      </c>
      <c r="D9" s="38"/>
      <c r="E9" s="38"/>
    </row>
    <row r="10" spans="2:13" s="38" customFormat="1">
      <c r="B10" s="71"/>
      <c r="C10" s="38" t="s">
        <v>32</v>
      </c>
      <c r="D10" s="75" t="s">
        <v>106</v>
      </c>
      <c r="J10" s="38" t="s">
        <v>33</v>
      </c>
      <c r="K10" s="173">
        <f>MRS!L3</f>
        <v>45896</v>
      </c>
      <c r="L10" s="174"/>
      <c r="M10" s="174"/>
    </row>
    <row r="11" spans="2:13" s="38" customFormat="1">
      <c r="B11" s="71"/>
      <c r="C11" s="74" t="s">
        <v>34</v>
      </c>
      <c r="D11" s="75" t="s">
        <v>107</v>
      </c>
      <c r="J11" s="38" t="s">
        <v>35</v>
      </c>
      <c r="K11" s="175" t="str">
        <f>SUBSTITUTE(SUBSTITUTE(+MRS!A3,"  MRS No : ",""),"-MRS","-PO")</f>
        <v>SAC2-DS-PO-0115</v>
      </c>
      <c r="L11" s="175"/>
      <c r="M11" s="175"/>
    </row>
    <row r="12" spans="2:13" s="38" customFormat="1">
      <c r="B12" s="71"/>
      <c r="C12" s="74" t="s">
        <v>36</v>
      </c>
      <c r="D12" s="38" t="s">
        <v>108</v>
      </c>
      <c r="J12" s="38" t="s">
        <v>37</v>
      </c>
    </row>
    <row r="13" spans="2:13" s="38" customFormat="1">
      <c r="B13" s="71"/>
      <c r="C13" s="76"/>
      <c r="D13" s="75" t="s">
        <v>109</v>
      </c>
      <c r="J13" s="38" t="s">
        <v>38</v>
      </c>
    </row>
    <row r="14" spans="2:13" s="38" customFormat="1">
      <c r="B14" s="71"/>
      <c r="C14" s="76" t="s">
        <v>111</v>
      </c>
      <c r="J14" s="38" t="s">
        <v>39</v>
      </c>
      <c r="K14" s="38" t="s">
        <v>117</v>
      </c>
    </row>
    <row r="15" spans="2:13" s="38" customFormat="1">
      <c r="B15" s="71"/>
      <c r="C15" s="76" t="s">
        <v>110</v>
      </c>
      <c r="J15" s="38" t="s">
        <v>40</v>
      </c>
      <c r="K15" s="77">
        <v>45893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6" t="s">
        <v>41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42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43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44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45</v>
      </c>
    </row>
    <row r="26" spans="2:13" s="38" customFormat="1" ht="15" customHeight="1">
      <c r="B26" s="72"/>
      <c r="C26" s="75" t="str">
        <f>MRS!B6</f>
        <v>Work Permit Receiver</v>
      </c>
      <c r="M26" s="78" t="s">
        <v>46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24" t="s">
        <v>103</v>
      </c>
      <c r="G29" s="124"/>
      <c r="H29" s="124"/>
      <c r="M29" s="33"/>
    </row>
    <row r="30" spans="2:13" ht="15" customHeight="1">
      <c r="B30" s="32"/>
      <c r="C30" s="26" t="s">
        <v>50</v>
      </c>
      <c r="E30" s="26" t="s">
        <v>49</v>
      </c>
      <c r="F30" s="124"/>
      <c r="G30" s="124"/>
      <c r="H30" s="124"/>
    </row>
    <row r="31" spans="2:13" ht="15" customHeight="1">
      <c r="B31" s="32"/>
      <c r="C31" s="26" t="s">
        <v>51</v>
      </c>
      <c r="D31" s="34"/>
      <c r="E31" s="26" t="s">
        <v>49</v>
      </c>
      <c r="F31" s="124"/>
      <c r="G31" s="124"/>
      <c r="H31" s="124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5" t="s">
        <v>59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2"/>
      <c r="C43" s="35" t="s">
        <v>60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2"/>
      <c r="C44" s="35" t="s">
        <v>61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2"/>
      <c r="C45" s="35" t="s">
        <v>62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2"/>
      <c r="C46" s="38" t="s">
        <v>63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8" customFormat="1" ht="15" customHeight="1">
      <c r="B49" s="79" t="s">
        <v>65</v>
      </c>
      <c r="C49" s="80" t="s">
        <v>100</v>
      </c>
      <c r="P49" s="81"/>
    </row>
    <row r="50" spans="1:16" s="82" customFormat="1" ht="15" customHeight="1">
      <c r="B50" s="83" t="s">
        <v>65</v>
      </c>
      <c r="C50" s="80" t="s">
        <v>93</v>
      </c>
    </row>
    <row r="51" spans="1:16" s="82" customFormat="1" ht="15" customHeight="1">
      <c r="B51" s="83" t="s">
        <v>65</v>
      </c>
      <c r="C51" s="80" t="s">
        <v>92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2"/>
    </row>
    <row r="55" spans="1:16" ht="11.1" customHeight="1">
      <c r="B55" s="41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D12</f>
        <v>Azmal</v>
      </c>
    </row>
    <row r="60" spans="1:16" ht="18" customHeight="1">
      <c r="B60" s="26" t="s">
        <v>71</v>
      </c>
      <c r="J60" s="26" t="s">
        <v>72</v>
      </c>
      <c r="K60" s="22" t="s">
        <v>112</v>
      </c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113</v>
      </c>
      <c r="J62" s="180" t="str">
        <f>C9</f>
        <v>EECE(Elegance East Contracting Est.)</v>
      </c>
      <c r="K62" s="180"/>
      <c r="L62" s="180"/>
      <c r="M62" s="180"/>
    </row>
    <row r="63" spans="1:16" ht="27.95" customHeight="1">
      <c r="A63" s="172" t="s">
        <v>75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D16" sqref="D16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76</v>
      </c>
      <c r="B2" s="46" t="str">
        <f>+'PO 1st page'!K11</f>
        <v>SAC2-DS-PO-0115</v>
      </c>
      <c r="C2" s="183" t="s">
        <v>77</v>
      </c>
      <c r="D2" s="183"/>
      <c r="E2" s="183"/>
      <c r="F2" s="183"/>
      <c r="G2" s="47"/>
      <c r="H2" s="47"/>
    </row>
    <row r="3" spans="1:13" s="53" customFormat="1" ht="28.5" customHeight="1" thickBot="1">
      <c r="A3" s="48" t="s">
        <v>78</v>
      </c>
      <c r="B3" s="49">
        <f>+'PO 1st page'!K10</f>
        <v>45896</v>
      </c>
      <c r="C3" s="50"/>
      <c r="D3" s="51"/>
      <c r="E3" s="184" t="s">
        <v>79</v>
      </c>
      <c r="F3" s="184"/>
      <c r="G3" s="184"/>
      <c r="H3" s="184"/>
      <c r="I3" s="52"/>
    </row>
    <row r="4" spans="1:13" s="54" customFormat="1" ht="28.5" customHeight="1" thickTop="1">
      <c r="A4" s="185" t="s">
        <v>80</v>
      </c>
      <c r="B4" s="187" t="s">
        <v>81</v>
      </c>
      <c r="C4" s="188"/>
      <c r="D4" s="191" t="s">
        <v>82</v>
      </c>
      <c r="E4" s="191" t="s">
        <v>83</v>
      </c>
      <c r="F4" s="193" t="str">
        <f>'PO 1st page'!C9</f>
        <v>EECE(Elegance East Contracting Est.)</v>
      </c>
      <c r="G4" s="194"/>
      <c r="H4" s="195" t="s">
        <v>84</v>
      </c>
      <c r="K4" s="55"/>
      <c r="L4" s="55"/>
      <c r="M4" s="55"/>
    </row>
    <row r="5" spans="1:13" s="54" customFormat="1" ht="21.95" customHeight="1">
      <c r="A5" s="186"/>
      <c r="B5" s="189"/>
      <c r="C5" s="190"/>
      <c r="D5" s="192"/>
      <c r="E5" s="192"/>
      <c r="F5" s="56" t="s">
        <v>85</v>
      </c>
      <c r="G5" s="56" t="s">
        <v>51</v>
      </c>
      <c r="H5" s="196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1" t="str">
        <f>+'MRS LIST'!B6</f>
        <v>Work Permit Receiver</v>
      </c>
      <c r="C6" s="182"/>
      <c r="D6" s="85" t="str">
        <f>+'MRS LIST'!G6</f>
        <v>HR</v>
      </c>
      <c r="E6" s="86">
        <f>+'MRS LIST'!H6</f>
        <v>1</v>
      </c>
      <c r="F6" s="87">
        <f>+'MRS LIST'!I6</f>
        <v>30</v>
      </c>
      <c r="G6" s="88">
        <f>+'MRS LIST'!J6</f>
        <v>30</v>
      </c>
      <c r="H6" s="89" t="str">
        <f>MRS!L6</f>
        <v>Hourly Rate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81"/>
      <c r="C7" s="182"/>
      <c r="D7" s="85"/>
      <c r="E7" s="86"/>
      <c r="F7" s="87"/>
      <c r="G7" s="88"/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1"/>
      <c r="C8" s="182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1"/>
      <c r="C9" s="182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1"/>
      <c r="C10" s="182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1"/>
      <c r="C11" s="182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201"/>
      <c r="C12" s="202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201"/>
      <c r="C13" s="202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201"/>
      <c r="C14" s="202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201"/>
      <c r="C15" s="202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201"/>
      <c r="C16" s="202"/>
      <c r="D16" s="93"/>
      <c r="E16" s="94"/>
      <c r="F16" s="95"/>
      <c r="G16" s="96"/>
      <c r="H16" s="97"/>
      <c r="J16" s="54" t="s">
        <v>101</v>
      </c>
    </row>
    <row r="17" spans="1:13" s="54" customFormat="1" ht="32.1" customHeight="1">
      <c r="A17" s="92">
        <f t="shared" si="0"/>
        <v>12</v>
      </c>
      <c r="B17" s="201"/>
      <c r="C17" s="202"/>
      <c r="D17" s="93"/>
      <c r="E17" s="94"/>
      <c r="F17" s="95"/>
      <c r="G17" s="96"/>
      <c r="H17" s="97"/>
    </row>
    <row r="18" spans="1:13" s="54" customFormat="1" ht="23.1" customHeight="1">
      <c r="A18" s="197" t="s">
        <v>86</v>
      </c>
      <c r="B18" s="198"/>
      <c r="C18" s="198"/>
      <c r="D18" s="198"/>
      <c r="E18" s="198"/>
      <c r="F18" s="198"/>
      <c r="G18" s="57">
        <f>SUM(G6:G17)</f>
        <v>30</v>
      </c>
      <c r="H18" s="58"/>
    </row>
    <row r="19" spans="1:13" s="54" customFormat="1" ht="23.1" customHeight="1">
      <c r="A19" s="197" t="s">
        <v>50</v>
      </c>
      <c r="B19" s="198"/>
      <c r="C19" s="198"/>
      <c r="D19" s="198"/>
      <c r="E19" s="198"/>
      <c r="F19" s="198"/>
      <c r="G19" s="57">
        <f>+G18*0.15</f>
        <v>4.5</v>
      </c>
      <c r="H19" s="58"/>
    </row>
    <row r="20" spans="1:13" s="54" customFormat="1" ht="24.95" customHeight="1" thickBot="1">
      <c r="A20" s="199" t="s">
        <v>87</v>
      </c>
      <c r="B20" s="200"/>
      <c r="C20" s="200"/>
      <c r="D20" s="200"/>
      <c r="E20" s="200"/>
      <c r="F20" s="200"/>
      <c r="G20" s="59">
        <f>G19+G18</f>
        <v>34.5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ELEGANCE 25/0217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88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2" t="s">
        <v>89</v>
      </c>
      <c r="B24" s="172"/>
      <c r="C24" s="172"/>
      <c r="D24" s="172"/>
      <c r="E24" s="172"/>
      <c r="F24" s="172"/>
      <c r="G24" s="172"/>
      <c r="H24" s="172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2025-08-27T08:43:31Z</cp:lastPrinted>
  <dcterms:created xsi:type="dcterms:W3CDTF">2024-10-20T11:50:19Z</dcterms:created>
  <dcterms:modified xsi:type="dcterms:W3CDTF">2025-09-03T05:37:55Z</dcterms:modified>
</cp:coreProperties>
</file>