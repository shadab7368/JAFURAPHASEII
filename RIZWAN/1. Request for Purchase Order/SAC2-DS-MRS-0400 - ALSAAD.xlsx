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FFEB8AC3-3452-47C9-8B9D-92910292F3CB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MRS!$A$1:$L$23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F7" i="4"/>
  <c r="E7" i="4"/>
  <c r="D7" i="4"/>
  <c r="J7" i="1"/>
  <c r="C26" i="3"/>
  <c r="B10" i="4"/>
  <c r="B9" i="4"/>
  <c r="B8" i="4"/>
  <c r="E3" i="1"/>
  <c r="B7" i="4"/>
  <c r="P54" i="3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<sst xmlns="http://schemas.openxmlformats.org/spreadsheetml/2006/main" count="169" uniqueCount="138">
  <si>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</si>
  <si>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</si>
  <si>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</si>
  <si>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</si>
  <si>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</si>
  <si>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</si>
  <si>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</si>
  <si>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</si>
  <si>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</si>
  <si>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</si>
  <si>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</si>
  <si>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</si>
  <si>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</si>
  <si>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</si>
  <si>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</si>
  <si>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</si>
  <si>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</si>
  <si>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</si>
  <si>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</si>
  <si>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</si>
  <si>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</si>
  <si>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</si>
  <si>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</si>
  <si>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</si>
  <si>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</si>
  <si>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</si>
  <si>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</si>
  <si>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</si>
  <si>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</si>
  <si>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</si>
  <si>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</si>
  <si>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</si>
  <si>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</si>
  <si>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</si>
  <si>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</si>
  <si>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</si>
  <si>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</si>
  <si>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</si>
  <si>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</si>
  <si>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</si>
  <si>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</si>
  <si>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</si>
  <si>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</si>
  <si>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</si>
  <si>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</si>
  <si>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</si>
  <si>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</si>
  <si>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</si>
  <si>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</si>
  <si>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</si>
  <si>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</si>
  <si>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</si>
  <si>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</si>
  <si>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</si>
  <si>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</si>
  <si>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</si>
  <si>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</si>
  <si>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</si>
  <si>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</si>
  <si>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</si>
  <si>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</si>
  <si>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</si>
  <si>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</si>
  <si>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</si>
  <si>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</si>
  <si>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</si>
  <si>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</si>
  <si>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</si>
  <si>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</si>
  <si>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</si>
  <si>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</si>
  <si>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</si>
  <si>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</si>
  <si>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</si>
  <si>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</si>
  <si>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</si>
  <si>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</si>
  <si>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</si>
  <si>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</si>
  <si>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</si>
  <si>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</si>
  <si>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</si>
  <si>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</si>
  <si>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</si>
  <si>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Delivery &amp; Payment : Sang Yeun Cho / Daeshin Admin. [ Mobile No. : +966 53 926 8130 / Email : sycho@daeshinplant.com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</si>
  <si>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</si>
  <si>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</si>
  <si>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</si>
  <si>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</si>
  <si>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</si>
  <si>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</si>
  <si>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</si>
  <si>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</si>
  <si>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</si>
  <si>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</si>
  <si>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</si>
  <si>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</si>
  <si>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</si>
  <si>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</si>
  <si>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</si>
  <si>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</si>
  <si>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</si>
  <si>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-MRS-0400</t>
    </r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</si>
  <si>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</si>
  <si>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</si>
  <si>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</si>
  <si>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</si>
  <si>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</si>
  <si>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</si>
  <si>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</si>
  <si>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</si>
  <si>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</si>
  <si>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</si>
  <si>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</si>
  <si>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</si>
  <si>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</si>
  <si>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</si>
  <si>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RT Crane</t>
  </si>
  <si>
    <t>100 ton with aramco certified operator</t>
  </si>
  <si>
    <t>Month</t>
  </si>
  <si>
    <t>MSMA</t>
  </si>
  <si>
    <t>MSMA(Maryam Saad Mohammad Alazbah Est Operation and Maintenance)</t>
  </si>
  <si>
    <t>300704678500003</t>
  </si>
  <si>
    <t>2055127437</t>
  </si>
  <si>
    <t>Hashadullah</t>
  </si>
  <si>
    <t>Mobile:'+966 575879535 / Email:hashadullah@alsaadarbia.com</t>
  </si>
  <si>
    <t>Bldg No. 4491 Prince Muteb St. Al Jubail, KSA</t>
  </si>
  <si>
    <t>Mobile : +966 5755879535</t>
  </si>
  <si>
    <t>AS-EQP-0031-2026</t>
  </si>
  <si>
    <t>900132106670004</t>
  </si>
  <si>
    <t>SA87 1500 0900 1321 0667 0004</t>
  </si>
  <si>
    <t>BANK ALBILAD</t>
  </si>
  <si>
    <t>ALBISARI</t>
  </si>
  <si>
    <t>Mob. &amp; De-Mob. / per unit - lump sum</t>
  </si>
  <si>
    <t>L / S</t>
  </si>
  <si>
    <t>RT Crane Mob &amp; De-Mob. Charge</t>
  </si>
  <si>
    <t>One Time</t>
  </si>
  <si>
    <t>MARYAM SAAD MOHAMMAD ALAZBAH EST OPERATION AND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</si>
</sst>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2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0" fontId="43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0" fillId="3" borderId="0" xfId="5" applyFont="1" applyFill="1"/>
    <xf numFmtId="0" fontId="17" fillId="3" borderId="0" xfId="5" quotePrefix="1" applyFont="1" applyFill="1"/>
    <xf numFmtId="0" fontId="51" fillId="3" borderId="0" xfId="5" applyFont="1" applyFill="1"/>
    <xf numFmtId="15" fontId="26" fillId="3" borderId="0" xfId="5" applyNumberFormat="1" applyFont="1" applyFill="1"/>
    <xf numFmtId="0" fontId="5" fillId="2" borderId="21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6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170" fontId="58" fillId="0" borderId="7" xfId="3" applyNumberFormat="1" applyFont="1" applyBorder="1" applyAlignment="1">
      <alignment horizontal="right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27" fillId="3" borderId="0" xfId="5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52" fillId="3" borderId="0" xfId="5" applyFont="1" applyFill="1" applyAlignment="1">
      <alignment horizontal="left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24" xr:uid="{5C60D209-503F-4AED-A95B-9C3E18F28D92}"/>
    <cellStyle name="쉼표 [0] 2 2 3" xfId="20" xr:uid="{EBA98E55-EC04-4A2B-A29F-59299DB8002A}"/>
    <cellStyle name="쉼표 [0] 2 2 4" xfId="16" xr:uid="{2DDE89F6-41B5-4107-A88B-C097C7B68F20}"/>
    <cellStyle name="쉼표 [0] 2 2 5" xfId="12" xr:uid="{4011BE4A-961B-46BB-81D1-B56A830BAC27}"/>
    <cellStyle name="쉼표 2" xfId="9" xr:uid="{F2A3A689-A30F-4FCA-9C51-F28F11796A46}"/>
    <cellStyle name="쉼표 2 2" xfId="26" xr:uid="{2A5A6E3D-30BE-410B-9BE2-34E2ADE7A195}"/>
    <cellStyle name="쉼표 2 3" xfId="22" xr:uid="{0060C8BC-02D1-4D74-8C8C-15AB60297E4D}"/>
    <cellStyle name="쉼표 2 4" xfId="18" xr:uid="{479BD188-152E-4C58-A774-74338AB9BBEA}"/>
    <cellStyle name="쉼표 2 5" xfId="14" xr:uid="{440EEC9B-5D4B-4889-9187-469901DF9E6F}"/>
    <cellStyle name="표준 2 2" xfId="2" xr:uid="{12B761D3-4229-4E14-8168-D5975293A996}"/>
    <cellStyle name="표준 2 2 2" xfId="23" xr:uid="{03F5DEEC-F6A2-40A4-A7E2-41E179499C2E}"/>
    <cellStyle name="표준 2 2 3" xfId="19" xr:uid="{0F37FD9F-681B-4B68-9789-534D099A8179}"/>
    <cellStyle name="표준 2 2 4" xfId="15" xr:uid="{028261A8-6F91-44A3-A534-ECD6988F0CAB}"/>
    <cellStyle name="표준 2 2 5" xfId="11" xr:uid="{3BEF7497-D624-4BCC-B19F-A2A423A4ECD5}"/>
    <cellStyle name="표준 2 3 2 2" xfId="5" xr:uid="{BD51BFCC-3D36-446B-BE80-7856DF8371E9}"/>
    <cellStyle name="표준 2 3 2 2 2" xfId="25" xr:uid="{AAA135F6-00FB-4C2D-8074-479F8F68D853}"/>
    <cellStyle name="표준 2 3 2 2 3" xfId="21" xr:uid="{BCB21FA8-336F-4F7F-8261-8615092031C8}"/>
    <cellStyle name="표준 2 3 2 2 4" xfId="17" xr:uid="{2C802B4B-6AC7-49D4-B1F0-A3975777A4F2}"/>
    <cellStyle name="표준 2 3 2 2 5" xfId="13" xr:uid="{E6F9E5C0-EE94-4A32-AB1C-8AACB36CFC6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754982</xdr:colOff>
          <xdr:row>17</xdr:row>
          <xdr:rowOff>4010</xdr:rowOff>
        </xdr:from>
        <xdr:to>
          <xdr:col>11</xdr:col>
          <xdr:colOff>1602205</xdr:colOff>
          <xdr:row>22</xdr:row>
          <xdr:rowOff>551448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525A0B22-136B-5D06-E417-4D68E15F7BC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6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47061" y="5287878"/>
              <a:ext cx="8457197" cy="202130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O16" sqref="O1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31" t="s">
        <v>115</v>
      </c>
      <c r="B1" s="132"/>
      <c r="C1" s="106"/>
      <c r="D1" s="106"/>
      <c r="E1" s="106"/>
      <c r="F1" s="106"/>
      <c r="G1" s="1"/>
      <c r="J1" s="170" t="s">
        <v>81</v>
      </c>
      <c r="K1" s="171"/>
      <c r="L1" s="172"/>
    </row>
    <row r="2" spans="1:19" ht="20.100000000000001" customHeight="1">
      <c r="A2" s="3" t="s">
        <v>1</v>
      </c>
      <c r="B2" s="97"/>
      <c r="C2" s="97"/>
      <c r="D2" s="3" t="s">
        <v>116</v>
      </c>
      <c r="E2" s="97"/>
      <c r="F2" s="97"/>
      <c r="G2" s="97"/>
      <c r="H2" s="97"/>
      <c r="I2" s="4"/>
      <c r="J2" s="173" t="s">
        <v>89</v>
      </c>
      <c r="K2" s="174"/>
      <c r="L2" s="175"/>
    </row>
    <row r="3" spans="1:19" ht="20.100000000000001" customHeight="1">
      <c r="A3" s="3" t="s">
        <v>102</v>
      </c>
      <c r="B3" s="97"/>
      <c r="C3" s="97"/>
      <c r="D3" s="97"/>
      <c r="E3" s="176">
        <f>+L3+3</f>
        <v>46254</v>
      </c>
      <c r="F3" s="176"/>
      <c r="G3" s="176"/>
      <c r="H3" s="176"/>
      <c r="I3" s="176"/>
      <c r="J3" s="97"/>
      <c r="K3" s="97"/>
      <c r="L3" s="133">
        <v>46251</v>
      </c>
      <c r="M3" s="4"/>
    </row>
    <row r="4" spans="1:19" ht="15.95" customHeight="1">
      <c r="A4" s="177" t="s">
        <v>2</v>
      </c>
      <c r="B4" s="178" t="s">
        <v>3</v>
      </c>
      <c r="C4" s="178"/>
      <c r="D4" s="179" t="s">
        <v>4</v>
      </c>
      <c r="E4" s="180"/>
      <c r="F4" s="181"/>
      <c r="G4" s="185" t="s">
        <v>5</v>
      </c>
      <c r="H4" s="187" t="s">
        <v>6</v>
      </c>
      <c r="I4" s="187" t="s">
        <v>86</v>
      </c>
      <c r="J4" s="177" t="s">
        <v>87</v>
      </c>
      <c r="K4" s="187" t="s">
        <v>0</v>
      </c>
      <c r="L4" s="178" t="s">
        <v>7</v>
      </c>
    </row>
    <row r="5" spans="1:19" ht="15.95" customHeight="1">
      <c r="A5" s="177"/>
      <c r="B5" s="178"/>
      <c r="C5" s="178"/>
      <c r="D5" s="182"/>
      <c r="E5" s="183"/>
      <c r="F5" s="184"/>
      <c r="G5" s="186"/>
      <c r="H5" s="188"/>
      <c r="I5" s="188"/>
      <c r="J5" s="177"/>
      <c r="K5" s="188"/>
      <c r="L5" s="178"/>
    </row>
    <row r="6" spans="1:19" ht="45.75" customHeight="1">
      <c r="A6" s="5">
        <f t="shared" ref="A6:A15" si="0">ROW(A1)</f>
        <v>1</v>
      </c>
      <c r="B6" s="189" t="s">
        <v>117</v>
      </c>
      <c r="C6" s="190"/>
      <c r="D6" s="191" t="s">
        <v>118</v>
      </c>
      <c r="E6" s="192"/>
      <c r="F6" s="193"/>
      <c r="G6" s="107" t="s">
        <v>119</v>
      </c>
      <c r="H6" s="108">
        <v>1</v>
      </c>
      <c r="I6" s="109">
        <v>90000</v>
      </c>
      <c r="J6" s="109">
        <f>H6*I6</f>
        <v>90000</v>
      </c>
      <c r="K6" s="110" t="s">
        <v>120</v>
      </c>
      <c r="L6" s="111" t="s">
        <v>90</v>
      </c>
      <c r="S6" s="102"/>
    </row>
    <row r="7" spans="1:19" ht="36" customHeight="1">
      <c r="A7" s="5">
        <f t="shared" si="0"/>
        <v>2</v>
      </c>
      <c r="B7" s="189" t="s">
        <v>135</v>
      </c>
      <c r="C7" s="190"/>
      <c r="D7" s="194" t="s">
        <v>133</v>
      </c>
      <c r="E7" s="192"/>
      <c r="F7" s="193"/>
      <c r="G7" s="108" t="s">
        <v>134</v>
      </c>
      <c r="H7" s="108">
        <v>2</v>
      </c>
      <c r="I7" s="109">
        <v>4000</v>
      </c>
      <c r="J7" s="109">
        <f>H7*I7</f>
        <v>8000</v>
      </c>
      <c r="K7" s="110"/>
      <c r="L7" s="111" t="s">
        <v>136</v>
      </c>
      <c r="S7" s="102"/>
    </row>
    <row r="8" spans="1:19" ht="21" customHeight="1">
      <c r="A8" s="5">
        <f t="shared" si="0"/>
        <v>3</v>
      </c>
      <c r="B8" s="189"/>
      <c r="C8" s="190"/>
      <c r="D8" s="191"/>
      <c r="E8" s="192"/>
      <c r="F8" s="193"/>
      <c r="G8" s="107"/>
      <c r="H8" s="108"/>
      <c r="I8" s="109"/>
      <c r="J8" s="109"/>
      <c r="K8" s="110"/>
      <c r="L8" s="111"/>
      <c r="S8" s="102"/>
    </row>
    <row r="9" spans="1:19" ht="22.5" customHeight="1">
      <c r="A9" s="5">
        <f t="shared" si="0"/>
        <v>4</v>
      </c>
      <c r="B9" s="189"/>
      <c r="C9" s="190"/>
      <c r="D9" s="191"/>
      <c r="E9" s="192"/>
      <c r="F9" s="193"/>
      <c r="G9" s="107"/>
      <c r="H9" s="108"/>
      <c r="I9" s="109"/>
      <c r="J9" s="109"/>
      <c r="K9" s="110"/>
      <c r="L9" s="111"/>
      <c r="S9" s="102"/>
    </row>
    <row r="10" spans="1:19" ht="22.5" customHeight="1">
      <c r="A10" s="5">
        <f t="shared" si="0"/>
        <v>5</v>
      </c>
      <c r="B10" s="195"/>
      <c r="C10" s="195"/>
      <c r="D10" s="196"/>
      <c r="E10" s="196"/>
      <c r="F10" s="196"/>
      <c r="G10" s="107"/>
      <c r="H10" s="108"/>
      <c r="I10" s="112"/>
      <c r="J10" s="109"/>
      <c r="K10" s="110"/>
      <c r="L10" s="107"/>
      <c r="S10" s="102"/>
    </row>
    <row r="11" spans="1:19" ht="22.5" customHeight="1">
      <c r="A11" s="5">
        <f t="shared" si="0"/>
        <v>6</v>
      </c>
      <c r="B11" s="189"/>
      <c r="C11" s="190"/>
      <c r="D11" s="191"/>
      <c r="E11" s="192"/>
      <c r="F11" s="193"/>
      <c r="G11" s="107"/>
      <c r="H11" s="108"/>
      <c r="I11" s="109"/>
      <c r="J11" s="109"/>
      <c r="K11" s="110"/>
      <c r="L11" s="111"/>
      <c r="S11" s="102"/>
    </row>
    <row r="12" spans="1:19" ht="22.5" customHeight="1">
      <c r="A12" s="5">
        <f t="shared" si="0"/>
        <v>7</v>
      </c>
      <c r="B12" s="195"/>
      <c r="C12" s="195"/>
      <c r="D12" s="196"/>
      <c r="E12" s="196"/>
      <c r="F12" s="196"/>
      <c r="G12" s="107"/>
      <c r="H12" s="108"/>
      <c r="I12" s="112"/>
      <c r="J12" s="109"/>
      <c r="K12" s="110"/>
      <c r="L12" s="107"/>
      <c r="S12" s="102"/>
    </row>
    <row r="13" spans="1:19" ht="22.5" customHeight="1">
      <c r="A13" s="5">
        <f t="shared" si="0"/>
        <v>8</v>
      </c>
      <c r="B13" s="189"/>
      <c r="C13" s="190"/>
      <c r="D13" s="191"/>
      <c r="E13" s="192"/>
      <c r="F13" s="193"/>
      <c r="G13" s="107"/>
      <c r="H13" s="108"/>
      <c r="I13" s="109"/>
      <c r="J13" s="109"/>
      <c r="K13" s="110"/>
      <c r="L13" s="111"/>
      <c r="S13" s="102"/>
    </row>
    <row r="14" spans="1:19" ht="22.5" customHeight="1">
      <c r="A14" s="5">
        <f t="shared" si="0"/>
        <v>9</v>
      </c>
      <c r="B14" s="189"/>
      <c r="C14" s="190"/>
      <c r="D14" s="191"/>
      <c r="E14" s="192"/>
      <c r="F14" s="193"/>
      <c r="G14" s="107"/>
      <c r="H14" s="108"/>
      <c r="I14" s="109"/>
      <c r="J14" s="109"/>
      <c r="K14" s="110"/>
      <c r="L14" s="111"/>
      <c r="S14" s="102"/>
    </row>
    <row r="15" spans="1:19" ht="22.5" customHeight="1">
      <c r="A15" s="5">
        <f t="shared" si="0"/>
        <v>10</v>
      </c>
      <c r="B15" s="189"/>
      <c r="C15" s="190"/>
      <c r="D15" s="191"/>
      <c r="E15" s="192"/>
      <c r="F15" s="193"/>
      <c r="G15" s="107"/>
      <c r="H15" s="108"/>
      <c r="I15" s="109"/>
      <c r="J15" s="109"/>
      <c r="K15" s="110"/>
      <c r="L15" s="111"/>
      <c r="S15" s="102"/>
    </row>
    <row r="16" spans="1:19" ht="22.5" customHeight="1">
      <c r="A16" s="197" t="s">
        <v>8</v>
      </c>
      <c r="B16" s="198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98000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61"/>
      <c r="Z18" s="11"/>
    </row>
    <row r="19" spans="1:26" ht="50.1" customHeight="1">
      <c r="Y19" s="162"/>
    </row>
    <row r="20" spans="1:26" ht="15" customHeight="1">
      <c r="O20" s="157" t="s">
        <v>103</v>
      </c>
      <c r="P20" s="163"/>
      <c r="Q20" s="163"/>
      <c r="R20" s="158"/>
      <c r="S20" s="124"/>
      <c r="T20" s="157" t="s">
        <v>104</v>
      </c>
      <c r="U20" s="163"/>
      <c r="V20" s="163"/>
      <c r="W20" s="163"/>
      <c r="X20" s="163"/>
      <c r="Y20" s="158"/>
    </row>
    <row r="21" spans="1:26" ht="15" customHeight="1">
      <c r="O21" s="164" t="s">
        <v>105</v>
      </c>
      <c r="P21" s="166" t="s">
        <v>106</v>
      </c>
      <c r="Q21" s="164" t="s">
        <v>107</v>
      </c>
      <c r="R21" s="166" t="s">
        <v>108</v>
      </c>
      <c r="S21" s="124"/>
      <c r="T21" s="164" t="s">
        <v>109</v>
      </c>
      <c r="U21" s="166" t="s">
        <v>110</v>
      </c>
      <c r="V21" s="157" t="s">
        <v>111</v>
      </c>
      <c r="W21" s="163"/>
      <c r="X21" s="158"/>
      <c r="Y21" s="166" t="s">
        <v>112</v>
      </c>
    </row>
    <row r="22" spans="1:26" ht="18" customHeight="1">
      <c r="O22" s="165"/>
      <c r="P22" s="167"/>
      <c r="Q22" s="165"/>
      <c r="R22" s="167"/>
      <c r="S22" s="125"/>
      <c r="T22" s="165"/>
      <c r="U22" s="167"/>
      <c r="V22" s="13" t="s">
        <v>105</v>
      </c>
      <c r="W22" s="168" t="s">
        <v>113</v>
      </c>
      <c r="X22" s="169"/>
      <c r="Y22" s="167"/>
    </row>
    <row r="23" spans="1:26" ht="50.1" customHeight="1">
      <c r="O23" s="14"/>
      <c r="P23" s="14"/>
      <c r="Q23" s="14"/>
      <c r="R23" s="14"/>
      <c r="S23" s="124"/>
      <c r="T23" s="14"/>
      <c r="U23" s="14"/>
      <c r="V23" s="14"/>
      <c r="W23" s="157"/>
      <c r="X23" s="158"/>
      <c r="Y23" s="126"/>
    </row>
    <row r="24" spans="1:26" ht="36" customHeight="1">
      <c r="W24" s="127"/>
      <c r="X24" s="159" t="s">
        <v>114</v>
      </c>
      <c r="Y24" s="12" t="s">
        <v>112</v>
      </c>
    </row>
    <row r="25" spans="1:26" ht="50.1" customHeight="1">
      <c r="O25" s="128"/>
      <c r="P25" s="128"/>
      <c r="Q25" s="128"/>
      <c r="R25" s="128"/>
      <c r="S25" s="128"/>
      <c r="T25" s="128"/>
      <c r="U25" s="128"/>
      <c r="V25" s="128"/>
      <c r="W25" s="129"/>
      <c r="X25" s="160"/>
      <c r="Y25" s="130"/>
    </row>
    <row r="26" spans="1:26" ht="19.899999999999999" customHeight="1"/>
    <row r="27" spans="1:26" ht="17.45" customHeight="1">
      <c r="O27" s="199"/>
      <c r="P27" s="199"/>
      <c r="Q27" s="199"/>
    </row>
    <row r="28" spans="1:26" ht="19.899999999999999" customHeight="1">
      <c r="O28" s="199"/>
      <c r="P28" s="199"/>
      <c r="Q28" s="199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6" t="s">
        <v>12</v>
      </c>
    </row>
    <row r="41" spans="15:22" ht="19.899999999999999" customHeight="1">
      <c r="T41" s="167"/>
    </row>
    <row r="42" spans="15:22" ht="64.900000000000006" customHeight="1">
      <c r="T42" s="14"/>
    </row>
    <row r="46" spans="15:22" ht="21" customHeight="1">
      <c r="O46" s="166" t="s">
        <v>12</v>
      </c>
      <c r="P46" s="166" t="s">
        <v>12</v>
      </c>
      <c r="Q46" s="166" t="s">
        <v>12</v>
      </c>
      <c r="T46" s="166" t="s">
        <v>13</v>
      </c>
      <c r="U46" s="166" t="s">
        <v>11</v>
      </c>
      <c r="V46" s="166" t="s">
        <v>12</v>
      </c>
    </row>
    <row r="47" spans="15:22" ht="21" customHeight="1">
      <c r="O47" s="167"/>
      <c r="P47" s="167"/>
      <c r="Q47" s="167"/>
      <c r="T47" s="165"/>
      <c r="U47" s="165"/>
      <c r="V47" s="16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6" t="s">
        <v>12</v>
      </c>
      <c r="P50" s="166" t="s">
        <v>12</v>
      </c>
      <c r="Q50" s="166" t="s">
        <v>12</v>
      </c>
      <c r="T50" s="166" t="s">
        <v>11</v>
      </c>
      <c r="U50" s="166" t="s">
        <v>13</v>
      </c>
      <c r="V50" s="166" t="s">
        <v>12</v>
      </c>
    </row>
    <row r="51" spans="15:22" ht="21" customHeight="1">
      <c r="O51" s="167"/>
      <c r="P51" s="167"/>
      <c r="Q51" s="167"/>
      <c r="T51" s="165"/>
      <c r="U51" s="165"/>
      <c r="V51" s="16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11" sqref="K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88</v>
      </c>
      <c r="B1" s="96"/>
      <c r="C1" s="96"/>
      <c r="D1" s="96"/>
      <c r="E1" s="96"/>
      <c r="F1" s="96"/>
      <c r="G1" s="1"/>
      <c r="J1" s="170" t="str">
        <f>+MRS!J1</f>
        <v>DAESHIN PLANT</v>
      </c>
      <c r="K1" s="172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73" t="str">
        <f>+MRS!J2</f>
        <v>Subcontract name (SAC2-SC-IK-SMP-01)</v>
      </c>
      <c r="K2" s="175"/>
    </row>
    <row r="3" spans="1:18" ht="24.95" customHeight="1">
      <c r="A3" s="3" t="str">
        <f>+MRS!A3</f>
        <v xml:space="preserve">  MRS No : SAC2-DS-MRS-0400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46251</v>
      </c>
    </row>
    <row r="4" spans="1:18" ht="15.95" customHeight="1">
      <c r="A4" s="200" t="s">
        <v>2</v>
      </c>
      <c r="B4" s="201" t="s">
        <v>14</v>
      </c>
      <c r="C4" s="201"/>
      <c r="D4" s="200" t="s">
        <v>4</v>
      </c>
      <c r="E4" s="200"/>
      <c r="F4" s="200"/>
      <c r="G4" s="201" t="s">
        <v>5</v>
      </c>
      <c r="H4" s="200" t="s">
        <v>82</v>
      </c>
      <c r="I4" s="200" t="s">
        <v>15</v>
      </c>
      <c r="J4" s="200" t="s">
        <v>16</v>
      </c>
      <c r="K4" s="201" t="s">
        <v>7</v>
      </c>
    </row>
    <row r="5" spans="1:18" ht="15.95" customHeight="1">
      <c r="A5" s="200"/>
      <c r="B5" s="201"/>
      <c r="C5" s="201"/>
      <c r="D5" s="200"/>
      <c r="E5" s="200"/>
      <c r="F5" s="200"/>
      <c r="G5" s="201"/>
      <c r="H5" s="200"/>
      <c r="I5" s="200"/>
      <c r="J5" s="200"/>
      <c r="K5" s="201"/>
    </row>
    <row r="6" spans="1:18" ht="105" customHeight="1">
      <c r="A6" s="17">
        <f>+MRS!A6</f>
        <v>1</v>
      </c>
      <c r="B6" s="202" t="str">
        <f>MRS!B6</f>
        <v>RT Crane</v>
      </c>
      <c r="C6" s="203"/>
      <c r="D6" s="204" t="str">
        <f>MRS!D6</f>
        <v>100 ton with aramco certified operator</v>
      </c>
      <c r="E6" s="205"/>
      <c r="F6" s="206"/>
      <c r="G6" s="99" t="str">
        <f>MRS!G6</f>
        <v>Month</v>
      </c>
      <c r="H6" s="99">
        <f>MRS!H6</f>
        <v>1</v>
      </c>
      <c r="I6" s="100">
        <f>MRS!I6</f>
        <v>90000</v>
      </c>
      <c r="J6" s="100">
        <f>MRS!J6</f>
        <v>90000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202" t="str">
        <f>MRS!B7</f>
        <v>RT Crane Mob &amp; De-Mob. Charge</v>
      </c>
      <c r="C7" s="203"/>
      <c r="D7" s="204" t="str">
        <f>MRS!D7</f>
        <v>Mob. &amp; De-Mob. / per unit - lump sum</v>
      </c>
      <c r="E7" s="205"/>
      <c r="F7" s="206"/>
      <c r="G7" s="99" t="str">
        <f>MRS!G7</f>
        <v>L / S</v>
      </c>
      <c r="H7" s="99">
        <f>MRS!H7</f>
        <v>2</v>
      </c>
      <c r="I7" s="100">
        <f>MRS!I7</f>
        <v>4000</v>
      </c>
      <c r="J7" s="100">
        <f>MRS!J7</f>
        <v>8000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202">
        <f>MRS!B8</f>
        <v>0</v>
      </c>
      <c r="C8" s="203"/>
      <c r="D8" s="204">
        <f>MRS!D8</f>
        <v>0</v>
      </c>
      <c r="E8" s="205"/>
      <c r="F8" s="206"/>
      <c r="G8" s="99">
        <f>MRS!G8</f>
        <v>0</v>
      </c>
      <c r="H8" s="99">
        <f>MRS!H8</f>
        <v>0</v>
      </c>
      <c r="I8" s="100">
        <f>MRS!I8</f>
        <v>0</v>
      </c>
      <c r="J8" s="100">
        <f>MRS!J8</f>
        <v>0</v>
      </c>
      <c r="K8" s="101"/>
      <c r="O8" s="102"/>
      <c r="P8" s="102"/>
      <c r="R8" s="102"/>
    </row>
    <row r="9" spans="1:18" ht="105" customHeight="1">
      <c r="A9" s="17">
        <f>+MRS!A9</f>
        <v>4</v>
      </c>
      <c r="B9" s="202">
        <f>MRS!B9</f>
        <v>0</v>
      </c>
      <c r="C9" s="203"/>
      <c r="D9" s="204">
        <f>MRS!D9</f>
        <v>0</v>
      </c>
      <c r="E9" s="205"/>
      <c r="F9" s="206"/>
      <c r="G9" s="99">
        <f>MRS!G9</f>
        <v>0</v>
      </c>
      <c r="H9" s="99">
        <f>MRS!H9</f>
        <v>0</v>
      </c>
      <c r="I9" s="100">
        <f>MRS!I9</f>
        <v>0</v>
      </c>
      <c r="J9" s="100">
        <f>MRS!J9</f>
        <v>0</v>
      </c>
      <c r="K9" s="101"/>
      <c r="O9" s="102"/>
      <c r="P9" s="102"/>
      <c r="R9" s="102"/>
    </row>
    <row r="10" spans="1:18" ht="105" customHeight="1">
      <c r="A10" s="17">
        <f>+MRS!A10</f>
        <v>5</v>
      </c>
      <c r="B10" s="202">
        <f>MRS!B10</f>
        <v>0</v>
      </c>
      <c r="C10" s="203"/>
      <c r="D10" s="204">
        <f>MRS!D10</f>
        <v>0</v>
      </c>
      <c r="E10" s="205"/>
      <c r="F10" s="206"/>
      <c r="G10" s="99">
        <f>MRS!G10</f>
        <v>0</v>
      </c>
      <c r="H10" s="99">
        <f>MRS!H10</f>
        <v>0</v>
      </c>
      <c r="I10" s="100">
        <f>MRS!I10</f>
        <v>0</v>
      </c>
      <c r="J10" s="100">
        <f>MRS!J10</f>
        <v>0</v>
      </c>
      <c r="K10" s="101"/>
      <c r="O10" s="102"/>
      <c r="P10" s="102"/>
      <c r="R10" s="102"/>
    </row>
    <row r="11" spans="1:18" ht="105" customHeight="1">
      <c r="A11" s="17">
        <f>+MRS!A11</f>
        <v>6</v>
      </c>
      <c r="B11" s="202">
        <f>MRS!B11</f>
        <v>0</v>
      </c>
      <c r="C11" s="203"/>
      <c r="D11" s="204">
        <f>MRS!D11</f>
        <v>0</v>
      </c>
      <c r="E11" s="205"/>
      <c r="F11" s="206"/>
      <c r="G11" s="99">
        <f>MRS!G11</f>
        <v>0</v>
      </c>
      <c r="H11" s="99">
        <f>MRS!H11</f>
        <v>0</v>
      </c>
      <c r="I11" s="100">
        <f>MRS!I11</f>
        <v>0</v>
      </c>
      <c r="J11" s="100">
        <f>MRS!J11</f>
        <v>0</v>
      </c>
      <c r="K11" s="101"/>
      <c r="O11" s="102"/>
      <c r="P11" s="102"/>
      <c r="R11" s="102"/>
    </row>
    <row r="12" spans="1:18" ht="105" customHeight="1">
      <c r="A12" s="17">
        <f>+MRS!A12</f>
        <v>7</v>
      </c>
      <c r="B12" s="207"/>
      <c r="C12" s="208"/>
      <c r="D12" s="209"/>
      <c r="E12" s="210"/>
      <c r="F12" s="211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207"/>
      <c r="C13" s="208"/>
      <c r="D13" s="209"/>
      <c r="E13" s="210"/>
      <c r="F13" s="211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207"/>
      <c r="C14" s="208"/>
      <c r="D14" s="209"/>
      <c r="E14" s="210"/>
      <c r="F14" s="211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207"/>
      <c r="C15" s="208"/>
      <c r="D15" s="209"/>
      <c r="E15" s="210"/>
      <c r="F15" s="211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207"/>
      <c r="C16" s="208"/>
      <c r="D16" s="209"/>
      <c r="E16" s="210"/>
      <c r="F16" s="211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207"/>
      <c r="C17" s="208"/>
      <c r="D17" s="209"/>
      <c r="E17" s="210"/>
      <c r="F17" s="211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54" zoomScale="130" zoomScaleNormal="100" zoomScaleSheetLayoutView="130" workbookViewId="0">
      <selection activeCell="F58" sqref="F58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92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121</v>
      </c>
      <c r="D9" s="35"/>
      <c r="E9" s="35"/>
    </row>
    <row r="10" spans="2:13" s="35" customFormat="1">
      <c r="B10" s="68"/>
      <c r="C10" s="35" t="s">
        <v>23</v>
      </c>
      <c r="D10" s="72" t="s">
        <v>123</v>
      </c>
      <c r="J10" s="35" t="s">
        <v>24</v>
      </c>
      <c r="K10" s="212">
        <f>MRS!L3</f>
        <v>46251</v>
      </c>
      <c r="L10" s="213"/>
      <c r="M10" s="213"/>
    </row>
    <row r="11" spans="2:13" s="35" customFormat="1">
      <c r="B11" s="68"/>
      <c r="C11" s="71" t="s">
        <v>25</v>
      </c>
      <c r="D11" s="72" t="s">
        <v>122</v>
      </c>
      <c r="J11" s="35" t="s">
        <v>26</v>
      </c>
      <c r="K11" s="214" t="str">
        <f>SUBSTITUTE(SUBSTITUTE(+MRS!A3,"  MRS No : ",""),"-MRS","-PO")</f>
        <v>SAC2-DS-PO-0400</v>
      </c>
      <c r="L11" s="214"/>
      <c r="M11" s="214"/>
    </row>
    <row r="12" spans="2:13" s="35" customFormat="1">
      <c r="B12" s="68"/>
      <c r="C12" s="71" t="s">
        <v>27</v>
      </c>
      <c r="D12" s="35" t="s">
        <v>124</v>
      </c>
      <c r="J12" s="35" t="s">
        <v>28</v>
      </c>
    </row>
    <row r="13" spans="2:13" s="35" customFormat="1">
      <c r="B13" s="68"/>
      <c r="C13" s="73"/>
      <c r="D13" s="72" t="s">
        <v>125</v>
      </c>
      <c r="J13" s="35" t="s">
        <v>29</v>
      </c>
    </row>
    <row r="14" spans="2:13" s="35" customFormat="1">
      <c r="B14" s="68"/>
      <c r="C14" s="73" t="s">
        <v>126</v>
      </c>
      <c r="J14" s="35" t="s">
        <v>30</v>
      </c>
      <c r="K14" s="35" t="s">
        <v>128</v>
      </c>
    </row>
    <row r="15" spans="2:13" s="35" customFormat="1">
      <c r="B15" s="68"/>
      <c r="C15" s="73" t="s">
        <v>127</v>
      </c>
      <c r="J15" s="35" t="s">
        <v>31</v>
      </c>
      <c r="K15" s="74">
        <v>46226</v>
      </c>
      <c r="L15" s="123"/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215" t="s">
        <v>32</v>
      </c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15"/>
    </row>
    <row r="19" spans="2:13" ht="12" customHeight="1"/>
    <row r="20" spans="2:13" s="27" customFormat="1" ht="12" customHeight="1">
      <c r="B20" s="216" t="s">
        <v>33</v>
      </c>
      <c r="C20" s="216"/>
      <c r="D20" s="216"/>
      <c r="E20" s="216"/>
      <c r="F20" s="216"/>
      <c r="G20" s="216"/>
      <c r="H20" s="216"/>
      <c r="I20" s="216"/>
      <c r="J20" s="216"/>
      <c r="K20" s="216"/>
      <c r="L20" s="216"/>
      <c r="M20" s="216"/>
    </row>
    <row r="21" spans="2:13" s="27" customFormat="1" ht="12" customHeight="1">
      <c r="B21" s="216" t="s">
        <v>34</v>
      </c>
      <c r="C21" s="216"/>
      <c r="D21" s="216"/>
      <c r="E21" s="216"/>
      <c r="F21" s="216"/>
      <c r="G21" s="216"/>
      <c r="H21" s="216"/>
      <c r="I21" s="216"/>
      <c r="J21" s="216"/>
      <c r="K21" s="216"/>
      <c r="L21" s="216"/>
      <c r="M21" s="216"/>
    </row>
    <row r="22" spans="2:13" s="27" customFormat="1" ht="12" customHeight="1">
      <c r="B22" s="216" t="s">
        <v>35</v>
      </c>
      <c r="C22" s="216"/>
      <c r="D22" s="216"/>
      <c r="E22" s="216"/>
      <c r="F22" s="216"/>
      <c r="G22" s="216"/>
      <c r="H22" s="216"/>
      <c r="I22" s="216"/>
      <c r="J22" s="216"/>
      <c r="K22" s="216"/>
      <c r="L22" s="216"/>
      <c r="M22" s="216"/>
    </row>
    <row r="23" spans="2:13" ht="6.95" customHeight="1"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7"/>
    </row>
    <row r="24" spans="2:13" ht="6.95" customHeight="1">
      <c r="B24" s="218"/>
      <c r="C24" s="218"/>
      <c r="D24" s="218"/>
      <c r="E24" s="218"/>
      <c r="F24" s="218"/>
      <c r="G24" s="218"/>
      <c r="H24" s="218"/>
      <c r="I24" s="218"/>
      <c r="J24" s="218"/>
      <c r="K24" s="218"/>
      <c r="L24" s="218"/>
      <c r="M24" s="218"/>
    </row>
    <row r="25" spans="2:13" s="28" customFormat="1" ht="15" customHeight="1">
      <c r="B25" s="28">
        <v>1</v>
      </c>
      <c r="C25" s="28" t="s">
        <v>36</v>
      </c>
    </row>
    <row r="26" spans="2:13" s="35" customFormat="1" ht="12" customHeight="1">
      <c r="B26" s="69"/>
      <c r="C26" s="72" t="str">
        <f>+MRS!B6&amp;" "&amp;MRS!D6</f>
        <v>RT Crane 100 ton with aramco certified operator</v>
      </c>
      <c r="M26" s="75" t="s">
        <v>37</v>
      </c>
    </row>
    <row r="27" spans="2:13" ht="12" customHeight="1">
      <c r="B27" s="28"/>
      <c r="C27" s="119"/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219" t="s">
        <v>90</v>
      </c>
      <c r="G29" s="219"/>
      <c r="H29" s="29"/>
      <c r="M29" s="30"/>
    </row>
    <row r="30" spans="2:13" ht="12" customHeight="1">
      <c r="B30" s="28"/>
      <c r="C30" s="22" t="s">
        <v>41</v>
      </c>
      <c r="E30" s="22" t="s">
        <v>40</v>
      </c>
      <c r="F30" s="219"/>
      <c r="G30" s="219"/>
    </row>
    <row r="31" spans="2:13" ht="12" customHeight="1">
      <c r="B31" s="28"/>
      <c r="C31" s="22" t="s">
        <v>42</v>
      </c>
      <c r="D31" s="31"/>
      <c r="E31" s="22" t="s">
        <v>40</v>
      </c>
      <c r="F31" s="219"/>
      <c r="G31" s="219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2" t="s">
        <v>50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51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52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53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54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5" customFormat="1" ht="12" customHeight="1">
      <c r="B49" s="76" t="s">
        <v>56</v>
      </c>
      <c r="C49" s="77" t="s">
        <v>84</v>
      </c>
      <c r="P49" s="78"/>
    </row>
    <row r="50" spans="2:16" s="79" customFormat="1" ht="12" customHeight="1">
      <c r="B50" s="80" t="s">
        <v>56</v>
      </c>
      <c r="C50" s="77" t="s">
        <v>85</v>
      </c>
    </row>
    <row r="51" spans="2:16" s="79" customFormat="1" ht="12" customHeight="1">
      <c r="B51" s="80" t="s">
        <v>56</v>
      </c>
      <c r="C51" s="77" t="s">
        <v>83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93</v>
      </c>
    </row>
    <row r="54" spans="2:16" ht="12" customHeight="1">
      <c r="B54" s="80" t="s">
        <v>56</v>
      </c>
      <c r="C54" s="120" t="s">
        <v>94</v>
      </c>
      <c r="F54" s="121" t="s">
        <v>137</v>
      </c>
      <c r="P54" s="22" t="str">
        <f>UPPER(F54)</f>
        <v>MARYAM SAAD MOHAMMAD ALAZBAH EST OPERATION AND MAINTENANCE</v>
      </c>
    </row>
    <row r="55" spans="2:16" ht="12" customHeight="1">
      <c r="B55" s="80" t="s">
        <v>56</v>
      </c>
      <c r="C55" s="120" t="s">
        <v>95</v>
      </c>
      <c r="F55" s="121" t="s">
        <v>129</v>
      </c>
    </row>
    <row r="56" spans="2:16" ht="12" customHeight="1">
      <c r="B56" s="80" t="s">
        <v>56</v>
      </c>
      <c r="C56" s="120" t="s">
        <v>96</v>
      </c>
      <c r="F56" s="121" t="s">
        <v>130</v>
      </c>
    </row>
    <row r="57" spans="2:16" ht="12" customHeight="1">
      <c r="B57" s="80" t="s">
        <v>56</v>
      </c>
      <c r="C57" s="120" t="s">
        <v>97</v>
      </c>
      <c r="F57" s="22" t="s">
        <v>131</v>
      </c>
    </row>
    <row r="58" spans="2:16" ht="12" customHeight="1">
      <c r="B58" s="80" t="s">
        <v>56</v>
      </c>
      <c r="C58" s="120" t="s">
        <v>98</v>
      </c>
      <c r="F58" s="22" t="s">
        <v>132</v>
      </c>
    </row>
    <row r="59" spans="2:16" ht="12" customHeight="1">
      <c r="B59" s="80" t="s">
        <v>56</v>
      </c>
      <c r="C59" s="120" t="s">
        <v>99</v>
      </c>
      <c r="F59" s="22" t="s">
        <v>100</v>
      </c>
    </row>
    <row r="60" spans="2:16" ht="12" customHeight="1">
      <c r="B60" s="80"/>
      <c r="C60" s="122" t="s">
        <v>101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Hashadullah</v>
      </c>
    </row>
    <row r="68" spans="1:13" ht="18" customHeight="1">
      <c r="B68" s="22" t="s">
        <v>62</v>
      </c>
      <c r="J68" s="22" t="s">
        <v>63</v>
      </c>
      <c r="K68" s="18"/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91</v>
      </c>
      <c r="J70" s="220" t="str">
        <f>C9</f>
        <v>MSMA(Maryam Saad Mohammad Alazbah Est Operation and Maintenance)</v>
      </c>
      <c r="K70" s="220"/>
      <c r="L70" s="220"/>
      <c r="M70" s="220"/>
    </row>
    <row r="71" spans="1:13" ht="27.95" customHeight="1">
      <c r="A71" s="154" t="s">
        <v>66</v>
      </c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4" zoomScaleSheetLayoutView="100" zoomScalePageLayoutView="55" workbookViewId="0">
      <selection activeCell="N13" sqref="N13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SAC2-DS-PO-0400</v>
      </c>
      <c r="C2" s="136" t="s">
        <v>68</v>
      </c>
      <c r="D2" s="136"/>
      <c r="E2" s="136"/>
      <c r="F2" s="136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46251</v>
      </c>
      <c r="C3" s="47"/>
      <c r="D3" s="48"/>
      <c r="E3" s="137" t="s">
        <v>70</v>
      </c>
      <c r="F3" s="137"/>
      <c r="G3" s="137"/>
      <c r="H3" s="137"/>
      <c r="I3" s="49"/>
    </row>
    <row r="4" spans="1:13" s="51" customFormat="1" ht="28.5" customHeight="1" thickTop="1">
      <c r="A4" s="138" t="s">
        <v>71</v>
      </c>
      <c r="B4" s="140" t="s">
        <v>72</v>
      </c>
      <c r="C4" s="141"/>
      <c r="D4" s="144" t="s">
        <v>73</v>
      </c>
      <c r="E4" s="144" t="s">
        <v>74</v>
      </c>
      <c r="F4" s="146" t="str">
        <f>'PO 1st page'!C9</f>
        <v>MSMA(Maryam Saad Mohammad Alazbah Est Operation and Maintenance)</v>
      </c>
      <c r="G4" s="147"/>
      <c r="H4" s="148" t="s">
        <v>75</v>
      </c>
      <c r="K4" s="52"/>
      <c r="L4" s="52"/>
      <c r="M4" s="52"/>
    </row>
    <row r="5" spans="1:13" s="51" customFormat="1" ht="21.95" customHeight="1">
      <c r="A5" s="139"/>
      <c r="B5" s="142"/>
      <c r="C5" s="143"/>
      <c r="D5" s="145"/>
      <c r="E5" s="145"/>
      <c r="F5" s="53" t="s">
        <v>76</v>
      </c>
      <c r="G5" s="53" t="s">
        <v>42</v>
      </c>
      <c r="H5" s="149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134" t="str">
        <f>CONCATENATE(MRS!B6," ",MRS!D6)</f>
        <v>RT Crane 100 ton with aramco certified operator</v>
      </c>
      <c r="C6" s="135"/>
      <c r="D6" s="82" t="str">
        <f>+'MRS LIST'!G6</f>
        <v>Month</v>
      </c>
      <c r="E6" s="83">
        <f>+'MRS LIST'!H6</f>
        <v>1</v>
      </c>
      <c r="F6" s="84">
        <f>+'MRS LIST'!I6</f>
        <v>90000</v>
      </c>
      <c r="G6" s="85">
        <f>+'MRS LIST'!J6</f>
        <v>90000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34" t="str">
        <f>CONCATENATE(MRS!B7," ",MRS!D7)</f>
        <v>RT Crane Mob &amp; De-Mob. Charge Mob. &amp; De-Mob. / per unit - lump sum</v>
      </c>
      <c r="C7" s="135"/>
      <c r="D7" s="82" t="str">
        <f>MRS!G7</f>
        <v>L / S</v>
      </c>
      <c r="E7" s="83">
        <f>+'MRS LIST'!H7</f>
        <v>2</v>
      </c>
      <c r="F7" s="84">
        <f>+'MRS LIST'!I7</f>
        <v>4000</v>
      </c>
      <c r="G7" s="85">
        <f>+'MRS LIST'!J7</f>
        <v>8000</v>
      </c>
      <c r="H7" s="86" t="s">
        <v>136</v>
      </c>
      <c r="K7" s="87"/>
      <c r="L7" s="88"/>
      <c r="M7" s="52"/>
    </row>
    <row r="8" spans="1:13" s="51" customFormat="1" ht="32.1" customHeight="1">
      <c r="A8" s="89">
        <f t="shared" si="0"/>
        <v>3</v>
      </c>
      <c r="B8" s="134" t="str">
        <f>CONCATENATE(MRS!B8," ",MRS!D8)</f>
        <v xml:space="preserve"> </v>
      </c>
      <c r="C8" s="135"/>
      <c r="D8" s="82"/>
      <c r="E8" s="83"/>
      <c r="F8" s="84"/>
      <c r="G8" s="85"/>
      <c r="H8" s="86"/>
      <c r="K8" s="52"/>
      <c r="L8" s="52"/>
      <c r="M8" s="52"/>
    </row>
    <row r="9" spans="1:13" s="51" customFormat="1" ht="32.1" customHeight="1">
      <c r="A9" s="89">
        <f t="shared" si="0"/>
        <v>4</v>
      </c>
      <c r="B9" s="134" t="str">
        <f>CONCATENATE(MRS!B9," ",MRS!D9)</f>
        <v xml:space="preserve"> </v>
      </c>
      <c r="C9" s="135"/>
      <c r="D9" s="82"/>
      <c r="E9" s="83"/>
      <c r="F9" s="84"/>
      <c r="G9" s="85"/>
      <c r="H9" s="94"/>
    </row>
    <row r="10" spans="1:13" s="51" customFormat="1" ht="32.1" customHeight="1">
      <c r="A10" s="89">
        <f t="shared" si="0"/>
        <v>5</v>
      </c>
      <c r="B10" s="134" t="str">
        <f>CONCATENATE(MRS!B10," ",MRS!D10)</f>
        <v xml:space="preserve"> </v>
      </c>
      <c r="C10" s="135"/>
      <c r="D10" s="82"/>
      <c r="E10" s="83"/>
      <c r="F10" s="84"/>
      <c r="G10" s="85"/>
      <c r="H10" s="94"/>
    </row>
    <row r="11" spans="1:13" s="51" customFormat="1" ht="32.1" customHeight="1">
      <c r="A11" s="89">
        <f t="shared" si="0"/>
        <v>6</v>
      </c>
      <c r="B11" s="134"/>
      <c r="C11" s="135"/>
      <c r="D11" s="82"/>
      <c r="E11" s="83"/>
      <c r="F11" s="84"/>
      <c r="G11" s="85"/>
      <c r="H11" s="94"/>
    </row>
    <row r="12" spans="1:13" s="51" customFormat="1" ht="32.1" customHeight="1">
      <c r="A12" s="89">
        <f t="shared" si="0"/>
        <v>7</v>
      </c>
      <c r="B12" s="155"/>
      <c r="C12" s="156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155"/>
      <c r="C13" s="156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155"/>
      <c r="C14" s="156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155"/>
      <c r="C15" s="156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155"/>
      <c r="C16" s="156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155"/>
      <c r="C17" s="156"/>
      <c r="D17" s="90"/>
      <c r="E17" s="91"/>
      <c r="F17" s="92"/>
      <c r="G17" s="93"/>
      <c r="H17" s="94"/>
    </row>
    <row r="18" spans="1:13" s="51" customFormat="1" ht="23.1" customHeight="1">
      <c r="A18" s="150" t="s">
        <v>77</v>
      </c>
      <c r="B18" s="151"/>
      <c r="C18" s="151"/>
      <c r="D18" s="151"/>
      <c r="E18" s="151"/>
      <c r="F18" s="151"/>
      <c r="G18" s="54">
        <f>SUM(G6:G17)</f>
        <v>98000</v>
      </c>
      <c r="H18" s="55"/>
    </row>
    <row r="19" spans="1:13" s="51" customFormat="1" ht="23.1" customHeight="1">
      <c r="A19" s="150" t="s">
        <v>41</v>
      </c>
      <c r="B19" s="151"/>
      <c r="C19" s="151"/>
      <c r="D19" s="151"/>
      <c r="E19" s="151"/>
      <c r="F19" s="151"/>
      <c r="G19" s="54">
        <f>+G18*0.15</f>
        <v>14700</v>
      </c>
      <c r="H19" s="55"/>
    </row>
    <row r="20" spans="1:13" s="51" customFormat="1" ht="24.95" customHeight="1" thickBot="1">
      <c r="A20" s="152" t="s">
        <v>78</v>
      </c>
      <c r="B20" s="153"/>
      <c r="C20" s="153"/>
      <c r="D20" s="153"/>
      <c r="E20" s="153"/>
      <c r="F20" s="153"/>
      <c r="G20" s="56">
        <f>G19+G18</f>
        <v>112700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AS-EQP-0031-2026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79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54" t="s">
        <v>80</v>
      </c>
      <c r="B24" s="154"/>
      <c r="C24" s="154"/>
      <c r="D24" s="154"/>
      <c r="E24" s="154"/>
      <c r="F24" s="154"/>
      <c r="G24" s="154"/>
      <c r="H24" s="154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2026-08-17T05:43:52Z</cp:lastPrinted>
  <dcterms:created xsi:type="dcterms:W3CDTF">2024-10-20T11:50:19Z</dcterms:created>
  <dcterms:modified xsi:type="dcterms:W3CDTF">2026-09-21T15:36:53Z</dcterms:modified>
</cp:coreProperties>
</file>