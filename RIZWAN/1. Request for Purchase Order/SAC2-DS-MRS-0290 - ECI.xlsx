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F8F8240-5ADD-41B3-9075-52A9143BA90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4" i="3" l="1"/>
  <c r="J9" i="1" l="1"/>
  <c r="J8" i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<sst xmlns="http://schemas.openxmlformats.org/spreadsheetml/2006/main" count="155" uniqueCount="130">
  <si>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</si>
  <si>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</si>
  <si>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</si>
  <si>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</si>
  <si>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</si>
  <si>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</si>
  <si>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</si>
  <si>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</si>
  <si>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</si>
  <si>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</si>
  <si>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</si>
  <si>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</si>
  <si>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</si>
  <si>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</si>
  <si>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</si>
  <si>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</si>
  <si>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</si>
  <si>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</si>
  <si>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</si>
  <si>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</si>
  <si>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</si>
  <si>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</si>
  <si>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</si>
  <si>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</si>
  <si>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</si>
  <si>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</si>
  <si>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</si>
  <si>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</si>
  <si>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</si>
  <si>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</si>
  <si>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</si>
  <si>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</si>
  <si>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</si>
  <si>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</si>
  <si>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</si>
  <si>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</si>
  <si>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</si>
  <si>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</si>
  <si>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</si>
  <si>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</si>
  <si>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</si>
  <si>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</si>
  <si>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</si>
  <si>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</si>
  <si>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</si>
  <si>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</si>
  <si>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</si>
  <si>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</si>
  <si>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</si>
  <si>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</si>
  <si>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</si>
  <si>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</si>
  <si>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</si>
  <si>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</si>
  <si>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</si>
  <si>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</si>
  <si>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</si>
  <si>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</si>
  <si>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</si>
  <si>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</si>
  <si>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</si>
  <si>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</si>
  <si>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</si>
  <si>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</si>
  <si>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</si>
  <si>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</si>
  <si>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</si>
  <si>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</si>
  <si>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</si>
  <si>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</si>
  <si>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</si>
  <si>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</si>
  <si>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</si>
  <si>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</si>
  <si>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</si>
  <si>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</si>
  <si>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</si>
  <si>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</si>
  <si>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</si>
  <si>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</si>
  <si>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</si>
  <si>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</si>
  <si>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</si>
  <si>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</si>
  <si>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</si>
  <si>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</si>
  <si>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</si>
  <si>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</si>
  <si>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</si>
  <si>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</si>
  <si>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</si>
  <si>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</si>
  <si>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</si>
  <si>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</si>
  <si>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</si>
  <si>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</si>
  <si>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</si>
  <si>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</si>
  <si>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</si>
  <si>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</si>
  <si>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</si>
  <si>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EA</t>
  </si>
  <si>
    <t>Visual Inspection of Materials</t>
  </si>
  <si>
    <t>2066002674</t>
  </si>
  <si>
    <t>310237629500003</t>
  </si>
  <si>
    <t>Ahmad Salih</t>
  </si>
  <si>
    <t>Operation Manager</t>
  </si>
  <si>
    <t>Email:eci@eccgroupksa.com</t>
  </si>
  <si>
    <t>Landline : +99 13 667 6999 / 667 6895</t>
  </si>
  <si>
    <t>ECI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</si>
  <si>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</si>
  <si>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</si>
  <si>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</si>
  <si>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</si>
  <si>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</si>
  <si>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</si>
  <si>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</si>
  <si>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</si>
  <si>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</si>
  <si>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</si>
  <si>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</si>
  <si>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Building No. 3193, Al Fayha Dist. Ras Tannurah 32817, KSA</t>
  </si>
  <si>
    <t>ENGINEERING CORNER FOR INSPECTION</t>
  </si>
  <si>
    <t>04356973000105</t>
  </si>
  <si>
    <t>SA75 1000 0004 3569 7300 0105</t>
  </si>
  <si>
    <t>ECI (Engineering Corner for Inspection Co. Ltd.)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</si>
  <si>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</si>
  <si>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-MRS-0290</t>
    </r>
  </si>
  <si>
    <t>Visual Inspection for Chain Block / Lever Block</t>
  </si>
  <si>
    <t>ECI-QT-0181/26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</si>
</sst>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44" t="s">
        <v>89</v>
      </c>
      <c r="K1" s="145"/>
      <c r="L1" s="146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7" t="s">
        <v>96</v>
      </c>
      <c r="K2" s="148"/>
      <c r="L2" s="149"/>
    </row>
    <row r="3" spans="1:18" ht="20.100000000000001" customHeight="1">
      <c r="A3" s="3" t="s">
        <v>127</v>
      </c>
      <c r="B3" s="100"/>
      <c r="C3" s="100"/>
      <c r="D3" s="100"/>
      <c r="E3" s="150">
        <f>+L3</f>
        <v>46134</v>
      </c>
      <c r="F3" s="150"/>
      <c r="G3" s="150"/>
      <c r="H3" s="150"/>
      <c r="I3" s="150"/>
      <c r="J3" s="100"/>
      <c r="K3" s="100"/>
      <c r="L3" s="121">
        <v>46134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93</v>
      </c>
      <c r="J4" s="151" t="s">
        <v>94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2" t="s">
        <v>128</v>
      </c>
      <c r="C6" s="133"/>
      <c r="D6" s="134"/>
      <c r="E6" s="135"/>
      <c r="F6" s="136"/>
      <c r="G6" s="110" t="s">
        <v>101</v>
      </c>
      <c r="H6" s="111">
        <v>35</v>
      </c>
      <c r="I6" s="112">
        <v>40</v>
      </c>
      <c r="J6" s="112">
        <f>H6*I6</f>
        <v>1400</v>
      </c>
      <c r="K6" s="113" t="s">
        <v>109</v>
      </c>
      <c r="L6" s="114" t="s">
        <v>126</v>
      </c>
      <c r="R6" s="105"/>
    </row>
    <row r="7" spans="1:18" ht="22.5" customHeight="1">
      <c r="A7" s="5">
        <f t="shared" si="0"/>
        <v>2</v>
      </c>
      <c r="B7" s="132"/>
      <c r="C7" s="133"/>
      <c r="D7" s="143"/>
      <c r="E7" s="135"/>
      <c r="F7" s="136"/>
      <c r="G7" s="110"/>
      <c r="H7" s="111"/>
      <c r="I7" s="112"/>
      <c r="J7" s="112">
        <f>H7*I7</f>
        <v>0</v>
      </c>
      <c r="K7" s="113"/>
      <c r="L7" s="114"/>
      <c r="R7" s="105"/>
    </row>
    <row r="8" spans="1:18" ht="22.5" customHeight="1">
      <c r="A8" s="5">
        <f t="shared" si="0"/>
        <v>3</v>
      </c>
      <c r="B8" s="132"/>
      <c r="C8" s="133"/>
      <c r="D8" s="134"/>
      <c r="E8" s="135"/>
      <c r="F8" s="136"/>
      <c r="G8" s="110"/>
      <c r="H8" s="111"/>
      <c r="I8" s="112"/>
      <c r="J8" s="112">
        <f>H8*I8</f>
        <v>0</v>
      </c>
      <c r="K8" s="113"/>
      <c r="L8" s="114"/>
      <c r="R8" s="105"/>
    </row>
    <row r="9" spans="1:18" ht="22.5" customHeight="1">
      <c r="A9" s="5">
        <f t="shared" si="0"/>
        <v>4</v>
      </c>
      <c r="B9" s="132"/>
      <c r="C9" s="133"/>
      <c r="D9" s="134"/>
      <c r="E9" s="135"/>
      <c r="F9" s="136"/>
      <c r="G9" s="110"/>
      <c r="H9" s="111"/>
      <c r="I9" s="112"/>
      <c r="J9" s="112">
        <f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41"/>
      <c r="C10" s="141"/>
      <c r="D10" s="142"/>
      <c r="E10" s="142"/>
      <c r="F10" s="142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7" t="s">
        <v>8</v>
      </c>
      <c r="B16" s="138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1400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29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29"/>
      <c r="P47" s="129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29"/>
      <c r="P51" s="129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SAC2-DS-MRS-0290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46134</v>
      </c>
    </row>
    <row r="4" spans="1:18" ht="15.95" customHeight="1">
      <c r="A4" s="173" t="s">
        <v>2</v>
      </c>
      <c r="B4" s="174" t="s">
        <v>20</v>
      </c>
      <c r="C4" s="174"/>
      <c r="D4" s="173" t="s">
        <v>4</v>
      </c>
      <c r="E4" s="173"/>
      <c r="F4" s="173"/>
      <c r="G4" s="174" t="s">
        <v>5</v>
      </c>
      <c r="H4" s="173" t="s">
        <v>90</v>
      </c>
      <c r="I4" s="173" t="s">
        <v>21</v>
      </c>
      <c r="J4" s="173" t="s">
        <v>22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Visual Inspection for Chain Block / Lever Block</v>
      </c>
      <c r="C6" s="169"/>
      <c r="D6" s="170">
        <f>MRS!D6</f>
        <v>0</v>
      </c>
      <c r="E6" s="171"/>
      <c r="F6" s="172"/>
      <c r="G6" s="102" t="str">
        <f>MRS!G6</f>
        <v>EA</v>
      </c>
      <c r="H6" s="102">
        <f>MRS!H6</f>
        <v>35</v>
      </c>
      <c r="I6" s="103">
        <f>MRS!I6</f>
        <v>40</v>
      </c>
      <c r="J6" s="103">
        <f>MRS!J6</f>
        <v>1400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8">
        <f>MRS!B7</f>
        <v>0</v>
      </c>
      <c r="C7" s="169"/>
      <c r="D7" s="170">
        <f>MRS!D7</f>
        <v>0</v>
      </c>
      <c r="E7" s="171"/>
      <c r="F7" s="172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8">
        <f>MRS!B9</f>
        <v>0</v>
      </c>
      <c r="C9" s="169"/>
      <c r="D9" s="170">
        <f>MRS!D9</f>
        <v>0</v>
      </c>
      <c r="E9" s="171"/>
      <c r="F9" s="172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8">
        <f>MRS!B10</f>
        <v>0</v>
      </c>
      <c r="C10" s="169"/>
      <c r="D10" s="170">
        <f>MRS!D10</f>
        <v>0</v>
      </c>
      <c r="E10" s="171"/>
      <c r="F10" s="172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8">
        <f>MRS!B11</f>
        <v>0</v>
      </c>
      <c r="C11" s="169"/>
      <c r="D11" s="170">
        <f>MRS!D11</f>
        <v>0</v>
      </c>
      <c r="E11" s="171"/>
      <c r="F11" s="172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125</v>
      </c>
      <c r="D9" s="38"/>
      <c r="E9" s="38"/>
    </row>
    <row r="10" spans="2:13" s="38" customFormat="1">
      <c r="B10" s="71"/>
      <c r="C10" s="38" t="s">
        <v>30</v>
      </c>
      <c r="D10" s="75" t="s">
        <v>103</v>
      </c>
      <c r="J10" s="38" t="s">
        <v>31</v>
      </c>
      <c r="K10" s="176">
        <f>MRS!L3</f>
        <v>46134</v>
      </c>
      <c r="L10" s="177"/>
      <c r="M10" s="177"/>
    </row>
    <row r="11" spans="2:13" s="38" customFormat="1">
      <c r="B11" s="71"/>
      <c r="C11" s="74" t="s">
        <v>32</v>
      </c>
      <c r="D11" s="75" t="s">
        <v>104</v>
      </c>
      <c r="J11" s="38" t="s">
        <v>33</v>
      </c>
      <c r="K11" s="178" t="str">
        <f>SUBSTITUTE(SUBSTITUTE(+MRS!A3,"  MRS No : ",""),"-MRS","-PO")</f>
        <v>SAC2-DS-PO-0290</v>
      </c>
      <c r="L11" s="178"/>
      <c r="M11" s="178"/>
    </row>
    <row r="12" spans="2:13" s="38" customFormat="1">
      <c r="B12" s="71"/>
      <c r="C12" s="74" t="s">
        <v>34</v>
      </c>
      <c r="D12" s="38" t="s">
        <v>105</v>
      </c>
      <c r="J12" s="38" t="s">
        <v>35</v>
      </c>
    </row>
    <row r="13" spans="2:13" s="38" customFormat="1">
      <c r="B13" s="71"/>
      <c r="C13" s="76"/>
      <c r="D13" s="75" t="s">
        <v>107</v>
      </c>
      <c r="J13" s="38" t="s">
        <v>36</v>
      </c>
    </row>
    <row r="14" spans="2:13" s="38" customFormat="1">
      <c r="B14" s="71"/>
      <c r="C14" s="76" t="s">
        <v>121</v>
      </c>
      <c r="J14" s="38" t="s">
        <v>37</v>
      </c>
      <c r="K14" s="38" t="s">
        <v>129</v>
      </c>
    </row>
    <row r="15" spans="2:13" s="38" customFormat="1">
      <c r="B15" s="71"/>
      <c r="C15" s="76" t="s">
        <v>108</v>
      </c>
      <c r="J15" s="38" t="s">
        <v>38</v>
      </c>
      <c r="K15" s="77">
        <v>46131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102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>
        <f>'PO 2nd page'!G18</f>
        <v>1400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>
        <f>'PO 2nd page'!G19</f>
        <v>210</v>
      </c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>
        <f>'PO 2nd page'!G20</f>
        <v>1610</v>
      </c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110</v>
      </c>
    </row>
    <row r="54" spans="2:16" ht="12" customHeight="1">
      <c r="B54" s="83" t="s">
        <v>63</v>
      </c>
      <c r="C54" s="125" t="s">
        <v>111</v>
      </c>
      <c r="F54" s="126" t="s">
        <v>122</v>
      </c>
      <c r="P54" s="26" t="str">
        <f>UPPER(F54)</f>
        <v>ENGINEERING CORNER FOR INSPECTION</v>
      </c>
    </row>
    <row r="55" spans="2:16" ht="12" customHeight="1">
      <c r="B55" s="83" t="s">
        <v>63</v>
      </c>
      <c r="C55" s="125" t="s">
        <v>112</v>
      </c>
      <c r="F55" s="126" t="s">
        <v>123</v>
      </c>
    </row>
    <row r="56" spans="2:16" ht="12" customHeight="1">
      <c r="B56" s="83" t="s">
        <v>63</v>
      </c>
      <c r="C56" s="125" t="s">
        <v>113</v>
      </c>
      <c r="F56" s="126" t="s">
        <v>124</v>
      </c>
    </row>
    <row r="57" spans="2:16" ht="12" customHeight="1">
      <c r="B57" s="83" t="s">
        <v>63</v>
      </c>
      <c r="C57" s="125" t="s">
        <v>114</v>
      </c>
      <c r="F57" s="26" t="s">
        <v>115</v>
      </c>
    </row>
    <row r="58" spans="2:16" ht="12" customHeight="1">
      <c r="B58" s="83" t="s">
        <v>63</v>
      </c>
      <c r="C58" s="125" t="s">
        <v>116</v>
      </c>
      <c r="F58" s="26" t="s">
        <v>117</v>
      </c>
    </row>
    <row r="59" spans="2:16" ht="12" customHeight="1">
      <c r="B59" s="83" t="s">
        <v>63</v>
      </c>
      <c r="C59" s="125" t="s">
        <v>118</v>
      </c>
      <c r="F59" s="26" t="s">
        <v>119</v>
      </c>
    </row>
    <row r="60" spans="2:16" ht="12" customHeight="1">
      <c r="B60" s="83"/>
      <c r="C60" s="127" t="s">
        <v>120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Ahmad Salih</v>
      </c>
    </row>
    <row r="68" spans="1:13" ht="18" customHeight="1">
      <c r="B68" s="26" t="s">
        <v>69</v>
      </c>
      <c r="J68" s="26" t="s">
        <v>70</v>
      </c>
      <c r="K68" s="22" t="s">
        <v>106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ECI (Engineering Corner for Inspection Co. Ltd.)</v>
      </c>
      <c r="K70" s="183"/>
      <c r="L70" s="183"/>
      <c r="M70" s="183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SAC2-DS-PO-0290</v>
      </c>
      <c r="C2" s="192" t="s">
        <v>76</v>
      </c>
      <c r="D2" s="192"/>
      <c r="E2" s="192"/>
      <c r="F2" s="192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46134</v>
      </c>
      <c r="C3" s="50"/>
      <c r="D3" s="51"/>
      <c r="E3" s="193" t="s">
        <v>78</v>
      </c>
      <c r="F3" s="193"/>
      <c r="G3" s="193"/>
      <c r="H3" s="193"/>
      <c r="I3" s="52"/>
    </row>
    <row r="4" spans="1:13" s="54" customFormat="1" ht="28.5" customHeight="1" thickTop="1">
      <c r="A4" s="194" t="s">
        <v>79</v>
      </c>
      <c r="B4" s="196" t="s">
        <v>80</v>
      </c>
      <c r="C4" s="197"/>
      <c r="D4" s="200" t="s">
        <v>81</v>
      </c>
      <c r="E4" s="200" t="s">
        <v>82</v>
      </c>
      <c r="F4" s="202" t="str">
        <f>'PO 1st page'!C9</f>
        <v>ECI (Engineering Corner for Inspection Co. Ltd.)</v>
      </c>
      <c r="G4" s="203"/>
      <c r="H4" s="204" t="s">
        <v>83</v>
      </c>
      <c r="K4" s="55"/>
      <c r="L4" s="55"/>
      <c r="M4" s="55"/>
    </row>
    <row r="5" spans="1:13" s="54" customFormat="1" ht="21.95" customHeight="1">
      <c r="A5" s="195"/>
      <c r="B5" s="198"/>
      <c r="C5" s="199"/>
      <c r="D5" s="201"/>
      <c r="E5" s="201"/>
      <c r="F5" s="56" t="s">
        <v>84</v>
      </c>
      <c r="G5" s="56" t="s">
        <v>49</v>
      </c>
      <c r="H5" s="20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90" t="str">
        <f>+'MRS LIST'!B6</f>
        <v>Visual Inspection for Chain Block / Lever Block</v>
      </c>
      <c r="C6" s="191"/>
      <c r="D6" s="85" t="str">
        <f>+'MRS LIST'!G6</f>
        <v>EA</v>
      </c>
      <c r="E6" s="86">
        <f>+'MRS LIST'!H6</f>
        <v>35</v>
      </c>
      <c r="F6" s="87">
        <f>+'MRS LIST'!I6</f>
        <v>40</v>
      </c>
      <c r="G6" s="88">
        <f>+'MRS LIST'!J6</f>
        <v>1400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90"/>
      <c r="C7" s="19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90"/>
      <c r="C8" s="19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90"/>
      <c r="C9" s="19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90"/>
      <c r="C10" s="19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90"/>
      <c r="C11" s="19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8"/>
      <c r="C12" s="189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8"/>
      <c r="C13" s="189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8"/>
      <c r="C14" s="189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4" customFormat="1" ht="23.1" customHeight="1">
      <c r="A18" s="184" t="s">
        <v>85</v>
      </c>
      <c r="B18" s="185"/>
      <c r="C18" s="185"/>
      <c r="D18" s="185"/>
      <c r="E18" s="185"/>
      <c r="F18" s="185"/>
      <c r="G18" s="57">
        <f>SUM(G6:G17)</f>
        <v>1400</v>
      </c>
      <c r="H18" s="58"/>
    </row>
    <row r="19" spans="1:13" s="54" customFormat="1" ht="23.1" customHeight="1">
      <c r="A19" s="184" t="s">
        <v>48</v>
      </c>
      <c r="B19" s="185"/>
      <c r="C19" s="185"/>
      <c r="D19" s="185"/>
      <c r="E19" s="185"/>
      <c r="F19" s="185"/>
      <c r="G19" s="57">
        <f>+G18*0.15</f>
        <v>210</v>
      </c>
      <c r="H19" s="58"/>
    </row>
    <row r="20" spans="1:13" s="54" customFormat="1" ht="24.95" customHeight="1" thickBot="1">
      <c r="A20" s="186" t="s">
        <v>86</v>
      </c>
      <c r="B20" s="187"/>
      <c r="C20" s="187"/>
      <c r="D20" s="187"/>
      <c r="E20" s="187"/>
      <c r="F20" s="187"/>
      <c r="G20" s="59">
        <f>G19+G18</f>
        <v>1610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ECI-QT-0181/26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2026-04-22T14:55:01Z</cp:lastPrinted>
  <dcterms:created xsi:type="dcterms:W3CDTF">2024-10-20T11:50:19Z</dcterms:created>
  <dcterms:modified xsi:type="dcterms:W3CDTF">2026-04-22T14:55:05Z</dcterms:modified>
</cp:coreProperties>
</file>