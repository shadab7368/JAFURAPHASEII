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E9CDC6A3-89D6-4157-9408-0B97144BF6C8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F29" i="3" s="1"/>
  <c r="F30" i="3" s="1"/>
  <c r="F31" i="3" s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<sst xmlns="http://schemas.openxmlformats.org/spreadsheetml/2006/main" count="150" uniqueCount="116">
  <si>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</si>
  <si>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</si>
  <si>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</si>
  <si>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</si>
  <si>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</si>
  <si>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</si>
  <si>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</si>
  <si>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</si>
  <si>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</si>
  <si>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</si>
  <si>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</si>
  <si>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</si>
  <si>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</si>
  <si>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</si>
  <si>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</si>
  <si>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</si>
  <si>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</si>
  <si>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</si>
  <si>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</si>
  <si>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</si>
  <si>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</si>
  <si>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</si>
  <si>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</si>
  <si>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</si>
  <si>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</si>
  <si>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</si>
  <si>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</si>
  <si>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</si>
  <si>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</si>
  <si>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</si>
  <si>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</si>
  <si>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</si>
  <si>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</si>
  <si>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</si>
  <si>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</si>
  <si>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</si>
  <si>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</si>
  <si>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</si>
  <si>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</si>
  <si>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</si>
  <si>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</si>
  <si>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</si>
  <si>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</si>
  <si>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</si>
  <si>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</si>
  <si>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</si>
  <si>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</si>
  <si>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</si>
  <si>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</si>
  <si>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</si>
  <si>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</si>
  <si>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</si>
  <si>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</si>
  <si>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</si>
  <si>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</si>
  <si>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</si>
  <si>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</si>
  <si>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</si>
  <si>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</si>
  <si>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</si>
  <si>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</si>
  <si>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</si>
  <si>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</si>
  <si>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</si>
  <si>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</si>
  <si>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</si>
  <si>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</si>
  <si>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</si>
  <si>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</si>
  <si>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</si>
  <si>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</si>
  <si>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</si>
  <si>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</si>
  <si>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</si>
  <si>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</si>
  <si>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</si>
  <si>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</si>
  <si>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</si>
  <si>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</si>
  <si>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</si>
  <si>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</si>
  <si>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</si>
  <si>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</si>
  <si>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</si>
  <si>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</si>
  <si>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</si>
  <si>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</si>
  <si>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</si>
  <si>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</si>
  <si>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</si>
  <si>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</si>
  <si>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</si>
  <si>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</si>
  <si>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</si>
  <si>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</si>
  <si>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</si>
  <si>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</si>
  <si>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</si>
  <si>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</si>
  <si>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</si>
  <si>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BWCT</t>
  </si>
  <si>
    <t>BWCT(Blue Arabian Ways Co. for Trading)</t>
  </si>
  <si>
    <t>311461390400003</t>
  </si>
  <si>
    <t>Mustafa Mohammed Ali</t>
  </si>
  <si>
    <t>+966 56 431 5378 / Email:bluearabiaways@gmail.com</t>
  </si>
  <si>
    <t>Floor No. 2 Office No. 11, Dammam Al Anud 32426 KSA</t>
  </si>
  <si>
    <t>Mobile : +966 56 431 5378</t>
  </si>
  <si>
    <t>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</si>
  <si>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-MRS-0033</t>
    </r>
  </si>
  <si>
    <t>Printer</t>
  </si>
  <si>
    <t>Xerox Printer C7130</t>
  </si>
  <si>
    <t>QT-BWC-2025-403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</si>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</sst>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9" fillId="3" borderId="0" xfId="5" applyFont="1" applyFill="1" applyAlignment="1">
      <alignment horizontal="left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9F977F09-C506-499B-98E6-6042EA3A529A}"/>
    <cellStyle name="쉼표 [0] 2 2 3" xfId="12" xr:uid="{621FAFD2-0684-43E5-9B62-64BBE172A758}"/>
    <cellStyle name="쉼표 2" xfId="9" xr:uid="{F2A3A689-A30F-4FCA-9C51-F28F11796A46}"/>
    <cellStyle name="쉼표 2 2" xfId="18" xr:uid="{10B0D54F-F460-409D-AEAD-21DD4C17B5CE}"/>
    <cellStyle name="쉼표 2 3" xfId="14" xr:uid="{91865BA9-B24D-44DE-9E3E-9F7DB6BEC4E0}"/>
    <cellStyle name="표준 2 2" xfId="2" xr:uid="{12B761D3-4229-4E14-8168-D5975293A996}"/>
    <cellStyle name="표준 2 2 2" xfId="15" xr:uid="{54239543-78A5-4935-B864-B6E703EDF136}"/>
    <cellStyle name="표준 2 2 3" xfId="11" xr:uid="{625E45F7-30E1-4657-A791-61897373BCC0}"/>
    <cellStyle name="표준 2 3 2 2" xfId="5" xr:uid="{BD51BFCC-3D36-446B-BE80-7856DF8371E9}"/>
    <cellStyle name="표준 2 3 2 2 2" xfId="17" xr:uid="{D1E8456A-9239-4EAE-9C86-139628C73E3C}"/>
    <cellStyle name="표준 2 3 2 2 3" xfId="13" xr:uid="{5BE377A8-3C53-4B51-A9CF-1D5EE5D5E4F3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340895</xdr:colOff>
          <xdr:row>17</xdr:row>
          <xdr:rowOff>0</xdr:rowOff>
        </xdr:from>
        <xdr:to>
          <xdr:col>11</xdr:col>
          <xdr:colOff>1644817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69895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10" sqref="O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112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114</v>
      </c>
      <c r="E2" s="101"/>
      <c r="F2" s="101"/>
      <c r="G2" s="101"/>
      <c r="H2" s="101"/>
      <c r="I2" s="4"/>
      <c r="J2" s="141" t="s">
        <v>115</v>
      </c>
      <c r="K2" s="142"/>
      <c r="L2" s="143"/>
    </row>
    <row r="3" spans="1:19" ht="20.100000000000001" customHeight="1">
      <c r="A3" s="3" t="s">
        <v>108</v>
      </c>
      <c r="B3" s="101"/>
      <c r="C3" s="101"/>
      <c r="D3" s="101"/>
      <c r="E3" s="128">
        <f>+L3</f>
        <v>45717</v>
      </c>
      <c r="F3" s="128"/>
      <c r="G3" s="128"/>
      <c r="H3" s="128"/>
      <c r="I3" s="128"/>
      <c r="J3" s="101"/>
      <c r="K3" s="101"/>
      <c r="L3" s="122">
        <v>45717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96</v>
      </c>
      <c r="J4" s="129" t="s">
        <v>97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2.5" customHeight="1">
      <c r="A6" s="5">
        <f t="shared" ref="A6:A15" si="0">ROW(A1)</f>
        <v>1</v>
      </c>
      <c r="B6" s="144" t="s">
        <v>109</v>
      </c>
      <c r="C6" s="145"/>
      <c r="D6" s="146" t="s">
        <v>110</v>
      </c>
      <c r="E6" s="147"/>
      <c r="F6" s="148"/>
      <c r="G6" s="111" t="s">
        <v>99</v>
      </c>
      <c r="H6" s="112">
        <v>1</v>
      </c>
      <c r="I6" s="113">
        <v>16794</v>
      </c>
      <c r="J6" s="113">
        <f>H6*I6</f>
        <v>16794</v>
      </c>
      <c r="K6" s="114" t="s">
        <v>100</v>
      </c>
      <c r="L6" s="115"/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16794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SAC2-DS-MRS-0033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45717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Printer</v>
      </c>
      <c r="C6" s="163"/>
      <c r="D6" s="164" t="str">
        <f>MRS!D6</f>
        <v>Xerox Printer C7130</v>
      </c>
      <c r="E6" s="165"/>
      <c r="F6" s="166"/>
      <c r="G6" s="103" t="str">
        <f>MRS!G6</f>
        <v>EA</v>
      </c>
      <c r="H6" s="103">
        <f>MRS!H6</f>
        <v>1</v>
      </c>
      <c r="I6" s="104">
        <f>MRS!I6</f>
        <v>16794</v>
      </c>
      <c r="J6" s="104">
        <f>MRS!J6</f>
        <v>16794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P18" sqref="P1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33</v>
      </c>
      <c r="D10" s="76">
        <v>2051242967</v>
      </c>
      <c r="J10" s="39" t="s">
        <v>34</v>
      </c>
      <c r="K10" s="173">
        <f>MRS!L3</f>
        <v>45717</v>
      </c>
      <c r="L10" s="174"/>
      <c r="M10" s="174"/>
    </row>
    <row r="11" spans="2:13" s="39" customFormat="1">
      <c r="B11" s="72"/>
      <c r="C11" s="75" t="s">
        <v>35</v>
      </c>
      <c r="D11" s="76" t="s">
        <v>102</v>
      </c>
      <c r="J11" s="39" t="s">
        <v>36</v>
      </c>
      <c r="K11" s="175" t="str">
        <f>SUBSTITUTE(SUBSTITUTE(+MRS!A3,"  MRS No : ",""),"-MRS","-PO")</f>
        <v>SAC2-DS-PO-0033</v>
      </c>
      <c r="L11" s="175"/>
      <c r="M11" s="175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104</v>
      </c>
      <c r="J13" s="39" t="s">
        <v>39</v>
      </c>
    </row>
    <row r="14" spans="2:13" s="39" customFormat="1">
      <c r="B14" s="72"/>
      <c r="C14" s="77" t="s">
        <v>105</v>
      </c>
      <c r="J14" s="39" t="s">
        <v>40</v>
      </c>
      <c r="K14" s="39" t="s">
        <v>111</v>
      </c>
    </row>
    <row r="15" spans="2:13" s="39" customFormat="1">
      <c r="B15" s="72"/>
      <c r="C15" s="77" t="s">
        <v>106</v>
      </c>
      <c r="J15" s="39" t="s">
        <v>41</v>
      </c>
      <c r="K15" s="78">
        <v>45698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110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>
        <f>MRS!J16</f>
        <v>16794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>
        <f>F29*15%</f>
        <v>2519.1</v>
      </c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>
        <f>+F29+F30</f>
        <v>19313.099999999999</v>
      </c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113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Mustafa Mohammed Ali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BWCT(Blue Arabian Ways Co. for Trading)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J14" sqref="J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SAC2-DS-PO-0033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45717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BWCT(Blue Arabian Ways Co. for Trading)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Printer</v>
      </c>
      <c r="C6" s="183"/>
      <c r="D6" s="86" t="str">
        <f>+'MRS LIST'!G6</f>
        <v>EA</v>
      </c>
      <c r="E6" s="87">
        <f>+'MRS LIST'!H6</f>
        <v>1</v>
      </c>
      <c r="F6" s="88">
        <f>+'MRS LIST'!I6</f>
        <v>16794</v>
      </c>
      <c r="G6" s="89">
        <f>+'MRS LIST'!J6</f>
        <v>16794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/>
      <c r="C7" s="18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88</v>
      </c>
      <c r="B18" s="199"/>
      <c r="C18" s="199"/>
      <c r="D18" s="199"/>
      <c r="E18" s="199"/>
      <c r="F18" s="199"/>
      <c r="G18" s="58">
        <f>SUM(G6:G17)</f>
        <v>16794</v>
      </c>
      <c r="H18" s="59"/>
    </row>
    <row r="19" spans="1:13" s="55" customFormat="1" ht="23.1" customHeight="1">
      <c r="A19" s="198" t="s">
        <v>51</v>
      </c>
      <c r="B19" s="199"/>
      <c r="C19" s="199"/>
      <c r="D19" s="199"/>
      <c r="E19" s="199"/>
      <c r="F19" s="199"/>
      <c r="G19" s="58">
        <f>+G18*0.15</f>
        <v>2519.1</v>
      </c>
      <c r="H19" s="59"/>
    </row>
    <row r="20" spans="1:13" s="55" customFormat="1" ht="24.95" customHeight="1" thickBot="1">
      <c r="A20" s="200" t="s">
        <v>89</v>
      </c>
      <c r="B20" s="201"/>
      <c r="C20" s="201"/>
      <c r="D20" s="201"/>
      <c r="E20" s="201"/>
      <c r="F20" s="201"/>
      <c r="G20" s="60">
        <f>G19+G18</f>
        <v>19313.099999999999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QT-BWC-2025-403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2025-03-09T06:07:23Z</cp:lastPrinted>
  <dcterms:created xsi:type="dcterms:W3CDTF">2024-10-20T11:50:19Z</dcterms:created>
  <dcterms:modified xsi:type="dcterms:W3CDTF">2025-03-09T06:13:29Z</dcterms:modified>
</cp:coreProperties>
</file>