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BC74C52-89B8-46BF-AAA6-38B77A5BA30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MRS!$A$1:$L$38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8" i="4"/>
  <c r="E28" i="4"/>
  <c r="F28" i="4"/>
  <c r="F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A21" i="4"/>
  <c r="A22" i="4"/>
  <c r="A23" i="4"/>
  <c r="A24" i="4"/>
  <c r="A25" i="4"/>
  <c r="A26" i="4"/>
  <c r="A27" i="4"/>
  <c r="A28" i="4"/>
  <c r="A15" i="4"/>
  <c r="A16" i="4"/>
  <c r="A17" i="4"/>
  <c r="A18" i="4"/>
  <c r="A19" i="4"/>
  <c r="A20" i="4"/>
  <c r="J15" i="1"/>
  <c r="G15" i="4" s="1"/>
  <c r="J16" i="1"/>
  <c r="G16" i="4" s="1"/>
  <c r="J17" i="1"/>
  <c r="G17" i="4" s="1"/>
  <c r="J18" i="1"/>
  <c r="G18" i="4" s="1"/>
  <c r="J19" i="1"/>
  <c r="G19" i="4" s="1"/>
  <c r="J20" i="1"/>
  <c r="G20" i="4" s="1"/>
  <c r="J21" i="1"/>
  <c r="G21" i="4" s="1"/>
  <c r="J22" i="1"/>
  <c r="G22" i="4" s="1"/>
  <c r="J23" i="1"/>
  <c r="G23" i="4" s="1"/>
  <c r="J24" i="1"/>
  <c r="G24" i="4" s="1"/>
  <c r="J25" i="1"/>
  <c r="G25" i="4" s="1"/>
  <c r="J26" i="1"/>
  <c r="G26" i="4" s="1"/>
  <c r="J27" i="1"/>
  <c r="G27" i="4" s="1"/>
  <c r="J28" i="1"/>
  <c r="G28" i="4" s="1"/>
  <c r="A14" i="1"/>
  <c r="A14" i="2" s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P54" i="3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J15" i="2"/>
  <c r="J14" i="1"/>
  <c r="J13" i="1"/>
  <c r="J12" i="1"/>
  <c r="J11" i="1"/>
  <c r="J10" i="1"/>
  <c r="J9" i="1"/>
  <c r="J8" i="1"/>
  <c r="J7" i="1"/>
  <c r="J6" i="1"/>
  <c r="J29" i="1" l="1"/>
  <c r="J14" i="2"/>
  <c r="G14" i="4"/>
  <c r="J13" i="2"/>
  <c r="G13" i="4"/>
  <c r="J12" i="2"/>
  <c r="G12" i="4"/>
  <c r="J11" i="2"/>
  <c r="G11" i="4"/>
  <c r="J10" i="2"/>
  <c r="G10" i="4"/>
  <c r="J9" i="2"/>
  <c r="G9" i="4"/>
  <c r="J8" i="2"/>
  <c r="G8" i="4"/>
  <c r="J7" i="2"/>
  <c r="G7" i="4"/>
  <c r="J6" i="2"/>
  <c r="G6" i="4"/>
  <c r="K67" i="3"/>
  <c r="E3" i="1"/>
  <c r="K10" i="3" l="1"/>
  <c r="A32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29" i="4" l="1"/>
  <c r="F29" i="3" s="1"/>
  <c r="G30" i="4" l="1"/>
  <c r="F30" i="3" s="1"/>
  <c r="G31" i="4" l="1"/>
  <c r="F31" i="3" s="1"/>
</calcChain>
</file>

<file path=xl/sharedStrings.xml><?xml version="1.0" encoding="utf-8"?>
<sst xmlns="http://schemas.openxmlformats.org/spreadsheetml/2006/main" count="222" uniqueCount="157">
  <si>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</si>
  <si>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</si>
  <si>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</si>
  <si>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</si>
  <si>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</si>
  <si>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</si>
  <si>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</si>
  <si>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</si>
  <si>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</si>
  <si>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</si>
  <si>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</si>
  <si>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</si>
  <si>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</si>
  <si>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</si>
  <si>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</si>
  <si>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</si>
  <si>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</si>
  <si>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</si>
  <si>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</si>
  <si>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</si>
  <si>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</si>
  <si>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</si>
  <si>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</si>
  <si>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</si>
  <si>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</si>
  <si>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</si>
  <si>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</si>
  <si>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</si>
  <si>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</si>
  <si>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</si>
  <si>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</si>
  <si>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</si>
  <si>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</si>
  <si>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</si>
  <si>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</si>
  <si>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</si>
  <si>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</si>
  <si>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</si>
  <si>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</si>
  <si>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</si>
  <si>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</si>
  <si>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</si>
  <si>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</si>
  <si>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</si>
  <si>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</si>
  <si>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</si>
  <si>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</si>
  <si>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</si>
  <si>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</si>
  <si>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</si>
  <si>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</si>
  <si>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</si>
  <si>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</si>
  <si>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</si>
  <si>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</si>
  <si>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</si>
  <si>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</si>
  <si>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</si>
  <si>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</si>
  <si>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</si>
  <si>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</si>
  <si>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</si>
  <si>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</si>
  <si>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</si>
  <si>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</si>
  <si>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</si>
  <si>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</si>
  <si>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</si>
  <si>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</si>
  <si>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</si>
  <si>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</si>
  <si>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</si>
  <si>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</si>
  <si>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</si>
  <si>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</si>
  <si>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</si>
  <si>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</si>
  <si>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</si>
  <si>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</si>
  <si>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</si>
  <si>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</si>
  <si>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</si>
  <si>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</si>
  <si>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</si>
  <si>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</si>
  <si>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</si>
  <si>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</si>
  <si>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</si>
  <si>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</si>
  <si>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</si>
  <si>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</si>
  <si>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</si>
  <si>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</si>
  <si>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</si>
  <si>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</si>
  <si>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</si>
  <si>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</si>
  <si>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</si>
  <si>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</si>
  <si>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</si>
  <si>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</si>
  <si>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</si>
  <si>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</si>
  <si>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</si>
  <si>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</si>
  <si>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</si>
  <si>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</si>
  <si>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</si>
  <si>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</si>
  <si>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</si>
  <si>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</si>
  <si>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ZSAAC (Zainab Saeed Al Abdul Aal Contracting Est.)</t>
  </si>
  <si>
    <t>2050107776</t>
  </si>
  <si>
    <t>3021683249000003</t>
  </si>
  <si>
    <t>Mamun Rasid</t>
  </si>
  <si>
    <t>Mobile No. +966 57 243 0548, Email: info@primeworkforcehub.com</t>
  </si>
  <si>
    <t>Building No. 2210, Najmah Street, Al Qatif - 32645, KSA</t>
  </si>
  <si>
    <t>Mobile: +966 57 243 0548</t>
  </si>
  <si>
    <t>ZAINAB SAEED AL ABDUL AAL CONTRACTING EST.</t>
  </si>
  <si>
    <t>3263232849940</t>
  </si>
  <si>
    <t>SA05 2000 0003 2632 3284 9940</t>
  </si>
  <si>
    <t>RIYAD BANK</t>
  </si>
  <si>
    <t>RIBLSARI</t>
  </si>
  <si>
    <t>Sales &amp; Purchasing Manager</t>
  </si>
  <si>
    <t>EA</t>
  </si>
  <si>
    <t>ZAINAB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</si>
  <si>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-MRS-0331</t>
    </r>
  </si>
  <si>
    <t>SPW, SS 316L/ FG SS316L OR, SIZE : 1" 150</t>
  </si>
  <si>
    <t>SPW, SS 316L/ FG SS316L OR, SIZE : 3" 150</t>
  </si>
  <si>
    <t>SPW, SS 316L/ FG SS316L OR, SIZE : 4" 150</t>
  </si>
  <si>
    <t>SPW, SS 316L/ FG SS316L OR, SIZE : 6" 150</t>
  </si>
  <si>
    <t>SPW, SS 316L/ FG SS316L OR, SIZE : 1" 300</t>
  </si>
  <si>
    <t>SPW, SS 316L/ FG SS316L OR, SIZE : 2" 300</t>
  </si>
  <si>
    <t>SPW, SS 316L/ FG SS316L OR, SIZE : 3" 300</t>
  </si>
  <si>
    <t>SPW, SS 316L/ FG SS316L OR, SIZE : 4" 300</t>
  </si>
  <si>
    <t>SPW, SS 316L/ FG SS316L OR, SIZE : 6" 300</t>
  </si>
  <si>
    <t>SPW, SS 316L/ FG SS316L OR, SIZE : 1" 600</t>
  </si>
  <si>
    <t>SPW, SS 316L/ FG SS316L OR, SIZE : 2" 600</t>
  </si>
  <si>
    <t>SPW, SS 316L/ FG SS316L OR, SIZE : 3" 600</t>
  </si>
  <si>
    <t>SPW, SS 316L/ FG SS316L OR, SIZE : 4" 600</t>
  </si>
  <si>
    <t>SPW, SS 316L/ FG SS316L OR, SIZE : 14" 600</t>
  </si>
  <si>
    <t>Gasket (SPW)</t>
  </si>
  <si>
    <t>Gasket Non Asbestos</t>
  </si>
  <si>
    <t xml:space="preserve">CNAF Non-Asbestos Sheet </t>
  </si>
  <si>
    <t xml:space="preserve"> RF, 4.5mm, 1" 150</t>
  </si>
  <si>
    <t>, RF, 4.5mm, 1-1/2" 150</t>
  </si>
  <si>
    <t xml:space="preserve"> RF, 4.5mm, 2" 150</t>
  </si>
  <si>
    <t xml:space="preserve"> RF, 4.5mm, 6" 150</t>
  </si>
  <si>
    <t>3mm x 1mtr x 1.5mtr</t>
  </si>
  <si>
    <t xml:space="preserve"> CL6000 A105 SW 90D 1"</t>
  </si>
  <si>
    <t>CL3000 A105 SW 90D 1"</t>
  </si>
  <si>
    <t xml:space="preserve"> CL3000 NPT A105 1/4"</t>
  </si>
  <si>
    <t xml:space="preserve"> CL3000 NPT A105 3/4"</t>
  </si>
  <si>
    <t>FCS Elbow</t>
  </si>
  <si>
    <t xml:space="preserve">FCS Hex Plunge </t>
  </si>
  <si>
    <t>CS Full Coupling</t>
  </si>
  <si>
    <t>JF-MAT-2026079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</si>
</sst>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30</xdr:row>
          <xdr:rowOff>20054</xdr:rowOff>
        </xdr:from>
        <xdr:to>
          <xdr:col>12</xdr:col>
          <xdr:colOff>499</xdr:colOff>
          <xdr:row>37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1:$S$37" spid="_x0000_s13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65"/>
  <sheetViews>
    <sheetView showGridLines="0" tabSelected="1" view="pageBreakPreview" zoomScale="95" zoomScaleNormal="95" zoomScaleSheetLayoutView="95" workbookViewId="0">
      <selection activeCell="L3" sqref="L3"/>
    </sheetView>
  </sheetViews>
  <sheetFormatPr defaultColWidth="9" defaultRowHeight="21" customHeight="1"/>
  <cols>
    <col min="1" max="1" width="3.7109375" style="2" customWidth="1"/>
    <col min="2" max="2" width="32.42578125" style="2" customWidth="1"/>
    <col min="3" max="3" width="8.5703125" style="2" customWidth="1"/>
    <col min="4" max="4" width="17.28515625" style="2" customWidth="1"/>
    <col min="5" max="5" width="6" style="2" customWidth="1"/>
    <col min="6" max="6" width="23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38" t="s">
        <v>87</v>
      </c>
      <c r="K1" s="139"/>
      <c r="L1" s="140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1" t="s">
        <v>94</v>
      </c>
      <c r="K2" s="142"/>
      <c r="L2" s="143"/>
    </row>
    <row r="3" spans="1:18" ht="20.100000000000001" customHeight="1">
      <c r="A3" s="3" t="s">
        <v>126</v>
      </c>
      <c r="B3" s="92"/>
      <c r="C3" s="92"/>
      <c r="D3" s="92"/>
      <c r="E3" s="144">
        <f>+L3</f>
        <v>46204</v>
      </c>
      <c r="F3" s="144"/>
      <c r="G3" s="144"/>
      <c r="H3" s="144"/>
      <c r="I3" s="144"/>
      <c r="J3" s="92"/>
      <c r="K3" s="92"/>
      <c r="L3" s="104">
        <v>46204</v>
      </c>
      <c r="M3" s="4"/>
    </row>
    <row r="4" spans="1:18" ht="15.95" customHeight="1">
      <c r="A4" s="126" t="s">
        <v>2</v>
      </c>
      <c r="B4" s="127" t="s">
        <v>3</v>
      </c>
      <c r="C4" s="127"/>
      <c r="D4" s="128" t="s">
        <v>4</v>
      </c>
      <c r="E4" s="129"/>
      <c r="F4" s="130"/>
      <c r="G4" s="134" t="s">
        <v>5</v>
      </c>
      <c r="H4" s="136" t="s">
        <v>6</v>
      </c>
      <c r="I4" s="136" t="s">
        <v>91</v>
      </c>
      <c r="J4" s="126" t="s">
        <v>92</v>
      </c>
      <c r="K4" s="136" t="s">
        <v>0</v>
      </c>
      <c r="L4" s="127" t="s">
        <v>7</v>
      </c>
    </row>
    <row r="5" spans="1:18" ht="15.95" customHeight="1">
      <c r="A5" s="126"/>
      <c r="B5" s="127"/>
      <c r="C5" s="127"/>
      <c r="D5" s="131"/>
      <c r="E5" s="132"/>
      <c r="F5" s="133"/>
      <c r="G5" s="135"/>
      <c r="H5" s="137"/>
      <c r="I5" s="137"/>
      <c r="J5" s="126"/>
      <c r="K5" s="137"/>
      <c r="L5" s="127"/>
    </row>
    <row r="6" spans="1:18" ht="35.25" customHeight="1">
      <c r="A6" s="5">
        <f t="shared" ref="A6:A28" si="0">ROW(A1)</f>
        <v>1</v>
      </c>
      <c r="B6" s="124" t="s">
        <v>141</v>
      </c>
      <c r="C6" s="125"/>
      <c r="D6" s="121" t="s">
        <v>127</v>
      </c>
      <c r="E6" s="122"/>
      <c r="F6" s="123"/>
      <c r="G6" s="111" t="s">
        <v>124</v>
      </c>
      <c r="H6" s="120">
        <v>600</v>
      </c>
      <c r="I6" s="112">
        <v>5.5</v>
      </c>
      <c r="J6" s="99">
        <f>H6*I6</f>
        <v>3300</v>
      </c>
      <c r="K6" s="100" t="s">
        <v>125</v>
      </c>
      <c r="L6" s="101" t="s">
        <v>98</v>
      </c>
      <c r="R6" s="97"/>
    </row>
    <row r="7" spans="1:18" ht="35.25" customHeight="1">
      <c r="A7" s="5">
        <f t="shared" si="0"/>
        <v>2</v>
      </c>
      <c r="B7" s="124" t="s">
        <v>141</v>
      </c>
      <c r="C7" s="125"/>
      <c r="D7" s="121" t="s">
        <v>128</v>
      </c>
      <c r="E7" s="122"/>
      <c r="F7" s="123"/>
      <c r="G7" s="111" t="s">
        <v>124</v>
      </c>
      <c r="H7" s="120">
        <v>200</v>
      </c>
      <c r="I7" s="112">
        <v>12</v>
      </c>
      <c r="J7" s="99">
        <f t="shared" ref="J7:J28" si="1">H7*I7</f>
        <v>2400</v>
      </c>
      <c r="K7" s="100"/>
      <c r="L7" s="101"/>
      <c r="R7" s="97"/>
    </row>
    <row r="8" spans="1:18" ht="35.25" customHeight="1">
      <c r="A8" s="5">
        <f t="shared" si="0"/>
        <v>3</v>
      </c>
      <c r="B8" s="124" t="s">
        <v>141</v>
      </c>
      <c r="C8" s="125"/>
      <c r="D8" s="121" t="s">
        <v>129</v>
      </c>
      <c r="E8" s="122"/>
      <c r="F8" s="123"/>
      <c r="G8" s="111" t="s">
        <v>124</v>
      </c>
      <c r="H8" s="120">
        <v>200</v>
      </c>
      <c r="I8" s="112">
        <v>17</v>
      </c>
      <c r="J8" s="99">
        <f t="shared" si="1"/>
        <v>3400</v>
      </c>
      <c r="K8" s="100"/>
      <c r="L8" s="101"/>
      <c r="R8" s="97"/>
    </row>
    <row r="9" spans="1:18" ht="35.25" customHeight="1">
      <c r="A9" s="5">
        <f t="shared" si="0"/>
        <v>4</v>
      </c>
      <c r="B9" s="124" t="s">
        <v>141</v>
      </c>
      <c r="C9" s="125"/>
      <c r="D9" s="121" t="s">
        <v>130</v>
      </c>
      <c r="E9" s="122"/>
      <c r="F9" s="123"/>
      <c r="G9" s="111" t="s">
        <v>124</v>
      </c>
      <c r="H9" s="120">
        <v>200</v>
      </c>
      <c r="I9" s="112">
        <v>19</v>
      </c>
      <c r="J9" s="99">
        <f t="shared" si="1"/>
        <v>3800</v>
      </c>
      <c r="K9" s="100"/>
      <c r="L9" s="101"/>
      <c r="R9" s="97"/>
    </row>
    <row r="10" spans="1:18" ht="35.25" customHeight="1">
      <c r="A10" s="5">
        <f t="shared" si="0"/>
        <v>5</v>
      </c>
      <c r="B10" s="124" t="s">
        <v>141</v>
      </c>
      <c r="C10" s="125"/>
      <c r="D10" s="121" t="s">
        <v>131</v>
      </c>
      <c r="E10" s="122"/>
      <c r="F10" s="123"/>
      <c r="G10" s="111" t="s">
        <v>124</v>
      </c>
      <c r="H10" s="120">
        <v>600</v>
      </c>
      <c r="I10" s="112">
        <v>7</v>
      </c>
      <c r="J10" s="99">
        <f t="shared" si="1"/>
        <v>4200</v>
      </c>
      <c r="K10" s="100"/>
      <c r="L10" s="101"/>
      <c r="R10" s="97"/>
    </row>
    <row r="11" spans="1:18" ht="35.25" customHeight="1">
      <c r="A11" s="5">
        <f t="shared" si="0"/>
        <v>6</v>
      </c>
      <c r="B11" s="124" t="s">
        <v>141</v>
      </c>
      <c r="C11" s="125"/>
      <c r="D11" s="121" t="s">
        <v>132</v>
      </c>
      <c r="E11" s="122"/>
      <c r="F11" s="123"/>
      <c r="G11" s="111" t="s">
        <v>124</v>
      </c>
      <c r="H11" s="120">
        <v>600</v>
      </c>
      <c r="I11" s="112">
        <v>13</v>
      </c>
      <c r="J11" s="99">
        <f t="shared" si="1"/>
        <v>7800</v>
      </c>
      <c r="K11" s="100"/>
      <c r="L11" s="101"/>
      <c r="R11" s="97"/>
    </row>
    <row r="12" spans="1:18" ht="35.25" customHeight="1">
      <c r="A12" s="5">
        <f t="shared" si="0"/>
        <v>7</v>
      </c>
      <c r="B12" s="124" t="s">
        <v>141</v>
      </c>
      <c r="C12" s="125"/>
      <c r="D12" s="121" t="s">
        <v>133</v>
      </c>
      <c r="E12" s="122"/>
      <c r="F12" s="123"/>
      <c r="G12" s="111" t="s">
        <v>124</v>
      </c>
      <c r="H12" s="120">
        <v>200</v>
      </c>
      <c r="I12" s="112">
        <v>18</v>
      </c>
      <c r="J12" s="99">
        <f t="shared" si="1"/>
        <v>3600</v>
      </c>
      <c r="K12" s="100"/>
      <c r="L12" s="101"/>
      <c r="R12" s="97"/>
    </row>
    <row r="13" spans="1:18" ht="35.25" customHeight="1">
      <c r="A13" s="5">
        <f t="shared" si="0"/>
        <v>8</v>
      </c>
      <c r="B13" s="124" t="s">
        <v>141</v>
      </c>
      <c r="C13" s="125"/>
      <c r="D13" s="121" t="s">
        <v>134</v>
      </c>
      <c r="E13" s="122"/>
      <c r="F13" s="123"/>
      <c r="G13" s="111" t="s">
        <v>124</v>
      </c>
      <c r="H13" s="120">
        <v>600</v>
      </c>
      <c r="I13" s="112">
        <v>25</v>
      </c>
      <c r="J13" s="99">
        <f t="shared" si="1"/>
        <v>15000</v>
      </c>
      <c r="K13" s="100"/>
      <c r="L13" s="101"/>
      <c r="R13" s="97"/>
    </row>
    <row r="14" spans="1:18" ht="35.25" customHeight="1">
      <c r="A14" s="5">
        <f t="shared" si="0"/>
        <v>9</v>
      </c>
      <c r="B14" s="124" t="s">
        <v>141</v>
      </c>
      <c r="C14" s="125"/>
      <c r="D14" s="121" t="s">
        <v>135</v>
      </c>
      <c r="E14" s="122"/>
      <c r="F14" s="123"/>
      <c r="G14" s="111" t="s">
        <v>124</v>
      </c>
      <c r="H14" s="120">
        <v>200</v>
      </c>
      <c r="I14" s="112">
        <v>42</v>
      </c>
      <c r="J14" s="99">
        <f t="shared" si="1"/>
        <v>8400</v>
      </c>
      <c r="K14" s="100"/>
      <c r="L14" s="101"/>
      <c r="R14" s="97"/>
    </row>
    <row r="15" spans="1:18" ht="35.25" customHeight="1">
      <c r="A15" s="5">
        <f t="shared" si="0"/>
        <v>10</v>
      </c>
      <c r="B15" s="124" t="s">
        <v>141</v>
      </c>
      <c r="C15" s="125"/>
      <c r="D15" s="121" t="s">
        <v>136</v>
      </c>
      <c r="E15" s="122"/>
      <c r="F15" s="123"/>
      <c r="G15" s="111" t="s">
        <v>124</v>
      </c>
      <c r="H15" s="120">
        <v>600</v>
      </c>
      <c r="I15" s="112">
        <v>7</v>
      </c>
      <c r="J15" s="99">
        <f t="shared" si="1"/>
        <v>4200</v>
      </c>
      <c r="K15" s="100"/>
      <c r="L15" s="101"/>
      <c r="R15" s="97"/>
    </row>
    <row r="16" spans="1:18" ht="35.25" customHeight="1">
      <c r="A16" s="5">
        <f t="shared" si="0"/>
        <v>11</v>
      </c>
      <c r="B16" s="124" t="s">
        <v>141</v>
      </c>
      <c r="C16" s="125"/>
      <c r="D16" s="121" t="s">
        <v>137</v>
      </c>
      <c r="E16" s="122"/>
      <c r="F16" s="123"/>
      <c r="G16" s="111" t="s">
        <v>124</v>
      </c>
      <c r="H16" s="120">
        <v>600</v>
      </c>
      <c r="I16" s="112">
        <v>13</v>
      </c>
      <c r="J16" s="99">
        <f t="shared" si="1"/>
        <v>7800</v>
      </c>
      <c r="K16" s="100"/>
      <c r="L16" s="101"/>
      <c r="R16" s="97"/>
    </row>
    <row r="17" spans="1:19" ht="35.25" customHeight="1">
      <c r="A17" s="5">
        <f t="shared" si="0"/>
        <v>12</v>
      </c>
      <c r="B17" s="124" t="s">
        <v>141</v>
      </c>
      <c r="C17" s="125"/>
      <c r="D17" s="121" t="s">
        <v>138</v>
      </c>
      <c r="E17" s="122"/>
      <c r="F17" s="123"/>
      <c r="G17" s="111" t="s">
        <v>124</v>
      </c>
      <c r="H17" s="120">
        <v>200</v>
      </c>
      <c r="I17" s="112">
        <v>20</v>
      </c>
      <c r="J17" s="99">
        <f t="shared" si="1"/>
        <v>4000</v>
      </c>
      <c r="K17" s="100"/>
      <c r="L17" s="101"/>
      <c r="R17" s="97"/>
    </row>
    <row r="18" spans="1:19" ht="35.25" customHeight="1">
      <c r="A18" s="5">
        <f t="shared" si="0"/>
        <v>13</v>
      </c>
      <c r="B18" s="124" t="s">
        <v>141</v>
      </c>
      <c r="C18" s="125"/>
      <c r="D18" s="121" t="s">
        <v>139</v>
      </c>
      <c r="E18" s="122"/>
      <c r="F18" s="123"/>
      <c r="G18" s="111" t="s">
        <v>124</v>
      </c>
      <c r="H18" s="120">
        <v>600</v>
      </c>
      <c r="I18" s="112">
        <v>33</v>
      </c>
      <c r="J18" s="99">
        <f t="shared" si="1"/>
        <v>19800</v>
      </c>
      <c r="K18" s="100"/>
      <c r="L18" s="101"/>
      <c r="R18" s="97"/>
    </row>
    <row r="19" spans="1:19" ht="35.25" customHeight="1">
      <c r="A19" s="5">
        <f t="shared" si="0"/>
        <v>14</v>
      </c>
      <c r="B19" s="124" t="s">
        <v>141</v>
      </c>
      <c r="C19" s="125"/>
      <c r="D19" s="121" t="s">
        <v>140</v>
      </c>
      <c r="E19" s="122"/>
      <c r="F19" s="123"/>
      <c r="G19" s="111" t="s">
        <v>124</v>
      </c>
      <c r="H19" s="120">
        <v>60</v>
      </c>
      <c r="I19" s="112">
        <v>154</v>
      </c>
      <c r="J19" s="99">
        <f t="shared" si="1"/>
        <v>9240</v>
      </c>
      <c r="K19" s="100"/>
      <c r="L19" s="101"/>
      <c r="R19" s="97"/>
    </row>
    <row r="20" spans="1:19" ht="35.25" customHeight="1">
      <c r="A20" s="5">
        <f t="shared" si="0"/>
        <v>15</v>
      </c>
      <c r="B20" s="124" t="s">
        <v>142</v>
      </c>
      <c r="C20" s="125"/>
      <c r="D20" s="121" t="s">
        <v>144</v>
      </c>
      <c r="E20" s="122"/>
      <c r="F20" s="123"/>
      <c r="G20" s="111" t="s">
        <v>124</v>
      </c>
      <c r="H20" s="120">
        <v>2000</v>
      </c>
      <c r="I20" s="112">
        <v>1.5</v>
      </c>
      <c r="J20" s="99">
        <f t="shared" si="1"/>
        <v>3000</v>
      </c>
      <c r="K20" s="100"/>
      <c r="L20" s="101"/>
      <c r="R20" s="97"/>
    </row>
    <row r="21" spans="1:19" ht="35.25" customHeight="1">
      <c r="A21" s="5">
        <f t="shared" si="0"/>
        <v>16</v>
      </c>
      <c r="B21" s="124" t="s">
        <v>142</v>
      </c>
      <c r="C21" s="125"/>
      <c r="D21" s="121" t="s">
        <v>145</v>
      </c>
      <c r="E21" s="122"/>
      <c r="F21" s="123"/>
      <c r="G21" s="111" t="s">
        <v>124</v>
      </c>
      <c r="H21" s="120">
        <v>500</v>
      </c>
      <c r="I21" s="112">
        <v>2</v>
      </c>
      <c r="J21" s="99">
        <f t="shared" si="1"/>
        <v>1000</v>
      </c>
      <c r="K21" s="100"/>
      <c r="L21" s="101"/>
      <c r="R21" s="97"/>
    </row>
    <row r="22" spans="1:19" ht="35.25" customHeight="1">
      <c r="A22" s="5">
        <f t="shared" si="0"/>
        <v>17</v>
      </c>
      <c r="B22" s="124" t="s">
        <v>142</v>
      </c>
      <c r="C22" s="125"/>
      <c r="D22" s="121" t="s">
        <v>146</v>
      </c>
      <c r="E22" s="122"/>
      <c r="F22" s="123"/>
      <c r="G22" s="111" t="s">
        <v>124</v>
      </c>
      <c r="H22" s="120">
        <v>2000</v>
      </c>
      <c r="I22" s="112">
        <v>2.8</v>
      </c>
      <c r="J22" s="99">
        <f t="shared" si="1"/>
        <v>5600</v>
      </c>
      <c r="K22" s="100"/>
      <c r="L22" s="101"/>
      <c r="R22" s="97"/>
    </row>
    <row r="23" spans="1:19" ht="35.25" customHeight="1">
      <c r="A23" s="5">
        <f t="shared" si="0"/>
        <v>18</v>
      </c>
      <c r="B23" s="124" t="s">
        <v>142</v>
      </c>
      <c r="C23" s="125"/>
      <c r="D23" s="121" t="s">
        <v>147</v>
      </c>
      <c r="E23" s="122"/>
      <c r="F23" s="123"/>
      <c r="G23" s="111" t="s">
        <v>124</v>
      </c>
      <c r="H23" s="120">
        <v>1000</v>
      </c>
      <c r="I23" s="112">
        <v>8.5</v>
      </c>
      <c r="J23" s="99">
        <f t="shared" si="1"/>
        <v>8500</v>
      </c>
      <c r="K23" s="100"/>
      <c r="L23" s="101"/>
      <c r="R23" s="97"/>
    </row>
    <row r="24" spans="1:19" ht="35.25" customHeight="1">
      <c r="A24" s="5">
        <f t="shared" si="0"/>
        <v>19</v>
      </c>
      <c r="B24" s="124" t="s">
        <v>143</v>
      </c>
      <c r="C24" s="125"/>
      <c r="D24" s="121" t="s">
        <v>148</v>
      </c>
      <c r="E24" s="122"/>
      <c r="F24" s="123"/>
      <c r="G24" s="111" t="s">
        <v>124</v>
      </c>
      <c r="H24" s="120">
        <v>20</v>
      </c>
      <c r="I24" s="112">
        <v>450</v>
      </c>
      <c r="J24" s="99">
        <f t="shared" si="1"/>
        <v>9000</v>
      </c>
      <c r="K24" s="100"/>
      <c r="L24" s="101"/>
      <c r="R24" s="97"/>
    </row>
    <row r="25" spans="1:19" ht="35.25" customHeight="1">
      <c r="A25" s="5">
        <f t="shared" si="0"/>
        <v>20</v>
      </c>
      <c r="B25" s="124" t="s">
        <v>153</v>
      </c>
      <c r="C25" s="125"/>
      <c r="D25" s="121" t="s">
        <v>149</v>
      </c>
      <c r="E25" s="122"/>
      <c r="F25" s="123"/>
      <c r="G25" s="111" t="s">
        <v>124</v>
      </c>
      <c r="H25" s="120">
        <v>60</v>
      </c>
      <c r="I25" s="112">
        <v>66</v>
      </c>
      <c r="J25" s="99">
        <f t="shared" si="1"/>
        <v>3960</v>
      </c>
      <c r="K25" s="100"/>
      <c r="L25" s="101"/>
      <c r="R25" s="97"/>
    </row>
    <row r="26" spans="1:19" ht="35.25" customHeight="1">
      <c r="A26" s="5">
        <f t="shared" si="0"/>
        <v>21</v>
      </c>
      <c r="B26" s="124" t="s">
        <v>153</v>
      </c>
      <c r="C26" s="125"/>
      <c r="D26" s="121" t="s">
        <v>150</v>
      </c>
      <c r="E26" s="122"/>
      <c r="F26" s="123"/>
      <c r="G26" s="111" t="s">
        <v>124</v>
      </c>
      <c r="H26" s="120">
        <v>50</v>
      </c>
      <c r="I26" s="112">
        <v>42</v>
      </c>
      <c r="J26" s="99">
        <f t="shared" si="1"/>
        <v>2100</v>
      </c>
      <c r="K26" s="100"/>
      <c r="L26" s="101"/>
      <c r="R26" s="97"/>
    </row>
    <row r="27" spans="1:19" ht="35.25" customHeight="1">
      <c r="A27" s="5">
        <f t="shared" si="0"/>
        <v>22</v>
      </c>
      <c r="B27" s="124" t="s">
        <v>154</v>
      </c>
      <c r="C27" s="125"/>
      <c r="D27" s="121" t="s">
        <v>151</v>
      </c>
      <c r="E27" s="122"/>
      <c r="F27" s="123"/>
      <c r="G27" s="111" t="s">
        <v>124</v>
      </c>
      <c r="H27" s="120">
        <v>50</v>
      </c>
      <c r="I27" s="112">
        <v>10</v>
      </c>
      <c r="J27" s="99">
        <f t="shared" si="1"/>
        <v>500</v>
      </c>
      <c r="K27" s="100"/>
      <c r="L27" s="101"/>
      <c r="R27" s="97"/>
    </row>
    <row r="28" spans="1:19" ht="35.25" customHeight="1">
      <c r="A28" s="5">
        <f t="shared" si="0"/>
        <v>23</v>
      </c>
      <c r="B28" s="124" t="s">
        <v>155</v>
      </c>
      <c r="C28" s="125"/>
      <c r="D28" s="121" t="s">
        <v>152</v>
      </c>
      <c r="E28" s="122"/>
      <c r="F28" s="123"/>
      <c r="G28" s="111" t="s">
        <v>124</v>
      </c>
      <c r="H28" s="120">
        <v>10</v>
      </c>
      <c r="I28" s="112">
        <v>15</v>
      </c>
      <c r="J28" s="99">
        <f t="shared" si="1"/>
        <v>150</v>
      </c>
      <c r="K28" s="100"/>
      <c r="L28" s="101"/>
      <c r="R28" s="97"/>
    </row>
    <row r="29" spans="1:19" ht="35.25" customHeight="1">
      <c r="A29" s="149" t="s">
        <v>8</v>
      </c>
      <c r="B29" s="150"/>
      <c r="C29" s="102"/>
      <c r="D29" s="108"/>
      <c r="E29" s="108"/>
      <c r="F29" s="108"/>
      <c r="G29" s="109"/>
      <c r="H29" s="109"/>
      <c r="I29" s="110" t="s">
        <v>9</v>
      </c>
      <c r="J29" s="99">
        <f>SUM(J6:J28)</f>
        <v>130750</v>
      </c>
      <c r="K29" s="99"/>
      <c r="L29" s="103"/>
    </row>
    <row r="30" spans="1:19" ht="20.100000000000001" customHeight="1">
      <c r="A30" s="6" t="s">
        <v>10</v>
      </c>
      <c r="B30" s="7"/>
      <c r="C30" s="7"/>
      <c r="D30" s="7"/>
      <c r="E30" s="7"/>
      <c r="F30" s="7"/>
      <c r="G30" s="7"/>
      <c r="H30" s="7"/>
      <c r="I30" s="7"/>
      <c r="J30" s="7"/>
      <c r="K30" s="8"/>
      <c r="L30" s="9"/>
    </row>
    <row r="31" spans="1:19" ht="18" customHeight="1">
      <c r="A31" s="10"/>
      <c r="J31" s="1"/>
      <c r="K31" s="1"/>
      <c r="O31" s="11"/>
      <c r="P31" s="11"/>
      <c r="R31" s="151" t="s">
        <v>11</v>
      </c>
      <c r="S31" s="13" t="s">
        <v>12</v>
      </c>
    </row>
    <row r="32" spans="1:19" ht="50.1" customHeight="1">
      <c r="R32" s="152"/>
      <c r="S32" s="15"/>
    </row>
    <row r="33" spans="15:19" ht="17.100000000000001" customHeight="1">
      <c r="O33" s="11"/>
      <c r="P33" s="11"/>
      <c r="R33" s="146"/>
      <c r="S33" s="15" t="s">
        <v>13</v>
      </c>
    </row>
    <row r="34" spans="15:19" ht="15" customHeight="1">
      <c r="O34" s="17" t="s">
        <v>14</v>
      </c>
      <c r="P34" s="145" t="s">
        <v>15</v>
      </c>
    </row>
    <row r="35" spans="15:19" ht="18" customHeight="1">
      <c r="O35" s="18" t="s">
        <v>16</v>
      </c>
      <c r="P35" s="147"/>
      <c r="R35" s="151" t="s">
        <v>17</v>
      </c>
      <c r="S35" s="12" t="s">
        <v>12</v>
      </c>
    </row>
    <row r="36" spans="15:19" ht="50.1" customHeight="1">
      <c r="O36" s="14"/>
      <c r="P36" s="14"/>
      <c r="R36" s="152"/>
      <c r="S36" s="19"/>
    </row>
    <row r="37" spans="15:19" ht="17.100000000000001" customHeight="1">
      <c r="O37" s="16" t="s">
        <v>13</v>
      </c>
      <c r="P37" s="16" t="s">
        <v>13</v>
      </c>
      <c r="R37" s="146"/>
      <c r="S37" s="15" t="s">
        <v>13</v>
      </c>
    </row>
    <row r="38" spans="15:19" ht="9.9499999999999993" customHeight="1"/>
    <row r="39" spans="15:19" ht="19.899999999999999" customHeight="1"/>
    <row r="40" spans="15:19" ht="17.45" customHeight="1">
      <c r="O40" s="148"/>
      <c r="P40" s="148"/>
    </row>
    <row r="41" spans="15:19" ht="19.899999999999999" customHeight="1">
      <c r="O41" s="148"/>
      <c r="P41" s="148"/>
    </row>
    <row r="42" spans="15:19" ht="14.25">
      <c r="O42" s="11"/>
      <c r="P42" s="11"/>
    </row>
    <row r="43" spans="15:19" ht="65.099999999999994" customHeight="1"/>
    <row r="44" spans="15:19" ht="14.25">
      <c r="O44" s="11"/>
      <c r="P44" s="11"/>
    </row>
    <row r="45" spans="15:19" ht="19.899999999999999" customHeight="1"/>
    <row r="46" spans="15:19" ht="14.25"/>
    <row r="47" spans="15:19" ht="19.899999999999999" customHeight="1"/>
    <row r="48" spans="15:19" ht="14.25"/>
    <row r="49" spans="15:19" ht="19.899999999999999" customHeight="1"/>
    <row r="50" spans="15:19" ht="19.899999999999999" customHeight="1"/>
    <row r="51" spans="15:19" ht="64.900000000000006" customHeight="1"/>
    <row r="53" spans="15:19" ht="19.899999999999999" customHeight="1"/>
    <row r="54" spans="15:19" ht="19.899999999999999" customHeight="1"/>
    <row r="55" spans="15:19" ht="64.900000000000006" customHeight="1"/>
    <row r="59" spans="15:19" ht="21" customHeight="1">
      <c r="O59" s="145" t="s">
        <v>18</v>
      </c>
      <c r="P59" s="145" t="s">
        <v>18</v>
      </c>
      <c r="S59" s="145" t="s">
        <v>12</v>
      </c>
    </row>
    <row r="60" spans="15:19" ht="21" customHeight="1">
      <c r="O60" s="147"/>
      <c r="P60" s="147"/>
      <c r="S60" s="146"/>
    </row>
    <row r="61" spans="15:19" ht="64.900000000000006" customHeight="1">
      <c r="O61" s="14"/>
      <c r="P61" s="14"/>
      <c r="S61" s="15"/>
    </row>
    <row r="62" spans="15:19" ht="7.15" customHeight="1"/>
    <row r="63" spans="15:19" ht="21" customHeight="1">
      <c r="O63" s="145" t="s">
        <v>18</v>
      </c>
      <c r="P63" s="145" t="s">
        <v>18</v>
      </c>
      <c r="S63" s="145" t="s">
        <v>19</v>
      </c>
    </row>
    <row r="64" spans="15:19" ht="21" customHeight="1">
      <c r="O64" s="147"/>
      <c r="P64" s="147"/>
      <c r="S64" s="146"/>
    </row>
    <row r="65" spans="15:19" ht="64.900000000000006" customHeight="1">
      <c r="O65" s="14"/>
      <c r="P65" s="14"/>
      <c r="S65" s="14"/>
    </row>
  </sheetData>
  <mergeCells count="70">
    <mergeCell ref="A29:B29"/>
    <mergeCell ref="R31:R33"/>
    <mergeCell ref="P34:P35"/>
    <mergeCell ref="R35:R37"/>
    <mergeCell ref="B20:C20"/>
    <mergeCell ref="B21:C21"/>
    <mergeCell ref="B22:C22"/>
    <mergeCell ref="B23:C23"/>
    <mergeCell ref="B24:C24"/>
    <mergeCell ref="D25:F25"/>
    <mergeCell ref="D26:F26"/>
    <mergeCell ref="D27:F27"/>
    <mergeCell ref="D28:F28"/>
    <mergeCell ref="D20:F20"/>
    <mergeCell ref="D21:F21"/>
    <mergeCell ref="D22:F22"/>
    <mergeCell ref="S59:S60"/>
    <mergeCell ref="O63:O64"/>
    <mergeCell ref="P63:P64"/>
    <mergeCell ref="S63:S64"/>
    <mergeCell ref="O40:O41"/>
    <mergeCell ref="P40:P41"/>
    <mergeCell ref="O59:O60"/>
    <mergeCell ref="P59:P60"/>
    <mergeCell ref="D9:F9"/>
    <mergeCell ref="D13:F13"/>
    <mergeCell ref="D14:F14"/>
    <mergeCell ref="D10:F10"/>
    <mergeCell ref="D11:F11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B9:C9"/>
    <mergeCell ref="B10:C10"/>
    <mergeCell ref="B11:C11"/>
    <mergeCell ref="B12:C12"/>
    <mergeCell ref="B13:C13"/>
    <mergeCell ref="B14:C14"/>
    <mergeCell ref="B25:C25"/>
    <mergeCell ref="B26:C26"/>
    <mergeCell ref="B27:C27"/>
    <mergeCell ref="B28:C28"/>
    <mergeCell ref="B15:C15"/>
    <mergeCell ref="B16:C16"/>
    <mergeCell ref="B17:C17"/>
    <mergeCell ref="B18:C18"/>
    <mergeCell ref="B19:C19"/>
    <mergeCell ref="D23:F23"/>
    <mergeCell ref="D24:F24"/>
    <mergeCell ref="D15:F15"/>
    <mergeCell ref="D16:F16"/>
    <mergeCell ref="D17:F17"/>
    <mergeCell ref="D18:F18"/>
    <mergeCell ref="D19:F19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9" activePane="bottomLeft" state="frozen"/>
      <selection activeCell="D30" sqref="D30"/>
      <selection pane="bottomLeft" activeCell="K8" sqref="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38" t="str">
        <f>+MRS!J1</f>
        <v>DAESHIN PLANT</v>
      </c>
      <c r="K1" s="14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SAC2-DS-MRS-0331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46204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Gasket (SPW)</v>
      </c>
      <c r="C6" s="154"/>
      <c r="D6" s="155" t="str">
        <f>MRS!D6</f>
        <v>SPW, SS 316L/ FG SS316L OR, SIZE : 1" 150</v>
      </c>
      <c r="E6" s="156"/>
      <c r="F6" s="157"/>
      <c r="G6" s="94" t="str">
        <f>MRS!G6</f>
        <v>EA</v>
      </c>
      <c r="H6" s="94">
        <f>MRS!H6</f>
        <v>600</v>
      </c>
      <c r="I6" s="95">
        <f>MRS!I6</f>
        <v>5.5</v>
      </c>
      <c r="J6" s="95">
        <f>MRS!J6</f>
        <v>3300</v>
      </c>
      <c r="K6" s="96"/>
      <c r="O6" s="97"/>
      <c r="P6" s="97"/>
      <c r="R6" s="97"/>
    </row>
    <row r="7" spans="1:18" ht="105" customHeight="1">
      <c r="A7" s="21">
        <f>+MRS!A7</f>
        <v>2</v>
      </c>
      <c r="B7" s="153" t="str">
        <f>MRS!B7</f>
        <v>Gasket (SPW)</v>
      </c>
      <c r="C7" s="154"/>
      <c r="D7" s="155" t="str">
        <f>MRS!D7</f>
        <v>SPW, SS 316L/ FG SS316L OR, SIZE : 3" 150</v>
      </c>
      <c r="E7" s="156"/>
      <c r="F7" s="157"/>
      <c r="G7" s="94" t="str">
        <f>MRS!G7</f>
        <v>EA</v>
      </c>
      <c r="H7" s="94">
        <f>MRS!H7</f>
        <v>200</v>
      </c>
      <c r="I7" s="95">
        <f>MRS!I7</f>
        <v>12</v>
      </c>
      <c r="J7" s="95">
        <f>MRS!J7</f>
        <v>2400</v>
      </c>
      <c r="K7" s="96"/>
      <c r="O7" s="97"/>
      <c r="P7" s="97"/>
      <c r="R7" s="97"/>
    </row>
    <row r="8" spans="1:18" ht="105" customHeight="1">
      <c r="A8" s="21">
        <f>+MRS!A8</f>
        <v>3</v>
      </c>
      <c r="B8" s="153" t="str">
        <f>MRS!B8</f>
        <v>Gasket (SPW)</v>
      </c>
      <c r="C8" s="154"/>
      <c r="D8" s="155" t="str">
        <f>MRS!D8</f>
        <v>SPW, SS 316L/ FG SS316L OR, SIZE : 4" 150</v>
      </c>
      <c r="E8" s="156"/>
      <c r="F8" s="157"/>
      <c r="G8" s="94" t="str">
        <f>MRS!G8</f>
        <v>EA</v>
      </c>
      <c r="H8" s="94">
        <f>MRS!H8</f>
        <v>200</v>
      </c>
      <c r="I8" s="95">
        <f>MRS!I8</f>
        <v>17</v>
      </c>
      <c r="J8" s="95">
        <f>MRS!J8</f>
        <v>3400</v>
      </c>
      <c r="K8" s="96"/>
      <c r="O8" s="97"/>
      <c r="P8" s="97"/>
      <c r="R8" s="97"/>
    </row>
    <row r="9" spans="1:18" ht="105" customHeight="1">
      <c r="A9" s="21">
        <f>+MRS!A9</f>
        <v>4</v>
      </c>
      <c r="B9" s="153" t="str">
        <f>MRS!B9</f>
        <v>Gasket (SPW)</v>
      </c>
      <c r="C9" s="154"/>
      <c r="D9" s="155" t="str">
        <f>MRS!D9</f>
        <v>SPW, SS 316L/ FG SS316L OR, SIZE : 6" 150</v>
      </c>
      <c r="E9" s="156"/>
      <c r="F9" s="157"/>
      <c r="G9" s="94" t="str">
        <f>MRS!G9</f>
        <v>EA</v>
      </c>
      <c r="H9" s="94">
        <f>MRS!H9</f>
        <v>200</v>
      </c>
      <c r="I9" s="95">
        <f>MRS!I9</f>
        <v>19</v>
      </c>
      <c r="J9" s="95">
        <f>MRS!J9</f>
        <v>3800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3" t="str">
        <f>MRS!B10</f>
        <v>Gasket (SPW)</v>
      </c>
      <c r="C10" s="154"/>
      <c r="D10" s="155" t="str">
        <f>MRS!D10</f>
        <v>SPW, SS 316L/ FG SS316L OR, SIZE : 1" 300</v>
      </c>
      <c r="E10" s="156"/>
      <c r="F10" s="157"/>
      <c r="G10" s="94" t="str">
        <f>MRS!G10</f>
        <v>EA</v>
      </c>
      <c r="H10" s="94">
        <f>MRS!H10</f>
        <v>600</v>
      </c>
      <c r="I10" s="95">
        <f>MRS!I10</f>
        <v>7</v>
      </c>
      <c r="J10" s="95">
        <f>MRS!J10</f>
        <v>4200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3" t="str">
        <f>MRS!B11</f>
        <v>Gasket (SPW)</v>
      </c>
      <c r="C11" s="154"/>
      <c r="D11" s="155" t="str">
        <f>MRS!D11</f>
        <v>SPW, SS 316L/ FG SS316L OR, SIZE : 2" 300</v>
      </c>
      <c r="E11" s="156"/>
      <c r="F11" s="157"/>
      <c r="G11" s="94" t="str">
        <f>MRS!G11</f>
        <v>EA</v>
      </c>
      <c r="H11" s="94">
        <f>MRS!H11</f>
        <v>600</v>
      </c>
      <c r="I11" s="95">
        <f>MRS!I11</f>
        <v>13</v>
      </c>
      <c r="J11" s="95">
        <f>MRS!J11</f>
        <v>7800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3" t="str">
        <f>MRS!B12</f>
        <v>Gasket (SPW)</v>
      </c>
      <c r="C12" s="154"/>
      <c r="D12" s="155" t="str">
        <f>MRS!D12</f>
        <v>SPW, SS 316L/ FG SS316L OR, SIZE : 3" 300</v>
      </c>
      <c r="E12" s="156"/>
      <c r="F12" s="157"/>
      <c r="G12" s="94" t="str">
        <f>MRS!G12</f>
        <v>EA</v>
      </c>
      <c r="H12" s="94">
        <f>MRS!H12</f>
        <v>200</v>
      </c>
      <c r="I12" s="95">
        <f>MRS!I12</f>
        <v>18</v>
      </c>
      <c r="J12" s="95">
        <f>MRS!J12</f>
        <v>3600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3" t="str">
        <f>MRS!B13</f>
        <v>Gasket (SPW)</v>
      </c>
      <c r="C13" s="154"/>
      <c r="D13" s="155" t="str">
        <f>MRS!D13</f>
        <v>SPW, SS 316L/ FG SS316L OR, SIZE : 4" 300</v>
      </c>
      <c r="E13" s="156"/>
      <c r="F13" s="157"/>
      <c r="G13" s="94" t="str">
        <f>MRS!G13</f>
        <v>EA</v>
      </c>
      <c r="H13" s="94">
        <f>MRS!H13</f>
        <v>600</v>
      </c>
      <c r="I13" s="95">
        <f>MRS!I13</f>
        <v>25</v>
      </c>
      <c r="J13" s="95">
        <f>MRS!J13</f>
        <v>15000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3" t="str">
        <f>MRS!B14</f>
        <v>Gasket (SPW)</v>
      </c>
      <c r="C14" s="154"/>
      <c r="D14" s="155" t="str">
        <f>MRS!D14</f>
        <v>SPW, SS 316L/ FG SS316L OR, SIZE : 6" 300</v>
      </c>
      <c r="E14" s="156"/>
      <c r="F14" s="157"/>
      <c r="G14" s="94" t="str">
        <f>MRS!G14</f>
        <v>EA</v>
      </c>
      <c r="H14" s="94">
        <f>MRS!H14</f>
        <v>200</v>
      </c>
      <c r="I14" s="95">
        <f>MRS!I14</f>
        <v>42</v>
      </c>
      <c r="J14" s="95">
        <f>MRS!J14</f>
        <v>8400</v>
      </c>
      <c r="K14" s="96"/>
      <c r="O14" s="97"/>
      <c r="P14" s="97"/>
      <c r="R14" s="97"/>
    </row>
    <row r="15" spans="1:18" ht="105" customHeight="1">
      <c r="A15" s="21" t="e">
        <f>+MRS!#REF!</f>
        <v>#REF!</v>
      </c>
      <c r="B15" s="153" t="e">
        <f>MRS!#REF!</f>
        <v>#REF!</v>
      </c>
      <c r="C15" s="154"/>
      <c r="D15" s="155" t="e">
        <f>MRS!#REF!</f>
        <v>#REF!</v>
      </c>
      <c r="E15" s="156"/>
      <c r="F15" s="157"/>
      <c r="G15" s="94" t="e">
        <f>MRS!#REF!</f>
        <v>#REF!</v>
      </c>
      <c r="H15" s="94" t="e">
        <f>MRS!#REF!</f>
        <v>#REF!</v>
      </c>
      <c r="I15" s="95" t="e">
        <f>MRS!#REF!</f>
        <v>#REF!</v>
      </c>
      <c r="J15" s="95" t="e">
        <f>MRS!#REF!</f>
        <v>#REF!</v>
      </c>
      <c r="K15" s="96"/>
      <c r="O15" s="97"/>
      <c r="P15" s="97"/>
      <c r="R15" s="97"/>
    </row>
    <row r="16" spans="1:18" ht="105" customHeight="1">
      <c r="A16" s="21"/>
      <c r="B16" s="153"/>
      <c r="C16" s="154"/>
      <c r="D16" s="155"/>
      <c r="E16" s="156"/>
      <c r="F16" s="157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3"/>
      <c r="C17" s="154"/>
      <c r="D17" s="155"/>
      <c r="E17" s="156"/>
      <c r="F17" s="157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3"/>
      <c r="C18" s="154"/>
      <c r="D18" s="155"/>
      <c r="E18" s="156"/>
      <c r="F18" s="157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3"/>
      <c r="C19" s="154"/>
      <c r="D19" s="155"/>
      <c r="E19" s="156"/>
      <c r="F19" s="157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3"/>
      <c r="C20" s="154"/>
      <c r="D20" s="155"/>
      <c r="E20" s="156"/>
      <c r="F20" s="157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3"/>
      <c r="C21" s="154"/>
      <c r="D21" s="155"/>
      <c r="E21" s="156"/>
      <c r="F21" s="157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G77" sqref="G7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111</v>
      </c>
      <c r="D9" s="38"/>
      <c r="E9" s="38"/>
    </row>
    <row r="10" spans="2:13" s="38" customFormat="1">
      <c r="B10" s="69"/>
      <c r="C10" s="38" t="s">
        <v>29</v>
      </c>
      <c r="D10" s="73" t="s">
        <v>112</v>
      </c>
      <c r="J10" s="38" t="s">
        <v>30</v>
      </c>
      <c r="K10" s="161">
        <f>MRS!L3</f>
        <v>46204</v>
      </c>
      <c r="L10" s="162"/>
      <c r="M10" s="162"/>
    </row>
    <row r="11" spans="2:13" s="38" customFormat="1">
      <c r="B11" s="69"/>
      <c r="C11" s="72" t="s">
        <v>31</v>
      </c>
      <c r="D11" s="73" t="s">
        <v>113</v>
      </c>
      <c r="J11" s="38" t="s">
        <v>32</v>
      </c>
      <c r="K11" s="163" t="str">
        <f>SUBSTITUTE(SUBSTITUTE(+MRS!A3,"  MRS No : ",""),"-MRS","-PO")</f>
        <v>SAC2-DS-PO-0331</v>
      </c>
      <c r="L11" s="163"/>
      <c r="M11" s="163"/>
    </row>
    <row r="12" spans="2:13" s="38" customFormat="1">
      <c r="B12" s="69"/>
      <c r="C12" s="72" t="s">
        <v>33</v>
      </c>
      <c r="D12" s="38" t="s">
        <v>114</v>
      </c>
      <c r="J12" s="38" t="s">
        <v>34</v>
      </c>
    </row>
    <row r="13" spans="2:13" s="38" customFormat="1">
      <c r="B13" s="69"/>
      <c r="C13" s="74"/>
      <c r="D13" s="73" t="s">
        <v>115</v>
      </c>
      <c r="J13" s="38" t="s">
        <v>35</v>
      </c>
    </row>
    <row r="14" spans="2:13" s="38" customFormat="1">
      <c r="B14" s="69"/>
      <c r="C14" s="114" t="s">
        <v>116</v>
      </c>
      <c r="J14" s="38" t="s">
        <v>36</v>
      </c>
      <c r="K14" s="38" t="s">
        <v>156</v>
      </c>
    </row>
    <row r="15" spans="2:13" s="38" customFormat="1">
      <c r="B15" s="69"/>
      <c r="C15" s="72" t="s">
        <v>117</v>
      </c>
      <c r="J15" s="38" t="s">
        <v>37</v>
      </c>
      <c r="K15" s="75">
        <v>46184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page'!G29</f>
        <v>130750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page'!G30</f>
        <v>19612.5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page'!G31</f>
        <v>150362.5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101</v>
      </c>
    </row>
    <row r="54" spans="2:16" ht="12" customHeight="1">
      <c r="B54" s="81" t="s">
        <v>62</v>
      </c>
      <c r="C54" s="116" t="s">
        <v>103</v>
      </c>
      <c r="F54" s="26" t="s">
        <v>118</v>
      </c>
      <c r="P54" s="26" t="str">
        <f>UPPER(F54)</f>
        <v>ZAINAB SAEED AL ABDUL AAL CONTRACTING EST.</v>
      </c>
    </row>
    <row r="55" spans="2:16" ht="12" customHeight="1">
      <c r="B55" s="81" t="s">
        <v>62</v>
      </c>
      <c r="C55" s="116" t="s">
        <v>104</v>
      </c>
      <c r="F55" s="117" t="s">
        <v>119</v>
      </c>
    </row>
    <row r="56" spans="2:16" ht="12" customHeight="1">
      <c r="B56" s="81" t="s">
        <v>62</v>
      </c>
      <c r="C56" s="116" t="s">
        <v>105</v>
      </c>
      <c r="F56" s="26" t="s">
        <v>120</v>
      </c>
    </row>
    <row r="57" spans="2:16" ht="12" customHeight="1">
      <c r="B57" s="81" t="s">
        <v>62</v>
      </c>
      <c r="C57" s="116" t="s">
        <v>106</v>
      </c>
      <c r="F57" s="26" t="s">
        <v>121</v>
      </c>
    </row>
    <row r="58" spans="2:16" ht="12" customHeight="1">
      <c r="B58" s="81" t="s">
        <v>62</v>
      </c>
      <c r="C58" s="116" t="s">
        <v>107</v>
      </c>
      <c r="F58" s="26" t="s">
        <v>122</v>
      </c>
    </row>
    <row r="59" spans="2:16" ht="12" customHeight="1">
      <c r="B59" s="81" t="s">
        <v>62</v>
      </c>
      <c r="C59" s="116" t="s">
        <v>108</v>
      </c>
      <c r="F59" s="26" t="s">
        <v>102</v>
      </c>
    </row>
    <row r="60" spans="2:16" ht="12" customHeight="1">
      <c r="B60" s="81"/>
      <c r="C60" s="116" t="s">
        <v>109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Mamun Rasid</v>
      </c>
    </row>
    <row r="68" spans="1:13" ht="13.5" customHeight="1">
      <c r="B68" s="26" t="s">
        <v>68</v>
      </c>
      <c r="J68" s="26" t="s">
        <v>69</v>
      </c>
      <c r="K68" s="22" t="s">
        <v>123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99</v>
      </c>
      <c r="J70" s="168" t="str">
        <f>C9</f>
        <v>ZSAAC (Zainab Saeed Al Abdul Aal Contracting Est.)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9"/>
  <sheetViews>
    <sheetView showGridLines="0" view="pageBreakPreview" zoomScaleSheetLayoutView="100" zoomScalePageLayoutView="55" workbookViewId="0">
      <selection activeCell="F39" sqref="F39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SAC2-DS-PO-0331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46204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ZSAAC (Zainab Saeed Al Abdul Aal Contracting Est.)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2.1" customHeight="1">
      <c r="A6" s="82">
        <f t="shared" ref="A6:A28" si="0">ROW(A1)</f>
        <v>1</v>
      </c>
      <c r="B6" s="169" t="str">
        <f>MRS!B6&amp;" "&amp;MRS!D6</f>
        <v>Gasket (SPW) SPW, SS 316L/ FG SS316L OR, SIZE : 1" 150</v>
      </c>
      <c r="C6" s="170"/>
      <c r="D6" s="83" t="str">
        <f>MRS!G6</f>
        <v>EA</v>
      </c>
      <c r="E6" s="84">
        <f>MRS!H6</f>
        <v>600</v>
      </c>
      <c r="F6" s="85">
        <f>MRS!I6</f>
        <v>5.5</v>
      </c>
      <c r="G6" s="85">
        <f>MRS!J6</f>
        <v>3300</v>
      </c>
      <c r="H6" s="86" t="s">
        <v>98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69" t="str">
        <f>MRS!B7&amp;" "&amp;MRS!D7</f>
        <v>Gasket (SPW) SPW, SS 316L/ FG SS316L OR, SIZE : 3" 150</v>
      </c>
      <c r="C7" s="170"/>
      <c r="D7" s="83" t="str">
        <f>MRS!G7</f>
        <v>EA</v>
      </c>
      <c r="E7" s="84">
        <f>MRS!H7</f>
        <v>200</v>
      </c>
      <c r="F7" s="85">
        <f>MRS!I7</f>
        <v>12</v>
      </c>
      <c r="G7" s="85">
        <f>MRS!J7</f>
        <v>2400</v>
      </c>
      <c r="H7" s="86"/>
      <c r="K7" s="87"/>
      <c r="L7" s="88"/>
      <c r="M7" s="53"/>
    </row>
    <row r="8" spans="1:13" s="52" customFormat="1" ht="32.1" customHeight="1">
      <c r="A8" s="89">
        <f t="shared" si="0"/>
        <v>3</v>
      </c>
      <c r="B8" s="169" t="str">
        <f>MRS!B8&amp;" "&amp;MRS!D8</f>
        <v>Gasket (SPW) SPW, SS 316L/ FG SS316L OR, SIZE : 4" 150</v>
      </c>
      <c r="C8" s="170"/>
      <c r="D8" s="83" t="str">
        <f>MRS!G8</f>
        <v>EA</v>
      </c>
      <c r="E8" s="84">
        <f>MRS!H8</f>
        <v>200</v>
      </c>
      <c r="F8" s="85">
        <f>MRS!I8</f>
        <v>17</v>
      </c>
      <c r="G8" s="85">
        <f>MRS!J8</f>
        <v>3400</v>
      </c>
      <c r="H8" s="86"/>
      <c r="K8" s="53"/>
      <c r="L8" s="53"/>
      <c r="M8" s="53"/>
    </row>
    <row r="9" spans="1:13" s="52" customFormat="1" ht="32.1" customHeight="1">
      <c r="A9" s="89">
        <f t="shared" si="0"/>
        <v>4</v>
      </c>
      <c r="B9" s="169" t="str">
        <f>MRS!B9&amp;" "&amp;MRS!D9</f>
        <v>Gasket (SPW) SPW, SS 316L/ FG SS316L OR, SIZE : 6" 150</v>
      </c>
      <c r="C9" s="170"/>
      <c r="D9" s="83" t="str">
        <f>MRS!G9</f>
        <v>EA</v>
      </c>
      <c r="E9" s="84">
        <f>MRS!H9</f>
        <v>200</v>
      </c>
      <c r="F9" s="85">
        <f>MRS!I9</f>
        <v>19</v>
      </c>
      <c r="G9" s="85">
        <f>MRS!J9</f>
        <v>3800</v>
      </c>
      <c r="H9" s="90"/>
    </row>
    <row r="10" spans="1:13" s="52" customFormat="1" ht="32.1" customHeight="1">
      <c r="A10" s="89">
        <f t="shared" si="0"/>
        <v>5</v>
      </c>
      <c r="B10" s="169" t="str">
        <f>MRS!B10&amp;" "&amp;MRS!D10</f>
        <v>Gasket (SPW) SPW, SS 316L/ FG SS316L OR, SIZE : 1" 300</v>
      </c>
      <c r="C10" s="170"/>
      <c r="D10" s="83" t="str">
        <f>MRS!G10</f>
        <v>EA</v>
      </c>
      <c r="E10" s="84">
        <f>MRS!H10</f>
        <v>600</v>
      </c>
      <c r="F10" s="85">
        <f>MRS!I10</f>
        <v>7</v>
      </c>
      <c r="G10" s="85">
        <f>MRS!J10</f>
        <v>4200</v>
      </c>
      <c r="H10" s="90"/>
    </row>
    <row r="11" spans="1:13" s="52" customFormat="1" ht="32.1" customHeight="1">
      <c r="A11" s="89">
        <f t="shared" si="0"/>
        <v>6</v>
      </c>
      <c r="B11" s="169" t="str">
        <f>MRS!B11&amp;" "&amp;MRS!D11</f>
        <v>Gasket (SPW) SPW, SS 316L/ FG SS316L OR, SIZE : 2" 300</v>
      </c>
      <c r="C11" s="170"/>
      <c r="D11" s="83" t="str">
        <f>MRS!G11</f>
        <v>EA</v>
      </c>
      <c r="E11" s="84">
        <f>MRS!H11</f>
        <v>600</v>
      </c>
      <c r="F11" s="85">
        <f>MRS!I11</f>
        <v>13</v>
      </c>
      <c r="G11" s="85">
        <f>MRS!J11</f>
        <v>7800</v>
      </c>
      <c r="H11" s="90"/>
    </row>
    <row r="12" spans="1:13" s="52" customFormat="1" ht="32.1" customHeight="1">
      <c r="A12" s="89">
        <f t="shared" si="0"/>
        <v>7</v>
      </c>
      <c r="B12" s="169" t="str">
        <f>MRS!B12&amp;" "&amp;MRS!D12</f>
        <v>Gasket (SPW) SPW, SS 316L/ FG SS316L OR, SIZE : 3" 300</v>
      </c>
      <c r="C12" s="170"/>
      <c r="D12" s="83" t="str">
        <f>MRS!G12</f>
        <v>EA</v>
      </c>
      <c r="E12" s="84">
        <f>MRS!H12</f>
        <v>200</v>
      </c>
      <c r="F12" s="85">
        <f>MRS!I12</f>
        <v>18</v>
      </c>
      <c r="G12" s="85">
        <f>MRS!J12</f>
        <v>3600</v>
      </c>
      <c r="H12" s="90"/>
    </row>
    <row r="13" spans="1:13" s="52" customFormat="1" ht="32.1" customHeight="1">
      <c r="A13" s="89">
        <f t="shared" si="0"/>
        <v>8</v>
      </c>
      <c r="B13" s="169" t="str">
        <f>MRS!B13&amp;" "&amp;MRS!D13</f>
        <v>Gasket (SPW) SPW, SS 316L/ FG SS316L OR, SIZE : 4" 300</v>
      </c>
      <c r="C13" s="170"/>
      <c r="D13" s="83" t="str">
        <f>MRS!G13</f>
        <v>EA</v>
      </c>
      <c r="E13" s="84">
        <f>MRS!H13</f>
        <v>600</v>
      </c>
      <c r="F13" s="85">
        <f>MRS!I13</f>
        <v>25</v>
      </c>
      <c r="G13" s="85">
        <f>MRS!J13</f>
        <v>15000</v>
      </c>
      <c r="H13" s="90"/>
    </row>
    <row r="14" spans="1:13" s="52" customFormat="1" ht="32.1" customHeight="1">
      <c r="A14" s="89">
        <f t="shared" si="0"/>
        <v>9</v>
      </c>
      <c r="B14" s="169" t="str">
        <f>MRS!B14&amp;" "&amp;MRS!D14</f>
        <v>Gasket (SPW) SPW, SS 316L/ FG SS316L OR, SIZE : 6" 300</v>
      </c>
      <c r="C14" s="170"/>
      <c r="D14" s="83" t="str">
        <f>MRS!G14</f>
        <v>EA</v>
      </c>
      <c r="E14" s="84">
        <f>MRS!H14</f>
        <v>200</v>
      </c>
      <c r="F14" s="85">
        <f>MRS!I14</f>
        <v>42</v>
      </c>
      <c r="G14" s="85">
        <f>MRS!J14</f>
        <v>8400</v>
      </c>
      <c r="H14" s="90"/>
    </row>
    <row r="15" spans="1:13" s="52" customFormat="1" ht="32.1" customHeight="1">
      <c r="A15" s="89">
        <f t="shared" si="0"/>
        <v>10</v>
      </c>
      <c r="B15" s="169" t="str">
        <f>MRS!B15&amp;" "&amp;MRS!D15</f>
        <v>Gasket (SPW) SPW, SS 316L/ FG SS316L OR, SIZE : 1" 600</v>
      </c>
      <c r="C15" s="170"/>
      <c r="D15" s="83" t="str">
        <f>MRS!G15</f>
        <v>EA</v>
      </c>
      <c r="E15" s="84">
        <f>MRS!H15</f>
        <v>600</v>
      </c>
      <c r="F15" s="85">
        <f>MRS!I15</f>
        <v>7</v>
      </c>
      <c r="G15" s="85">
        <f>MRS!J15</f>
        <v>4200</v>
      </c>
      <c r="H15" s="90"/>
    </row>
    <row r="16" spans="1:13" s="52" customFormat="1" ht="32.1" customHeight="1">
      <c r="A16" s="89">
        <f t="shared" si="0"/>
        <v>11</v>
      </c>
      <c r="B16" s="169" t="str">
        <f>MRS!B16&amp;" "&amp;MRS!D16</f>
        <v>Gasket (SPW) SPW, SS 316L/ FG SS316L OR, SIZE : 2" 600</v>
      </c>
      <c r="C16" s="170"/>
      <c r="D16" s="83" t="str">
        <f>MRS!G16</f>
        <v>EA</v>
      </c>
      <c r="E16" s="84">
        <f>MRS!H16</f>
        <v>600</v>
      </c>
      <c r="F16" s="85">
        <f>MRS!I16</f>
        <v>13</v>
      </c>
      <c r="G16" s="85">
        <f>MRS!J16</f>
        <v>7800</v>
      </c>
      <c r="H16" s="90"/>
    </row>
    <row r="17" spans="1:8" s="52" customFormat="1" ht="32.1" customHeight="1">
      <c r="A17" s="89">
        <f t="shared" si="0"/>
        <v>12</v>
      </c>
      <c r="B17" s="169" t="str">
        <f>MRS!B17&amp;" "&amp;MRS!D17</f>
        <v>Gasket (SPW) SPW, SS 316L/ FG SS316L OR, SIZE : 3" 600</v>
      </c>
      <c r="C17" s="170"/>
      <c r="D17" s="83" t="str">
        <f>MRS!G17</f>
        <v>EA</v>
      </c>
      <c r="E17" s="84">
        <f>MRS!H17</f>
        <v>200</v>
      </c>
      <c r="F17" s="85">
        <f>MRS!I17</f>
        <v>20</v>
      </c>
      <c r="G17" s="85">
        <f>MRS!J17</f>
        <v>4000</v>
      </c>
      <c r="H17" s="90"/>
    </row>
    <row r="18" spans="1:8" s="52" customFormat="1" ht="32.1" customHeight="1">
      <c r="A18" s="89">
        <f t="shared" si="0"/>
        <v>13</v>
      </c>
      <c r="B18" s="169" t="str">
        <f>MRS!B18&amp;" "&amp;MRS!D18</f>
        <v>Gasket (SPW) SPW, SS 316L/ FG SS316L OR, SIZE : 4" 600</v>
      </c>
      <c r="C18" s="170"/>
      <c r="D18" s="83" t="str">
        <f>MRS!G18</f>
        <v>EA</v>
      </c>
      <c r="E18" s="84">
        <f>MRS!H18</f>
        <v>600</v>
      </c>
      <c r="F18" s="85">
        <f>MRS!I18</f>
        <v>33</v>
      </c>
      <c r="G18" s="85">
        <f>MRS!J18</f>
        <v>19800</v>
      </c>
      <c r="H18" s="90"/>
    </row>
    <row r="19" spans="1:8" s="52" customFormat="1" ht="32.1" customHeight="1">
      <c r="A19" s="89">
        <f t="shared" si="0"/>
        <v>14</v>
      </c>
      <c r="B19" s="169" t="str">
        <f>MRS!B19&amp;" "&amp;MRS!D19</f>
        <v>Gasket (SPW) SPW, SS 316L/ FG SS316L OR, SIZE : 14" 600</v>
      </c>
      <c r="C19" s="170"/>
      <c r="D19" s="83" t="str">
        <f>MRS!G19</f>
        <v>EA</v>
      </c>
      <c r="E19" s="84">
        <f>MRS!H19</f>
        <v>60</v>
      </c>
      <c r="F19" s="85">
        <f>MRS!I19</f>
        <v>154</v>
      </c>
      <c r="G19" s="85">
        <f>MRS!J19</f>
        <v>9240</v>
      </c>
      <c r="H19" s="90"/>
    </row>
    <row r="20" spans="1:8" s="52" customFormat="1" ht="32.1" customHeight="1">
      <c r="A20" s="89">
        <f t="shared" si="0"/>
        <v>15</v>
      </c>
      <c r="B20" s="169" t="str">
        <f>MRS!B20&amp;" "&amp;MRS!D20</f>
        <v>Gasket Non Asbestos  RF, 4.5mm, 1" 150</v>
      </c>
      <c r="C20" s="170"/>
      <c r="D20" s="83" t="str">
        <f>MRS!G20</f>
        <v>EA</v>
      </c>
      <c r="E20" s="84">
        <f>MRS!H20</f>
        <v>2000</v>
      </c>
      <c r="F20" s="85">
        <f>MRS!I20</f>
        <v>1.5</v>
      </c>
      <c r="G20" s="85">
        <f>MRS!J20</f>
        <v>3000</v>
      </c>
      <c r="H20" s="90"/>
    </row>
    <row r="21" spans="1:8" s="52" customFormat="1" ht="32.1" customHeight="1">
      <c r="A21" s="89">
        <f t="shared" si="0"/>
        <v>16</v>
      </c>
      <c r="B21" s="169" t="str">
        <f>MRS!B21&amp;" "&amp;MRS!D21</f>
        <v>Gasket Non Asbestos , RF, 4.5mm, 1-1/2" 150</v>
      </c>
      <c r="C21" s="170"/>
      <c r="D21" s="83" t="str">
        <f>MRS!G21</f>
        <v>EA</v>
      </c>
      <c r="E21" s="84">
        <f>MRS!H21</f>
        <v>500</v>
      </c>
      <c r="F21" s="85">
        <f>MRS!I21</f>
        <v>2</v>
      </c>
      <c r="G21" s="85">
        <f>MRS!J21</f>
        <v>1000</v>
      </c>
      <c r="H21" s="90"/>
    </row>
    <row r="22" spans="1:8" s="52" customFormat="1" ht="32.1" customHeight="1">
      <c r="A22" s="89">
        <f t="shared" si="0"/>
        <v>17</v>
      </c>
      <c r="B22" s="169" t="str">
        <f>MRS!B22&amp;" "&amp;MRS!D22</f>
        <v>Gasket Non Asbestos  RF, 4.5mm, 2" 150</v>
      </c>
      <c r="C22" s="170"/>
      <c r="D22" s="83" t="str">
        <f>MRS!G22</f>
        <v>EA</v>
      </c>
      <c r="E22" s="84">
        <f>MRS!H22</f>
        <v>2000</v>
      </c>
      <c r="F22" s="85">
        <f>MRS!I22</f>
        <v>2.8</v>
      </c>
      <c r="G22" s="85">
        <f>MRS!J22</f>
        <v>5600</v>
      </c>
      <c r="H22" s="90"/>
    </row>
    <row r="23" spans="1:8" s="52" customFormat="1" ht="32.1" customHeight="1">
      <c r="A23" s="89">
        <f t="shared" si="0"/>
        <v>18</v>
      </c>
      <c r="B23" s="169" t="str">
        <f>MRS!B23&amp;" "&amp;MRS!D23</f>
        <v>Gasket Non Asbestos  RF, 4.5mm, 6" 150</v>
      </c>
      <c r="C23" s="170"/>
      <c r="D23" s="83" t="str">
        <f>MRS!G23</f>
        <v>EA</v>
      </c>
      <c r="E23" s="84">
        <f>MRS!H23</f>
        <v>1000</v>
      </c>
      <c r="F23" s="85">
        <f>MRS!I23</f>
        <v>8.5</v>
      </c>
      <c r="G23" s="85">
        <f>MRS!J23</f>
        <v>8500</v>
      </c>
      <c r="H23" s="90"/>
    </row>
    <row r="24" spans="1:8" s="52" customFormat="1" ht="32.1" customHeight="1">
      <c r="A24" s="89">
        <f t="shared" si="0"/>
        <v>19</v>
      </c>
      <c r="B24" s="169" t="str">
        <f>MRS!B24&amp;" "&amp;MRS!D24</f>
        <v>CNAF Non-Asbestos Sheet  3mm x 1mtr x 1.5mtr</v>
      </c>
      <c r="C24" s="170"/>
      <c r="D24" s="83" t="str">
        <f>MRS!G24</f>
        <v>EA</v>
      </c>
      <c r="E24" s="84">
        <f>MRS!H24</f>
        <v>20</v>
      </c>
      <c r="F24" s="85">
        <f>MRS!I24</f>
        <v>450</v>
      </c>
      <c r="G24" s="85">
        <f>MRS!J24</f>
        <v>9000</v>
      </c>
      <c r="H24" s="90"/>
    </row>
    <row r="25" spans="1:8" s="52" customFormat="1" ht="32.1" customHeight="1">
      <c r="A25" s="89">
        <f t="shared" si="0"/>
        <v>20</v>
      </c>
      <c r="B25" s="169" t="str">
        <f>MRS!B25&amp;" "&amp;MRS!D25</f>
        <v>FCS Elbow  CL6000 A105 SW 90D 1"</v>
      </c>
      <c r="C25" s="170"/>
      <c r="D25" s="83" t="str">
        <f>MRS!G25</f>
        <v>EA</v>
      </c>
      <c r="E25" s="84">
        <f>MRS!H25</f>
        <v>60</v>
      </c>
      <c r="F25" s="85">
        <f>MRS!I25</f>
        <v>66</v>
      </c>
      <c r="G25" s="85">
        <f>MRS!J25</f>
        <v>3960</v>
      </c>
      <c r="H25" s="90"/>
    </row>
    <row r="26" spans="1:8" s="52" customFormat="1" ht="32.1" customHeight="1">
      <c r="A26" s="89">
        <f t="shared" si="0"/>
        <v>21</v>
      </c>
      <c r="B26" s="169" t="str">
        <f>MRS!B26&amp;" "&amp;MRS!D26</f>
        <v>FCS Elbow CL3000 A105 SW 90D 1"</v>
      </c>
      <c r="C26" s="170"/>
      <c r="D26" s="83" t="str">
        <f>MRS!G26</f>
        <v>EA</v>
      </c>
      <c r="E26" s="84">
        <f>MRS!H26</f>
        <v>50</v>
      </c>
      <c r="F26" s="85">
        <f>MRS!I26</f>
        <v>42</v>
      </c>
      <c r="G26" s="85">
        <f>MRS!J26</f>
        <v>2100</v>
      </c>
      <c r="H26" s="90"/>
    </row>
    <row r="27" spans="1:8" s="52" customFormat="1" ht="32.1" customHeight="1">
      <c r="A27" s="89">
        <f t="shared" si="0"/>
        <v>22</v>
      </c>
      <c r="B27" s="169" t="str">
        <f>MRS!B27&amp;" "&amp;MRS!D27</f>
        <v>FCS Hex Plunge   CL3000 NPT A105 1/4"</v>
      </c>
      <c r="C27" s="170"/>
      <c r="D27" s="83" t="str">
        <f>MRS!G27</f>
        <v>EA</v>
      </c>
      <c r="E27" s="84">
        <f>MRS!H27</f>
        <v>50</v>
      </c>
      <c r="F27" s="85">
        <f>MRS!I27</f>
        <v>10</v>
      </c>
      <c r="G27" s="85">
        <f>MRS!J27</f>
        <v>500</v>
      </c>
      <c r="H27" s="90"/>
    </row>
    <row r="28" spans="1:8" s="52" customFormat="1" ht="32.1" customHeight="1">
      <c r="A28" s="89">
        <f t="shared" si="0"/>
        <v>23</v>
      </c>
      <c r="B28" s="169" t="str">
        <f>MRS!B28&amp;" "&amp;MRS!D28</f>
        <v>CS Full Coupling  CL3000 NPT A105 3/4"</v>
      </c>
      <c r="C28" s="170"/>
      <c r="D28" s="83" t="str">
        <f>MRS!G28</f>
        <v>EA</v>
      </c>
      <c r="E28" s="84">
        <f>MRS!H28</f>
        <v>10</v>
      </c>
      <c r="F28" s="85">
        <f>MRS!I28</f>
        <v>15</v>
      </c>
      <c r="G28" s="85">
        <f>MRS!J28</f>
        <v>150</v>
      </c>
      <c r="H28" s="90"/>
    </row>
    <row r="29" spans="1:8" s="52" customFormat="1" ht="23.1" customHeight="1">
      <c r="A29" s="185" t="s">
        <v>83</v>
      </c>
      <c r="B29" s="186"/>
      <c r="C29" s="186"/>
      <c r="D29" s="186"/>
      <c r="E29" s="186"/>
      <c r="F29" s="186"/>
      <c r="G29" s="55">
        <f>SUM(G6:G28)</f>
        <v>130750</v>
      </c>
      <c r="H29" s="56"/>
    </row>
    <row r="30" spans="1:8" s="52" customFormat="1" ht="23.1" customHeight="1">
      <c r="A30" s="185" t="s">
        <v>47</v>
      </c>
      <c r="B30" s="186"/>
      <c r="C30" s="186"/>
      <c r="D30" s="186"/>
      <c r="E30" s="186"/>
      <c r="F30" s="186"/>
      <c r="G30" s="55">
        <f>+G29*0.15</f>
        <v>19612.5</v>
      </c>
      <c r="H30" s="56"/>
    </row>
    <row r="31" spans="1:8" s="52" customFormat="1" ht="24.95" customHeight="1" thickBot="1">
      <c r="A31" s="187" t="s">
        <v>84</v>
      </c>
      <c r="B31" s="188"/>
      <c r="C31" s="188"/>
      <c r="D31" s="188"/>
      <c r="E31" s="188"/>
      <c r="F31" s="188"/>
      <c r="G31" s="57">
        <f>G30+G29</f>
        <v>150362.5</v>
      </c>
      <c r="H31" s="58"/>
    </row>
    <row r="32" spans="1:8" ht="15.75" thickTop="1">
      <c r="A32" s="59" t="str">
        <f>" 1) Above Price are as per your quotation with ref "&amp;'PO 1st page'!K14</f>
        <v xml:space="preserve"> 1) Above Price are as per your quotation with ref JF-MAT-2026079</v>
      </c>
      <c r="B32" s="60"/>
      <c r="C32" s="60"/>
      <c r="D32" s="61"/>
      <c r="E32" s="61"/>
      <c r="F32" s="61"/>
      <c r="G32" s="61"/>
      <c r="H32" s="61"/>
    </row>
    <row r="33" spans="1:13" ht="15">
      <c r="A33" s="62" t="s">
        <v>85</v>
      </c>
      <c r="B33" s="63"/>
      <c r="C33" s="63"/>
      <c r="D33" s="64"/>
      <c r="E33" s="64"/>
      <c r="F33" s="64"/>
      <c r="G33" s="64"/>
      <c r="H33" s="64"/>
      <c r="I33" s="65"/>
    </row>
    <row r="34" spans="1:13" ht="15.75">
      <c r="A34" s="66"/>
    </row>
    <row r="35" spans="1:13">
      <c r="A35" s="160" t="s">
        <v>86</v>
      </c>
      <c r="B35" s="160"/>
      <c r="C35" s="160"/>
      <c r="D35" s="160"/>
      <c r="E35" s="160"/>
      <c r="F35" s="160"/>
      <c r="G35" s="160"/>
      <c r="H35" s="160"/>
      <c r="I35" s="67"/>
      <c r="J35" s="67"/>
      <c r="K35" s="67"/>
      <c r="L35" s="67"/>
      <c r="M35" s="67"/>
    </row>
    <row r="36" spans="1:13" ht="15.75">
      <c r="A36" s="66"/>
      <c r="C36" s="68"/>
    </row>
    <row r="37" spans="1:13" ht="15.75">
      <c r="A37" s="66"/>
      <c r="C37" s="68"/>
    </row>
    <row r="39" spans="1:13" ht="12" customHeight="1"/>
  </sheetData>
  <mergeCells count="35">
    <mergeCell ref="B24:C24"/>
    <mergeCell ref="B25:C25"/>
    <mergeCell ref="B26:C26"/>
    <mergeCell ref="B27:C27"/>
    <mergeCell ref="B28:C28"/>
    <mergeCell ref="A29:F29"/>
    <mergeCell ref="A30:F30"/>
    <mergeCell ref="A31:F31"/>
    <mergeCell ref="A35:H35"/>
    <mergeCell ref="B12:C12"/>
    <mergeCell ref="B14:C14"/>
    <mergeCell ref="B15:C15"/>
    <mergeCell ref="B20:C20"/>
    <mergeCell ref="B16:C16"/>
    <mergeCell ref="B17:C17"/>
    <mergeCell ref="B19:C19"/>
    <mergeCell ref="B18:C18"/>
    <mergeCell ref="B13:C13"/>
    <mergeCell ref="B21:C21"/>
    <mergeCell ref="B22:C22"/>
    <mergeCell ref="B23:C2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2026-07-02T03:40:53Z</cp:lastPrinted>
  <dcterms:created xsi:type="dcterms:W3CDTF">2024-10-20T11:50:19Z</dcterms:created>
  <dcterms:modified xsi:type="dcterms:W3CDTF">2026-07-02T03:41:45Z</dcterms:modified>
</cp:coreProperties>
</file>