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8CB55EFC-D8DE-4868-B61F-E1B7AAC09EE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<sst xmlns="http://schemas.openxmlformats.org/spreadsheetml/2006/main" count="165" uniqueCount="136">
  <si>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</si>
  <si>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</si>
  <si>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</si>
  <si>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</si>
  <si>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</si>
  <si>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</si>
  <si>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</si>
  <si>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</si>
  <si>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</si>
  <si>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</si>
  <si>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</si>
  <si>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</si>
  <si>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</si>
  <si>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</si>
  <si>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</si>
  <si>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</si>
  <si>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</si>
  <si>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</si>
  <si>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</si>
  <si>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</si>
  <si>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</si>
  <si>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</si>
  <si>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</si>
  <si>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</si>
  <si>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</si>
  <si>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</si>
  <si>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</si>
  <si>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</si>
  <si>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</si>
  <si>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</si>
  <si>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</si>
  <si>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</si>
  <si>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</si>
  <si>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</si>
  <si>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</si>
  <si>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</si>
  <si>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</si>
  <si>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</si>
  <si>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</si>
  <si>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</si>
  <si>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</si>
  <si>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</si>
  <si>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</si>
  <si>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</si>
  <si>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</si>
  <si>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</si>
  <si>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</si>
  <si>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</si>
  <si>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</si>
  <si>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</si>
  <si>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</si>
  <si>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</si>
  <si>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</si>
  <si>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</si>
  <si>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</si>
  <si>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</si>
  <si>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</si>
  <si>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</si>
  <si>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</si>
  <si>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</si>
  <si>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</si>
  <si>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</si>
  <si>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</si>
  <si>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</si>
  <si>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</si>
  <si>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</si>
  <si>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</si>
  <si>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</si>
  <si>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</si>
  <si>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</si>
  <si>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</si>
  <si>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</si>
  <si>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</si>
  <si>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</si>
  <si>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</si>
  <si>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</si>
  <si>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</si>
  <si>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</si>
  <si>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</si>
  <si>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</si>
  <si>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</si>
  <si>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</si>
  <si>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</si>
  <si>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</si>
  <si>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</si>
  <si>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</si>
  <si>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</si>
  <si>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</si>
  <si>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</si>
  <si>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</si>
  <si>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</si>
  <si>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</si>
  <si>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</si>
  <si>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</si>
  <si>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</si>
  <si>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</si>
  <si>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</si>
  <si>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</si>
  <si>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</si>
  <si>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</si>
  <si>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</si>
  <si>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</si>
  <si>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</si>
  <si>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</si>
  <si>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</si>
  <si>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</si>
  <si>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</si>
  <si>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</si>
  <si>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</si>
  <si>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</si>
  <si>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</si>
  <si>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</si>
  <si>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</si>
  <si>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</si>
  <si>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</si>
  <si>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</si>
  <si>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QUO-187472-N0J7L8-0</t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</si>
  <si>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</si>
  <si>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</si>
  <si>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</si>
  <si>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</si>
  <si>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</si>
  <si>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</si>
  <si>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</si>
  <si>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</si>
  <si>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</si>
  <si>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</si>
  <si>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</si>
  <si>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</si>
  <si>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</si>
  <si>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</si>
  <si>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</si>
  <si>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</si>
  <si>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-MRS-0472</t>
    </r>
  </si>
  <si>
    <t>Conbextra GP (25kg)</t>
  </si>
  <si>
    <t>General purpose non-shrink cementitious grout
Consumption rate: 13.25 litres/bag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</si>
</sst>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114</v>
      </c>
      <c r="B1" s="135"/>
      <c r="C1" s="107"/>
      <c r="D1" s="107"/>
      <c r="E1" s="107"/>
      <c r="F1" s="107"/>
      <c r="G1" s="1"/>
      <c r="J1" s="156" t="s">
        <v>81</v>
      </c>
      <c r="K1" s="157"/>
      <c r="L1" s="158"/>
    </row>
    <row r="2" spans="1:19" ht="20.100000000000001" customHeight="1">
      <c r="A2" s="3" t="s">
        <v>1</v>
      </c>
      <c r="B2" s="98"/>
      <c r="C2" s="98"/>
      <c r="D2" s="3" t="s">
        <v>115</v>
      </c>
      <c r="E2" s="98"/>
      <c r="F2" s="98"/>
      <c r="G2" s="98"/>
      <c r="H2" s="98"/>
      <c r="I2" s="4"/>
      <c r="J2" s="159" t="s">
        <v>88</v>
      </c>
      <c r="K2" s="160"/>
      <c r="L2" s="161"/>
    </row>
    <row r="3" spans="1:19" ht="20.100000000000001" customHeight="1">
      <c r="A3" s="3" t="s">
        <v>133</v>
      </c>
      <c r="B3" s="98"/>
      <c r="C3" s="98"/>
      <c r="D3" s="98"/>
      <c r="E3" s="162">
        <f>+L3+3</f>
        <v>46298</v>
      </c>
      <c r="F3" s="162"/>
      <c r="G3" s="162"/>
      <c r="H3" s="162"/>
      <c r="I3" s="162"/>
      <c r="J3" s="98"/>
      <c r="K3" s="98"/>
      <c r="L3" s="136">
        <v>46295</v>
      </c>
      <c r="M3" s="4"/>
    </row>
    <row r="4" spans="1:19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49" t="s">
        <v>6</v>
      </c>
      <c r="I4" s="149" t="s">
        <v>117</v>
      </c>
      <c r="J4" s="139" t="s">
        <v>118</v>
      </c>
      <c r="K4" s="149" t="s">
        <v>0</v>
      </c>
      <c r="L4" s="140" t="s">
        <v>7</v>
      </c>
    </row>
    <row r="5" spans="1:19" ht="19.5" customHeight="1">
      <c r="A5" s="139"/>
      <c r="B5" s="140"/>
      <c r="C5" s="140"/>
      <c r="D5" s="144"/>
      <c r="E5" s="145"/>
      <c r="F5" s="146"/>
      <c r="G5" s="148"/>
      <c r="H5" s="150"/>
      <c r="I5" s="150"/>
      <c r="J5" s="139"/>
      <c r="K5" s="150"/>
      <c r="L5" s="140"/>
    </row>
    <row r="6" spans="1:19" ht="56.25" customHeight="1">
      <c r="A6" s="5">
        <f t="shared" ref="A6:A14" si="0">ROW(A1)</f>
        <v>1</v>
      </c>
      <c r="B6" s="151" t="s">
        <v>134</v>
      </c>
      <c r="C6" s="152"/>
      <c r="D6" s="153" t="s">
        <v>135</v>
      </c>
      <c r="E6" s="154"/>
      <c r="F6" s="155"/>
      <c r="G6" s="108" t="s">
        <v>113</v>
      </c>
      <c r="H6" s="109">
        <v>1000</v>
      </c>
      <c r="I6" s="110">
        <v>14</v>
      </c>
      <c r="J6" s="110">
        <f>H6*I6</f>
        <v>14000</v>
      </c>
      <c r="K6" s="111" t="s">
        <v>89</v>
      </c>
      <c r="L6" s="126" t="s">
        <v>94</v>
      </c>
      <c r="S6" s="103"/>
    </row>
    <row r="7" spans="1:19" ht="64.5" customHeight="1">
      <c r="A7" s="5"/>
      <c r="B7" s="151"/>
      <c r="C7" s="152"/>
      <c r="D7" s="153"/>
      <c r="E7" s="154"/>
      <c r="F7" s="155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1"/>
      <c r="C8" s="152"/>
      <c r="D8" s="153"/>
      <c r="E8" s="154"/>
      <c r="F8" s="155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1"/>
      <c r="C9" s="152"/>
      <c r="D9" s="163"/>
      <c r="E9" s="164"/>
      <c r="F9" s="165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1"/>
      <c r="C10" s="152"/>
      <c r="D10" s="163"/>
      <c r="E10" s="164"/>
      <c r="F10" s="165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6"/>
      <c r="C11" s="166"/>
      <c r="D11" s="167"/>
      <c r="E11" s="167"/>
      <c r="F11" s="167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1"/>
      <c r="C12" s="152"/>
      <c r="D12" s="163"/>
      <c r="E12" s="164"/>
      <c r="F12" s="165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1"/>
      <c r="C13" s="152"/>
      <c r="D13" s="163"/>
      <c r="E13" s="164"/>
      <c r="F13" s="165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1"/>
      <c r="C15" s="152"/>
      <c r="D15" s="163"/>
      <c r="E15" s="164"/>
      <c r="F15" s="165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68" t="s">
        <v>8</v>
      </c>
      <c r="B16" s="16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14000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9"/>
      <c r="Z18" s="11"/>
    </row>
    <row r="19" spans="1:26" ht="50.1" customHeight="1">
      <c r="Y19" s="180"/>
    </row>
    <row r="20" spans="1:26" ht="15" customHeight="1">
      <c r="O20" s="175" t="s">
        <v>101</v>
      </c>
      <c r="P20" s="181"/>
      <c r="Q20" s="181"/>
      <c r="R20" s="176"/>
      <c r="S20" s="127"/>
      <c r="T20" s="175" t="s">
        <v>102</v>
      </c>
      <c r="U20" s="181"/>
      <c r="V20" s="181"/>
      <c r="W20" s="181"/>
      <c r="X20" s="181"/>
      <c r="Y20" s="176"/>
    </row>
    <row r="21" spans="1:26" ht="15" customHeight="1">
      <c r="O21" s="172" t="s">
        <v>103</v>
      </c>
      <c r="P21" s="170" t="s">
        <v>104</v>
      </c>
      <c r="Q21" s="172" t="s">
        <v>105</v>
      </c>
      <c r="R21" s="170" t="s">
        <v>106</v>
      </c>
      <c r="S21" s="127"/>
      <c r="T21" s="172" t="s">
        <v>107</v>
      </c>
      <c r="U21" s="170" t="s">
        <v>108</v>
      </c>
      <c r="V21" s="175" t="s">
        <v>109</v>
      </c>
      <c r="W21" s="181"/>
      <c r="X21" s="176"/>
      <c r="Y21" s="170" t="s">
        <v>110</v>
      </c>
    </row>
    <row r="22" spans="1:26" ht="18" customHeight="1">
      <c r="O22" s="173"/>
      <c r="P22" s="171"/>
      <c r="Q22" s="173"/>
      <c r="R22" s="171"/>
      <c r="S22" s="128"/>
      <c r="T22" s="173"/>
      <c r="U22" s="171"/>
      <c r="V22" s="13" t="s">
        <v>103</v>
      </c>
      <c r="W22" s="182" t="s">
        <v>111</v>
      </c>
      <c r="X22" s="183"/>
      <c r="Y22" s="171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75"/>
      <c r="X23" s="176"/>
      <c r="Y23" s="129"/>
    </row>
    <row r="24" spans="1:26" ht="36" customHeight="1">
      <c r="W24" s="130"/>
      <c r="X24" s="177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78"/>
      <c r="Y25" s="133"/>
    </row>
    <row r="26" spans="1:26" ht="19.899999999999999" customHeight="1"/>
    <row r="27" spans="1:26" ht="17.45" customHeight="1">
      <c r="O27" s="174"/>
      <c r="P27" s="174"/>
    </row>
    <row r="28" spans="1:26" ht="19.899999999999999" customHeight="1">
      <c r="O28" s="174"/>
      <c r="P28" s="17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0" t="s">
        <v>12</v>
      </c>
    </row>
    <row r="41" spans="15:22" ht="19.899999999999999" customHeight="1">
      <c r="T41" s="171"/>
    </row>
    <row r="42" spans="15:22" ht="64.900000000000006" customHeight="1">
      <c r="T42" s="14"/>
    </row>
    <row r="46" spans="15:22" ht="21" customHeight="1">
      <c r="O46" s="170" t="s">
        <v>12</v>
      </c>
      <c r="P46" s="170" t="s">
        <v>12</v>
      </c>
      <c r="Q46" s="170" t="s">
        <v>12</v>
      </c>
      <c r="T46" s="170" t="s">
        <v>13</v>
      </c>
      <c r="U46" s="170" t="s">
        <v>11</v>
      </c>
      <c r="V46" s="170" t="s">
        <v>12</v>
      </c>
    </row>
    <row r="47" spans="15:22" ht="21" customHeight="1">
      <c r="O47" s="171"/>
      <c r="P47" s="171"/>
      <c r="Q47" s="171"/>
      <c r="T47" s="173"/>
      <c r="U47" s="173"/>
      <c r="V47" s="17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0" t="s">
        <v>12</v>
      </c>
      <c r="P50" s="170" t="s">
        <v>12</v>
      </c>
      <c r="Q50" s="170" t="s">
        <v>12</v>
      </c>
      <c r="T50" s="170" t="s">
        <v>11</v>
      </c>
      <c r="U50" s="170" t="s">
        <v>13</v>
      </c>
      <c r="V50" s="170" t="s">
        <v>12</v>
      </c>
    </row>
    <row r="51" spans="15:22" ht="21" customHeight="1">
      <c r="O51" s="171"/>
      <c r="P51" s="171"/>
      <c r="Q51" s="171"/>
      <c r="T51" s="173"/>
      <c r="U51" s="173"/>
      <c r="V51" s="17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84" t="str">
        <f>+MRS!J1</f>
        <v>DAESHIN PLANT</v>
      </c>
      <c r="K1" s="18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86" t="str">
        <f>+MRS!J2</f>
        <v>Subcontract name (SAC2-SC-IK-SMP-01)</v>
      </c>
      <c r="K2" s="187"/>
    </row>
    <row r="3" spans="1:18" ht="24.95" customHeight="1">
      <c r="A3" s="3" t="str">
        <f>+MRS!A3</f>
        <v xml:space="preserve">  MRS No : SAC2-DS-MRS-0472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46295</v>
      </c>
    </row>
    <row r="4" spans="1:18" ht="15.95" customHeight="1">
      <c r="A4" s="188" t="s">
        <v>2</v>
      </c>
      <c r="B4" s="189" t="s">
        <v>14</v>
      </c>
      <c r="C4" s="189"/>
      <c r="D4" s="188" t="s">
        <v>4</v>
      </c>
      <c r="E4" s="188"/>
      <c r="F4" s="188"/>
      <c r="G4" s="189" t="s">
        <v>5</v>
      </c>
      <c r="H4" s="188" t="s">
        <v>82</v>
      </c>
      <c r="I4" s="188" t="s">
        <v>15</v>
      </c>
      <c r="J4" s="188" t="s">
        <v>16</v>
      </c>
      <c r="K4" s="189" t="s">
        <v>7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+MRS!A6</f>
        <v>1</v>
      </c>
      <c r="B6" s="190" t="str">
        <f>MRS!B6</f>
        <v>Conbextra GP (25kg)</v>
      </c>
      <c r="C6" s="191"/>
      <c r="D6" s="192" t="str">
        <f>MRS!D6</f>
        <v>General purpose non-shrink cementitious grout
Consumption rate: 13.25 litres/bag</v>
      </c>
      <c r="E6" s="193"/>
      <c r="F6" s="194"/>
      <c r="G6" s="100" t="str">
        <f>MRS!G6</f>
        <v>KG</v>
      </c>
      <c r="H6" s="100">
        <f>MRS!H6</f>
        <v>1000</v>
      </c>
      <c r="I6" s="101">
        <f>MRS!I6</f>
        <v>14</v>
      </c>
      <c r="J6" s="101">
        <f>MRS!J6</f>
        <v>14000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90">
        <f>MRS!B7</f>
        <v>0</v>
      </c>
      <c r="C7" s="191"/>
      <c r="D7" s="192">
        <f>MRS!D7</f>
        <v>0</v>
      </c>
      <c r="E7" s="193"/>
      <c r="F7" s="194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90">
        <f>MRS!B8</f>
        <v>0</v>
      </c>
      <c r="C8" s="191"/>
      <c r="D8" s="192">
        <f>MRS!D8</f>
        <v>0</v>
      </c>
      <c r="E8" s="193"/>
      <c r="F8" s="194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90">
        <f>MRS!B9</f>
        <v>0</v>
      </c>
      <c r="C9" s="191"/>
      <c r="D9" s="192">
        <f>MRS!D9</f>
        <v>0</v>
      </c>
      <c r="E9" s="193"/>
      <c r="F9" s="194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90">
        <f>MRS!B10</f>
        <v>0</v>
      </c>
      <c r="C10" s="191"/>
      <c r="D10" s="192">
        <f>MRS!D10</f>
        <v>0</v>
      </c>
      <c r="E10" s="193"/>
      <c r="F10" s="194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95"/>
      <c r="C11" s="196"/>
      <c r="D11" s="197"/>
      <c r="E11" s="198"/>
      <c r="F11" s="199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95"/>
      <c r="C12" s="196"/>
      <c r="D12" s="197"/>
      <c r="E12" s="198"/>
      <c r="F12" s="199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95"/>
      <c r="C13" s="196"/>
      <c r="D13" s="197"/>
      <c r="E13" s="198"/>
      <c r="F13" s="199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95"/>
      <c r="C14" s="196"/>
      <c r="D14" s="197"/>
      <c r="E14" s="198"/>
      <c r="F14" s="199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95"/>
      <c r="C15" s="196"/>
      <c r="D15" s="197"/>
      <c r="E15" s="198"/>
      <c r="F15" s="199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95"/>
      <c r="C16" s="196"/>
      <c r="D16" s="197"/>
      <c r="E16" s="198"/>
      <c r="F16" s="199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95"/>
      <c r="C17" s="196"/>
      <c r="D17" s="197"/>
      <c r="E17" s="198"/>
      <c r="F17" s="199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46295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SAC2-DS-PO-0472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35" t="s">
        <v>116</v>
      </c>
    </row>
    <row r="15" spans="2:13" s="35" customFormat="1">
      <c r="C15" s="73" t="s">
        <v>99</v>
      </c>
      <c r="J15" s="35" t="s">
        <v>31</v>
      </c>
      <c r="K15" s="74">
        <v>45813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GP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14000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2100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16100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119</v>
      </c>
    </row>
    <row r="54" spans="2:16" ht="12" customHeight="1">
      <c r="B54" s="80" t="s">
        <v>56</v>
      </c>
      <c r="C54" s="137" t="s">
        <v>120</v>
      </c>
      <c r="F54" s="22" t="s">
        <v>121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122</v>
      </c>
      <c r="F55" s="138" t="s">
        <v>123</v>
      </c>
    </row>
    <row r="56" spans="2:16" ht="12" customHeight="1">
      <c r="B56" s="80" t="s">
        <v>56</v>
      </c>
      <c r="C56" s="137" t="s">
        <v>124</v>
      </c>
      <c r="F56" s="138" t="s">
        <v>125</v>
      </c>
    </row>
    <row r="57" spans="2:16" ht="12" customHeight="1">
      <c r="B57" s="80" t="s">
        <v>56</v>
      </c>
      <c r="C57" s="137" t="s">
        <v>126</v>
      </c>
      <c r="F57" s="22" t="s">
        <v>127</v>
      </c>
    </row>
    <row r="58" spans="2:16" ht="12" customHeight="1">
      <c r="B58" s="80" t="s">
        <v>56</v>
      </c>
      <c r="C58" s="137" t="s">
        <v>128</v>
      </c>
      <c r="F58" s="22" t="s">
        <v>129</v>
      </c>
    </row>
    <row r="59" spans="2:16" ht="12" customHeight="1">
      <c r="B59" s="80" t="s">
        <v>56</v>
      </c>
      <c r="C59" s="137" t="s">
        <v>130</v>
      </c>
      <c r="F59" s="22" t="s">
        <v>131</v>
      </c>
    </row>
    <row r="60" spans="2:16" ht="12" customHeight="1">
      <c r="B60" s="80"/>
      <c r="C60" s="31" t="s">
        <v>132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F6" sqref="F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SAC2-DS-PO-0472</v>
      </c>
      <c r="C2" s="211" t="s">
        <v>68</v>
      </c>
      <c r="D2" s="211"/>
      <c r="E2" s="211"/>
      <c r="F2" s="211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46295</v>
      </c>
      <c r="C3" s="47"/>
      <c r="D3" s="48"/>
      <c r="E3" s="212" t="s">
        <v>70</v>
      </c>
      <c r="F3" s="212"/>
      <c r="G3" s="212"/>
      <c r="H3" s="212"/>
      <c r="I3" s="49"/>
    </row>
    <row r="4" spans="1:13" s="51" customFormat="1" ht="28.5" customHeight="1" thickTop="1">
      <c r="A4" s="213" t="s">
        <v>71</v>
      </c>
      <c r="B4" s="215" t="s">
        <v>72</v>
      </c>
      <c r="C4" s="216"/>
      <c r="D4" s="219" t="s">
        <v>73</v>
      </c>
      <c r="E4" s="219" t="s">
        <v>74</v>
      </c>
      <c r="F4" s="221" t="str">
        <f>'PO 1st page'!C9</f>
        <v>FCL(Fosam Company Ltd.)</v>
      </c>
      <c r="G4" s="222"/>
      <c r="H4" s="223" t="s">
        <v>75</v>
      </c>
      <c r="K4" s="52"/>
      <c r="L4" s="52"/>
      <c r="M4" s="52"/>
    </row>
    <row r="5" spans="1:13" s="51" customFormat="1" ht="21.95" customHeight="1">
      <c r="A5" s="214"/>
      <c r="B5" s="217"/>
      <c r="C5" s="218"/>
      <c r="D5" s="220"/>
      <c r="E5" s="220"/>
      <c r="F5" s="53" t="s">
        <v>76</v>
      </c>
      <c r="G5" s="53" t="s">
        <v>42</v>
      </c>
      <c r="H5" s="224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5" t="str">
        <f>CONCATENATE(MRS!B6," ",MRS!D6)</f>
        <v>Conbextra GP (25kg) General purpose non-shrink cementitious grout
Consumption rate: 13.25 litres/bag</v>
      </c>
      <c r="C6" s="226"/>
      <c r="D6" s="82" t="str">
        <f>+'MRS LIST'!G6</f>
        <v>KG</v>
      </c>
      <c r="E6" s="83">
        <f>+'MRS LIST'!H6</f>
        <v>1000</v>
      </c>
      <c r="F6" s="84">
        <f>+'MRS LIST'!I6</f>
        <v>14</v>
      </c>
      <c r="G6" s="85">
        <f>+'MRS LIST'!J6</f>
        <v>14000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5" t="str">
        <f>CONCATENATE(MRS!B7," ",MRS!D7)</f>
        <v xml:space="preserve"> </v>
      </c>
      <c r="C7" s="226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5" t="str">
        <f>CONCATENATE(MRS!B8," ",MRS!D8)</f>
        <v xml:space="preserve"> </v>
      </c>
      <c r="C8" s="226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5"/>
      <c r="C9" s="226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5"/>
      <c r="C10" s="226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09"/>
      <c r="C11" s="210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9"/>
      <c r="C12" s="21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9"/>
      <c r="C13" s="21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9"/>
      <c r="C14" s="21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9"/>
      <c r="C15" s="21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9"/>
      <c r="C16" s="21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9"/>
      <c r="C17" s="210"/>
      <c r="D17" s="90"/>
      <c r="E17" s="91"/>
      <c r="F17" s="92"/>
      <c r="G17" s="93"/>
      <c r="H17" s="94"/>
    </row>
    <row r="18" spans="1:13" s="51" customFormat="1" ht="23.1" customHeight="1">
      <c r="A18" s="227" t="s">
        <v>77</v>
      </c>
      <c r="B18" s="228"/>
      <c r="C18" s="228"/>
      <c r="D18" s="228"/>
      <c r="E18" s="228"/>
      <c r="F18" s="228"/>
      <c r="G18" s="54">
        <f>SUM(G6:G17)</f>
        <v>14000</v>
      </c>
      <c r="H18" s="55"/>
    </row>
    <row r="19" spans="1:13" s="51" customFormat="1" ht="23.1" customHeight="1">
      <c r="A19" s="227" t="s">
        <v>41</v>
      </c>
      <c r="B19" s="228"/>
      <c r="C19" s="228"/>
      <c r="D19" s="228"/>
      <c r="E19" s="228"/>
      <c r="F19" s="228"/>
      <c r="G19" s="54">
        <f>+G18*0.15</f>
        <v>2100</v>
      </c>
      <c r="H19" s="55"/>
    </row>
    <row r="20" spans="1:13" s="51" customFormat="1" ht="23.1" customHeight="1">
      <c r="A20" s="227" t="s">
        <v>87</v>
      </c>
      <c r="B20" s="228"/>
      <c r="C20" s="228"/>
      <c r="D20" s="228"/>
      <c r="E20" s="228"/>
      <c r="F20" s="228"/>
      <c r="G20" s="119">
        <v>0</v>
      </c>
      <c r="H20" s="120"/>
    </row>
    <row r="21" spans="1:13" s="51" customFormat="1" ht="24.95" customHeight="1" thickBot="1">
      <c r="A21" s="229" t="s">
        <v>78</v>
      </c>
      <c r="B21" s="230"/>
      <c r="C21" s="230"/>
      <c r="D21" s="230"/>
      <c r="E21" s="230"/>
      <c r="F21" s="230"/>
      <c r="G21" s="56">
        <f>SUM(G18:G20)</f>
        <v>16100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QUO-187472-N0J7L8-0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2026-09-30T06:27:04Z</cp:lastPrinted>
  <dcterms:created xsi:type="dcterms:W3CDTF">2024-10-20T11:50:19Z</dcterms:created>
  <dcterms:modified xsi:type="dcterms:W3CDTF">2026-09-30T06:27:39Z</dcterms:modified>
</cp:coreProperties>
</file>