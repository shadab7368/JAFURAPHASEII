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D91AF53-3AAB-4128-98D2-BAA5F306D6B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8" i="4"/>
  <c r="D8" i="4"/>
  <c r="B8" i="4"/>
  <c r="J8" i="1"/>
  <c r="E7" i="4"/>
  <c r="B7" i="4"/>
  <c r="P54" i="3" l="1"/>
  <c r="B6" i="4" l="1"/>
  <c r="J7" i="1"/>
  <c r="J7" i="2" s="1"/>
  <c r="G7" i="4" s="1"/>
  <c r="H6" i="4"/>
  <c r="J8" i="2"/>
  <c r="G8" i="4" s="1"/>
  <c r="I8" i="2"/>
  <c r="F8" i="4" s="1"/>
  <c r="H8" i="2"/>
  <c r="G8" i="2"/>
  <c r="I7" i="2"/>
  <c r="F7" i="4" s="1"/>
  <c r="H7" i="2"/>
  <c r="G7" i="2"/>
  <c r="D7" i="4" s="1"/>
  <c r="D8" i="2"/>
  <c r="B8" i="2"/>
  <c r="D7" i="2"/>
  <c r="B7" i="2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67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<sst xmlns="http://schemas.openxmlformats.org/spreadsheetml/2006/main" count="183" uniqueCount="139">
  <si>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</si>
  <si>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</si>
  <si>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</si>
  <si>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</si>
  <si>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</si>
  <si>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</si>
  <si>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</si>
  <si>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</si>
  <si>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</si>
  <si>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</si>
  <si>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</si>
  <si>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</si>
  <si>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</si>
  <si>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</si>
  <si>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</si>
  <si>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</si>
  <si>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</si>
  <si>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</si>
  <si>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</si>
  <si>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</si>
  <si>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</si>
  <si>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</si>
  <si>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</si>
  <si>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</si>
  <si>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</si>
  <si>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</si>
  <si>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</si>
  <si>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</si>
  <si>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</si>
  <si>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</si>
  <si>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</si>
  <si>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</si>
  <si>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</si>
  <si>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</si>
  <si>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</si>
  <si>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</si>
  <si>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</si>
  <si>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</si>
  <si>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</si>
  <si>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</si>
  <si>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</si>
  <si>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</si>
  <si>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</si>
  <si>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</si>
  <si>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</si>
  <si>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</si>
  <si>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</si>
  <si>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</si>
  <si>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</si>
  <si>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</si>
  <si>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</si>
  <si>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</si>
  <si>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</si>
  <si>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</si>
  <si>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</si>
  <si>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</si>
  <si>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</si>
  <si>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</si>
  <si>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</si>
  <si>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</si>
  <si>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</si>
  <si>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</si>
  <si>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</si>
  <si>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</si>
  <si>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</si>
  <si>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</si>
  <si>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</si>
  <si>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</si>
  <si>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</si>
  <si>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</si>
  <si>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</si>
  <si>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</si>
  <si>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</si>
  <si>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</si>
  <si>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</si>
  <si>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</si>
  <si>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</si>
  <si>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</si>
  <si>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</si>
  <si>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</si>
  <si>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</si>
  <si>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</si>
  <si>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</si>
  <si>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</si>
  <si>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</si>
  <si>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</si>
  <si>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</si>
  <si>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</si>
  <si>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</si>
  <si>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</si>
  <si>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</si>
  <si>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</si>
  <si>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</si>
  <si>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</si>
  <si>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</si>
  <si>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</si>
  <si>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</si>
  <si>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</si>
  <si>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</si>
  <si>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</si>
  <si>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</si>
  <si>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</si>
  <si>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</si>
  <si>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</si>
  <si>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</si>
  <si>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</si>
  <si>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</si>
  <si>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</si>
  <si>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</si>
  <si>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</si>
  <si>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</si>
  <si>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THE SAUDI NATIONAL BANK</t>
  </si>
  <si>
    <t>NCBKSAJE</t>
  </si>
  <si>
    <t>Sales Executive</t>
  </si>
  <si>
    <t>Mobilization</t>
  </si>
  <si>
    <t>Trip</t>
  </si>
  <si>
    <t>Demobilization</t>
  </si>
  <si>
    <t>TVIS</t>
  </si>
  <si>
    <t>Mothly</t>
  </si>
  <si>
    <t>One time</t>
  </si>
  <si>
    <t>TVIS(Faisal Mutlaq Mathkar Al-Othaibi Gen. Cont. Est.)</t>
  </si>
  <si>
    <t xml:space="preserve"> CR No. :</t>
    <phoneticPr fontId="5" type="noConversion"/>
  </si>
  <si>
    <t xml:space="preserve"> VAT No. : </t>
    <phoneticPr fontId="5" type="noConversion"/>
  </si>
  <si>
    <t>310424405600003</t>
  </si>
  <si>
    <t xml:space="preserve"> In Charge :</t>
    <phoneticPr fontId="5" type="noConversion"/>
  </si>
  <si>
    <t>Kalandar Kausar</t>
  </si>
  <si>
    <t>+966 569120745 / info@techvisionindus.com</t>
  </si>
  <si>
    <t>06 Ground Floor, Al Dana Bldng. King Faisal St. 
Opp. Kims Hospital,</t>
  </si>
  <si>
    <t>ALJubail 35819, Kingdom of Saudi Arabia</t>
  </si>
  <si>
    <t>Mobile : +966 55 87602885</t>
  </si>
  <si>
    <t>2055126441</t>
  </si>
  <si>
    <t>FAISAL MUTLAQ MATHKAR AL-OTHAIBI GEN. CONT. EST.</t>
  </si>
  <si>
    <t>30100000670809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</si>
  <si>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-MRS-0242</t>
    </r>
  </si>
  <si>
    <t>RT Crane</t>
  </si>
  <si>
    <t>80 Ton with Operator Aramco Certified</t>
  </si>
  <si>
    <t>"</t>
  </si>
  <si>
    <t>FEC-QTN-2026-00003</t>
  </si>
  <si>
    <t>SA41 1000 0030 1000 0067 0809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</si>
</sst>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42" fillId="3" borderId="0" xfId="5" quotePrefix="1" applyFont="1" applyFill="1"/>
    <xf numFmtId="0" fontId="55" fillId="3" borderId="0" xfId="5" applyFont="1" applyFill="1"/>
    <xf numFmtId="0" fontId="18" fillId="3" borderId="0" xfId="5" quotePrefix="1" applyFont="1" applyFill="1"/>
    <xf numFmtId="0" fontId="56" fillId="3" borderId="0" xfId="5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5053263"/>
              <a:ext cx="393081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140625" style="2" customWidth="1"/>
    <col min="4" max="4" width="17.28515625" style="2" customWidth="1"/>
    <col min="5" max="5" width="6" style="2" customWidth="1"/>
    <col min="6" max="6" width="9.1406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94</v>
      </c>
      <c r="B1" s="111"/>
      <c r="C1" s="111"/>
      <c r="D1" s="111"/>
      <c r="E1" s="111"/>
      <c r="F1" s="111"/>
      <c r="G1" s="1"/>
      <c r="J1" s="145" t="s">
        <v>95</v>
      </c>
      <c r="K1" s="146"/>
      <c r="L1" s="147"/>
    </row>
    <row r="2" spans="1:19" ht="20.100000000000001" customHeight="1">
      <c r="A2" s="3" t="s">
        <v>96</v>
      </c>
      <c r="B2" s="102"/>
      <c r="C2" s="102"/>
      <c r="D2" s="3" t="s">
        <v>97</v>
      </c>
      <c r="E2" s="102"/>
      <c r="F2" s="102"/>
      <c r="G2" s="102"/>
      <c r="H2" s="102"/>
      <c r="I2" s="4"/>
      <c r="J2" s="148" t="s">
        <v>98</v>
      </c>
      <c r="K2" s="149"/>
      <c r="L2" s="150"/>
    </row>
    <row r="3" spans="1:19" ht="20.100000000000001" customHeight="1">
      <c r="A3" s="3" t="s">
        <v>133</v>
      </c>
      <c r="B3" s="102"/>
      <c r="C3" s="102"/>
      <c r="D3" s="102"/>
      <c r="E3" s="151">
        <f>+L3</f>
        <v>46081</v>
      </c>
      <c r="F3" s="151"/>
      <c r="G3" s="151"/>
      <c r="H3" s="151"/>
      <c r="I3" s="151"/>
      <c r="J3" s="102"/>
      <c r="K3" s="102"/>
      <c r="L3" s="123">
        <v>46081</v>
      </c>
      <c r="M3" s="4"/>
    </row>
    <row r="4" spans="1:19" ht="15.95" customHeight="1">
      <c r="A4" s="152" t="s">
        <v>1</v>
      </c>
      <c r="B4" s="153" t="s">
        <v>2</v>
      </c>
      <c r="C4" s="153"/>
      <c r="D4" s="154" t="s">
        <v>3</v>
      </c>
      <c r="E4" s="155"/>
      <c r="F4" s="156"/>
      <c r="G4" s="160" t="s">
        <v>4</v>
      </c>
      <c r="H4" s="162" t="s">
        <v>5</v>
      </c>
      <c r="I4" s="162" t="s">
        <v>91</v>
      </c>
      <c r="J4" s="152" t="s">
        <v>92</v>
      </c>
      <c r="K4" s="162" t="s">
        <v>0</v>
      </c>
      <c r="L4" s="153" t="s">
        <v>6</v>
      </c>
    </row>
    <row r="5" spans="1:19" ht="15.95" customHeight="1">
      <c r="A5" s="152"/>
      <c r="B5" s="153"/>
      <c r="C5" s="153"/>
      <c r="D5" s="157"/>
      <c r="E5" s="158"/>
      <c r="F5" s="159"/>
      <c r="G5" s="161"/>
      <c r="H5" s="163"/>
      <c r="I5" s="163"/>
      <c r="J5" s="152"/>
      <c r="K5" s="163"/>
      <c r="L5" s="153"/>
    </row>
    <row r="6" spans="1:19" ht="22.5" customHeight="1">
      <c r="A6" s="5">
        <f t="shared" ref="A6:A15" si="0">ROW(A1)</f>
        <v>1</v>
      </c>
      <c r="B6" s="133" t="s">
        <v>134</v>
      </c>
      <c r="C6" s="134"/>
      <c r="D6" s="135" t="s">
        <v>135</v>
      </c>
      <c r="E6" s="136"/>
      <c r="F6" s="137"/>
      <c r="G6" s="112" t="s">
        <v>86</v>
      </c>
      <c r="H6" s="113">
        <v>1</v>
      </c>
      <c r="I6" s="114">
        <v>78000</v>
      </c>
      <c r="J6" s="114">
        <f>H6*I6</f>
        <v>78000</v>
      </c>
      <c r="K6" s="115" t="s">
        <v>117</v>
      </c>
      <c r="L6" s="116" t="s">
        <v>118</v>
      </c>
      <c r="S6" s="107"/>
    </row>
    <row r="7" spans="1:19" ht="22.5" customHeight="1">
      <c r="A7" s="5">
        <f t="shared" si="0"/>
        <v>2</v>
      </c>
      <c r="B7" s="133" t="s">
        <v>134</v>
      </c>
      <c r="C7" s="134"/>
      <c r="D7" s="144" t="s">
        <v>114</v>
      </c>
      <c r="E7" s="136"/>
      <c r="F7" s="137"/>
      <c r="G7" s="112" t="s">
        <v>115</v>
      </c>
      <c r="H7" s="113">
        <v>1</v>
      </c>
      <c r="I7" s="114">
        <v>5000</v>
      </c>
      <c r="J7" s="114">
        <f>H7*I7</f>
        <v>5000</v>
      </c>
      <c r="K7" s="115" t="s">
        <v>136</v>
      </c>
      <c r="L7" s="116" t="s">
        <v>119</v>
      </c>
      <c r="S7" s="107"/>
    </row>
    <row r="8" spans="1:19" ht="22.5" customHeight="1">
      <c r="A8" s="5">
        <f t="shared" si="0"/>
        <v>3</v>
      </c>
      <c r="B8" s="133" t="s">
        <v>134</v>
      </c>
      <c r="C8" s="134"/>
      <c r="D8" s="144" t="s">
        <v>116</v>
      </c>
      <c r="E8" s="136"/>
      <c r="F8" s="137"/>
      <c r="G8" s="112" t="s">
        <v>115</v>
      </c>
      <c r="H8" s="113">
        <v>1</v>
      </c>
      <c r="I8" s="114">
        <v>5000</v>
      </c>
      <c r="J8" s="114">
        <f>H8*I8</f>
        <v>5000</v>
      </c>
      <c r="K8" s="115" t="s">
        <v>136</v>
      </c>
      <c r="L8" s="116" t="s">
        <v>119</v>
      </c>
      <c r="S8" s="107"/>
    </row>
    <row r="9" spans="1:19" ht="22.5" customHeight="1">
      <c r="A9" s="5">
        <f t="shared" si="0"/>
        <v>4</v>
      </c>
      <c r="B9" s="133"/>
      <c r="C9" s="134"/>
      <c r="D9" s="135"/>
      <c r="E9" s="136"/>
      <c r="F9" s="137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42"/>
      <c r="C10" s="142"/>
      <c r="D10" s="143"/>
      <c r="E10" s="143"/>
      <c r="F10" s="143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33"/>
      <c r="C11" s="134"/>
      <c r="D11" s="135"/>
      <c r="E11" s="136"/>
      <c r="F11" s="137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42"/>
      <c r="C12" s="142"/>
      <c r="D12" s="143"/>
      <c r="E12" s="143"/>
      <c r="F12" s="143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33"/>
      <c r="C13" s="134"/>
      <c r="D13" s="135"/>
      <c r="E13" s="136"/>
      <c r="F13" s="137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33"/>
      <c r="C14" s="134"/>
      <c r="D14" s="135"/>
      <c r="E14" s="136"/>
      <c r="F14" s="137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33"/>
      <c r="C15" s="134"/>
      <c r="D15" s="135"/>
      <c r="E15" s="136"/>
      <c r="F15" s="137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38" t="s">
        <v>7</v>
      </c>
      <c r="B16" s="139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88000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40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41"/>
      <c r="T19" s="14"/>
      <c r="U19" s="15"/>
      <c r="V19" s="14"/>
    </row>
    <row r="20" spans="1:22" ht="17.100000000000001" customHeight="1">
      <c r="O20" s="11"/>
      <c r="P20" s="11"/>
      <c r="Q20" s="11"/>
      <c r="S20" s="130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29" t="s">
        <v>16</v>
      </c>
      <c r="Q21" s="129" t="s">
        <v>17</v>
      </c>
    </row>
    <row r="22" spans="1:22" ht="18" customHeight="1">
      <c r="O22" s="18" t="s">
        <v>18</v>
      </c>
      <c r="P22" s="131"/>
      <c r="Q22" s="131"/>
      <c r="S22" s="140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41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30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32"/>
      <c r="P27" s="132"/>
      <c r="Q27" s="132"/>
    </row>
    <row r="28" spans="1:22" ht="19.899999999999999" customHeight="1">
      <c r="O28" s="132"/>
      <c r="P28" s="132"/>
      <c r="Q28" s="132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9" t="s">
        <v>20</v>
      </c>
    </row>
    <row r="41" spans="15:22" ht="19.899999999999999" customHeight="1">
      <c r="T41" s="131"/>
    </row>
    <row r="42" spans="15:22" ht="64.900000000000006" customHeight="1">
      <c r="T42" s="14"/>
    </row>
    <row r="46" spans="15:22" ht="21" customHeight="1">
      <c r="O46" s="129" t="s">
        <v>20</v>
      </c>
      <c r="P46" s="129" t="s">
        <v>20</v>
      </c>
      <c r="Q46" s="129" t="s">
        <v>20</v>
      </c>
      <c r="T46" s="129" t="s">
        <v>21</v>
      </c>
      <c r="U46" s="129" t="s">
        <v>12</v>
      </c>
      <c r="V46" s="129" t="s">
        <v>20</v>
      </c>
    </row>
    <row r="47" spans="15:22" ht="21" customHeight="1">
      <c r="O47" s="131"/>
      <c r="P47" s="131"/>
      <c r="Q47" s="131"/>
      <c r="T47" s="130"/>
      <c r="U47" s="130"/>
      <c r="V47" s="131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9" t="s">
        <v>20</v>
      </c>
      <c r="P50" s="129" t="s">
        <v>20</v>
      </c>
      <c r="Q50" s="129" t="s">
        <v>20</v>
      </c>
      <c r="T50" s="129" t="s">
        <v>12</v>
      </c>
      <c r="U50" s="129" t="s">
        <v>21</v>
      </c>
      <c r="V50" s="129" t="s">
        <v>20</v>
      </c>
    </row>
    <row r="51" spans="15:22" ht="21" customHeight="1">
      <c r="O51" s="131"/>
      <c r="P51" s="131"/>
      <c r="Q51" s="131"/>
      <c r="T51" s="130"/>
      <c r="U51" s="130"/>
      <c r="V51" s="131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8:C8"/>
    <mergeCell ref="D8:F8"/>
    <mergeCell ref="B7:C7"/>
    <mergeCell ref="D7:F7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90</v>
      </c>
      <c r="B1" s="101"/>
      <c r="C1" s="101"/>
      <c r="D1" s="101"/>
      <c r="E1" s="101"/>
      <c r="F1" s="101"/>
      <c r="G1" s="1"/>
      <c r="J1" s="174" t="str">
        <f>+MRS!J1</f>
        <v>DAESHIN PLANT</v>
      </c>
      <c r="K1" s="175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76" t="str">
        <f>+MRS!J2</f>
        <v>Subcontract name (SAC2-SC-IK-SMP-01)</v>
      </c>
      <c r="K2" s="177"/>
    </row>
    <row r="3" spans="1:18" ht="24.95" customHeight="1">
      <c r="A3" s="3" t="str">
        <f>+MRS!A3</f>
        <v xml:space="preserve">  MRS No : SAC2-DS-MRS-0242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46081</v>
      </c>
    </row>
    <row r="4" spans="1:18" ht="15.95" customHeight="1">
      <c r="A4" s="178" t="s">
        <v>1</v>
      </c>
      <c r="B4" s="179" t="s">
        <v>22</v>
      </c>
      <c r="C4" s="179"/>
      <c r="D4" s="178" t="s">
        <v>3</v>
      </c>
      <c r="E4" s="178"/>
      <c r="F4" s="178"/>
      <c r="G4" s="179" t="s">
        <v>4</v>
      </c>
      <c r="H4" s="178" t="s">
        <v>87</v>
      </c>
      <c r="I4" s="178" t="s">
        <v>23</v>
      </c>
      <c r="J4" s="178" t="s">
        <v>24</v>
      </c>
      <c r="K4" s="179" t="s">
        <v>6</v>
      </c>
    </row>
    <row r="5" spans="1:18" ht="15.95" customHeight="1">
      <c r="A5" s="178"/>
      <c r="B5" s="179"/>
      <c r="C5" s="179"/>
      <c r="D5" s="178"/>
      <c r="E5" s="178"/>
      <c r="F5" s="178"/>
      <c r="G5" s="179"/>
      <c r="H5" s="178"/>
      <c r="I5" s="178"/>
      <c r="J5" s="178"/>
      <c r="K5" s="179"/>
    </row>
    <row r="6" spans="1:18" ht="105" customHeight="1">
      <c r="A6" s="21">
        <f>+MRS!A6</f>
        <v>1</v>
      </c>
      <c r="B6" s="169" t="str">
        <f>MRS!B6</f>
        <v>RT Crane</v>
      </c>
      <c r="C6" s="170"/>
      <c r="D6" s="171" t="str">
        <f>MRS!D6</f>
        <v>80 Ton with Operator Aramco Certified</v>
      </c>
      <c r="E6" s="172"/>
      <c r="F6" s="173"/>
      <c r="G6" s="104" t="str">
        <f>MRS!G6</f>
        <v>Month</v>
      </c>
      <c r="H6" s="104">
        <f>MRS!H6</f>
        <v>1</v>
      </c>
      <c r="I6" s="105">
        <f>MRS!I6</f>
        <v>78000</v>
      </c>
      <c r="J6" s="105">
        <f>MRS!J6</f>
        <v>78000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9" t="str">
        <f>MRS!B7</f>
        <v>RT Crane</v>
      </c>
      <c r="C7" s="170"/>
      <c r="D7" s="171" t="str">
        <f>MRS!D7</f>
        <v>Mobilization</v>
      </c>
      <c r="E7" s="172"/>
      <c r="F7" s="173"/>
      <c r="G7" s="104" t="str">
        <f>MRS!G7</f>
        <v>Trip</v>
      </c>
      <c r="H7" s="104">
        <f>MRS!H7</f>
        <v>1</v>
      </c>
      <c r="I7" s="105">
        <f>MRS!I7</f>
        <v>5000</v>
      </c>
      <c r="J7" s="105">
        <f>MRS!J7</f>
        <v>5000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9" t="str">
        <f>MRS!B8</f>
        <v>RT Crane</v>
      </c>
      <c r="C8" s="170"/>
      <c r="D8" s="171" t="str">
        <f>MRS!D8</f>
        <v>Demobilization</v>
      </c>
      <c r="E8" s="172"/>
      <c r="F8" s="173"/>
      <c r="G8" s="104" t="str">
        <f>MRS!G8</f>
        <v>Trip</v>
      </c>
      <c r="H8" s="104">
        <f>MRS!H8</f>
        <v>1</v>
      </c>
      <c r="I8" s="105">
        <f>MRS!I8</f>
        <v>5000</v>
      </c>
      <c r="J8" s="105">
        <f>MRS!J8</f>
        <v>5000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64"/>
      <c r="C9" s="165"/>
      <c r="D9" s="166"/>
      <c r="E9" s="167"/>
      <c r="F9" s="168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64"/>
      <c r="C10" s="165"/>
      <c r="D10" s="166"/>
      <c r="E10" s="167"/>
      <c r="F10" s="168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64"/>
      <c r="C11" s="165"/>
      <c r="D11" s="166"/>
      <c r="E11" s="167"/>
      <c r="F11" s="168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D10" sqref="D1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120</v>
      </c>
      <c r="D9" s="39"/>
      <c r="E9" s="39"/>
    </row>
    <row r="10" spans="2:13" s="39" customFormat="1">
      <c r="B10" s="72"/>
      <c r="C10" s="39" t="s">
        <v>121</v>
      </c>
      <c r="D10" s="76" t="s">
        <v>130</v>
      </c>
      <c r="J10" s="39" t="s">
        <v>31</v>
      </c>
      <c r="K10" s="181">
        <f>MRS!L3</f>
        <v>46081</v>
      </c>
      <c r="L10" s="182"/>
      <c r="M10" s="182"/>
    </row>
    <row r="11" spans="2:13" s="39" customFormat="1">
      <c r="B11" s="72"/>
      <c r="C11" s="75" t="s">
        <v>122</v>
      </c>
      <c r="D11" s="76" t="s">
        <v>123</v>
      </c>
      <c r="J11" s="39" t="s">
        <v>32</v>
      </c>
      <c r="K11" s="183" t="str">
        <f>SUBSTITUTE(SUBSTITUTE(+MRS!A3,"  MRS No : ",""),"-MRS","-PO")</f>
        <v>SAC2-DS-PO-0242</v>
      </c>
      <c r="L11" s="183"/>
      <c r="M11" s="183"/>
    </row>
    <row r="12" spans="2:13" s="39" customFormat="1">
      <c r="B12" s="72"/>
      <c r="C12" s="75" t="s">
        <v>124</v>
      </c>
      <c r="D12" s="39" t="s">
        <v>125</v>
      </c>
      <c r="J12" s="39" t="s">
        <v>33</v>
      </c>
    </row>
    <row r="13" spans="2:13" s="39" customFormat="1">
      <c r="B13" s="72"/>
      <c r="C13" s="77"/>
      <c r="D13" s="76" t="s">
        <v>126</v>
      </c>
      <c r="J13" s="39" t="s">
        <v>34</v>
      </c>
    </row>
    <row r="14" spans="2:13" s="39" customFormat="1">
      <c r="B14" s="72"/>
      <c r="C14" s="77" t="s">
        <v>127</v>
      </c>
      <c r="J14" s="39" t="s">
        <v>35</v>
      </c>
      <c r="K14" s="39" t="s">
        <v>137</v>
      </c>
    </row>
    <row r="15" spans="2:13" s="39" customFormat="1">
      <c r="B15" s="72"/>
      <c r="C15" s="77" t="s">
        <v>128</v>
      </c>
      <c r="J15" s="39" t="s">
        <v>36</v>
      </c>
      <c r="K15" s="78">
        <v>46071</v>
      </c>
    </row>
    <row r="16" spans="2:13" s="39" customFormat="1">
      <c r="C16" s="77" t="s">
        <v>129</v>
      </c>
      <c r="K16" s="78"/>
    </row>
    <row r="17" spans="2:13" ht="12" customHeight="1">
      <c r="C17" s="29"/>
      <c r="K17" s="30"/>
    </row>
    <row r="18" spans="2:13" ht="20.25">
      <c r="B18" s="184" t="s">
        <v>37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</row>
    <row r="19" spans="2:13" ht="12" customHeight="1"/>
    <row r="20" spans="2:13" s="31" customFormat="1" ht="12" customHeight="1">
      <c r="B20" s="185" t="s">
        <v>38</v>
      </c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</row>
    <row r="21" spans="2:13" s="31" customFormat="1" ht="12" customHeight="1">
      <c r="B21" s="185" t="s">
        <v>39</v>
      </c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</row>
    <row r="22" spans="2:13" s="31" customFormat="1" ht="12" customHeight="1">
      <c r="B22" s="185" t="s">
        <v>40</v>
      </c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ht="6.95" customHeight="1"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</row>
    <row r="25" spans="2:13" s="32" customFormat="1" ht="15" customHeight="1">
      <c r="B25" s="32">
        <v>1</v>
      </c>
      <c r="C25" s="32" t="s">
        <v>41</v>
      </c>
    </row>
    <row r="26" spans="2:13" s="39" customFormat="1" ht="12" customHeight="1">
      <c r="B26" s="73"/>
      <c r="C26" s="125" t="str">
        <f>MRS!B6&amp;" "&amp;MRS!D6</f>
        <v>RT Crane 80 Ton with Operator Aramco Certified</v>
      </c>
      <c r="M26" s="79" t="s">
        <v>42</v>
      </c>
    </row>
    <row r="27" spans="2:13" ht="11.1" customHeight="1">
      <c r="B27" s="32"/>
    </row>
    <row r="28" spans="2:13" ht="15" customHeight="1">
      <c r="B28" s="32">
        <v>2</v>
      </c>
      <c r="C28" s="32" t="s">
        <v>43</v>
      </c>
    </row>
    <row r="29" spans="2:13" ht="12" customHeight="1">
      <c r="B29" s="32"/>
      <c r="C29" s="26" t="s">
        <v>44</v>
      </c>
      <c r="E29" s="26" t="s">
        <v>45</v>
      </c>
      <c r="F29" s="188" t="s">
        <v>93</v>
      </c>
      <c r="G29" s="188"/>
      <c r="H29" s="33"/>
      <c r="M29" s="34"/>
    </row>
    <row r="30" spans="2:13" ht="12" customHeight="1">
      <c r="B30" s="32"/>
      <c r="C30" s="26" t="s">
        <v>46</v>
      </c>
      <c r="E30" s="26" t="s">
        <v>45</v>
      </c>
      <c r="F30" s="188"/>
      <c r="G30" s="188"/>
    </row>
    <row r="31" spans="2:13" ht="12" customHeight="1">
      <c r="B31" s="32"/>
      <c r="C31" s="26" t="s">
        <v>47</v>
      </c>
      <c r="D31" s="35"/>
      <c r="E31" s="26" t="s">
        <v>45</v>
      </c>
      <c r="F31" s="188"/>
      <c r="G31" s="188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48</v>
      </c>
    </row>
    <row r="34" spans="2:13" ht="12" customHeight="1">
      <c r="B34" s="32"/>
      <c r="C34" s="22" t="s">
        <v>49</v>
      </c>
    </row>
    <row r="35" spans="2:13" ht="12" customHeight="1">
      <c r="B35" s="32"/>
      <c r="C35" s="22" t="s">
        <v>50</v>
      </c>
    </row>
    <row r="36" spans="2:13" ht="12" customHeight="1">
      <c r="B36" s="32"/>
      <c r="C36" s="22" t="s">
        <v>51</v>
      </c>
    </row>
    <row r="37" spans="2:13" ht="11.1" customHeight="1">
      <c r="B37" s="32"/>
    </row>
    <row r="38" spans="2:13" ht="15" customHeight="1">
      <c r="B38" s="32">
        <v>4</v>
      </c>
      <c r="C38" s="32" t="s">
        <v>52</v>
      </c>
    </row>
    <row r="39" spans="2:13" ht="12" customHeight="1">
      <c r="B39" s="32"/>
      <c r="C39" s="26" t="s">
        <v>53</v>
      </c>
    </row>
    <row r="40" spans="2:13" ht="11.1" customHeight="1">
      <c r="B40" s="32"/>
    </row>
    <row r="41" spans="2:13" ht="15" customHeight="1">
      <c r="B41" s="32">
        <v>5</v>
      </c>
      <c r="C41" s="32" t="s">
        <v>54</v>
      </c>
    </row>
    <row r="42" spans="2:13" ht="12" customHeight="1">
      <c r="B42" s="32"/>
      <c r="C42" s="36" t="s">
        <v>55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56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57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58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59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60</v>
      </c>
    </row>
    <row r="49" spans="2:16" s="39" customFormat="1" ht="12" customHeight="1">
      <c r="B49" s="80" t="s">
        <v>61</v>
      </c>
      <c r="C49" s="81" t="s">
        <v>99</v>
      </c>
      <c r="P49" s="82"/>
    </row>
    <row r="50" spans="2:16" s="83" customFormat="1" ht="12" customHeight="1">
      <c r="B50" s="84" t="s">
        <v>61</v>
      </c>
      <c r="C50" s="81" t="s">
        <v>89</v>
      </c>
    </row>
    <row r="51" spans="2:16" s="83" customFormat="1" ht="12" customHeight="1">
      <c r="B51" s="84" t="s">
        <v>61</v>
      </c>
      <c r="C51" s="81" t="s">
        <v>88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102</v>
      </c>
    </row>
    <row r="54" spans="2:16" ht="12" customHeight="1">
      <c r="B54" s="84" t="s">
        <v>61</v>
      </c>
      <c r="C54" s="126" t="s">
        <v>103</v>
      </c>
      <c r="F54" s="26" t="s">
        <v>131</v>
      </c>
      <c r="P54" s="26" t="str">
        <f>UPPER(F54)</f>
        <v>FAISAL MUTLAQ MATHKAR AL-OTHAIBI GEN. CONT. EST.</v>
      </c>
    </row>
    <row r="55" spans="2:16" ht="12" customHeight="1">
      <c r="B55" s="84" t="s">
        <v>61</v>
      </c>
      <c r="C55" s="126" t="s">
        <v>104</v>
      </c>
      <c r="F55" s="127" t="s">
        <v>132</v>
      </c>
    </row>
    <row r="56" spans="2:16" ht="12" customHeight="1">
      <c r="B56" s="84" t="s">
        <v>61</v>
      </c>
      <c r="C56" s="126" t="s">
        <v>105</v>
      </c>
      <c r="F56" s="127" t="s">
        <v>138</v>
      </c>
    </row>
    <row r="57" spans="2:16" ht="12" customHeight="1">
      <c r="B57" s="84" t="s">
        <v>61</v>
      </c>
      <c r="C57" s="126" t="s">
        <v>106</v>
      </c>
      <c r="F57" s="26" t="s">
        <v>111</v>
      </c>
    </row>
    <row r="58" spans="2:16" ht="12" customHeight="1">
      <c r="B58" s="84" t="s">
        <v>61</v>
      </c>
      <c r="C58" s="126" t="s">
        <v>107</v>
      </c>
      <c r="F58" s="26" t="s">
        <v>112</v>
      </c>
    </row>
    <row r="59" spans="2:16" ht="12" customHeight="1">
      <c r="B59" s="84" t="s">
        <v>61</v>
      </c>
      <c r="C59" s="126" t="s">
        <v>108</v>
      </c>
      <c r="F59" s="26" t="s">
        <v>109</v>
      </c>
    </row>
    <row r="60" spans="2:16" ht="12" customHeight="1">
      <c r="B60" s="84"/>
      <c r="C60" s="126" t="s">
        <v>110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7.5" customHeight="1">
      <c r="B63" s="42"/>
    </row>
    <row r="64" spans="2:16">
      <c r="B64" s="32" t="s">
        <v>62</v>
      </c>
      <c r="J64" s="32" t="s">
        <v>63</v>
      </c>
    </row>
    <row r="65" spans="1:13" ht="42.75" customHeight="1"/>
    <row r="66" spans="1:13" ht="18" customHeight="1">
      <c r="B66" s="26" t="s">
        <v>64</v>
      </c>
      <c r="J66" s="26" t="s">
        <v>64</v>
      </c>
    </row>
    <row r="67" spans="1:13" ht="18" customHeight="1">
      <c r="B67" s="26" t="s">
        <v>65</v>
      </c>
      <c r="J67" s="26" t="s">
        <v>66</v>
      </c>
      <c r="K67" s="22" t="str">
        <f>UPPER(D12)</f>
        <v>KALANDAR KAUSAR</v>
      </c>
    </row>
    <row r="68" spans="1:13" ht="18" customHeight="1">
      <c r="B68" s="26" t="s">
        <v>67</v>
      </c>
      <c r="J68" s="26" t="s">
        <v>68</v>
      </c>
      <c r="K68" s="22" t="s">
        <v>113</v>
      </c>
    </row>
    <row r="69" spans="1:13" ht="15" customHeight="1">
      <c r="B69" s="26" t="s">
        <v>69</v>
      </c>
      <c r="J69" s="26" t="s">
        <v>70</v>
      </c>
    </row>
    <row r="70" spans="1:13" s="28" customFormat="1" ht="15" customHeight="1">
      <c r="B70" s="25" t="s">
        <v>100</v>
      </c>
      <c r="J70" s="128" t="str">
        <f>C9</f>
        <v>TVIS(Faisal Mutlaq Mathkar Al-Othaibi Gen. Cont. Est.)</v>
      </c>
    </row>
    <row r="71" spans="1:13" ht="27.95" customHeight="1">
      <c r="A71" s="180" t="s">
        <v>71</v>
      </c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G9" sqref="G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72</v>
      </c>
      <c r="B2" s="47" t="str">
        <f>+'PO 1st page'!K11</f>
        <v>SAC2-DS-PO-0242</v>
      </c>
      <c r="C2" s="195" t="s">
        <v>73</v>
      </c>
      <c r="D2" s="195"/>
      <c r="E2" s="195"/>
      <c r="F2" s="195"/>
      <c r="G2" s="48"/>
      <c r="H2" s="48"/>
    </row>
    <row r="3" spans="1:13" s="54" customFormat="1" ht="28.5" customHeight="1" thickBot="1">
      <c r="A3" s="49" t="s">
        <v>74</v>
      </c>
      <c r="B3" s="50">
        <f>+'PO 1st page'!K10</f>
        <v>46081</v>
      </c>
      <c r="C3" s="51"/>
      <c r="D3" s="52"/>
      <c r="E3" s="196" t="s">
        <v>75</v>
      </c>
      <c r="F3" s="196"/>
      <c r="G3" s="196"/>
      <c r="H3" s="196"/>
      <c r="I3" s="53"/>
    </row>
    <row r="4" spans="1:13" s="55" customFormat="1" ht="28.5" customHeight="1" thickTop="1">
      <c r="A4" s="197" t="s">
        <v>76</v>
      </c>
      <c r="B4" s="199" t="s">
        <v>77</v>
      </c>
      <c r="C4" s="200"/>
      <c r="D4" s="203" t="s">
        <v>78</v>
      </c>
      <c r="E4" s="203" t="s">
        <v>79</v>
      </c>
      <c r="F4" s="205" t="str">
        <f>'PO 1st page'!C9</f>
        <v>TVIS(Faisal Mutlaq Mathkar Al-Othaibi Gen. Cont. Est.)</v>
      </c>
      <c r="G4" s="206"/>
      <c r="H4" s="207" t="s">
        <v>80</v>
      </c>
      <c r="K4" s="56"/>
      <c r="L4" s="56"/>
      <c r="M4" s="56"/>
    </row>
    <row r="5" spans="1:13" s="55" customFormat="1" ht="21.95" customHeight="1">
      <c r="A5" s="198"/>
      <c r="B5" s="201"/>
      <c r="C5" s="202"/>
      <c r="D5" s="204"/>
      <c r="E5" s="204"/>
      <c r="F5" s="57" t="s">
        <v>81</v>
      </c>
      <c r="G5" s="57" t="s">
        <v>47</v>
      </c>
      <c r="H5" s="20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9" t="str">
        <f>CONCATENATE(MRS!B6," ",MRS!D6)</f>
        <v>RT Crane 80 Ton with Operator Aramco Certified</v>
      </c>
      <c r="C6" s="210"/>
      <c r="D6" s="86" t="str">
        <f>+'MRS LIST'!G6</f>
        <v>Month</v>
      </c>
      <c r="E6" s="87">
        <f>+'MRS LIST'!H6</f>
        <v>1</v>
      </c>
      <c r="F6" s="88">
        <f>+'MRS LIST'!I6</f>
        <v>78000</v>
      </c>
      <c r="G6" s="89">
        <f>+'MRS LIST'!J6</f>
        <v>78000</v>
      </c>
      <c r="H6" s="90" t="str">
        <f>MRS!L6</f>
        <v>Mothly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9" t="str">
        <f>CONCATENATE(MRS!B7," ",MRS!D7)</f>
        <v>RT Crane Mobilization</v>
      </c>
      <c r="C7" s="210"/>
      <c r="D7" s="86" t="str">
        <f>+'MRS LIST'!G7</f>
        <v>Trip</v>
      </c>
      <c r="E7" s="87">
        <f>+'MRS LIST'!H7</f>
        <v>1</v>
      </c>
      <c r="F7" s="88">
        <f>+'MRS LIST'!I7</f>
        <v>5000</v>
      </c>
      <c r="G7" s="89">
        <f>+'MRS LIST'!J7</f>
        <v>5000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209" t="str">
        <f>CONCATENATE(MRS!B8," ",MRS!D8)</f>
        <v>RT Crane Demobilization</v>
      </c>
      <c r="C8" s="210"/>
      <c r="D8" s="86" t="str">
        <f>+'MRS LIST'!G8</f>
        <v>Trip</v>
      </c>
      <c r="E8" s="87">
        <f>+'MRS LIST'!H8</f>
        <v>1</v>
      </c>
      <c r="F8" s="88">
        <f>+'MRS LIST'!I8</f>
        <v>5000</v>
      </c>
      <c r="G8" s="89">
        <f>+'MRS LIST'!J8</f>
        <v>5000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93"/>
      <c r="C9" s="194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93"/>
      <c r="C10" s="194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93"/>
      <c r="C11" s="194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3"/>
      <c r="C12" s="194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3"/>
      <c r="C13" s="194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3"/>
      <c r="C14" s="194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3"/>
      <c r="C15" s="194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3"/>
      <c r="C16" s="194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3"/>
      <c r="C17" s="194"/>
      <c r="D17" s="94"/>
      <c r="E17" s="95"/>
      <c r="F17" s="96"/>
      <c r="G17" s="97"/>
      <c r="H17" s="98"/>
    </row>
    <row r="18" spans="1:13" s="55" customFormat="1" ht="23.1" customHeight="1">
      <c r="A18" s="189" t="s">
        <v>82</v>
      </c>
      <c r="B18" s="190"/>
      <c r="C18" s="190"/>
      <c r="D18" s="190"/>
      <c r="E18" s="190"/>
      <c r="F18" s="190"/>
      <c r="G18" s="58">
        <f>SUM(G6:G17)</f>
        <v>88000</v>
      </c>
      <c r="H18" s="59"/>
    </row>
    <row r="19" spans="1:13" s="55" customFormat="1" ht="23.1" customHeight="1">
      <c r="A19" s="189" t="s">
        <v>46</v>
      </c>
      <c r="B19" s="190"/>
      <c r="C19" s="190"/>
      <c r="D19" s="190"/>
      <c r="E19" s="190"/>
      <c r="F19" s="190"/>
      <c r="G19" s="58">
        <f>+G18*0.15</f>
        <v>13200</v>
      </c>
      <c r="H19" s="59"/>
    </row>
    <row r="20" spans="1:13" s="55" customFormat="1" ht="24.95" customHeight="1" thickBot="1">
      <c r="A20" s="191" t="s">
        <v>83</v>
      </c>
      <c r="B20" s="192"/>
      <c r="C20" s="192"/>
      <c r="D20" s="192"/>
      <c r="E20" s="192"/>
      <c r="F20" s="192"/>
      <c r="G20" s="60">
        <f>G19+G18</f>
        <v>101200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FEC-QTN-2026-00003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84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80" t="s">
        <v>85</v>
      </c>
      <c r="B24" s="180"/>
      <c r="C24" s="180"/>
      <c r="D24" s="180"/>
      <c r="E24" s="180"/>
      <c r="F24" s="180"/>
      <c r="G24" s="180"/>
      <c r="H24" s="180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2026-02-28T08:25:28Z</cp:lastPrinted>
  <dcterms:created xsi:type="dcterms:W3CDTF">2024-10-20T11:50:19Z</dcterms:created>
  <dcterms:modified xsi:type="dcterms:W3CDTF">2026-02-28T08:25:42Z</dcterms:modified>
</cp:coreProperties>
</file>