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A71FF1F0-5F6B-4543-A166-FD8CE54CC150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MRS!$A$1:$L$47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page'!$A$1:$H$44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7" i="4"/>
  <c r="E27" i="4"/>
  <c r="F27" i="4"/>
  <c r="G27" i="4"/>
  <c r="D28" i="4"/>
  <c r="E28" i="4"/>
  <c r="F28" i="4"/>
  <c r="G28" i="4"/>
  <c r="D29" i="4"/>
  <c r="E29" i="4"/>
  <c r="F29" i="4"/>
  <c r="G29" i="4"/>
  <c r="D30" i="4"/>
  <c r="E30" i="4"/>
  <c r="F30" i="4"/>
  <c r="G30" i="4"/>
  <c r="D31" i="4"/>
  <c r="E31" i="4"/>
  <c r="F31" i="4"/>
  <c r="G31" i="4"/>
  <c r="D32" i="4"/>
  <c r="E32" i="4"/>
  <c r="F32" i="4"/>
  <c r="G32" i="4"/>
  <c r="D33" i="4"/>
  <c r="E33" i="4"/>
  <c r="F33" i="4"/>
  <c r="G33" i="4"/>
  <c r="D34" i="4"/>
  <c r="E34" i="4"/>
  <c r="F34" i="4"/>
  <c r="G34" i="4"/>
  <c r="D35" i="4"/>
  <c r="E35" i="4"/>
  <c r="F35" i="4"/>
  <c r="G35" i="4"/>
  <c r="D36" i="4"/>
  <c r="E36" i="4"/>
  <c r="F36" i="4"/>
  <c r="G36" i="4"/>
  <c r="D37" i="4"/>
  <c r="E37" i="4"/>
  <c r="F37" i="4"/>
  <c r="G37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A27" i="4"/>
  <c r="A28" i="4"/>
  <c r="A29" i="4"/>
  <c r="A30" i="4"/>
  <c r="A31" i="4"/>
  <c r="A32" i="4"/>
  <c r="A33" i="4"/>
  <c r="A34" i="4"/>
  <c r="A35" i="4"/>
  <c r="A36" i="4"/>
  <c r="A37" i="4"/>
  <c r="A19" i="4"/>
  <c r="A20" i="4"/>
  <c r="A21" i="4"/>
  <c r="A22" i="4"/>
  <c r="A23" i="4"/>
  <c r="A24" i="4"/>
  <c r="A25" i="4"/>
  <c r="A26" i="4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E6" i="4"/>
  <c r="F6" i="4"/>
  <c r="A15" i="4"/>
  <c r="A16" i="4"/>
  <c r="A17" i="4"/>
  <c r="A18" i="4"/>
  <c r="P54" i="3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D6" i="4"/>
  <c r="A15" i="2"/>
  <c r="A12" i="4"/>
  <c r="A13" i="4"/>
  <c r="A14" i="4"/>
  <c r="A9" i="2"/>
  <c r="A10" i="2"/>
  <c r="A11" i="2"/>
  <c r="A12" i="2"/>
  <c r="A13" i="2"/>
  <c r="A14" i="2"/>
  <c r="J15" i="2"/>
  <c r="J14" i="2"/>
  <c r="J13" i="2"/>
  <c r="J12" i="2"/>
  <c r="J11" i="2"/>
  <c r="J10" i="2"/>
  <c r="J8" i="2"/>
  <c r="J7" i="2"/>
  <c r="J6" i="1"/>
  <c r="J6" i="2" s="1"/>
  <c r="J9" i="2" l="1"/>
  <c r="G6" i="4"/>
  <c r="J38" i="1"/>
  <c r="K67" i="3"/>
  <c r="E3" i="1"/>
  <c r="K10" i="3" l="1"/>
  <c r="A41" i="4" l="1"/>
  <c r="I6" i="2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38" i="4" l="1"/>
  <c r="F29" i="3" s="1"/>
  <c r="G39" i="4" l="1"/>
  <c r="F30" i="3" s="1"/>
  <c r="G40" i="4" l="1"/>
  <c r="F31" i="3" s="1"/>
</calcChain>
</file>

<file path=xl/sharedStrings.xml><?xml version="1.0" encoding="utf-8"?>
<sst xmlns="http://schemas.openxmlformats.org/spreadsheetml/2006/main" count="216" uniqueCount="149">
  <si>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</si>
  <si>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</si>
  <si>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</si>
  <si>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</si>
  <si>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</si>
  <si>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</si>
  <si>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</si>
  <si>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</si>
  <si>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</si>
  <si>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</si>
  <si>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</si>
  <si>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</si>
  <si>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</si>
  <si>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</si>
  <si>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</si>
  <si>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</si>
  <si>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</si>
  <si>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</si>
  <si>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</si>
  <si>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</si>
  <si>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</si>
  <si>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</si>
  <si>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</si>
  <si>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</si>
  <si>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</si>
  <si>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</si>
  <si>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</si>
  <si>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</si>
  <si>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</si>
  <si>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</si>
  <si>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</si>
  <si>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</si>
  <si>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</si>
  <si>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</si>
  <si>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</si>
  <si>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</si>
  <si>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</si>
  <si>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</si>
  <si>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</si>
  <si>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</si>
  <si>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</si>
  <si>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</si>
  <si>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</si>
  <si>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</si>
  <si>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</si>
  <si>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</si>
  <si>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</si>
  <si>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</si>
  <si>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</si>
  <si>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</si>
  <si>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</si>
  <si>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</si>
  <si>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</si>
  <si>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</si>
  <si>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</si>
  <si>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</si>
  <si>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</si>
  <si>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</si>
  <si>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</si>
  <si>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</si>
  <si>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</si>
  <si>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</si>
  <si>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</si>
  <si>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</si>
  <si>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</si>
  <si>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</si>
  <si>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</si>
  <si>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</si>
  <si>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</si>
  <si>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</si>
  <si>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</si>
  <si>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</si>
  <si>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</si>
  <si>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</si>
  <si>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</si>
  <si>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</si>
  <si>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</si>
  <si>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</si>
  <si>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</si>
  <si>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</si>
  <si>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</si>
  <si>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</si>
  <si>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</si>
  <si>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</si>
  <si>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</si>
  <si>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</si>
  <si>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</si>
  <si>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</si>
  <si>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</si>
  <si>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</si>
  <si>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</si>
  <si>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</si>
  <si>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</si>
  <si>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</si>
  <si>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</si>
  <si>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</si>
  <si>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</si>
  <si>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</si>
  <si>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</si>
  <si>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</si>
  <si>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</si>
  <si>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</si>
  <si>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</si>
  <si>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</si>
  <si>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</si>
  <si>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</si>
  <si>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</si>
  <si>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</si>
  <si>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</si>
  <si>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</si>
  <si>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</si>
  <si>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</si>
  <si>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</si>
  <si>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OSAZ</t>
  </si>
  <si>
    <t>EA</t>
  </si>
  <si>
    <t>Electrical Items</t>
  </si>
  <si>
    <t>2055009599</t>
  </si>
  <si>
    <t>300512826400003</t>
  </si>
  <si>
    <t>Building No. 3350,King Fahad Street-8603,Al Dana Dist. Al Jubail 35514, KSA</t>
  </si>
  <si>
    <t>95900001286307</t>
  </si>
  <si>
    <t>16A/220V 3PIN MOBILE PLUG IP66/67 MQ</t>
  </si>
  <si>
    <t>16A/220V 3PIN MOBILE SOCKET IP66/67 MQ</t>
  </si>
  <si>
    <t>RCCB 25A 2P 10mA</t>
  </si>
  <si>
    <t>SA45 1000 0095 9000 0128 6307</t>
  </si>
  <si>
    <t>Mansoor</t>
  </si>
  <si>
    <t xml:space="preserve">Mobile: +966 57 694 3329 </t>
  </si>
  <si>
    <t>32A/220V 3PIN MOBILE SOCKET IP66/67 MQ</t>
  </si>
  <si>
    <t>LED FLOOD LIGHT 400W</t>
  </si>
  <si>
    <t>30W/220V LED PANEL LIGHT 11"/280MM SURFACE</t>
  </si>
  <si>
    <t>CABLE LUG 25MM² X M10</t>
  </si>
  <si>
    <t>CABLE LUG 35MM² X M10</t>
  </si>
  <si>
    <t>CABLE LUG 50MM² X M10</t>
  </si>
  <si>
    <t>FLEXIBLE CABLE WHITE 3C X 4MM² 100YARD / ROLL</t>
  </si>
  <si>
    <t>RCCB 125A 4P 30mA</t>
  </si>
  <si>
    <t>CABLE LUG 6MM² X M6</t>
  </si>
  <si>
    <t>2 GANG 13A SWITCHED SOCKET 7 X 14</t>
  </si>
  <si>
    <t>DISTRIBUTION BOX 5 WAY HT-5</t>
  </si>
  <si>
    <t>16A/220V 3PIN MOBILE PLUG IP66/67</t>
  </si>
  <si>
    <t>16A/220V 3PIN MOBILE SOCKET IP66/67</t>
  </si>
  <si>
    <t>32A/380V 4PIN MOBILE PLUG IP66/67</t>
  </si>
  <si>
    <t>32A/380V 4PIN MOBILE SOCKET IP66/67</t>
  </si>
  <si>
    <t>32A/220V 3PIN MOBILE PLUG IP66/67</t>
  </si>
  <si>
    <t>32A/220V 3PIN MOBILE SOCKET IP66/67</t>
  </si>
  <si>
    <t>PANEL BOARD FABRICATED</t>
  </si>
  <si>
    <t>FLEXIBLE CABLE WHITE 3C X 1.5MM² 100YARD / ROLL</t>
  </si>
  <si>
    <t>ROLL</t>
  </si>
  <si>
    <t>OSAZ (OSAZ Electricals)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</si>
  <si>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-MRS-0311</t>
    </r>
  </si>
  <si>
    <t>OSAZ ELECTRICALS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</si>
</sst>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1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39</xdr:row>
          <xdr:rowOff>20054</xdr:rowOff>
        </xdr:from>
        <xdr:to>
          <xdr:col>12</xdr:col>
          <xdr:colOff>499</xdr:colOff>
          <xdr:row>46</xdr:row>
          <xdr:rowOff>20055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40:$S$46" spid="_x0000_s130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74"/>
  <sheetViews>
    <sheetView showGridLines="0" tabSelected="1" view="pageBreakPreview" zoomScale="95" zoomScaleNormal="95" zoomScaleSheetLayoutView="95" workbookViewId="0">
      <selection activeCell="A4" sqref="A4:A5"/>
    </sheetView>
  </sheetViews>
  <sheetFormatPr defaultColWidth="9" defaultRowHeight="21" customHeight="1"/>
  <cols>
    <col min="1" max="1" width="3.7109375" style="2" customWidth="1"/>
    <col min="2" max="3" width="30.140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6" t="s">
        <v>96</v>
      </c>
      <c r="B1" s="98"/>
      <c r="C1" s="98"/>
      <c r="D1" s="98"/>
      <c r="E1" s="98"/>
      <c r="F1" s="98"/>
      <c r="G1" s="1"/>
      <c r="J1" s="128" t="s">
        <v>87</v>
      </c>
      <c r="K1" s="129"/>
      <c r="L1" s="130"/>
    </row>
    <row r="2" spans="1:18" ht="20.100000000000001" customHeight="1">
      <c r="A2" s="3" t="s">
        <v>1</v>
      </c>
      <c r="B2" s="92"/>
      <c r="C2" s="92"/>
      <c r="D2" s="3" t="s">
        <v>95</v>
      </c>
      <c r="E2" s="92"/>
      <c r="F2" s="92"/>
      <c r="G2" s="92"/>
      <c r="H2" s="92"/>
      <c r="I2" s="4"/>
      <c r="J2" s="131" t="s">
        <v>94</v>
      </c>
      <c r="K2" s="132"/>
      <c r="L2" s="133"/>
    </row>
    <row r="3" spans="1:18" ht="20.100000000000001" customHeight="1">
      <c r="A3" s="3" t="s">
        <v>147</v>
      </c>
      <c r="B3" s="92"/>
      <c r="C3" s="92"/>
      <c r="D3" s="92"/>
      <c r="E3" s="134">
        <f>+L3</f>
        <v>46157</v>
      </c>
      <c r="F3" s="134"/>
      <c r="G3" s="134"/>
      <c r="H3" s="134"/>
      <c r="I3" s="134"/>
      <c r="J3" s="92"/>
      <c r="K3" s="92"/>
      <c r="L3" s="104">
        <v>46157</v>
      </c>
      <c r="M3" s="4"/>
    </row>
    <row r="4" spans="1:18" ht="15.95" customHeight="1">
      <c r="A4" s="137" t="s">
        <v>2</v>
      </c>
      <c r="B4" s="138" t="s">
        <v>3</v>
      </c>
      <c r="C4" s="138"/>
      <c r="D4" s="139" t="s">
        <v>4</v>
      </c>
      <c r="E4" s="140"/>
      <c r="F4" s="141"/>
      <c r="G4" s="145" t="s">
        <v>5</v>
      </c>
      <c r="H4" s="135" t="s">
        <v>6</v>
      </c>
      <c r="I4" s="135" t="s">
        <v>91</v>
      </c>
      <c r="J4" s="137" t="s">
        <v>92</v>
      </c>
      <c r="K4" s="135" t="s">
        <v>0</v>
      </c>
      <c r="L4" s="138" t="s">
        <v>7</v>
      </c>
    </row>
    <row r="5" spans="1:18" ht="18" customHeight="1">
      <c r="A5" s="137"/>
      <c r="B5" s="138"/>
      <c r="C5" s="138"/>
      <c r="D5" s="142"/>
      <c r="E5" s="143"/>
      <c r="F5" s="144"/>
      <c r="G5" s="146"/>
      <c r="H5" s="136"/>
      <c r="I5" s="136"/>
      <c r="J5" s="137"/>
      <c r="K5" s="136"/>
      <c r="L5" s="138"/>
    </row>
    <row r="6" spans="1:18" ht="22.5" customHeight="1">
      <c r="A6" s="5">
        <f t="shared" ref="A6:A37" si="0">ROW(A1)</f>
        <v>1</v>
      </c>
      <c r="B6" s="123" t="s">
        <v>127</v>
      </c>
      <c r="C6" s="124"/>
      <c r="D6" s="125"/>
      <c r="E6" s="126"/>
      <c r="F6" s="127"/>
      <c r="G6" s="111" t="s">
        <v>114</v>
      </c>
      <c r="H6" s="111">
        <v>100</v>
      </c>
      <c r="I6" s="112">
        <v>80</v>
      </c>
      <c r="J6" s="99">
        <f>H6*I6</f>
        <v>8000</v>
      </c>
      <c r="K6" s="100" t="s">
        <v>113</v>
      </c>
      <c r="L6" s="101" t="s">
        <v>99</v>
      </c>
      <c r="R6" s="97"/>
    </row>
    <row r="7" spans="1:18" ht="22.5" customHeight="1">
      <c r="A7" s="5">
        <f t="shared" si="0"/>
        <v>2</v>
      </c>
      <c r="B7" s="123" t="s">
        <v>128</v>
      </c>
      <c r="C7" s="124"/>
      <c r="D7" s="125"/>
      <c r="E7" s="126"/>
      <c r="F7" s="127"/>
      <c r="G7" s="111" t="s">
        <v>114</v>
      </c>
      <c r="H7" s="111">
        <v>20</v>
      </c>
      <c r="I7" s="112">
        <v>14</v>
      </c>
      <c r="J7" s="99">
        <f t="shared" ref="J7:J37" si="1">H7*I7</f>
        <v>280</v>
      </c>
      <c r="K7" s="100"/>
      <c r="L7" s="101"/>
      <c r="R7" s="97"/>
    </row>
    <row r="8" spans="1:18" ht="22.5" customHeight="1">
      <c r="A8" s="5">
        <f t="shared" si="0"/>
        <v>3</v>
      </c>
      <c r="B8" s="123" t="s">
        <v>121</v>
      </c>
      <c r="C8" s="124"/>
      <c r="D8" s="125"/>
      <c r="E8" s="126"/>
      <c r="F8" s="127"/>
      <c r="G8" s="111" t="s">
        <v>114</v>
      </c>
      <c r="H8" s="111">
        <v>300</v>
      </c>
      <c r="I8" s="112">
        <v>26.5</v>
      </c>
      <c r="J8" s="99">
        <f t="shared" si="1"/>
        <v>7950</v>
      </c>
      <c r="K8" s="100"/>
      <c r="L8" s="101"/>
      <c r="R8" s="97"/>
    </row>
    <row r="9" spans="1:18" ht="22.5" customHeight="1">
      <c r="A9" s="5">
        <f t="shared" si="0"/>
        <v>4</v>
      </c>
      <c r="B9" s="123" t="s">
        <v>120</v>
      </c>
      <c r="C9" s="124"/>
      <c r="D9" s="125"/>
      <c r="E9" s="126"/>
      <c r="F9" s="127"/>
      <c r="G9" s="111" t="s">
        <v>114</v>
      </c>
      <c r="H9" s="111">
        <v>300</v>
      </c>
      <c r="I9" s="112">
        <v>18.5</v>
      </c>
      <c r="J9" s="99">
        <f t="shared" si="1"/>
        <v>5550</v>
      </c>
      <c r="K9" s="100"/>
      <c r="L9" s="101"/>
      <c r="R9" s="97"/>
    </row>
    <row r="10" spans="1:18" ht="22.5" customHeight="1">
      <c r="A10" s="5">
        <f t="shared" si="0"/>
        <v>5</v>
      </c>
      <c r="B10" s="123" t="s">
        <v>122</v>
      </c>
      <c r="C10" s="124"/>
      <c r="D10" s="125"/>
      <c r="E10" s="126"/>
      <c r="F10" s="127"/>
      <c r="G10" s="111" t="s">
        <v>114</v>
      </c>
      <c r="H10" s="111">
        <v>100</v>
      </c>
      <c r="I10" s="112">
        <v>110</v>
      </c>
      <c r="J10" s="99">
        <f t="shared" si="1"/>
        <v>11000</v>
      </c>
      <c r="K10" s="100"/>
      <c r="L10" s="101"/>
      <c r="R10" s="97"/>
    </row>
    <row r="11" spans="1:18" ht="22.5" customHeight="1">
      <c r="A11" s="5">
        <f t="shared" si="0"/>
        <v>6</v>
      </c>
      <c r="B11" s="123" t="s">
        <v>129</v>
      </c>
      <c r="C11" s="124"/>
      <c r="D11" s="125"/>
      <c r="E11" s="126"/>
      <c r="F11" s="127"/>
      <c r="G11" s="111" t="s">
        <v>114</v>
      </c>
      <c r="H11" s="111">
        <v>100</v>
      </c>
      <c r="I11" s="112">
        <v>1.65</v>
      </c>
      <c r="J11" s="99">
        <f t="shared" si="1"/>
        <v>165</v>
      </c>
      <c r="K11" s="100"/>
      <c r="L11" s="101"/>
      <c r="R11" s="97"/>
    </row>
    <row r="12" spans="1:18" ht="22.5" customHeight="1">
      <c r="A12" s="5">
        <f t="shared" si="0"/>
        <v>7</v>
      </c>
      <c r="B12" s="123" t="s">
        <v>130</v>
      </c>
      <c r="C12" s="124"/>
      <c r="D12" s="125"/>
      <c r="E12" s="126"/>
      <c r="F12" s="127"/>
      <c r="G12" s="111" t="s">
        <v>114</v>
      </c>
      <c r="H12" s="111">
        <v>100</v>
      </c>
      <c r="I12" s="112">
        <v>1.75</v>
      </c>
      <c r="J12" s="99">
        <f t="shared" si="1"/>
        <v>175</v>
      </c>
      <c r="K12" s="100"/>
      <c r="L12" s="101"/>
      <c r="R12" s="97"/>
    </row>
    <row r="13" spans="1:18" ht="22.5" customHeight="1">
      <c r="A13" s="5">
        <f t="shared" si="0"/>
        <v>8</v>
      </c>
      <c r="B13" s="123" t="s">
        <v>131</v>
      </c>
      <c r="C13" s="124"/>
      <c r="D13" s="125"/>
      <c r="E13" s="126"/>
      <c r="F13" s="127"/>
      <c r="G13" s="111" t="s">
        <v>114</v>
      </c>
      <c r="H13" s="111">
        <v>100</v>
      </c>
      <c r="I13" s="112">
        <v>2.1</v>
      </c>
      <c r="J13" s="99">
        <f t="shared" si="1"/>
        <v>210</v>
      </c>
      <c r="K13" s="100"/>
      <c r="L13" s="101"/>
      <c r="R13" s="97"/>
    </row>
    <row r="14" spans="1:18" ht="22.5" customHeight="1">
      <c r="A14" s="5">
        <f t="shared" si="0"/>
        <v>9</v>
      </c>
      <c r="B14" s="123" t="s">
        <v>132</v>
      </c>
      <c r="C14" s="124"/>
      <c r="D14" s="125"/>
      <c r="E14" s="126"/>
      <c r="F14" s="127"/>
      <c r="G14" s="111" t="s">
        <v>145</v>
      </c>
      <c r="H14" s="111">
        <v>20</v>
      </c>
      <c r="I14" s="112">
        <v>430</v>
      </c>
      <c r="J14" s="99">
        <f t="shared" si="1"/>
        <v>8600</v>
      </c>
      <c r="K14" s="100"/>
      <c r="L14" s="101"/>
      <c r="R14" s="97"/>
    </row>
    <row r="15" spans="1:18" ht="22.5" customHeight="1">
      <c r="A15" s="5">
        <f t="shared" si="0"/>
        <v>10</v>
      </c>
      <c r="B15" s="123" t="s">
        <v>126</v>
      </c>
      <c r="C15" s="124"/>
      <c r="D15" s="125"/>
      <c r="E15" s="126"/>
      <c r="F15" s="127"/>
      <c r="G15" s="111" t="s">
        <v>114</v>
      </c>
      <c r="H15" s="111">
        <v>50</v>
      </c>
      <c r="I15" s="112">
        <v>65</v>
      </c>
      <c r="J15" s="99">
        <f t="shared" si="1"/>
        <v>3250</v>
      </c>
      <c r="K15" s="100"/>
      <c r="L15" s="101"/>
      <c r="R15" s="97"/>
    </row>
    <row r="16" spans="1:18" ht="22.5" customHeight="1">
      <c r="A16" s="5">
        <f t="shared" si="0"/>
        <v>11</v>
      </c>
      <c r="B16" s="123" t="s">
        <v>133</v>
      </c>
      <c r="C16" s="124"/>
      <c r="D16" s="125"/>
      <c r="E16" s="126"/>
      <c r="F16" s="127"/>
      <c r="G16" s="111" t="s">
        <v>114</v>
      </c>
      <c r="H16" s="111">
        <v>1</v>
      </c>
      <c r="I16" s="112">
        <v>310</v>
      </c>
      <c r="J16" s="99">
        <f t="shared" si="1"/>
        <v>310</v>
      </c>
      <c r="K16" s="100"/>
      <c r="L16" s="101"/>
      <c r="R16" s="97"/>
    </row>
    <row r="17" spans="1:18" ht="22.5" customHeight="1">
      <c r="A17" s="5">
        <f t="shared" si="0"/>
        <v>12</v>
      </c>
      <c r="B17" s="123" t="s">
        <v>134</v>
      </c>
      <c r="C17" s="124"/>
      <c r="D17" s="125"/>
      <c r="E17" s="126"/>
      <c r="F17" s="127"/>
      <c r="G17" s="111" t="s">
        <v>114</v>
      </c>
      <c r="H17" s="111">
        <v>400</v>
      </c>
      <c r="I17" s="112">
        <v>0.4</v>
      </c>
      <c r="J17" s="99">
        <f t="shared" si="1"/>
        <v>160</v>
      </c>
      <c r="K17" s="100"/>
      <c r="L17" s="101"/>
      <c r="R17" s="97"/>
    </row>
    <row r="18" spans="1:18" ht="22.5" customHeight="1">
      <c r="A18" s="5">
        <f t="shared" si="0"/>
        <v>13</v>
      </c>
      <c r="B18" s="123" t="s">
        <v>120</v>
      </c>
      <c r="C18" s="124"/>
      <c r="D18" s="120"/>
      <c r="E18" s="121"/>
      <c r="F18" s="122"/>
      <c r="G18" s="111" t="s">
        <v>114</v>
      </c>
      <c r="H18" s="111">
        <v>20</v>
      </c>
      <c r="I18" s="112">
        <v>20</v>
      </c>
      <c r="J18" s="99">
        <f t="shared" si="1"/>
        <v>400</v>
      </c>
      <c r="K18" s="100"/>
      <c r="L18" s="101"/>
      <c r="R18" s="97"/>
    </row>
    <row r="19" spans="1:18" ht="22.5" customHeight="1">
      <c r="A19" s="5">
        <f t="shared" si="0"/>
        <v>14</v>
      </c>
      <c r="B19" s="123" t="s">
        <v>121</v>
      </c>
      <c r="C19" s="124"/>
      <c r="D19" s="120"/>
      <c r="E19" s="121"/>
      <c r="F19" s="122"/>
      <c r="G19" s="111" t="s">
        <v>114</v>
      </c>
      <c r="H19" s="111">
        <v>20</v>
      </c>
      <c r="I19" s="112">
        <v>32</v>
      </c>
      <c r="J19" s="99">
        <f t="shared" si="1"/>
        <v>640</v>
      </c>
      <c r="K19" s="100"/>
      <c r="L19" s="101"/>
      <c r="R19" s="97"/>
    </row>
    <row r="20" spans="1:18" ht="22.5" customHeight="1">
      <c r="A20" s="5">
        <f t="shared" si="0"/>
        <v>15</v>
      </c>
      <c r="B20" s="123" t="s">
        <v>135</v>
      </c>
      <c r="C20" s="124"/>
      <c r="D20" s="120"/>
      <c r="E20" s="121"/>
      <c r="F20" s="122"/>
      <c r="G20" s="111" t="s">
        <v>114</v>
      </c>
      <c r="H20" s="111">
        <v>4</v>
      </c>
      <c r="I20" s="112">
        <v>16.5</v>
      </c>
      <c r="J20" s="99">
        <f t="shared" si="1"/>
        <v>66</v>
      </c>
      <c r="K20" s="100"/>
      <c r="L20" s="101"/>
      <c r="R20" s="97"/>
    </row>
    <row r="21" spans="1:18" ht="22.5" customHeight="1">
      <c r="A21" s="5">
        <f t="shared" si="0"/>
        <v>16</v>
      </c>
      <c r="B21" s="123" t="s">
        <v>120</v>
      </c>
      <c r="C21" s="124"/>
      <c r="D21" s="120"/>
      <c r="E21" s="121"/>
      <c r="F21" s="122"/>
      <c r="G21" s="111" t="s">
        <v>114</v>
      </c>
      <c r="H21" s="111">
        <v>10</v>
      </c>
      <c r="I21" s="112">
        <v>20</v>
      </c>
      <c r="J21" s="99">
        <f t="shared" si="1"/>
        <v>200</v>
      </c>
      <c r="K21" s="100"/>
      <c r="L21" s="101"/>
      <c r="R21" s="97"/>
    </row>
    <row r="22" spans="1:18" ht="22.5" customHeight="1">
      <c r="A22" s="5">
        <f t="shared" si="0"/>
        <v>17</v>
      </c>
      <c r="B22" s="123" t="s">
        <v>121</v>
      </c>
      <c r="C22" s="124"/>
      <c r="D22" s="120"/>
      <c r="E22" s="121"/>
      <c r="F22" s="122"/>
      <c r="G22" s="111" t="s">
        <v>114</v>
      </c>
      <c r="H22" s="111">
        <v>10</v>
      </c>
      <c r="I22" s="112">
        <v>32</v>
      </c>
      <c r="J22" s="99">
        <f t="shared" si="1"/>
        <v>320</v>
      </c>
      <c r="K22" s="100"/>
      <c r="L22" s="101"/>
      <c r="R22" s="97"/>
    </row>
    <row r="23" spans="1:18" ht="22.5" customHeight="1">
      <c r="A23" s="5">
        <f t="shared" si="0"/>
        <v>18</v>
      </c>
      <c r="B23" s="123" t="s">
        <v>136</v>
      </c>
      <c r="C23" s="124"/>
      <c r="D23" s="120"/>
      <c r="E23" s="121"/>
      <c r="F23" s="122"/>
      <c r="G23" s="111" t="s">
        <v>114</v>
      </c>
      <c r="H23" s="111">
        <v>10</v>
      </c>
      <c r="I23" s="112">
        <v>16</v>
      </c>
      <c r="J23" s="99">
        <f t="shared" si="1"/>
        <v>160</v>
      </c>
      <c r="K23" s="100"/>
      <c r="L23" s="101"/>
      <c r="R23" s="97"/>
    </row>
    <row r="24" spans="1:18" ht="22.5" customHeight="1">
      <c r="A24" s="5">
        <f t="shared" si="0"/>
        <v>19</v>
      </c>
      <c r="B24" s="123" t="s">
        <v>122</v>
      </c>
      <c r="C24" s="124"/>
      <c r="D24" s="120"/>
      <c r="E24" s="121"/>
      <c r="F24" s="122"/>
      <c r="G24" s="111" t="s">
        <v>114</v>
      </c>
      <c r="H24" s="111">
        <v>10</v>
      </c>
      <c r="I24" s="112">
        <v>110</v>
      </c>
      <c r="J24" s="99">
        <f t="shared" si="1"/>
        <v>1100</v>
      </c>
      <c r="K24" s="100"/>
      <c r="L24" s="101"/>
      <c r="R24" s="97"/>
    </row>
    <row r="25" spans="1:18" ht="22.5" customHeight="1">
      <c r="A25" s="5">
        <f t="shared" si="0"/>
        <v>20</v>
      </c>
      <c r="B25" s="123" t="s">
        <v>137</v>
      </c>
      <c r="C25" s="124"/>
      <c r="D25" s="120"/>
      <c r="E25" s="121"/>
      <c r="F25" s="122"/>
      <c r="G25" s="111" t="s">
        <v>114</v>
      </c>
      <c r="H25" s="111">
        <v>30</v>
      </c>
      <c r="I25" s="112">
        <v>20</v>
      </c>
      <c r="J25" s="99">
        <f t="shared" si="1"/>
        <v>600</v>
      </c>
      <c r="K25" s="100"/>
      <c r="L25" s="101"/>
      <c r="R25" s="97"/>
    </row>
    <row r="26" spans="1:18" ht="22.5" customHeight="1">
      <c r="A26" s="5">
        <f t="shared" si="0"/>
        <v>21</v>
      </c>
      <c r="B26" s="123" t="s">
        <v>138</v>
      </c>
      <c r="C26" s="124"/>
      <c r="D26" s="120"/>
      <c r="E26" s="121"/>
      <c r="F26" s="122"/>
      <c r="G26" s="111" t="s">
        <v>114</v>
      </c>
      <c r="H26" s="111">
        <v>30</v>
      </c>
      <c r="I26" s="112">
        <v>32</v>
      </c>
      <c r="J26" s="99">
        <f t="shared" si="1"/>
        <v>960</v>
      </c>
      <c r="K26" s="100"/>
      <c r="L26" s="101"/>
      <c r="R26" s="97"/>
    </row>
    <row r="27" spans="1:18" ht="22.5" customHeight="1">
      <c r="A27" s="5">
        <f t="shared" si="0"/>
        <v>22</v>
      </c>
      <c r="B27" s="123" t="s">
        <v>139</v>
      </c>
      <c r="C27" s="124"/>
      <c r="D27" s="120"/>
      <c r="E27" s="121"/>
      <c r="F27" s="122"/>
      <c r="G27" s="111" t="s">
        <v>114</v>
      </c>
      <c r="H27" s="111">
        <v>15</v>
      </c>
      <c r="I27" s="112">
        <v>56</v>
      </c>
      <c r="J27" s="99">
        <f t="shared" si="1"/>
        <v>840</v>
      </c>
      <c r="K27" s="100"/>
      <c r="L27" s="101"/>
      <c r="R27" s="97"/>
    </row>
    <row r="28" spans="1:18" ht="22.5" customHeight="1">
      <c r="A28" s="5">
        <f t="shared" si="0"/>
        <v>23</v>
      </c>
      <c r="B28" s="123" t="s">
        <v>140</v>
      </c>
      <c r="C28" s="124"/>
      <c r="D28" s="120"/>
      <c r="E28" s="121"/>
      <c r="F28" s="122"/>
      <c r="G28" s="111" t="s">
        <v>114</v>
      </c>
      <c r="H28" s="111">
        <v>15</v>
      </c>
      <c r="I28" s="112">
        <v>84</v>
      </c>
      <c r="J28" s="99">
        <f t="shared" si="1"/>
        <v>1260</v>
      </c>
      <c r="K28" s="100"/>
      <c r="L28" s="101"/>
      <c r="R28" s="97"/>
    </row>
    <row r="29" spans="1:18" ht="22.5" customHeight="1">
      <c r="A29" s="5">
        <f t="shared" si="0"/>
        <v>24</v>
      </c>
      <c r="B29" s="123" t="s">
        <v>141</v>
      </c>
      <c r="C29" s="124"/>
      <c r="D29" s="120"/>
      <c r="E29" s="121"/>
      <c r="F29" s="122"/>
      <c r="G29" s="111" t="s">
        <v>114</v>
      </c>
      <c r="H29" s="111">
        <v>30</v>
      </c>
      <c r="I29" s="112">
        <v>39.75</v>
      </c>
      <c r="J29" s="99">
        <f t="shared" si="1"/>
        <v>1192.5</v>
      </c>
      <c r="K29" s="100"/>
      <c r="L29" s="101"/>
      <c r="R29" s="97"/>
    </row>
    <row r="30" spans="1:18" ht="22.5" customHeight="1">
      <c r="A30" s="5">
        <f t="shared" si="0"/>
        <v>25</v>
      </c>
      <c r="B30" s="123" t="s">
        <v>142</v>
      </c>
      <c r="C30" s="124"/>
      <c r="D30" s="120"/>
      <c r="E30" s="121"/>
      <c r="F30" s="122"/>
      <c r="G30" s="111" t="s">
        <v>114</v>
      </c>
      <c r="H30" s="111">
        <v>30</v>
      </c>
      <c r="I30" s="112">
        <v>65</v>
      </c>
      <c r="J30" s="99">
        <f t="shared" si="1"/>
        <v>1950</v>
      </c>
      <c r="K30" s="100"/>
      <c r="L30" s="101"/>
      <c r="R30" s="97"/>
    </row>
    <row r="31" spans="1:18" ht="22.5" customHeight="1">
      <c r="A31" s="5">
        <f t="shared" si="0"/>
        <v>26</v>
      </c>
      <c r="B31" s="123" t="s">
        <v>143</v>
      </c>
      <c r="C31" s="124"/>
      <c r="D31" s="120"/>
      <c r="E31" s="121"/>
      <c r="F31" s="122"/>
      <c r="G31" s="111" t="s">
        <v>114</v>
      </c>
      <c r="H31" s="111">
        <v>5</v>
      </c>
      <c r="I31" s="112">
        <v>8600</v>
      </c>
      <c r="J31" s="99">
        <f t="shared" si="1"/>
        <v>43000</v>
      </c>
      <c r="K31" s="100"/>
      <c r="L31" s="101"/>
      <c r="R31" s="97"/>
    </row>
    <row r="32" spans="1:18" ht="22.5" customHeight="1">
      <c r="A32" s="5">
        <f t="shared" si="0"/>
        <v>27</v>
      </c>
      <c r="B32" s="123" t="s">
        <v>143</v>
      </c>
      <c r="C32" s="124"/>
      <c r="D32" s="120"/>
      <c r="E32" s="121"/>
      <c r="F32" s="122"/>
      <c r="G32" s="111" t="s">
        <v>114</v>
      </c>
      <c r="H32" s="111">
        <v>1</v>
      </c>
      <c r="I32" s="112">
        <v>8600</v>
      </c>
      <c r="J32" s="99">
        <f t="shared" si="1"/>
        <v>8600</v>
      </c>
      <c r="K32" s="100"/>
      <c r="L32" s="101"/>
      <c r="R32" s="97"/>
    </row>
    <row r="33" spans="1:19" ht="22.5" customHeight="1">
      <c r="A33" s="5">
        <f t="shared" si="0"/>
        <v>28</v>
      </c>
      <c r="B33" s="123" t="s">
        <v>143</v>
      </c>
      <c r="C33" s="124"/>
      <c r="D33" s="120"/>
      <c r="E33" s="121"/>
      <c r="F33" s="122"/>
      <c r="G33" s="111" t="s">
        <v>114</v>
      </c>
      <c r="H33" s="111">
        <v>3</v>
      </c>
      <c r="I33" s="112">
        <v>6000</v>
      </c>
      <c r="J33" s="99">
        <f t="shared" si="1"/>
        <v>18000</v>
      </c>
      <c r="K33" s="100"/>
      <c r="L33" s="101"/>
      <c r="R33" s="97"/>
    </row>
    <row r="34" spans="1:19" ht="22.5" customHeight="1">
      <c r="A34" s="5">
        <f t="shared" si="0"/>
        <v>29</v>
      </c>
      <c r="B34" s="123" t="s">
        <v>132</v>
      </c>
      <c r="C34" s="124"/>
      <c r="D34" s="120"/>
      <c r="E34" s="121"/>
      <c r="F34" s="122"/>
      <c r="G34" s="111" t="s">
        <v>145</v>
      </c>
      <c r="H34" s="111">
        <v>10</v>
      </c>
      <c r="I34" s="112">
        <v>430</v>
      </c>
      <c r="J34" s="99">
        <f t="shared" si="1"/>
        <v>4300</v>
      </c>
      <c r="K34" s="100"/>
      <c r="L34" s="101"/>
      <c r="R34" s="97"/>
    </row>
    <row r="35" spans="1:19" ht="22.5" customHeight="1">
      <c r="A35" s="5">
        <f t="shared" si="0"/>
        <v>30</v>
      </c>
      <c r="B35" s="123" t="s">
        <v>128</v>
      </c>
      <c r="C35" s="124"/>
      <c r="D35" s="120"/>
      <c r="E35" s="121"/>
      <c r="F35" s="122"/>
      <c r="G35" s="111" t="s">
        <v>114</v>
      </c>
      <c r="H35" s="111">
        <v>8</v>
      </c>
      <c r="I35" s="112">
        <v>14</v>
      </c>
      <c r="J35" s="99">
        <f t="shared" si="1"/>
        <v>112</v>
      </c>
      <c r="K35" s="100"/>
      <c r="L35" s="101"/>
      <c r="R35" s="97"/>
    </row>
    <row r="36" spans="1:19" ht="22.5" customHeight="1">
      <c r="A36" s="5">
        <f t="shared" si="0"/>
        <v>31</v>
      </c>
      <c r="B36" s="123" t="s">
        <v>144</v>
      </c>
      <c r="C36" s="124"/>
      <c r="D36" s="120"/>
      <c r="E36" s="121"/>
      <c r="F36" s="122"/>
      <c r="G36" s="111" t="s">
        <v>145</v>
      </c>
      <c r="H36" s="111">
        <v>3</v>
      </c>
      <c r="I36" s="112">
        <v>190</v>
      </c>
      <c r="J36" s="99">
        <f t="shared" si="1"/>
        <v>570</v>
      </c>
      <c r="K36" s="100"/>
      <c r="L36" s="101"/>
      <c r="R36" s="97"/>
    </row>
    <row r="37" spans="1:19" ht="22.5" customHeight="1">
      <c r="A37" s="5">
        <f t="shared" si="0"/>
        <v>32</v>
      </c>
      <c r="B37" s="123" t="s">
        <v>128</v>
      </c>
      <c r="C37" s="124"/>
      <c r="D37" s="125"/>
      <c r="E37" s="126"/>
      <c r="F37" s="127"/>
      <c r="G37" s="111" t="s">
        <v>114</v>
      </c>
      <c r="H37" s="111">
        <v>10</v>
      </c>
      <c r="I37" s="112">
        <v>14</v>
      </c>
      <c r="J37" s="99">
        <f t="shared" si="1"/>
        <v>140</v>
      </c>
      <c r="K37" s="100"/>
      <c r="L37" s="101"/>
      <c r="R37" s="97"/>
    </row>
    <row r="38" spans="1:19" ht="23.25" customHeight="1">
      <c r="A38" s="147" t="s">
        <v>8</v>
      </c>
      <c r="B38" s="148"/>
      <c r="C38" s="102"/>
      <c r="D38" s="108"/>
      <c r="E38" s="108"/>
      <c r="F38" s="108"/>
      <c r="G38" s="109"/>
      <c r="H38" s="109"/>
      <c r="I38" s="110" t="s">
        <v>9</v>
      </c>
      <c r="J38" s="99">
        <f>SUM(J6:J37)</f>
        <v>130060.5</v>
      </c>
      <c r="K38" s="99"/>
      <c r="L38" s="103"/>
    </row>
    <row r="39" spans="1:19" ht="20.100000000000001" customHeight="1">
      <c r="A39" s="6" t="s">
        <v>10</v>
      </c>
      <c r="B39" s="7"/>
      <c r="C39" s="7"/>
      <c r="D39" s="7"/>
      <c r="E39" s="7"/>
      <c r="F39" s="7"/>
      <c r="G39" s="7"/>
      <c r="H39" s="7"/>
      <c r="I39" s="7"/>
      <c r="J39" s="7"/>
      <c r="K39" s="8"/>
      <c r="L39" s="9"/>
    </row>
    <row r="40" spans="1:19" ht="18" customHeight="1">
      <c r="A40" s="10"/>
      <c r="J40" s="1"/>
      <c r="K40" s="1"/>
      <c r="O40" s="11"/>
      <c r="P40" s="11"/>
      <c r="R40" s="149" t="s">
        <v>11</v>
      </c>
      <c r="S40" s="13" t="s">
        <v>12</v>
      </c>
    </row>
    <row r="41" spans="1:19" ht="50.1" customHeight="1">
      <c r="R41" s="150"/>
      <c r="S41" s="15"/>
    </row>
    <row r="42" spans="1:19" ht="17.100000000000001" customHeight="1">
      <c r="O42" s="11"/>
      <c r="P42" s="11"/>
      <c r="R42" s="151"/>
      <c r="S42" s="15" t="s">
        <v>13</v>
      </c>
    </row>
    <row r="43" spans="1:19" ht="15" customHeight="1">
      <c r="O43" s="17" t="s">
        <v>14</v>
      </c>
      <c r="P43" s="152" t="s">
        <v>15</v>
      </c>
    </row>
    <row r="44" spans="1:19" ht="18" customHeight="1">
      <c r="O44" s="18" t="s">
        <v>16</v>
      </c>
      <c r="P44" s="153"/>
      <c r="R44" s="149" t="s">
        <v>17</v>
      </c>
      <c r="S44" s="12" t="s">
        <v>12</v>
      </c>
    </row>
    <row r="45" spans="1:19" ht="50.1" customHeight="1">
      <c r="O45" s="14"/>
      <c r="P45" s="14"/>
      <c r="R45" s="150"/>
      <c r="S45" s="19"/>
    </row>
    <row r="46" spans="1:19" ht="17.100000000000001" customHeight="1">
      <c r="O46" s="16" t="s">
        <v>13</v>
      </c>
      <c r="P46" s="16" t="s">
        <v>13</v>
      </c>
      <c r="R46" s="151"/>
      <c r="S46" s="15" t="s">
        <v>13</v>
      </c>
    </row>
    <row r="47" spans="1:19" ht="9.9499999999999993" customHeight="1"/>
    <row r="48" spans="1:19" ht="19.899999999999999" customHeight="1"/>
    <row r="49" spans="15:16" ht="17.45" customHeight="1">
      <c r="O49" s="154"/>
      <c r="P49" s="154"/>
    </row>
    <row r="50" spans="15:16" ht="19.899999999999999" customHeight="1">
      <c r="O50" s="154"/>
      <c r="P50" s="154"/>
    </row>
    <row r="51" spans="15:16" ht="14.25">
      <c r="O51" s="11"/>
      <c r="P51" s="11"/>
    </row>
    <row r="52" spans="15:16" ht="65.099999999999994" customHeight="1"/>
    <row r="53" spans="15:16" ht="14.25">
      <c r="O53" s="11"/>
      <c r="P53" s="11"/>
    </row>
    <row r="54" spans="15:16" ht="19.899999999999999" customHeight="1"/>
    <row r="55" spans="15:16" ht="14.25"/>
    <row r="56" spans="15:16" ht="19.899999999999999" customHeight="1"/>
    <row r="57" spans="15:16" ht="14.25"/>
    <row r="58" spans="15:16" ht="19.899999999999999" customHeight="1"/>
    <row r="59" spans="15:16" ht="19.899999999999999" customHeight="1"/>
    <row r="60" spans="15:16" ht="64.900000000000006" customHeight="1"/>
    <row r="62" spans="15:16" ht="19.899999999999999" customHeight="1"/>
    <row r="63" spans="15:16" ht="19.899999999999999" customHeight="1"/>
    <row r="64" spans="15:16" ht="64.900000000000006" customHeight="1"/>
    <row r="68" spans="15:19" ht="21" customHeight="1">
      <c r="O68" s="152" t="s">
        <v>18</v>
      </c>
      <c r="P68" s="152" t="s">
        <v>18</v>
      </c>
      <c r="S68" s="152" t="s">
        <v>12</v>
      </c>
    </row>
    <row r="69" spans="15:19" ht="21" customHeight="1">
      <c r="O69" s="153"/>
      <c r="P69" s="153"/>
      <c r="S69" s="151"/>
    </row>
    <row r="70" spans="15:19" ht="64.900000000000006" customHeight="1">
      <c r="O70" s="14"/>
      <c r="P70" s="14"/>
      <c r="S70" s="15"/>
    </row>
    <row r="71" spans="15:19" ht="7.15" customHeight="1"/>
    <row r="72" spans="15:19" ht="21" customHeight="1">
      <c r="O72" s="152" t="s">
        <v>18</v>
      </c>
      <c r="P72" s="152" t="s">
        <v>18</v>
      </c>
      <c r="S72" s="152" t="s">
        <v>19</v>
      </c>
    </row>
    <row r="73" spans="15:19" ht="21" customHeight="1">
      <c r="O73" s="153"/>
      <c r="P73" s="153"/>
      <c r="S73" s="151"/>
    </row>
    <row r="74" spans="15:19" ht="64.900000000000006" customHeight="1">
      <c r="O74" s="14"/>
      <c r="P74" s="14"/>
      <c r="S74" s="14"/>
    </row>
  </sheetData>
  <mergeCells count="69">
    <mergeCell ref="B36:C36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S68:S69"/>
    <mergeCell ref="O72:O73"/>
    <mergeCell ref="P72:P73"/>
    <mergeCell ref="S72:S73"/>
    <mergeCell ref="O49:O50"/>
    <mergeCell ref="P49:P50"/>
    <mergeCell ref="O68:O69"/>
    <mergeCell ref="P68:P69"/>
    <mergeCell ref="A38:B38"/>
    <mergeCell ref="R40:R42"/>
    <mergeCell ref="P43:P44"/>
    <mergeCell ref="R44:R46"/>
    <mergeCell ref="B9:C9"/>
    <mergeCell ref="D9:F9"/>
    <mergeCell ref="B13:C13"/>
    <mergeCell ref="D13:F13"/>
    <mergeCell ref="B14:C14"/>
    <mergeCell ref="D14:F14"/>
    <mergeCell ref="B10:C10"/>
    <mergeCell ref="D10:F10"/>
    <mergeCell ref="B11:C11"/>
    <mergeCell ref="D11:F11"/>
    <mergeCell ref="B12:C12"/>
    <mergeCell ref="D12:F12"/>
    <mergeCell ref="A4:A5"/>
    <mergeCell ref="B4:C5"/>
    <mergeCell ref="D4:F5"/>
    <mergeCell ref="G4:G5"/>
    <mergeCell ref="H4:H5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15:C15"/>
    <mergeCell ref="B16:C16"/>
    <mergeCell ref="B17:C17"/>
    <mergeCell ref="B37:C37"/>
    <mergeCell ref="D15:F15"/>
    <mergeCell ref="D16:F16"/>
    <mergeCell ref="D17:F17"/>
    <mergeCell ref="D37:F37"/>
    <mergeCell ref="B18:C18"/>
    <mergeCell ref="B19:C19"/>
    <mergeCell ref="B20:C20"/>
    <mergeCell ref="B21:C21"/>
    <mergeCell ref="B22:C22"/>
    <mergeCell ref="B23:C23"/>
    <mergeCell ref="B24:C24"/>
    <mergeCell ref="B25:C2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7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5" t="s">
        <v>93</v>
      </c>
      <c r="B1" s="91"/>
      <c r="C1" s="91"/>
      <c r="D1" s="91"/>
      <c r="E1" s="91"/>
      <c r="F1" s="91"/>
      <c r="G1" s="1"/>
      <c r="J1" s="128" t="str">
        <f>+MRS!J1</f>
        <v>DAESHIN PLANT</v>
      </c>
      <c r="K1" s="130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20"/>
      <c r="H2" s="20"/>
      <c r="I2" s="20"/>
      <c r="J2" s="131" t="str">
        <f>+MRS!J2</f>
        <v>Subcontract name (SAC2-SC-IK-SMP-01)</v>
      </c>
      <c r="K2" s="133"/>
    </row>
    <row r="3" spans="1:18" ht="24.95" customHeight="1">
      <c r="A3" s="3" t="str">
        <f>+MRS!A3</f>
        <v xml:space="preserve">  MRS No : SAC2-DS-MRS-0311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46157</v>
      </c>
    </row>
    <row r="4" spans="1:18" ht="15.95" customHeight="1">
      <c r="A4" s="160" t="s">
        <v>2</v>
      </c>
      <c r="B4" s="161" t="s">
        <v>20</v>
      </c>
      <c r="C4" s="161"/>
      <c r="D4" s="160" t="s">
        <v>4</v>
      </c>
      <c r="E4" s="160"/>
      <c r="F4" s="160"/>
      <c r="G4" s="161" t="s">
        <v>5</v>
      </c>
      <c r="H4" s="160" t="s">
        <v>88</v>
      </c>
      <c r="I4" s="160" t="s">
        <v>21</v>
      </c>
      <c r="J4" s="160" t="s">
        <v>22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55" t="str">
        <f>MRS!B6</f>
        <v>LED FLOOD LIGHT 400W</v>
      </c>
      <c r="C6" s="156"/>
      <c r="D6" s="157">
        <f>MRS!D6</f>
        <v>0</v>
      </c>
      <c r="E6" s="158"/>
      <c r="F6" s="159"/>
      <c r="G6" s="94" t="str">
        <f>MRS!G6</f>
        <v>EA</v>
      </c>
      <c r="H6" s="94">
        <f>MRS!H6</f>
        <v>100</v>
      </c>
      <c r="I6" s="95">
        <f>MRS!I6</f>
        <v>80</v>
      </c>
      <c r="J6" s="95">
        <f>MRS!J6</f>
        <v>8000</v>
      </c>
      <c r="K6" s="96"/>
      <c r="O6" s="97"/>
      <c r="P6" s="97"/>
      <c r="R6" s="97"/>
    </row>
    <row r="7" spans="1:18" ht="105" customHeight="1">
      <c r="A7" s="21">
        <f>+MRS!A7</f>
        <v>2</v>
      </c>
      <c r="B7" s="155" t="str">
        <f>MRS!B7</f>
        <v>30W/220V LED PANEL LIGHT 11"/280MM SURFACE</v>
      </c>
      <c r="C7" s="156"/>
      <c r="D7" s="157">
        <f>MRS!D7</f>
        <v>0</v>
      </c>
      <c r="E7" s="158"/>
      <c r="F7" s="159"/>
      <c r="G7" s="94" t="str">
        <f>MRS!G7</f>
        <v>EA</v>
      </c>
      <c r="H7" s="94">
        <f>MRS!H7</f>
        <v>20</v>
      </c>
      <c r="I7" s="95">
        <f>MRS!I7</f>
        <v>14</v>
      </c>
      <c r="J7" s="95">
        <f>MRS!J7</f>
        <v>280</v>
      </c>
      <c r="K7" s="96"/>
      <c r="O7" s="97"/>
      <c r="P7" s="97"/>
      <c r="R7" s="97"/>
    </row>
    <row r="8" spans="1:18" ht="105" customHeight="1">
      <c r="A8" s="21">
        <f>+MRS!A8</f>
        <v>3</v>
      </c>
      <c r="B8" s="155" t="str">
        <f>MRS!B8</f>
        <v>16A/220V 3PIN MOBILE SOCKET IP66/67 MQ</v>
      </c>
      <c r="C8" s="156"/>
      <c r="D8" s="157">
        <f>MRS!D8</f>
        <v>0</v>
      </c>
      <c r="E8" s="158"/>
      <c r="F8" s="159"/>
      <c r="G8" s="94" t="str">
        <f>MRS!G8</f>
        <v>EA</v>
      </c>
      <c r="H8" s="94">
        <f>MRS!H8</f>
        <v>300</v>
      </c>
      <c r="I8" s="95">
        <f>MRS!I8</f>
        <v>26.5</v>
      </c>
      <c r="J8" s="95">
        <f>MRS!J8</f>
        <v>7950</v>
      </c>
      <c r="K8" s="96"/>
      <c r="O8" s="97"/>
      <c r="P8" s="97"/>
      <c r="R8" s="97"/>
    </row>
    <row r="9" spans="1:18" ht="105" customHeight="1">
      <c r="A9" s="21">
        <f>+MRS!A9</f>
        <v>4</v>
      </c>
      <c r="B9" s="155" t="str">
        <f>MRS!B9</f>
        <v>16A/220V 3PIN MOBILE PLUG IP66/67 MQ</v>
      </c>
      <c r="C9" s="156"/>
      <c r="D9" s="157">
        <f>MRS!D9</f>
        <v>0</v>
      </c>
      <c r="E9" s="158"/>
      <c r="F9" s="159"/>
      <c r="G9" s="94" t="str">
        <f>MRS!G9</f>
        <v>EA</v>
      </c>
      <c r="H9" s="94">
        <f>MRS!H9</f>
        <v>300</v>
      </c>
      <c r="I9" s="95">
        <f>MRS!I9</f>
        <v>18.5</v>
      </c>
      <c r="J9" s="95">
        <f>MRS!J9</f>
        <v>5550</v>
      </c>
      <c r="K9" s="96"/>
      <c r="O9" s="97"/>
      <c r="P9" s="97"/>
      <c r="R9" s="97"/>
    </row>
    <row r="10" spans="1:18" ht="105" customHeight="1">
      <c r="A10" s="21">
        <f>+MRS!A10</f>
        <v>5</v>
      </c>
      <c r="B10" s="155" t="str">
        <f>MRS!B10</f>
        <v>RCCB 25A 2P 10mA</v>
      </c>
      <c r="C10" s="156"/>
      <c r="D10" s="157">
        <f>MRS!D10</f>
        <v>0</v>
      </c>
      <c r="E10" s="158"/>
      <c r="F10" s="159"/>
      <c r="G10" s="94" t="str">
        <f>MRS!G10</f>
        <v>EA</v>
      </c>
      <c r="H10" s="94">
        <f>MRS!H10</f>
        <v>100</v>
      </c>
      <c r="I10" s="95">
        <f>MRS!I10</f>
        <v>110</v>
      </c>
      <c r="J10" s="95">
        <f>MRS!J10</f>
        <v>11000</v>
      </c>
      <c r="K10" s="96"/>
      <c r="O10" s="97"/>
      <c r="P10" s="97"/>
      <c r="R10" s="97"/>
    </row>
    <row r="11" spans="1:18" ht="105" customHeight="1">
      <c r="A11" s="21">
        <f>+MRS!A11</f>
        <v>6</v>
      </c>
      <c r="B11" s="155" t="str">
        <f>MRS!B11</f>
        <v>CABLE LUG 25MM² X M10</v>
      </c>
      <c r="C11" s="156"/>
      <c r="D11" s="157">
        <f>MRS!D11</f>
        <v>0</v>
      </c>
      <c r="E11" s="158"/>
      <c r="F11" s="159"/>
      <c r="G11" s="94" t="str">
        <f>MRS!G11</f>
        <v>EA</v>
      </c>
      <c r="H11" s="94">
        <f>MRS!H11</f>
        <v>100</v>
      </c>
      <c r="I11" s="95">
        <f>MRS!I11</f>
        <v>1.65</v>
      </c>
      <c r="J11" s="95">
        <f>MRS!J11</f>
        <v>165</v>
      </c>
      <c r="K11" s="96"/>
      <c r="O11" s="97"/>
      <c r="P11" s="97"/>
      <c r="R11" s="97"/>
    </row>
    <row r="12" spans="1:18" ht="105" customHeight="1">
      <c r="A12" s="21">
        <f>+MRS!A12</f>
        <v>7</v>
      </c>
      <c r="B12" s="155" t="str">
        <f>MRS!B12</f>
        <v>CABLE LUG 35MM² X M10</v>
      </c>
      <c r="C12" s="156"/>
      <c r="D12" s="157">
        <f>MRS!D12</f>
        <v>0</v>
      </c>
      <c r="E12" s="158"/>
      <c r="F12" s="159"/>
      <c r="G12" s="94" t="str">
        <f>MRS!G12</f>
        <v>EA</v>
      </c>
      <c r="H12" s="94">
        <f>MRS!H12</f>
        <v>100</v>
      </c>
      <c r="I12" s="95">
        <f>MRS!I12</f>
        <v>1.75</v>
      </c>
      <c r="J12" s="95">
        <f>MRS!J12</f>
        <v>175</v>
      </c>
      <c r="K12" s="96"/>
      <c r="O12" s="97"/>
      <c r="P12" s="97"/>
      <c r="R12" s="97"/>
    </row>
    <row r="13" spans="1:18" ht="105" customHeight="1">
      <c r="A13" s="21">
        <f>+MRS!A13</f>
        <v>8</v>
      </c>
      <c r="B13" s="155" t="str">
        <f>MRS!B13</f>
        <v>CABLE LUG 50MM² X M10</v>
      </c>
      <c r="C13" s="156"/>
      <c r="D13" s="157">
        <f>MRS!D13</f>
        <v>0</v>
      </c>
      <c r="E13" s="158"/>
      <c r="F13" s="159"/>
      <c r="G13" s="94" t="str">
        <f>MRS!G13</f>
        <v>EA</v>
      </c>
      <c r="H13" s="94">
        <f>MRS!H13</f>
        <v>100</v>
      </c>
      <c r="I13" s="95">
        <f>MRS!I13</f>
        <v>2.1</v>
      </c>
      <c r="J13" s="95">
        <f>MRS!J13</f>
        <v>210</v>
      </c>
      <c r="K13" s="96"/>
      <c r="O13" s="97"/>
      <c r="P13" s="97"/>
      <c r="R13" s="97"/>
    </row>
    <row r="14" spans="1:18" ht="105" customHeight="1">
      <c r="A14" s="21">
        <f>+MRS!A14</f>
        <v>9</v>
      </c>
      <c r="B14" s="155" t="str">
        <f>MRS!B14</f>
        <v>FLEXIBLE CABLE WHITE 3C X 4MM² 100YARD / ROLL</v>
      </c>
      <c r="C14" s="156"/>
      <c r="D14" s="157">
        <f>MRS!D14</f>
        <v>0</v>
      </c>
      <c r="E14" s="158"/>
      <c r="F14" s="159"/>
      <c r="G14" s="94" t="str">
        <f>MRS!G14</f>
        <v>ROLL</v>
      </c>
      <c r="H14" s="94">
        <f>MRS!H14</f>
        <v>20</v>
      </c>
      <c r="I14" s="95">
        <f>MRS!I14</f>
        <v>430</v>
      </c>
      <c r="J14" s="95">
        <f>MRS!J14</f>
        <v>8600</v>
      </c>
      <c r="K14" s="96"/>
      <c r="O14" s="97"/>
      <c r="P14" s="97"/>
      <c r="R14" s="97"/>
    </row>
    <row r="15" spans="1:18" ht="105" customHeight="1">
      <c r="A15" s="21" t="e">
        <f>+MRS!#REF!</f>
        <v>#REF!</v>
      </c>
      <c r="B15" s="155" t="e">
        <f>MRS!#REF!</f>
        <v>#REF!</v>
      </c>
      <c r="C15" s="156"/>
      <c r="D15" s="157" t="e">
        <f>MRS!#REF!</f>
        <v>#REF!</v>
      </c>
      <c r="E15" s="158"/>
      <c r="F15" s="159"/>
      <c r="G15" s="94" t="e">
        <f>MRS!#REF!</f>
        <v>#REF!</v>
      </c>
      <c r="H15" s="94" t="e">
        <f>MRS!#REF!</f>
        <v>#REF!</v>
      </c>
      <c r="I15" s="95" t="e">
        <f>MRS!#REF!</f>
        <v>#REF!</v>
      </c>
      <c r="J15" s="95" t="e">
        <f>MRS!#REF!</f>
        <v>#REF!</v>
      </c>
      <c r="K15" s="96"/>
      <c r="O15" s="97"/>
      <c r="P15" s="97"/>
      <c r="R15" s="97"/>
    </row>
    <row r="16" spans="1:18" ht="105" customHeight="1">
      <c r="A16" s="21"/>
      <c r="B16" s="155"/>
      <c r="C16" s="156"/>
      <c r="D16" s="157"/>
      <c r="E16" s="158"/>
      <c r="F16" s="159"/>
      <c r="G16" s="94"/>
      <c r="H16" s="94"/>
      <c r="I16" s="95"/>
      <c r="J16" s="95"/>
      <c r="K16" s="96"/>
      <c r="O16" s="97"/>
      <c r="P16" s="97"/>
      <c r="R16" s="97"/>
    </row>
    <row r="17" spans="1:18" ht="105" customHeight="1">
      <c r="A17" s="21"/>
      <c r="B17" s="155"/>
      <c r="C17" s="156"/>
      <c r="D17" s="157"/>
      <c r="E17" s="158"/>
      <c r="F17" s="159"/>
      <c r="G17" s="94"/>
      <c r="H17" s="94"/>
      <c r="I17" s="95"/>
      <c r="J17" s="95"/>
      <c r="K17" s="96"/>
      <c r="O17" s="97"/>
      <c r="P17" s="97"/>
      <c r="R17" s="97"/>
    </row>
    <row r="18" spans="1:18" ht="105" customHeight="1">
      <c r="A18" s="21"/>
      <c r="B18" s="155"/>
      <c r="C18" s="156"/>
      <c r="D18" s="157"/>
      <c r="E18" s="158"/>
      <c r="F18" s="159"/>
      <c r="G18" s="94"/>
      <c r="H18" s="94"/>
      <c r="I18" s="95"/>
      <c r="J18" s="95"/>
      <c r="K18" s="96"/>
      <c r="O18" s="97"/>
      <c r="P18" s="97"/>
      <c r="R18" s="97"/>
    </row>
    <row r="19" spans="1:18" ht="105" customHeight="1">
      <c r="A19" s="21"/>
      <c r="B19" s="155"/>
      <c r="C19" s="156"/>
      <c r="D19" s="157"/>
      <c r="E19" s="158"/>
      <c r="F19" s="159"/>
      <c r="G19" s="94"/>
      <c r="H19" s="94"/>
      <c r="I19" s="95"/>
      <c r="J19" s="95"/>
      <c r="K19" s="96"/>
      <c r="O19" s="97"/>
      <c r="P19" s="97"/>
      <c r="R19" s="97"/>
    </row>
    <row r="20" spans="1:18" ht="105" customHeight="1">
      <c r="A20" s="21"/>
      <c r="B20" s="155"/>
      <c r="C20" s="156"/>
      <c r="D20" s="157"/>
      <c r="E20" s="158"/>
      <c r="F20" s="159"/>
      <c r="G20" s="94"/>
      <c r="H20" s="94"/>
      <c r="I20" s="95"/>
      <c r="J20" s="95"/>
      <c r="K20" s="96"/>
      <c r="O20" s="97"/>
      <c r="P20" s="97"/>
      <c r="R20" s="97"/>
    </row>
    <row r="21" spans="1:18" ht="105" customHeight="1">
      <c r="A21" s="21"/>
      <c r="B21" s="155"/>
      <c r="C21" s="156"/>
      <c r="D21" s="157"/>
      <c r="E21" s="158"/>
      <c r="F21" s="159"/>
      <c r="G21" s="94"/>
      <c r="H21" s="94"/>
      <c r="I21" s="95"/>
      <c r="J21" s="95"/>
      <c r="K21" s="96"/>
      <c r="O21" s="97"/>
      <c r="P21" s="97"/>
      <c r="R21" s="97"/>
    </row>
    <row r="23" spans="1:18" ht="21" customHeight="1">
      <c r="J23" s="113"/>
    </row>
  </sheetData>
  <mergeCells count="42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F26" sqref="F2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146</v>
      </c>
      <c r="D9" s="38"/>
      <c r="E9" s="38"/>
    </row>
    <row r="10" spans="2:13" s="38" customFormat="1">
      <c r="B10" s="69"/>
      <c r="C10" s="38" t="s">
        <v>29</v>
      </c>
      <c r="D10" s="73" t="s">
        <v>116</v>
      </c>
      <c r="J10" s="38" t="s">
        <v>30</v>
      </c>
      <c r="K10" s="163">
        <f>MRS!L3</f>
        <v>46157</v>
      </c>
      <c r="L10" s="164"/>
      <c r="M10" s="164"/>
    </row>
    <row r="11" spans="2:13" s="38" customFormat="1">
      <c r="B11" s="69"/>
      <c r="C11" s="72" t="s">
        <v>31</v>
      </c>
      <c r="D11" s="73" t="s">
        <v>117</v>
      </c>
      <c r="J11" s="38" t="s">
        <v>32</v>
      </c>
      <c r="K11" s="165" t="str">
        <f>SUBSTITUTE(SUBSTITUTE(+MRS!A3,"  MRS No : ",""),"-MRS","-PO")</f>
        <v>SAC2-DS-PO-0311</v>
      </c>
      <c r="L11" s="165"/>
      <c r="M11" s="165"/>
    </row>
    <row r="12" spans="2:13" s="38" customFormat="1">
      <c r="B12" s="69"/>
      <c r="C12" s="72" t="s">
        <v>33</v>
      </c>
      <c r="D12" s="38" t="s">
        <v>124</v>
      </c>
      <c r="J12" s="38" t="s">
        <v>34</v>
      </c>
    </row>
    <row r="13" spans="2:13" s="38" customFormat="1">
      <c r="B13" s="69"/>
      <c r="C13" s="74"/>
      <c r="D13" s="73" t="s">
        <v>125</v>
      </c>
      <c r="J13" s="38" t="s">
        <v>35</v>
      </c>
    </row>
    <row r="14" spans="2:13" s="38" customFormat="1">
      <c r="B14" s="69"/>
      <c r="C14" s="114" t="s">
        <v>118</v>
      </c>
      <c r="J14" s="38" t="s">
        <v>36</v>
      </c>
      <c r="K14" s="38">
        <v>101789</v>
      </c>
    </row>
    <row r="15" spans="2:13" s="38" customFormat="1">
      <c r="B15" s="69"/>
      <c r="C15" s="72" t="s">
        <v>125</v>
      </c>
      <c r="J15" s="38" t="s">
        <v>37</v>
      </c>
      <c r="K15" s="75">
        <v>46155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6" t="s">
        <v>38</v>
      </c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</row>
    <row r="19" spans="2:13" ht="12" customHeight="1"/>
    <row r="20" spans="2:13" s="31" customFormat="1" ht="12" customHeight="1">
      <c r="B20" s="167" t="s">
        <v>39</v>
      </c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</row>
    <row r="21" spans="2:13" s="31" customFormat="1" ht="12" customHeight="1">
      <c r="B21" s="167" t="s">
        <v>40</v>
      </c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</row>
    <row r="22" spans="2:13" s="31" customFormat="1" ht="12" customHeight="1">
      <c r="B22" s="167" t="s">
        <v>41</v>
      </c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</row>
    <row r="23" spans="2:13" ht="3.75" customHeight="1"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</row>
    <row r="24" spans="2:13" ht="6.95" customHeight="1"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115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5">
        <f>'PO 2nd page'!G38</f>
        <v>130060.5</v>
      </c>
      <c r="G29" s="107"/>
      <c r="H29" s="107"/>
      <c r="M29" s="33"/>
    </row>
    <row r="30" spans="2:13" ht="15" customHeight="1">
      <c r="B30" s="32"/>
      <c r="C30" s="26" t="s">
        <v>47</v>
      </c>
      <c r="E30" s="26" t="s">
        <v>46</v>
      </c>
      <c r="F30" s="115">
        <f>'PO 2nd page'!G39</f>
        <v>19509.075000000001</v>
      </c>
      <c r="G30" s="107"/>
      <c r="H30" s="107"/>
    </row>
    <row r="31" spans="2:13" ht="15" customHeight="1">
      <c r="B31" s="32"/>
      <c r="C31" s="26" t="s">
        <v>48</v>
      </c>
      <c r="D31" s="34"/>
      <c r="E31" s="26" t="s">
        <v>46</v>
      </c>
      <c r="F31" s="115">
        <f>'PO 2nd page'!G40</f>
        <v>149569.57500000001</v>
      </c>
      <c r="G31" s="107"/>
      <c r="H31" s="107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102</v>
      </c>
    </row>
    <row r="54" spans="2:16" ht="12" customHeight="1">
      <c r="B54" s="81" t="s">
        <v>62</v>
      </c>
      <c r="C54" s="116" t="s">
        <v>106</v>
      </c>
      <c r="F54" s="26" t="s">
        <v>148</v>
      </c>
      <c r="P54" s="26" t="str">
        <f>UPPER(F54)</f>
        <v>OSAZ ELECTRICALS</v>
      </c>
    </row>
    <row r="55" spans="2:16" ht="12" customHeight="1">
      <c r="B55" s="81" t="s">
        <v>62</v>
      </c>
      <c r="C55" s="116" t="s">
        <v>107</v>
      </c>
      <c r="F55" s="117" t="s">
        <v>119</v>
      </c>
    </row>
    <row r="56" spans="2:16" ht="12" customHeight="1">
      <c r="B56" s="81" t="s">
        <v>62</v>
      </c>
      <c r="C56" s="116" t="s">
        <v>108</v>
      </c>
      <c r="F56" s="26" t="s">
        <v>123</v>
      </c>
    </row>
    <row r="57" spans="2:16" ht="12" customHeight="1">
      <c r="B57" s="81" t="s">
        <v>62</v>
      </c>
      <c r="C57" s="116" t="s">
        <v>109</v>
      </c>
      <c r="F57" s="26" t="s">
        <v>103</v>
      </c>
    </row>
    <row r="58" spans="2:16" ht="12" customHeight="1">
      <c r="B58" s="81" t="s">
        <v>62</v>
      </c>
      <c r="C58" s="116" t="s">
        <v>110</v>
      </c>
      <c r="F58" s="26" t="s">
        <v>104</v>
      </c>
    </row>
    <row r="59" spans="2:16" ht="12" customHeight="1">
      <c r="B59" s="81" t="s">
        <v>62</v>
      </c>
      <c r="C59" s="116" t="s">
        <v>111</v>
      </c>
      <c r="F59" s="26" t="s">
        <v>105</v>
      </c>
    </row>
    <row r="60" spans="2:16" ht="12" customHeight="1">
      <c r="B60" s="81"/>
      <c r="C60" s="116" t="s">
        <v>112</v>
      </c>
    </row>
    <row r="61" spans="2:16" ht="6.75" customHeight="1">
      <c r="B61" s="81"/>
      <c r="C61" s="116"/>
    </row>
    <row r="62" spans="2:16" ht="6" customHeight="1">
      <c r="B62" s="118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Mansoor</v>
      </c>
    </row>
    <row r="68" spans="1:13" ht="13.5" customHeight="1">
      <c r="B68" s="26" t="s">
        <v>68</v>
      </c>
      <c r="J68" s="26" t="s">
        <v>69</v>
      </c>
      <c r="K68" s="22" t="s">
        <v>98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100</v>
      </c>
      <c r="J70" s="170" t="str">
        <f>C9</f>
        <v>OSAZ (OSAZ Electricals)</v>
      </c>
      <c r="K70" s="170"/>
      <c r="L70" s="170"/>
      <c r="M70" s="170"/>
    </row>
    <row r="71" spans="1:13" ht="27.95" customHeight="1">
      <c r="A71" s="162" t="s">
        <v>72</v>
      </c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4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SAC2-DS-PO-0311</v>
      </c>
      <c r="C2" s="173" t="s">
        <v>74</v>
      </c>
      <c r="D2" s="173"/>
      <c r="E2" s="173"/>
      <c r="F2" s="173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46157</v>
      </c>
      <c r="C3" s="48"/>
      <c r="D3" s="49"/>
      <c r="E3" s="174" t="s">
        <v>76</v>
      </c>
      <c r="F3" s="174"/>
      <c r="G3" s="174"/>
      <c r="H3" s="174"/>
      <c r="I3" s="50"/>
    </row>
    <row r="4" spans="1:13" s="52" customFormat="1" ht="28.5" customHeight="1" thickTop="1">
      <c r="A4" s="175" t="s">
        <v>77</v>
      </c>
      <c r="B4" s="177" t="s">
        <v>78</v>
      </c>
      <c r="C4" s="178"/>
      <c r="D4" s="181" t="s">
        <v>79</v>
      </c>
      <c r="E4" s="181" t="s">
        <v>80</v>
      </c>
      <c r="F4" s="183" t="str">
        <f>'PO 1st page'!C9</f>
        <v>OSAZ (OSAZ Electricals)</v>
      </c>
      <c r="G4" s="184"/>
      <c r="H4" s="185" t="s">
        <v>81</v>
      </c>
      <c r="K4" s="53"/>
      <c r="L4" s="53"/>
      <c r="M4" s="53"/>
    </row>
    <row r="5" spans="1:13" s="52" customFormat="1" ht="21.95" customHeight="1">
      <c r="A5" s="176"/>
      <c r="B5" s="179"/>
      <c r="C5" s="180"/>
      <c r="D5" s="182"/>
      <c r="E5" s="182"/>
      <c r="F5" s="54" t="s">
        <v>82</v>
      </c>
      <c r="G5" s="54" t="s">
        <v>48</v>
      </c>
      <c r="H5" s="186"/>
      <c r="K5" s="53"/>
      <c r="L5" s="53"/>
      <c r="M5" s="53"/>
    </row>
    <row r="6" spans="1:13" s="52" customFormat="1" ht="26.25" customHeight="1">
      <c r="A6" s="82">
        <f t="shared" ref="A6:A37" si="0">ROW(A1)</f>
        <v>1</v>
      </c>
      <c r="B6" s="171" t="str">
        <f>MRS!B6&amp;" "&amp;MRS!D6</f>
        <v xml:space="preserve">LED FLOOD LIGHT 400W </v>
      </c>
      <c r="C6" s="172"/>
      <c r="D6" s="83" t="str">
        <f>MRS!G6</f>
        <v>EA</v>
      </c>
      <c r="E6" s="83">
        <f>MRS!H6</f>
        <v>100</v>
      </c>
      <c r="F6" s="84">
        <f>MRS!I6</f>
        <v>80</v>
      </c>
      <c r="G6" s="85">
        <f>MRS!J6</f>
        <v>8000</v>
      </c>
      <c r="H6" s="86" t="s">
        <v>99</v>
      </c>
      <c r="K6" s="87"/>
      <c r="L6" s="88"/>
      <c r="M6" s="53"/>
    </row>
    <row r="7" spans="1:13" s="52" customFormat="1" ht="26.25" customHeight="1">
      <c r="A7" s="82">
        <f t="shared" si="0"/>
        <v>2</v>
      </c>
      <c r="B7" s="171" t="str">
        <f>MRS!B7&amp;" "&amp;MRS!D7</f>
        <v xml:space="preserve">30W/220V LED PANEL LIGHT 11"/280MM SURFACE </v>
      </c>
      <c r="C7" s="172"/>
      <c r="D7" s="83" t="str">
        <f>MRS!G7</f>
        <v>EA</v>
      </c>
      <c r="E7" s="83">
        <f>MRS!H7</f>
        <v>20</v>
      </c>
      <c r="F7" s="84">
        <f>MRS!I7</f>
        <v>14</v>
      </c>
      <c r="G7" s="85">
        <f>MRS!J7</f>
        <v>280</v>
      </c>
      <c r="H7" s="86"/>
      <c r="K7" s="87"/>
      <c r="L7" s="88"/>
      <c r="M7" s="53"/>
    </row>
    <row r="8" spans="1:13" s="52" customFormat="1" ht="26.25" customHeight="1">
      <c r="A8" s="89">
        <f t="shared" si="0"/>
        <v>3</v>
      </c>
      <c r="B8" s="171" t="str">
        <f>MRS!B8&amp;" "&amp;MRS!D8</f>
        <v xml:space="preserve">16A/220V 3PIN MOBILE SOCKET IP66/67 MQ </v>
      </c>
      <c r="C8" s="172"/>
      <c r="D8" s="83" t="str">
        <f>MRS!G8</f>
        <v>EA</v>
      </c>
      <c r="E8" s="83">
        <f>MRS!H8</f>
        <v>300</v>
      </c>
      <c r="F8" s="84">
        <f>MRS!I8</f>
        <v>26.5</v>
      </c>
      <c r="G8" s="85">
        <f>MRS!J8</f>
        <v>7950</v>
      </c>
      <c r="H8" s="86"/>
      <c r="K8" s="53"/>
      <c r="L8" s="53"/>
      <c r="M8" s="53"/>
    </row>
    <row r="9" spans="1:13" s="52" customFormat="1" ht="26.25" customHeight="1">
      <c r="A9" s="89">
        <f t="shared" si="0"/>
        <v>4</v>
      </c>
      <c r="B9" s="171" t="str">
        <f>MRS!B9&amp;" "&amp;MRS!D9</f>
        <v xml:space="preserve">16A/220V 3PIN MOBILE PLUG IP66/67 MQ </v>
      </c>
      <c r="C9" s="172"/>
      <c r="D9" s="83" t="str">
        <f>MRS!G9</f>
        <v>EA</v>
      </c>
      <c r="E9" s="83">
        <f>MRS!H9</f>
        <v>300</v>
      </c>
      <c r="F9" s="84">
        <f>MRS!I9</f>
        <v>18.5</v>
      </c>
      <c r="G9" s="85">
        <f>MRS!J9</f>
        <v>5550</v>
      </c>
      <c r="H9" s="90"/>
    </row>
    <row r="10" spans="1:13" s="52" customFormat="1" ht="26.25" customHeight="1">
      <c r="A10" s="89">
        <f t="shared" si="0"/>
        <v>5</v>
      </c>
      <c r="B10" s="171" t="str">
        <f>MRS!B10&amp;" "&amp;MRS!D10</f>
        <v xml:space="preserve">RCCB 25A 2P 10mA </v>
      </c>
      <c r="C10" s="172"/>
      <c r="D10" s="83" t="str">
        <f>MRS!G10</f>
        <v>EA</v>
      </c>
      <c r="E10" s="83">
        <f>MRS!H10</f>
        <v>100</v>
      </c>
      <c r="F10" s="84">
        <f>MRS!I10</f>
        <v>110</v>
      </c>
      <c r="G10" s="85">
        <f>MRS!J10</f>
        <v>11000</v>
      </c>
      <c r="H10" s="90"/>
    </row>
    <row r="11" spans="1:13" s="52" customFormat="1" ht="26.25" customHeight="1">
      <c r="A11" s="89">
        <f t="shared" si="0"/>
        <v>6</v>
      </c>
      <c r="B11" s="171" t="str">
        <f>MRS!B11&amp;" "&amp;MRS!D11</f>
        <v xml:space="preserve">CABLE LUG 25MM² X M10 </v>
      </c>
      <c r="C11" s="172"/>
      <c r="D11" s="83" t="str">
        <f>MRS!G11</f>
        <v>EA</v>
      </c>
      <c r="E11" s="83">
        <f>MRS!H11</f>
        <v>100</v>
      </c>
      <c r="F11" s="84">
        <f>MRS!I11</f>
        <v>1.65</v>
      </c>
      <c r="G11" s="85">
        <f>MRS!J11</f>
        <v>165</v>
      </c>
      <c r="H11" s="90"/>
    </row>
    <row r="12" spans="1:13" s="52" customFormat="1" ht="26.25" customHeight="1">
      <c r="A12" s="89">
        <f t="shared" si="0"/>
        <v>7</v>
      </c>
      <c r="B12" s="171" t="str">
        <f>MRS!B12&amp;" "&amp;MRS!D12</f>
        <v xml:space="preserve">CABLE LUG 35MM² X M10 </v>
      </c>
      <c r="C12" s="172"/>
      <c r="D12" s="83" t="str">
        <f>MRS!G12</f>
        <v>EA</v>
      </c>
      <c r="E12" s="83">
        <f>MRS!H12</f>
        <v>100</v>
      </c>
      <c r="F12" s="84">
        <f>MRS!I12</f>
        <v>1.75</v>
      </c>
      <c r="G12" s="85">
        <f>MRS!J12</f>
        <v>175</v>
      </c>
      <c r="H12" s="90"/>
    </row>
    <row r="13" spans="1:13" s="52" customFormat="1" ht="26.25" customHeight="1">
      <c r="A13" s="89">
        <f t="shared" si="0"/>
        <v>8</v>
      </c>
      <c r="B13" s="171" t="str">
        <f>MRS!B13&amp;" "&amp;MRS!D13</f>
        <v xml:space="preserve">CABLE LUG 50MM² X M10 </v>
      </c>
      <c r="C13" s="172"/>
      <c r="D13" s="83" t="str">
        <f>MRS!G13</f>
        <v>EA</v>
      </c>
      <c r="E13" s="83">
        <f>MRS!H13</f>
        <v>100</v>
      </c>
      <c r="F13" s="84">
        <f>MRS!I13</f>
        <v>2.1</v>
      </c>
      <c r="G13" s="85">
        <f>MRS!J13</f>
        <v>210</v>
      </c>
      <c r="H13" s="90"/>
    </row>
    <row r="14" spans="1:13" s="52" customFormat="1" ht="26.25" customHeight="1">
      <c r="A14" s="89">
        <f t="shared" si="0"/>
        <v>9</v>
      </c>
      <c r="B14" s="171" t="str">
        <f>MRS!B14&amp;" "&amp;MRS!D14</f>
        <v xml:space="preserve">FLEXIBLE CABLE WHITE 3C X 4MM² 100YARD / ROLL </v>
      </c>
      <c r="C14" s="172"/>
      <c r="D14" s="83" t="str">
        <f>MRS!G14</f>
        <v>ROLL</v>
      </c>
      <c r="E14" s="83">
        <f>MRS!H14</f>
        <v>20</v>
      </c>
      <c r="F14" s="84">
        <f>MRS!I14</f>
        <v>430</v>
      </c>
      <c r="G14" s="85">
        <f>MRS!J14</f>
        <v>8600</v>
      </c>
      <c r="H14" s="90"/>
    </row>
    <row r="15" spans="1:13" s="52" customFormat="1" ht="26.25" customHeight="1">
      <c r="A15" s="89">
        <f t="shared" si="0"/>
        <v>10</v>
      </c>
      <c r="B15" s="171" t="str">
        <f>MRS!B15&amp;" "&amp;MRS!D15</f>
        <v xml:space="preserve">32A/220V 3PIN MOBILE SOCKET IP66/67 MQ </v>
      </c>
      <c r="C15" s="172"/>
      <c r="D15" s="83" t="str">
        <f>MRS!G15</f>
        <v>EA</v>
      </c>
      <c r="E15" s="83">
        <f>MRS!H15</f>
        <v>50</v>
      </c>
      <c r="F15" s="84">
        <f>MRS!I15</f>
        <v>65</v>
      </c>
      <c r="G15" s="85">
        <f>MRS!J15</f>
        <v>3250</v>
      </c>
      <c r="H15" s="90"/>
    </row>
    <row r="16" spans="1:13" s="52" customFormat="1" ht="26.25" customHeight="1">
      <c r="A16" s="89">
        <f t="shared" si="0"/>
        <v>11</v>
      </c>
      <c r="B16" s="171" t="str">
        <f>MRS!B16&amp;" "&amp;MRS!D16</f>
        <v xml:space="preserve">RCCB 125A 4P 30mA </v>
      </c>
      <c r="C16" s="172"/>
      <c r="D16" s="83" t="str">
        <f>MRS!G16</f>
        <v>EA</v>
      </c>
      <c r="E16" s="83">
        <f>MRS!H16</f>
        <v>1</v>
      </c>
      <c r="F16" s="84">
        <f>MRS!I16</f>
        <v>310</v>
      </c>
      <c r="G16" s="85">
        <f>MRS!J16</f>
        <v>310</v>
      </c>
      <c r="H16" s="90"/>
    </row>
    <row r="17" spans="1:8" s="52" customFormat="1" ht="26.25" customHeight="1">
      <c r="A17" s="89">
        <f t="shared" si="0"/>
        <v>12</v>
      </c>
      <c r="B17" s="171" t="str">
        <f>MRS!B17&amp;" "&amp;MRS!D17</f>
        <v xml:space="preserve">CABLE LUG 6MM² X M6 </v>
      </c>
      <c r="C17" s="172"/>
      <c r="D17" s="83" t="str">
        <f>MRS!G17</f>
        <v>EA</v>
      </c>
      <c r="E17" s="83">
        <f>MRS!H17</f>
        <v>400</v>
      </c>
      <c r="F17" s="84">
        <f>MRS!I17</f>
        <v>0.4</v>
      </c>
      <c r="G17" s="85">
        <f>MRS!J17</f>
        <v>160</v>
      </c>
      <c r="H17" s="90"/>
    </row>
    <row r="18" spans="1:8" s="52" customFormat="1" ht="26.25" customHeight="1">
      <c r="A18" s="89">
        <f t="shared" si="0"/>
        <v>13</v>
      </c>
      <c r="B18" s="171" t="str">
        <f>MRS!B18&amp;" "&amp;MRS!D18</f>
        <v xml:space="preserve">16A/220V 3PIN MOBILE PLUG IP66/67 MQ </v>
      </c>
      <c r="C18" s="172"/>
      <c r="D18" s="83" t="str">
        <f>MRS!G18</f>
        <v>EA</v>
      </c>
      <c r="E18" s="83">
        <f>MRS!H18</f>
        <v>20</v>
      </c>
      <c r="F18" s="84">
        <f>MRS!I18</f>
        <v>20</v>
      </c>
      <c r="G18" s="85">
        <f>MRS!J18</f>
        <v>400</v>
      </c>
      <c r="H18" s="90"/>
    </row>
    <row r="19" spans="1:8" s="52" customFormat="1" ht="26.25" customHeight="1">
      <c r="A19" s="89">
        <f t="shared" si="0"/>
        <v>14</v>
      </c>
      <c r="B19" s="171" t="str">
        <f>MRS!B19&amp;" "&amp;MRS!D19</f>
        <v xml:space="preserve">16A/220V 3PIN MOBILE SOCKET IP66/67 MQ </v>
      </c>
      <c r="C19" s="172"/>
      <c r="D19" s="83" t="str">
        <f>MRS!G19</f>
        <v>EA</v>
      </c>
      <c r="E19" s="83">
        <f>MRS!H19</f>
        <v>20</v>
      </c>
      <c r="F19" s="84">
        <f>MRS!I19</f>
        <v>32</v>
      </c>
      <c r="G19" s="85">
        <f>MRS!J19</f>
        <v>640</v>
      </c>
      <c r="H19" s="90"/>
    </row>
    <row r="20" spans="1:8" s="52" customFormat="1" ht="26.25" customHeight="1">
      <c r="A20" s="89">
        <f t="shared" si="0"/>
        <v>15</v>
      </c>
      <c r="B20" s="171" t="str">
        <f>MRS!B20&amp;" "&amp;MRS!D20</f>
        <v xml:space="preserve">2 GANG 13A SWITCHED SOCKET 7 X 14 </v>
      </c>
      <c r="C20" s="172"/>
      <c r="D20" s="83" t="str">
        <f>MRS!G20</f>
        <v>EA</v>
      </c>
      <c r="E20" s="83">
        <f>MRS!H20</f>
        <v>4</v>
      </c>
      <c r="F20" s="84">
        <f>MRS!I20</f>
        <v>16.5</v>
      </c>
      <c r="G20" s="85">
        <f>MRS!J20</f>
        <v>66</v>
      </c>
      <c r="H20" s="90"/>
    </row>
    <row r="21" spans="1:8" s="52" customFormat="1" ht="26.25" customHeight="1">
      <c r="A21" s="89">
        <f t="shared" si="0"/>
        <v>16</v>
      </c>
      <c r="B21" s="171" t="str">
        <f>MRS!B21&amp;" "&amp;MRS!D21</f>
        <v xml:space="preserve">16A/220V 3PIN MOBILE PLUG IP66/67 MQ </v>
      </c>
      <c r="C21" s="172"/>
      <c r="D21" s="83" t="str">
        <f>MRS!G21</f>
        <v>EA</v>
      </c>
      <c r="E21" s="83">
        <f>MRS!H21</f>
        <v>10</v>
      </c>
      <c r="F21" s="84">
        <f>MRS!I21</f>
        <v>20</v>
      </c>
      <c r="G21" s="85">
        <f>MRS!J21</f>
        <v>200</v>
      </c>
      <c r="H21" s="90"/>
    </row>
    <row r="22" spans="1:8" s="52" customFormat="1" ht="26.25" customHeight="1">
      <c r="A22" s="89">
        <f t="shared" si="0"/>
        <v>17</v>
      </c>
      <c r="B22" s="171" t="str">
        <f>MRS!B22&amp;" "&amp;MRS!D22</f>
        <v xml:space="preserve">16A/220V 3PIN MOBILE SOCKET IP66/67 MQ </v>
      </c>
      <c r="C22" s="172"/>
      <c r="D22" s="83" t="str">
        <f>MRS!G22</f>
        <v>EA</v>
      </c>
      <c r="E22" s="83">
        <f>MRS!H22</f>
        <v>10</v>
      </c>
      <c r="F22" s="84">
        <f>MRS!I22</f>
        <v>32</v>
      </c>
      <c r="G22" s="85">
        <f>MRS!J22</f>
        <v>320</v>
      </c>
      <c r="H22" s="90"/>
    </row>
    <row r="23" spans="1:8" s="52" customFormat="1" ht="26.25" customHeight="1">
      <c r="A23" s="89">
        <f t="shared" si="0"/>
        <v>18</v>
      </c>
      <c r="B23" s="171" t="str">
        <f>MRS!B23&amp;" "&amp;MRS!D23</f>
        <v xml:space="preserve">DISTRIBUTION BOX 5 WAY HT-5 </v>
      </c>
      <c r="C23" s="172"/>
      <c r="D23" s="83" t="str">
        <f>MRS!G23</f>
        <v>EA</v>
      </c>
      <c r="E23" s="83">
        <f>MRS!H23</f>
        <v>10</v>
      </c>
      <c r="F23" s="84">
        <f>MRS!I23</f>
        <v>16</v>
      </c>
      <c r="G23" s="85">
        <f>MRS!J23</f>
        <v>160</v>
      </c>
      <c r="H23" s="90"/>
    </row>
    <row r="24" spans="1:8" s="52" customFormat="1" ht="26.25" customHeight="1">
      <c r="A24" s="89">
        <f t="shared" si="0"/>
        <v>19</v>
      </c>
      <c r="B24" s="171" t="str">
        <f>MRS!B24&amp;" "&amp;MRS!D24</f>
        <v xml:space="preserve">RCCB 25A 2P 10mA </v>
      </c>
      <c r="C24" s="172"/>
      <c r="D24" s="83" t="str">
        <f>MRS!G24</f>
        <v>EA</v>
      </c>
      <c r="E24" s="83">
        <f>MRS!H24</f>
        <v>10</v>
      </c>
      <c r="F24" s="84">
        <f>MRS!I24</f>
        <v>110</v>
      </c>
      <c r="G24" s="85">
        <f>MRS!J24</f>
        <v>1100</v>
      </c>
      <c r="H24" s="90"/>
    </row>
    <row r="25" spans="1:8" s="52" customFormat="1" ht="26.25" customHeight="1">
      <c r="A25" s="89">
        <f t="shared" si="0"/>
        <v>20</v>
      </c>
      <c r="B25" s="171" t="str">
        <f>MRS!B25&amp;" "&amp;MRS!D25</f>
        <v xml:space="preserve">16A/220V 3PIN MOBILE PLUG IP66/67 </v>
      </c>
      <c r="C25" s="172"/>
      <c r="D25" s="83" t="str">
        <f>MRS!G25</f>
        <v>EA</v>
      </c>
      <c r="E25" s="83">
        <f>MRS!H25</f>
        <v>30</v>
      </c>
      <c r="F25" s="84">
        <f>MRS!I25</f>
        <v>20</v>
      </c>
      <c r="G25" s="85">
        <f>MRS!J25</f>
        <v>600</v>
      </c>
      <c r="H25" s="90"/>
    </row>
    <row r="26" spans="1:8" s="52" customFormat="1" ht="26.25" customHeight="1">
      <c r="A26" s="89">
        <f t="shared" si="0"/>
        <v>21</v>
      </c>
      <c r="B26" s="171" t="str">
        <f>MRS!B26&amp;" "&amp;MRS!D26</f>
        <v xml:space="preserve">16A/220V 3PIN MOBILE SOCKET IP66/67 </v>
      </c>
      <c r="C26" s="172"/>
      <c r="D26" s="83" t="str">
        <f>MRS!G26</f>
        <v>EA</v>
      </c>
      <c r="E26" s="83">
        <f>MRS!H26</f>
        <v>30</v>
      </c>
      <c r="F26" s="84">
        <f>MRS!I26</f>
        <v>32</v>
      </c>
      <c r="G26" s="85">
        <f>MRS!J26</f>
        <v>960</v>
      </c>
      <c r="H26" s="90"/>
    </row>
    <row r="27" spans="1:8" s="52" customFormat="1" ht="26.25" customHeight="1">
      <c r="A27" s="89">
        <f t="shared" si="0"/>
        <v>22</v>
      </c>
      <c r="B27" s="171" t="str">
        <f>MRS!B27&amp;" "&amp;MRS!D27</f>
        <v xml:space="preserve">32A/380V 4PIN MOBILE PLUG IP66/67 </v>
      </c>
      <c r="C27" s="172"/>
      <c r="D27" s="83" t="str">
        <f>MRS!G27</f>
        <v>EA</v>
      </c>
      <c r="E27" s="83">
        <f>MRS!H27</f>
        <v>15</v>
      </c>
      <c r="F27" s="84">
        <f>MRS!I27</f>
        <v>56</v>
      </c>
      <c r="G27" s="85">
        <f>MRS!J27</f>
        <v>840</v>
      </c>
      <c r="H27" s="90"/>
    </row>
    <row r="28" spans="1:8" s="52" customFormat="1" ht="26.25" customHeight="1">
      <c r="A28" s="89">
        <f t="shared" si="0"/>
        <v>23</v>
      </c>
      <c r="B28" s="171" t="str">
        <f>MRS!B28&amp;" "&amp;MRS!D28</f>
        <v xml:space="preserve">32A/380V 4PIN MOBILE SOCKET IP66/67 </v>
      </c>
      <c r="C28" s="172"/>
      <c r="D28" s="83" t="str">
        <f>MRS!G28</f>
        <v>EA</v>
      </c>
      <c r="E28" s="83">
        <f>MRS!H28</f>
        <v>15</v>
      </c>
      <c r="F28" s="84">
        <f>MRS!I28</f>
        <v>84</v>
      </c>
      <c r="G28" s="85">
        <f>MRS!J28</f>
        <v>1260</v>
      </c>
      <c r="H28" s="90"/>
    </row>
    <row r="29" spans="1:8" s="52" customFormat="1" ht="26.25" customHeight="1">
      <c r="A29" s="89">
        <f t="shared" si="0"/>
        <v>24</v>
      </c>
      <c r="B29" s="171" t="str">
        <f>MRS!B29&amp;" "&amp;MRS!D29</f>
        <v xml:space="preserve">32A/220V 3PIN MOBILE PLUG IP66/67 </v>
      </c>
      <c r="C29" s="172"/>
      <c r="D29" s="83" t="str">
        <f>MRS!G29</f>
        <v>EA</v>
      </c>
      <c r="E29" s="83">
        <f>MRS!H29</f>
        <v>30</v>
      </c>
      <c r="F29" s="84">
        <f>MRS!I29</f>
        <v>39.75</v>
      </c>
      <c r="G29" s="85">
        <f>MRS!J29</f>
        <v>1192.5</v>
      </c>
      <c r="H29" s="90"/>
    </row>
    <row r="30" spans="1:8" s="52" customFormat="1" ht="26.25" customHeight="1">
      <c r="A30" s="89">
        <f t="shared" si="0"/>
        <v>25</v>
      </c>
      <c r="B30" s="171" t="str">
        <f>MRS!B30&amp;" "&amp;MRS!D30</f>
        <v xml:space="preserve">32A/220V 3PIN MOBILE SOCKET IP66/67 </v>
      </c>
      <c r="C30" s="172"/>
      <c r="D30" s="83" t="str">
        <f>MRS!G30</f>
        <v>EA</v>
      </c>
      <c r="E30" s="83">
        <f>MRS!H30</f>
        <v>30</v>
      </c>
      <c r="F30" s="84">
        <f>MRS!I30</f>
        <v>65</v>
      </c>
      <c r="G30" s="85">
        <f>MRS!J30</f>
        <v>1950</v>
      </c>
      <c r="H30" s="90"/>
    </row>
    <row r="31" spans="1:8" s="52" customFormat="1" ht="26.25" customHeight="1">
      <c r="A31" s="89">
        <f t="shared" si="0"/>
        <v>26</v>
      </c>
      <c r="B31" s="171" t="str">
        <f>MRS!B31&amp;" "&amp;MRS!D31</f>
        <v xml:space="preserve">PANEL BOARD FABRICATED </v>
      </c>
      <c r="C31" s="172"/>
      <c r="D31" s="83" t="str">
        <f>MRS!G31</f>
        <v>EA</v>
      </c>
      <c r="E31" s="83">
        <f>MRS!H31</f>
        <v>5</v>
      </c>
      <c r="F31" s="84">
        <f>MRS!I31</f>
        <v>8600</v>
      </c>
      <c r="G31" s="85">
        <f>MRS!J31</f>
        <v>43000</v>
      </c>
      <c r="H31" s="90"/>
    </row>
    <row r="32" spans="1:8" s="52" customFormat="1" ht="26.25" customHeight="1">
      <c r="A32" s="89">
        <f t="shared" si="0"/>
        <v>27</v>
      </c>
      <c r="B32" s="171" t="str">
        <f>MRS!B32&amp;" "&amp;MRS!D32</f>
        <v xml:space="preserve">PANEL BOARD FABRICATED </v>
      </c>
      <c r="C32" s="172"/>
      <c r="D32" s="83" t="str">
        <f>MRS!G32</f>
        <v>EA</v>
      </c>
      <c r="E32" s="83">
        <f>MRS!H32</f>
        <v>1</v>
      </c>
      <c r="F32" s="84">
        <f>MRS!I32</f>
        <v>8600</v>
      </c>
      <c r="G32" s="85">
        <f>MRS!J32</f>
        <v>8600</v>
      </c>
      <c r="H32" s="90"/>
    </row>
    <row r="33" spans="1:13" s="52" customFormat="1" ht="26.25" customHeight="1">
      <c r="A33" s="89">
        <f t="shared" si="0"/>
        <v>28</v>
      </c>
      <c r="B33" s="171" t="str">
        <f>MRS!B33&amp;" "&amp;MRS!D33</f>
        <v xml:space="preserve">PANEL BOARD FABRICATED </v>
      </c>
      <c r="C33" s="172"/>
      <c r="D33" s="83" t="str">
        <f>MRS!G33</f>
        <v>EA</v>
      </c>
      <c r="E33" s="83">
        <f>MRS!H33</f>
        <v>3</v>
      </c>
      <c r="F33" s="84">
        <f>MRS!I33</f>
        <v>6000</v>
      </c>
      <c r="G33" s="85">
        <f>MRS!J33</f>
        <v>18000</v>
      </c>
      <c r="H33" s="90"/>
    </row>
    <row r="34" spans="1:13" s="52" customFormat="1" ht="26.25" customHeight="1">
      <c r="A34" s="89">
        <f t="shared" si="0"/>
        <v>29</v>
      </c>
      <c r="B34" s="171" t="str">
        <f>MRS!B34&amp;" "&amp;MRS!D34</f>
        <v xml:space="preserve">FLEXIBLE CABLE WHITE 3C X 4MM² 100YARD / ROLL </v>
      </c>
      <c r="C34" s="172"/>
      <c r="D34" s="83" t="str">
        <f>MRS!G34</f>
        <v>ROLL</v>
      </c>
      <c r="E34" s="83">
        <f>MRS!H34</f>
        <v>10</v>
      </c>
      <c r="F34" s="84">
        <f>MRS!I34</f>
        <v>430</v>
      </c>
      <c r="G34" s="85">
        <f>MRS!J34</f>
        <v>4300</v>
      </c>
      <c r="H34" s="90"/>
    </row>
    <row r="35" spans="1:13" s="52" customFormat="1" ht="26.25" customHeight="1">
      <c r="A35" s="89">
        <f t="shared" si="0"/>
        <v>30</v>
      </c>
      <c r="B35" s="171" t="str">
        <f>MRS!B35&amp;" "&amp;MRS!D35</f>
        <v xml:space="preserve">30W/220V LED PANEL LIGHT 11"/280MM SURFACE </v>
      </c>
      <c r="C35" s="172"/>
      <c r="D35" s="83" t="str">
        <f>MRS!G35</f>
        <v>EA</v>
      </c>
      <c r="E35" s="83">
        <f>MRS!H35</f>
        <v>8</v>
      </c>
      <c r="F35" s="84">
        <f>MRS!I35</f>
        <v>14</v>
      </c>
      <c r="G35" s="85">
        <f>MRS!J35</f>
        <v>112</v>
      </c>
      <c r="H35" s="90"/>
    </row>
    <row r="36" spans="1:13" s="52" customFormat="1" ht="26.25" customHeight="1">
      <c r="A36" s="89">
        <f t="shared" si="0"/>
        <v>31</v>
      </c>
      <c r="B36" s="171" t="str">
        <f>MRS!B36&amp;" "&amp;MRS!D36</f>
        <v xml:space="preserve">FLEXIBLE CABLE WHITE 3C X 1.5MM² 100YARD / ROLL </v>
      </c>
      <c r="C36" s="172"/>
      <c r="D36" s="83" t="str">
        <f>MRS!G36</f>
        <v>ROLL</v>
      </c>
      <c r="E36" s="83">
        <f>MRS!H36</f>
        <v>3</v>
      </c>
      <c r="F36" s="84">
        <f>MRS!I36</f>
        <v>190</v>
      </c>
      <c r="G36" s="85">
        <f>MRS!J36</f>
        <v>570</v>
      </c>
      <c r="H36" s="90"/>
    </row>
    <row r="37" spans="1:13" s="52" customFormat="1" ht="26.25" customHeight="1">
      <c r="A37" s="89">
        <f t="shared" si="0"/>
        <v>32</v>
      </c>
      <c r="B37" s="171" t="str">
        <f>MRS!B37&amp;" "&amp;MRS!D37</f>
        <v xml:space="preserve">30W/220V LED PANEL LIGHT 11"/280MM SURFACE </v>
      </c>
      <c r="C37" s="172"/>
      <c r="D37" s="83" t="str">
        <f>MRS!G37</f>
        <v>EA</v>
      </c>
      <c r="E37" s="83">
        <f>MRS!H37</f>
        <v>10</v>
      </c>
      <c r="F37" s="84">
        <f>MRS!I37</f>
        <v>14</v>
      </c>
      <c r="G37" s="85">
        <f>MRS!J37</f>
        <v>140</v>
      </c>
      <c r="H37" s="90"/>
    </row>
    <row r="38" spans="1:13" s="52" customFormat="1" ht="23.1" customHeight="1">
      <c r="A38" s="187" t="s">
        <v>83</v>
      </c>
      <c r="B38" s="188"/>
      <c r="C38" s="188"/>
      <c r="D38" s="188"/>
      <c r="E38" s="188"/>
      <c r="F38" s="188"/>
      <c r="G38" s="55">
        <f>SUM(G6:G37)</f>
        <v>130060.5</v>
      </c>
      <c r="H38" s="56"/>
    </row>
    <row r="39" spans="1:13" s="52" customFormat="1" ht="23.1" customHeight="1">
      <c r="A39" s="187" t="s">
        <v>47</v>
      </c>
      <c r="B39" s="188"/>
      <c r="C39" s="188"/>
      <c r="D39" s="188"/>
      <c r="E39" s="188"/>
      <c r="F39" s="188"/>
      <c r="G39" s="55">
        <f>+G38*0.15</f>
        <v>19509.075000000001</v>
      </c>
      <c r="H39" s="56"/>
    </row>
    <row r="40" spans="1:13" s="52" customFormat="1" ht="24.95" customHeight="1" thickBot="1">
      <c r="A40" s="189" t="s">
        <v>84</v>
      </c>
      <c r="B40" s="190"/>
      <c r="C40" s="190"/>
      <c r="D40" s="190"/>
      <c r="E40" s="190"/>
      <c r="F40" s="190"/>
      <c r="G40" s="57">
        <f>G39+G38</f>
        <v>149569.57500000001</v>
      </c>
      <c r="H40" s="58"/>
    </row>
    <row r="41" spans="1:13" ht="15.75" thickTop="1">
      <c r="A41" s="59" t="str">
        <f>" 1) Above Price are as per your quotation with ref "&amp;'PO 1st page'!K14</f>
        <v xml:space="preserve"> 1) Above Price are as per your quotation with ref 101789</v>
      </c>
      <c r="B41" s="60"/>
      <c r="C41" s="60"/>
      <c r="D41" s="61"/>
      <c r="E41" s="61"/>
      <c r="F41" s="61"/>
      <c r="G41" s="61"/>
      <c r="H41" s="61"/>
    </row>
    <row r="42" spans="1:13" ht="15">
      <c r="A42" s="62" t="s">
        <v>85</v>
      </c>
      <c r="B42" s="63"/>
      <c r="C42" s="63"/>
      <c r="D42" s="64"/>
      <c r="E42" s="64"/>
      <c r="F42" s="64"/>
      <c r="G42" s="64"/>
      <c r="H42" s="64"/>
      <c r="I42" s="65"/>
    </row>
    <row r="43" spans="1:13" ht="15.75">
      <c r="A43" s="66"/>
    </row>
    <row r="44" spans="1:13">
      <c r="A44" s="162" t="s">
        <v>86</v>
      </c>
      <c r="B44" s="162"/>
      <c r="C44" s="162"/>
      <c r="D44" s="162"/>
      <c r="E44" s="162"/>
      <c r="F44" s="162"/>
      <c r="G44" s="162"/>
      <c r="H44" s="162"/>
      <c r="I44" s="67"/>
      <c r="J44" s="67"/>
      <c r="K44" s="67"/>
      <c r="L44" s="67"/>
      <c r="M44" s="67"/>
    </row>
    <row r="45" spans="1:13" ht="15.75">
      <c r="A45" s="66"/>
      <c r="C45" s="68"/>
    </row>
    <row r="46" spans="1:13" ht="15.75">
      <c r="A46" s="66"/>
      <c r="C46" s="68"/>
    </row>
    <row r="48" spans="1:13" ht="12" customHeight="1"/>
  </sheetData>
  <mergeCells count="44"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A38:F38"/>
    <mergeCell ref="A39:F39"/>
    <mergeCell ref="A40:F40"/>
    <mergeCell ref="A44:H44"/>
    <mergeCell ref="B12:C12"/>
    <mergeCell ref="B14:C14"/>
    <mergeCell ref="B15:C15"/>
    <mergeCell ref="B27:C27"/>
    <mergeCell ref="B16:C16"/>
    <mergeCell ref="B17:C17"/>
    <mergeCell ref="B19:C19"/>
    <mergeCell ref="B18:C18"/>
    <mergeCell ref="B13:C13"/>
    <mergeCell ref="B20:C20"/>
    <mergeCell ref="B21:C21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B22:C22"/>
    <mergeCell ref="B23:C23"/>
    <mergeCell ref="B24:C24"/>
    <mergeCell ref="B25:C25"/>
    <mergeCell ref="B26:C26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2026-05-15T03:25:56Z</cp:lastPrinted>
  <dcterms:created xsi:type="dcterms:W3CDTF">2024-10-20T11:50:19Z</dcterms:created>
  <dcterms:modified xsi:type="dcterms:W3CDTF">2026-05-15T03:26:00Z</dcterms:modified>
</cp:coreProperties>
</file>