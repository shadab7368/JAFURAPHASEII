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895FDD5-6914-42A4-91C8-F7E8335E62C8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C26" i="3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<sst xmlns="http://schemas.openxmlformats.org/spreadsheetml/2006/main" count="157" uniqueCount="131">
  <si>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</si>
  <si>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</si>
  <si>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</si>
  <si>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</si>
  <si>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</si>
  <si>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</si>
  <si>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</si>
  <si>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</si>
  <si>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</si>
  <si>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</si>
  <si>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</si>
  <si>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</si>
  <si>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</si>
  <si>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</si>
  <si>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</si>
  <si>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</si>
  <si>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</si>
  <si>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</si>
  <si>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</si>
  <si>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</si>
  <si>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</si>
  <si>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</si>
  <si>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</si>
  <si>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</si>
  <si>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</si>
  <si>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</si>
  <si>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</si>
  <si>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</si>
  <si>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</si>
  <si>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</si>
  <si>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</si>
  <si>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</si>
  <si>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</si>
  <si>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</si>
  <si>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</si>
  <si>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</si>
  <si>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</si>
  <si>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</si>
  <si>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</si>
  <si>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</si>
  <si>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</si>
  <si>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</si>
  <si>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</si>
  <si>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</si>
  <si>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</si>
  <si>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</si>
  <si>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</si>
  <si>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</si>
  <si>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</si>
  <si>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</si>
  <si>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</si>
  <si>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</si>
  <si>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</si>
  <si>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</si>
  <si>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</si>
  <si>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</si>
  <si>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</si>
  <si>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</si>
  <si>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</si>
  <si>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</si>
  <si>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</si>
  <si>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</si>
  <si>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</si>
  <si>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</si>
  <si>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</si>
  <si>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</si>
  <si>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</si>
  <si>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</si>
  <si>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</si>
  <si>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</si>
  <si>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</si>
  <si>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</si>
  <si>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</si>
  <si>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</si>
  <si>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</si>
  <si>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</si>
  <si>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</si>
  <si>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</si>
  <si>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</si>
  <si>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</si>
  <si>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</si>
  <si>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</si>
  <si>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</si>
  <si>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</si>
  <si>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</si>
  <si>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</si>
  <si>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</si>
  <si>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</si>
  <si>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</si>
  <si>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</si>
  <si>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</si>
  <si>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</si>
  <si>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</si>
  <si>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</si>
  <si>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</si>
  <si>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</si>
  <si>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</si>
  <si>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</si>
  <si>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ENG. &amp; CONST. CO., LTD.</t>
  </si>
  <si>
    <t>Monthly Based</t>
  </si>
  <si>
    <t>Marketing Manager</t>
  </si>
  <si>
    <t>Branch of Hyundai Engineering and Const. Co., Ltd. (HDEC)</t>
  </si>
  <si>
    <t>7050683643</t>
  </si>
  <si>
    <t>313115935700003</t>
  </si>
  <si>
    <t>Mobile No. +966 56 588 8861 / email: info@trindusksa.com</t>
  </si>
  <si>
    <t>Building No. 7830, Al Jubail 35514, KSA</t>
  </si>
  <si>
    <t>Mobile: +966 56 588 8861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</si>
  <si>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-MRS-0164</t>
    </r>
  </si>
  <si>
    <t>Flat Bed Trailer</t>
  </si>
  <si>
    <t>25 Ton With Driver</t>
  </si>
  <si>
    <t>Month</t>
  </si>
  <si>
    <t>TRE/DAESHIN/EQ-002-025</t>
  </si>
  <si>
    <t>TEC(Trindus Engineering Company)</t>
  </si>
  <si>
    <t>TEC</t>
  </si>
  <si>
    <t>Monthly</t>
  </si>
  <si>
    <t>Salem Mohammed S.Almarri</t>
  </si>
  <si>
    <t>Bank Account Details:</t>
  </si>
  <si>
    <t>SAR</t>
  </si>
  <si>
    <t>TRINDUS ENGINEERING COMPANY</t>
  </si>
  <si>
    <t>18300-001-0006080417557</t>
  </si>
  <si>
    <t>ALRAJHI BANK</t>
  </si>
  <si>
    <t>RJHISARI</t>
  </si>
  <si>
    <t xml:space="preserve">  Invoicing : Nehal Kauser / HDEC Purchase PIC [ Mobile No. : +966 50 610 2363 / Email : nehal_kauser@hdec.co.kr ]</t>
  </si>
  <si>
    <t xml:space="preserve">  ACCOUNT NAME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</si>
  <si>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</si>
  <si>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</si>
  <si>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</si>
  <si>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</si>
  <si>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</si>
  <si>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</si>
  <si>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SA89 8000 0183 6080 1041 7557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</si>
</sst>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7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L7" sqref="L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95</v>
      </c>
      <c r="B1" s="109"/>
      <c r="C1" s="109"/>
      <c r="D1" s="109"/>
      <c r="E1" s="109"/>
      <c r="F1" s="109"/>
      <c r="G1" s="1"/>
      <c r="J1" s="151" t="s">
        <v>87</v>
      </c>
      <c r="K1" s="152"/>
      <c r="L1" s="153"/>
    </row>
    <row r="2" spans="1:18" ht="20.100000000000001" customHeight="1">
      <c r="A2" s="3" t="s">
        <v>1</v>
      </c>
      <c r="B2" s="100"/>
      <c r="C2" s="100"/>
      <c r="D2" s="3" t="s">
        <v>94</v>
      </c>
      <c r="E2" s="100"/>
      <c r="F2" s="100"/>
      <c r="G2" s="100"/>
      <c r="H2" s="100"/>
      <c r="I2" s="4"/>
      <c r="J2" s="154" t="s">
        <v>93</v>
      </c>
      <c r="K2" s="155"/>
      <c r="L2" s="156"/>
    </row>
    <row r="3" spans="1:18" ht="20.100000000000001" customHeight="1">
      <c r="A3" s="3" t="s">
        <v>107</v>
      </c>
      <c r="B3" s="100"/>
      <c r="C3" s="100"/>
      <c r="D3" s="100"/>
      <c r="E3" s="157">
        <f>+L3</f>
        <v>45984</v>
      </c>
      <c r="F3" s="157"/>
      <c r="G3" s="157"/>
      <c r="H3" s="157"/>
      <c r="I3" s="157"/>
      <c r="J3" s="100"/>
      <c r="K3" s="100"/>
      <c r="L3" s="121">
        <v>45984</v>
      </c>
      <c r="M3" s="4"/>
    </row>
    <row r="4" spans="1:18" ht="15.95" customHeight="1">
      <c r="A4" s="158" t="s">
        <v>2</v>
      </c>
      <c r="B4" s="159" t="s">
        <v>3</v>
      </c>
      <c r="C4" s="159"/>
      <c r="D4" s="160" t="s">
        <v>4</v>
      </c>
      <c r="E4" s="161"/>
      <c r="F4" s="162"/>
      <c r="G4" s="166" t="s">
        <v>5</v>
      </c>
      <c r="H4" s="168" t="s">
        <v>6</v>
      </c>
      <c r="I4" s="168" t="s">
        <v>90</v>
      </c>
      <c r="J4" s="158" t="s">
        <v>91</v>
      </c>
      <c r="K4" s="168" t="s">
        <v>0</v>
      </c>
      <c r="L4" s="159" t="s">
        <v>7</v>
      </c>
    </row>
    <row r="5" spans="1:18" ht="15.95" customHeight="1">
      <c r="A5" s="158"/>
      <c r="B5" s="159"/>
      <c r="C5" s="159"/>
      <c r="D5" s="163"/>
      <c r="E5" s="164"/>
      <c r="F5" s="165"/>
      <c r="G5" s="167"/>
      <c r="H5" s="169"/>
      <c r="I5" s="169"/>
      <c r="J5" s="158"/>
      <c r="K5" s="169"/>
      <c r="L5" s="159"/>
    </row>
    <row r="6" spans="1:18" ht="22.5" customHeight="1">
      <c r="A6" s="5">
        <f t="shared" ref="A6:A15" si="0">ROW(A1)</f>
        <v>1</v>
      </c>
      <c r="B6" s="139" t="s">
        <v>108</v>
      </c>
      <c r="C6" s="140"/>
      <c r="D6" s="141" t="s">
        <v>109</v>
      </c>
      <c r="E6" s="142"/>
      <c r="F6" s="143"/>
      <c r="G6" s="110" t="s">
        <v>110</v>
      </c>
      <c r="H6" s="111">
        <v>1</v>
      </c>
      <c r="I6" s="112">
        <v>15000</v>
      </c>
      <c r="J6" s="112">
        <f>I6*H6</f>
        <v>15000</v>
      </c>
      <c r="K6" s="113" t="s">
        <v>113</v>
      </c>
      <c r="L6" s="114" t="s">
        <v>114</v>
      </c>
      <c r="R6" s="105"/>
    </row>
    <row r="7" spans="1:18" ht="22.5" customHeight="1">
      <c r="A7" s="5">
        <f t="shared" si="0"/>
        <v>2</v>
      </c>
      <c r="B7" s="139"/>
      <c r="C7" s="140"/>
      <c r="D7" s="150"/>
      <c r="E7" s="142"/>
      <c r="F7" s="143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39"/>
      <c r="C8" s="140"/>
      <c r="D8" s="141"/>
      <c r="E8" s="142"/>
      <c r="F8" s="143"/>
      <c r="G8" s="110"/>
      <c r="H8" s="111"/>
      <c r="I8" s="112"/>
      <c r="J8" s="112"/>
      <c r="K8" s="113"/>
      <c r="L8" s="114"/>
      <c r="P8" s="2" t="s">
        <v>97</v>
      </c>
      <c r="R8" s="105"/>
    </row>
    <row r="9" spans="1:18" ht="22.5" customHeight="1">
      <c r="A9" s="5">
        <f t="shared" si="0"/>
        <v>4</v>
      </c>
      <c r="B9" s="139"/>
      <c r="C9" s="140"/>
      <c r="D9" s="141"/>
      <c r="E9" s="142"/>
      <c r="F9" s="143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48"/>
      <c r="C10" s="148"/>
      <c r="D10" s="149"/>
      <c r="E10" s="149"/>
      <c r="F10" s="149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9"/>
      <c r="C11" s="140"/>
      <c r="D11" s="141"/>
      <c r="E11" s="142"/>
      <c r="F11" s="143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48"/>
      <c r="C12" s="148"/>
      <c r="D12" s="149"/>
      <c r="E12" s="149"/>
      <c r="F12" s="149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9"/>
      <c r="C13" s="140"/>
      <c r="D13" s="141"/>
      <c r="E13" s="142"/>
      <c r="F13" s="143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9"/>
      <c r="C14" s="140"/>
      <c r="D14" s="141"/>
      <c r="E14" s="142"/>
      <c r="F14" s="143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9"/>
      <c r="C15" s="140"/>
      <c r="D15" s="141"/>
      <c r="E15" s="142"/>
      <c r="F15" s="143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44" t="s">
        <v>8</v>
      </c>
      <c r="B16" s="14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15000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6" t="s">
        <v>11</v>
      </c>
      <c r="S18" s="13" t="s">
        <v>12</v>
      </c>
    </row>
    <row r="19" spans="1:19" ht="50.1" customHeight="1">
      <c r="R19" s="147"/>
      <c r="S19" s="15"/>
    </row>
    <row r="20" spans="1:19" ht="17.100000000000001" customHeight="1">
      <c r="O20" s="11"/>
      <c r="P20" s="11"/>
      <c r="R20" s="136"/>
      <c r="S20" s="15" t="s">
        <v>13</v>
      </c>
    </row>
    <row r="21" spans="1:19" ht="15" customHeight="1">
      <c r="O21" s="17" t="s">
        <v>14</v>
      </c>
      <c r="P21" s="135" t="s">
        <v>15</v>
      </c>
    </row>
    <row r="22" spans="1:19" ht="18" customHeight="1">
      <c r="O22" s="18" t="s">
        <v>16</v>
      </c>
      <c r="P22" s="137"/>
      <c r="R22" s="146" t="s">
        <v>17</v>
      </c>
      <c r="S22" s="12" t="s">
        <v>12</v>
      </c>
    </row>
    <row r="23" spans="1:19" ht="50.1" customHeight="1">
      <c r="O23" s="14"/>
      <c r="P23" s="14"/>
      <c r="R23" s="147"/>
      <c r="S23" s="19"/>
    </row>
    <row r="24" spans="1:19" ht="17.100000000000001" customHeight="1">
      <c r="O24" s="16" t="s">
        <v>13</v>
      </c>
      <c r="P24" s="16" t="s">
        <v>13</v>
      </c>
      <c r="R24" s="136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8"/>
      <c r="P27" s="138"/>
    </row>
    <row r="28" spans="1:19" ht="19.899999999999999" customHeight="1">
      <c r="O28" s="138"/>
      <c r="P28" s="138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5" t="s">
        <v>18</v>
      </c>
      <c r="P46" s="135" t="s">
        <v>18</v>
      </c>
      <c r="S46" s="135" t="s">
        <v>12</v>
      </c>
    </row>
    <row r="47" spans="15:19" ht="21" customHeight="1">
      <c r="O47" s="137"/>
      <c r="P47" s="137"/>
      <c r="S47" s="13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5" t="s">
        <v>18</v>
      </c>
      <c r="P50" s="135" t="s">
        <v>18</v>
      </c>
      <c r="S50" s="135" t="s">
        <v>19</v>
      </c>
    </row>
    <row r="51" spans="15:19" ht="21" customHeight="1">
      <c r="O51" s="137"/>
      <c r="P51" s="137"/>
      <c r="S51" s="136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92</v>
      </c>
      <c r="B1" s="99"/>
      <c r="C1" s="99"/>
      <c r="D1" s="99"/>
      <c r="E1" s="99"/>
      <c r="F1" s="99"/>
      <c r="G1" s="1"/>
      <c r="J1" s="151" t="str">
        <f>+MRS!J1</f>
        <v>DAESHIN PLANT</v>
      </c>
      <c r="K1" s="15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54" t="str">
        <f>+MRS!J2</f>
        <v>Subcontract name (SAC2-SC-IK-SMP-01)</v>
      </c>
      <c r="K2" s="156"/>
    </row>
    <row r="3" spans="1:18" ht="24.95" customHeight="1">
      <c r="A3" s="3" t="str">
        <f>+MRS!A3</f>
        <v xml:space="preserve">  MRS No : SAC2-DS-MRS-0164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45984</v>
      </c>
    </row>
    <row r="4" spans="1:18" ht="15.95" customHeight="1">
      <c r="A4" s="180" t="s">
        <v>2</v>
      </c>
      <c r="B4" s="181" t="s">
        <v>20</v>
      </c>
      <c r="C4" s="181"/>
      <c r="D4" s="180" t="s">
        <v>4</v>
      </c>
      <c r="E4" s="180"/>
      <c r="F4" s="180"/>
      <c r="G4" s="181" t="s">
        <v>5</v>
      </c>
      <c r="H4" s="180" t="s">
        <v>88</v>
      </c>
      <c r="I4" s="180" t="s">
        <v>21</v>
      </c>
      <c r="J4" s="180" t="s">
        <v>22</v>
      </c>
      <c r="K4" s="181" t="s">
        <v>7</v>
      </c>
    </row>
    <row r="5" spans="1:18" ht="15.95" customHeight="1">
      <c r="A5" s="180"/>
      <c r="B5" s="181"/>
      <c r="C5" s="181"/>
      <c r="D5" s="180"/>
      <c r="E5" s="180"/>
      <c r="F5" s="180"/>
      <c r="G5" s="181"/>
      <c r="H5" s="180"/>
      <c r="I5" s="180"/>
      <c r="J5" s="180"/>
      <c r="K5" s="181"/>
    </row>
    <row r="6" spans="1:18" ht="105" customHeight="1">
      <c r="A6" s="21">
        <f>+MRS!A6</f>
        <v>1</v>
      </c>
      <c r="B6" s="175" t="str">
        <f>MRS!B6</f>
        <v>Flat Bed Trailer</v>
      </c>
      <c r="C6" s="176"/>
      <c r="D6" s="177" t="str">
        <f>MRS!D6</f>
        <v>25 Ton With Driver</v>
      </c>
      <c r="E6" s="178"/>
      <c r="F6" s="179"/>
      <c r="G6" s="102" t="str">
        <f>MRS!G6</f>
        <v>Month</v>
      </c>
      <c r="H6" s="102">
        <f>MRS!H6</f>
        <v>1</v>
      </c>
      <c r="I6" s="103">
        <f>MRS!I6</f>
        <v>15000</v>
      </c>
      <c r="J6" s="103">
        <f>MRS!J6</f>
        <v>15000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75">
        <f>MRS!B7</f>
        <v>0</v>
      </c>
      <c r="C7" s="176"/>
      <c r="D7" s="177">
        <f>MRS!D7</f>
        <v>0</v>
      </c>
      <c r="E7" s="178"/>
      <c r="F7" s="179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75">
        <f>MRS!B8</f>
        <v>0</v>
      </c>
      <c r="C8" s="176"/>
      <c r="D8" s="177">
        <f>MRS!D8</f>
        <v>0</v>
      </c>
      <c r="E8" s="178"/>
      <c r="F8" s="179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75">
        <f>MRS!B9</f>
        <v>0</v>
      </c>
      <c r="C9" s="176"/>
      <c r="D9" s="177">
        <f>MRS!D9</f>
        <v>0</v>
      </c>
      <c r="E9" s="178"/>
      <c r="F9" s="17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75">
        <f>MRS!B10</f>
        <v>0</v>
      </c>
      <c r="C10" s="176"/>
      <c r="D10" s="177">
        <f>MRS!D10</f>
        <v>0</v>
      </c>
      <c r="E10" s="178"/>
      <c r="F10" s="17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75">
        <f>MRS!B11</f>
        <v>0</v>
      </c>
      <c r="C11" s="176"/>
      <c r="D11" s="177">
        <f>MRS!D11</f>
        <v>0</v>
      </c>
      <c r="E11" s="178"/>
      <c r="F11" s="17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G11" sqref="G1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98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112</v>
      </c>
      <c r="D9" s="38"/>
      <c r="E9" s="38"/>
    </row>
    <row r="10" spans="2:13" s="38" customFormat="1">
      <c r="B10" s="71"/>
      <c r="C10" s="38" t="s">
        <v>29</v>
      </c>
      <c r="D10" s="75" t="s">
        <v>102</v>
      </c>
      <c r="J10" s="38" t="s">
        <v>30</v>
      </c>
      <c r="K10" s="128">
        <f>MRS!L3</f>
        <v>45984</v>
      </c>
      <c r="L10" s="129"/>
      <c r="M10" s="129"/>
    </row>
    <row r="11" spans="2:13" s="38" customFormat="1">
      <c r="B11" s="71"/>
      <c r="C11" s="74" t="s">
        <v>31</v>
      </c>
      <c r="D11" s="75" t="s">
        <v>103</v>
      </c>
      <c r="J11" s="38" t="s">
        <v>32</v>
      </c>
      <c r="K11" s="130" t="str">
        <f>SUBSTITUTE(SUBSTITUTE(+MRS!A3,"  MRS No : ",""),"-MRS","-PO")</f>
        <v>SAC2-DS-PO-0164</v>
      </c>
      <c r="L11" s="130"/>
      <c r="M11" s="130"/>
    </row>
    <row r="12" spans="2:13" s="38" customFormat="1">
      <c r="B12" s="71"/>
      <c r="C12" s="74" t="s">
        <v>33</v>
      </c>
      <c r="D12" s="38" t="s">
        <v>115</v>
      </c>
      <c r="J12" s="38" t="s">
        <v>34</v>
      </c>
    </row>
    <row r="13" spans="2:13" s="38" customFormat="1">
      <c r="B13" s="71"/>
      <c r="C13" s="76"/>
      <c r="D13" s="75" t="s">
        <v>104</v>
      </c>
      <c r="J13" s="38" t="s">
        <v>35</v>
      </c>
    </row>
    <row r="14" spans="2:13" s="38" customFormat="1">
      <c r="B14" s="71"/>
      <c r="C14" s="76" t="s">
        <v>105</v>
      </c>
      <c r="J14" s="38" t="s">
        <v>36</v>
      </c>
      <c r="K14" s="38" t="s">
        <v>111</v>
      </c>
    </row>
    <row r="15" spans="2:13" s="38" customFormat="1">
      <c r="B15" s="71"/>
      <c r="C15" s="76" t="s">
        <v>106</v>
      </c>
      <c r="J15" s="38" t="s">
        <v>37</v>
      </c>
      <c r="K15" s="77">
        <v>45979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31" t="s">
        <v>38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</row>
    <row r="19" spans="2:13" ht="12" customHeight="1"/>
    <row r="20" spans="2:13" s="31" customFormat="1" ht="12" customHeight="1">
      <c r="B20" s="132" t="s">
        <v>39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</row>
    <row r="21" spans="2:13" s="31" customFormat="1" ht="12" customHeight="1">
      <c r="B21" s="132" t="s">
        <v>40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</row>
    <row r="22" spans="2:13" s="31" customFormat="1" ht="12" customHeight="1">
      <c r="B22" s="132" t="s">
        <v>41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</row>
    <row r="23" spans="2:13" ht="6.95" customHeight="1"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</row>
    <row r="24" spans="2:13" ht="6.95" customHeight="1"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2"/>
      <c r="C26" s="75" t="str">
        <f>MRS!B6</f>
        <v>Flat Bed Trailer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24" t="s">
        <v>99</v>
      </c>
      <c r="G29" s="124"/>
      <c r="H29" s="124"/>
      <c r="M29" s="33"/>
    </row>
    <row r="30" spans="2:13" ht="15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5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96</v>
      </c>
      <c r="P49" s="81"/>
    </row>
    <row r="50" spans="2:16" s="82" customFormat="1" ht="12" customHeight="1">
      <c r="B50" s="83" t="s">
        <v>62</v>
      </c>
      <c r="C50" s="80" t="s">
        <v>89</v>
      </c>
    </row>
    <row r="51" spans="2:16" s="82" customFormat="1" ht="12" customHeight="1">
      <c r="B51" s="83" t="s">
        <v>62</v>
      </c>
      <c r="C51" s="80" t="s">
        <v>122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116</v>
      </c>
    </row>
    <row r="54" spans="2:16" ht="12" customHeight="1">
      <c r="B54" s="83" t="s">
        <v>62</v>
      </c>
      <c r="C54" s="125" t="s">
        <v>123</v>
      </c>
      <c r="F54" s="26" t="s">
        <v>118</v>
      </c>
    </row>
    <row r="55" spans="2:16" ht="12" customHeight="1">
      <c r="B55" s="83" t="s">
        <v>62</v>
      </c>
      <c r="C55" s="125" t="s">
        <v>124</v>
      </c>
      <c r="F55" s="126" t="s">
        <v>119</v>
      </c>
    </row>
    <row r="56" spans="2:16" ht="12" customHeight="1">
      <c r="B56" s="83" t="s">
        <v>62</v>
      </c>
      <c r="C56" s="125" t="s">
        <v>125</v>
      </c>
      <c r="F56" s="26" t="s">
        <v>130</v>
      </c>
    </row>
    <row r="57" spans="2:16" ht="12" customHeight="1">
      <c r="B57" s="83" t="s">
        <v>62</v>
      </c>
      <c r="C57" s="125" t="s">
        <v>126</v>
      </c>
      <c r="F57" s="26" t="s">
        <v>120</v>
      </c>
    </row>
    <row r="58" spans="2:16" ht="12" customHeight="1">
      <c r="B58" s="83" t="s">
        <v>62</v>
      </c>
      <c r="C58" s="125" t="s">
        <v>127</v>
      </c>
      <c r="F58" s="26" t="s">
        <v>121</v>
      </c>
    </row>
    <row r="59" spans="2:16" ht="12" customHeight="1">
      <c r="B59" s="83" t="s">
        <v>62</v>
      </c>
      <c r="C59" s="125" t="s">
        <v>128</v>
      </c>
      <c r="F59" s="26" t="s">
        <v>117</v>
      </c>
    </row>
    <row r="60" spans="2:16" ht="12" customHeight="1">
      <c r="B60" s="83"/>
      <c r="C60" s="125" t="s">
        <v>129</v>
      </c>
    </row>
    <row r="61" spans="2:16" ht="7.5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6.75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Salem Mohammed S.Almarri</v>
      </c>
    </row>
    <row r="68" spans="1:13" ht="18" customHeight="1">
      <c r="B68" s="26" t="s">
        <v>68</v>
      </c>
      <c r="J68" s="26" t="s">
        <v>69</v>
      </c>
      <c r="K68" s="22" t="s">
        <v>100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101</v>
      </c>
      <c r="J70" s="204" t="str">
        <f>C9</f>
        <v>TEC(Trindus Engineering Company)</v>
      </c>
      <c r="K70" s="204"/>
      <c r="L70" s="204"/>
      <c r="M70" s="204"/>
    </row>
    <row r="71" spans="1:13" ht="27.95" customHeight="1">
      <c r="A71" s="127" t="s">
        <v>72</v>
      </c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6" sqref="L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SAC2-DS-PO-0164</v>
      </c>
      <c r="C2" s="190" t="s">
        <v>74</v>
      </c>
      <c r="D2" s="190"/>
      <c r="E2" s="190"/>
      <c r="F2" s="190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45984</v>
      </c>
      <c r="C3" s="50"/>
      <c r="D3" s="51"/>
      <c r="E3" s="191" t="s">
        <v>76</v>
      </c>
      <c r="F3" s="191"/>
      <c r="G3" s="191"/>
      <c r="H3" s="191"/>
      <c r="I3" s="52"/>
    </row>
    <row r="4" spans="1:13" s="54" customFormat="1" ht="28.5" customHeight="1" thickTop="1">
      <c r="A4" s="192" t="s">
        <v>77</v>
      </c>
      <c r="B4" s="194" t="s">
        <v>78</v>
      </c>
      <c r="C4" s="195"/>
      <c r="D4" s="198" t="s">
        <v>79</v>
      </c>
      <c r="E4" s="198" t="s">
        <v>80</v>
      </c>
      <c r="F4" s="200" t="str">
        <f>'PO 1st page'!C9</f>
        <v>TEC(Trindus Engineering Company)</v>
      </c>
      <c r="G4" s="201"/>
      <c r="H4" s="202" t="s">
        <v>81</v>
      </c>
      <c r="K4" s="55"/>
      <c r="L4" s="55"/>
      <c r="M4" s="55"/>
    </row>
    <row r="5" spans="1:13" s="54" customFormat="1" ht="21.95" customHeight="1">
      <c r="A5" s="193"/>
      <c r="B5" s="196"/>
      <c r="C5" s="197"/>
      <c r="D5" s="199"/>
      <c r="E5" s="199"/>
      <c r="F5" s="56" t="s">
        <v>82</v>
      </c>
      <c r="G5" s="56" t="s">
        <v>48</v>
      </c>
      <c r="H5" s="203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8" t="str">
        <f>+'MRS LIST'!B6</f>
        <v>Flat Bed Trailer</v>
      </c>
      <c r="C6" s="189"/>
      <c r="D6" s="85" t="str">
        <f>+'MRS LIST'!G6</f>
        <v>Month</v>
      </c>
      <c r="E6" s="86">
        <f>+'MRS LIST'!H6</f>
        <v>1</v>
      </c>
      <c r="F6" s="87">
        <f>+'MRS LIST'!I6</f>
        <v>15000</v>
      </c>
      <c r="G6" s="88">
        <f>+'MRS LIST'!J6</f>
        <v>15000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8"/>
      <c r="C7" s="189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8"/>
      <c r="C8" s="189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8"/>
      <c r="C9" s="189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8"/>
      <c r="C10" s="189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8"/>
      <c r="C11" s="189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6"/>
      <c r="C12" s="187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6"/>
      <c r="C13" s="187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6"/>
      <c r="C14" s="187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6"/>
      <c r="C15" s="187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6"/>
      <c r="C16" s="187"/>
      <c r="D16" s="93"/>
      <c r="E16" s="94"/>
      <c r="F16" s="95"/>
      <c r="G16" s="96"/>
      <c r="H16" s="97"/>
      <c r="J16" s="54" t="s">
        <v>97</v>
      </c>
    </row>
    <row r="17" spans="1:13" s="54" customFormat="1" ht="32.1" customHeight="1">
      <c r="A17" s="92">
        <f t="shared" si="0"/>
        <v>12</v>
      </c>
      <c r="B17" s="186"/>
      <c r="C17" s="187"/>
      <c r="D17" s="93"/>
      <c r="E17" s="94"/>
      <c r="F17" s="95"/>
      <c r="G17" s="96"/>
      <c r="H17" s="97"/>
    </row>
    <row r="18" spans="1:13" s="54" customFormat="1" ht="23.1" customHeight="1">
      <c r="A18" s="182" t="s">
        <v>83</v>
      </c>
      <c r="B18" s="183"/>
      <c r="C18" s="183"/>
      <c r="D18" s="183"/>
      <c r="E18" s="183"/>
      <c r="F18" s="183"/>
      <c r="G18" s="57">
        <f>SUM(G6:G17)</f>
        <v>15000</v>
      </c>
      <c r="H18" s="58"/>
    </row>
    <row r="19" spans="1:13" s="54" customFormat="1" ht="23.1" customHeight="1">
      <c r="A19" s="182" t="s">
        <v>47</v>
      </c>
      <c r="B19" s="183"/>
      <c r="C19" s="183"/>
      <c r="D19" s="183"/>
      <c r="E19" s="183"/>
      <c r="F19" s="183"/>
      <c r="G19" s="57">
        <f>+G18*0.15</f>
        <v>2250</v>
      </c>
      <c r="H19" s="58"/>
    </row>
    <row r="20" spans="1:13" s="54" customFormat="1" ht="24.95" customHeight="1" thickBot="1">
      <c r="A20" s="184" t="s">
        <v>84</v>
      </c>
      <c r="B20" s="185"/>
      <c r="C20" s="185"/>
      <c r="D20" s="185"/>
      <c r="E20" s="185"/>
      <c r="F20" s="185"/>
      <c r="G20" s="59">
        <f>G19+G18</f>
        <v>17250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TRE/DAESHIN/EQ-002-025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27" t="s">
        <v>86</v>
      </c>
      <c r="B24" s="127"/>
      <c r="C24" s="127"/>
      <c r="D24" s="127"/>
      <c r="E24" s="127"/>
      <c r="F24" s="127"/>
      <c r="G24" s="127"/>
      <c r="H24" s="127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2025-11-25T10:41:00Z</cp:lastPrinted>
  <dcterms:created xsi:type="dcterms:W3CDTF">2024-10-20T11:50:19Z</dcterms:created>
  <dcterms:modified xsi:type="dcterms:W3CDTF">2026-07-04T13:29:24Z</dcterms:modified>
</cp:coreProperties>
</file>